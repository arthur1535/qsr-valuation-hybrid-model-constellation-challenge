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ustomProperty1.bin" ContentType="application/vnd.openxmlformats-officedocument.spreadsheetml.customProperty"/>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Ex1.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https://ufubr-my.sharepoint.com/personal/luciano_silveira_ufu_br/Documents/"/>
    </mc:Choice>
  </mc:AlternateContent>
  <xr:revisionPtr revIDLastSave="0" documentId="8_{445429D4-2FBE-40FB-8C97-E12AEF56FD13}" xr6:coauthVersionLast="47" xr6:coauthVersionMax="47" xr10:uidLastSave="{00000000-0000-0000-0000-000000000000}"/>
  <bookViews>
    <workbookView xWindow="-108" yWindow="-108" windowWidth="23256" windowHeight="12456" firstSheet="4" activeTab="2" xr2:uid="{97A61B68-F244-4EDA-94B2-38DBB942F0D2}"/>
  </bookViews>
  <sheets>
    <sheet name="Const Challenge" sheetId="7" r:id="rId1"/>
    <sheet name="Model" sheetId="1" r:id="rId2"/>
    <sheet name="Summary" sheetId="4" r:id="rId3"/>
    <sheet name="Glossary" sheetId="8" r:id="rId4"/>
    <sheet name="WACC" sheetId="9" r:id="rId5"/>
    <sheet name="Restaurant Sector - 4Q2025" sheetId="10" r:id="rId6"/>
    <sheet name="Metadata" sheetId="11" r:id="rId7"/>
    <sheet name="Scenario_2026" sheetId="12" r:id="rId8"/>
    <sheet name="UNITS" sheetId="13" r:id="rId9"/>
    <sheet name="Planilha1" sheetId="14" r:id="rId10"/>
    <sheet name="Planilha2" sheetId="15" r:id="rId11"/>
  </sheets>
  <externalReferences>
    <externalReference r:id="rId12"/>
    <externalReference r:id="rId13"/>
    <externalReference r:id="rId14"/>
  </externalReferences>
  <definedNames>
    <definedName name="\" localSheetId="3" hidden="1">{"detail",#N/A,FALSE,"mfg";"summary",#N/A,FALSE,"mfg"}</definedName>
    <definedName name="\" localSheetId="7" hidden="1">{"detail",#N/A,FALSE,"mfg";"summary",#N/A,FALSE,"mfg"}</definedName>
    <definedName name="\" hidden="1">{"detail",#N/A,FALSE,"mfg";"summary",#N/A,FALSE,"mfg"}</definedName>
    <definedName name="____________abc1" localSheetId="3" hidden="1">{"detail",#N/A,FALSE,"mfg";"summary",#N/A,FALSE,"mfg"}</definedName>
    <definedName name="____________abc1" localSheetId="7" hidden="1">{"detail",#N/A,FALSE,"mfg";"summary",#N/A,FALSE,"mfg"}</definedName>
    <definedName name="____________abc1" hidden="1">{"detail",#N/A,FALSE,"mfg";"summary",#N/A,FALSE,"mfg"}</definedName>
    <definedName name="____________abc2" localSheetId="3" hidden="1">{"detail",#N/A,FALSE,"mfg";"summary",#N/A,FALSE,"mfg"}</definedName>
    <definedName name="____________abc2" localSheetId="7" hidden="1">{"detail",#N/A,FALSE,"mfg";"summary",#N/A,FALSE,"mfg"}</definedName>
    <definedName name="____________abc2" hidden="1">{"detail",#N/A,FALSE,"mfg";"summary",#N/A,FALSE,"mfg"}</definedName>
    <definedName name="____________z12" localSheetId="3" hidden="1">{"pro_view",#N/A,FALSE,"EEFSNAP2";"rep_view",#N/A,FALSE,"EEFSNAP2"}</definedName>
    <definedName name="____________z12" localSheetId="7" hidden="1">{"pro_view",#N/A,FALSE,"EEFSNAP2";"rep_view",#N/A,FALSE,"EEFSNAP2"}</definedName>
    <definedName name="____________z12" hidden="1">{"pro_view",#N/A,FALSE,"EEFSNAP2";"rep_view",#N/A,FALSE,"EEFSNAP2"}</definedName>
    <definedName name="____________z22" localSheetId="3" hidden="1">{#N/A,"PURADD",FALSE,"Business Analysis";#N/A,"PURSPP",FALSE,"Business Analysis";#N/A,"CTGIND",FALSE,"Business Analysis";#N/A,"PURCHM",FALSE,"Business Analysis";#N/A,"SPADD",FALSE,"Business Analysis";#N/A,"EPOXY",FALSE,"Business Analysis";#N/A,"PURPER",FALSE,"Business Analysis"}</definedName>
    <definedName name="____________z22" localSheetId="7" hidden="1">{#N/A,"PURADD",FALSE,"Business Analysis";#N/A,"PURSPP",FALSE,"Business Analysis";#N/A,"CTGIND",FALSE,"Business Analysis";#N/A,"PURCHM",FALSE,"Business Analysis";#N/A,"SPADD",FALSE,"Business Analysis";#N/A,"EPOXY",FALSE,"Business Analysis";#N/A,"PURPER",FALSE,"Business Analysis"}</definedName>
    <definedName name="____________z22" hidden="1">{#N/A,"PURADD",FALSE,"Business Analysis";#N/A,"PURSPP",FALSE,"Business Analysis";#N/A,"CTGIND",FALSE,"Business Analysis";#N/A,"PURCHM",FALSE,"Business Analysis";#N/A,"SPADD",FALSE,"Business Analysis";#N/A,"EPOXY",FALSE,"Business Analysis";#N/A,"PURPER",FALSE,"Business Analysis"}</definedName>
    <definedName name="____________z25" localSheetId="3" hidden="1">{"detail",#N/A,FALSE,"mfg";"summary",#N/A,FALSE,"mfg"}</definedName>
    <definedName name="____________z25" localSheetId="7" hidden="1">{"detail",#N/A,FALSE,"mfg";"summary",#N/A,FALSE,"mfg"}</definedName>
    <definedName name="____________z25" hidden="1">{"detail",#N/A,FALSE,"mfg";"summary",#N/A,FALSE,"mfg"}</definedName>
    <definedName name="___________abc1" localSheetId="3" hidden="1">{"detail",#N/A,FALSE,"mfg";"summary",#N/A,FALSE,"mfg"}</definedName>
    <definedName name="___________abc1" localSheetId="7" hidden="1">{"detail",#N/A,FALSE,"mfg";"summary",#N/A,FALSE,"mfg"}</definedName>
    <definedName name="___________abc1" hidden="1">{"detail",#N/A,FALSE,"mfg";"summary",#N/A,FALSE,"mfg"}</definedName>
    <definedName name="___________abc2" localSheetId="3" hidden="1">{"detail",#N/A,FALSE,"mfg";"summary",#N/A,FALSE,"mfg"}</definedName>
    <definedName name="___________abc2" localSheetId="7" hidden="1">{"detail",#N/A,FALSE,"mfg";"summary",#N/A,FALSE,"mfg"}</definedName>
    <definedName name="___________abc2" hidden="1">{"detail",#N/A,FALSE,"mfg";"summary",#N/A,FALSE,"mfg"}</definedName>
    <definedName name="___________z12" localSheetId="3" hidden="1">{"pro_view",#N/A,FALSE,"EEFSNAP2";"rep_view",#N/A,FALSE,"EEFSNAP2"}</definedName>
    <definedName name="___________z12" localSheetId="7" hidden="1">{"pro_view",#N/A,FALSE,"EEFSNAP2";"rep_view",#N/A,FALSE,"EEFSNAP2"}</definedName>
    <definedName name="___________z12" hidden="1">{"pro_view",#N/A,FALSE,"EEFSNAP2";"rep_view",#N/A,FALSE,"EEFSNAP2"}</definedName>
    <definedName name="___________z22" localSheetId="3" hidden="1">{#N/A,"PURADD",FALSE,"Business Analysis";#N/A,"PURSPP",FALSE,"Business Analysis";#N/A,"CTGIND",FALSE,"Business Analysis";#N/A,"PURCHM",FALSE,"Business Analysis";#N/A,"SPADD",FALSE,"Business Analysis";#N/A,"EPOXY",FALSE,"Business Analysis";#N/A,"PURPER",FALSE,"Business Analysis"}</definedName>
    <definedName name="___________z22" localSheetId="7" hidden="1">{#N/A,"PURADD",FALSE,"Business Analysis";#N/A,"PURSPP",FALSE,"Business Analysis";#N/A,"CTGIND",FALSE,"Business Analysis";#N/A,"PURCHM",FALSE,"Business Analysis";#N/A,"SPADD",FALSE,"Business Analysis";#N/A,"EPOXY",FALSE,"Business Analysis";#N/A,"PURPER",FALSE,"Business Analysis"}</definedName>
    <definedName name="___________z22" hidden="1">{#N/A,"PURADD",FALSE,"Business Analysis";#N/A,"PURSPP",FALSE,"Business Analysis";#N/A,"CTGIND",FALSE,"Business Analysis";#N/A,"PURCHM",FALSE,"Business Analysis";#N/A,"SPADD",FALSE,"Business Analysis";#N/A,"EPOXY",FALSE,"Business Analysis";#N/A,"PURPER",FALSE,"Business Analysis"}</definedName>
    <definedName name="___________z25" localSheetId="3" hidden="1">{"detail",#N/A,FALSE,"mfg";"summary",#N/A,FALSE,"mfg"}</definedName>
    <definedName name="___________z25" localSheetId="7" hidden="1">{"detail",#N/A,FALSE,"mfg";"summary",#N/A,FALSE,"mfg"}</definedName>
    <definedName name="___________z25" hidden="1">{"detail",#N/A,FALSE,"mfg";"summary",#N/A,FALSE,"mfg"}</definedName>
    <definedName name="__________abc1" localSheetId="3" hidden="1">{"detail",#N/A,FALSE,"mfg";"summary",#N/A,FALSE,"mfg"}</definedName>
    <definedName name="__________abc1" localSheetId="7" hidden="1">{"detail",#N/A,FALSE,"mfg";"summary",#N/A,FALSE,"mfg"}</definedName>
    <definedName name="__________abc1" hidden="1">{"detail",#N/A,FALSE,"mfg";"summary",#N/A,FALSE,"mfg"}</definedName>
    <definedName name="__________abc2" localSheetId="3" hidden="1">{"detail",#N/A,FALSE,"mfg";"summary",#N/A,FALSE,"mfg"}</definedName>
    <definedName name="__________abc2" localSheetId="7" hidden="1">{"detail",#N/A,FALSE,"mfg";"summary",#N/A,FALSE,"mfg"}</definedName>
    <definedName name="__________abc2" hidden="1">{"detail",#N/A,FALSE,"mfg";"summary",#N/A,FALSE,"mfg"}</definedName>
    <definedName name="__________z12" localSheetId="3" hidden="1">{"pro_view",#N/A,FALSE,"EEFSNAP2";"rep_view",#N/A,FALSE,"EEFSNAP2"}</definedName>
    <definedName name="__________z12" localSheetId="7" hidden="1">{"pro_view",#N/A,FALSE,"EEFSNAP2";"rep_view",#N/A,FALSE,"EEFSNAP2"}</definedName>
    <definedName name="__________z12" hidden="1">{"pro_view",#N/A,FALSE,"EEFSNAP2";"rep_view",#N/A,FALSE,"EEFSNAP2"}</definedName>
    <definedName name="__________z22" localSheetId="3" hidden="1">{#N/A,"PURADD",FALSE,"Business Analysis";#N/A,"PURSPP",FALSE,"Business Analysis";#N/A,"CTGIND",FALSE,"Business Analysis";#N/A,"PURCHM",FALSE,"Business Analysis";#N/A,"SPADD",FALSE,"Business Analysis";#N/A,"EPOXY",FALSE,"Business Analysis";#N/A,"PURPER",FALSE,"Business Analysis"}</definedName>
    <definedName name="__________z22" localSheetId="7" hidden="1">{#N/A,"PURADD",FALSE,"Business Analysis";#N/A,"PURSPP",FALSE,"Business Analysis";#N/A,"CTGIND",FALSE,"Business Analysis";#N/A,"PURCHM",FALSE,"Business Analysis";#N/A,"SPADD",FALSE,"Business Analysis";#N/A,"EPOXY",FALSE,"Business Analysis";#N/A,"PURPER",FALSE,"Business Analysis"}</definedName>
    <definedName name="__________z22" hidden="1">{#N/A,"PURADD",FALSE,"Business Analysis";#N/A,"PURSPP",FALSE,"Business Analysis";#N/A,"CTGIND",FALSE,"Business Analysis";#N/A,"PURCHM",FALSE,"Business Analysis";#N/A,"SPADD",FALSE,"Business Analysis";#N/A,"EPOXY",FALSE,"Business Analysis";#N/A,"PURPER",FALSE,"Business Analysis"}</definedName>
    <definedName name="__________z25" localSheetId="3" hidden="1">{"detail",#N/A,FALSE,"mfg";"summary",#N/A,FALSE,"mfg"}</definedName>
    <definedName name="__________z25" localSheetId="7" hidden="1">{"detail",#N/A,FALSE,"mfg";"summary",#N/A,FALSE,"mfg"}</definedName>
    <definedName name="__________z25" hidden="1">{"detail",#N/A,FALSE,"mfg";"summary",#N/A,FALSE,"mfg"}</definedName>
    <definedName name="_________abc1" localSheetId="3" hidden="1">{"detail",#N/A,FALSE,"mfg";"summary",#N/A,FALSE,"mfg"}</definedName>
    <definedName name="_________abc1" localSheetId="7" hidden="1">{"detail",#N/A,FALSE,"mfg";"summary",#N/A,FALSE,"mfg"}</definedName>
    <definedName name="_________abc1" hidden="1">{"detail",#N/A,FALSE,"mfg";"summary",#N/A,FALSE,"mfg"}</definedName>
    <definedName name="_________abc2" localSheetId="3" hidden="1">{"detail",#N/A,FALSE,"mfg";"summary",#N/A,FALSE,"mfg"}</definedName>
    <definedName name="_________abc2" localSheetId="7" hidden="1">{"detail",#N/A,FALSE,"mfg";"summary",#N/A,FALSE,"mfg"}</definedName>
    <definedName name="_________abc2" hidden="1">{"detail",#N/A,FALSE,"mfg";"summary",#N/A,FALSE,"mfg"}</definedName>
    <definedName name="_________z12" localSheetId="3" hidden="1">{"pro_view",#N/A,FALSE,"EEFSNAP2";"rep_view",#N/A,FALSE,"EEFSNAP2"}</definedName>
    <definedName name="_________z12" localSheetId="7" hidden="1">{"pro_view",#N/A,FALSE,"EEFSNAP2";"rep_view",#N/A,FALSE,"EEFSNAP2"}</definedName>
    <definedName name="_________z12" hidden="1">{"pro_view",#N/A,FALSE,"EEFSNAP2";"rep_view",#N/A,FALSE,"EEFSNAP2"}</definedName>
    <definedName name="_________z22" localSheetId="3" hidden="1">{#N/A,"PURADD",FALSE,"Business Analysis";#N/A,"PURSPP",FALSE,"Business Analysis";#N/A,"CTGIND",FALSE,"Business Analysis";#N/A,"PURCHM",FALSE,"Business Analysis";#N/A,"SPADD",FALSE,"Business Analysis";#N/A,"EPOXY",FALSE,"Business Analysis";#N/A,"PURPER",FALSE,"Business Analysis"}</definedName>
    <definedName name="_________z22" localSheetId="7" hidden="1">{#N/A,"PURADD",FALSE,"Business Analysis";#N/A,"PURSPP",FALSE,"Business Analysis";#N/A,"CTGIND",FALSE,"Business Analysis";#N/A,"PURCHM",FALSE,"Business Analysis";#N/A,"SPADD",FALSE,"Business Analysis";#N/A,"EPOXY",FALSE,"Business Analysis";#N/A,"PURPER",FALSE,"Business Analysis"}</definedName>
    <definedName name="_________z22" hidden="1">{#N/A,"PURADD",FALSE,"Business Analysis";#N/A,"PURSPP",FALSE,"Business Analysis";#N/A,"CTGIND",FALSE,"Business Analysis";#N/A,"PURCHM",FALSE,"Business Analysis";#N/A,"SPADD",FALSE,"Business Analysis";#N/A,"EPOXY",FALSE,"Business Analysis";#N/A,"PURPER",FALSE,"Business Analysis"}</definedName>
    <definedName name="_________z25" localSheetId="3" hidden="1">{"detail",#N/A,FALSE,"mfg";"summary",#N/A,FALSE,"mfg"}</definedName>
    <definedName name="_________z25" localSheetId="7" hidden="1">{"detail",#N/A,FALSE,"mfg";"summary",#N/A,FALSE,"mfg"}</definedName>
    <definedName name="_________z25" hidden="1">{"detail",#N/A,FALSE,"mfg";"summary",#N/A,FALSE,"mfg"}</definedName>
    <definedName name="________A11" localSheetId="3" hidden="1">{#N/A,#N/A,FALSE,"Umsatz 99";#N/A,#N/A,FALSE,"ER 99 "}</definedName>
    <definedName name="________A11" localSheetId="7" hidden="1">{#N/A,#N/A,FALSE,"Umsatz 99";#N/A,#N/A,FALSE,"ER 99 "}</definedName>
    <definedName name="________A11" hidden="1">{#N/A,#N/A,FALSE,"Umsatz 99";#N/A,#N/A,FALSE,"ER 99 "}</definedName>
    <definedName name="________abc1" localSheetId="3" hidden="1">{"detail",#N/A,FALSE,"mfg";"summary",#N/A,FALSE,"mfg"}</definedName>
    <definedName name="________abc1" localSheetId="7" hidden="1">{"detail",#N/A,FALSE,"mfg";"summary",#N/A,FALSE,"mfg"}</definedName>
    <definedName name="________abc1" hidden="1">{"detail",#N/A,FALSE,"mfg";"summary",#N/A,FALSE,"mfg"}</definedName>
    <definedName name="________abc2" localSheetId="3" hidden="1">{"detail",#N/A,FALSE,"mfg";"summary",#N/A,FALSE,"mfg"}</definedName>
    <definedName name="________abc2" localSheetId="7" hidden="1">{"detail",#N/A,FALSE,"mfg";"summary",#N/A,FALSE,"mfg"}</definedName>
    <definedName name="________abc2" hidden="1">{"detail",#N/A,FALSE,"mfg";"summary",#N/A,FALSE,"mfg"}</definedName>
    <definedName name="________c" localSheetId="3" hidden="1">{"Fiesta Facer Page",#N/A,FALSE,"Q_C_S";"Fiesta Main Page",#N/A,FALSE,"V_L";"Fiesta 95BP Struct",#N/A,FALSE,"StructBP";"Fiesta Post 95BP Struct",#N/A,FALSE,"AdjStructBP"}</definedName>
    <definedName name="________c" localSheetId="7" hidden="1">{"Fiesta Facer Page",#N/A,FALSE,"Q_C_S";"Fiesta Main Page",#N/A,FALSE,"V_L";"Fiesta 95BP Struct",#N/A,FALSE,"StructBP";"Fiesta Post 95BP Struct",#N/A,FALSE,"AdjStructBP"}</definedName>
    <definedName name="________c" hidden="1">{"Fiesta Facer Page",#N/A,FALSE,"Q_C_S";"Fiesta Main Page",#N/A,FALSE,"V_L";"Fiesta 95BP Struct",#N/A,FALSE,"StructBP";"Fiesta Post 95BP Struct",#N/A,FALSE,"AdjStructBP"}</definedName>
    <definedName name="________z12" localSheetId="3" hidden="1">{"pro_view",#N/A,FALSE,"EEFSNAP2";"rep_view",#N/A,FALSE,"EEFSNAP2"}</definedName>
    <definedName name="________z12" localSheetId="7" hidden="1">{"pro_view",#N/A,FALSE,"EEFSNAP2";"rep_view",#N/A,FALSE,"EEFSNAP2"}</definedName>
    <definedName name="________z12" hidden="1">{"pro_view",#N/A,FALSE,"EEFSNAP2";"rep_view",#N/A,FALSE,"EEFSNAP2"}</definedName>
    <definedName name="________z22" localSheetId="3" hidden="1">{#N/A,"PURADD",FALSE,"Business Analysis";#N/A,"PURSPP",FALSE,"Business Analysis";#N/A,"CTGIND",FALSE,"Business Analysis";#N/A,"PURCHM",FALSE,"Business Analysis";#N/A,"SPADD",FALSE,"Business Analysis";#N/A,"EPOXY",FALSE,"Business Analysis";#N/A,"PURPER",FALSE,"Business Analysis"}</definedName>
    <definedName name="________z22" localSheetId="7" hidden="1">{#N/A,"PURADD",FALSE,"Business Analysis";#N/A,"PURSPP",FALSE,"Business Analysis";#N/A,"CTGIND",FALSE,"Business Analysis";#N/A,"PURCHM",FALSE,"Business Analysis";#N/A,"SPADD",FALSE,"Business Analysis";#N/A,"EPOXY",FALSE,"Business Analysis";#N/A,"PURPER",FALSE,"Business Analysis"}</definedName>
    <definedName name="________z22" hidden="1">{#N/A,"PURADD",FALSE,"Business Analysis";#N/A,"PURSPP",FALSE,"Business Analysis";#N/A,"CTGIND",FALSE,"Business Analysis";#N/A,"PURCHM",FALSE,"Business Analysis";#N/A,"SPADD",FALSE,"Business Analysis";#N/A,"EPOXY",FALSE,"Business Analysis";#N/A,"PURPER",FALSE,"Business Analysis"}</definedName>
    <definedName name="________z25" localSheetId="3" hidden="1">{"detail",#N/A,FALSE,"mfg";"summary",#N/A,FALSE,"mfg"}</definedName>
    <definedName name="________z25" localSheetId="7" hidden="1">{"detail",#N/A,FALSE,"mfg";"summary",#N/A,FALSE,"mfg"}</definedName>
    <definedName name="________z25" hidden="1">{"detail",#N/A,FALSE,"mfg";"summary",#N/A,FALSE,"mfg"}</definedName>
    <definedName name="_______abc1" localSheetId="3" hidden="1">{"detail",#N/A,FALSE,"mfg";"summary",#N/A,FALSE,"mfg"}</definedName>
    <definedName name="_______abc1" localSheetId="7" hidden="1">{"detail",#N/A,FALSE,"mfg";"summary",#N/A,FALSE,"mfg"}</definedName>
    <definedName name="_______abc1" hidden="1">{"detail",#N/A,FALSE,"mfg";"summary",#N/A,FALSE,"mfg"}</definedName>
    <definedName name="_______abc2" localSheetId="3" hidden="1">{"detail",#N/A,FALSE,"mfg";"summary",#N/A,FALSE,"mfg"}</definedName>
    <definedName name="_______abc2" localSheetId="7" hidden="1">{"detail",#N/A,FALSE,"mfg";"summary",#N/A,FALSE,"mfg"}</definedName>
    <definedName name="_______abc2" hidden="1">{"detail",#N/A,FALSE,"mfg";"summary",#N/A,FALSE,"mfg"}</definedName>
    <definedName name="_______z12" localSheetId="3" hidden="1">{"pro_view",#N/A,FALSE,"EEFSNAP2";"rep_view",#N/A,FALSE,"EEFSNAP2"}</definedName>
    <definedName name="_______z12" localSheetId="7" hidden="1">{"pro_view",#N/A,FALSE,"EEFSNAP2";"rep_view",#N/A,FALSE,"EEFSNAP2"}</definedName>
    <definedName name="_______z12" hidden="1">{"pro_view",#N/A,FALSE,"EEFSNAP2";"rep_view",#N/A,FALSE,"EEFSNAP2"}</definedName>
    <definedName name="_______z22" localSheetId="3" hidden="1">{#N/A,"PURADD",FALSE,"Business Analysis";#N/A,"PURSPP",FALSE,"Business Analysis";#N/A,"CTGIND",FALSE,"Business Analysis";#N/A,"PURCHM",FALSE,"Business Analysis";#N/A,"SPADD",FALSE,"Business Analysis";#N/A,"EPOXY",FALSE,"Business Analysis";#N/A,"PURPER",FALSE,"Business Analysis"}</definedName>
    <definedName name="_______z22" localSheetId="7" hidden="1">{#N/A,"PURADD",FALSE,"Business Analysis";#N/A,"PURSPP",FALSE,"Business Analysis";#N/A,"CTGIND",FALSE,"Business Analysis";#N/A,"PURCHM",FALSE,"Business Analysis";#N/A,"SPADD",FALSE,"Business Analysis";#N/A,"EPOXY",FALSE,"Business Analysis";#N/A,"PURPER",FALSE,"Business Analysis"}</definedName>
    <definedName name="_______z22" hidden="1">{#N/A,"PURADD",FALSE,"Business Analysis";#N/A,"PURSPP",FALSE,"Business Analysis";#N/A,"CTGIND",FALSE,"Business Analysis";#N/A,"PURCHM",FALSE,"Business Analysis";#N/A,"SPADD",FALSE,"Business Analysis";#N/A,"EPOXY",FALSE,"Business Analysis";#N/A,"PURPER",FALSE,"Business Analysis"}</definedName>
    <definedName name="_______z25" localSheetId="3" hidden="1">{"detail",#N/A,FALSE,"mfg";"summary",#N/A,FALSE,"mfg"}</definedName>
    <definedName name="_______z25" localSheetId="7" hidden="1">{"detail",#N/A,FALSE,"mfg";"summary",#N/A,FALSE,"mfg"}</definedName>
    <definedName name="_______z25" hidden="1">{"detail",#N/A,FALSE,"mfg";"summary",#N/A,FALSE,"mfg"}</definedName>
    <definedName name="______a1" localSheetId="3" hidden="1">{#N/A,#N/A,FALSE,"Pharm";#N/A,#N/A,FALSE,"WWCM"}</definedName>
    <definedName name="______a1" localSheetId="7" hidden="1">{#N/A,#N/A,FALSE,"Pharm";#N/A,#N/A,FALSE,"WWCM"}</definedName>
    <definedName name="______a1" hidden="1">{#N/A,#N/A,FALSE,"Pharm";#N/A,#N/A,FALSE,"WWCM"}</definedName>
    <definedName name="______aaa1" localSheetId="3" hidden="1">{#N/A,#N/A,FALSE,"REPORT"}</definedName>
    <definedName name="______aaa1" localSheetId="7" hidden="1">{#N/A,#N/A,FALSE,"REPORT"}</definedName>
    <definedName name="______aaa1" hidden="1">{#N/A,#N/A,FALSE,"REPORT"}</definedName>
    <definedName name="______aas1" localSheetId="3" hidden="1">{#N/A,#N/A,FALSE,"REPORT"}</definedName>
    <definedName name="______aas1" localSheetId="7" hidden="1">{#N/A,#N/A,FALSE,"REPORT"}</definedName>
    <definedName name="______aas1" hidden="1">{#N/A,#N/A,FALSE,"REPORT"}</definedName>
    <definedName name="______ACS2000" localSheetId="3" hidden="1">{#N/A,#N/A,FALSE,"REPORT"}</definedName>
    <definedName name="______ACS2000" localSheetId="7" hidden="1">{#N/A,#N/A,FALSE,"REPORT"}</definedName>
    <definedName name="______ACS2000" hidden="1">{#N/A,#N/A,FALSE,"REPORT"}</definedName>
    <definedName name="______b111" localSheetId="3" hidden="1">{#N/A,#N/A,FALSE,"Pharm";#N/A,#N/A,FALSE,"WWCM"}</definedName>
    <definedName name="______b111" localSheetId="7" hidden="1">{#N/A,#N/A,FALSE,"Pharm";#N/A,#N/A,FALSE,"WWCM"}</definedName>
    <definedName name="______b111" hidden="1">{#N/A,#N/A,FALSE,"Pharm";#N/A,#N/A,FALSE,"WWCM"}</definedName>
    <definedName name="______new1" localSheetId="3" hidden="1">{#N/A,#N/A,FALSE,"Pharm";#N/A,#N/A,FALSE,"WWCM"}</definedName>
    <definedName name="______new1" localSheetId="7" hidden="1">{#N/A,#N/A,FALSE,"Pharm";#N/A,#N/A,FALSE,"WWCM"}</definedName>
    <definedName name="______new1" hidden="1">{#N/A,#N/A,FALSE,"Pharm";#N/A,#N/A,FALSE,"WWCM"}</definedName>
    <definedName name="______r" localSheetId="3" hidden="1">{#N/A,#N/A,FALSE,"Pharm";#N/A,#N/A,FALSE,"WWCM"}</definedName>
    <definedName name="______r" localSheetId="7" hidden="1">{#N/A,#N/A,FALSE,"Pharm";#N/A,#N/A,FALSE,"WWCM"}</definedName>
    <definedName name="______r" hidden="1">{#N/A,#N/A,FALSE,"Pharm";#N/A,#N/A,FALSE,"WWCM"}</definedName>
    <definedName name="______tm1" localSheetId="3" hidden="1">{#N/A,#N/A,FALSE,"Pharm";#N/A,#N/A,FALSE,"WWCM"}</definedName>
    <definedName name="______tm1" localSheetId="7" hidden="1">{#N/A,#N/A,FALSE,"Pharm";#N/A,#N/A,FALSE,"WWCM"}</definedName>
    <definedName name="______tm1" hidden="1">{#N/A,#N/A,FALSE,"Pharm";#N/A,#N/A,FALSE,"WWCM"}</definedName>
    <definedName name="______X2" localSheetId="3" hidden="1">{#N/A,#N/A,FALSE,"Other";#N/A,#N/A,FALSE,"Ace";#N/A,#N/A,FALSE,"Derm"}</definedName>
    <definedName name="______X2" localSheetId="7" hidden="1">{#N/A,#N/A,FALSE,"Other";#N/A,#N/A,FALSE,"Ace";#N/A,#N/A,FALSE,"Derm"}</definedName>
    <definedName name="______X2" hidden="1">{#N/A,#N/A,FALSE,"Other";#N/A,#N/A,FALSE,"Ace";#N/A,#N/A,FALSE,"Derm"}</definedName>
    <definedName name="_____abc1" localSheetId="3" hidden="1">{"detail",#N/A,FALSE,"mfg";"summary",#N/A,FALSE,"mfg"}</definedName>
    <definedName name="_____abc1" localSheetId="7" hidden="1">{"detail",#N/A,FALSE,"mfg";"summary",#N/A,FALSE,"mfg"}</definedName>
    <definedName name="_____abc1" hidden="1">{"detail",#N/A,FALSE,"mfg";"summary",#N/A,FALSE,"mfg"}</definedName>
    <definedName name="_____abc2" localSheetId="3" hidden="1">{"detail",#N/A,FALSE,"mfg";"summary",#N/A,FALSE,"mfg"}</definedName>
    <definedName name="_____abc2" localSheetId="7" hidden="1">{"detail",#N/A,FALSE,"mfg";"summary",#N/A,FALSE,"mfg"}</definedName>
    <definedName name="_____abc2" hidden="1">{"detail",#N/A,FALSE,"mfg";"summary",#N/A,FALSE,"mfg"}</definedName>
    <definedName name="_____b2" localSheetId="3" hidden="1">{"PVGraph2",#N/A,FALSE,"PV Data"}</definedName>
    <definedName name="_____b2" localSheetId="7" hidden="1">{"PVGraph2",#N/A,FALSE,"PV Data"}</definedName>
    <definedName name="_____b2" hidden="1">{"PVGraph2",#N/A,FALSE,"PV Data"}</definedName>
    <definedName name="_____I2" localSheetId="3" hidden="1">{"PVGraph2",#N/A,FALSE,"PV Data"}</definedName>
    <definedName name="_____I2" localSheetId="7" hidden="1">{"PVGraph2",#N/A,FALSE,"PV Data"}</definedName>
    <definedName name="_____I2" hidden="1">{"PVGraph2",#N/A,FALSE,"PV Data"}</definedName>
    <definedName name="_____I22" localSheetId="3" hidden="1">{"PVGraph2",#N/A,FALSE,"PV Data"}</definedName>
    <definedName name="_____I22" localSheetId="7" hidden="1">{"PVGraph2",#N/A,FALSE,"PV Data"}</definedName>
    <definedName name="_____I22" hidden="1">{"PVGraph2",#N/A,FALSE,"PV Data"}</definedName>
    <definedName name="_____I3" localSheetId="3" hidden="1">{"PVGraph2",#N/A,FALSE,"PV Data"}</definedName>
    <definedName name="_____I3" localSheetId="7" hidden="1">{"PVGraph2",#N/A,FALSE,"PV Data"}</definedName>
    <definedName name="_____I3" hidden="1">{"PVGraph2",#N/A,FALSE,"PV Data"}</definedName>
    <definedName name="_____II2" localSheetId="3" hidden="1">{"PVGraph2",#N/A,FALSE,"PV Data"}</definedName>
    <definedName name="_____II2" localSheetId="7" hidden="1">{"PVGraph2",#N/A,FALSE,"PV Data"}</definedName>
    <definedName name="_____II2" hidden="1">{"PVGraph2",#N/A,FALSE,"PV Data"}</definedName>
    <definedName name="_____w1" localSheetId="3" hidden="1">{"PVGraph2",#N/A,FALSE,"PV Data"}</definedName>
    <definedName name="_____w1" localSheetId="7" hidden="1">{"PVGraph2",#N/A,FALSE,"PV Data"}</definedName>
    <definedName name="_____w1" hidden="1">{"PVGraph2",#N/A,FALSE,"PV Data"}</definedName>
    <definedName name="_____w2" localSheetId="3" hidden="1">{"PVGraph2",#N/A,FALSE,"PV Data"}</definedName>
    <definedName name="_____w2" localSheetId="7" hidden="1">{"PVGraph2",#N/A,FALSE,"PV Data"}</definedName>
    <definedName name="_____w2" hidden="1">{"PVGraph2",#N/A,FALSE,"PV Data"}</definedName>
    <definedName name="_____w3" localSheetId="3" hidden="1">{"PVGraph2",#N/A,FALSE,"PV Data"}</definedName>
    <definedName name="_____w3" localSheetId="7" hidden="1">{"PVGraph2",#N/A,FALSE,"PV Data"}</definedName>
    <definedName name="_____w3" hidden="1">{"PVGraph2",#N/A,FALSE,"PV Data"}</definedName>
    <definedName name="_____w9" localSheetId="3" hidden="1">{"PVGraph2",#N/A,FALSE,"PV Data"}</definedName>
    <definedName name="_____w9" localSheetId="7" hidden="1">{"PVGraph2",#N/A,FALSE,"PV Data"}</definedName>
    <definedName name="_____w9" hidden="1">{"PVGraph2",#N/A,FALSE,"PV Data"}</definedName>
    <definedName name="_____x2" localSheetId="3" hidden="1">{"PVGraph2",#N/A,FALSE,"PV Data"}</definedName>
    <definedName name="_____x2" localSheetId="7" hidden="1">{"PVGraph2",#N/A,FALSE,"PV Data"}</definedName>
    <definedName name="_____x2" hidden="1">{"PVGraph2",#N/A,FALSE,"PV Data"}</definedName>
    <definedName name="_____y2" localSheetId="3" hidden="1">{"PVGraph2",#N/A,FALSE,"PV Data"}</definedName>
    <definedName name="_____y2" localSheetId="7" hidden="1">{"PVGraph2",#N/A,FALSE,"PV Data"}</definedName>
    <definedName name="_____y2" hidden="1">{"PVGraph2",#N/A,FALSE,"PV Data"}</definedName>
    <definedName name="_____z12" localSheetId="3" hidden="1">{"pro_view",#N/A,FALSE,"EEFSNAP2";"rep_view",#N/A,FALSE,"EEFSNAP2"}</definedName>
    <definedName name="_____z12" localSheetId="7" hidden="1">{"pro_view",#N/A,FALSE,"EEFSNAP2";"rep_view",#N/A,FALSE,"EEFSNAP2"}</definedName>
    <definedName name="_____z12" hidden="1">{"pro_view",#N/A,FALSE,"EEFSNAP2";"rep_view",#N/A,FALSE,"EEFSNAP2"}</definedName>
    <definedName name="_____z22" localSheetId="3" hidden="1">{#N/A,"PURADD",FALSE,"Business Analysis";#N/A,"PURSPP",FALSE,"Business Analysis";#N/A,"CTGIND",FALSE,"Business Analysis";#N/A,"PURCHM",FALSE,"Business Analysis";#N/A,"SPADD",FALSE,"Business Analysis";#N/A,"EPOXY",FALSE,"Business Analysis";#N/A,"PURPER",FALSE,"Business Analysis"}</definedName>
    <definedName name="_____z22" localSheetId="7" hidden="1">{#N/A,"PURADD",FALSE,"Business Analysis";#N/A,"PURSPP",FALSE,"Business Analysis";#N/A,"CTGIND",FALSE,"Business Analysis";#N/A,"PURCHM",FALSE,"Business Analysis";#N/A,"SPADD",FALSE,"Business Analysis";#N/A,"EPOXY",FALSE,"Business Analysis";#N/A,"PURPER",FALSE,"Business Analysis"}</definedName>
    <definedName name="_____z22" hidden="1">{#N/A,"PURADD",FALSE,"Business Analysis";#N/A,"PURSPP",FALSE,"Business Analysis";#N/A,"CTGIND",FALSE,"Business Analysis";#N/A,"PURCHM",FALSE,"Business Analysis";#N/A,"SPADD",FALSE,"Business Analysis";#N/A,"EPOXY",FALSE,"Business Analysis";#N/A,"PURPER",FALSE,"Business Analysis"}</definedName>
    <definedName name="_____z25" localSheetId="3" hidden="1">{"detail",#N/A,FALSE,"mfg";"summary",#N/A,FALSE,"mfg"}</definedName>
    <definedName name="_____z25" localSheetId="7" hidden="1">{"detail",#N/A,FALSE,"mfg";"summary",#N/A,FALSE,"mfg"}</definedName>
    <definedName name="_____z25" hidden="1">{"detail",#N/A,FALSE,"mfg";"summary",#N/A,FALSE,"mfg"}</definedName>
    <definedName name="____abc1" localSheetId="3" hidden="1">{"detail",#N/A,FALSE,"mfg";"summary",#N/A,FALSE,"mfg"}</definedName>
    <definedName name="____abc1" localSheetId="7" hidden="1">{"detail",#N/A,FALSE,"mfg";"summary",#N/A,FALSE,"mfg"}</definedName>
    <definedName name="____abc1" hidden="1">{"detail",#N/A,FALSE,"mfg";"summary",#N/A,FALSE,"mfg"}</definedName>
    <definedName name="____abc2" localSheetId="3" hidden="1">{"detail",#N/A,FALSE,"mfg";"summary",#N/A,FALSE,"mfg"}</definedName>
    <definedName name="____abc2" localSheetId="7" hidden="1">{"detail",#N/A,FALSE,"mfg";"summary",#N/A,FALSE,"mfg"}</definedName>
    <definedName name="____abc2" hidden="1">{"detail",#N/A,FALSE,"mfg";"summary",#N/A,FALSE,"mfg"}</definedName>
    <definedName name="____b2" localSheetId="3" hidden="1">{"PVGraph2",#N/A,FALSE,"PV Data"}</definedName>
    <definedName name="____b2" localSheetId="7" hidden="1">{"PVGraph2",#N/A,FALSE,"PV Data"}</definedName>
    <definedName name="____b2" hidden="1">{"PVGraph2",#N/A,FALSE,"PV Data"}</definedName>
    <definedName name="____I2" localSheetId="3" hidden="1">{"PVGraph2",#N/A,FALSE,"PV Data"}</definedName>
    <definedName name="____I2" localSheetId="7" hidden="1">{"PVGraph2",#N/A,FALSE,"PV Data"}</definedName>
    <definedName name="____I2" hidden="1">{"PVGraph2",#N/A,FALSE,"PV Data"}</definedName>
    <definedName name="____I22" localSheetId="3" hidden="1">{"PVGraph2",#N/A,FALSE,"PV Data"}</definedName>
    <definedName name="____I22" localSheetId="7" hidden="1">{"PVGraph2",#N/A,FALSE,"PV Data"}</definedName>
    <definedName name="____I22" hidden="1">{"PVGraph2",#N/A,FALSE,"PV Data"}</definedName>
    <definedName name="____I3" localSheetId="3" hidden="1">{"PVGraph2",#N/A,FALSE,"PV Data"}</definedName>
    <definedName name="____I3" localSheetId="7" hidden="1">{"PVGraph2",#N/A,FALSE,"PV Data"}</definedName>
    <definedName name="____I3" hidden="1">{"PVGraph2",#N/A,FALSE,"PV Data"}</definedName>
    <definedName name="____II2" localSheetId="3" hidden="1">{"PVGraph2",#N/A,FALSE,"PV Data"}</definedName>
    <definedName name="____II2" localSheetId="7" hidden="1">{"PVGraph2",#N/A,FALSE,"PV Data"}</definedName>
    <definedName name="____II2" hidden="1">{"PVGraph2",#N/A,FALSE,"PV Data"}</definedName>
    <definedName name="____q234" hidden="1">#REF!</definedName>
    <definedName name="____rc" localSheetId="3"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rc"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s1" hidden="1">#REF!</definedName>
    <definedName name="____s2" hidden="1">#REF!</definedName>
    <definedName name="____s3" hidden="1">#REF!</definedName>
    <definedName name="____s4" hidden="1">#REF!</definedName>
    <definedName name="____s5" hidden="1">#REF!</definedName>
    <definedName name="____s6" hidden="1">#REF!</definedName>
    <definedName name="____w1" localSheetId="3" hidden="1">{"PVGraph2",#N/A,FALSE,"PV Data"}</definedName>
    <definedName name="____w1" localSheetId="7" hidden="1">{"PVGraph2",#N/A,FALSE,"PV Data"}</definedName>
    <definedName name="____w1" hidden="1">{"PVGraph2",#N/A,FALSE,"PV Data"}</definedName>
    <definedName name="____w2" localSheetId="3" hidden="1">{"PVGraph2",#N/A,FALSE,"PV Data"}</definedName>
    <definedName name="____w2" localSheetId="7" hidden="1">{"PVGraph2",#N/A,FALSE,"PV Data"}</definedName>
    <definedName name="____w2" hidden="1">{"PVGraph2",#N/A,FALSE,"PV Data"}</definedName>
    <definedName name="____w3" localSheetId="3" hidden="1">{"PVGraph2",#N/A,FALSE,"PV Data"}</definedName>
    <definedName name="____w3" localSheetId="7" hidden="1">{"PVGraph2",#N/A,FALSE,"PV Data"}</definedName>
    <definedName name="____w3" hidden="1">{"PVGraph2",#N/A,FALSE,"PV Data"}</definedName>
    <definedName name="____w9" localSheetId="3" hidden="1">{"PVGraph2",#N/A,FALSE,"PV Data"}</definedName>
    <definedName name="____w9" localSheetId="7" hidden="1">{"PVGraph2",#N/A,FALSE,"PV Data"}</definedName>
    <definedName name="____w9" hidden="1">{"PVGraph2",#N/A,FALSE,"PV Data"}</definedName>
    <definedName name="____x1" localSheetId="3" hidden="1">{"detail",#N/A,FALSE,"mfg";"summary",#N/A,FALSE,"mfg"}</definedName>
    <definedName name="____x1" localSheetId="7" hidden="1">{"detail",#N/A,FALSE,"mfg";"summary",#N/A,FALSE,"mfg"}</definedName>
    <definedName name="____x1" hidden="1">{"detail",#N/A,FALSE,"mfg";"summary",#N/A,FALSE,"mfg"}</definedName>
    <definedName name="____x2" localSheetId="3" hidden="1">{#N/A,"PURCHM",FALSE,"Business Analysis";#N/A,"SPADD",FALSE,"Business Analysis"}</definedName>
    <definedName name="____x2" localSheetId="7" hidden="1">{#N/A,"PURCHM",FALSE,"Business Analysis";#N/A,"SPADD",FALSE,"Business Analysis"}</definedName>
    <definedName name="____x2" hidden="1">{#N/A,"PURCHM",FALSE,"Business Analysis";#N/A,"SPADD",FALSE,"Business Analysis"}</definedName>
    <definedName name="____x3" localSheetId="3" hidden="1">{"detail",#N/A,FALSE,"mfg";"summary",#N/A,FALSE,"mfg"}</definedName>
    <definedName name="____x3" localSheetId="7" hidden="1">{"detail",#N/A,FALSE,"mfg";"summary",#N/A,FALSE,"mfg"}</definedName>
    <definedName name="____x3" hidden="1">{"detail",#N/A,FALSE,"mfg";"summary",#N/A,FALSE,"mfg"}</definedName>
    <definedName name="____x4" localSheetId="3" hidden="1">{#N/A,"PURCHM",FALSE,"Business Analysis";#N/A,"SPADD",FALSE,"Business Analysis"}</definedName>
    <definedName name="____x4" localSheetId="7" hidden="1">{#N/A,"PURCHM",FALSE,"Business Analysis";#N/A,"SPADD",FALSE,"Business Analysis"}</definedName>
    <definedName name="____x4" hidden="1">{#N/A,"PURCHM",FALSE,"Business Analysis";#N/A,"SPADD",FALSE,"Business Analysis"}</definedName>
    <definedName name="____x5" localSheetId="3" hidden="1">{#N/A,"PURADD",FALSE,"Business Analysis";#N/A,"PURSPP",FALSE,"Business Analysis";#N/A,"CTGIND",FALSE,"Business Analysis";#N/A,"PURCHM",FALSE,"Business Analysis";#N/A,"SPADD",FALSE,"Business Analysis";#N/A,"EPOXY",FALSE,"Business Analysis";#N/A,"PURPER",FALSE,"Business Analysis"}</definedName>
    <definedName name="____x5" localSheetId="7" hidden="1">{#N/A,"PURADD",FALSE,"Business Analysis";#N/A,"PURSPP",FALSE,"Business Analysis";#N/A,"CTGIND",FALSE,"Business Analysis";#N/A,"PURCHM",FALSE,"Business Analysis";#N/A,"SPADD",FALSE,"Business Analysis";#N/A,"EPOXY",FALSE,"Business Analysis";#N/A,"PURPER",FALSE,"Business Analysis"}</definedName>
    <definedName name="____x5" hidden="1">{#N/A,"PURADD",FALSE,"Business Analysis";#N/A,"PURSPP",FALSE,"Business Analysis";#N/A,"CTGIND",FALSE,"Business Analysis";#N/A,"PURCHM",FALSE,"Business Analysis";#N/A,"SPADD",FALSE,"Business Analysis";#N/A,"EPOXY",FALSE,"Business Analysis";#N/A,"PURPER",FALSE,"Business Analysis"}</definedName>
    <definedName name="____xx10" localSheetId="3" hidden="1">{#N/A,"PURCHM",FALSE,"Business Analysis";#N/A,"SPADD",FALSE,"Business Analysis"}</definedName>
    <definedName name="____xx10" localSheetId="7" hidden="1">{#N/A,"PURCHM",FALSE,"Business Analysis";#N/A,"SPADD",FALSE,"Business Analysis"}</definedName>
    <definedName name="____xx10" hidden="1">{#N/A,"PURCHM",FALSE,"Business Analysis";#N/A,"SPADD",FALSE,"Business Analysis"}</definedName>
    <definedName name="____xx3" localSheetId="3" hidden="1">{"detail",#N/A,FALSE,"mfg";"summary",#N/A,FALSE,"mfg"}</definedName>
    <definedName name="____xx3" localSheetId="7" hidden="1">{"detail",#N/A,FALSE,"mfg";"summary",#N/A,FALSE,"mfg"}</definedName>
    <definedName name="____xx3" hidden="1">{"detail",#N/A,FALSE,"mfg";"summary",#N/A,FALSE,"mfg"}</definedName>
    <definedName name="____xx4" localSheetId="3"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4"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5" localSheetId="3"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5" localSheetId="7"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6" localSheetId="3"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6" localSheetId="7"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7" localSheetId="3" hidden="1">{"oct_res_comm",#N/A,FALSE,"VarToBud"}</definedName>
    <definedName name="____xx7" localSheetId="7" hidden="1">{"oct_res_comm",#N/A,FALSE,"VarToBud"}</definedName>
    <definedName name="____xx7" hidden="1">{"oct_res_comm",#N/A,FALSE,"VarToBud"}</definedName>
    <definedName name="____xx8" localSheetId="3" hidden="1">{"QTR_ACT",#N/A,FALSE,"PROP_PBIT_DEV_Q3";"QTR_BUD",#N/A,FALSE,"PROP_PBIT_DEV_Q3";"YTD_BUD",#N/A,FALSE,"PROP_PBIT_DEV_Q3";"YTD_ACT",#N/A,FALSE,"PROP_PBIT_DEV_Q3";"FY95 SNAP3",#N/A,FALSE,"PROP_PBIT_DEV_Q3";"FY95_BUD",#N/A,FALSE,"PROP_PBIT_DEV_Q3";"FY96_BUD",#N/A,FALSE,"PROP_PBIT_DEV_Q3"}</definedName>
    <definedName name="____xx8" localSheetId="7" hidden="1">{"QTR_ACT",#N/A,FALSE,"PROP_PBIT_DEV_Q3";"QTR_BUD",#N/A,FALSE,"PROP_PBIT_DEV_Q3";"YTD_BUD",#N/A,FALSE,"PROP_PBIT_DEV_Q3";"YTD_ACT",#N/A,FALSE,"PROP_PBIT_DEV_Q3";"FY95 SNAP3",#N/A,FALSE,"PROP_PBIT_DEV_Q3";"FY95_BUD",#N/A,FALSE,"PROP_PBIT_DEV_Q3";"FY96_BUD",#N/A,FALSE,"PROP_PBIT_DEV_Q3"}</definedName>
    <definedName name="____xx8" hidden="1">{"QTR_ACT",#N/A,FALSE,"PROP_PBIT_DEV_Q3";"QTR_BUD",#N/A,FALSE,"PROP_PBIT_DEV_Q3";"YTD_BUD",#N/A,FALSE,"PROP_PBIT_DEV_Q3";"YTD_ACT",#N/A,FALSE,"PROP_PBIT_DEV_Q3";"FY95 SNAP3",#N/A,FALSE,"PROP_PBIT_DEV_Q3";"FY95_BUD",#N/A,FALSE,"PROP_PBIT_DEV_Q3";"FY96_BUD",#N/A,FALSE,"PROP_PBIT_DEV_Q3"}</definedName>
    <definedName name="____xx9" localSheetId="3" hidden="1">{"AS REP",#N/A,FALSE,"EEFSNAP2";"PROP",#N/A,FALSE,"EEFSNAP2";"RISKS",#N/A,FALSE,"EEFSNAP2";"VIEW ALL",#N/A,FALSE,"EEFSNAP2"}</definedName>
    <definedName name="____xx9" localSheetId="7" hidden="1">{"AS REP",#N/A,FALSE,"EEFSNAP2";"PROP",#N/A,FALSE,"EEFSNAP2";"RISKS",#N/A,FALSE,"EEFSNAP2";"VIEW ALL",#N/A,FALSE,"EEFSNAP2"}</definedName>
    <definedName name="____xx9" hidden="1">{"AS REP",#N/A,FALSE,"EEFSNAP2";"PROP",#N/A,FALSE,"EEFSNAP2";"RISKS",#N/A,FALSE,"EEFSNAP2";"VIEW ALL",#N/A,FALSE,"EEFSNAP2"}</definedName>
    <definedName name="____y2" localSheetId="3" hidden="1">{"PVGraph2",#N/A,FALSE,"PV Data"}</definedName>
    <definedName name="____y2" localSheetId="7" hidden="1">{"PVGraph2",#N/A,FALSE,"PV Data"}</definedName>
    <definedName name="____y2" hidden="1">{"PVGraph2",#N/A,FALSE,"PV Data"}</definedName>
    <definedName name="____z12" localSheetId="3" hidden="1">{"pro_view",#N/A,FALSE,"EEFSNAP2";"rep_view",#N/A,FALSE,"EEFSNAP2"}</definedName>
    <definedName name="____z12" localSheetId="7" hidden="1">{"pro_view",#N/A,FALSE,"EEFSNAP2";"rep_view",#N/A,FALSE,"EEFSNAP2"}</definedName>
    <definedName name="____z12" hidden="1">{"pro_view",#N/A,FALSE,"EEFSNAP2";"rep_view",#N/A,FALSE,"EEFSNAP2"}</definedName>
    <definedName name="____z22" localSheetId="3" hidden="1">{#N/A,"PURADD",FALSE,"Business Analysis";#N/A,"PURSPP",FALSE,"Business Analysis";#N/A,"CTGIND",FALSE,"Business Analysis";#N/A,"PURCHM",FALSE,"Business Analysis";#N/A,"SPADD",FALSE,"Business Analysis";#N/A,"EPOXY",FALSE,"Business Analysis";#N/A,"PURPER",FALSE,"Business Analysis"}</definedName>
    <definedName name="____z22" localSheetId="7" hidden="1">{#N/A,"PURADD",FALSE,"Business Analysis";#N/A,"PURSPP",FALSE,"Business Analysis";#N/A,"CTGIND",FALSE,"Business Analysis";#N/A,"PURCHM",FALSE,"Business Analysis";#N/A,"SPADD",FALSE,"Business Analysis";#N/A,"EPOXY",FALSE,"Business Analysis";#N/A,"PURPER",FALSE,"Business Analysis"}</definedName>
    <definedName name="____z22" hidden="1">{#N/A,"PURADD",FALSE,"Business Analysis";#N/A,"PURSPP",FALSE,"Business Analysis";#N/A,"CTGIND",FALSE,"Business Analysis";#N/A,"PURCHM",FALSE,"Business Analysis";#N/A,"SPADD",FALSE,"Business Analysis";#N/A,"EPOXY",FALSE,"Business Analysis";#N/A,"PURPER",FALSE,"Business Analysis"}</definedName>
    <definedName name="____z25" localSheetId="3" hidden="1">{"detail",#N/A,FALSE,"mfg";"summary",#N/A,FALSE,"mfg"}</definedName>
    <definedName name="____z25" localSheetId="7" hidden="1">{"detail",#N/A,FALSE,"mfg";"summary",#N/A,FALSE,"mfg"}</definedName>
    <definedName name="____z25" hidden="1">{"detail",#N/A,FALSE,"mfg";"summary",#N/A,FALSE,"mfg"}</definedName>
    <definedName name="____zz1" localSheetId="3" hidden="1">{"pro_view",#N/A,FALSE,"EEFSNAP2";"rep_view",#N/A,FALSE,"EEFSNAP2"}</definedName>
    <definedName name="____zz1" localSheetId="7" hidden="1">{"pro_view",#N/A,FALSE,"EEFSNAP2";"rep_view",#N/A,FALSE,"EEFSNAP2"}</definedName>
    <definedName name="____zz1" hidden="1">{"pro_view",#N/A,FALSE,"EEFSNAP2";"rep_view",#N/A,FALSE,"EEFSNAP2"}</definedName>
    <definedName name="____zz2" localSheetId="3" hidden="1">{#N/A,"PURADD",FALSE,"Business Analysis";#N/A,"PURSPP",FALSE,"Business Analysis";#N/A,"CTGIND",FALSE,"Business Analysis";#N/A,"PURCHM",FALSE,"Business Analysis";#N/A,"SPADD",FALSE,"Business Analysis";#N/A,"EPOXY",FALSE,"Business Analysis";#N/A,"PURPER",FALSE,"Business Analysis"}</definedName>
    <definedName name="____zz2" localSheetId="7" hidden="1">{#N/A,"PURADD",FALSE,"Business Analysis";#N/A,"PURSPP",FALSE,"Business Analysis";#N/A,"CTGIND",FALSE,"Business Analysis";#N/A,"PURCHM",FALSE,"Business Analysis";#N/A,"SPADD",FALSE,"Business Analysis";#N/A,"EPOXY",FALSE,"Business Analysis";#N/A,"PURPER",FALSE,"Business Analysis"}</definedName>
    <definedName name="____zz2" hidden="1">{#N/A,"PURADD",FALSE,"Business Analysis";#N/A,"PURSPP",FALSE,"Business Analysis";#N/A,"CTGIND",FALSE,"Business Analysis";#N/A,"PURCHM",FALSE,"Business Analysis";#N/A,"SPADD",FALSE,"Business Analysis";#N/A,"EPOXY",FALSE,"Business Analysis";#N/A,"PURPER",FALSE,"Business Analysis"}</definedName>
    <definedName name="___abc1" localSheetId="3" hidden="1">{"detail",#N/A,FALSE,"mfg";"summary",#N/A,FALSE,"mfg"}</definedName>
    <definedName name="___abc1" localSheetId="7" hidden="1">{"detail",#N/A,FALSE,"mfg";"summary",#N/A,FALSE,"mfg"}</definedName>
    <definedName name="___abc1" hidden="1">{"detail",#N/A,FALSE,"mfg";"summary",#N/A,FALSE,"mfg"}</definedName>
    <definedName name="___abc2" localSheetId="3" hidden="1">{"detail",#N/A,FALSE,"mfg";"summary",#N/A,FALSE,"mfg"}</definedName>
    <definedName name="___abc2" localSheetId="7" hidden="1">{"detail",#N/A,FALSE,"mfg";"summary",#N/A,FALSE,"mfg"}</definedName>
    <definedName name="___abc2" hidden="1">{"detail",#N/A,FALSE,"mfg";"summary",#N/A,FALSE,"mfg"}</definedName>
    <definedName name="___q234" hidden="1">#REF!</definedName>
    <definedName name="___s1" hidden="1">#REF!</definedName>
    <definedName name="___s2" hidden="1">#REF!</definedName>
    <definedName name="___s3" hidden="1">#REF!</definedName>
    <definedName name="___s4" hidden="1">#REF!</definedName>
    <definedName name="___s5" hidden="1">#REF!</definedName>
    <definedName name="___s6" hidden="1">#REF!</definedName>
    <definedName name="___z12" localSheetId="3" hidden="1">{"pro_view",#N/A,FALSE,"EEFSNAP2";"rep_view",#N/A,FALSE,"EEFSNAP2"}</definedName>
    <definedName name="___z12" localSheetId="7" hidden="1">{"pro_view",#N/A,FALSE,"EEFSNAP2";"rep_view",#N/A,FALSE,"EEFSNAP2"}</definedName>
    <definedName name="___z12" hidden="1">{"pro_view",#N/A,FALSE,"EEFSNAP2";"rep_view",#N/A,FALSE,"EEFSNAP2"}</definedName>
    <definedName name="___z22" localSheetId="3" hidden="1">{#N/A,"PURADD",FALSE,"Business Analysis";#N/A,"PURSPP",FALSE,"Business Analysis";#N/A,"CTGIND",FALSE,"Business Analysis";#N/A,"PURCHM",FALSE,"Business Analysis";#N/A,"SPADD",FALSE,"Business Analysis";#N/A,"EPOXY",FALSE,"Business Analysis";#N/A,"PURPER",FALSE,"Business Analysis"}</definedName>
    <definedName name="___z22" localSheetId="7" hidden="1">{#N/A,"PURADD",FALSE,"Business Analysis";#N/A,"PURSPP",FALSE,"Business Analysis";#N/A,"CTGIND",FALSE,"Business Analysis";#N/A,"PURCHM",FALSE,"Business Analysis";#N/A,"SPADD",FALSE,"Business Analysis";#N/A,"EPOXY",FALSE,"Business Analysis";#N/A,"PURPER",FALSE,"Business Analysis"}</definedName>
    <definedName name="___z22" hidden="1">{#N/A,"PURADD",FALSE,"Business Analysis";#N/A,"PURSPP",FALSE,"Business Analysis";#N/A,"CTGIND",FALSE,"Business Analysis";#N/A,"PURCHM",FALSE,"Business Analysis";#N/A,"SPADD",FALSE,"Business Analysis";#N/A,"EPOXY",FALSE,"Business Analysis";#N/A,"PURPER",FALSE,"Business Analysis"}</definedName>
    <definedName name="___z25" localSheetId="3" hidden="1">{"detail",#N/A,FALSE,"mfg";"summary",#N/A,FALSE,"mfg"}</definedName>
    <definedName name="___z25" localSheetId="7" hidden="1">{"detail",#N/A,FALSE,"mfg";"summary",#N/A,FALSE,"mfg"}</definedName>
    <definedName name="___z25" hidden="1">{"detail",#N/A,FALSE,"mfg";"summary",#N/A,FALSE,"mfg"}</definedName>
    <definedName name="__123Graph_A" localSheetId="3" hidden="1">#REF!</definedName>
    <definedName name="__123Graph_A" hidden="1">#REF!</definedName>
    <definedName name="__123Graph_AANIDRO" hidden="1">#REF!</definedName>
    <definedName name="__123Graph_AHIALCOOL" hidden="1">#REF!</definedName>
    <definedName name="__123Graph_AHIDRATADO" hidden="1">#REF!</definedName>
    <definedName name="__123Graph_ASACAS" hidden="1">#REF!</definedName>
    <definedName name="__123Graph_ASIDECO" hidden="1">#REF!</definedName>
    <definedName name="__123Graph_B" hidden="1">#REF!</definedName>
    <definedName name="__123Graph_BSIDECO" hidden="1">#REF!</definedName>
    <definedName name="__123Graph_C" hidden="1">#REF!</definedName>
    <definedName name="__123Graph_CSIDECO" hidden="1">#REF!</definedName>
    <definedName name="__123Graph_D" hidden="1">#REF!</definedName>
    <definedName name="__123Graph_E" hidden="1">#REF!</definedName>
    <definedName name="__123Graph_F" hidden="1">#REF!</definedName>
    <definedName name="__123Graph_LBL_A" hidden="1">#REF!</definedName>
    <definedName name="__123Graph_LBL_B" hidden="1">#REF!</definedName>
    <definedName name="__123Graph_LBL_C" hidden="1">#REF!</definedName>
    <definedName name="__123Graph_LBL_D" hidden="1">#REF!</definedName>
    <definedName name="__123Graph_LBL_E" hidden="1">#REF!</definedName>
    <definedName name="__123Graph_LBL_F" hidden="1">#REF!</definedName>
    <definedName name="__123Graph_X" hidden="1">#REF!</definedName>
    <definedName name="__123Graph_XANIDRO" hidden="1">#REF!</definedName>
    <definedName name="__123Graph_XHIALCOOL" hidden="1">#REF!</definedName>
    <definedName name="__123Graph_XHIDRATADO" hidden="1">#REF!</definedName>
    <definedName name="__123Graph_XSACAS" hidden="1">#REF!</definedName>
    <definedName name="__123Graph_XSIDECO" hidden="1">#REF!</definedName>
    <definedName name="__a1" localSheetId="3" hidden="1">{#N/A,#N/A,FALSE,"Pharm";#N/A,#N/A,FALSE,"WWCM"}</definedName>
    <definedName name="__a1" localSheetId="7" hidden="1">{#N/A,#N/A,FALSE,"Pharm";#N/A,#N/A,FALSE,"WWCM"}</definedName>
    <definedName name="__a1" hidden="1">{#N/A,#N/A,FALSE,"Pharm";#N/A,#N/A,FALSE,"WWCM"}</definedName>
    <definedName name="__A11" localSheetId="3" hidden="1">{#N/A,#N/A,FALSE,"Umsatz 99";#N/A,#N/A,FALSE,"ER 99 "}</definedName>
    <definedName name="__A11" localSheetId="7" hidden="1">{#N/A,#N/A,FALSE,"Umsatz 99";#N/A,#N/A,FALSE,"ER 99 "}</definedName>
    <definedName name="__A11" hidden="1">{#N/A,#N/A,FALSE,"Umsatz 99";#N/A,#N/A,FALSE,"ER 99 "}</definedName>
    <definedName name="__aa1" localSheetId="3" hidden="1">{#N/A,"PURADD",FALSE,"Business Analysis";#N/A,"PURSPP",FALSE,"Business Analysis";#N/A,"CTGIND",FALSE,"Business Analysis";#N/A,"PURCHM",FALSE,"Business Analysis";#N/A,"SPADD",FALSE,"Business Analysis";#N/A,"EPOXY",FALSE,"Business Analysis";#N/A,"PURPER",FALSE,"Business Analysis"}</definedName>
    <definedName name="__aa1" localSheetId="7" hidden="1">{#N/A,"PURADD",FALSE,"Business Analysis";#N/A,"PURSPP",FALSE,"Business Analysis";#N/A,"CTGIND",FALSE,"Business Analysis";#N/A,"PURCHM",FALSE,"Business Analysis";#N/A,"SPADD",FALSE,"Business Analysis";#N/A,"EPOXY",FALSE,"Business Analysis";#N/A,"PURPER",FALSE,"Business Analysis"}</definedName>
    <definedName name="__aa1" hidden="1">{#N/A,"PURADD",FALSE,"Business Analysis";#N/A,"PURSPP",FALSE,"Business Analysis";#N/A,"CTGIND",FALSE,"Business Analysis";#N/A,"PURCHM",FALSE,"Business Analysis";#N/A,"SPADD",FALSE,"Business Analysis";#N/A,"EPOXY",FALSE,"Business Analysis";#N/A,"PURPER",FALSE,"Business Analysis"}</definedName>
    <definedName name="__aaa1" localSheetId="3" hidden="1">{#N/A,#N/A,FALSE,"REPORT"}</definedName>
    <definedName name="__aaa1" localSheetId="7" hidden="1">{#N/A,#N/A,FALSE,"REPORT"}</definedName>
    <definedName name="__aaa1" hidden="1">{#N/A,#N/A,FALSE,"REPORT"}</definedName>
    <definedName name="__aas1" localSheetId="3" hidden="1">{#N/A,#N/A,FALSE,"REPORT"}</definedName>
    <definedName name="__aas1" localSheetId="7" hidden="1">{#N/A,#N/A,FALSE,"REPORT"}</definedName>
    <definedName name="__aas1" hidden="1">{#N/A,#N/A,FALSE,"REPORT"}</definedName>
    <definedName name="__abc1" localSheetId="3" hidden="1">{"detail",#N/A,FALSE,"mfg";"summary",#N/A,FALSE,"mfg"}</definedName>
    <definedName name="__abc1" localSheetId="7" hidden="1">{"detail",#N/A,FALSE,"mfg";"summary",#N/A,FALSE,"mfg"}</definedName>
    <definedName name="__abc1" hidden="1">{"detail",#N/A,FALSE,"mfg";"summary",#N/A,FALSE,"mfg"}</definedName>
    <definedName name="__abc2" localSheetId="3" hidden="1">{"detail",#N/A,FALSE,"mfg";"summary",#N/A,FALSE,"mfg"}</definedName>
    <definedName name="__abc2" localSheetId="7" hidden="1">{"detail",#N/A,FALSE,"mfg";"summary",#N/A,FALSE,"mfg"}</definedName>
    <definedName name="__abc2" hidden="1">{"detail",#N/A,FALSE,"mfg";"summary",#N/A,FALSE,"mfg"}</definedName>
    <definedName name="__abc3" localSheetId="3" hidden="1">{"detail",#N/A,FALSE,"mfg";"summary",#N/A,FALSE,"mfg"}</definedName>
    <definedName name="__abc3" localSheetId="7" hidden="1">{"detail",#N/A,FALSE,"mfg";"summary",#N/A,FALSE,"mfg"}</definedName>
    <definedName name="__abc3" hidden="1">{"detail",#N/A,FALSE,"mfg";"summary",#N/A,FALSE,"mfg"}</definedName>
    <definedName name="__ACS2000" localSheetId="3" hidden="1">{#N/A,#N/A,FALSE,"REPORT"}</definedName>
    <definedName name="__ACS2000" localSheetId="7" hidden="1">{#N/A,#N/A,FALSE,"REPORT"}</definedName>
    <definedName name="__ACS2000" hidden="1">{#N/A,#N/A,FALSE,"REPORT"}</definedName>
    <definedName name="__ap2" localSheetId="3" hidden="1">{"detail",#N/A,FALSE,"mfg";"summary",#N/A,FALSE,"mfg"}</definedName>
    <definedName name="__ap2" localSheetId="7" hidden="1">{"detail",#N/A,FALSE,"mfg";"summary",#N/A,FALSE,"mfg"}</definedName>
    <definedName name="__ap2" hidden="1">{"detail",#N/A,FALSE,"mfg";"summary",#N/A,FALSE,"mfg"}</definedName>
    <definedName name="__b111" localSheetId="3" hidden="1">{#N/A,#N/A,FALSE,"Pharm";#N/A,#N/A,FALSE,"WWCM"}</definedName>
    <definedName name="__b111" localSheetId="7" hidden="1">{#N/A,#N/A,FALSE,"Pharm";#N/A,#N/A,FALSE,"WWCM"}</definedName>
    <definedName name="__b111" hidden="1">{#N/A,#N/A,FALSE,"Pharm";#N/A,#N/A,FALSE,"WWCM"}</definedName>
    <definedName name="__b2" localSheetId="3" hidden="1">{"PVGraph2",#N/A,FALSE,"PV Data"}</definedName>
    <definedName name="__b2" localSheetId="7" hidden="1">{"PVGraph2",#N/A,FALSE,"PV Data"}</definedName>
    <definedName name="__b2" hidden="1">{"PVGraph2",#N/A,FALSE,"PV Data"}</definedName>
    <definedName name="__c" localSheetId="3" hidden="1">{"Fiesta Facer Page",#N/A,FALSE,"Q_C_S";"Fiesta Main Page",#N/A,FALSE,"V_L";"Fiesta 95BP Struct",#N/A,FALSE,"StructBP";"Fiesta Post 95BP Struct",#N/A,FALSE,"AdjStructBP"}</definedName>
    <definedName name="__c" localSheetId="7" hidden="1">{"Fiesta Facer Page",#N/A,FALSE,"Q_C_S";"Fiesta Main Page",#N/A,FALSE,"V_L";"Fiesta 95BP Struct",#N/A,FALSE,"StructBP";"Fiesta Post 95BP Struct",#N/A,FALSE,"AdjStructBP"}</definedName>
    <definedName name="__c" hidden="1">{"Fiesta Facer Page",#N/A,FALSE,"Q_C_S";"Fiesta Main Page",#N/A,FALSE,"V_L";"Fiesta 95BP Struct",#N/A,FALSE,"StructBP";"Fiesta Post 95BP Struct",#N/A,FALSE,"AdjStructBP"}</definedName>
    <definedName name="__DRE0700" localSheetId="3" hidden="1">{"'PXR_6500'!$A$1:$I$124"}</definedName>
    <definedName name="__DRE0700" localSheetId="7" hidden="1">{"'PXR_6500'!$A$1:$I$124"}</definedName>
    <definedName name="__DRE0700" hidden="1">{"'PXR_6500'!$A$1:$I$124"}</definedName>
    <definedName name="__dwa1" localSheetId="3" hidden="1">{#N/A,"PURCHM",FALSE,"Business Analysis";#N/A,"SPADD",FALSE,"Business Analysis"}</definedName>
    <definedName name="__dwa1" localSheetId="7" hidden="1">{#N/A,"PURCHM",FALSE,"Business Analysis";#N/A,"SPADD",FALSE,"Business Analysis"}</definedName>
    <definedName name="__dwa1" hidden="1">{#N/A,"PURCHM",FALSE,"Business Analysis";#N/A,"SPADD",FALSE,"Business Analysis"}</definedName>
    <definedName name="__eu93" localSheetId="3" hidden="1">{"Comp_of_Price_Effect",#N/A,FALSE,"QTRDPVAR"}</definedName>
    <definedName name="__eu93" localSheetId="7" hidden="1">{"Comp_of_Price_Effect",#N/A,FALSE,"QTRDPVAR"}</definedName>
    <definedName name="__eu93" hidden="1">{"Comp_of_Price_Effect",#N/A,FALSE,"QTRDPVAR"}</definedName>
    <definedName name="__FDS_HYPERLINK_TOGGLE_STATE__" hidden="1">"ON"</definedName>
    <definedName name="__FDS_UNIQUE_RANGE_ID_GENERATOR_COUNTER" hidden="1">1</definedName>
    <definedName name="__FDS_USED_FOR_REUSING_RANGE_IDS_RECYCLE" localSheetId="3" hidden="1">{152,168,338,189,173,195,158,390,7,11,232,378,159,175,261,183,177,129,8,155,265,394,57}</definedName>
    <definedName name="__FDS_USED_FOR_REUSING_RANGE_IDS_RECYCLE" localSheetId="7" hidden="1">{152,168,338,189,173,195,158,390,7,11,232,378,159,175,261,183,177,129,8,155,265,394,57}</definedName>
    <definedName name="__FDS_USED_FOR_REUSING_RANGE_IDS_RECYCLE" hidden="1">{152,168,338,189,173,195,158,390,7,11,232,378,159,175,261,183,177,129,8,155,265,394,57}</definedName>
    <definedName name="__I2" localSheetId="3" hidden="1">{"PVGraph2",#N/A,FALSE,"PV Data"}</definedName>
    <definedName name="__I2" localSheetId="7" hidden="1">{"PVGraph2",#N/A,FALSE,"PV Data"}</definedName>
    <definedName name="__I2" hidden="1">{"PVGraph2",#N/A,FALSE,"PV Data"}</definedName>
    <definedName name="__I22" localSheetId="3" hidden="1">{"PVGraph2",#N/A,FALSE,"PV Data"}</definedName>
    <definedName name="__I22" localSheetId="7" hidden="1">{"PVGraph2",#N/A,FALSE,"PV Data"}</definedName>
    <definedName name="__I22" hidden="1">{"PVGraph2",#N/A,FALSE,"PV Data"}</definedName>
    <definedName name="__I3" localSheetId="3" hidden="1">{"PVGraph2",#N/A,FALSE,"PV Data"}</definedName>
    <definedName name="__I3" localSheetId="7" hidden="1">{"PVGraph2",#N/A,FALSE,"PV Data"}</definedName>
    <definedName name="__I3" hidden="1">{"PVGraph2",#N/A,FALSE,"PV Data"}</definedName>
    <definedName name="__ICM2000" localSheetId="3" hidden="1">{#N/A,#N/A,TRUE,"ICMAN96 (1)"}</definedName>
    <definedName name="__ICM2000" localSheetId="7" hidden="1">{#N/A,#N/A,TRUE,"ICMAN96 (1)"}</definedName>
    <definedName name="__ICM2000" hidden="1">{#N/A,#N/A,TRUE,"ICMAN96 (1)"}</definedName>
    <definedName name="__ICM2001" localSheetId="3" hidden="1">{#N/A,#N/A,TRUE,"ICMAN96 (1)"}</definedName>
    <definedName name="__ICM2001" localSheetId="7" hidden="1">{#N/A,#N/A,TRUE,"ICMAN96 (1)"}</definedName>
    <definedName name="__ICM2001" hidden="1">{#N/A,#N/A,TRUE,"ICMAN96 (1)"}</definedName>
    <definedName name="__ICM2002" localSheetId="3" hidden="1">{#N/A,#N/A,TRUE,"ICMAN96 (1)"}</definedName>
    <definedName name="__ICM2002" localSheetId="7" hidden="1">{#N/A,#N/A,TRUE,"ICMAN96 (1)"}</definedName>
    <definedName name="__ICM2002" hidden="1">{#N/A,#N/A,TRUE,"ICMAN96 (1)"}</definedName>
    <definedName name="__ICM97" localSheetId="3" hidden="1">{#N/A,#N/A,TRUE,"ICMAN96 (1)"}</definedName>
    <definedName name="__ICM97" localSheetId="7" hidden="1">{#N/A,#N/A,TRUE,"ICMAN96 (1)"}</definedName>
    <definedName name="__ICM97" hidden="1">{#N/A,#N/A,TRUE,"ICMAN96 (1)"}</definedName>
    <definedName name="__II2" localSheetId="3" hidden="1">{"PVGraph2",#N/A,FALSE,"PV Data"}</definedName>
    <definedName name="__II2" localSheetId="7" hidden="1">{"PVGraph2",#N/A,FALSE,"PV Data"}</definedName>
    <definedName name="__II2" hidden="1">{"PVGraph2",#N/A,FALSE,"PV Data"}</definedName>
    <definedName name="__mno9" localSheetId="3" hidden="1">{"detail",#N/A,FALSE,"mfg";"summary",#N/A,FALSE,"mfg"}</definedName>
    <definedName name="__mno9" localSheetId="7" hidden="1">{"detail",#N/A,FALSE,"mfg";"summary",#N/A,FALSE,"mfg"}</definedName>
    <definedName name="__mno9" hidden="1">{"detail",#N/A,FALSE,"mfg";"summary",#N/A,FALSE,"mfg"}</definedName>
    <definedName name="__new1" localSheetId="3" hidden="1">{#N/A,#N/A,FALSE,"Pharm";#N/A,#N/A,FALSE,"WWCM"}</definedName>
    <definedName name="__new1" localSheetId="7" hidden="1">{#N/A,#N/A,FALSE,"Pharm";#N/A,#N/A,FALSE,"WWCM"}</definedName>
    <definedName name="__new1" hidden="1">{#N/A,#N/A,FALSE,"Pharm";#N/A,#N/A,FALSE,"WWCM"}</definedName>
    <definedName name="__q234" hidden="1">#REF!</definedName>
    <definedName name="__r" localSheetId="3" hidden="1">{#N/A,#N/A,FALSE,"Pharm";#N/A,#N/A,FALSE,"WWCM"}</definedName>
    <definedName name="__r" localSheetId="7" hidden="1">{#N/A,#N/A,FALSE,"Pharm";#N/A,#N/A,FALSE,"WWCM"}</definedName>
    <definedName name="__r" hidden="1">{#N/A,#N/A,FALSE,"Pharm";#N/A,#N/A,FALSE,"WWCM"}</definedName>
    <definedName name="__rc" localSheetId="3"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c"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s1" hidden="1">#REF!</definedName>
    <definedName name="__s2" hidden="1">#REF!</definedName>
    <definedName name="__s3" hidden="1">#REF!</definedName>
    <definedName name="__s34" localSheetId="3" hidden="1">{"QTD_GENERALH2",#N/A,FALSE,"QTD"}</definedName>
    <definedName name="__s34" localSheetId="7" hidden="1">{"QTD_GENERALH2",#N/A,FALSE,"QTD"}</definedName>
    <definedName name="__s34" hidden="1">{"QTD_GENERALH2",#N/A,FALSE,"QTD"}</definedName>
    <definedName name="__s4" hidden="1">#REF!</definedName>
    <definedName name="__s5" hidden="1">#REF!</definedName>
    <definedName name="__s6" hidden="1">#REF!</definedName>
    <definedName name="__sd34" localSheetId="3" hidden="1">{"QTD",#N/A,FALSE,"SUM"}</definedName>
    <definedName name="__sd34" localSheetId="7" hidden="1">{"QTD",#N/A,FALSE,"SUM"}</definedName>
    <definedName name="__sd34" hidden="1">{"QTD",#N/A,FALSE,"SUM"}</definedName>
    <definedName name="__tm1" localSheetId="3" hidden="1">{#N/A,#N/A,FALSE,"Pharm";#N/A,#N/A,FALSE,"WWCM"}</definedName>
    <definedName name="__tm1" localSheetId="7" hidden="1">{#N/A,#N/A,FALSE,"Pharm";#N/A,#N/A,FALSE,"WWCM"}</definedName>
    <definedName name="__tm1" hidden="1">{#N/A,#N/A,FALSE,"Pharm";#N/A,#N/A,FALSE,"WWCM"}</definedName>
    <definedName name="__w1" localSheetId="3" hidden="1">{"PVGraph2",#N/A,FALSE,"PV Data"}</definedName>
    <definedName name="__w1" localSheetId="7" hidden="1">{"PVGraph2",#N/A,FALSE,"PV Data"}</definedName>
    <definedName name="__w1" hidden="1">{"PVGraph2",#N/A,FALSE,"PV Data"}</definedName>
    <definedName name="__w2" localSheetId="3" hidden="1">{"PVGraph2",#N/A,FALSE,"PV Data"}</definedName>
    <definedName name="__w2" localSheetId="7" hidden="1">{"PVGraph2",#N/A,FALSE,"PV Data"}</definedName>
    <definedName name="__w2" hidden="1">{"PVGraph2",#N/A,FALSE,"PV Data"}</definedName>
    <definedName name="__w3" localSheetId="3" hidden="1">{"PVGraph2",#N/A,FALSE,"PV Data"}</definedName>
    <definedName name="__w3" localSheetId="7" hidden="1">{"PVGraph2",#N/A,FALSE,"PV Data"}</definedName>
    <definedName name="__w3" hidden="1">{"PVGraph2",#N/A,FALSE,"PV Data"}</definedName>
    <definedName name="__w9" localSheetId="3" hidden="1">{"PVGraph2",#N/A,FALSE,"PV Data"}</definedName>
    <definedName name="__w9" localSheetId="7" hidden="1">{"PVGraph2",#N/A,FALSE,"PV Data"}</definedName>
    <definedName name="__w9" hidden="1">{"PVGraph2",#N/A,FALSE,"PV Data"}</definedName>
    <definedName name="__x1" localSheetId="3" hidden="1">{"detail",#N/A,FALSE,"mfg";"summary",#N/A,FALSE,"mfg"}</definedName>
    <definedName name="__x1" localSheetId="7" hidden="1">{"detail",#N/A,FALSE,"mfg";"summary",#N/A,FALSE,"mfg"}</definedName>
    <definedName name="__x1" hidden="1">{"detail",#N/A,FALSE,"mfg";"summary",#N/A,FALSE,"mfg"}</definedName>
    <definedName name="__X2" localSheetId="3" hidden="1">{#N/A,#N/A,FALSE,"Other";#N/A,#N/A,FALSE,"Ace";#N/A,#N/A,FALSE,"Derm"}</definedName>
    <definedName name="__X2" localSheetId="7" hidden="1">{#N/A,#N/A,FALSE,"Other";#N/A,#N/A,FALSE,"Ace";#N/A,#N/A,FALSE,"Derm"}</definedName>
    <definedName name="__X2" hidden="1">{#N/A,#N/A,FALSE,"Other";#N/A,#N/A,FALSE,"Ace";#N/A,#N/A,FALSE,"Derm"}</definedName>
    <definedName name="__x3" localSheetId="3" hidden="1">{"detail",#N/A,FALSE,"mfg";"summary",#N/A,FALSE,"mfg"}</definedName>
    <definedName name="__x3" localSheetId="7" hidden="1">{"detail",#N/A,FALSE,"mfg";"summary",#N/A,FALSE,"mfg"}</definedName>
    <definedName name="__x3" hidden="1">{"detail",#N/A,FALSE,"mfg";"summary",#N/A,FALSE,"mfg"}</definedName>
    <definedName name="__x4" localSheetId="3" hidden="1">{#N/A,"PURCHM",FALSE,"Business Analysis";#N/A,"SPADD",FALSE,"Business Analysis"}</definedName>
    <definedName name="__x4" localSheetId="7" hidden="1">{#N/A,"PURCHM",FALSE,"Business Analysis";#N/A,"SPADD",FALSE,"Business Analysis"}</definedName>
    <definedName name="__x4" hidden="1">{#N/A,"PURCHM",FALSE,"Business Analysis";#N/A,"SPADD",FALSE,"Business Analysis"}</definedName>
    <definedName name="__x5" localSheetId="3" hidden="1">{#N/A,"PURADD",FALSE,"Business Analysis";#N/A,"PURSPP",FALSE,"Business Analysis";#N/A,"CTGIND",FALSE,"Business Analysis";#N/A,"PURCHM",FALSE,"Business Analysis";#N/A,"SPADD",FALSE,"Business Analysis";#N/A,"EPOXY",FALSE,"Business Analysis";#N/A,"PURPER",FALSE,"Business Analysis"}</definedName>
    <definedName name="__x5" localSheetId="7" hidden="1">{#N/A,"PURADD",FALSE,"Business Analysis";#N/A,"PURSPP",FALSE,"Business Analysis";#N/A,"CTGIND",FALSE,"Business Analysis";#N/A,"PURCHM",FALSE,"Business Analysis";#N/A,"SPADD",FALSE,"Business Analysis";#N/A,"EPOXY",FALSE,"Business Analysis";#N/A,"PURPER",FALSE,"Business Analysis"}</definedName>
    <definedName name="__x5" hidden="1">{#N/A,"PURADD",FALSE,"Business Analysis";#N/A,"PURSPP",FALSE,"Business Analysis";#N/A,"CTGIND",FALSE,"Business Analysis";#N/A,"PURCHM",FALSE,"Business Analysis";#N/A,"SPADD",FALSE,"Business Analysis";#N/A,"EPOXY",FALSE,"Business Analysis";#N/A,"PURPER",FALSE,"Business Analysis"}</definedName>
    <definedName name="__xx10" localSheetId="3" hidden="1">{#N/A,"PURCHM",FALSE,"Business Analysis";#N/A,"SPADD",FALSE,"Business Analysis"}</definedName>
    <definedName name="__xx10" localSheetId="7" hidden="1">{#N/A,"PURCHM",FALSE,"Business Analysis";#N/A,"SPADD",FALSE,"Business Analysis"}</definedName>
    <definedName name="__xx10" hidden="1">{#N/A,"PURCHM",FALSE,"Business Analysis";#N/A,"SPADD",FALSE,"Business Analysis"}</definedName>
    <definedName name="__xx3" localSheetId="3" hidden="1">{"detail",#N/A,FALSE,"mfg";"summary",#N/A,FALSE,"mfg"}</definedName>
    <definedName name="__xx3" localSheetId="7" hidden="1">{"detail",#N/A,FALSE,"mfg";"summary",#N/A,FALSE,"mfg"}</definedName>
    <definedName name="__xx3" hidden="1">{"detail",#N/A,FALSE,"mfg";"summary",#N/A,FALSE,"mfg"}</definedName>
    <definedName name="__xx4" localSheetId="3"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4"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5" localSheetId="3"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5" localSheetId="7"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6" localSheetId="3"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6" localSheetId="7"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7" localSheetId="3" hidden="1">{"oct_res_comm",#N/A,FALSE,"VarToBud"}</definedName>
    <definedName name="__xx7" localSheetId="7" hidden="1">{"oct_res_comm",#N/A,FALSE,"VarToBud"}</definedName>
    <definedName name="__xx7" hidden="1">{"oct_res_comm",#N/A,FALSE,"VarToBud"}</definedName>
    <definedName name="__xx8" localSheetId="3" hidden="1">{"QTR_ACT",#N/A,FALSE,"PROP_PBIT_DEV_Q3";"QTR_BUD",#N/A,FALSE,"PROP_PBIT_DEV_Q3";"YTD_BUD",#N/A,FALSE,"PROP_PBIT_DEV_Q3";"YTD_ACT",#N/A,FALSE,"PROP_PBIT_DEV_Q3";"FY95 SNAP3",#N/A,FALSE,"PROP_PBIT_DEV_Q3";"FY95_BUD",#N/A,FALSE,"PROP_PBIT_DEV_Q3";"FY96_BUD",#N/A,FALSE,"PROP_PBIT_DEV_Q3"}</definedName>
    <definedName name="__xx8" localSheetId="7" hidden="1">{"QTR_ACT",#N/A,FALSE,"PROP_PBIT_DEV_Q3";"QTR_BUD",#N/A,FALSE,"PROP_PBIT_DEV_Q3";"YTD_BUD",#N/A,FALSE,"PROP_PBIT_DEV_Q3";"YTD_ACT",#N/A,FALSE,"PROP_PBIT_DEV_Q3";"FY95 SNAP3",#N/A,FALSE,"PROP_PBIT_DEV_Q3";"FY95_BUD",#N/A,FALSE,"PROP_PBIT_DEV_Q3";"FY96_BUD",#N/A,FALSE,"PROP_PBIT_DEV_Q3"}</definedName>
    <definedName name="__xx8" hidden="1">{"QTR_ACT",#N/A,FALSE,"PROP_PBIT_DEV_Q3";"QTR_BUD",#N/A,FALSE,"PROP_PBIT_DEV_Q3";"YTD_BUD",#N/A,FALSE,"PROP_PBIT_DEV_Q3";"YTD_ACT",#N/A,FALSE,"PROP_PBIT_DEV_Q3";"FY95 SNAP3",#N/A,FALSE,"PROP_PBIT_DEV_Q3";"FY95_BUD",#N/A,FALSE,"PROP_PBIT_DEV_Q3";"FY96_BUD",#N/A,FALSE,"PROP_PBIT_DEV_Q3"}</definedName>
    <definedName name="__xx9" localSheetId="3" hidden="1">{"AS REP",#N/A,FALSE,"EEFSNAP2";"PROP",#N/A,FALSE,"EEFSNAP2";"RISKS",#N/A,FALSE,"EEFSNAP2";"VIEW ALL",#N/A,FALSE,"EEFSNAP2"}</definedName>
    <definedName name="__xx9" localSheetId="7" hidden="1">{"AS REP",#N/A,FALSE,"EEFSNAP2";"PROP",#N/A,FALSE,"EEFSNAP2";"RISKS",#N/A,FALSE,"EEFSNAP2";"VIEW ALL",#N/A,FALSE,"EEFSNAP2"}</definedName>
    <definedName name="__xx9" hidden="1">{"AS REP",#N/A,FALSE,"EEFSNAP2";"PROP",#N/A,FALSE,"EEFSNAP2";"RISKS",#N/A,FALSE,"EEFSNAP2";"VIEW ALL",#N/A,FALSE,"EEFSNAP2"}</definedName>
    <definedName name="__y2" localSheetId="3" hidden="1">{"PVGraph2",#N/A,FALSE,"PV Data"}</definedName>
    <definedName name="__y2" localSheetId="7" hidden="1">{"PVGraph2",#N/A,FALSE,"PV Data"}</definedName>
    <definedName name="__y2" hidden="1">{"PVGraph2",#N/A,FALSE,"PV Data"}</definedName>
    <definedName name="__z12" localSheetId="3" hidden="1">{"pro_view",#N/A,FALSE,"EEFSNAP2";"rep_view",#N/A,FALSE,"EEFSNAP2"}</definedName>
    <definedName name="__z12" localSheetId="7" hidden="1">{"pro_view",#N/A,FALSE,"EEFSNAP2";"rep_view",#N/A,FALSE,"EEFSNAP2"}</definedName>
    <definedName name="__z12" hidden="1">{"pro_view",#N/A,FALSE,"EEFSNAP2";"rep_view",#N/A,FALSE,"EEFSNAP2"}</definedName>
    <definedName name="__z22" localSheetId="3" hidden="1">{#N/A,"PURADD",FALSE,"Business Analysis";#N/A,"PURSPP",FALSE,"Business Analysis";#N/A,"CTGIND",FALSE,"Business Analysis";#N/A,"PURCHM",FALSE,"Business Analysis";#N/A,"SPADD",FALSE,"Business Analysis";#N/A,"EPOXY",FALSE,"Business Analysis";#N/A,"PURPER",FALSE,"Business Analysis"}</definedName>
    <definedName name="__z22" localSheetId="7" hidden="1">{#N/A,"PURADD",FALSE,"Business Analysis";#N/A,"PURSPP",FALSE,"Business Analysis";#N/A,"CTGIND",FALSE,"Business Analysis";#N/A,"PURCHM",FALSE,"Business Analysis";#N/A,"SPADD",FALSE,"Business Analysis";#N/A,"EPOXY",FALSE,"Business Analysis";#N/A,"PURPER",FALSE,"Business Analysis"}</definedName>
    <definedName name="__z22" hidden="1">{#N/A,"PURADD",FALSE,"Business Analysis";#N/A,"PURSPP",FALSE,"Business Analysis";#N/A,"CTGIND",FALSE,"Business Analysis";#N/A,"PURCHM",FALSE,"Business Analysis";#N/A,"SPADD",FALSE,"Business Analysis";#N/A,"EPOXY",FALSE,"Business Analysis";#N/A,"PURPER",FALSE,"Business Analysis"}</definedName>
    <definedName name="__z25" localSheetId="3" hidden="1">{"detail",#N/A,FALSE,"mfg";"summary",#N/A,FALSE,"mfg"}</definedName>
    <definedName name="__z25" localSheetId="7" hidden="1">{"detail",#N/A,FALSE,"mfg";"summary",#N/A,FALSE,"mfg"}</definedName>
    <definedName name="__z25" hidden="1">{"detail",#N/A,FALSE,"mfg";"summary",#N/A,FALSE,"mfg"}</definedName>
    <definedName name="__zz1" localSheetId="3" hidden="1">{"pro_view",#N/A,FALSE,"EEFSNAP2";"rep_view",#N/A,FALSE,"EEFSNAP2"}</definedName>
    <definedName name="__zz1" localSheetId="7" hidden="1">{"pro_view",#N/A,FALSE,"EEFSNAP2";"rep_view",#N/A,FALSE,"EEFSNAP2"}</definedName>
    <definedName name="__zz1" hidden="1">{"pro_view",#N/A,FALSE,"EEFSNAP2";"rep_view",#N/A,FALSE,"EEFSNAP2"}</definedName>
    <definedName name="__zz2" localSheetId="3" hidden="1">{#N/A,"PURADD",FALSE,"Business Analysis";#N/A,"PURSPP",FALSE,"Business Analysis";#N/A,"CTGIND",FALSE,"Business Analysis";#N/A,"PURCHM",FALSE,"Business Analysis";#N/A,"SPADD",FALSE,"Business Analysis";#N/A,"EPOXY",FALSE,"Business Analysis";#N/A,"PURPER",FALSE,"Business Analysis"}</definedName>
    <definedName name="__zz2" localSheetId="7" hidden="1">{#N/A,"PURADD",FALSE,"Business Analysis";#N/A,"PURSPP",FALSE,"Business Analysis";#N/A,"CTGIND",FALSE,"Business Analysis";#N/A,"PURCHM",FALSE,"Business Analysis";#N/A,"SPADD",FALSE,"Business Analysis";#N/A,"EPOXY",FALSE,"Business Analysis";#N/A,"PURPER",FALSE,"Business Analysis"}</definedName>
    <definedName name="__zz2" hidden="1">{#N/A,"PURADD",FALSE,"Business Analysis";#N/A,"PURSPP",FALSE,"Business Analysis";#N/A,"CTGIND",FALSE,"Business Analysis";#N/A,"PURCHM",FALSE,"Business Analysis";#N/A,"SPADD",FALSE,"Business Analysis";#N/A,"EPOXY",FALSE,"Business Analysis";#N/A,"PURPER",FALSE,"Business Analysis"}</definedName>
    <definedName name="_1__FDSAUDITLINK__" localSheetId="3" hidden="1">{"fdsup://Directions/FactSet Auditing Viewer?action=AUDIT_VALUE&amp;DB=129&amp;ID1=B014K5&amp;VALUEID=05194&amp;SDATE=201201&amp;PERIODTYPE=QTR_STD&amp;SCFT=3&amp;window=popup_no_bar&amp;width=385&amp;height=120&amp;START_MAXIMIZED=FALSE&amp;creator=factset&amp;display_string=Audit"}</definedName>
    <definedName name="_1__FDSAUDITLINK__" localSheetId="7" hidden="1">{"fdsup://Directions/FactSet Auditing Viewer?action=AUDIT_VALUE&amp;DB=129&amp;ID1=B014K5&amp;VALUEID=05194&amp;SDATE=201201&amp;PERIODTYPE=QTR_STD&amp;SCFT=3&amp;window=popup_no_bar&amp;width=385&amp;height=120&amp;START_MAXIMIZED=FALSE&amp;creator=factset&amp;display_string=Audit"}</definedName>
    <definedName name="_1__FDSAUDITLINK__" hidden="1">{"fdsup://Directions/FactSet Auditing Viewer?action=AUDIT_VALUE&amp;DB=129&amp;ID1=B014K5&amp;VALUEID=05194&amp;SDATE=201201&amp;PERIODTYPE=QTR_STD&amp;SCFT=3&amp;window=popup_no_bar&amp;width=385&amp;height=120&amp;START_MAXIMIZED=FALSE&amp;creator=factset&amp;display_string=Audit"}</definedName>
    <definedName name="_1_0_S" hidden="1">#REF!</definedName>
    <definedName name="_10__FDSAUDITLINK__" localSheetId="3" hidden="1">{"fdsup://Directions/FactSet Auditing Viewer?action=AUDIT_VALUE&amp;DB=129&amp;ID1=B0TQDD&amp;VALUEID=01001&amp;SDATE=2009&amp;PERIODTYPE=ANN_STD&amp;SCFT=3&amp;window=popup_no_bar&amp;width=385&amp;height=120&amp;START_MAXIMIZED=FALSE&amp;creator=factset&amp;display_string=Audit"}</definedName>
    <definedName name="_10__FDSAUDITLINK__" localSheetId="7" hidden="1">{"fdsup://Directions/FactSet Auditing Viewer?action=AUDIT_VALUE&amp;DB=129&amp;ID1=B0TQDD&amp;VALUEID=01001&amp;SDATE=2009&amp;PERIODTYPE=ANN_STD&amp;SCFT=3&amp;window=popup_no_bar&amp;width=385&amp;height=120&amp;START_MAXIMIZED=FALSE&amp;creator=factset&amp;display_string=Audit"}</definedName>
    <definedName name="_10__FDSAUDITLINK__" hidden="1">{"fdsup://Directions/FactSet Auditing Viewer?action=AUDIT_VALUE&amp;DB=129&amp;ID1=B0TQDD&amp;VALUEID=01001&amp;SDATE=2009&amp;PERIODTYPE=ANN_STD&amp;SCFT=3&amp;window=popup_no_bar&amp;width=385&amp;height=120&amp;START_MAXIMIZED=FALSE&amp;creator=factset&amp;display_string=Audit"}</definedName>
    <definedName name="_100__FDSAUDITLINK__" localSheetId="3" hidden="1">{"fdsup://Directions/FactSet Auditing Viewer?action=AUDIT_VALUE&amp;DB=129&amp;ID1=B10LQP&amp;VALUEID=03101&amp;SDATE=2010&amp;PERIODTYPE=ANN_STD&amp;SCFT=3&amp;window=popup_no_bar&amp;width=385&amp;height=120&amp;START_MAXIMIZED=FALSE&amp;creator=factset&amp;display_string=Audit"}</definedName>
    <definedName name="_100__FDSAUDITLINK__" localSheetId="7" hidden="1">{"fdsup://Directions/FactSet Auditing Viewer?action=AUDIT_VALUE&amp;DB=129&amp;ID1=B10LQP&amp;VALUEID=03101&amp;SDATE=2010&amp;PERIODTYPE=ANN_STD&amp;SCFT=3&amp;window=popup_no_bar&amp;width=385&amp;height=120&amp;START_MAXIMIZED=FALSE&amp;creator=factset&amp;display_string=Audit"}</definedName>
    <definedName name="_100__FDSAUDITLINK__" hidden="1">{"fdsup://Directions/FactSet Auditing Viewer?action=AUDIT_VALUE&amp;DB=129&amp;ID1=B10LQP&amp;VALUEID=03101&amp;SDATE=2010&amp;PERIODTYPE=ANN_STD&amp;SCFT=3&amp;window=popup_no_bar&amp;width=385&amp;height=120&amp;START_MAXIMIZED=FALSE&amp;creator=factset&amp;display_string=Audit"}</definedName>
    <definedName name="_100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0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0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0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0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0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02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02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02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03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03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03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0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0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0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0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0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0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0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0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0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0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0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0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08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08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08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09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09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09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1__FDSAUDITLINK__" localSheetId="3" hidden="1">{"fdsup://directions/FAT Viewer?action=UPDATE&amp;creator=factset&amp;DYN_ARGS=TRUE&amp;DOC_NAME=FAT:FQL_AUDITING_CLIENT_TEMPLATE.FAT&amp;display_string=Audit&amp;VAR:KEY=TOBWNQDQJC&amp;VAR:QUERY=RkZfU0FMRVNfUFMoQU5OLDAsLTksWSxSUCxVU0QsTSk=&amp;WINDOW=FIRST_POPUP&amp;HEIGHT=450&amp;WIDTH=450&amp;","START_MAXIMIZED=FALSE&amp;VAR:CALENDAR=US&amp;VAR:SYMBOL=B10LQP&amp;VAR:INDEX=7"}</definedName>
    <definedName name="_101__FDSAUDITLINK__" localSheetId="7" hidden="1">{"fdsup://directions/FAT Viewer?action=UPDATE&amp;creator=factset&amp;DYN_ARGS=TRUE&amp;DOC_NAME=FAT:FQL_AUDITING_CLIENT_TEMPLATE.FAT&amp;display_string=Audit&amp;VAR:KEY=TOBWNQDQJC&amp;VAR:QUERY=RkZfU0FMRVNfUFMoQU5OLDAsLTksWSxSUCxVU0QsTSk=&amp;WINDOW=FIRST_POPUP&amp;HEIGHT=450&amp;WIDTH=450&amp;","START_MAXIMIZED=FALSE&amp;VAR:CALENDAR=US&amp;VAR:SYMBOL=B10LQP&amp;VAR:INDEX=7"}</definedName>
    <definedName name="_101__FDSAUDITLINK__" hidden="1">{"fdsup://directions/FAT Viewer?action=UPDATE&amp;creator=factset&amp;DYN_ARGS=TRUE&amp;DOC_NAME=FAT:FQL_AUDITING_CLIENT_TEMPLATE.FAT&amp;display_string=Audit&amp;VAR:KEY=TOBWNQDQJC&amp;VAR:QUERY=RkZfU0FMRVNfUFMoQU5OLDAsLTksWSxSUCxVU0QsTSk=&amp;WINDOW=FIRST_POPUP&amp;HEIGHT=450&amp;WIDTH=450&amp;","START_MAXIMIZED=FALSE&amp;VAR:CALENDAR=US&amp;VAR:SYMBOL=B10LQP&amp;VAR:INDEX=7"}</definedName>
    <definedName name="_101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1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1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1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1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1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1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1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1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1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1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1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14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14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14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15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15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15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1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1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1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1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1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1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1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1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1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1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1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1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2__FDSAUDITLINK__" localSheetId="3" hidden="1">{"fdsup://directions/FAT Viewer?action=UPDATE&amp;creator=factset&amp;DYN_ARGS=TRUE&amp;DOC_NAME=FAT:FQL_AUDITING_CLIENT_TEMPLATE.FAT&amp;display_string=Audit&amp;VAR:KEY=TOBWNQDQJC&amp;VAR:QUERY=RkZfU0FMRVNfUFMoQU5OLDAsLTksWSxSUCxVU0QsTSk=&amp;WINDOW=FIRST_POPUP&amp;HEIGHT=450&amp;WIDTH=450&amp;","START_MAXIMIZED=FALSE&amp;VAR:CALENDAR=US&amp;VAR:SYMBOL=B10LQP&amp;VAR:INDEX=6"}</definedName>
    <definedName name="_102__FDSAUDITLINK__" localSheetId="7" hidden="1">{"fdsup://directions/FAT Viewer?action=UPDATE&amp;creator=factset&amp;DYN_ARGS=TRUE&amp;DOC_NAME=FAT:FQL_AUDITING_CLIENT_TEMPLATE.FAT&amp;display_string=Audit&amp;VAR:KEY=TOBWNQDQJC&amp;VAR:QUERY=RkZfU0FMRVNfUFMoQU5OLDAsLTksWSxSUCxVU0QsTSk=&amp;WINDOW=FIRST_POPUP&amp;HEIGHT=450&amp;WIDTH=450&amp;","START_MAXIMIZED=FALSE&amp;VAR:CALENDAR=US&amp;VAR:SYMBOL=B10LQP&amp;VAR:INDEX=6"}</definedName>
    <definedName name="_102__FDSAUDITLINK__" hidden="1">{"fdsup://directions/FAT Viewer?action=UPDATE&amp;creator=factset&amp;DYN_ARGS=TRUE&amp;DOC_NAME=FAT:FQL_AUDITING_CLIENT_TEMPLATE.FAT&amp;display_string=Audit&amp;VAR:KEY=TOBWNQDQJC&amp;VAR:QUERY=RkZfU0FMRVNfUFMoQU5OLDAsLTksWSxSUCxVU0QsTSk=&amp;WINDOW=FIRST_POPUP&amp;HEIGHT=450&amp;WIDTH=450&amp;","START_MAXIMIZED=FALSE&amp;VAR:CALENDAR=US&amp;VAR:SYMBOL=B10LQP&amp;VAR:INDEX=6"}</definedName>
    <definedName name="_1020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20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20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21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21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21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2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2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2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2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2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2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2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2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2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2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2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2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26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26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26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27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27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27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2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2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2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2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2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2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3__FDSAUDITLINK__" localSheetId="3" hidden="1">{"fdsup://directions/FAT Viewer?action=UPDATE&amp;creator=factset&amp;DYN_ARGS=TRUE&amp;DOC_NAME=FAT:FQL_AUDITING_CLIENT_TEMPLATE.FAT&amp;display_string=Audit&amp;VAR:KEY=TOBWNQDQJC&amp;VAR:QUERY=RkZfU0FMRVNfUFMoQU5OLDAsLTksWSxSUCxVU0QsTSk=&amp;WINDOW=FIRST_POPUP&amp;HEIGHT=450&amp;WIDTH=450&amp;","START_MAXIMIZED=FALSE&amp;VAR:CALENDAR=US&amp;VAR:SYMBOL=B10LQP&amp;VAR:INDEX=5"}</definedName>
    <definedName name="_103__FDSAUDITLINK__" localSheetId="7" hidden="1">{"fdsup://directions/FAT Viewer?action=UPDATE&amp;creator=factset&amp;DYN_ARGS=TRUE&amp;DOC_NAME=FAT:FQL_AUDITING_CLIENT_TEMPLATE.FAT&amp;display_string=Audit&amp;VAR:KEY=TOBWNQDQJC&amp;VAR:QUERY=RkZfU0FMRVNfUFMoQU5OLDAsLTksWSxSUCxVU0QsTSk=&amp;WINDOW=FIRST_POPUP&amp;HEIGHT=450&amp;WIDTH=450&amp;","START_MAXIMIZED=FALSE&amp;VAR:CALENDAR=US&amp;VAR:SYMBOL=B10LQP&amp;VAR:INDEX=5"}</definedName>
    <definedName name="_103__FDSAUDITLINK__" hidden="1">{"fdsup://directions/FAT Viewer?action=UPDATE&amp;creator=factset&amp;DYN_ARGS=TRUE&amp;DOC_NAME=FAT:FQL_AUDITING_CLIENT_TEMPLATE.FAT&amp;display_string=Audit&amp;VAR:KEY=TOBWNQDQJC&amp;VAR:QUERY=RkZfU0FMRVNfUFMoQU5OLDAsLTksWSxSUCxVU0QsTSk=&amp;WINDOW=FIRST_POPUP&amp;HEIGHT=450&amp;WIDTH=450&amp;","START_MAXIMIZED=FALSE&amp;VAR:CALENDAR=US&amp;VAR:SYMBOL=B10LQP&amp;VAR:INDEX=5"}</definedName>
    <definedName name="_103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3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3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3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3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3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32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32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32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33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33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33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3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3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3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3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3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3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3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3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3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3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3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3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38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38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38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39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39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39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4__FDSAUDITLINK__" localSheetId="3" hidden="1">{"fdsup://directions/FAT Viewer?action=UPDATE&amp;creator=factset&amp;DYN_ARGS=TRUE&amp;DOC_NAME=FAT:FQL_AUDITING_CLIENT_TEMPLATE.FAT&amp;display_string=Audit&amp;VAR:KEY=TOBWNQDQJC&amp;VAR:QUERY=RkZfU0FMRVNfUFMoQU5OLDAsLTksWSxSUCxVU0QsTSk=&amp;WINDOW=FIRST_POPUP&amp;HEIGHT=450&amp;WIDTH=450&amp;","START_MAXIMIZED=FALSE&amp;VAR:CALENDAR=US&amp;VAR:SYMBOL=B10LQP&amp;VAR:INDEX=4"}</definedName>
    <definedName name="_104__FDSAUDITLINK__" localSheetId="7" hidden="1">{"fdsup://directions/FAT Viewer?action=UPDATE&amp;creator=factset&amp;DYN_ARGS=TRUE&amp;DOC_NAME=FAT:FQL_AUDITING_CLIENT_TEMPLATE.FAT&amp;display_string=Audit&amp;VAR:KEY=TOBWNQDQJC&amp;VAR:QUERY=RkZfU0FMRVNfUFMoQU5OLDAsLTksWSxSUCxVU0QsTSk=&amp;WINDOW=FIRST_POPUP&amp;HEIGHT=450&amp;WIDTH=450&amp;","START_MAXIMIZED=FALSE&amp;VAR:CALENDAR=US&amp;VAR:SYMBOL=B10LQP&amp;VAR:INDEX=4"}</definedName>
    <definedName name="_104__FDSAUDITLINK__" hidden="1">{"fdsup://directions/FAT Viewer?action=UPDATE&amp;creator=factset&amp;DYN_ARGS=TRUE&amp;DOC_NAME=FAT:FQL_AUDITING_CLIENT_TEMPLATE.FAT&amp;display_string=Audit&amp;VAR:KEY=TOBWNQDQJC&amp;VAR:QUERY=RkZfU0FMRVNfUFMoQU5OLDAsLTksWSxSUCxVU0QsTSk=&amp;WINDOW=FIRST_POPUP&amp;HEIGHT=450&amp;WIDTH=450&amp;","START_MAXIMIZED=FALSE&amp;VAR:CALENDAR=US&amp;VAR:SYMBOL=B10LQP&amp;VAR:INDEX=4"}</definedName>
    <definedName name="_104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4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4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4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4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4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4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4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4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4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4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4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44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44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44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45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45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45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4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4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4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4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4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4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4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4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4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4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4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4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5__FDSAUDITLINK__" localSheetId="3" hidden="1">{"fdsup://directions/FAT Viewer?action=UPDATE&amp;creator=factset&amp;DYN_ARGS=TRUE&amp;DOC_NAME=FAT:FQL_AUDITING_CLIENT_TEMPLATE.FAT&amp;display_string=Audit&amp;VAR:KEY=TOBWNQDQJC&amp;VAR:QUERY=RkZfU0FMRVNfUFMoQU5OLDAsLTksWSxSUCxVU0QsTSk=&amp;WINDOW=FIRST_POPUP&amp;HEIGHT=450&amp;WIDTH=450&amp;","START_MAXIMIZED=FALSE&amp;VAR:CALENDAR=US&amp;VAR:SYMBOL=B10LQP&amp;VAR:INDEX=3"}</definedName>
    <definedName name="_105__FDSAUDITLINK__" localSheetId="7" hidden="1">{"fdsup://directions/FAT Viewer?action=UPDATE&amp;creator=factset&amp;DYN_ARGS=TRUE&amp;DOC_NAME=FAT:FQL_AUDITING_CLIENT_TEMPLATE.FAT&amp;display_string=Audit&amp;VAR:KEY=TOBWNQDQJC&amp;VAR:QUERY=RkZfU0FMRVNfUFMoQU5OLDAsLTksWSxSUCxVU0QsTSk=&amp;WINDOW=FIRST_POPUP&amp;HEIGHT=450&amp;WIDTH=450&amp;","START_MAXIMIZED=FALSE&amp;VAR:CALENDAR=US&amp;VAR:SYMBOL=B10LQP&amp;VAR:INDEX=3"}</definedName>
    <definedName name="_105__FDSAUDITLINK__" hidden="1">{"fdsup://directions/FAT Viewer?action=UPDATE&amp;creator=factset&amp;DYN_ARGS=TRUE&amp;DOC_NAME=FAT:FQL_AUDITING_CLIENT_TEMPLATE.FAT&amp;display_string=Audit&amp;VAR:KEY=TOBWNQDQJC&amp;VAR:QUERY=RkZfU0FMRVNfUFMoQU5OLDAsLTksWSxSUCxVU0QsTSk=&amp;WINDOW=FIRST_POPUP&amp;HEIGHT=450&amp;WIDTH=450&amp;","START_MAXIMIZED=FALSE&amp;VAR:CALENDAR=US&amp;VAR:SYMBOL=B10LQP&amp;VAR:INDEX=3"}</definedName>
    <definedName name="_1050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50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50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51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51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51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5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5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5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5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5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5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5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5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5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5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5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5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56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56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56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57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57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57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5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5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5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5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5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5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6__FDSAUDITLINK__" localSheetId="3" hidden="1">{"fdsup://directions/FAT Viewer?action=UPDATE&amp;creator=factset&amp;DYN_ARGS=TRUE&amp;DOC_NAME=FAT:FQL_AUDITING_CLIENT_TEMPLATE.FAT&amp;display_string=Audit&amp;VAR:KEY=TOBWNQDQJC&amp;VAR:QUERY=RkZfU0FMRVNfUFMoQU5OLDAsLTksWSxSUCxVU0QsTSk=&amp;WINDOW=FIRST_POPUP&amp;HEIGHT=450&amp;WIDTH=450&amp;","START_MAXIMIZED=FALSE&amp;VAR:CALENDAR=US&amp;VAR:SYMBOL=B10LQP&amp;VAR:INDEX=2"}</definedName>
    <definedName name="_106__FDSAUDITLINK__" localSheetId="7" hidden="1">{"fdsup://directions/FAT Viewer?action=UPDATE&amp;creator=factset&amp;DYN_ARGS=TRUE&amp;DOC_NAME=FAT:FQL_AUDITING_CLIENT_TEMPLATE.FAT&amp;display_string=Audit&amp;VAR:KEY=TOBWNQDQJC&amp;VAR:QUERY=RkZfU0FMRVNfUFMoQU5OLDAsLTksWSxSUCxVU0QsTSk=&amp;WINDOW=FIRST_POPUP&amp;HEIGHT=450&amp;WIDTH=450&amp;","START_MAXIMIZED=FALSE&amp;VAR:CALENDAR=US&amp;VAR:SYMBOL=B10LQP&amp;VAR:INDEX=2"}</definedName>
    <definedName name="_106__FDSAUDITLINK__" hidden="1">{"fdsup://directions/FAT Viewer?action=UPDATE&amp;creator=factset&amp;DYN_ARGS=TRUE&amp;DOC_NAME=FAT:FQL_AUDITING_CLIENT_TEMPLATE.FAT&amp;display_string=Audit&amp;VAR:KEY=TOBWNQDQJC&amp;VAR:QUERY=RkZfU0FMRVNfUFMoQU5OLDAsLTksWSxSUCxVU0QsTSk=&amp;WINDOW=FIRST_POPUP&amp;HEIGHT=450&amp;WIDTH=450&amp;","START_MAXIMIZED=FALSE&amp;VAR:CALENDAR=US&amp;VAR:SYMBOL=B10LQP&amp;VAR:INDEX=2"}</definedName>
    <definedName name="_106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6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6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6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6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6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62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62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62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63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63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63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6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6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6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6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6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6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6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6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6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6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6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6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68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68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68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69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69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69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7__FDSAUDITLINK__" localSheetId="3" hidden="1">{"fdsup://directions/FAT Viewer?action=UPDATE&amp;creator=factset&amp;DYN_ARGS=TRUE&amp;DOC_NAME=FAT:FQL_AUDITING_CLIENT_TEMPLATE.FAT&amp;display_string=Audit&amp;VAR:KEY=WRKNOFULAD&amp;VAR:QUERY=RkZfRUJJVERBX09QRVIoTFRNLDAsLCwsLE0p&amp;WINDOW=FIRST_POPUP&amp;HEIGHT=450&amp;WIDTH=450&amp;START_MA","XIMIZED=FALSE&amp;VAR:CALENDAR=LOCAL&amp;VAR:SYMBOL=B0D749&amp;VAR:INDEX=0"}</definedName>
    <definedName name="_107__FDSAUDITLINK__" localSheetId="7" hidden="1">{"fdsup://directions/FAT Viewer?action=UPDATE&amp;creator=factset&amp;DYN_ARGS=TRUE&amp;DOC_NAME=FAT:FQL_AUDITING_CLIENT_TEMPLATE.FAT&amp;display_string=Audit&amp;VAR:KEY=WRKNOFULAD&amp;VAR:QUERY=RkZfRUJJVERBX09QRVIoTFRNLDAsLCwsLE0p&amp;WINDOW=FIRST_POPUP&amp;HEIGHT=450&amp;WIDTH=450&amp;START_MA","XIMIZED=FALSE&amp;VAR:CALENDAR=LOCAL&amp;VAR:SYMBOL=B0D749&amp;VAR:INDEX=0"}</definedName>
    <definedName name="_107__FDSAUDITLINK__" hidden="1">{"fdsup://directions/FAT Viewer?action=UPDATE&amp;creator=factset&amp;DYN_ARGS=TRUE&amp;DOC_NAME=FAT:FQL_AUDITING_CLIENT_TEMPLATE.FAT&amp;display_string=Audit&amp;VAR:KEY=WRKNOFULAD&amp;VAR:QUERY=RkZfRUJJVERBX09QRVIoTFRNLDAsLCwsLE0p&amp;WINDOW=FIRST_POPUP&amp;HEIGHT=450&amp;WIDTH=450&amp;START_MA","XIMIZED=FALSE&amp;VAR:CALENDAR=LOCAL&amp;VAR:SYMBOL=B0D749&amp;VAR:INDEX=0"}</definedName>
    <definedName name="_107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7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7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7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7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7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7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7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7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7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7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7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74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74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74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75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75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75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7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7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7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7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7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7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7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7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7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7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7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7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8__FDSAUDITLINK__" localSheetId="3" hidden="1">{"fdsup://directions/FAT Viewer?action=UPDATE&amp;creator=factset&amp;DYN_ARGS=TRUE&amp;DOC_NAME=FAT:FQL_AUDITING_CLIENT_TEMPLATE.FAT&amp;display_string=Audit&amp;VAR:KEY=PUXMJGFKNG&amp;VAR:QUERY=RkZfTElBQlNfQ1VSUl9NSVNDKEFOTiwwLC05LFksUlAsVVNELE0p&amp;WINDOW=FIRST_POPUP&amp;HEIGHT=450&amp;WI","DTH=450&amp;START_MAXIMIZED=FALSE&amp;VAR:CALENDAR=US&amp;VAR:SYMBOL=B10LQP&amp;VAR:INDEX=1"}</definedName>
    <definedName name="_108__FDSAUDITLINK__" localSheetId="7" hidden="1">{"fdsup://directions/FAT Viewer?action=UPDATE&amp;creator=factset&amp;DYN_ARGS=TRUE&amp;DOC_NAME=FAT:FQL_AUDITING_CLIENT_TEMPLATE.FAT&amp;display_string=Audit&amp;VAR:KEY=PUXMJGFKNG&amp;VAR:QUERY=RkZfTElBQlNfQ1VSUl9NSVNDKEFOTiwwLC05LFksUlAsVVNELE0p&amp;WINDOW=FIRST_POPUP&amp;HEIGHT=450&amp;WI","DTH=450&amp;START_MAXIMIZED=FALSE&amp;VAR:CALENDAR=US&amp;VAR:SYMBOL=B10LQP&amp;VAR:INDEX=1"}</definedName>
    <definedName name="_108__FDSAUDITLINK__" hidden="1">{"fdsup://directions/FAT Viewer?action=UPDATE&amp;creator=factset&amp;DYN_ARGS=TRUE&amp;DOC_NAME=FAT:FQL_AUDITING_CLIENT_TEMPLATE.FAT&amp;display_string=Audit&amp;VAR:KEY=PUXMJGFKNG&amp;VAR:QUERY=RkZfTElBQlNfQ1VSUl9NSVNDKEFOTiwwLC05LFksUlAsVVNELE0p&amp;WINDOW=FIRST_POPUP&amp;HEIGHT=450&amp;WI","DTH=450&amp;START_MAXIMIZED=FALSE&amp;VAR:CALENDAR=US&amp;VAR:SYMBOL=B10LQP&amp;VAR:INDEX=1"}</definedName>
    <definedName name="_1080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80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80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81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81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81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8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8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8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8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8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8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8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8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8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8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8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8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86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86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86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87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87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87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8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8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8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8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8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8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9__FDSAUDITLINK__" localSheetId="3" hidden="1">{"fdsup://directions/FAT Viewer?action=UPDATE&amp;creator=factset&amp;DYN_ARGS=TRUE&amp;DOC_NAME=FAT:FQL_AUDITING_CLIENT_TEMPLATE.FAT&amp;display_string=Audit&amp;VAR:KEY=IROFKHSTQR&amp;VAR:QUERY=UENUQ0hHKEZGX0VQU19CQVNJQyhBTk4sMCwtOSxZLFJQLExPQ0FMLE0pLEZGX0VQU19CQVNJQyhBTk4sMCAtI","DEsLTkgLSAxLFksUlAsTE9DQUwsTSkp&amp;WINDOW=FIRST_POPUP&amp;HEIGHT=450&amp;WIDTH=450&amp;START_MAXIMIZED=FALSE&amp;VAR:CALENDAR=US&amp;VAR:SYMBOL=B10LQP&amp;VAR:INDEX=7"}</definedName>
    <definedName name="_109__FDSAUDITLINK__" localSheetId="7" hidden="1">{"fdsup://directions/FAT Viewer?action=UPDATE&amp;creator=factset&amp;DYN_ARGS=TRUE&amp;DOC_NAME=FAT:FQL_AUDITING_CLIENT_TEMPLATE.FAT&amp;display_string=Audit&amp;VAR:KEY=IROFKHSTQR&amp;VAR:QUERY=UENUQ0hHKEZGX0VQU19CQVNJQyhBTk4sMCwtOSxZLFJQLExPQ0FMLE0pLEZGX0VQU19CQVNJQyhBTk4sMCAtI","DEsLTkgLSAxLFksUlAsTE9DQUwsTSkp&amp;WINDOW=FIRST_POPUP&amp;HEIGHT=450&amp;WIDTH=450&amp;START_MAXIMIZED=FALSE&amp;VAR:CALENDAR=US&amp;VAR:SYMBOL=B10LQP&amp;VAR:INDEX=7"}</definedName>
    <definedName name="_109__FDSAUDITLINK__" hidden="1">{"fdsup://directions/FAT Viewer?action=UPDATE&amp;creator=factset&amp;DYN_ARGS=TRUE&amp;DOC_NAME=FAT:FQL_AUDITING_CLIENT_TEMPLATE.FAT&amp;display_string=Audit&amp;VAR:KEY=IROFKHSTQR&amp;VAR:QUERY=UENUQ0hHKEZGX0VQU19CQVNJQyhBTk4sMCwtOSxZLFJQLExPQ0FMLE0pLEZGX0VQU19CQVNJQyhBTk4sMCAtI","DEsLTkgLSAxLFksUlAsTE9DQUwsTSkp&amp;WINDOW=FIRST_POPUP&amp;HEIGHT=450&amp;WIDTH=450&amp;START_MAXIMIZED=FALSE&amp;VAR:CALENDAR=US&amp;VAR:SYMBOL=B10LQP&amp;VAR:INDEX=7"}</definedName>
    <definedName name="_109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9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9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9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9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9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92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92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92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93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93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93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9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9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9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09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9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9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09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9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9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09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9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9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098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98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98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099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99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099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__FDSAUDITLINK__" localSheetId="3" hidden="1">{"fdsup://Directions/FactSet Auditing Viewer?action=AUDIT_VALUE&amp;DB=129&amp;ID1=B01NTS&amp;VALUEID=01001&amp;SDATE=2009&amp;PERIODTYPE=ANN_STD&amp;SCFT=3&amp;window=popup_no_bar&amp;width=385&amp;height=120&amp;START_MAXIMIZED=FALSE&amp;creator=factset&amp;display_string=Audit"}</definedName>
    <definedName name="_11__FDSAUDITLINK__" localSheetId="7" hidden="1">{"fdsup://Directions/FactSet Auditing Viewer?action=AUDIT_VALUE&amp;DB=129&amp;ID1=B01NTS&amp;VALUEID=01001&amp;SDATE=2009&amp;PERIODTYPE=ANN_STD&amp;SCFT=3&amp;window=popup_no_bar&amp;width=385&amp;height=120&amp;START_MAXIMIZED=FALSE&amp;creator=factset&amp;display_string=Audit"}</definedName>
    <definedName name="_11__FDSAUDITLINK__" hidden="1">{"fdsup://Directions/FactSet Auditing Viewer?action=AUDIT_VALUE&amp;DB=129&amp;ID1=B01NTS&amp;VALUEID=01001&amp;SDATE=2009&amp;PERIODTYPE=ANN_STD&amp;SCFT=3&amp;window=popup_no_bar&amp;width=385&amp;height=120&amp;START_MAXIMIZED=FALSE&amp;creator=factset&amp;display_string=Audit"}</definedName>
    <definedName name="_110__FDSAUDITLINK__" localSheetId="3" hidden="1">{"fdsup://directions/FAT Viewer?action=UPDATE&amp;creator=factset&amp;DYN_ARGS=TRUE&amp;DOC_NAME=FAT:FQL_AUDITING_CLIENT_TEMPLATE.FAT&amp;display_string=Audit&amp;VAR:KEY=MTKFWJAREB&amp;VAR:QUERY=RkZfTkVUX0lOQyhMVE0sMCwsLCwsTSk=&amp;WINDOW=FIRST_POPUP&amp;HEIGHT=450&amp;WIDTH=450&amp;START_MAXIMI","ZED=FALSE&amp;VAR:CALENDAR=LOCAL&amp;VAR:SYMBOL=B0D749&amp;VAR:INDEX=0"}</definedName>
    <definedName name="_110__FDSAUDITLINK__" localSheetId="7" hidden="1">{"fdsup://directions/FAT Viewer?action=UPDATE&amp;creator=factset&amp;DYN_ARGS=TRUE&amp;DOC_NAME=FAT:FQL_AUDITING_CLIENT_TEMPLATE.FAT&amp;display_string=Audit&amp;VAR:KEY=MTKFWJAREB&amp;VAR:QUERY=RkZfTkVUX0lOQyhMVE0sMCwsLCwsTSk=&amp;WINDOW=FIRST_POPUP&amp;HEIGHT=450&amp;WIDTH=450&amp;START_MAXIMI","ZED=FALSE&amp;VAR:CALENDAR=LOCAL&amp;VAR:SYMBOL=B0D749&amp;VAR:INDEX=0"}</definedName>
    <definedName name="_110__FDSAUDITLINK__" hidden="1">{"fdsup://directions/FAT Viewer?action=UPDATE&amp;creator=factset&amp;DYN_ARGS=TRUE&amp;DOC_NAME=FAT:FQL_AUDITING_CLIENT_TEMPLATE.FAT&amp;display_string=Audit&amp;VAR:KEY=MTKFWJAREB&amp;VAR:QUERY=RkZfTkVUX0lOQyhMVE0sMCwsLCwsTSk=&amp;WINDOW=FIRST_POPUP&amp;HEIGHT=450&amp;WIDTH=450&amp;START_MAXIMI","ZED=FALSE&amp;VAR:CALENDAR=LOCAL&amp;VAR:SYMBOL=B0D749&amp;VAR:INDEX=0"}</definedName>
    <definedName name="_110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0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0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0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0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0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0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0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0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0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0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0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04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04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04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05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05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05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0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0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0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0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0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0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0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0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0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0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0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0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1__FDSAUDITLINK__" localSheetId="3" hidden="1">{"fdsup://directions/FAT Viewer?action=UPDATE&amp;creator=factset&amp;DYN_ARGS=TRUE&amp;DOC_NAME=FAT:FQL_AUDITING_CLIENT_TEMPLATE.FAT&amp;display_string=Audit&amp;VAR:KEY=IROFKHSTQR&amp;VAR:QUERY=UENUQ0hHKEZGX0VQU19CQVNJQyhBTk4sMCwtOSxZLFJQLExPQ0FMLE0pLEZGX0VQU19CQVNJQyhBTk4sMCAtI","DEsLTkgLSAxLFksUlAsTE9DQUwsTSkp&amp;WINDOW=FIRST_POPUP&amp;HEIGHT=450&amp;WIDTH=450&amp;START_MAXIMIZED=FALSE&amp;VAR:CALENDAR=US&amp;VAR:SYMBOL=B10LQP&amp;VAR:INDEX=5"}</definedName>
    <definedName name="_111__FDSAUDITLINK__" localSheetId="7" hidden="1">{"fdsup://directions/FAT Viewer?action=UPDATE&amp;creator=factset&amp;DYN_ARGS=TRUE&amp;DOC_NAME=FAT:FQL_AUDITING_CLIENT_TEMPLATE.FAT&amp;display_string=Audit&amp;VAR:KEY=IROFKHSTQR&amp;VAR:QUERY=UENUQ0hHKEZGX0VQU19CQVNJQyhBTk4sMCwtOSxZLFJQLExPQ0FMLE0pLEZGX0VQU19CQVNJQyhBTk4sMCAtI","DEsLTkgLSAxLFksUlAsTE9DQUwsTSkp&amp;WINDOW=FIRST_POPUP&amp;HEIGHT=450&amp;WIDTH=450&amp;START_MAXIMIZED=FALSE&amp;VAR:CALENDAR=US&amp;VAR:SYMBOL=B10LQP&amp;VAR:INDEX=5"}</definedName>
    <definedName name="_111__FDSAUDITLINK__" hidden="1">{"fdsup://directions/FAT Viewer?action=UPDATE&amp;creator=factset&amp;DYN_ARGS=TRUE&amp;DOC_NAME=FAT:FQL_AUDITING_CLIENT_TEMPLATE.FAT&amp;display_string=Audit&amp;VAR:KEY=IROFKHSTQR&amp;VAR:QUERY=UENUQ0hHKEZGX0VQU19CQVNJQyhBTk4sMCwtOSxZLFJQLExPQ0FMLE0pLEZGX0VQU19CQVNJQyhBTk4sMCAtI","DEsLTkgLSAxLFksUlAsTE9DQUwsTSkp&amp;WINDOW=FIRST_POPUP&amp;HEIGHT=450&amp;WIDTH=450&amp;START_MAXIMIZED=FALSE&amp;VAR:CALENDAR=US&amp;VAR:SYMBOL=B10LQP&amp;VAR:INDEX=5"}</definedName>
    <definedName name="_1110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10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10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11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11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11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1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1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1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1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1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1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1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1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1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1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1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1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16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16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16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17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17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17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1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1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1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1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1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1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2__FDSAUDITLINK__" localSheetId="3"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 localSheetId="7"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2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2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2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2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2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22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22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22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23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23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23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2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2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2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2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2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2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2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2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2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2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2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2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28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28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28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29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29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29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3__FDSAUDITLINK__" localSheetId="3" hidden="1">{"fdsup://directions/FAT Viewer?action=UPDATE&amp;creator=factset&amp;DYN_ARGS=TRUE&amp;DOC_NAME=FAT:FQL_AUDITING_CLIENT_TEMPLATE.FAT&amp;display_string=Audit&amp;VAR:KEY=IROFKHSTQR&amp;VAR:QUERY=UENUQ0hHKEZGX0VQU19CQVNJQyhBTk4sMCwtOSxZLFJQLExPQ0FMLE0pLEZGX0VQU19CQVNJQyhBTk4sMCAtI","DEsLTkgLSAxLFksUlAsTE9DQUwsTSkp&amp;WINDOW=FIRST_POPUP&amp;HEIGHT=450&amp;WIDTH=450&amp;START_MAXIMIZED=FALSE&amp;VAR:CALENDAR=US&amp;VAR:SYMBOL=B10LQP&amp;VAR:INDEX=3"}</definedName>
    <definedName name="_113__FDSAUDITLINK__" localSheetId="7" hidden="1">{"fdsup://directions/FAT Viewer?action=UPDATE&amp;creator=factset&amp;DYN_ARGS=TRUE&amp;DOC_NAME=FAT:FQL_AUDITING_CLIENT_TEMPLATE.FAT&amp;display_string=Audit&amp;VAR:KEY=IROFKHSTQR&amp;VAR:QUERY=UENUQ0hHKEZGX0VQU19CQVNJQyhBTk4sMCwtOSxZLFJQLExPQ0FMLE0pLEZGX0VQU19CQVNJQyhBTk4sMCAtI","DEsLTkgLSAxLFksUlAsTE9DQUwsTSkp&amp;WINDOW=FIRST_POPUP&amp;HEIGHT=450&amp;WIDTH=450&amp;START_MAXIMIZED=FALSE&amp;VAR:CALENDAR=US&amp;VAR:SYMBOL=B10LQP&amp;VAR:INDEX=3"}</definedName>
    <definedName name="_113__FDSAUDITLINK__" hidden="1">{"fdsup://directions/FAT Viewer?action=UPDATE&amp;creator=factset&amp;DYN_ARGS=TRUE&amp;DOC_NAME=FAT:FQL_AUDITING_CLIENT_TEMPLATE.FAT&amp;display_string=Audit&amp;VAR:KEY=IROFKHSTQR&amp;VAR:QUERY=UENUQ0hHKEZGX0VQU19CQVNJQyhBTk4sMCwtOSxZLFJQLExPQ0FMLE0pLEZGX0VQU19CQVNJQyhBTk4sMCAtI","DEsLTkgLSAxLFksUlAsTE9DQUwsTSkp&amp;WINDOW=FIRST_POPUP&amp;HEIGHT=450&amp;WIDTH=450&amp;START_MAXIMIZED=FALSE&amp;VAR:CALENDAR=US&amp;VAR:SYMBOL=B10LQP&amp;VAR:INDEX=3"}</definedName>
    <definedName name="_113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3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3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3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3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3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3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3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3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3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3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3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34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34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34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35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35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35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3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3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3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3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3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3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3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3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3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3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3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3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4__FDSAUDITLINK__" localSheetId="3" hidden="1">{"fdsup://directions/FAT Viewer?action=UPDATE&amp;creator=factset&amp;DYN_ARGS=TRUE&amp;DOC_NAME=FAT:FQL_AUDITING_CLIENT_TEMPLATE.FAT&amp;display_string=Audit&amp;VAR:KEY=OXSXSFEDCP&amp;VAR:QUERY=RkZfRUJJVERBX09QRVIoTFRNLDAsLCwsLE0p&amp;WINDOW=FIRST_POPUP&amp;HEIGHT=450&amp;WIDTH=450&amp;START_MA","XIMIZED=FALSE&amp;VAR:CALENDAR=US&amp;VAR:SYMBOL=B17MHG&amp;VAR:INDEX=0"}</definedName>
    <definedName name="_114__FDSAUDITLINK__" localSheetId="7" hidden="1">{"fdsup://directions/FAT Viewer?action=UPDATE&amp;creator=factset&amp;DYN_ARGS=TRUE&amp;DOC_NAME=FAT:FQL_AUDITING_CLIENT_TEMPLATE.FAT&amp;display_string=Audit&amp;VAR:KEY=OXSXSFEDCP&amp;VAR:QUERY=RkZfRUJJVERBX09QRVIoTFRNLDAsLCwsLE0p&amp;WINDOW=FIRST_POPUP&amp;HEIGHT=450&amp;WIDTH=450&amp;START_MA","XIMIZED=FALSE&amp;VAR:CALENDAR=US&amp;VAR:SYMBOL=B17MHG&amp;VAR:INDEX=0"}</definedName>
    <definedName name="_114__FDSAUDITLINK__" hidden="1">{"fdsup://directions/FAT Viewer?action=UPDATE&amp;creator=factset&amp;DYN_ARGS=TRUE&amp;DOC_NAME=FAT:FQL_AUDITING_CLIENT_TEMPLATE.FAT&amp;display_string=Audit&amp;VAR:KEY=OXSXSFEDCP&amp;VAR:QUERY=RkZfRUJJVERBX09QRVIoTFRNLDAsLCwsLE0p&amp;WINDOW=FIRST_POPUP&amp;HEIGHT=450&amp;WIDTH=450&amp;START_MA","XIMIZED=FALSE&amp;VAR:CALENDAR=US&amp;VAR:SYMBOL=B17MHG&amp;VAR:INDEX=0"}</definedName>
    <definedName name="_1140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40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40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41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41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41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4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4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4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4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4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4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4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4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4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4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4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4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4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4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4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47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47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47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48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48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48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49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49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49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5__FDSAUDITLINK__" localSheetId="3" hidden="1">{"fdsup://directions/FAT Viewer?action=UPDATE&amp;creator=factset&amp;DYN_ARGS=TRUE&amp;DOC_NAME=FAT:FQL_AUDITING_CLIENT_TEMPLATE.FAT&amp;display_string=Audit&amp;VAR:KEY=AZOPAFMXSR&amp;VAR:QUERY=RkZfU0FMRVMoTFRNLDAsLCwsLE0p&amp;WINDOW=FIRST_POPUP&amp;HEIGHT=450&amp;WIDTH=450&amp;START_MAXIMIZED=","FALSE&amp;VAR:CALENDAR=US&amp;VAR:SYMBOL=B667N4&amp;VAR:INDEX=0"}</definedName>
    <definedName name="_115__FDSAUDITLINK__" localSheetId="7" hidden="1">{"fdsup://directions/FAT Viewer?action=UPDATE&amp;creator=factset&amp;DYN_ARGS=TRUE&amp;DOC_NAME=FAT:FQL_AUDITING_CLIENT_TEMPLATE.FAT&amp;display_string=Audit&amp;VAR:KEY=AZOPAFMXSR&amp;VAR:QUERY=RkZfU0FMRVMoTFRNLDAsLCwsLE0p&amp;WINDOW=FIRST_POPUP&amp;HEIGHT=450&amp;WIDTH=450&amp;START_MAXIMIZED=","FALSE&amp;VAR:CALENDAR=US&amp;VAR:SYMBOL=B667N4&amp;VAR:INDEX=0"}</definedName>
    <definedName name="_115__FDSAUDITLINK__" hidden="1">{"fdsup://directions/FAT Viewer?action=UPDATE&amp;creator=factset&amp;DYN_ARGS=TRUE&amp;DOC_NAME=FAT:FQL_AUDITING_CLIENT_TEMPLATE.FAT&amp;display_string=Audit&amp;VAR:KEY=AZOPAFMXSR&amp;VAR:QUERY=RkZfU0FMRVMoTFRNLDAsLCwsLE0p&amp;WINDOW=FIRST_POPUP&amp;HEIGHT=450&amp;WIDTH=450&amp;START_MAXIMIZED=","FALSE&amp;VAR:CALENDAR=US&amp;VAR:SYMBOL=B667N4&amp;VAR:INDEX=0"}</definedName>
    <definedName name="_1150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50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50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5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5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5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5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5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5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53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53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53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54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54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54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55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55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55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56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56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56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5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5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5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5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5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5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5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5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5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6__FDSAUDITLINK__" localSheetId="3" hidden="1">{"fdsup://directions/FAT Viewer?action=UPDATE&amp;creator=factset&amp;DYN_ARGS=TRUE&amp;DOC_NAME=FAT:FQL_AUDITING_CLIENT_TEMPLATE.FAT&amp;display_string=Audit&amp;VAR:KEY=QBSXMFKVWN&amp;VAR:QUERY=RkZfTElBQlNfQ1VSUl9PVEgoQU5OLDAsLTksWSxSUCxVU0QsTSk=&amp;WINDOW=FIRST_POPUP&amp;HEIGHT=450&amp;WI","DTH=450&amp;START_MAXIMIZED=FALSE&amp;VAR:CALENDAR=US&amp;VAR:SYMBOL=B10LQP&amp;VAR:INDEX=5"}</definedName>
    <definedName name="_116__FDSAUDITLINK__" localSheetId="7" hidden="1">{"fdsup://directions/FAT Viewer?action=UPDATE&amp;creator=factset&amp;DYN_ARGS=TRUE&amp;DOC_NAME=FAT:FQL_AUDITING_CLIENT_TEMPLATE.FAT&amp;display_string=Audit&amp;VAR:KEY=QBSXMFKVWN&amp;VAR:QUERY=RkZfTElBQlNfQ1VSUl9PVEgoQU5OLDAsLTksWSxSUCxVU0QsTSk=&amp;WINDOW=FIRST_POPUP&amp;HEIGHT=450&amp;WI","DTH=450&amp;START_MAXIMIZED=FALSE&amp;VAR:CALENDAR=US&amp;VAR:SYMBOL=B10LQP&amp;VAR:INDEX=5"}</definedName>
    <definedName name="_116__FDSAUDITLINK__" hidden="1">{"fdsup://directions/FAT Viewer?action=UPDATE&amp;creator=factset&amp;DYN_ARGS=TRUE&amp;DOC_NAME=FAT:FQL_AUDITING_CLIENT_TEMPLATE.FAT&amp;display_string=Audit&amp;VAR:KEY=QBSXMFKVWN&amp;VAR:QUERY=RkZfTElBQlNfQ1VSUl9PVEgoQU5OLDAsLTksWSxSUCxVU0QsTSk=&amp;WINDOW=FIRST_POPUP&amp;HEIGHT=450&amp;WI","DTH=450&amp;START_MAXIMIZED=FALSE&amp;VAR:CALENDAR=US&amp;VAR:SYMBOL=B10LQP&amp;VAR:INDEX=5"}</definedName>
    <definedName name="_1160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60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60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61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61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61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62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62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62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63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63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63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64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64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64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6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6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6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6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6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6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6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6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6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6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6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6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6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6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6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7__FDSAUDITLINK__" localSheetId="3" hidden="1">{"fdsup://directions/FAT Viewer?action=UPDATE&amp;creator=factset&amp;DYN_ARGS=TRUE&amp;DOC_NAME=FAT:FQL_AUDITING_CLIENT_TEMPLATE.FAT&amp;display_string=Audit&amp;VAR:KEY=ZKLCLEVEFC&amp;VAR:QUERY=RkZfRVBTX0JBU0lDKEFOTiwwLC05LFksUlAsVVNELE0p&amp;WINDOW=FIRST_POPUP&amp;HEIGHT=450&amp;WIDTH=450&amp;","START_MAXIMIZED=FALSE&amp;VAR:CALENDAR=US&amp;VAR:SYMBOL=B10LQP&amp;VAR:INDEX=7"}</definedName>
    <definedName name="_117__FDSAUDITLINK__" localSheetId="7" hidden="1">{"fdsup://directions/FAT Viewer?action=UPDATE&amp;creator=factset&amp;DYN_ARGS=TRUE&amp;DOC_NAME=FAT:FQL_AUDITING_CLIENT_TEMPLATE.FAT&amp;display_string=Audit&amp;VAR:KEY=ZKLCLEVEFC&amp;VAR:QUERY=RkZfRVBTX0JBU0lDKEFOTiwwLC05LFksUlAsVVNELE0p&amp;WINDOW=FIRST_POPUP&amp;HEIGHT=450&amp;WIDTH=450&amp;","START_MAXIMIZED=FALSE&amp;VAR:CALENDAR=US&amp;VAR:SYMBOL=B10LQP&amp;VAR:INDEX=7"}</definedName>
    <definedName name="_117__FDSAUDITLINK__" hidden="1">{"fdsup://directions/FAT Viewer?action=UPDATE&amp;creator=factset&amp;DYN_ARGS=TRUE&amp;DOC_NAME=FAT:FQL_AUDITING_CLIENT_TEMPLATE.FAT&amp;display_string=Audit&amp;VAR:KEY=ZKLCLEVEFC&amp;VAR:QUERY=RkZfRVBTX0JBU0lDKEFOTiwwLC05LFksUlAsVVNELE0p&amp;WINDOW=FIRST_POPUP&amp;HEIGHT=450&amp;WIDTH=450&amp;","START_MAXIMIZED=FALSE&amp;VAR:CALENDAR=US&amp;VAR:SYMBOL=B10LQP&amp;VAR:INDEX=7"}</definedName>
    <definedName name="_1170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70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70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7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7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7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7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7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7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7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7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7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7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7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7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7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7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7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7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7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7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7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7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7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7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7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7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7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7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7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8__FDSAUDITLINK__" localSheetId="3" hidden="1">{"fdsup://directions/FAT Viewer?action=UPDATE&amp;creator=factset&amp;DYN_ARGS=TRUE&amp;DOC_NAME=FAT:FQL_AUDITING_CLIENT_TEMPLATE.FAT&amp;display_string=Audit&amp;VAR:KEY=AVKXYDIXYJ&amp;VAR:QUERY=RkZfRUJJVERBX09QRVIoTFRNLDAsLCwsLE0p&amp;WINDOW=FIRST_POPUP&amp;HEIGHT=450&amp;WIDTH=450&amp;START_MA","XIMIZED=FALSE&amp;VAR:CALENDAR=US&amp;VAR:SYMBOL=B1YBRG&amp;VAR:INDEX=0"}</definedName>
    <definedName name="_118__FDSAUDITLINK__" localSheetId="7" hidden="1">{"fdsup://directions/FAT Viewer?action=UPDATE&amp;creator=factset&amp;DYN_ARGS=TRUE&amp;DOC_NAME=FAT:FQL_AUDITING_CLIENT_TEMPLATE.FAT&amp;display_string=Audit&amp;VAR:KEY=AVKXYDIXYJ&amp;VAR:QUERY=RkZfRUJJVERBX09QRVIoTFRNLDAsLCwsLE0p&amp;WINDOW=FIRST_POPUP&amp;HEIGHT=450&amp;WIDTH=450&amp;START_MA","XIMIZED=FALSE&amp;VAR:CALENDAR=US&amp;VAR:SYMBOL=B1YBRG&amp;VAR:INDEX=0"}</definedName>
    <definedName name="_118__FDSAUDITLINK__" hidden="1">{"fdsup://directions/FAT Viewer?action=UPDATE&amp;creator=factset&amp;DYN_ARGS=TRUE&amp;DOC_NAME=FAT:FQL_AUDITING_CLIENT_TEMPLATE.FAT&amp;display_string=Audit&amp;VAR:KEY=AVKXYDIXYJ&amp;VAR:QUERY=RkZfRUJJVERBX09QRVIoTFRNLDAsLCwsLE0p&amp;WINDOW=FIRST_POPUP&amp;HEIGHT=450&amp;WIDTH=450&amp;START_MA","XIMIZED=FALSE&amp;VAR:CALENDAR=US&amp;VAR:SYMBOL=B1YBRG&amp;VAR:INDEX=0"}</definedName>
    <definedName name="_118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8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8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8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8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8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8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8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8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8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8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8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8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8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8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8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8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8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8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8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8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8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8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8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8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8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8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8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8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8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9__FDSAUDITLINK__" localSheetId="3" hidden="1">{"fdsup://directions/FAT Viewer?action=UPDATE&amp;creator=factset&amp;DYN_ARGS=TRUE&amp;DOC_NAME=FAT:FQL_AUDITING_CLIENT_TEMPLATE.FAT&amp;display_string=Audit&amp;VAR:KEY=ZKLCLEVEFC&amp;VAR:QUERY=RkZfRVBTX0JBU0lDKEFOTiwwLC05LFksUlAsVVNELE0p&amp;WINDOW=FIRST_POPUP&amp;HEIGHT=450&amp;WIDTH=450&amp;","START_MAXIMIZED=FALSE&amp;VAR:CALENDAR=US&amp;VAR:SYMBOL=B10LQP&amp;VAR:INDEX=5"}</definedName>
    <definedName name="_119__FDSAUDITLINK__" localSheetId="7" hidden="1">{"fdsup://directions/FAT Viewer?action=UPDATE&amp;creator=factset&amp;DYN_ARGS=TRUE&amp;DOC_NAME=FAT:FQL_AUDITING_CLIENT_TEMPLATE.FAT&amp;display_string=Audit&amp;VAR:KEY=ZKLCLEVEFC&amp;VAR:QUERY=RkZfRVBTX0JBU0lDKEFOTiwwLC05LFksUlAsVVNELE0p&amp;WINDOW=FIRST_POPUP&amp;HEIGHT=450&amp;WIDTH=450&amp;","START_MAXIMIZED=FALSE&amp;VAR:CALENDAR=US&amp;VAR:SYMBOL=B10LQP&amp;VAR:INDEX=5"}</definedName>
    <definedName name="_119__FDSAUDITLINK__" hidden="1">{"fdsup://directions/FAT Viewer?action=UPDATE&amp;creator=factset&amp;DYN_ARGS=TRUE&amp;DOC_NAME=FAT:FQL_AUDITING_CLIENT_TEMPLATE.FAT&amp;display_string=Audit&amp;VAR:KEY=ZKLCLEVEFC&amp;VAR:QUERY=RkZfRVBTX0JBU0lDKEFOTiwwLC05LFksUlAsVVNELE0p&amp;WINDOW=FIRST_POPUP&amp;HEIGHT=450&amp;WIDTH=450&amp;","START_MAXIMIZED=FALSE&amp;VAR:CALENDAR=US&amp;VAR:SYMBOL=B10LQP&amp;VAR:INDEX=5"}</definedName>
    <definedName name="_119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9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9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9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9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9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9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9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9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9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9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9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9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9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9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19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9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9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19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9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9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19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9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9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19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9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9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19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9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19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__FDSAUDITLINK__" localSheetId="3" hidden="1">{"fdsup://Directions/FactSet Auditing Viewer?action=AUDIT_VALUE&amp;DB=129&amp;ID1=B0TQDD&amp;VALUEID=01001&amp;SDATE=2009&amp;PERIODTYPE=ANN_STD&amp;SCFT=3&amp;window=popup_no_bar&amp;width=385&amp;height=120&amp;START_MAXIMIZED=FALSE&amp;creator=factset&amp;display_string=Audit"}</definedName>
    <definedName name="_12__FDSAUDITLINK__" localSheetId="7" hidden="1">{"fdsup://Directions/FactSet Auditing Viewer?action=AUDIT_VALUE&amp;DB=129&amp;ID1=B0TQDD&amp;VALUEID=01001&amp;SDATE=2009&amp;PERIODTYPE=ANN_STD&amp;SCFT=3&amp;window=popup_no_bar&amp;width=385&amp;height=120&amp;START_MAXIMIZED=FALSE&amp;creator=factset&amp;display_string=Audit"}</definedName>
    <definedName name="_12__FDSAUDITLINK__" hidden="1">{"fdsup://Directions/FactSet Auditing Viewer?action=AUDIT_VALUE&amp;DB=129&amp;ID1=B0TQDD&amp;VALUEID=01001&amp;SDATE=2009&amp;PERIODTYPE=ANN_STD&amp;SCFT=3&amp;window=popup_no_bar&amp;width=385&amp;height=120&amp;START_MAXIMIZED=FALSE&amp;creator=factset&amp;display_string=Audit"}</definedName>
    <definedName name="_120__FDSAUDITLINK__" localSheetId="3"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 localSheetId="7"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0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00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00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0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0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0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0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0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0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0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0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0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0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0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0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0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0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0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0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0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0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0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0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0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0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0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0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0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0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0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1__FDSAUDITLINK__" localSheetId="3" hidden="1">{"fdsup://directions/FAT Viewer?action=UPDATE&amp;creator=factset&amp;DYN_ARGS=TRUE&amp;DOC_NAME=FAT:FQL_AUDITING_CLIENT_TEMPLATE.FAT&amp;display_string=Audit&amp;VAR:KEY=EPEHWRSVUH&amp;VAR:QUERY=RkZfTkVUX0lOQyhMVE0sMCwsLCwsTSk=&amp;WINDOW=FIRST_POPUP&amp;HEIGHT=450&amp;WIDTH=450&amp;START_MAXIMI","ZED=FALSE&amp;VAR:CALENDAR=US&amp;VAR:SYMBOL=B031NN&amp;VAR:INDEX=0"}</definedName>
    <definedName name="_121__FDSAUDITLINK__" localSheetId="7" hidden="1">{"fdsup://directions/FAT Viewer?action=UPDATE&amp;creator=factset&amp;DYN_ARGS=TRUE&amp;DOC_NAME=FAT:FQL_AUDITING_CLIENT_TEMPLATE.FAT&amp;display_string=Audit&amp;VAR:KEY=EPEHWRSVUH&amp;VAR:QUERY=RkZfTkVUX0lOQyhMVE0sMCwsLCwsTSk=&amp;WINDOW=FIRST_POPUP&amp;HEIGHT=450&amp;WIDTH=450&amp;START_MAXIMI","ZED=FALSE&amp;VAR:CALENDAR=US&amp;VAR:SYMBOL=B031NN&amp;VAR:INDEX=0"}</definedName>
    <definedName name="_121__FDSAUDITLINK__" hidden="1">{"fdsup://directions/FAT Viewer?action=UPDATE&amp;creator=factset&amp;DYN_ARGS=TRUE&amp;DOC_NAME=FAT:FQL_AUDITING_CLIENT_TEMPLATE.FAT&amp;display_string=Audit&amp;VAR:KEY=EPEHWRSVUH&amp;VAR:QUERY=RkZfTkVUX0lOQyhMVE0sMCwsLCwsTSk=&amp;WINDOW=FIRST_POPUP&amp;HEIGHT=450&amp;WIDTH=450&amp;START_MAXIMI","ZED=FALSE&amp;VAR:CALENDAR=US&amp;VAR:SYMBOL=B031NN&amp;VAR:INDEX=0"}</definedName>
    <definedName name="_121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1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1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1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1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1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1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1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1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1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1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1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1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1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1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1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1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1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1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1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1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1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1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1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1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1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1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1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1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1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2__FDSAUDITLINK__" localSheetId="3" hidden="1">{"fdsup://directions/FAT Viewer?action=UPDATE&amp;creator=factset&amp;DYN_ARGS=TRUE&amp;DOC_NAME=FAT:FQL_AUDITING_CLIENT_TEMPLATE.FAT&amp;display_string=Audit&amp;VAR:KEY=ZKLCLEVEFC&amp;VAR:QUERY=RkZfRVBTX0JBU0lDKEFOTiwwLC05LFksUlAsVVNELE0p&amp;WINDOW=FIRST_POPUP&amp;HEIGHT=450&amp;WIDTH=450&amp;","START_MAXIMIZED=FALSE&amp;VAR:CALENDAR=US&amp;VAR:SYMBOL=B10LQP&amp;VAR:INDEX=2"}</definedName>
    <definedName name="_122__FDSAUDITLINK__" localSheetId="7" hidden="1">{"fdsup://directions/FAT Viewer?action=UPDATE&amp;creator=factset&amp;DYN_ARGS=TRUE&amp;DOC_NAME=FAT:FQL_AUDITING_CLIENT_TEMPLATE.FAT&amp;display_string=Audit&amp;VAR:KEY=ZKLCLEVEFC&amp;VAR:QUERY=RkZfRVBTX0JBU0lDKEFOTiwwLC05LFksUlAsVVNELE0p&amp;WINDOW=FIRST_POPUP&amp;HEIGHT=450&amp;WIDTH=450&amp;","START_MAXIMIZED=FALSE&amp;VAR:CALENDAR=US&amp;VAR:SYMBOL=B10LQP&amp;VAR:INDEX=2"}</definedName>
    <definedName name="_122__FDSAUDITLINK__" hidden="1">{"fdsup://directions/FAT Viewer?action=UPDATE&amp;creator=factset&amp;DYN_ARGS=TRUE&amp;DOC_NAME=FAT:FQL_AUDITING_CLIENT_TEMPLATE.FAT&amp;display_string=Audit&amp;VAR:KEY=ZKLCLEVEFC&amp;VAR:QUERY=RkZfRVBTX0JBU0lDKEFOTiwwLC05LFksUlAsVVNELE0p&amp;WINDOW=FIRST_POPUP&amp;HEIGHT=450&amp;WIDTH=450&amp;","START_MAXIMIZED=FALSE&amp;VAR:CALENDAR=US&amp;VAR:SYMBOL=B10LQP&amp;VAR:INDEX=2"}</definedName>
    <definedName name="_122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2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2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2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2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2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2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2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2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2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2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2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2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2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2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2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2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2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2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2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2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2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2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2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2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2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2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2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2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2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3__FDSAUDITLINK__" localSheetId="3" hidden="1">{"fdsup://directions/FAT Viewer?action=UPDATE&amp;creator=factset&amp;DYN_ARGS=TRUE&amp;DOC_NAME=FAT:FQL_AUDITING_CLIENT_TEMPLATE.FAT&amp;display_string=Audit&amp;VAR:KEY=IBSNCBGZCB&amp;VAR:QUERY=RkZfRUJJVERBX09QRVIoTFRNLDAsLCwsLE0p&amp;WINDOW=FIRST_POPUP&amp;HEIGHT=450&amp;WIDTH=450&amp;START_MA","XIMIZED=FALSE&amp;VAR:CALENDAR=US&amp;VAR:SYMBOL=B031NN&amp;VAR:INDEX=0"}</definedName>
    <definedName name="_123__FDSAUDITLINK__" localSheetId="7" hidden="1">{"fdsup://directions/FAT Viewer?action=UPDATE&amp;creator=factset&amp;DYN_ARGS=TRUE&amp;DOC_NAME=FAT:FQL_AUDITING_CLIENT_TEMPLATE.FAT&amp;display_string=Audit&amp;VAR:KEY=IBSNCBGZCB&amp;VAR:QUERY=RkZfRUJJVERBX09QRVIoTFRNLDAsLCwsLE0p&amp;WINDOW=FIRST_POPUP&amp;HEIGHT=450&amp;WIDTH=450&amp;START_MA","XIMIZED=FALSE&amp;VAR:CALENDAR=US&amp;VAR:SYMBOL=B031NN&amp;VAR:INDEX=0"}</definedName>
    <definedName name="_123__FDSAUDITLINK__" hidden="1">{"fdsup://directions/FAT Viewer?action=UPDATE&amp;creator=factset&amp;DYN_ARGS=TRUE&amp;DOC_NAME=FAT:FQL_AUDITING_CLIENT_TEMPLATE.FAT&amp;display_string=Audit&amp;VAR:KEY=IBSNCBGZCB&amp;VAR:QUERY=RkZfRUJJVERBX09QRVIoTFRNLDAsLCwsLE0p&amp;WINDOW=FIRST_POPUP&amp;HEIGHT=450&amp;WIDTH=450&amp;START_MA","XIMIZED=FALSE&amp;VAR:CALENDAR=US&amp;VAR:SYMBOL=B031NN&amp;VAR:INDEX=0"}</definedName>
    <definedName name="_1230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30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30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3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3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3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3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3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3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3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3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3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3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3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3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3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3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3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3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3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3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3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3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3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3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3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3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3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3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3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4__FDSAUDITLINK__" localSheetId="3" hidden="1">{"fdsup://directions/FAT Viewer?action=UPDATE&amp;creator=factset&amp;DYN_ARGS=TRUE&amp;DOC_NAME=FAT:FQL_AUDITING_CLIENT_TEMPLATE.FAT&amp;display_string=Audit&amp;VAR:KEY=MPEPUXWTMD&amp;VAR:QUERY=RkZfRUJJVERBX09QRVIoQU5OLDAsLTksWSxSUCkgLyBGRl9JTlRfRVhQX05FVChBTk4sMCwtOSxZLFJQKQ==&amp;","WINDOW=FIRST_POPUP&amp;HEIGHT=450&amp;WIDTH=450&amp;START_MAXIMIZED=FALSE&amp;VAR:CALENDAR=US&amp;VAR:SYMBOL=B10LQP&amp;VAR:INDEX=3"}</definedName>
    <definedName name="_124__FDSAUDITLINK__" localSheetId="7" hidden="1">{"fdsup://directions/FAT Viewer?action=UPDATE&amp;creator=factset&amp;DYN_ARGS=TRUE&amp;DOC_NAME=FAT:FQL_AUDITING_CLIENT_TEMPLATE.FAT&amp;display_string=Audit&amp;VAR:KEY=MPEPUXWTMD&amp;VAR:QUERY=RkZfRUJJVERBX09QRVIoQU5OLDAsLTksWSxSUCkgLyBGRl9JTlRfRVhQX05FVChBTk4sMCwtOSxZLFJQKQ==&amp;","WINDOW=FIRST_POPUP&amp;HEIGHT=450&amp;WIDTH=450&amp;START_MAXIMIZED=FALSE&amp;VAR:CALENDAR=US&amp;VAR:SYMBOL=B10LQP&amp;VAR:INDEX=3"}</definedName>
    <definedName name="_124__FDSAUDITLINK__" hidden="1">{"fdsup://directions/FAT Viewer?action=UPDATE&amp;creator=factset&amp;DYN_ARGS=TRUE&amp;DOC_NAME=FAT:FQL_AUDITING_CLIENT_TEMPLATE.FAT&amp;display_string=Audit&amp;VAR:KEY=MPEPUXWTMD&amp;VAR:QUERY=RkZfRUJJVERBX09QRVIoQU5OLDAsLTksWSxSUCkgLyBGRl9JTlRfRVhQX05FVChBTk4sMCwtOSxZLFJQKQ==&amp;","WINDOW=FIRST_POPUP&amp;HEIGHT=450&amp;WIDTH=450&amp;START_MAXIMIZED=FALSE&amp;VAR:CALENDAR=US&amp;VAR:SYMBOL=B10LQP&amp;VAR:INDEX=3"}</definedName>
    <definedName name="_124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4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4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4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4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4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4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4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4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4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4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4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4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4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4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4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4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4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4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4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4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4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4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4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4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4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4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4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4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4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5__FDSAUDITLINK__" localSheetId="3" hidden="1">{"fdsup://directions/FAT Viewer?action=UPDATE&amp;creator=factset&amp;DYN_ARGS=TRUE&amp;DOC_NAME=FAT:FQL_AUDITING_CLIENT_TEMPLATE.FAT&amp;display_string=Audit&amp;VAR:KEY=OFSJOTWNOJ&amp;VAR:QUERY=UENUQ0hHKEZGX0VQU19ESUwoQU5OLDAsLTksWSxSUCxMT0NBTCxNKSxGRl9FUFNfRElMKEFOTiwwIC0gMSwtO","SAtIDEsWSxSUCxMT0NBTCxNKSk=&amp;WINDOW=FIRST_POPUP&amp;HEIGHT=450&amp;WIDTH=450&amp;START_MAXIMIZED=FALSE&amp;VAR:CALENDAR=US&amp;VAR:SYMBOL=B10LQP&amp;VAR:INDEX=7"}</definedName>
    <definedName name="_125__FDSAUDITLINK__" localSheetId="7" hidden="1">{"fdsup://directions/FAT Viewer?action=UPDATE&amp;creator=factset&amp;DYN_ARGS=TRUE&amp;DOC_NAME=FAT:FQL_AUDITING_CLIENT_TEMPLATE.FAT&amp;display_string=Audit&amp;VAR:KEY=OFSJOTWNOJ&amp;VAR:QUERY=UENUQ0hHKEZGX0VQU19ESUwoQU5OLDAsLTksWSxSUCxMT0NBTCxNKSxGRl9FUFNfRElMKEFOTiwwIC0gMSwtO","SAtIDEsWSxSUCxMT0NBTCxNKSk=&amp;WINDOW=FIRST_POPUP&amp;HEIGHT=450&amp;WIDTH=450&amp;START_MAXIMIZED=FALSE&amp;VAR:CALENDAR=US&amp;VAR:SYMBOL=B10LQP&amp;VAR:INDEX=7"}</definedName>
    <definedName name="_125__FDSAUDITLINK__" hidden="1">{"fdsup://directions/FAT Viewer?action=UPDATE&amp;creator=factset&amp;DYN_ARGS=TRUE&amp;DOC_NAME=FAT:FQL_AUDITING_CLIENT_TEMPLATE.FAT&amp;display_string=Audit&amp;VAR:KEY=OFSJOTWNOJ&amp;VAR:QUERY=UENUQ0hHKEZGX0VQU19ESUwoQU5OLDAsLTksWSxSUCxMT0NBTCxNKSxGRl9FUFNfRElMKEFOTiwwIC0gMSwtO","SAtIDEsWSxSUCxMT0NBTCxNKSk=&amp;WINDOW=FIRST_POPUP&amp;HEIGHT=450&amp;WIDTH=450&amp;START_MAXIMIZED=FALSE&amp;VAR:CALENDAR=US&amp;VAR:SYMBOL=B10LQP&amp;VAR:INDEX=7"}</definedName>
    <definedName name="_125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5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5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5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5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5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5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5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5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5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5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5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5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5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5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5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5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5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5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5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5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5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5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5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5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5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5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5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5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5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6__FDSAUDITLINK__" localSheetId="3" hidden="1">{"fdsup://directions/FAT Viewer?action=UPDATE&amp;creator=factset&amp;DYN_ARGS=TRUE&amp;DOC_NAME=FAT:FQL_AUDITING_CLIENT_TEMPLATE.FAT&amp;display_string=Audit&amp;VAR:KEY=OFSJOTWNOJ&amp;VAR:QUERY=UENUQ0hHKEZGX0VQU19ESUwoQU5OLDAsLTksWSxSUCxMT0NBTCxNKSxGRl9FUFNfRElMKEFOTiwwIC0gMSwtO","SAtIDEsWSxSUCxMT0NBTCxNKSk=&amp;WINDOW=FIRST_POPUP&amp;HEIGHT=450&amp;WIDTH=450&amp;START_MAXIMIZED=FALSE&amp;VAR:CALENDAR=US&amp;VAR:SYMBOL=B10LQP&amp;VAR:INDEX=6"}</definedName>
    <definedName name="_126__FDSAUDITLINK__" localSheetId="7" hidden="1">{"fdsup://directions/FAT Viewer?action=UPDATE&amp;creator=factset&amp;DYN_ARGS=TRUE&amp;DOC_NAME=FAT:FQL_AUDITING_CLIENT_TEMPLATE.FAT&amp;display_string=Audit&amp;VAR:KEY=OFSJOTWNOJ&amp;VAR:QUERY=UENUQ0hHKEZGX0VQU19ESUwoQU5OLDAsLTksWSxSUCxMT0NBTCxNKSxGRl9FUFNfRElMKEFOTiwwIC0gMSwtO","SAtIDEsWSxSUCxMT0NBTCxNKSk=&amp;WINDOW=FIRST_POPUP&amp;HEIGHT=450&amp;WIDTH=450&amp;START_MAXIMIZED=FALSE&amp;VAR:CALENDAR=US&amp;VAR:SYMBOL=B10LQP&amp;VAR:INDEX=6"}</definedName>
    <definedName name="_126__FDSAUDITLINK__" hidden="1">{"fdsup://directions/FAT Viewer?action=UPDATE&amp;creator=factset&amp;DYN_ARGS=TRUE&amp;DOC_NAME=FAT:FQL_AUDITING_CLIENT_TEMPLATE.FAT&amp;display_string=Audit&amp;VAR:KEY=OFSJOTWNOJ&amp;VAR:QUERY=UENUQ0hHKEZGX0VQU19ESUwoQU5OLDAsLTksWSxSUCxMT0NBTCxNKSxGRl9FUFNfRElMKEFOTiwwIC0gMSwtO","SAtIDEsWSxSUCxMT0NBTCxNKSk=&amp;WINDOW=FIRST_POPUP&amp;HEIGHT=450&amp;WIDTH=450&amp;START_MAXIMIZED=FALSE&amp;VAR:CALENDAR=US&amp;VAR:SYMBOL=B10LQP&amp;VAR:INDEX=6"}</definedName>
    <definedName name="_1260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60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60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6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6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6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6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6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6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6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6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6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6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6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6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6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6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6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6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6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6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6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6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6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6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6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6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6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6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6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7__FDSAUDITLINK__" localSheetId="3" hidden="1">{"fdsup://directions/FAT Viewer?action=UPDATE&amp;creator=factset&amp;DYN_ARGS=TRUE&amp;DOC_NAME=FAT:FQL_AUDITING_CLIENT_TEMPLATE.FAT&amp;display_string=Audit&amp;VAR:KEY=OFSJOTWNOJ&amp;VAR:QUERY=UENUQ0hHKEZGX0VQU19ESUwoQU5OLDAsLTksWSxSUCxMT0NBTCxNKSxGRl9FUFNfRElMKEFOTiwwIC0gMSwtO","SAtIDEsWSxSUCxMT0NBTCxNKSk=&amp;WINDOW=FIRST_POPUP&amp;HEIGHT=450&amp;WIDTH=450&amp;START_MAXIMIZED=FALSE&amp;VAR:CALENDAR=US&amp;VAR:SYMBOL=B10LQP&amp;VAR:INDEX=5"}</definedName>
    <definedName name="_127__FDSAUDITLINK__" localSheetId="7" hidden="1">{"fdsup://directions/FAT Viewer?action=UPDATE&amp;creator=factset&amp;DYN_ARGS=TRUE&amp;DOC_NAME=FAT:FQL_AUDITING_CLIENT_TEMPLATE.FAT&amp;display_string=Audit&amp;VAR:KEY=OFSJOTWNOJ&amp;VAR:QUERY=UENUQ0hHKEZGX0VQU19ESUwoQU5OLDAsLTksWSxSUCxMT0NBTCxNKSxGRl9FUFNfRElMKEFOTiwwIC0gMSwtO","SAtIDEsWSxSUCxMT0NBTCxNKSk=&amp;WINDOW=FIRST_POPUP&amp;HEIGHT=450&amp;WIDTH=450&amp;START_MAXIMIZED=FALSE&amp;VAR:CALENDAR=US&amp;VAR:SYMBOL=B10LQP&amp;VAR:INDEX=5"}</definedName>
    <definedName name="_127__FDSAUDITLINK__" hidden="1">{"fdsup://directions/FAT Viewer?action=UPDATE&amp;creator=factset&amp;DYN_ARGS=TRUE&amp;DOC_NAME=FAT:FQL_AUDITING_CLIENT_TEMPLATE.FAT&amp;display_string=Audit&amp;VAR:KEY=OFSJOTWNOJ&amp;VAR:QUERY=UENUQ0hHKEZGX0VQU19ESUwoQU5OLDAsLTksWSxSUCxMT0NBTCxNKSxGRl9FUFNfRElMKEFOTiwwIC0gMSwtO","SAtIDEsWSxSUCxMT0NBTCxNKSk=&amp;WINDOW=FIRST_POPUP&amp;HEIGHT=450&amp;WIDTH=450&amp;START_MAXIMIZED=FALSE&amp;VAR:CALENDAR=US&amp;VAR:SYMBOL=B10LQP&amp;VAR:INDEX=5"}</definedName>
    <definedName name="_127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7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7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7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7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7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7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7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7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7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7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7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7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7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7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7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7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7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7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7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7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7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7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7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7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7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7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7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7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7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8__FDSAUDITLINK__" localSheetId="3" hidden="1">{"fdsup://directions/FAT Viewer?action=UPDATE&amp;creator=factset&amp;DYN_ARGS=TRUE&amp;DOC_NAME=FAT:FQL_AUDITING_CLIENT_TEMPLATE.FAT&amp;display_string=Audit&amp;VAR:KEY=OFSJOTWNOJ&amp;VAR:QUERY=UENUQ0hHKEZGX0VQU19ESUwoQU5OLDAsLTksWSxSUCxMT0NBTCxNKSxGRl9FUFNfRElMKEFOTiwwIC0gMSwtO","SAtIDEsWSxSUCxMT0NBTCxNKSk=&amp;WINDOW=FIRST_POPUP&amp;HEIGHT=450&amp;WIDTH=450&amp;START_MAXIMIZED=FALSE&amp;VAR:CALENDAR=US&amp;VAR:SYMBOL=B10LQP&amp;VAR:INDEX=4"}</definedName>
    <definedName name="_128__FDSAUDITLINK__" localSheetId="7" hidden="1">{"fdsup://directions/FAT Viewer?action=UPDATE&amp;creator=factset&amp;DYN_ARGS=TRUE&amp;DOC_NAME=FAT:FQL_AUDITING_CLIENT_TEMPLATE.FAT&amp;display_string=Audit&amp;VAR:KEY=OFSJOTWNOJ&amp;VAR:QUERY=UENUQ0hHKEZGX0VQU19ESUwoQU5OLDAsLTksWSxSUCxMT0NBTCxNKSxGRl9FUFNfRElMKEFOTiwwIC0gMSwtO","SAtIDEsWSxSUCxMT0NBTCxNKSk=&amp;WINDOW=FIRST_POPUP&amp;HEIGHT=450&amp;WIDTH=450&amp;START_MAXIMIZED=FALSE&amp;VAR:CALENDAR=US&amp;VAR:SYMBOL=B10LQP&amp;VAR:INDEX=4"}</definedName>
    <definedName name="_128__FDSAUDITLINK__" hidden="1">{"fdsup://directions/FAT Viewer?action=UPDATE&amp;creator=factset&amp;DYN_ARGS=TRUE&amp;DOC_NAME=FAT:FQL_AUDITING_CLIENT_TEMPLATE.FAT&amp;display_string=Audit&amp;VAR:KEY=OFSJOTWNOJ&amp;VAR:QUERY=UENUQ0hHKEZGX0VQU19ESUwoQU5OLDAsLTksWSxSUCxMT0NBTCxNKSxGRl9FUFNfRElMKEFOTiwwIC0gMSwtO","SAtIDEsWSxSUCxMT0NBTCxNKSk=&amp;WINDOW=FIRST_POPUP&amp;HEIGHT=450&amp;WIDTH=450&amp;START_MAXIMIZED=FALSE&amp;VAR:CALENDAR=US&amp;VAR:SYMBOL=B10LQP&amp;VAR:INDEX=4"}</definedName>
    <definedName name="_128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8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8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8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8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8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8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8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8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8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8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8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8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8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8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8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8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8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8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8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8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8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8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8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8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8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8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8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8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8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9__FDSAUDITLINK__" localSheetId="3" hidden="1">{"fdsup://directions/FAT Viewer?action=UPDATE&amp;creator=factset&amp;DYN_ARGS=TRUE&amp;DOC_NAME=FAT:FQL_AUDITING_CLIENT_TEMPLATE.FAT&amp;display_string=Audit&amp;VAR:KEY=OFSJOTWNOJ&amp;VAR:QUERY=UENUQ0hHKEZGX0VQU19ESUwoQU5OLDAsLTksWSxSUCxMT0NBTCxNKSxGRl9FUFNfRElMKEFOTiwwIC0gMSwtO","SAtIDEsWSxSUCxMT0NBTCxNKSk=&amp;WINDOW=FIRST_POPUP&amp;HEIGHT=450&amp;WIDTH=450&amp;START_MAXIMIZED=FALSE&amp;VAR:CALENDAR=US&amp;VAR:SYMBOL=B10LQP&amp;VAR:INDEX=3"}</definedName>
    <definedName name="_129__FDSAUDITLINK__" localSheetId="7" hidden="1">{"fdsup://directions/FAT Viewer?action=UPDATE&amp;creator=factset&amp;DYN_ARGS=TRUE&amp;DOC_NAME=FAT:FQL_AUDITING_CLIENT_TEMPLATE.FAT&amp;display_string=Audit&amp;VAR:KEY=OFSJOTWNOJ&amp;VAR:QUERY=UENUQ0hHKEZGX0VQU19ESUwoQU5OLDAsLTksWSxSUCxMT0NBTCxNKSxGRl9FUFNfRElMKEFOTiwwIC0gMSwtO","SAtIDEsWSxSUCxMT0NBTCxNKSk=&amp;WINDOW=FIRST_POPUP&amp;HEIGHT=450&amp;WIDTH=450&amp;START_MAXIMIZED=FALSE&amp;VAR:CALENDAR=US&amp;VAR:SYMBOL=B10LQP&amp;VAR:INDEX=3"}</definedName>
    <definedName name="_129__FDSAUDITLINK__" hidden="1">{"fdsup://directions/FAT Viewer?action=UPDATE&amp;creator=factset&amp;DYN_ARGS=TRUE&amp;DOC_NAME=FAT:FQL_AUDITING_CLIENT_TEMPLATE.FAT&amp;display_string=Audit&amp;VAR:KEY=OFSJOTWNOJ&amp;VAR:QUERY=UENUQ0hHKEZGX0VQU19ESUwoQU5OLDAsLTksWSxSUCxMT0NBTCxNKSxGRl9FUFNfRElMKEFOTiwwIC0gMSwtO","SAtIDEsWSxSUCxMT0NBTCxNKSk=&amp;WINDOW=FIRST_POPUP&amp;HEIGHT=450&amp;WIDTH=450&amp;START_MAXIMIZED=FALSE&amp;VAR:CALENDAR=US&amp;VAR:SYMBOL=B10LQP&amp;VAR:INDEX=3"}</definedName>
    <definedName name="_1290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90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90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9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9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9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9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9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9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9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9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9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9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9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9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29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9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9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29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9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9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29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9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9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29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9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9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29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9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29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__FDSAUDITLINK__" localSheetId="3" hidden="1">{"fdsup://Directions/FactSet Auditing Viewer?action=AUDIT_VALUE&amp;DB=129&amp;ID1=B01NTS&amp;VALUEID=01001&amp;SDATE=2009&amp;PERIODTYPE=ANN_STD&amp;SCFT=3&amp;window=popup_no_bar&amp;width=385&amp;height=120&amp;START_MAXIMIZED=FALSE&amp;creator=factset&amp;display_string=Audit"}</definedName>
    <definedName name="_13__FDSAUDITLINK__" localSheetId="7" hidden="1">{"fdsup://Directions/FactSet Auditing Viewer?action=AUDIT_VALUE&amp;DB=129&amp;ID1=B01NTS&amp;VALUEID=01001&amp;SDATE=2009&amp;PERIODTYPE=ANN_STD&amp;SCFT=3&amp;window=popup_no_bar&amp;width=385&amp;height=120&amp;START_MAXIMIZED=FALSE&amp;creator=factset&amp;display_string=Audit"}</definedName>
    <definedName name="_13__FDSAUDITLINK__" hidden="1">{"fdsup://Directions/FactSet Auditing Viewer?action=AUDIT_VALUE&amp;DB=129&amp;ID1=B01NTS&amp;VALUEID=01001&amp;SDATE=2009&amp;PERIODTYPE=ANN_STD&amp;SCFT=3&amp;window=popup_no_bar&amp;width=385&amp;height=120&amp;START_MAXIMIZED=FALSE&amp;creator=factset&amp;display_string=Audit"}</definedName>
    <definedName name="_130__FDSAUDITLINK__" localSheetId="3" hidden="1">{"fdsup://directions/FAT Viewer?action=UPDATE&amp;creator=factset&amp;DYN_ARGS=TRUE&amp;DOC_NAME=FAT:FQL_AUDITING_CLIENT_TEMPLATE.FAT&amp;display_string=Audit&amp;VAR:KEY=OFSJOTWNOJ&amp;VAR:QUERY=UENUQ0hHKEZGX0VQU19ESUwoQU5OLDAsLTksWSxSUCxMT0NBTCxNKSxGRl9FUFNfRElMKEFOTiwwIC0gMSwtO","SAtIDEsWSxSUCxMT0NBTCxNKSk=&amp;WINDOW=FIRST_POPUP&amp;HEIGHT=450&amp;WIDTH=450&amp;START_MAXIMIZED=FALSE&amp;VAR:CALENDAR=US&amp;VAR:SYMBOL=B10LQP&amp;VAR:INDEX=2"}</definedName>
    <definedName name="_130__FDSAUDITLINK__" localSheetId="7" hidden="1">{"fdsup://directions/FAT Viewer?action=UPDATE&amp;creator=factset&amp;DYN_ARGS=TRUE&amp;DOC_NAME=FAT:FQL_AUDITING_CLIENT_TEMPLATE.FAT&amp;display_string=Audit&amp;VAR:KEY=OFSJOTWNOJ&amp;VAR:QUERY=UENUQ0hHKEZGX0VQU19ESUwoQU5OLDAsLTksWSxSUCxMT0NBTCxNKSxGRl9FUFNfRElMKEFOTiwwIC0gMSwtO","SAtIDEsWSxSUCxMT0NBTCxNKSk=&amp;WINDOW=FIRST_POPUP&amp;HEIGHT=450&amp;WIDTH=450&amp;START_MAXIMIZED=FALSE&amp;VAR:CALENDAR=US&amp;VAR:SYMBOL=B10LQP&amp;VAR:INDEX=2"}</definedName>
    <definedName name="_130__FDSAUDITLINK__" hidden="1">{"fdsup://directions/FAT Viewer?action=UPDATE&amp;creator=factset&amp;DYN_ARGS=TRUE&amp;DOC_NAME=FAT:FQL_AUDITING_CLIENT_TEMPLATE.FAT&amp;display_string=Audit&amp;VAR:KEY=OFSJOTWNOJ&amp;VAR:QUERY=UENUQ0hHKEZGX0VQU19ESUwoQU5OLDAsLTksWSxSUCxMT0NBTCxNKSxGRl9FUFNfRElMKEFOTiwwIC0gMSwtO","SAtIDEsWSxSUCxMT0NBTCxNKSk=&amp;WINDOW=FIRST_POPUP&amp;HEIGHT=450&amp;WIDTH=450&amp;START_MAXIMIZED=FALSE&amp;VAR:CALENDAR=US&amp;VAR:SYMBOL=B10LQP&amp;VAR:INDEX=2"}</definedName>
    <definedName name="_130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0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0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0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0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0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0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0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0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0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0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0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0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0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0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0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0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0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0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0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0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0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0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0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0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0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0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0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0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0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1__FDSAUDITLINK__" localSheetId="3" hidden="1">{"fdsup://directions/FAT Viewer?action=UPDATE&amp;creator=factset&amp;DYN_ARGS=TRUE&amp;DOC_NAME=FAT:FQL_AUDITING_CLIENT_TEMPLATE.FAT&amp;display_string=Audit&amp;VAR:KEY=OFSJOTWNOJ&amp;VAR:QUERY=UENUQ0hHKEZGX0VQU19ESUwoQU5OLDAsLTksWSxSUCxMT0NBTCxNKSxGRl9FUFNfRElMKEFOTiwwIC0gMSwtO","SAtIDEsWSxSUCxMT0NBTCxNKSk=&amp;WINDOW=FIRST_POPUP&amp;HEIGHT=450&amp;WIDTH=450&amp;START_MAXIMIZED=FALSE&amp;VAR:CALENDAR=US&amp;VAR:SYMBOL=B10LQP&amp;VAR:INDEX=1"}</definedName>
    <definedName name="_131__FDSAUDITLINK__" localSheetId="7" hidden="1">{"fdsup://directions/FAT Viewer?action=UPDATE&amp;creator=factset&amp;DYN_ARGS=TRUE&amp;DOC_NAME=FAT:FQL_AUDITING_CLIENT_TEMPLATE.FAT&amp;display_string=Audit&amp;VAR:KEY=OFSJOTWNOJ&amp;VAR:QUERY=UENUQ0hHKEZGX0VQU19ESUwoQU5OLDAsLTksWSxSUCxMT0NBTCxNKSxGRl9FUFNfRElMKEFOTiwwIC0gMSwtO","SAtIDEsWSxSUCxMT0NBTCxNKSk=&amp;WINDOW=FIRST_POPUP&amp;HEIGHT=450&amp;WIDTH=450&amp;START_MAXIMIZED=FALSE&amp;VAR:CALENDAR=US&amp;VAR:SYMBOL=B10LQP&amp;VAR:INDEX=1"}</definedName>
    <definedName name="_131__FDSAUDITLINK__" hidden="1">{"fdsup://directions/FAT Viewer?action=UPDATE&amp;creator=factset&amp;DYN_ARGS=TRUE&amp;DOC_NAME=FAT:FQL_AUDITING_CLIENT_TEMPLATE.FAT&amp;display_string=Audit&amp;VAR:KEY=OFSJOTWNOJ&amp;VAR:QUERY=UENUQ0hHKEZGX0VQU19ESUwoQU5OLDAsLTksWSxSUCxMT0NBTCxNKSxGRl9FUFNfRElMKEFOTiwwIC0gMSwtO","SAtIDEsWSxSUCxMT0NBTCxNKSk=&amp;WINDOW=FIRST_POPUP&amp;HEIGHT=450&amp;WIDTH=450&amp;START_MAXIMIZED=FALSE&amp;VAR:CALENDAR=US&amp;VAR:SYMBOL=B10LQP&amp;VAR:INDEX=1"}</definedName>
    <definedName name="_131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1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1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1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1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1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1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1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1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1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1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1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1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1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1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1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1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1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1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1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1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1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1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1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1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1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1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1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1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1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2__FDSAUDITLINK__" localSheetId="3" hidden="1">{"fdsup://directions/FAT Viewer?action=UPDATE&amp;creator=factset&amp;DYN_ARGS=TRUE&amp;DOC_NAME=FAT:FQL_AUDITING_CLIENT_TEMPLATE.FAT&amp;display_string=Audit&amp;VAR:KEY=IFWZMBSVAV&amp;VAR:QUERY=RkZfQVNTRVRTX09USChBTk4sMCwtOSxZLFJQLFVTRCxNKQ==&amp;WINDOW=FIRST_POPUP&amp;HEIGHT=450&amp;WIDTH=","450&amp;START_MAXIMIZED=FALSE&amp;VAR:CALENDAR=US&amp;VAR:SYMBOL=B10LQP&amp;VAR:INDEX=6"}</definedName>
    <definedName name="_132__FDSAUDITLINK__" localSheetId="7" hidden="1">{"fdsup://directions/FAT Viewer?action=UPDATE&amp;creator=factset&amp;DYN_ARGS=TRUE&amp;DOC_NAME=FAT:FQL_AUDITING_CLIENT_TEMPLATE.FAT&amp;display_string=Audit&amp;VAR:KEY=IFWZMBSVAV&amp;VAR:QUERY=RkZfQVNTRVRTX09USChBTk4sMCwtOSxZLFJQLFVTRCxNKQ==&amp;WINDOW=FIRST_POPUP&amp;HEIGHT=450&amp;WIDTH=","450&amp;START_MAXIMIZED=FALSE&amp;VAR:CALENDAR=US&amp;VAR:SYMBOL=B10LQP&amp;VAR:INDEX=6"}</definedName>
    <definedName name="_132__FDSAUDITLINK__" hidden="1">{"fdsup://directions/FAT Viewer?action=UPDATE&amp;creator=factset&amp;DYN_ARGS=TRUE&amp;DOC_NAME=FAT:FQL_AUDITING_CLIENT_TEMPLATE.FAT&amp;display_string=Audit&amp;VAR:KEY=IFWZMBSVAV&amp;VAR:QUERY=RkZfQVNTRVRTX09USChBTk4sMCwtOSxZLFJQLFVTRCxNKQ==&amp;WINDOW=FIRST_POPUP&amp;HEIGHT=450&amp;WIDTH=","450&amp;START_MAXIMIZED=FALSE&amp;VAR:CALENDAR=US&amp;VAR:SYMBOL=B10LQP&amp;VAR:INDEX=6"}</definedName>
    <definedName name="_1320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20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20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2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2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2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2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2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2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2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2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2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2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2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2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2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2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2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2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2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2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2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2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2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2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2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2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2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2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2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3__FDSAUDITLINK__" localSheetId="3" hidden="1">{"fdsup://directions/FAT Viewer?action=UPDATE&amp;creator=factset&amp;DYN_ARGS=TRUE&amp;DOC_NAME=FAT:FQL_AUDITING_CLIENT_TEMPLATE.FAT&amp;display_string=Audit&amp;VAR:KEY=IXCFCBETUP&amp;VAR:QUERY=RkZfU0FMRVMoTFRNLDAsLCwsLE0p&amp;WINDOW=FIRST_POPUP&amp;HEIGHT=450&amp;WIDTH=450&amp;START_MAXIMIZED=","FALSE&amp;VAR:CALENDAR=US&amp;VAR:SYMBOL=B17MHG&amp;VAR:INDEX=0"}</definedName>
    <definedName name="_133__FDSAUDITLINK__" localSheetId="7" hidden="1">{"fdsup://directions/FAT Viewer?action=UPDATE&amp;creator=factset&amp;DYN_ARGS=TRUE&amp;DOC_NAME=FAT:FQL_AUDITING_CLIENT_TEMPLATE.FAT&amp;display_string=Audit&amp;VAR:KEY=IXCFCBETUP&amp;VAR:QUERY=RkZfU0FMRVMoTFRNLDAsLCwsLE0p&amp;WINDOW=FIRST_POPUP&amp;HEIGHT=450&amp;WIDTH=450&amp;START_MAXIMIZED=","FALSE&amp;VAR:CALENDAR=US&amp;VAR:SYMBOL=B17MHG&amp;VAR:INDEX=0"}</definedName>
    <definedName name="_133__FDSAUDITLINK__" hidden="1">{"fdsup://directions/FAT Viewer?action=UPDATE&amp;creator=factset&amp;DYN_ARGS=TRUE&amp;DOC_NAME=FAT:FQL_AUDITING_CLIENT_TEMPLATE.FAT&amp;display_string=Audit&amp;VAR:KEY=IXCFCBETUP&amp;VAR:QUERY=RkZfU0FMRVMoTFRNLDAsLCwsLE0p&amp;WINDOW=FIRST_POPUP&amp;HEIGHT=450&amp;WIDTH=450&amp;START_MAXIMIZED=","FALSE&amp;VAR:CALENDAR=US&amp;VAR:SYMBOL=B17MHG&amp;VAR:INDEX=0"}</definedName>
    <definedName name="_133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3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3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3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3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3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3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3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3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3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3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3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3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3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3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3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3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3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3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3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3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3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3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3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3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3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3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3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3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3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4__FDSAUDITLINK__" localSheetId="3" hidden="1">{"fdsup://directions/FAT Viewer?action=UPDATE&amp;creator=factset&amp;DYN_ARGS=TRUE&amp;DOC_NAME=FAT:FQL_AUDITING_CLIENT_TEMPLATE.FAT&amp;display_string=Audit&amp;VAR:KEY=ZUFEZAZITE&amp;VAR:QUERY=RkZfRVBTX0RJTChBTk4sMCwtOSxZLFJQLFVTRCxNKQ==&amp;WINDOW=FIRST_POPUP&amp;HEIGHT=450&amp;WIDTH=450&amp;","START_MAXIMIZED=FALSE&amp;VAR:CALENDAR=US&amp;VAR:SYMBOL=B10LQP&amp;VAR:INDEX=1"}</definedName>
    <definedName name="_134__FDSAUDITLINK__" localSheetId="7" hidden="1">{"fdsup://directions/FAT Viewer?action=UPDATE&amp;creator=factset&amp;DYN_ARGS=TRUE&amp;DOC_NAME=FAT:FQL_AUDITING_CLIENT_TEMPLATE.FAT&amp;display_string=Audit&amp;VAR:KEY=ZUFEZAZITE&amp;VAR:QUERY=RkZfRVBTX0RJTChBTk4sMCwtOSxZLFJQLFVTRCxNKQ==&amp;WINDOW=FIRST_POPUP&amp;HEIGHT=450&amp;WIDTH=450&amp;","START_MAXIMIZED=FALSE&amp;VAR:CALENDAR=US&amp;VAR:SYMBOL=B10LQP&amp;VAR:INDEX=1"}</definedName>
    <definedName name="_134__FDSAUDITLINK__" hidden="1">{"fdsup://directions/FAT Viewer?action=UPDATE&amp;creator=factset&amp;DYN_ARGS=TRUE&amp;DOC_NAME=FAT:FQL_AUDITING_CLIENT_TEMPLATE.FAT&amp;display_string=Audit&amp;VAR:KEY=ZUFEZAZITE&amp;VAR:QUERY=RkZfRVBTX0RJTChBTk4sMCwtOSxZLFJQLFVTRCxNKQ==&amp;WINDOW=FIRST_POPUP&amp;HEIGHT=450&amp;WIDTH=450&amp;","START_MAXIMIZED=FALSE&amp;VAR:CALENDAR=US&amp;VAR:SYMBOL=B10LQP&amp;VAR:INDEX=1"}</definedName>
    <definedName name="_134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4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4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4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4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4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4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4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4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4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4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4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4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4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4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4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4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4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4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4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4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4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4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4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4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4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4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4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4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4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5__FDSAUDITLINK__" localSheetId="3" hidden="1">{"fdsup://directions/FAT Viewer?action=UPDATE&amp;creator=factset&amp;DYN_ARGS=TRUE&amp;DOC_NAME=FAT:FQL_AUDITING_CLIENT_TEMPLATE.FAT&amp;display_string=Audit&amp;VAR:KEY=IFWZMBSVAV&amp;VAR:QUERY=RkZfQVNTRVRTX09USChBTk4sMCwtOSxZLFJQLFVTRCxNKQ==&amp;WINDOW=FIRST_POPUP&amp;HEIGHT=450&amp;WIDTH=","450&amp;START_MAXIMIZED=FALSE&amp;VAR:CALENDAR=US&amp;VAR:SYMBOL=B10LQP&amp;VAR:INDEX=3"}</definedName>
    <definedName name="_135__FDSAUDITLINK__" localSheetId="7" hidden="1">{"fdsup://directions/FAT Viewer?action=UPDATE&amp;creator=factset&amp;DYN_ARGS=TRUE&amp;DOC_NAME=FAT:FQL_AUDITING_CLIENT_TEMPLATE.FAT&amp;display_string=Audit&amp;VAR:KEY=IFWZMBSVAV&amp;VAR:QUERY=RkZfQVNTRVRTX09USChBTk4sMCwtOSxZLFJQLFVTRCxNKQ==&amp;WINDOW=FIRST_POPUP&amp;HEIGHT=450&amp;WIDTH=","450&amp;START_MAXIMIZED=FALSE&amp;VAR:CALENDAR=US&amp;VAR:SYMBOL=B10LQP&amp;VAR:INDEX=3"}</definedName>
    <definedName name="_135__FDSAUDITLINK__" hidden="1">{"fdsup://directions/FAT Viewer?action=UPDATE&amp;creator=factset&amp;DYN_ARGS=TRUE&amp;DOC_NAME=FAT:FQL_AUDITING_CLIENT_TEMPLATE.FAT&amp;display_string=Audit&amp;VAR:KEY=IFWZMBSVAV&amp;VAR:QUERY=RkZfQVNTRVRTX09USChBTk4sMCwtOSxZLFJQLFVTRCxNKQ==&amp;WINDOW=FIRST_POPUP&amp;HEIGHT=450&amp;WIDTH=","450&amp;START_MAXIMIZED=FALSE&amp;VAR:CALENDAR=US&amp;VAR:SYMBOL=B10LQP&amp;VAR:INDEX=3"}</definedName>
    <definedName name="_1350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50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50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5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5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5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5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5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5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5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5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5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5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5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5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5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5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5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5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5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5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5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5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5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5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5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5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5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5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5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6__FDSAUDITLINK__" localSheetId="3" hidden="1">{"fdsup://directions/FAT Viewer?action=UPDATE&amp;creator=factset&amp;DYN_ARGS=TRUE&amp;DOC_NAME=FAT:FQL_AUDITING_CLIENT_TEMPLATE.FAT&amp;display_string=Audit&amp;VAR:KEY=CBMPEVQHYL&amp;VAR:QUERY=RkZfU0FMRVMoTFRNLDAsLCwsLE0p&amp;WINDOW=FIRST_POPUP&amp;HEIGHT=450&amp;WIDTH=450&amp;START_MAXIMIZED=","FALSE&amp;VAR:CALENDAR=US&amp;VAR:SYMBOL=B17MHG&amp;VAR:INDEX=0"}</definedName>
    <definedName name="_136__FDSAUDITLINK__" localSheetId="7" hidden="1">{"fdsup://directions/FAT Viewer?action=UPDATE&amp;creator=factset&amp;DYN_ARGS=TRUE&amp;DOC_NAME=FAT:FQL_AUDITING_CLIENT_TEMPLATE.FAT&amp;display_string=Audit&amp;VAR:KEY=CBMPEVQHYL&amp;VAR:QUERY=RkZfU0FMRVMoTFRNLDAsLCwsLE0p&amp;WINDOW=FIRST_POPUP&amp;HEIGHT=450&amp;WIDTH=450&amp;START_MAXIMIZED=","FALSE&amp;VAR:CALENDAR=US&amp;VAR:SYMBOL=B17MHG&amp;VAR:INDEX=0"}</definedName>
    <definedName name="_136__FDSAUDITLINK__" hidden="1">{"fdsup://directions/FAT Viewer?action=UPDATE&amp;creator=factset&amp;DYN_ARGS=TRUE&amp;DOC_NAME=FAT:FQL_AUDITING_CLIENT_TEMPLATE.FAT&amp;display_string=Audit&amp;VAR:KEY=CBMPEVQHYL&amp;VAR:QUERY=RkZfU0FMRVMoTFRNLDAsLCwsLE0p&amp;WINDOW=FIRST_POPUP&amp;HEIGHT=450&amp;WIDTH=450&amp;START_MAXIMIZED=","FALSE&amp;VAR:CALENDAR=US&amp;VAR:SYMBOL=B17MHG&amp;VAR:INDEX=0"}</definedName>
    <definedName name="_136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6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6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6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6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6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6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6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6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6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6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6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6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6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6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6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6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6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6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6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6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6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6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6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6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6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6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6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6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6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7__FDSAUDITLINK__" localSheetId="3" hidden="1">{"fdsup://Directions/FactSet Auditing Viewer?action=AUDIT_VALUE&amp;DB=129&amp;ID1=B031NN&amp;VALUEID=01001&amp;SDATE=2011&amp;PERIODTYPE=ANN_STD&amp;SCFT=3&amp;window=popup_no_bar&amp;width=385&amp;height=120&amp;START_MAXIMIZED=FALSE&amp;creator=factset&amp;display_string=Audit"}</definedName>
    <definedName name="_137__FDSAUDITLINK__" localSheetId="7" hidden="1">{"fdsup://Directions/FactSet Auditing Viewer?action=AUDIT_VALUE&amp;DB=129&amp;ID1=B031NN&amp;VALUEID=01001&amp;SDATE=2011&amp;PERIODTYPE=ANN_STD&amp;SCFT=3&amp;window=popup_no_bar&amp;width=385&amp;height=120&amp;START_MAXIMIZED=FALSE&amp;creator=factset&amp;display_string=Audit"}</definedName>
    <definedName name="_137__FDSAUDITLINK__" hidden="1">{"fdsup://Directions/FactSet Auditing Viewer?action=AUDIT_VALUE&amp;DB=129&amp;ID1=B031NN&amp;VALUEID=01001&amp;SDATE=2011&amp;PERIODTYPE=ANN_STD&amp;SCFT=3&amp;window=popup_no_bar&amp;width=385&amp;height=120&amp;START_MAXIMIZED=FALSE&amp;creator=factset&amp;display_string=Audit"}</definedName>
    <definedName name="_137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7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7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7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7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7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7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7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7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7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7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7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7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7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7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7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7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7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7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7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7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7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7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7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7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7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7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7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7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7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8__FDSAUDITLINK__" localSheetId="3" hidden="1">{"fdsup://directions/FAT Viewer?action=UPDATE&amp;creator=factset&amp;DYN_ARGS=TRUE&amp;DOC_NAME=FAT:FQL_AUDITING_CLIENT_TEMPLATE.FAT&amp;display_string=Audit&amp;VAR:KEY=SRSREFMTIT&amp;VAR:QUERY=RkZfTkVUX0lOQyhMVE0sMCwsLCwsTSk=&amp;WINDOW=FIRST_POPUP&amp;HEIGHT=450&amp;WIDTH=450&amp;START_MAXIMI","ZED=FALSE&amp;VAR:CALENDAR=US&amp;VAR:SYMBOL=220015&amp;VAR:INDEX=0"}</definedName>
    <definedName name="_138__FDSAUDITLINK__" localSheetId="7" hidden="1">{"fdsup://directions/FAT Viewer?action=UPDATE&amp;creator=factset&amp;DYN_ARGS=TRUE&amp;DOC_NAME=FAT:FQL_AUDITING_CLIENT_TEMPLATE.FAT&amp;display_string=Audit&amp;VAR:KEY=SRSREFMTIT&amp;VAR:QUERY=RkZfTkVUX0lOQyhMVE0sMCwsLCwsTSk=&amp;WINDOW=FIRST_POPUP&amp;HEIGHT=450&amp;WIDTH=450&amp;START_MAXIMI","ZED=FALSE&amp;VAR:CALENDAR=US&amp;VAR:SYMBOL=220015&amp;VAR:INDEX=0"}</definedName>
    <definedName name="_138__FDSAUDITLINK__" hidden="1">{"fdsup://directions/FAT Viewer?action=UPDATE&amp;creator=factset&amp;DYN_ARGS=TRUE&amp;DOC_NAME=FAT:FQL_AUDITING_CLIENT_TEMPLATE.FAT&amp;display_string=Audit&amp;VAR:KEY=SRSREFMTIT&amp;VAR:QUERY=RkZfTkVUX0lOQyhMVE0sMCwsLCwsTSk=&amp;WINDOW=FIRST_POPUP&amp;HEIGHT=450&amp;WIDTH=450&amp;START_MAXIMI","ZED=FALSE&amp;VAR:CALENDAR=US&amp;VAR:SYMBOL=220015&amp;VAR:INDEX=0"}</definedName>
    <definedName name="_138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8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8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8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8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8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8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8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8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8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8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8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8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8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8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8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8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8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8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8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8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8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8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8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8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8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8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8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8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8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9__FDSAUDITLINK__" localSheetId="3" hidden="1">{"fdsup://directions/FAT Viewer?action=UPDATE&amp;creator=factset&amp;DYN_ARGS=TRUE&amp;DOC_NAME=FAT:FQL_AUDITING_CLIENT_TEMPLATE.FAT&amp;display_string=Audit&amp;VAR:KEY=WJQZGBIZMR&amp;VAR:QUERY=UENUQ0hHKEZGX0VQU19ESUxfQkVGX1VOVVNVQUwoQU5OLDAsLTksWSxSUCxMT0NBTCxNKSxGRl9FUFNfRElMX","0JFRl9VTlVTVUFMKEFOTiwtMSwtOSAtIDEsWSxSUCxMT0NBTCxNKSk=&amp;WINDOW=FIRST_POPUP&amp;HEIGHT=450&amp;WIDTH=450&amp;START_MAXIMIZED=FALSE&amp;VAR:CALENDAR=US&amp;VAR:SYMBOL=B10LQP&amp;VAR:INDEX=4"}</definedName>
    <definedName name="_139__FDSAUDITLINK__" localSheetId="7" hidden="1">{"fdsup://directions/FAT Viewer?action=UPDATE&amp;creator=factset&amp;DYN_ARGS=TRUE&amp;DOC_NAME=FAT:FQL_AUDITING_CLIENT_TEMPLATE.FAT&amp;display_string=Audit&amp;VAR:KEY=WJQZGBIZMR&amp;VAR:QUERY=UENUQ0hHKEZGX0VQU19ESUxfQkVGX1VOVVNVQUwoQU5OLDAsLTksWSxSUCxMT0NBTCxNKSxGRl9FUFNfRElMX","0JFRl9VTlVTVUFMKEFOTiwtMSwtOSAtIDEsWSxSUCxMT0NBTCxNKSk=&amp;WINDOW=FIRST_POPUP&amp;HEIGHT=450&amp;WIDTH=450&amp;START_MAXIMIZED=FALSE&amp;VAR:CALENDAR=US&amp;VAR:SYMBOL=B10LQP&amp;VAR:INDEX=4"}</definedName>
    <definedName name="_139__FDSAUDITLINK__" hidden="1">{"fdsup://directions/FAT Viewer?action=UPDATE&amp;creator=factset&amp;DYN_ARGS=TRUE&amp;DOC_NAME=FAT:FQL_AUDITING_CLIENT_TEMPLATE.FAT&amp;display_string=Audit&amp;VAR:KEY=WJQZGBIZMR&amp;VAR:QUERY=UENUQ0hHKEZGX0VQU19ESUxfQkVGX1VOVVNVQUwoQU5OLDAsLTksWSxSUCxMT0NBTCxNKSxGRl9FUFNfRElMX","0JFRl9VTlVTVUFMKEFOTiwtMSwtOSAtIDEsWSxSUCxMT0NBTCxNKSk=&amp;WINDOW=FIRST_POPUP&amp;HEIGHT=450&amp;WIDTH=450&amp;START_MAXIMIZED=FALSE&amp;VAR:CALENDAR=US&amp;VAR:SYMBOL=B10LQP&amp;VAR:INDEX=4"}</definedName>
    <definedName name="_139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9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9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9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9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9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9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9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9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9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9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9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9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9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9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39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9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9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39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9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9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39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9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9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39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9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9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39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9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39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__FDSAUDITLINK__" localSheetId="3" hidden="1">{"fdsup://directions/FAT Viewer?action=UPDATE&amp;creator=factset&amp;DYN_ARGS=TRUE&amp;DOC_NAME=FAT:FQL_AUDITING_CLIENT_TEMPLATE.FAT&amp;display_string=Audit&amp;VAR:KEY=NKRWVSFUVI&amp;VAR:QUERY=RkZfU0FMRVMoTFRNLDAsLCwsQlJMLE0p&amp;WINDOW=FIRST_POPUP&amp;HEIGHT=450&amp;WIDTH=450&amp;START_MAXIMI","ZED=FALSE&amp;VAR:CALENDAR=US&amp;VAR:SYMBOL=B17MHG&amp;VAR:INDEX=0"}</definedName>
    <definedName name="_14__FDSAUDITLINK__" localSheetId="7" hidden="1">{"fdsup://directions/FAT Viewer?action=UPDATE&amp;creator=factset&amp;DYN_ARGS=TRUE&amp;DOC_NAME=FAT:FQL_AUDITING_CLIENT_TEMPLATE.FAT&amp;display_string=Audit&amp;VAR:KEY=NKRWVSFUVI&amp;VAR:QUERY=RkZfU0FMRVMoTFRNLDAsLCwsQlJMLE0p&amp;WINDOW=FIRST_POPUP&amp;HEIGHT=450&amp;WIDTH=450&amp;START_MAXIMI","ZED=FALSE&amp;VAR:CALENDAR=US&amp;VAR:SYMBOL=B17MHG&amp;VAR:INDEX=0"}</definedName>
    <definedName name="_14__FDSAUDITLINK__" hidden="1">{"fdsup://directions/FAT Viewer?action=UPDATE&amp;creator=factset&amp;DYN_ARGS=TRUE&amp;DOC_NAME=FAT:FQL_AUDITING_CLIENT_TEMPLATE.FAT&amp;display_string=Audit&amp;VAR:KEY=NKRWVSFUVI&amp;VAR:QUERY=RkZfU0FMRVMoTFRNLDAsLCwsQlJMLE0p&amp;WINDOW=FIRST_POPUP&amp;HEIGHT=450&amp;WIDTH=450&amp;START_MAXIMI","ZED=FALSE&amp;VAR:CALENDAR=US&amp;VAR:SYMBOL=B17MHG&amp;VAR:INDEX=0"}</definedName>
    <definedName name="_140__FDSAUDITLINK__" localSheetId="3" hidden="1">{"fdsup://directions/FAT Viewer?action=UPDATE&amp;creator=factset&amp;DYN_ARGS=TRUE&amp;DOC_NAME=FAT:FQL_AUDITING_CLIENT_TEMPLATE.FAT&amp;display_string=Audit&amp;VAR:KEY=WJQZGBIZMR&amp;VAR:QUERY=UENUQ0hHKEZGX0VQU19ESUxfQkVGX1VOVVNVQUwoQU5OLDAsLTksWSxSUCxMT0NBTCxNKSxGRl9FUFNfRElMX","0JFRl9VTlVTVUFMKEFOTiwtMSwtOSAtIDEsWSxSUCxMT0NBTCxNKSk=&amp;WINDOW=FIRST_POPUP&amp;HEIGHT=450&amp;WIDTH=450&amp;START_MAXIMIZED=FALSE&amp;VAR:CALENDAR=US&amp;VAR:SYMBOL=B10LQP&amp;VAR:INDEX=3"}</definedName>
    <definedName name="_140__FDSAUDITLINK__" localSheetId="7" hidden="1">{"fdsup://directions/FAT Viewer?action=UPDATE&amp;creator=factset&amp;DYN_ARGS=TRUE&amp;DOC_NAME=FAT:FQL_AUDITING_CLIENT_TEMPLATE.FAT&amp;display_string=Audit&amp;VAR:KEY=WJQZGBIZMR&amp;VAR:QUERY=UENUQ0hHKEZGX0VQU19ESUxfQkVGX1VOVVNVQUwoQU5OLDAsLTksWSxSUCxMT0NBTCxNKSxGRl9FUFNfRElMX","0JFRl9VTlVTVUFMKEFOTiwtMSwtOSAtIDEsWSxSUCxMT0NBTCxNKSk=&amp;WINDOW=FIRST_POPUP&amp;HEIGHT=450&amp;WIDTH=450&amp;START_MAXIMIZED=FALSE&amp;VAR:CALENDAR=US&amp;VAR:SYMBOL=B10LQP&amp;VAR:INDEX=3"}</definedName>
    <definedName name="_140__FDSAUDITLINK__" hidden="1">{"fdsup://directions/FAT Viewer?action=UPDATE&amp;creator=factset&amp;DYN_ARGS=TRUE&amp;DOC_NAME=FAT:FQL_AUDITING_CLIENT_TEMPLATE.FAT&amp;display_string=Audit&amp;VAR:KEY=WJQZGBIZMR&amp;VAR:QUERY=UENUQ0hHKEZGX0VQU19ESUxfQkVGX1VOVVNVQUwoQU5OLDAsLTksWSxSUCxMT0NBTCxNKSxGRl9FUFNfRElMX","0JFRl9VTlVTVUFMKEFOTiwtMSwtOSAtIDEsWSxSUCxMT0NBTCxNKSk=&amp;WINDOW=FIRST_POPUP&amp;HEIGHT=450&amp;WIDTH=450&amp;START_MAXIMIZED=FALSE&amp;VAR:CALENDAR=US&amp;VAR:SYMBOL=B10LQP&amp;VAR:INDEX=3"}</definedName>
    <definedName name="_1400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00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00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0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0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0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0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0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0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0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0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0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0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0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0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0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0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0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0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0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0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0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0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0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0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0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0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0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0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0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1__FDSAUDITLINK__" localSheetId="3" hidden="1">{"fdsup://directions/FAT Viewer?action=UPDATE&amp;creator=factset&amp;DYN_ARGS=TRUE&amp;DOC_NAME=FAT:FQL_AUDITING_CLIENT_TEMPLATE.FAT&amp;display_string=Audit&amp;VAR:KEY=WJQZGBIZMR&amp;VAR:QUERY=UENUQ0hHKEZGX0VQU19ESUxfQkVGX1VOVVNVQUwoQU5OLDAsLTksWSxSUCxMT0NBTCxNKSxGRl9FUFNfRElMX","0JFRl9VTlVTVUFMKEFOTiwtMSwtOSAtIDEsWSxSUCxMT0NBTCxNKSk=&amp;WINDOW=FIRST_POPUP&amp;HEIGHT=450&amp;WIDTH=450&amp;START_MAXIMIZED=FALSE&amp;VAR:CALENDAR=US&amp;VAR:SYMBOL=B10LQP&amp;VAR:INDEX=2"}</definedName>
    <definedName name="_141__FDSAUDITLINK__" localSheetId="7" hidden="1">{"fdsup://directions/FAT Viewer?action=UPDATE&amp;creator=factset&amp;DYN_ARGS=TRUE&amp;DOC_NAME=FAT:FQL_AUDITING_CLIENT_TEMPLATE.FAT&amp;display_string=Audit&amp;VAR:KEY=WJQZGBIZMR&amp;VAR:QUERY=UENUQ0hHKEZGX0VQU19ESUxfQkVGX1VOVVNVQUwoQU5OLDAsLTksWSxSUCxMT0NBTCxNKSxGRl9FUFNfRElMX","0JFRl9VTlVTVUFMKEFOTiwtMSwtOSAtIDEsWSxSUCxMT0NBTCxNKSk=&amp;WINDOW=FIRST_POPUP&amp;HEIGHT=450&amp;WIDTH=450&amp;START_MAXIMIZED=FALSE&amp;VAR:CALENDAR=US&amp;VAR:SYMBOL=B10LQP&amp;VAR:INDEX=2"}</definedName>
    <definedName name="_141__FDSAUDITLINK__" hidden="1">{"fdsup://directions/FAT Viewer?action=UPDATE&amp;creator=factset&amp;DYN_ARGS=TRUE&amp;DOC_NAME=FAT:FQL_AUDITING_CLIENT_TEMPLATE.FAT&amp;display_string=Audit&amp;VAR:KEY=WJQZGBIZMR&amp;VAR:QUERY=UENUQ0hHKEZGX0VQU19ESUxfQkVGX1VOVVNVQUwoQU5OLDAsLTksWSxSUCxMT0NBTCxNKSxGRl9FUFNfRElMX","0JFRl9VTlVTVUFMKEFOTiwtMSwtOSAtIDEsWSxSUCxMT0NBTCxNKSk=&amp;WINDOW=FIRST_POPUP&amp;HEIGHT=450&amp;WIDTH=450&amp;START_MAXIMIZED=FALSE&amp;VAR:CALENDAR=US&amp;VAR:SYMBOL=B10LQP&amp;VAR:INDEX=2"}</definedName>
    <definedName name="_141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1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1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1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1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1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1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1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1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1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1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1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1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1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1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1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1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1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1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1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1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1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1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1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1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1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1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1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1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1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2__FDSAUDITLINK__" localSheetId="3" hidden="1">{"fdsup://directions/FAT Viewer?action=UPDATE&amp;creator=factset&amp;DYN_ARGS=TRUE&amp;DOC_NAME=FAT:FQL_AUDITING_CLIENT_TEMPLATE.FAT&amp;display_string=Audit&amp;VAR:KEY=WJQZGBIZMR&amp;VAR:QUERY=UENUQ0hHKEZGX0VQU19ESUxfQkVGX1VOVVNVQUwoQU5OLDAsLTksWSxSUCxMT0NBTCxNKSxGRl9FUFNfRElMX","0JFRl9VTlVTVUFMKEFOTiwtMSwtOSAtIDEsWSxSUCxMT0NBTCxNKSk=&amp;WINDOW=FIRST_POPUP&amp;HEIGHT=450&amp;WIDTH=450&amp;START_MAXIMIZED=FALSE&amp;VAR:CALENDAR=US&amp;VAR:SYMBOL=B10LQP&amp;VAR:INDEX=1"}</definedName>
    <definedName name="_142__FDSAUDITLINK__" localSheetId="7" hidden="1">{"fdsup://directions/FAT Viewer?action=UPDATE&amp;creator=factset&amp;DYN_ARGS=TRUE&amp;DOC_NAME=FAT:FQL_AUDITING_CLIENT_TEMPLATE.FAT&amp;display_string=Audit&amp;VAR:KEY=WJQZGBIZMR&amp;VAR:QUERY=UENUQ0hHKEZGX0VQU19ESUxfQkVGX1VOVVNVQUwoQU5OLDAsLTksWSxSUCxMT0NBTCxNKSxGRl9FUFNfRElMX","0JFRl9VTlVTVUFMKEFOTiwtMSwtOSAtIDEsWSxSUCxMT0NBTCxNKSk=&amp;WINDOW=FIRST_POPUP&amp;HEIGHT=450&amp;WIDTH=450&amp;START_MAXIMIZED=FALSE&amp;VAR:CALENDAR=US&amp;VAR:SYMBOL=B10LQP&amp;VAR:INDEX=1"}</definedName>
    <definedName name="_142__FDSAUDITLINK__" hidden="1">{"fdsup://directions/FAT Viewer?action=UPDATE&amp;creator=factset&amp;DYN_ARGS=TRUE&amp;DOC_NAME=FAT:FQL_AUDITING_CLIENT_TEMPLATE.FAT&amp;display_string=Audit&amp;VAR:KEY=WJQZGBIZMR&amp;VAR:QUERY=UENUQ0hHKEZGX0VQU19ESUxfQkVGX1VOVVNVQUwoQU5OLDAsLTksWSxSUCxMT0NBTCxNKSxGRl9FUFNfRElMX","0JFRl9VTlVTVUFMKEFOTiwtMSwtOSAtIDEsWSxSUCxMT0NBTCxNKSk=&amp;WINDOW=FIRST_POPUP&amp;HEIGHT=450&amp;WIDTH=450&amp;START_MAXIMIZED=FALSE&amp;VAR:CALENDAR=US&amp;VAR:SYMBOL=B10LQP&amp;VAR:INDEX=1"}</definedName>
    <definedName name="_142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2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2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2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2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2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2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2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2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2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2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2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2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2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2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2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2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2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2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2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2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2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2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2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2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2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2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2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2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2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3__FDSAUDITLINK__" localSheetId="3" hidden="1">{"fdsup://directions/FAT Viewer?action=UPDATE&amp;creator=factset&amp;DYN_ARGS=TRUE&amp;DOC_NAME=FAT:FQL_AUDITING_CLIENT_TEMPLATE.FAT&amp;display_string=Audit&amp;VAR:KEY=ADMLKFIVGJ&amp;VAR:QUERY=RkZfSU5UQU5HX09USChBTk4sMCwtOSxZLFJQLFVTRCxNKQ==&amp;WINDOW=FIRST_POPUP&amp;HEIGHT=450&amp;WIDTH=","450&amp;START_MAXIMIZED=FALSE&amp;VAR:CALENDAR=US&amp;VAR:SYMBOL=B10LQP&amp;VAR:INDEX=5"}</definedName>
    <definedName name="_143__FDSAUDITLINK__" localSheetId="7" hidden="1">{"fdsup://directions/FAT Viewer?action=UPDATE&amp;creator=factset&amp;DYN_ARGS=TRUE&amp;DOC_NAME=FAT:FQL_AUDITING_CLIENT_TEMPLATE.FAT&amp;display_string=Audit&amp;VAR:KEY=ADMLKFIVGJ&amp;VAR:QUERY=RkZfSU5UQU5HX09USChBTk4sMCwtOSxZLFJQLFVTRCxNKQ==&amp;WINDOW=FIRST_POPUP&amp;HEIGHT=450&amp;WIDTH=","450&amp;START_MAXIMIZED=FALSE&amp;VAR:CALENDAR=US&amp;VAR:SYMBOL=B10LQP&amp;VAR:INDEX=5"}</definedName>
    <definedName name="_143__FDSAUDITLINK__" hidden="1">{"fdsup://directions/FAT Viewer?action=UPDATE&amp;creator=factset&amp;DYN_ARGS=TRUE&amp;DOC_NAME=FAT:FQL_AUDITING_CLIENT_TEMPLATE.FAT&amp;display_string=Audit&amp;VAR:KEY=ADMLKFIVGJ&amp;VAR:QUERY=RkZfSU5UQU5HX09USChBTk4sMCwtOSxZLFJQLFVTRCxNKQ==&amp;WINDOW=FIRST_POPUP&amp;HEIGHT=450&amp;WIDTH=","450&amp;START_MAXIMIZED=FALSE&amp;VAR:CALENDAR=US&amp;VAR:SYMBOL=B10LQP&amp;VAR:INDEX=5"}</definedName>
    <definedName name="_1430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30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30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3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3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3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3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3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3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3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3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3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3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3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3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3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3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3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3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3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3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3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3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3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3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3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3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3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3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3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4__FDSAUDITLINK__" localSheetId="3"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 localSheetId="7"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4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4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4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4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4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4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4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4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4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4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4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4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4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4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4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4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4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4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4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4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4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4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4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4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4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4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4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4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4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5__FDSAUDITLINK__" localSheetId="3"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6"}</definedName>
    <definedName name="_145__FDSAUDITLINK__" localSheetId="7"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6"}</definedName>
    <definedName name="_145__FDSAUDITLINK__"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6"}</definedName>
    <definedName name="_145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5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5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5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5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5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5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5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5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5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5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5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5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5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5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5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5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5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5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5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5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5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5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5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5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5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5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5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5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5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6__FDSAUDITLINK__" localSheetId="3" hidden="1">{"fdsup://directions/FAT Viewer?action=UPDATE&amp;creator=factset&amp;DYN_ARGS=TRUE&amp;DOC_NAME=FAT:FQL_AUDITING_CLIENT_TEMPLATE.FAT&amp;display_string=Audit&amp;VAR:KEY=UNMRQTEPKZ&amp;VAR:QUERY=RkZfU0FMRVMoTFRNLDAsLCwsLE0p&amp;WINDOW=FIRST_POPUP&amp;HEIGHT=450&amp;WIDTH=450&amp;START_MAXIMIZED=","FALSE&amp;VAR:CALENDAR=US&amp;VAR:SYMBOL=CLSC6-BR&amp;VAR:INDEX=0"}</definedName>
    <definedName name="_146__FDSAUDITLINK__" localSheetId="7" hidden="1">{"fdsup://directions/FAT Viewer?action=UPDATE&amp;creator=factset&amp;DYN_ARGS=TRUE&amp;DOC_NAME=FAT:FQL_AUDITING_CLIENT_TEMPLATE.FAT&amp;display_string=Audit&amp;VAR:KEY=UNMRQTEPKZ&amp;VAR:QUERY=RkZfU0FMRVMoTFRNLDAsLCwsLE0p&amp;WINDOW=FIRST_POPUP&amp;HEIGHT=450&amp;WIDTH=450&amp;START_MAXIMIZED=","FALSE&amp;VAR:CALENDAR=US&amp;VAR:SYMBOL=CLSC6-BR&amp;VAR:INDEX=0"}</definedName>
    <definedName name="_146__FDSAUDITLINK__" hidden="1">{"fdsup://directions/FAT Viewer?action=UPDATE&amp;creator=factset&amp;DYN_ARGS=TRUE&amp;DOC_NAME=FAT:FQL_AUDITING_CLIENT_TEMPLATE.FAT&amp;display_string=Audit&amp;VAR:KEY=UNMRQTEPKZ&amp;VAR:QUERY=RkZfU0FMRVMoTFRNLDAsLCwsLE0p&amp;WINDOW=FIRST_POPUP&amp;HEIGHT=450&amp;WIDTH=450&amp;START_MAXIMIZED=","FALSE&amp;VAR:CALENDAR=US&amp;VAR:SYMBOL=CLSC6-BR&amp;VAR:INDEX=0"}</definedName>
    <definedName name="_1460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60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60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6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6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6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6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6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6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6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6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6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6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6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6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6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6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6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6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6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6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6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6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6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6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6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6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6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6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6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7__FDSAUDITLINK__" localSheetId="3"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4"}</definedName>
    <definedName name="_147__FDSAUDITLINK__" localSheetId="7"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4"}</definedName>
    <definedName name="_147__FDSAUDITLINK__"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4"}</definedName>
    <definedName name="_147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7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7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7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7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7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7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7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7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7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7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7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7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7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7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7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7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7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7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7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7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7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7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7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7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7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7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7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7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7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8__FDSAUDITLINK__" localSheetId="3"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3"}</definedName>
    <definedName name="_148__FDSAUDITLINK__" localSheetId="7"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3"}</definedName>
    <definedName name="_148__FDSAUDITLINK__"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3"}</definedName>
    <definedName name="_148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8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8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8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8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8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8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8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8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8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8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8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8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8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8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8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8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8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8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8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8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8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8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8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8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8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8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8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8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8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9__FDSAUDITLINK__" localSheetId="3"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2"}</definedName>
    <definedName name="_149__FDSAUDITLINK__" localSheetId="7"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2"}</definedName>
    <definedName name="_149__FDSAUDITLINK__"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2"}</definedName>
    <definedName name="_1490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90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90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9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9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9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9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9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9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9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9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9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9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9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9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49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9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9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49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9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9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49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9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9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49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9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9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49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9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49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__FDSAUDITLINK__" localSheetId="3" hidden="1">{"fdsup://Directions/FactSet Auditing Viewer?action=AUDIT_VALUE&amp;DB=129&amp;ID1=268453&amp;VALUEID=01001&amp;SDATE=2010&amp;PERIODTYPE=ANN_STD&amp;SCFT=3&amp;window=popup_no_bar&amp;width=385&amp;height=120&amp;START_MAXIMIZED=FALSE&amp;creator=factset&amp;display_string=Audit"}</definedName>
    <definedName name="_15__FDSAUDITLINK__" localSheetId="7" hidden="1">{"fdsup://Directions/FactSet Auditing Viewer?action=AUDIT_VALUE&amp;DB=129&amp;ID1=268453&amp;VALUEID=01001&amp;SDATE=2010&amp;PERIODTYPE=ANN_STD&amp;SCFT=3&amp;window=popup_no_bar&amp;width=385&amp;height=120&amp;START_MAXIMIZED=FALSE&amp;creator=factset&amp;display_string=Audit"}</definedName>
    <definedName name="_15__FDSAUDITLINK__" hidden="1">{"fdsup://Directions/FactSet Auditing Viewer?action=AUDIT_VALUE&amp;DB=129&amp;ID1=268453&amp;VALUEID=01001&amp;SDATE=2010&amp;PERIODTYPE=ANN_STD&amp;SCFT=3&amp;window=popup_no_bar&amp;width=385&amp;height=120&amp;START_MAXIMIZED=FALSE&amp;creator=factset&amp;display_string=Audit"}</definedName>
    <definedName name="_150__FDSAUDITLINK__" localSheetId="3"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1"}</definedName>
    <definedName name="_150__FDSAUDITLINK__" localSheetId="7"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1"}</definedName>
    <definedName name="_150__FDSAUDITLINK__"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1"}</definedName>
    <definedName name="_150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0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0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0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0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0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0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0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0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0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0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0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0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0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0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0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0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0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0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0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0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0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0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0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0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0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0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0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0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0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1__FDSAUDITLINK__" localSheetId="3" hidden="1">{"fdsup://directions/FAT Viewer?action=UPDATE&amp;creator=factset&amp;DYN_ARGS=TRUE&amp;DOC_NAME=FAT:FQL_AUDITING_CLIENT_TEMPLATE.FAT&amp;display_string=Audit&amp;VAR:KEY=FCLMDKRCRY&amp;VAR:QUERY=RkZfTkVUX0RFQlQoQU5OLDAsLTksWSxSUCkgLyBGRl9FQklUREFfT1BFUihBTk4sMCwtOSxZLFJQKQ==&amp;WIND","OW=FIRST_POPUP&amp;HEIGHT=450&amp;WIDTH=450&amp;START_MAXIMIZED=FALSE&amp;VAR:CALENDAR=US&amp;VAR:SYMBOL=B10LQP&amp;VAR:INDEX=0"}</definedName>
    <definedName name="_151__FDSAUDITLINK__" localSheetId="7" hidden="1">{"fdsup://directions/FAT Viewer?action=UPDATE&amp;creator=factset&amp;DYN_ARGS=TRUE&amp;DOC_NAME=FAT:FQL_AUDITING_CLIENT_TEMPLATE.FAT&amp;display_string=Audit&amp;VAR:KEY=FCLMDKRCRY&amp;VAR:QUERY=RkZfTkVUX0RFQlQoQU5OLDAsLTksWSxSUCkgLyBGRl9FQklUREFfT1BFUihBTk4sMCwtOSxZLFJQKQ==&amp;WIND","OW=FIRST_POPUP&amp;HEIGHT=450&amp;WIDTH=450&amp;START_MAXIMIZED=FALSE&amp;VAR:CALENDAR=US&amp;VAR:SYMBOL=B10LQP&amp;VAR:INDEX=0"}</definedName>
    <definedName name="_151__FDSAUDITLINK__" hidden="1">{"fdsup://directions/FAT Viewer?action=UPDATE&amp;creator=factset&amp;DYN_ARGS=TRUE&amp;DOC_NAME=FAT:FQL_AUDITING_CLIENT_TEMPLATE.FAT&amp;display_string=Audit&amp;VAR:KEY=FCLMDKRCRY&amp;VAR:QUERY=RkZfTkVUX0RFQlQoQU5OLDAsLTksWSxSUCkgLyBGRl9FQklUREFfT1BFUihBTk4sMCwtOSxZLFJQKQ==&amp;WIND","OW=FIRST_POPUP&amp;HEIGHT=450&amp;WIDTH=450&amp;START_MAXIMIZED=FALSE&amp;VAR:CALENDAR=US&amp;VAR:SYMBOL=B10LQP&amp;VAR:INDEX=0"}</definedName>
    <definedName name="_151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1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1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1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1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1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1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1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1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1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1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1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1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1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1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1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1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1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1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1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1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1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1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1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1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1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1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1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1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1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2__FDSAUDITLINK__" localSheetId="3" hidden="1">{"fdsup://Directions/FactSet Auditing Viewer?action=AUDIT_VALUE&amp;DB=129&amp;ID1=B10LQP&amp;VALUEID=18232&amp;SDATE=2010&amp;PERIODTYPE=ANN_STD&amp;SCFT=3&amp;window=popup_no_bar&amp;width=385&amp;height=120&amp;START_MAXIMIZED=FALSE&amp;creator=factset&amp;display_string=Audit"}</definedName>
    <definedName name="_152__FDSAUDITLINK__" localSheetId="7" hidden="1">{"fdsup://Directions/FactSet Auditing Viewer?action=AUDIT_VALUE&amp;DB=129&amp;ID1=B10LQP&amp;VALUEID=18232&amp;SDATE=2010&amp;PERIODTYPE=ANN_STD&amp;SCFT=3&amp;window=popup_no_bar&amp;width=385&amp;height=120&amp;START_MAXIMIZED=FALSE&amp;creator=factset&amp;display_string=Audit"}</definedName>
    <definedName name="_152__FDSAUDITLINK__" hidden="1">{"fdsup://Directions/FactSet Auditing Viewer?action=AUDIT_VALUE&amp;DB=129&amp;ID1=B10LQP&amp;VALUEID=18232&amp;SDATE=2010&amp;PERIODTYPE=ANN_STD&amp;SCFT=3&amp;window=popup_no_bar&amp;width=385&amp;height=120&amp;START_MAXIMIZED=FALSE&amp;creator=factset&amp;display_string=Audit"}</definedName>
    <definedName name="_1520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20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20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2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2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2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2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2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2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2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2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2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2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2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2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2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2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2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2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2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2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2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2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2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2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2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2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2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2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2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3__FDSAUDITLINK__" localSheetId="3" hidden="1">{"fdsup://directions/FAT Viewer?action=UPDATE&amp;creator=factset&amp;DYN_ARGS=TRUE&amp;DOC_NAME=FAT:FQL_AUDITING_CLIENT_TEMPLATE.FAT&amp;display_string=Audit&amp;VAR:KEY=SFWLUHKPAR&amp;VAR:QUERY=RkZfQ0FTSF9SQVRJTyhBTk4sMCwtOSxZLFJQKQ==&amp;WINDOW=FIRST_POPUP&amp;HEIGHT=450&amp;WIDTH=450&amp;STAR","T_MAXIMIZED=FALSE&amp;VAR:CALENDAR=US&amp;VAR:SYMBOL=B10LQP&amp;VAR:INDEX=6"}</definedName>
    <definedName name="_153__FDSAUDITLINK__" localSheetId="7" hidden="1">{"fdsup://directions/FAT Viewer?action=UPDATE&amp;creator=factset&amp;DYN_ARGS=TRUE&amp;DOC_NAME=FAT:FQL_AUDITING_CLIENT_TEMPLATE.FAT&amp;display_string=Audit&amp;VAR:KEY=SFWLUHKPAR&amp;VAR:QUERY=RkZfQ0FTSF9SQVRJTyhBTk4sMCwtOSxZLFJQKQ==&amp;WINDOW=FIRST_POPUP&amp;HEIGHT=450&amp;WIDTH=450&amp;STAR","T_MAXIMIZED=FALSE&amp;VAR:CALENDAR=US&amp;VAR:SYMBOL=B10LQP&amp;VAR:INDEX=6"}</definedName>
    <definedName name="_153__FDSAUDITLINK__" hidden="1">{"fdsup://directions/FAT Viewer?action=UPDATE&amp;creator=factset&amp;DYN_ARGS=TRUE&amp;DOC_NAME=FAT:FQL_AUDITING_CLIENT_TEMPLATE.FAT&amp;display_string=Audit&amp;VAR:KEY=SFWLUHKPAR&amp;VAR:QUERY=RkZfQ0FTSF9SQVRJTyhBTk4sMCwtOSxZLFJQKQ==&amp;WINDOW=FIRST_POPUP&amp;HEIGHT=450&amp;WIDTH=450&amp;STAR","T_MAXIMIZED=FALSE&amp;VAR:CALENDAR=US&amp;VAR:SYMBOL=B10LQP&amp;VAR:INDEX=6"}</definedName>
    <definedName name="_153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3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3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3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3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3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3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3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3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3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3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3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3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3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3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3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3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3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3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3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3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3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3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3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3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3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3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3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3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3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4__FDSAUDITLINK__" localSheetId="3" hidden="1">{"fdsup://directions/FAT Viewer?action=UPDATE&amp;creator=factset&amp;DYN_ARGS=TRUE&amp;DOC_NAME=FAT:FQL_AUDITING_CLIENT_TEMPLATE.FAT&amp;display_string=Audit&amp;VAR:KEY=MFUBINSFML&amp;VAR:QUERY=RkZfU0FMRVMoTFRNLDAsLCwsLE0p&amp;WINDOW=FIRST_POPUP&amp;HEIGHT=450&amp;WIDTH=450&amp;START_MAXIMIZED=","FALSE&amp;VAR:CALENDAR=US&amp;VAR:SYMBOL=B0D749&amp;VAR:INDEX=0"}</definedName>
    <definedName name="_154__FDSAUDITLINK__" localSheetId="7" hidden="1">{"fdsup://directions/FAT Viewer?action=UPDATE&amp;creator=factset&amp;DYN_ARGS=TRUE&amp;DOC_NAME=FAT:FQL_AUDITING_CLIENT_TEMPLATE.FAT&amp;display_string=Audit&amp;VAR:KEY=MFUBINSFML&amp;VAR:QUERY=RkZfU0FMRVMoTFRNLDAsLCwsLE0p&amp;WINDOW=FIRST_POPUP&amp;HEIGHT=450&amp;WIDTH=450&amp;START_MAXIMIZED=","FALSE&amp;VAR:CALENDAR=US&amp;VAR:SYMBOL=B0D749&amp;VAR:INDEX=0"}</definedName>
    <definedName name="_154__FDSAUDITLINK__" hidden="1">{"fdsup://directions/FAT Viewer?action=UPDATE&amp;creator=factset&amp;DYN_ARGS=TRUE&amp;DOC_NAME=FAT:FQL_AUDITING_CLIENT_TEMPLATE.FAT&amp;display_string=Audit&amp;VAR:KEY=MFUBINSFML&amp;VAR:QUERY=RkZfU0FMRVMoTFRNLDAsLCwsLE0p&amp;WINDOW=FIRST_POPUP&amp;HEIGHT=450&amp;WIDTH=450&amp;START_MAXIMIZED=","FALSE&amp;VAR:CALENDAR=US&amp;VAR:SYMBOL=B0D749&amp;VAR:INDEX=0"}</definedName>
    <definedName name="_154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4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4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4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4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4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4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4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4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4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4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4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4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4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4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4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4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4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4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4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4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4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4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4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4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4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4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4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4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4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5__FDSAUDITLINK__" localSheetId="3" hidden="1">{"fdsup://directions/FAT Viewer?action=UPDATE&amp;creator=factset&amp;DYN_ARGS=TRUE&amp;DOC_NAME=FAT:FQL_AUDITING_CLIENT_TEMPLATE.FAT&amp;display_string=Audit&amp;VAR:KEY=PEZILSXUBW&amp;VAR:QUERY=RkZfT1BFUl9MRUFTRV9DT01NSVRfVE9UKEFOTiwwLC05LFksUlAsVVNELE0p&amp;WINDOW=FIRST_POPUP&amp;HEIGH","T=450&amp;WIDTH=450&amp;START_MAXIMIZED=FALSE&amp;VAR:CALENDAR=US&amp;VAR:SYMBOL=B10LQP&amp;VAR:INDEX=6"}</definedName>
    <definedName name="_155__FDSAUDITLINK__" localSheetId="7" hidden="1">{"fdsup://directions/FAT Viewer?action=UPDATE&amp;creator=factset&amp;DYN_ARGS=TRUE&amp;DOC_NAME=FAT:FQL_AUDITING_CLIENT_TEMPLATE.FAT&amp;display_string=Audit&amp;VAR:KEY=PEZILSXUBW&amp;VAR:QUERY=RkZfT1BFUl9MRUFTRV9DT01NSVRfVE9UKEFOTiwwLC05LFksUlAsVVNELE0p&amp;WINDOW=FIRST_POPUP&amp;HEIGH","T=450&amp;WIDTH=450&amp;START_MAXIMIZED=FALSE&amp;VAR:CALENDAR=US&amp;VAR:SYMBOL=B10LQP&amp;VAR:INDEX=6"}</definedName>
    <definedName name="_155__FDSAUDITLINK__" hidden="1">{"fdsup://directions/FAT Viewer?action=UPDATE&amp;creator=factset&amp;DYN_ARGS=TRUE&amp;DOC_NAME=FAT:FQL_AUDITING_CLIENT_TEMPLATE.FAT&amp;display_string=Audit&amp;VAR:KEY=PEZILSXUBW&amp;VAR:QUERY=RkZfT1BFUl9MRUFTRV9DT01NSVRfVE9UKEFOTiwwLC05LFksUlAsVVNELE0p&amp;WINDOW=FIRST_POPUP&amp;HEIGH","T=450&amp;WIDTH=450&amp;START_MAXIMIZED=FALSE&amp;VAR:CALENDAR=US&amp;VAR:SYMBOL=B10LQP&amp;VAR:INDEX=6"}</definedName>
    <definedName name="_1550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50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50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5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5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5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5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5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5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5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5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5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5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5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5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5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5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5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5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5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5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5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5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5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5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5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5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5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5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5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6__FDSAUDITLINK__" localSheetId="3" hidden="1">{"fdsup://directions/FAT Viewer?action=UPDATE&amp;creator=factset&amp;DYN_ARGS=TRUE&amp;DOC_NAME=FAT:FQL_AUDITING_CLIENT_TEMPLATE.FAT&amp;display_string=Audit&amp;VAR:KEY=PEZILSXUBW&amp;VAR:QUERY=RkZfT1BFUl9MRUFTRV9DT01NSVRfVE9UKEFOTiwwLC05LFksUlAsVVNELE0p&amp;WINDOW=FIRST_POPUP&amp;HEIGH","T=450&amp;WIDTH=450&amp;START_MAXIMIZED=FALSE&amp;VAR:CALENDAR=US&amp;VAR:SYMBOL=B10LQP&amp;VAR:INDEX=5"}</definedName>
    <definedName name="_156__FDSAUDITLINK__" localSheetId="7" hidden="1">{"fdsup://directions/FAT Viewer?action=UPDATE&amp;creator=factset&amp;DYN_ARGS=TRUE&amp;DOC_NAME=FAT:FQL_AUDITING_CLIENT_TEMPLATE.FAT&amp;display_string=Audit&amp;VAR:KEY=PEZILSXUBW&amp;VAR:QUERY=RkZfT1BFUl9MRUFTRV9DT01NSVRfVE9UKEFOTiwwLC05LFksUlAsVVNELE0p&amp;WINDOW=FIRST_POPUP&amp;HEIGH","T=450&amp;WIDTH=450&amp;START_MAXIMIZED=FALSE&amp;VAR:CALENDAR=US&amp;VAR:SYMBOL=B10LQP&amp;VAR:INDEX=5"}</definedName>
    <definedName name="_156__FDSAUDITLINK__" hidden="1">{"fdsup://directions/FAT Viewer?action=UPDATE&amp;creator=factset&amp;DYN_ARGS=TRUE&amp;DOC_NAME=FAT:FQL_AUDITING_CLIENT_TEMPLATE.FAT&amp;display_string=Audit&amp;VAR:KEY=PEZILSXUBW&amp;VAR:QUERY=RkZfT1BFUl9MRUFTRV9DT01NSVRfVE9UKEFOTiwwLC05LFksUlAsVVNELE0p&amp;WINDOW=FIRST_POPUP&amp;HEIGH","T=450&amp;WIDTH=450&amp;START_MAXIMIZED=FALSE&amp;VAR:CALENDAR=US&amp;VAR:SYMBOL=B10LQP&amp;VAR:INDEX=5"}</definedName>
    <definedName name="_156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6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6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6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6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6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6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6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6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6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6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6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6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6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6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6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6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6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6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6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6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6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6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6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6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6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6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6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6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6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7__FDSAUDITLINK__" localSheetId="3" hidden="1">{"fdsup://directions/FAT Viewer?action=UPDATE&amp;creator=factset&amp;DYN_ARGS=TRUE&amp;DOC_NAME=FAT:FQL_AUDITING_CLIENT_TEMPLATE.FAT&amp;display_string=Audit&amp;VAR:KEY=PEZILSXUBW&amp;VAR:QUERY=RkZfT1BFUl9MRUFTRV9DT01NSVRfVE9UKEFOTiwwLC05LFksUlAsVVNELE0p&amp;WINDOW=FIRST_POPUP&amp;HEIGH","T=450&amp;WIDTH=450&amp;START_MAXIMIZED=FALSE&amp;VAR:CALENDAR=US&amp;VAR:SYMBOL=B10LQP&amp;VAR:INDEX=4"}</definedName>
    <definedName name="_157__FDSAUDITLINK__" localSheetId="7" hidden="1">{"fdsup://directions/FAT Viewer?action=UPDATE&amp;creator=factset&amp;DYN_ARGS=TRUE&amp;DOC_NAME=FAT:FQL_AUDITING_CLIENT_TEMPLATE.FAT&amp;display_string=Audit&amp;VAR:KEY=PEZILSXUBW&amp;VAR:QUERY=RkZfT1BFUl9MRUFTRV9DT01NSVRfVE9UKEFOTiwwLC05LFksUlAsVVNELE0p&amp;WINDOW=FIRST_POPUP&amp;HEIGH","T=450&amp;WIDTH=450&amp;START_MAXIMIZED=FALSE&amp;VAR:CALENDAR=US&amp;VAR:SYMBOL=B10LQP&amp;VAR:INDEX=4"}</definedName>
    <definedName name="_157__FDSAUDITLINK__" hidden="1">{"fdsup://directions/FAT Viewer?action=UPDATE&amp;creator=factset&amp;DYN_ARGS=TRUE&amp;DOC_NAME=FAT:FQL_AUDITING_CLIENT_TEMPLATE.FAT&amp;display_string=Audit&amp;VAR:KEY=PEZILSXUBW&amp;VAR:QUERY=RkZfT1BFUl9MRUFTRV9DT01NSVRfVE9UKEFOTiwwLC05LFksUlAsVVNELE0p&amp;WINDOW=FIRST_POPUP&amp;HEIGH","T=450&amp;WIDTH=450&amp;START_MAXIMIZED=FALSE&amp;VAR:CALENDAR=US&amp;VAR:SYMBOL=B10LQP&amp;VAR:INDEX=4"}</definedName>
    <definedName name="_157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7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7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7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7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7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7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7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7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7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7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7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7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7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7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7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7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7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7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7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7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7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7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7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7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7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7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7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7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7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8__FDSAUDITLINK__" localSheetId="3" hidden="1">{"fdsup://directions/FAT Viewer?action=UPDATE&amp;creator=factset&amp;DYN_ARGS=TRUE&amp;DOC_NAME=FAT:FQL_AUDITING_CLIENT_TEMPLATE.FAT&amp;display_string=Audit&amp;VAR:KEY=PEZILSXUBW&amp;VAR:QUERY=RkZfT1BFUl9MRUFTRV9DT01NSVRfVE9UKEFOTiwwLC05LFksUlAsVVNELE0p&amp;WINDOW=FIRST_POPUP&amp;HEIGH","T=450&amp;WIDTH=450&amp;START_MAXIMIZED=FALSE&amp;VAR:CALENDAR=US&amp;VAR:SYMBOL=B10LQP&amp;VAR:INDEX=3"}</definedName>
    <definedName name="_158__FDSAUDITLINK__" localSheetId="7" hidden="1">{"fdsup://directions/FAT Viewer?action=UPDATE&amp;creator=factset&amp;DYN_ARGS=TRUE&amp;DOC_NAME=FAT:FQL_AUDITING_CLIENT_TEMPLATE.FAT&amp;display_string=Audit&amp;VAR:KEY=PEZILSXUBW&amp;VAR:QUERY=RkZfT1BFUl9MRUFTRV9DT01NSVRfVE9UKEFOTiwwLC05LFksUlAsVVNELE0p&amp;WINDOW=FIRST_POPUP&amp;HEIGH","T=450&amp;WIDTH=450&amp;START_MAXIMIZED=FALSE&amp;VAR:CALENDAR=US&amp;VAR:SYMBOL=B10LQP&amp;VAR:INDEX=3"}</definedName>
    <definedName name="_158__FDSAUDITLINK__" hidden="1">{"fdsup://directions/FAT Viewer?action=UPDATE&amp;creator=factset&amp;DYN_ARGS=TRUE&amp;DOC_NAME=FAT:FQL_AUDITING_CLIENT_TEMPLATE.FAT&amp;display_string=Audit&amp;VAR:KEY=PEZILSXUBW&amp;VAR:QUERY=RkZfT1BFUl9MRUFTRV9DT01NSVRfVE9UKEFOTiwwLC05LFksUlAsVVNELE0p&amp;WINDOW=FIRST_POPUP&amp;HEIGH","T=450&amp;WIDTH=450&amp;START_MAXIMIZED=FALSE&amp;VAR:CALENDAR=US&amp;VAR:SYMBOL=B10LQP&amp;VAR:INDEX=3"}</definedName>
    <definedName name="_1580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80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80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8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8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8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8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8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8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8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8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8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8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8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8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8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8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8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8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8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8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8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8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8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8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8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8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8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8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8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9__FDSAUDITLINK__" localSheetId="3" hidden="1">{"fdsup://directions/FAT Viewer?action=UPDATE&amp;creator=factset&amp;DYN_ARGS=TRUE&amp;DOC_NAME=FAT:FQL_AUDITING_CLIENT_TEMPLATE.FAT&amp;display_string=Audit&amp;VAR:KEY=PEZILSXUBW&amp;VAR:QUERY=RkZfT1BFUl9MRUFTRV9DT01NSVRfVE9UKEFOTiwwLC05LFksUlAsVVNELE0p&amp;WINDOW=FIRST_POPUP&amp;HEIGH","T=450&amp;WIDTH=450&amp;START_MAXIMIZED=FALSE&amp;VAR:CALENDAR=US&amp;VAR:SYMBOL=B10LQP&amp;VAR:INDEX=2"}</definedName>
    <definedName name="_159__FDSAUDITLINK__" localSheetId="7" hidden="1">{"fdsup://directions/FAT Viewer?action=UPDATE&amp;creator=factset&amp;DYN_ARGS=TRUE&amp;DOC_NAME=FAT:FQL_AUDITING_CLIENT_TEMPLATE.FAT&amp;display_string=Audit&amp;VAR:KEY=PEZILSXUBW&amp;VAR:QUERY=RkZfT1BFUl9MRUFTRV9DT01NSVRfVE9UKEFOTiwwLC05LFksUlAsVVNELE0p&amp;WINDOW=FIRST_POPUP&amp;HEIGH","T=450&amp;WIDTH=450&amp;START_MAXIMIZED=FALSE&amp;VAR:CALENDAR=US&amp;VAR:SYMBOL=B10LQP&amp;VAR:INDEX=2"}</definedName>
    <definedName name="_159__FDSAUDITLINK__" hidden="1">{"fdsup://directions/FAT Viewer?action=UPDATE&amp;creator=factset&amp;DYN_ARGS=TRUE&amp;DOC_NAME=FAT:FQL_AUDITING_CLIENT_TEMPLATE.FAT&amp;display_string=Audit&amp;VAR:KEY=PEZILSXUBW&amp;VAR:QUERY=RkZfT1BFUl9MRUFTRV9DT01NSVRfVE9UKEFOTiwwLC05LFksUlAsVVNELE0p&amp;WINDOW=FIRST_POPUP&amp;HEIGH","T=450&amp;WIDTH=450&amp;START_MAXIMIZED=FALSE&amp;VAR:CALENDAR=US&amp;VAR:SYMBOL=B10LQP&amp;VAR:INDEX=2"}</definedName>
    <definedName name="_159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9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9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9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9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9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9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9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9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9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9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9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9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9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9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59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9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9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59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9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9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59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9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9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59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9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9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59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9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59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__FDSAUDITLINK__" localSheetId="3" hidden="1">{"fdsup://directions/FAT Viewer?action=UPDATE&amp;creator=factset&amp;DYN_ARGS=TRUE&amp;DOC_NAME=FAT:FQL_AUDITING_CLIENT_TEMPLATE.FAT&amp;display_string=Audit&amp;VAR:KEY=JSTKRODSVI&amp;VAR:QUERY=RkZfRUJJVERBX09QRVIoQU5OLDAp&amp;WINDOW=FIRST_POPUP&amp;HEIGHT=450&amp;WIDTH=450&amp;START_MAXIMIZED=","FALSE&amp;VAR:CALENDAR=US&amp;VAR:SYMBOL=B4LHBQ&amp;VAR:INDEX=0"}</definedName>
    <definedName name="_16__FDSAUDITLINK__" localSheetId="7" hidden="1">{"fdsup://directions/FAT Viewer?action=UPDATE&amp;creator=factset&amp;DYN_ARGS=TRUE&amp;DOC_NAME=FAT:FQL_AUDITING_CLIENT_TEMPLATE.FAT&amp;display_string=Audit&amp;VAR:KEY=JSTKRODSVI&amp;VAR:QUERY=RkZfRUJJVERBX09QRVIoQU5OLDAp&amp;WINDOW=FIRST_POPUP&amp;HEIGHT=450&amp;WIDTH=450&amp;START_MAXIMIZED=","FALSE&amp;VAR:CALENDAR=US&amp;VAR:SYMBOL=B4LHBQ&amp;VAR:INDEX=0"}</definedName>
    <definedName name="_16__FDSAUDITLINK__" hidden="1">{"fdsup://directions/FAT Viewer?action=UPDATE&amp;creator=factset&amp;DYN_ARGS=TRUE&amp;DOC_NAME=FAT:FQL_AUDITING_CLIENT_TEMPLATE.FAT&amp;display_string=Audit&amp;VAR:KEY=JSTKRODSVI&amp;VAR:QUERY=RkZfRUJJVERBX09QRVIoQU5OLDAp&amp;WINDOW=FIRST_POPUP&amp;HEIGHT=450&amp;WIDTH=450&amp;START_MAXIMIZED=","FALSE&amp;VAR:CALENDAR=US&amp;VAR:SYMBOL=B4LHBQ&amp;VAR:INDEX=0"}</definedName>
    <definedName name="_160__FDSAUDITLINK__" localSheetId="3"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 localSheetId="7"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0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0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0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0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0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0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0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0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0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0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0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0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0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0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0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0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0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0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0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0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0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0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0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0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0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0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0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0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0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1__FDSAUDITLINK__" localSheetId="3" hidden="1">{"fdsup://directions/FAT Viewer?action=UPDATE&amp;creator=factset&amp;DYN_ARGS=TRUE&amp;DOC_NAME=FAT:FQL_AUDITING_CLIENT_TEMPLATE.FAT&amp;display_string=Audit&amp;VAR:KEY=WTEXCXETCZ&amp;VAR:QUERY=RkZfSU5WRVNUX0FEVihBTk4sMCwtOSxZLFJQLFVTRCxNKQ==&amp;WINDOW=FIRST_POPUP&amp;HEIGHT=450&amp;WIDTH=","450&amp;START_MAXIMIZED=FALSE&amp;VAR:CALENDAR=US&amp;VAR:SYMBOL=B10LQP&amp;VAR:INDEX=4"}</definedName>
    <definedName name="_161__FDSAUDITLINK__" localSheetId="7" hidden="1">{"fdsup://directions/FAT Viewer?action=UPDATE&amp;creator=factset&amp;DYN_ARGS=TRUE&amp;DOC_NAME=FAT:FQL_AUDITING_CLIENT_TEMPLATE.FAT&amp;display_string=Audit&amp;VAR:KEY=WTEXCXETCZ&amp;VAR:QUERY=RkZfSU5WRVNUX0FEVihBTk4sMCwtOSxZLFJQLFVTRCxNKQ==&amp;WINDOW=FIRST_POPUP&amp;HEIGHT=450&amp;WIDTH=","450&amp;START_MAXIMIZED=FALSE&amp;VAR:CALENDAR=US&amp;VAR:SYMBOL=B10LQP&amp;VAR:INDEX=4"}</definedName>
    <definedName name="_161__FDSAUDITLINK__" hidden="1">{"fdsup://directions/FAT Viewer?action=UPDATE&amp;creator=factset&amp;DYN_ARGS=TRUE&amp;DOC_NAME=FAT:FQL_AUDITING_CLIENT_TEMPLATE.FAT&amp;display_string=Audit&amp;VAR:KEY=WTEXCXETCZ&amp;VAR:QUERY=RkZfSU5WRVNUX0FEVihBTk4sMCwtOSxZLFJQLFVTRCxNKQ==&amp;WINDOW=FIRST_POPUP&amp;HEIGHT=450&amp;WIDTH=","450&amp;START_MAXIMIZED=FALSE&amp;VAR:CALENDAR=US&amp;VAR:SYMBOL=B10LQP&amp;VAR:INDEX=4"}</definedName>
    <definedName name="_1610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10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10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1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1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1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1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1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1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1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1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1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1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1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1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1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1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1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1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1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1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1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1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1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1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1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1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1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1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1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2__FDSAUDITLINK__" localSheetId="3" hidden="1">{"fdsup://directions/FAT Viewer?action=UPDATE&amp;creator=factset&amp;DYN_ARGS=TRUE&amp;DOC_NAME=FAT:FQL_AUDITING_CLIENT_TEMPLATE.FAT&amp;display_string=Audit&amp;VAR:KEY=GHWHKTKTCJ&amp;VAR:QUERY=RkZfSExUSF9GVU5ERURfU1RBVFVTKEFOTiwwLC05LFksUlAsVVNELE0p&amp;WINDOW=FIRST_POPUP&amp;HEIGHT=45","0&amp;WIDTH=450&amp;START_MAXIMIZED=FALSE&amp;VAR:CALENDAR=US&amp;VAR:SYMBOL=B10LQP&amp;VAR:INDEX=7"}</definedName>
    <definedName name="_162__FDSAUDITLINK__" localSheetId="7" hidden="1">{"fdsup://directions/FAT Viewer?action=UPDATE&amp;creator=factset&amp;DYN_ARGS=TRUE&amp;DOC_NAME=FAT:FQL_AUDITING_CLIENT_TEMPLATE.FAT&amp;display_string=Audit&amp;VAR:KEY=GHWHKTKTCJ&amp;VAR:QUERY=RkZfSExUSF9GVU5ERURfU1RBVFVTKEFOTiwwLC05LFksUlAsVVNELE0p&amp;WINDOW=FIRST_POPUP&amp;HEIGHT=45","0&amp;WIDTH=450&amp;START_MAXIMIZED=FALSE&amp;VAR:CALENDAR=US&amp;VAR:SYMBOL=B10LQP&amp;VAR:INDEX=7"}</definedName>
    <definedName name="_162__FDSAUDITLINK__" hidden="1">{"fdsup://directions/FAT Viewer?action=UPDATE&amp;creator=factset&amp;DYN_ARGS=TRUE&amp;DOC_NAME=FAT:FQL_AUDITING_CLIENT_TEMPLATE.FAT&amp;display_string=Audit&amp;VAR:KEY=GHWHKTKTCJ&amp;VAR:QUERY=RkZfSExUSF9GVU5ERURfU1RBVFVTKEFOTiwwLC05LFksUlAsVVNELE0p&amp;WINDOW=FIRST_POPUP&amp;HEIGHT=45","0&amp;WIDTH=450&amp;START_MAXIMIZED=FALSE&amp;VAR:CALENDAR=US&amp;VAR:SYMBOL=B10LQP&amp;VAR:INDEX=7"}</definedName>
    <definedName name="_162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2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2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2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2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2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2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2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2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2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2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2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2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2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2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2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2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2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2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2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2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2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2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2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2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2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2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2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2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2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3__FDSAUDITLINK__" localSheetId="3" hidden="1">{"fdsup://directions/FAT Viewer?action=UPDATE&amp;creator=factset&amp;DYN_ARGS=TRUE&amp;DOC_NAME=FAT:FQL_AUDITING_CLIENT_TEMPLATE.FAT&amp;display_string=Audit&amp;VAR:KEY=GHWHKTKTCJ&amp;VAR:QUERY=RkZfSExUSF9GVU5ERURfU1RBVFVTKEFOTiwwLC05LFksUlAsVVNELE0p&amp;WINDOW=FIRST_POPUP&amp;HEIGHT=45","0&amp;WIDTH=450&amp;START_MAXIMIZED=FALSE&amp;VAR:CALENDAR=US&amp;VAR:SYMBOL=B10LQP&amp;VAR:INDEX=6"}</definedName>
    <definedName name="_163__FDSAUDITLINK__" localSheetId="7" hidden="1">{"fdsup://directions/FAT Viewer?action=UPDATE&amp;creator=factset&amp;DYN_ARGS=TRUE&amp;DOC_NAME=FAT:FQL_AUDITING_CLIENT_TEMPLATE.FAT&amp;display_string=Audit&amp;VAR:KEY=GHWHKTKTCJ&amp;VAR:QUERY=RkZfSExUSF9GVU5ERURfU1RBVFVTKEFOTiwwLC05LFksUlAsVVNELE0p&amp;WINDOW=FIRST_POPUP&amp;HEIGHT=45","0&amp;WIDTH=450&amp;START_MAXIMIZED=FALSE&amp;VAR:CALENDAR=US&amp;VAR:SYMBOL=B10LQP&amp;VAR:INDEX=6"}</definedName>
    <definedName name="_163__FDSAUDITLINK__" hidden="1">{"fdsup://directions/FAT Viewer?action=UPDATE&amp;creator=factset&amp;DYN_ARGS=TRUE&amp;DOC_NAME=FAT:FQL_AUDITING_CLIENT_TEMPLATE.FAT&amp;display_string=Audit&amp;VAR:KEY=GHWHKTKTCJ&amp;VAR:QUERY=RkZfSExUSF9GVU5ERURfU1RBVFVTKEFOTiwwLC05LFksUlAsVVNELE0p&amp;WINDOW=FIRST_POPUP&amp;HEIGHT=45","0&amp;WIDTH=450&amp;START_MAXIMIZED=FALSE&amp;VAR:CALENDAR=US&amp;VAR:SYMBOL=B10LQP&amp;VAR:INDEX=6"}</definedName>
    <definedName name="_163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3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3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3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3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3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3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3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3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3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3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3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3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3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3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3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3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3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3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3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3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3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3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3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3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3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3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3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3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3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4__FDSAUDITLINK__" localSheetId="3" hidden="1">{"fdsup://directions/FAT Viewer?action=UPDATE&amp;creator=factset&amp;DYN_ARGS=TRUE&amp;DOC_NAME=FAT:FQL_AUDITING_CLIENT_TEMPLATE.FAT&amp;display_string=Audit&amp;VAR:KEY=GHWHKTKTCJ&amp;VAR:QUERY=RkZfSExUSF9GVU5ERURfU1RBVFVTKEFOTiwwLC05LFksUlAsVVNELE0p&amp;WINDOW=FIRST_POPUP&amp;HEIGHT=45","0&amp;WIDTH=450&amp;START_MAXIMIZED=FALSE&amp;VAR:CALENDAR=US&amp;VAR:SYMBOL=B10LQP&amp;VAR:INDEX=5"}</definedName>
    <definedName name="_164__FDSAUDITLINK__" localSheetId="7" hidden="1">{"fdsup://directions/FAT Viewer?action=UPDATE&amp;creator=factset&amp;DYN_ARGS=TRUE&amp;DOC_NAME=FAT:FQL_AUDITING_CLIENT_TEMPLATE.FAT&amp;display_string=Audit&amp;VAR:KEY=GHWHKTKTCJ&amp;VAR:QUERY=RkZfSExUSF9GVU5ERURfU1RBVFVTKEFOTiwwLC05LFksUlAsVVNELE0p&amp;WINDOW=FIRST_POPUP&amp;HEIGHT=45","0&amp;WIDTH=450&amp;START_MAXIMIZED=FALSE&amp;VAR:CALENDAR=US&amp;VAR:SYMBOL=B10LQP&amp;VAR:INDEX=5"}</definedName>
    <definedName name="_164__FDSAUDITLINK__" hidden="1">{"fdsup://directions/FAT Viewer?action=UPDATE&amp;creator=factset&amp;DYN_ARGS=TRUE&amp;DOC_NAME=FAT:FQL_AUDITING_CLIENT_TEMPLATE.FAT&amp;display_string=Audit&amp;VAR:KEY=GHWHKTKTCJ&amp;VAR:QUERY=RkZfSExUSF9GVU5ERURfU1RBVFVTKEFOTiwwLC05LFksUlAsVVNELE0p&amp;WINDOW=FIRST_POPUP&amp;HEIGHT=45","0&amp;WIDTH=450&amp;START_MAXIMIZED=FALSE&amp;VAR:CALENDAR=US&amp;VAR:SYMBOL=B10LQP&amp;VAR:INDEX=5"}</definedName>
    <definedName name="_1640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40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40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4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4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4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4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4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4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4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4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4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4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4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4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4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4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4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4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4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4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4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4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4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4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4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4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4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4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4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5__FDSAUDITLINK__" localSheetId="3" hidden="1">{"fdsup://directions/FAT Viewer?action=UPDATE&amp;creator=factset&amp;DYN_ARGS=TRUE&amp;DOC_NAME=FAT:FQL_AUDITING_CLIENT_TEMPLATE.FAT&amp;display_string=Audit&amp;VAR:KEY=GHWHKTKTCJ&amp;VAR:QUERY=RkZfSExUSF9GVU5ERURfU1RBVFVTKEFOTiwwLC05LFksUlAsVVNELE0p&amp;WINDOW=FIRST_POPUP&amp;HEIGHT=45","0&amp;WIDTH=450&amp;START_MAXIMIZED=FALSE&amp;VAR:CALENDAR=US&amp;VAR:SYMBOL=B10LQP&amp;VAR:INDEX=4"}</definedName>
    <definedName name="_165__FDSAUDITLINK__" localSheetId="7" hidden="1">{"fdsup://directions/FAT Viewer?action=UPDATE&amp;creator=factset&amp;DYN_ARGS=TRUE&amp;DOC_NAME=FAT:FQL_AUDITING_CLIENT_TEMPLATE.FAT&amp;display_string=Audit&amp;VAR:KEY=GHWHKTKTCJ&amp;VAR:QUERY=RkZfSExUSF9GVU5ERURfU1RBVFVTKEFOTiwwLC05LFksUlAsVVNELE0p&amp;WINDOW=FIRST_POPUP&amp;HEIGHT=45","0&amp;WIDTH=450&amp;START_MAXIMIZED=FALSE&amp;VAR:CALENDAR=US&amp;VAR:SYMBOL=B10LQP&amp;VAR:INDEX=4"}</definedName>
    <definedName name="_165__FDSAUDITLINK__" hidden="1">{"fdsup://directions/FAT Viewer?action=UPDATE&amp;creator=factset&amp;DYN_ARGS=TRUE&amp;DOC_NAME=FAT:FQL_AUDITING_CLIENT_TEMPLATE.FAT&amp;display_string=Audit&amp;VAR:KEY=GHWHKTKTCJ&amp;VAR:QUERY=RkZfSExUSF9GVU5ERURfU1RBVFVTKEFOTiwwLC05LFksUlAsVVNELE0p&amp;WINDOW=FIRST_POPUP&amp;HEIGHT=45","0&amp;WIDTH=450&amp;START_MAXIMIZED=FALSE&amp;VAR:CALENDAR=US&amp;VAR:SYMBOL=B10LQP&amp;VAR:INDEX=4"}</definedName>
    <definedName name="_165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5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5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5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5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5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5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5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5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5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5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5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5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5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5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5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5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5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5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5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5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5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5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5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5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5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5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5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5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5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6__FDSAUDITLINK__" localSheetId="3" hidden="1">{"fdsup://directions/FAT Viewer?action=UPDATE&amp;creator=factset&amp;DYN_ARGS=TRUE&amp;DOC_NAME=FAT:FQL_AUDITING_CLIENT_TEMPLATE.FAT&amp;display_string=Audit&amp;VAR:KEY=NYFOTETIRK&amp;VAR:QUERY=RkZfU0FMRVMoTFRNLDAsLCwsLE0p&amp;WINDOW=FIRST_POPUP&amp;HEIGHT=450&amp;WIDTH=450&amp;START_MAXIMIZED=","FALSE&amp;VAR:CALENDAR=US&amp;VAR:SYMBOL=220015&amp;VAR:INDEX=0"}</definedName>
    <definedName name="_166__FDSAUDITLINK__" localSheetId="7" hidden="1">{"fdsup://directions/FAT Viewer?action=UPDATE&amp;creator=factset&amp;DYN_ARGS=TRUE&amp;DOC_NAME=FAT:FQL_AUDITING_CLIENT_TEMPLATE.FAT&amp;display_string=Audit&amp;VAR:KEY=NYFOTETIRK&amp;VAR:QUERY=RkZfU0FMRVMoTFRNLDAsLCwsLE0p&amp;WINDOW=FIRST_POPUP&amp;HEIGHT=450&amp;WIDTH=450&amp;START_MAXIMIZED=","FALSE&amp;VAR:CALENDAR=US&amp;VAR:SYMBOL=220015&amp;VAR:INDEX=0"}</definedName>
    <definedName name="_166__FDSAUDITLINK__" hidden="1">{"fdsup://directions/FAT Viewer?action=UPDATE&amp;creator=factset&amp;DYN_ARGS=TRUE&amp;DOC_NAME=FAT:FQL_AUDITING_CLIENT_TEMPLATE.FAT&amp;display_string=Audit&amp;VAR:KEY=NYFOTETIRK&amp;VAR:QUERY=RkZfU0FMRVMoTFRNLDAsLCwsLE0p&amp;WINDOW=FIRST_POPUP&amp;HEIGHT=450&amp;WIDTH=450&amp;START_MAXIMIZED=","FALSE&amp;VAR:CALENDAR=US&amp;VAR:SYMBOL=220015&amp;VAR:INDEX=0"}</definedName>
    <definedName name="_166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6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6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6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6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6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6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6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6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6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6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6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6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6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6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6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6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6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6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6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6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6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6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6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6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6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6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6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6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6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7__FDSAUDITLINK__" localSheetId="3" hidden="1">{"fdsup://directions/FAT Viewer?action=UPDATE&amp;creator=factset&amp;DYN_ARGS=TRUE&amp;DOC_NAME=FAT:FQL_AUDITING_CLIENT_TEMPLATE.FAT&amp;display_string=Audit&amp;VAR:KEY=EPCZOTWVUV&amp;VAR:QUERY=RkZfTkVUX0lOQyhMVE0sMCwsLCwsTSk=&amp;WINDOW=FIRST_POPUP&amp;HEIGHT=450&amp;WIDTH=450&amp;START_MAXIMI","ZED=FALSE&amp;VAR:CALENDAR=US&amp;VAR:SYMBOL=B07C76&amp;VAR:INDEX=0"}</definedName>
    <definedName name="_167__FDSAUDITLINK__" localSheetId="7" hidden="1">{"fdsup://directions/FAT Viewer?action=UPDATE&amp;creator=factset&amp;DYN_ARGS=TRUE&amp;DOC_NAME=FAT:FQL_AUDITING_CLIENT_TEMPLATE.FAT&amp;display_string=Audit&amp;VAR:KEY=EPCZOTWVUV&amp;VAR:QUERY=RkZfTkVUX0lOQyhMVE0sMCwsLCwsTSk=&amp;WINDOW=FIRST_POPUP&amp;HEIGHT=450&amp;WIDTH=450&amp;START_MAXIMI","ZED=FALSE&amp;VAR:CALENDAR=US&amp;VAR:SYMBOL=B07C76&amp;VAR:INDEX=0"}</definedName>
    <definedName name="_167__FDSAUDITLINK__" hidden="1">{"fdsup://directions/FAT Viewer?action=UPDATE&amp;creator=factset&amp;DYN_ARGS=TRUE&amp;DOC_NAME=FAT:FQL_AUDITING_CLIENT_TEMPLATE.FAT&amp;display_string=Audit&amp;VAR:KEY=EPCZOTWVUV&amp;VAR:QUERY=RkZfTkVUX0lOQyhMVE0sMCwsLCwsTSk=&amp;WINDOW=FIRST_POPUP&amp;HEIGHT=450&amp;WIDTH=450&amp;START_MAXIMI","ZED=FALSE&amp;VAR:CALENDAR=US&amp;VAR:SYMBOL=B07C76&amp;VAR:INDEX=0"}</definedName>
    <definedName name="_1670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70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70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7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7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7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7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7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7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7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7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7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7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7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7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7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7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7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7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7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7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7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7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7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7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7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7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7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7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7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8__FDSAUDITLINK__" localSheetId="3" hidden="1">{"fdsup://directions/FAT Viewer?action=UPDATE&amp;creator=factset&amp;DYN_ARGS=TRUE&amp;DOC_NAME=FAT:FQL_AUDITING_CLIENT_TEMPLATE.FAT&amp;display_string=Audit&amp;VAR:KEY=AFIBAHKHMN&amp;VAR:QUERY=RkZfRUJJVERBX09QRVIoTFRNLDAsLCwsLE0p&amp;WINDOW=FIRST_POPUP&amp;HEIGHT=450&amp;WIDTH=450&amp;START_MA","XIMIZED=FALSE&amp;VAR:CALENDAR=US&amp;VAR:SYMBOL=B07C76&amp;VAR:INDEX=0"}</definedName>
    <definedName name="_168__FDSAUDITLINK__" localSheetId="7" hidden="1">{"fdsup://directions/FAT Viewer?action=UPDATE&amp;creator=factset&amp;DYN_ARGS=TRUE&amp;DOC_NAME=FAT:FQL_AUDITING_CLIENT_TEMPLATE.FAT&amp;display_string=Audit&amp;VAR:KEY=AFIBAHKHMN&amp;VAR:QUERY=RkZfRUJJVERBX09QRVIoTFRNLDAsLCwsLE0p&amp;WINDOW=FIRST_POPUP&amp;HEIGHT=450&amp;WIDTH=450&amp;START_MA","XIMIZED=FALSE&amp;VAR:CALENDAR=US&amp;VAR:SYMBOL=B07C76&amp;VAR:INDEX=0"}</definedName>
    <definedName name="_168__FDSAUDITLINK__" hidden="1">{"fdsup://directions/FAT Viewer?action=UPDATE&amp;creator=factset&amp;DYN_ARGS=TRUE&amp;DOC_NAME=FAT:FQL_AUDITING_CLIENT_TEMPLATE.FAT&amp;display_string=Audit&amp;VAR:KEY=AFIBAHKHMN&amp;VAR:QUERY=RkZfRUJJVERBX09QRVIoTFRNLDAsLCwsLE0p&amp;WINDOW=FIRST_POPUP&amp;HEIGHT=450&amp;WIDTH=450&amp;START_MA","XIMIZED=FALSE&amp;VAR:CALENDAR=US&amp;VAR:SYMBOL=B07C76&amp;VAR:INDEX=0"}</definedName>
    <definedName name="_168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8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8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8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8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8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8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8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8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8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8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8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8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8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8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8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8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8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8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8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8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8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8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8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8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8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8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8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8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8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9__FDSAUDITLINK__" localSheetId="3" hidden="1">{"fdsup://directions/FAT Viewer?action=UPDATE&amp;creator=factset&amp;DYN_ARGS=TRUE&amp;DOC_NAME=FAT:FQL_AUDITING_CLIENT_TEMPLATE.FAT&amp;display_string=Audit&amp;VAR:KEY=UPOHAHEDQZ&amp;VAR:QUERY=RkZfU0FMRVMoTFRNLDAsLCwsLE0p&amp;WINDOW=FIRST_POPUP&amp;HEIGHT=450&amp;WIDTH=450&amp;START_MAXIMIZED=","FALSE&amp;VAR:CALENDAR=US&amp;VAR:SYMBOL=B07C76&amp;VAR:INDEX=0"}</definedName>
    <definedName name="_169__FDSAUDITLINK__" localSheetId="7" hidden="1">{"fdsup://directions/FAT Viewer?action=UPDATE&amp;creator=factset&amp;DYN_ARGS=TRUE&amp;DOC_NAME=FAT:FQL_AUDITING_CLIENT_TEMPLATE.FAT&amp;display_string=Audit&amp;VAR:KEY=UPOHAHEDQZ&amp;VAR:QUERY=RkZfU0FMRVMoTFRNLDAsLCwsLE0p&amp;WINDOW=FIRST_POPUP&amp;HEIGHT=450&amp;WIDTH=450&amp;START_MAXIMIZED=","FALSE&amp;VAR:CALENDAR=US&amp;VAR:SYMBOL=B07C76&amp;VAR:INDEX=0"}</definedName>
    <definedName name="_169__FDSAUDITLINK__" hidden="1">{"fdsup://directions/FAT Viewer?action=UPDATE&amp;creator=factset&amp;DYN_ARGS=TRUE&amp;DOC_NAME=FAT:FQL_AUDITING_CLIENT_TEMPLATE.FAT&amp;display_string=Audit&amp;VAR:KEY=UPOHAHEDQZ&amp;VAR:QUERY=RkZfU0FMRVMoTFRNLDAsLCwsLE0p&amp;WINDOW=FIRST_POPUP&amp;HEIGHT=450&amp;WIDTH=450&amp;START_MAXIMIZED=","FALSE&amp;VAR:CALENDAR=US&amp;VAR:SYMBOL=B07C76&amp;VAR:INDEX=0"}</definedName>
    <definedName name="_169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9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9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9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9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9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9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9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9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9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9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9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9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9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9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69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9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9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69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9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9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69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9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9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69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9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9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69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9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69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__FDSAUDITLINK__" localSheetId="3" hidden="1">{"fdsup://directions/FAT Viewer?action=UPDATE&amp;creator=factset&amp;DYN_ARGS=TRUE&amp;DOC_NAME=FAT:FQL_AUDITING_CLIENT_TEMPLATE.FAT&amp;display_string=Audit&amp;VAR:KEY=XEXCZOFUFM&amp;VAR:QUERY=RkZfTkVUX0lOQyhBTk4sLTFBWSk=&amp;WINDOW=FIRST_POPUP&amp;HEIGHT=450&amp;WIDTH=450&amp;START_MAXIMIZED=","FALSE&amp;VAR:CALENDAR=US&amp;VAR:SYMBOL=B4LHBQ&amp;VAR:INDEX=0"}</definedName>
    <definedName name="_17__FDSAUDITLINK__" localSheetId="7" hidden="1">{"fdsup://directions/FAT Viewer?action=UPDATE&amp;creator=factset&amp;DYN_ARGS=TRUE&amp;DOC_NAME=FAT:FQL_AUDITING_CLIENT_TEMPLATE.FAT&amp;display_string=Audit&amp;VAR:KEY=XEXCZOFUFM&amp;VAR:QUERY=RkZfTkVUX0lOQyhBTk4sLTFBWSk=&amp;WINDOW=FIRST_POPUP&amp;HEIGHT=450&amp;WIDTH=450&amp;START_MAXIMIZED=","FALSE&amp;VAR:CALENDAR=US&amp;VAR:SYMBOL=B4LHBQ&amp;VAR:INDEX=0"}</definedName>
    <definedName name="_17__FDSAUDITLINK__" hidden="1">{"fdsup://directions/FAT Viewer?action=UPDATE&amp;creator=factset&amp;DYN_ARGS=TRUE&amp;DOC_NAME=FAT:FQL_AUDITING_CLIENT_TEMPLATE.FAT&amp;display_string=Audit&amp;VAR:KEY=XEXCZOFUFM&amp;VAR:QUERY=RkZfTkVUX0lOQyhBTk4sLTFBWSk=&amp;WINDOW=FIRST_POPUP&amp;HEIGHT=450&amp;WIDTH=450&amp;START_MAXIMIZED=","FALSE&amp;VAR:CALENDAR=US&amp;VAR:SYMBOL=B4LHBQ&amp;VAR:INDEX=0"}</definedName>
    <definedName name="_170__FDSAUDITLINK__" localSheetId="3" hidden="1">{"fdsup://directions/FAT Viewer?action=UPDATE&amp;creator=factset&amp;DYN_ARGS=TRUE&amp;DOC_NAME=FAT:FQL_AUDITING_CLIENT_TEMPLATE.FAT&amp;display_string=Audit&amp;VAR:KEY=ITWJCJABUZ&amp;VAR:QUERY=RkZfUEVOU19GVU5ERURfU1RBVFVTKEFOTiwwLC05LFksUlAsVVNELE0p&amp;WINDOW=FIRST_POPUP&amp;HEIGHT=45","0&amp;WIDTH=450&amp;START_MAXIMIZED=FALSE&amp;VAR:CALENDAR=US&amp;VAR:SYMBOL=B10LQP&amp;VAR:INDEX=7"}</definedName>
    <definedName name="_170__FDSAUDITLINK__" localSheetId="7" hidden="1">{"fdsup://directions/FAT Viewer?action=UPDATE&amp;creator=factset&amp;DYN_ARGS=TRUE&amp;DOC_NAME=FAT:FQL_AUDITING_CLIENT_TEMPLATE.FAT&amp;display_string=Audit&amp;VAR:KEY=ITWJCJABUZ&amp;VAR:QUERY=RkZfUEVOU19GVU5ERURfU1RBVFVTKEFOTiwwLC05LFksUlAsVVNELE0p&amp;WINDOW=FIRST_POPUP&amp;HEIGHT=45","0&amp;WIDTH=450&amp;START_MAXIMIZED=FALSE&amp;VAR:CALENDAR=US&amp;VAR:SYMBOL=B10LQP&amp;VAR:INDEX=7"}</definedName>
    <definedName name="_170__FDSAUDITLINK__" hidden="1">{"fdsup://directions/FAT Viewer?action=UPDATE&amp;creator=factset&amp;DYN_ARGS=TRUE&amp;DOC_NAME=FAT:FQL_AUDITING_CLIENT_TEMPLATE.FAT&amp;display_string=Audit&amp;VAR:KEY=ITWJCJABUZ&amp;VAR:QUERY=RkZfUEVOU19GVU5ERURfU1RBVFVTKEFOTiwwLC05LFksUlAsVVNELE0p&amp;WINDOW=FIRST_POPUP&amp;HEIGHT=45","0&amp;WIDTH=450&amp;START_MAXIMIZED=FALSE&amp;VAR:CALENDAR=US&amp;VAR:SYMBOL=B10LQP&amp;VAR:INDEX=7"}</definedName>
    <definedName name="_1700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00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00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0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0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0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0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0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0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0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0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0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0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0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0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0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0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0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0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0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0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0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0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0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0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0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0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0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0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0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1__FDSAUDITLINK__" localSheetId="3" hidden="1">{"fdsup://directions/FAT Viewer?action=UPDATE&amp;creator=factset&amp;DYN_ARGS=TRUE&amp;DOC_NAME=FAT:FQL_AUDITING_CLIENT_TEMPLATE.FAT&amp;display_string=Audit&amp;VAR:KEY=ITWJCJABUZ&amp;VAR:QUERY=RkZfUEVOU19GVU5ERURfU1RBVFVTKEFOTiwwLC05LFksUlAsVVNELE0p&amp;WINDOW=FIRST_POPUP&amp;HEIGHT=45","0&amp;WIDTH=450&amp;START_MAXIMIZED=FALSE&amp;VAR:CALENDAR=US&amp;VAR:SYMBOL=B10LQP&amp;VAR:INDEX=6"}</definedName>
    <definedName name="_171__FDSAUDITLINK__" localSheetId="7" hidden="1">{"fdsup://directions/FAT Viewer?action=UPDATE&amp;creator=factset&amp;DYN_ARGS=TRUE&amp;DOC_NAME=FAT:FQL_AUDITING_CLIENT_TEMPLATE.FAT&amp;display_string=Audit&amp;VAR:KEY=ITWJCJABUZ&amp;VAR:QUERY=RkZfUEVOU19GVU5ERURfU1RBVFVTKEFOTiwwLC05LFksUlAsVVNELE0p&amp;WINDOW=FIRST_POPUP&amp;HEIGHT=45","0&amp;WIDTH=450&amp;START_MAXIMIZED=FALSE&amp;VAR:CALENDAR=US&amp;VAR:SYMBOL=B10LQP&amp;VAR:INDEX=6"}</definedName>
    <definedName name="_171__FDSAUDITLINK__" hidden="1">{"fdsup://directions/FAT Viewer?action=UPDATE&amp;creator=factset&amp;DYN_ARGS=TRUE&amp;DOC_NAME=FAT:FQL_AUDITING_CLIENT_TEMPLATE.FAT&amp;display_string=Audit&amp;VAR:KEY=ITWJCJABUZ&amp;VAR:QUERY=RkZfUEVOU19GVU5ERURfU1RBVFVTKEFOTiwwLC05LFksUlAsVVNELE0p&amp;WINDOW=FIRST_POPUP&amp;HEIGHT=45","0&amp;WIDTH=450&amp;START_MAXIMIZED=FALSE&amp;VAR:CALENDAR=US&amp;VAR:SYMBOL=B10LQP&amp;VAR:INDEX=6"}</definedName>
    <definedName name="_171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1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1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1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1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1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1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1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1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1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1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1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1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1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1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1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1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1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1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1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1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1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1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1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1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1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1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1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1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1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2__FDSAUDITLINK__" localSheetId="3" hidden="1">{"fdsup://directions/FAT Viewer?action=UPDATE&amp;creator=factset&amp;DYN_ARGS=TRUE&amp;DOC_NAME=FAT:FQL_AUDITING_CLIENT_TEMPLATE.FAT&amp;display_string=Audit&amp;VAR:KEY=ITWJCJABUZ&amp;VAR:QUERY=RkZfUEVOU19GVU5ERURfU1RBVFVTKEFOTiwwLC05LFksUlAsVVNELE0p&amp;WINDOW=FIRST_POPUP&amp;HEIGHT=45","0&amp;WIDTH=450&amp;START_MAXIMIZED=FALSE&amp;VAR:CALENDAR=US&amp;VAR:SYMBOL=B10LQP&amp;VAR:INDEX=5"}</definedName>
    <definedName name="_172__FDSAUDITLINK__" localSheetId="7" hidden="1">{"fdsup://directions/FAT Viewer?action=UPDATE&amp;creator=factset&amp;DYN_ARGS=TRUE&amp;DOC_NAME=FAT:FQL_AUDITING_CLIENT_TEMPLATE.FAT&amp;display_string=Audit&amp;VAR:KEY=ITWJCJABUZ&amp;VAR:QUERY=RkZfUEVOU19GVU5ERURfU1RBVFVTKEFOTiwwLC05LFksUlAsVVNELE0p&amp;WINDOW=FIRST_POPUP&amp;HEIGHT=45","0&amp;WIDTH=450&amp;START_MAXIMIZED=FALSE&amp;VAR:CALENDAR=US&amp;VAR:SYMBOL=B10LQP&amp;VAR:INDEX=5"}</definedName>
    <definedName name="_172__FDSAUDITLINK__" hidden="1">{"fdsup://directions/FAT Viewer?action=UPDATE&amp;creator=factset&amp;DYN_ARGS=TRUE&amp;DOC_NAME=FAT:FQL_AUDITING_CLIENT_TEMPLATE.FAT&amp;display_string=Audit&amp;VAR:KEY=ITWJCJABUZ&amp;VAR:QUERY=RkZfUEVOU19GVU5ERURfU1RBVFVTKEFOTiwwLC05LFksUlAsVVNELE0p&amp;WINDOW=FIRST_POPUP&amp;HEIGHT=45","0&amp;WIDTH=450&amp;START_MAXIMIZED=FALSE&amp;VAR:CALENDAR=US&amp;VAR:SYMBOL=B10LQP&amp;VAR:INDEX=5"}</definedName>
    <definedName name="_172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2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2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2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2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2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2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2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2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2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2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2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2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2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2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2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2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2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2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2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2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2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2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2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2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2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2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2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2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2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3__FDSAUDITLINK__" localSheetId="3" hidden="1">{"fdsup://directions/FAT Viewer?action=UPDATE&amp;creator=factset&amp;DYN_ARGS=TRUE&amp;DOC_NAME=FAT:FQL_AUDITING_CLIENT_TEMPLATE.FAT&amp;display_string=Audit&amp;VAR:KEY=ITWJCJABUZ&amp;VAR:QUERY=RkZfUEVOU19GVU5ERURfU1RBVFVTKEFOTiwwLC05LFksUlAsVVNELE0p&amp;WINDOW=FIRST_POPUP&amp;HEIGHT=45","0&amp;WIDTH=450&amp;START_MAXIMIZED=FALSE&amp;VAR:CALENDAR=US&amp;VAR:SYMBOL=B10LQP&amp;VAR:INDEX=4"}</definedName>
    <definedName name="_173__FDSAUDITLINK__" localSheetId="7" hidden="1">{"fdsup://directions/FAT Viewer?action=UPDATE&amp;creator=factset&amp;DYN_ARGS=TRUE&amp;DOC_NAME=FAT:FQL_AUDITING_CLIENT_TEMPLATE.FAT&amp;display_string=Audit&amp;VAR:KEY=ITWJCJABUZ&amp;VAR:QUERY=RkZfUEVOU19GVU5ERURfU1RBVFVTKEFOTiwwLC05LFksUlAsVVNELE0p&amp;WINDOW=FIRST_POPUP&amp;HEIGHT=45","0&amp;WIDTH=450&amp;START_MAXIMIZED=FALSE&amp;VAR:CALENDAR=US&amp;VAR:SYMBOL=B10LQP&amp;VAR:INDEX=4"}</definedName>
    <definedName name="_173__FDSAUDITLINK__" hidden="1">{"fdsup://directions/FAT Viewer?action=UPDATE&amp;creator=factset&amp;DYN_ARGS=TRUE&amp;DOC_NAME=FAT:FQL_AUDITING_CLIENT_TEMPLATE.FAT&amp;display_string=Audit&amp;VAR:KEY=ITWJCJABUZ&amp;VAR:QUERY=RkZfUEVOU19GVU5ERURfU1RBVFVTKEFOTiwwLC05LFksUlAsVVNELE0p&amp;WINDOW=FIRST_POPUP&amp;HEIGHT=45","0&amp;WIDTH=450&amp;START_MAXIMIZED=FALSE&amp;VAR:CALENDAR=US&amp;VAR:SYMBOL=B10LQP&amp;VAR:INDEX=4"}</definedName>
    <definedName name="_1730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30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30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3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3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3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3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3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3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3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3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3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3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3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3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3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3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3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3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3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3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3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3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3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3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3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3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3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3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3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4__FDSAUDITLINK__" localSheetId="3" hidden="1">{"fdsup://directions/FAT Viewer?action=UPDATE&amp;creator=factset&amp;DYN_ARGS=TRUE&amp;DOC_NAME=FAT:FQL_AUDITING_CLIENT_TEMPLATE.FAT&amp;display_string=Audit&amp;VAR:KEY=SVEPITSHIR&amp;VAR:QUERY=RkZfU0FMRVMoTFRNLDAsLCwsLE0p&amp;WINDOW=FIRST_POPUP&amp;HEIGHT=450&amp;WIDTH=450&amp;START_MAXIMIZED=","FALSE&amp;VAR:CALENDAR=US&amp;VAR:SYMBOL=B031NN&amp;VAR:INDEX=0"}</definedName>
    <definedName name="_174__FDSAUDITLINK__" localSheetId="7" hidden="1">{"fdsup://directions/FAT Viewer?action=UPDATE&amp;creator=factset&amp;DYN_ARGS=TRUE&amp;DOC_NAME=FAT:FQL_AUDITING_CLIENT_TEMPLATE.FAT&amp;display_string=Audit&amp;VAR:KEY=SVEPITSHIR&amp;VAR:QUERY=RkZfU0FMRVMoTFRNLDAsLCwsLE0p&amp;WINDOW=FIRST_POPUP&amp;HEIGHT=450&amp;WIDTH=450&amp;START_MAXIMIZED=","FALSE&amp;VAR:CALENDAR=US&amp;VAR:SYMBOL=B031NN&amp;VAR:INDEX=0"}</definedName>
    <definedName name="_174__FDSAUDITLINK__" hidden="1">{"fdsup://directions/FAT Viewer?action=UPDATE&amp;creator=factset&amp;DYN_ARGS=TRUE&amp;DOC_NAME=FAT:FQL_AUDITING_CLIENT_TEMPLATE.FAT&amp;display_string=Audit&amp;VAR:KEY=SVEPITSHIR&amp;VAR:QUERY=RkZfU0FMRVMoTFRNLDAsLCwsLE0p&amp;WINDOW=FIRST_POPUP&amp;HEIGHT=450&amp;WIDTH=450&amp;START_MAXIMIZED=","FALSE&amp;VAR:CALENDAR=US&amp;VAR:SYMBOL=B031NN&amp;VAR:INDEX=0"}</definedName>
    <definedName name="_174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4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4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4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4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4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4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4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4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4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4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4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4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4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4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4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4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4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4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4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4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4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4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4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4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4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4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4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4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4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5__FDSAUDITLINK__" localSheetId="3" hidden="1">{"fdsup://directions/FAT Viewer?action=UPDATE&amp;creator=factset&amp;DYN_ARGS=TRUE&amp;DOC_NAME=FAT:FQL_AUDITING_CLIENT_TEMPLATE.FAT&amp;display_string=Audit&amp;VAR:KEY=ITWJCJABUZ&amp;VAR:QUERY=RkZfUEVOU19GVU5ERURfU1RBVFVTKEFOTiwwLC05LFksUlAsVVNELE0p&amp;WINDOW=FIRST_POPUP&amp;HEIGHT=45","0&amp;WIDTH=450&amp;START_MAXIMIZED=FALSE&amp;VAR:CALENDAR=US&amp;VAR:SYMBOL=B10LQP&amp;VAR:INDEX=2"}</definedName>
    <definedName name="_175__FDSAUDITLINK__" localSheetId="7" hidden="1">{"fdsup://directions/FAT Viewer?action=UPDATE&amp;creator=factset&amp;DYN_ARGS=TRUE&amp;DOC_NAME=FAT:FQL_AUDITING_CLIENT_TEMPLATE.FAT&amp;display_string=Audit&amp;VAR:KEY=ITWJCJABUZ&amp;VAR:QUERY=RkZfUEVOU19GVU5ERURfU1RBVFVTKEFOTiwwLC05LFksUlAsVVNELE0p&amp;WINDOW=FIRST_POPUP&amp;HEIGHT=45","0&amp;WIDTH=450&amp;START_MAXIMIZED=FALSE&amp;VAR:CALENDAR=US&amp;VAR:SYMBOL=B10LQP&amp;VAR:INDEX=2"}</definedName>
    <definedName name="_175__FDSAUDITLINK__" hidden="1">{"fdsup://directions/FAT Viewer?action=UPDATE&amp;creator=factset&amp;DYN_ARGS=TRUE&amp;DOC_NAME=FAT:FQL_AUDITING_CLIENT_TEMPLATE.FAT&amp;display_string=Audit&amp;VAR:KEY=ITWJCJABUZ&amp;VAR:QUERY=RkZfUEVOU19GVU5ERURfU1RBVFVTKEFOTiwwLC05LFksUlAsVVNELE0p&amp;WINDOW=FIRST_POPUP&amp;HEIGHT=45","0&amp;WIDTH=450&amp;START_MAXIMIZED=FALSE&amp;VAR:CALENDAR=US&amp;VAR:SYMBOL=B10LQP&amp;VAR:INDEX=2"}</definedName>
    <definedName name="_175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5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5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5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5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5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5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5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5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5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5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5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5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5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5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5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5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5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5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5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5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5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5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5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5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5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5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5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5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5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6__FDSAUDITLINK__" localSheetId="3" hidden="1">{"fdsup://directions/FAT Viewer?action=UPDATE&amp;creator=factset&amp;DYN_ARGS=TRUE&amp;DOC_NAME=FAT:FQL_AUDITING_CLIENT_TEMPLATE.FAT&amp;display_string=Audit&amp;VAR:KEY=ITWJCJABUZ&amp;VAR:QUERY=RkZfUEVOU19GVU5ERURfU1RBVFVTKEFOTiwwLC05LFksUlAsVVNELE0p&amp;WINDOW=FIRST_POPUP&amp;HEIGHT=45","0&amp;WIDTH=450&amp;START_MAXIMIZED=FALSE&amp;VAR:CALENDAR=US&amp;VAR:SYMBOL=B10LQP&amp;VAR:INDEX=1"}</definedName>
    <definedName name="_176__FDSAUDITLINK__" localSheetId="7" hidden="1">{"fdsup://directions/FAT Viewer?action=UPDATE&amp;creator=factset&amp;DYN_ARGS=TRUE&amp;DOC_NAME=FAT:FQL_AUDITING_CLIENT_TEMPLATE.FAT&amp;display_string=Audit&amp;VAR:KEY=ITWJCJABUZ&amp;VAR:QUERY=RkZfUEVOU19GVU5ERURfU1RBVFVTKEFOTiwwLC05LFksUlAsVVNELE0p&amp;WINDOW=FIRST_POPUP&amp;HEIGHT=45","0&amp;WIDTH=450&amp;START_MAXIMIZED=FALSE&amp;VAR:CALENDAR=US&amp;VAR:SYMBOL=B10LQP&amp;VAR:INDEX=1"}</definedName>
    <definedName name="_176__FDSAUDITLINK__" hidden="1">{"fdsup://directions/FAT Viewer?action=UPDATE&amp;creator=factset&amp;DYN_ARGS=TRUE&amp;DOC_NAME=FAT:FQL_AUDITING_CLIENT_TEMPLATE.FAT&amp;display_string=Audit&amp;VAR:KEY=ITWJCJABUZ&amp;VAR:QUERY=RkZfUEVOU19GVU5ERURfU1RBVFVTKEFOTiwwLC05LFksUlAsVVNELE0p&amp;WINDOW=FIRST_POPUP&amp;HEIGHT=45","0&amp;WIDTH=450&amp;START_MAXIMIZED=FALSE&amp;VAR:CALENDAR=US&amp;VAR:SYMBOL=B10LQP&amp;VAR:INDEX=1"}</definedName>
    <definedName name="_1760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60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60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6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6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6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6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6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6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6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6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6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6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6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6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6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6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6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6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6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6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6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6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6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6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6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6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6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6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6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7__FDSAUDITLINK__" localSheetId="3" hidden="1">{"fdsup://Directions/FactSet Auditing Viewer?action=AUDIT_VALUE&amp;DB=129&amp;ID1=B10LQP&amp;VALUEID=18380&amp;SDATE=2010&amp;PERIODTYPE=ANN_STD&amp;SCFT=3&amp;window=popup_no_bar&amp;width=385&amp;height=120&amp;START_MAXIMIZED=FALSE&amp;creator=factset&amp;display_string=Audit"}</definedName>
    <definedName name="_177__FDSAUDITLINK__" localSheetId="7" hidden="1">{"fdsup://Directions/FactSet Auditing Viewer?action=AUDIT_VALUE&amp;DB=129&amp;ID1=B10LQP&amp;VALUEID=18380&amp;SDATE=2010&amp;PERIODTYPE=ANN_STD&amp;SCFT=3&amp;window=popup_no_bar&amp;width=385&amp;height=120&amp;START_MAXIMIZED=FALSE&amp;creator=factset&amp;display_string=Audit"}</definedName>
    <definedName name="_177__FDSAUDITLINK__" hidden="1">{"fdsup://Directions/FactSet Auditing Viewer?action=AUDIT_VALUE&amp;DB=129&amp;ID1=B10LQP&amp;VALUEID=18380&amp;SDATE=2010&amp;PERIODTYPE=ANN_STD&amp;SCFT=3&amp;window=popup_no_bar&amp;width=385&amp;height=120&amp;START_MAXIMIZED=FALSE&amp;creator=factset&amp;display_string=Audit"}</definedName>
    <definedName name="_177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7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7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7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7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7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7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7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7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7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7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7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7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7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7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7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7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7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7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7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7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7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7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7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7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7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7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7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7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7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8__FDSAUDITLINK__" localSheetId="3" hidden="1">{"fdsup://directions/FAT Viewer?action=UPDATE&amp;creator=factset&amp;DYN_ARGS=TRUE&amp;DOC_NAME=FAT:FQL_AUDITING_CLIENT_TEMPLATE.FAT&amp;display_string=Audit&amp;VAR:KEY=DAFAXEVKNC&amp;VAR:QUERY=RkZfRUJJVF9PUEVSX0lOVF9DT1ZHKEFOTiwwLC05LFksUlAp&amp;WINDOW=FIRST_POPUP&amp;HEIGHT=450&amp;WIDTH=","450&amp;START_MAXIMIZED=FALSE&amp;VAR:CALENDAR=US&amp;VAR:SYMBOL=B10LQP&amp;VAR:INDEX=7"}</definedName>
    <definedName name="_178__FDSAUDITLINK__" localSheetId="7" hidden="1">{"fdsup://directions/FAT Viewer?action=UPDATE&amp;creator=factset&amp;DYN_ARGS=TRUE&amp;DOC_NAME=FAT:FQL_AUDITING_CLIENT_TEMPLATE.FAT&amp;display_string=Audit&amp;VAR:KEY=DAFAXEVKNC&amp;VAR:QUERY=RkZfRUJJVF9PUEVSX0lOVF9DT1ZHKEFOTiwwLC05LFksUlAp&amp;WINDOW=FIRST_POPUP&amp;HEIGHT=450&amp;WIDTH=","450&amp;START_MAXIMIZED=FALSE&amp;VAR:CALENDAR=US&amp;VAR:SYMBOL=B10LQP&amp;VAR:INDEX=7"}</definedName>
    <definedName name="_178__FDSAUDITLINK__" hidden="1">{"fdsup://directions/FAT Viewer?action=UPDATE&amp;creator=factset&amp;DYN_ARGS=TRUE&amp;DOC_NAME=FAT:FQL_AUDITING_CLIENT_TEMPLATE.FAT&amp;display_string=Audit&amp;VAR:KEY=DAFAXEVKNC&amp;VAR:QUERY=RkZfRUJJVF9PUEVSX0lOVF9DT1ZHKEFOTiwwLC05LFksUlAp&amp;WINDOW=FIRST_POPUP&amp;HEIGHT=450&amp;WIDTH=","450&amp;START_MAXIMIZED=FALSE&amp;VAR:CALENDAR=US&amp;VAR:SYMBOL=B10LQP&amp;VAR:INDEX=7"}</definedName>
    <definedName name="_178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8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8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8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8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8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8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8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8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8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8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8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8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8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8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8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8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8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8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8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8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8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8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8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8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8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8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8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8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8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9__FDSAUDITLINK__" localSheetId="3" hidden="1">{"fdsup://directions/FAT Viewer?action=UPDATE&amp;creator=factset&amp;DYN_ARGS=TRUE&amp;DOC_NAME=FAT:FQL_AUDITING_CLIENT_TEMPLATE.FAT&amp;display_string=Audit&amp;VAR:KEY=DAFAXEVKNC&amp;VAR:QUERY=RkZfRUJJVF9PUEVSX0lOVF9DT1ZHKEFOTiwwLC05LFksUlAp&amp;WINDOW=FIRST_POPUP&amp;HEIGHT=450&amp;WIDTH=","450&amp;START_MAXIMIZED=FALSE&amp;VAR:CALENDAR=US&amp;VAR:SYMBOL=B10LQP&amp;VAR:INDEX=6"}</definedName>
    <definedName name="_179__FDSAUDITLINK__" localSheetId="7" hidden="1">{"fdsup://directions/FAT Viewer?action=UPDATE&amp;creator=factset&amp;DYN_ARGS=TRUE&amp;DOC_NAME=FAT:FQL_AUDITING_CLIENT_TEMPLATE.FAT&amp;display_string=Audit&amp;VAR:KEY=DAFAXEVKNC&amp;VAR:QUERY=RkZfRUJJVF9PUEVSX0lOVF9DT1ZHKEFOTiwwLC05LFksUlAp&amp;WINDOW=FIRST_POPUP&amp;HEIGHT=450&amp;WIDTH=","450&amp;START_MAXIMIZED=FALSE&amp;VAR:CALENDAR=US&amp;VAR:SYMBOL=B10LQP&amp;VAR:INDEX=6"}</definedName>
    <definedName name="_179__FDSAUDITLINK__" hidden="1">{"fdsup://directions/FAT Viewer?action=UPDATE&amp;creator=factset&amp;DYN_ARGS=TRUE&amp;DOC_NAME=FAT:FQL_AUDITING_CLIENT_TEMPLATE.FAT&amp;display_string=Audit&amp;VAR:KEY=DAFAXEVKNC&amp;VAR:QUERY=RkZfRUJJVF9PUEVSX0lOVF9DT1ZHKEFOTiwwLC05LFksUlAp&amp;WINDOW=FIRST_POPUP&amp;HEIGHT=450&amp;WIDTH=","450&amp;START_MAXIMIZED=FALSE&amp;VAR:CALENDAR=US&amp;VAR:SYMBOL=B10LQP&amp;VAR:INDEX=6"}</definedName>
    <definedName name="_1790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90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90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9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9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9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9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9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9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9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9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9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9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9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9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79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9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9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79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9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9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79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9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9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79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9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9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79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9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79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__FDSAUDITLINK__" localSheetId="3" hidden="1">{"fdsup://directions/FAT Viewer?action=UPDATE&amp;creator=factset&amp;DYN_ARGS=TRUE&amp;DOC_NAME=FAT:FQL_AUDITING_CLIENT_TEMPLATE.FAT&amp;display_string=Audit&amp;VAR:KEY=ADWJMJMJEB&amp;VAR:QUERY=RkZfTUtUX1ZBTChBTk4sLTREKQ==&amp;WINDOW=FIRST_POPUP&amp;HEIGHT=450&amp;WIDTH=450&amp;START_MAXIMIZED=","FALSE&amp;VAR:CALENDAR=US&amp;VAR:SYMBOL=268453&amp;VAR:INDEX=0"}</definedName>
    <definedName name="_18__FDSAUDITLINK__" localSheetId="7" hidden="1">{"fdsup://directions/FAT Viewer?action=UPDATE&amp;creator=factset&amp;DYN_ARGS=TRUE&amp;DOC_NAME=FAT:FQL_AUDITING_CLIENT_TEMPLATE.FAT&amp;display_string=Audit&amp;VAR:KEY=ADWJMJMJEB&amp;VAR:QUERY=RkZfTUtUX1ZBTChBTk4sLTREKQ==&amp;WINDOW=FIRST_POPUP&amp;HEIGHT=450&amp;WIDTH=450&amp;START_MAXIMIZED=","FALSE&amp;VAR:CALENDAR=US&amp;VAR:SYMBOL=268453&amp;VAR:INDEX=0"}</definedName>
    <definedName name="_18__FDSAUDITLINK__" hidden="1">{"fdsup://directions/FAT Viewer?action=UPDATE&amp;creator=factset&amp;DYN_ARGS=TRUE&amp;DOC_NAME=FAT:FQL_AUDITING_CLIENT_TEMPLATE.FAT&amp;display_string=Audit&amp;VAR:KEY=ADWJMJMJEB&amp;VAR:QUERY=RkZfTUtUX1ZBTChBTk4sLTREKQ==&amp;WINDOW=FIRST_POPUP&amp;HEIGHT=450&amp;WIDTH=450&amp;START_MAXIMIZED=","FALSE&amp;VAR:CALENDAR=US&amp;VAR:SYMBOL=268453&amp;VAR:INDEX=0"}</definedName>
    <definedName name="_180__FDSAUDITLINK__" localSheetId="3" hidden="1">{"fdsup://directions/FAT Viewer?action=UPDATE&amp;creator=factset&amp;DYN_ARGS=TRUE&amp;DOC_NAME=FAT:FQL_AUDITING_CLIENT_TEMPLATE.FAT&amp;display_string=Audit&amp;VAR:KEY=ODYJULADWX&amp;VAR:QUERY=RkZfTkVUX0lOQyhMVE0sMCwsLCwsTSk=&amp;WINDOW=FIRST_POPUP&amp;HEIGHT=450&amp;WIDTH=450&amp;START_MAXIMI","ZED=FALSE&amp;VAR:CALENDAR=US&amp;VAR:SYMBOL=B031NN&amp;VAR:INDEX=0"}</definedName>
    <definedName name="_180__FDSAUDITLINK__" localSheetId="7" hidden="1">{"fdsup://directions/FAT Viewer?action=UPDATE&amp;creator=factset&amp;DYN_ARGS=TRUE&amp;DOC_NAME=FAT:FQL_AUDITING_CLIENT_TEMPLATE.FAT&amp;display_string=Audit&amp;VAR:KEY=ODYJULADWX&amp;VAR:QUERY=RkZfTkVUX0lOQyhMVE0sMCwsLCwsTSk=&amp;WINDOW=FIRST_POPUP&amp;HEIGHT=450&amp;WIDTH=450&amp;START_MAXIMI","ZED=FALSE&amp;VAR:CALENDAR=US&amp;VAR:SYMBOL=B031NN&amp;VAR:INDEX=0"}</definedName>
    <definedName name="_180__FDSAUDITLINK__" hidden="1">{"fdsup://directions/FAT Viewer?action=UPDATE&amp;creator=factset&amp;DYN_ARGS=TRUE&amp;DOC_NAME=FAT:FQL_AUDITING_CLIENT_TEMPLATE.FAT&amp;display_string=Audit&amp;VAR:KEY=ODYJULADWX&amp;VAR:QUERY=RkZfTkVUX0lOQyhMVE0sMCwsLCwsTSk=&amp;WINDOW=FIRST_POPUP&amp;HEIGHT=450&amp;WIDTH=450&amp;START_MAXIMI","ZED=FALSE&amp;VAR:CALENDAR=US&amp;VAR:SYMBOL=B031NN&amp;VAR:INDEX=0"}</definedName>
    <definedName name="_180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0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0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0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0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0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0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0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0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0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0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0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0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0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0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0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0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0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0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0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0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0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0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0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0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0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0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0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0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0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1__FDSAUDITLINK__" localSheetId="3" hidden="1">{"fdsup://directions/FAT Viewer?action=UPDATE&amp;creator=factset&amp;DYN_ARGS=TRUE&amp;DOC_NAME=FAT:FQL_AUDITING_CLIENT_TEMPLATE.FAT&amp;display_string=Audit&amp;VAR:KEY=DAFAXEVKNC&amp;VAR:QUERY=RkZfRUJJVF9PUEVSX0lOVF9DT1ZHKEFOTiwwLC05LFksUlAp&amp;WINDOW=FIRST_POPUP&amp;HEIGHT=450&amp;WIDTH=","450&amp;START_MAXIMIZED=FALSE&amp;VAR:CALENDAR=US&amp;VAR:SYMBOL=B10LQP&amp;VAR:INDEX=4"}</definedName>
    <definedName name="_181__FDSAUDITLINK__" localSheetId="7" hidden="1">{"fdsup://directions/FAT Viewer?action=UPDATE&amp;creator=factset&amp;DYN_ARGS=TRUE&amp;DOC_NAME=FAT:FQL_AUDITING_CLIENT_TEMPLATE.FAT&amp;display_string=Audit&amp;VAR:KEY=DAFAXEVKNC&amp;VAR:QUERY=RkZfRUJJVF9PUEVSX0lOVF9DT1ZHKEFOTiwwLC05LFksUlAp&amp;WINDOW=FIRST_POPUP&amp;HEIGHT=450&amp;WIDTH=","450&amp;START_MAXIMIZED=FALSE&amp;VAR:CALENDAR=US&amp;VAR:SYMBOL=B10LQP&amp;VAR:INDEX=4"}</definedName>
    <definedName name="_181__FDSAUDITLINK__" hidden="1">{"fdsup://directions/FAT Viewer?action=UPDATE&amp;creator=factset&amp;DYN_ARGS=TRUE&amp;DOC_NAME=FAT:FQL_AUDITING_CLIENT_TEMPLATE.FAT&amp;display_string=Audit&amp;VAR:KEY=DAFAXEVKNC&amp;VAR:QUERY=RkZfRUJJVF9PUEVSX0lOVF9DT1ZHKEFOTiwwLC05LFksUlAp&amp;WINDOW=FIRST_POPUP&amp;HEIGHT=450&amp;WIDTH=","450&amp;START_MAXIMIZED=FALSE&amp;VAR:CALENDAR=US&amp;VAR:SYMBOL=B10LQP&amp;VAR:INDEX=4"}</definedName>
    <definedName name="_181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1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1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1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1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1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1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1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1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1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1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1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1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1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1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1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1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1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1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1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1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1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1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1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1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1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1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1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1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1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2__FDSAUDITLINK__" localSheetId="3" hidden="1">{"fdsup://directions/FAT Viewer?action=UPDATE&amp;creator=factset&amp;DYN_ARGS=TRUE&amp;DOC_NAME=FAT:FQL_AUDITING_CLIENT_TEMPLATE.FAT&amp;display_string=Audit&amp;VAR:KEY=DAFAXEVKNC&amp;VAR:QUERY=RkZfRUJJVF9PUEVSX0lOVF9DT1ZHKEFOTiwwLC05LFksUlAp&amp;WINDOW=FIRST_POPUP&amp;HEIGHT=450&amp;WIDTH=","450&amp;START_MAXIMIZED=FALSE&amp;VAR:CALENDAR=US&amp;VAR:SYMBOL=B10LQP&amp;VAR:INDEX=3"}</definedName>
    <definedName name="_182__FDSAUDITLINK__" localSheetId="7" hidden="1">{"fdsup://directions/FAT Viewer?action=UPDATE&amp;creator=factset&amp;DYN_ARGS=TRUE&amp;DOC_NAME=FAT:FQL_AUDITING_CLIENT_TEMPLATE.FAT&amp;display_string=Audit&amp;VAR:KEY=DAFAXEVKNC&amp;VAR:QUERY=RkZfRUJJVF9PUEVSX0lOVF9DT1ZHKEFOTiwwLC05LFksUlAp&amp;WINDOW=FIRST_POPUP&amp;HEIGHT=450&amp;WIDTH=","450&amp;START_MAXIMIZED=FALSE&amp;VAR:CALENDAR=US&amp;VAR:SYMBOL=B10LQP&amp;VAR:INDEX=3"}</definedName>
    <definedName name="_182__FDSAUDITLINK__" hidden="1">{"fdsup://directions/FAT Viewer?action=UPDATE&amp;creator=factset&amp;DYN_ARGS=TRUE&amp;DOC_NAME=FAT:FQL_AUDITING_CLIENT_TEMPLATE.FAT&amp;display_string=Audit&amp;VAR:KEY=DAFAXEVKNC&amp;VAR:QUERY=RkZfRUJJVF9PUEVSX0lOVF9DT1ZHKEFOTiwwLC05LFksUlAp&amp;WINDOW=FIRST_POPUP&amp;HEIGHT=450&amp;WIDTH=","450&amp;START_MAXIMIZED=FALSE&amp;VAR:CALENDAR=US&amp;VAR:SYMBOL=B10LQP&amp;VAR:INDEX=3"}</definedName>
    <definedName name="_1820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20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20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2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2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2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2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2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2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2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2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2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2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2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2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2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2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2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2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2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2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2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2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2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2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2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2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2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2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2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3__FDSAUDITLINK__" localSheetId="3" hidden="1">{"fdsup://directions/FAT Viewer?action=UPDATE&amp;creator=factset&amp;DYN_ARGS=TRUE&amp;DOC_NAME=FAT:FQL_AUDITING_CLIENT_TEMPLATE.FAT&amp;display_string=Audit&amp;VAR:KEY=DAFAXEVKNC&amp;VAR:QUERY=RkZfRUJJVF9PUEVSX0lOVF9DT1ZHKEFOTiwwLC05LFksUlAp&amp;WINDOW=FIRST_POPUP&amp;HEIGHT=450&amp;WIDTH=","450&amp;START_MAXIMIZED=FALSE&amp;VAR:CALENDAR=US&amp;VAR:SYMBOL=B10LQP&amp;VAR:INDEX=2"}</definedName>
    <definedName name="_183__FDSAUDITLINK__" localSheetId="7" hidden="1">{"fdsup://directions/FAT Viewer?action=UPDATE&amp;creator=factset&amp;DYN_ARGS=TRUE&amp;DOC_NAME=FAT:FQL_AUDITING_CLIENT_TEMPLATE.FAT&amp;display_string=Audit&amp;VAR:KEY=DAFAXEVKNC&amp;VAR:QUERY=RkZfRUJJVF9PUEVSX0lOVF9DT1ZHKEFOTiwwLC05LFksUlAp&amp;WINDOW=FIRST_POPUP&amp;HEIGHT=450&amp;WIDTH=","450&amp;START_MAXIMIZED=FALSE&amp;VAR:CALENDAR=US&amp;VAR:SYMBOL=B10LQP&amp;VAR:INDEX=2"}</definedName>
    <definedName name="_183__FDSAUDITLINK__" hidden="1">{"fdsup://directions/FAT Viewer?action=UPDATE&amp;creator=factset&amp;DYN_ARGS=TRUE&amp;DOC_NAME=FAT:FQL_AUDITING_CLIENT_TEMPLATE.FAT&amp;display_string=Audit&amp;VAR:KEY=DAFAXEVKNC&amp;VAR:QUERY=RkZfRUJJVF9PUEVSX0lOVF9DT1ZHKEFOTiwwLC05LFksUlAp&amp;WINDOW=FIRST_POPUP&amp;HEIGHT=450&amp;WIDTH=","450&amp;START_MAXIMIZED=FALSE&amp;VAR:CALENDAR=US&amp;VAR:SYMBOL=B10LQP&amp;VAR:INDEX=2"}</definedName>
    <definedName name="_183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3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3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3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3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3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3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3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3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3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3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3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3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3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3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3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3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3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3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3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3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3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3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3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3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3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3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3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3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3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4__FDSAUDITLINK__" localSheetId="3" hidden="1">{"fdsup://directions/FAT Viewer?action=UPDATE&amp;creator=factset&amp;DYN_ARGS=TRUE&amp;DOC_NAME=FAT:FQL_AUDITING_CLIENT_TEMPLATE.FAT&amp;display_string=Audit&amp;VAR:KEY=DAFAXEVKNC&amp;VAR:QUERY=RkZfRUJJVF9PUEVSX0lOVF9DT1ZHKEFOTiwwLC05LFksUlAp&amp;WINDOW=FIRST_POPUP&amp;HEIGHT=450&amp;WIDTH=","450&amp;START_MAXIMIZED=FALSE&amp;VAR:CALENDAR=US&amp;VAR:SYMBOL=B10LQP&amp;VAR:INDEX=1"}</definedName>
    <definedName name="_184__FDSAUDITLINK__" localSheetId="7" hidden="1">{"fdsup://directions/FAT Viewer?action=UPDATE&amp;creator=factset&amp;DYN_ARGS=TRUE&amp;DOC_NAME=FAT:FQL_AUDITING_CLIENT_TEMPLATE.FAT&amp;display_string=Audit&amp;VAR:KEY=DAFAXEVKNC&amp;VAR:QUERY=RkZfRUJJVF9PUEVSX0lOVF9DT1ZHKEFOTiwwLC05LFksUlAp&amp;WINDOW=FIRST_POPUP&amp;HEIGHT=450&amp;WIDTH=","450&amp;START_MAXIMIZED=FALSE&amp;VAR:CALENDAR=US&amp;VAR:SYMBOL=B10LQP&amp;VAR:INDEX=1"}</definedName>
    <definedName name="_184__FDSAUDITLINK__" hidden="1">{"fdsup://directions/FAT Viewer?action=UPDATE&amp;creator=factset&amp;DYN_ARGS=TRUE&amp;DOC_NAME=FAT:FQL_AUDITING_CLIENT_TEMPLATE.FAT&amp;display_string=Audit&amp;VAR:KEY=DAFAXEVKNC&amp;VAR:QUERY=RkZfRUJJVF9PUEVSX0lOVF9DT1ZHKEFOTiwwLC05LFksUlAp&amp;WINDOW=FIRST_POPUP&amp;HEIGHT=450&amp;WIDTH=","450&amp;START_MAXIMIZED=FALSE&amp;VAR:CALENDAR=US&amp;VAR:SYMBOL=B10LQP&amp;VAR:INDEX=1"}</definedName>
    <definedName name="_184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4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4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4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4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4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4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4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4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4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4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4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4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4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4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4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4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4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4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4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4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4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4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4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4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4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4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4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4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4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5__FDSAUDITLINK__" localSheetId="3" hidden="1">{"fdsup://directions/FAT Viewer?action=UPDATE&amp;creator=factset&amp;DYN_ARGS=TRUE&amp;DOC_NAME=FAT:FQL_AUDITING_CLIENT_TEMPLATE.FAT&amp;display_string=Audit&amp;VAR:KEY=RQZGTEZKJM&amp;VAR:QUERY=RkZfU0FMRVMoTFRNLDAsLCwsLE0p&amp;WINDOW=FIRST_POPUP&amp;HEIGHT=450&amp;WIDTH=450&amp;START_MAXIMIZED=","FALSE&amp;VAR:CALENDAR=US&amp;VAR:SYMBOL=B667N4&amp;VAR:INDEX=0"}</definedName>
    <definedName name="_185__FDSAUDITLINK__" localSheetId="7" hidden="1">{"fdsup://directions/FAT Viewer?action=UPDATE&amp;creator=factset&amp;DYN_ARGS=TRUE&amp;DOC_NAME=FAT:FQL_AUDITING_CLIENT_TEMPLATE.FAT&amp;display_string=Audit&amp;VAR:KEY=RQZGTEZKJM&amp;VAR:QUERY=RkZfU0FMRVMoTFRNLDAsLCwsLE0p&amp;WINDOW=FIRST_POPUP&amp;HEIGHT=450&amp;WIDTH=450&amp;START_MAXIMIZED=","FALSE&amp;VAR:CALENDAR=US&amp;VAR:SYMBOL=B667N4&amp;VAR:INDEX=0"}</definedName>
    <definedName name="_185__FDSAUDITLINK__" hidden="1">{"fdsup://directions/FAT Viewer?action=UPDATE&amp;creator=factset&amp;DYN_ARGS=TRUE&amp;DOC_NAME=FAT:FQL_AUDITING_CLIENT_TEMPLATE.FAT&amp;display_string=Audit&amp;VAR:KEY=RQZGTEZKJM&amp;VAR:QUERY=RkZfU0FMRVMoTFRNLDAsLCwsLE0p&amp;WINDOW=FIRST_POPUP&amp;HEIGHT=450&amp;WIDTH=450&amp;START_MAXIMIZED=","FALSE&amp;VAR:CALENDAR=US&amp;VAR:SYMBOL=B667N4&amp;VAR:INDEX=0"}</definedName>
    <definedName name="_1850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50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50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5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5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5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5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5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5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5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5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5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5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5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5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5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5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5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5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5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5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5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5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5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5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5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5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5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5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5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6__FDSAUDITLINK__" localSheetId="3" hidden="1">{"fdsup://directions/FAT Viewer?action=UPDATE&amp;creator=factset&amp;DYN_ARGS=TRUE&amp;DOC_NAME=FAT:FQL_AUDITING_CLIENT_TEMPLATE.FAT&amp;display_string=Audit&amp;VAR:KEY=NCJEBCPULU&amp;VAR:QUERY=RkZfU0FMRVMoTFRNLDAsLCwsLE0p&amp;WINDOW=FIRST_POPUP&amp;HEIGHT=450&amp;WIDTH=450&amp;START_MAXIMIZED=","FALSE&amp;VAR:CALENDAR=US&amp;VAR:SYMBOL=244103&amp;VAR:INDEX=0"}</definedName>
    <definedName name="_186__FDSAUDITLINK__" localSheetId="7" hidden="1">{"fdsup://directions/FAT Viewer?action=UPDATE&amp;creator=factset&amp;DYN_ARGS=TRUE&amp;DOC_NAME=FAT:FQL_AUDITING_CLIENT_TEMPLATE.FAT&amp;display_string=Audit&amp;VAR:KEY=NCJEBCPULU&amp;VAR:QUERY=RkZfU0FMRVMoTFRNLDAsLCwsLE0p&amp;WINDOW=FIRST_POPUP&amp;HEIGHT=450&amp;WIDTH=450&amp;START_MAXIMIZED=","FALSE&amp;VAR:CALENDAR=US&amp;VAR:SYMBOL=244103&amp;VAR:INDEX=0"}</definedName>
    <definedName name="_186__FDSAUDITLINK__" hidden="1">{"fdsup://directions/FAT Viewer?action=UPDATE&amp;creator=factset&amp;DYN_ARGS=TRUE&amp;DOC_NAME=FAT:FQL_AUDITING_CLIENT_TEMPLATE.FAT&amp;display_string=Audit&amp;VAR:KEY=NCJEBCPULU&amp;VAR:QUERY=RkZfU0FMRVMoTFRNLDAsLCwsLE0p&amp;WINDOW=FIRST_POPUP&amp;HEIGHT=450&amp;WIDTH=450&amp;START_MAXIMIZED=","FALSE&amp;VAR:CALENDAR=US&amp;VAR:SYMBOL=244103&amp;VAR:INDEX=0"}</definedName>
    <definedName name="_186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6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6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6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6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6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6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6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6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6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6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6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6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6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6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6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6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6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6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6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6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6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6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6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6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6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6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6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6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6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7__FDSAUDITLINK__" localSheetId="3" hidden="1">{"fdsup://directions/FAT Viewer?action=UPDATE&amp;creator=factset&amp;DYN_ARGS=TRUE&amp;DOC_NAME=FAT:FQL_AUDITING_CLIENT_TEMPLATE.FAT&amp;display_string=Audit&amp;VAR:KEY=WTCVKXCDWP&amp;VAR:QUERY=Q0VfRkZfRU5UUlBSX1ZBTCgwLC05LFksJzBEJyxVU0QpIC8vIEZGX1NBTEVTKEFOTiwwLC05LFksUlAsVVNEK","Q==&amp;WINDOW=FIRST_POPUP&amp;HEIGHT=450&amp;WIDTH=450&amp;START_MAXIMIZED=FALSE&amp;VAR:CALENDAR=US&amp;VAR:SYMBOL=B10LQP&amp;VAR:INDEX=6"}</definedName>
    <definedName name="_187__FDSAUDITLINK__" localSheetId="7" hidden="1">{"fdsup://directions/FAT Viewer?action=UPDATE&amp;creator=factset&amp;DYN_ARGS=TRUE&amp;DOC_NAME=FAT:FQL_AUDITING_CLIENT_TEMPLATE.FAT&amp;display_string=Audit&amp;VAR:KEY=WTCVKXCDWP&amp;VAR:QUERY=Q0VfRkZfRU5UUlBSX1ZBTCgwLC05LFksJzBEJyxVU0QpIC8vIEZGX1NBTEVTKEFOTiwwLC05LFksUlAsVVNEK","Q==&amp;WINDOW=FIRST_POPUP&amp;HEIGHT=450&amp;WIDTH=450&amp;START_MAXIMIZED=FALSE&amp;VAR:CALENDAR=US&amp;VAR:SYMBOL=B10LQP&amp;VAR:INDEX=6"}</definedName>
    <definedName name="_187__FDSAUDITLINK__" hidden="1">{"fdsup://directions/FAT Viewer?action=UPDATE&amp;creator=factset&amp;DYN_ARGS=TRUE&amp;DOC_NAME=FAT:FQL_AUDITING_CLIENT_TEMPLATE.FAT&amp;display_string=Audit&amp;VAR:KEY=WTCVKXCDWP&amp;VAR:QUERY=Q0VfRkZfRU5UUlBSX1ZBTCgwLC05LFksJzBEJyxVU0QpIC8vIEZGX1NBTEVTKEFOTiwwLC05LFksUlAsVVNEK","Q==&amp;WINDOW=FIRST_POPUP&amp;HEIGHT=450&amp;WIDTH=450&amp;START_MAXIMIZED=FALSE&amp;VAR:CALENDAR=US&amp;VAR:SYMBOL=B10LQP&amp;VAR:INDEX=6"}</definedName>
    <definedName name="_187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7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7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7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7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7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7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7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7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7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7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7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7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7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7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7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7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7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7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7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7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7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7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7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7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7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7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7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7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7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8__FDSAUDITLINK__" localSheetId="3" hidden="1">{"fdsup://directions/FAT Viewer?action=UPDATE&amp;creator=factset&amp;DYN_ARGS=TRUE&amp;DOC_NAME=FAT:FQL_AUDITING_CLIENT_TEMPLATE.FAT&amp;display_string=Audit&amp;VAR:KEY=WTCVKXCDWP&amp;VAR:QUERY=Q0VfRkZfRU5UUlBSX1ZBTCgwLC05LFksJzBEJyxVU0QpIC8vIEZGX1NBTEVTKEFOTiwwLC05LFksUlAsVVNEK","Q==&amp;WINDOW=FIRST_POPUP&amp;HEIGHT=450&amp;WIDTH=450&amp;START_MAXIMIZED=FALSE&amp;VAR:CALENDAR=US&amp;VAR:SYMBOL=B10LQP&amp;VAR:INDEX=5"}</definedName>
    <definedName name="_188__FDSAUDITLINK__" localSheetId="7" hidden="1">{"fdsup://directions/FAT Viewer?action=UPDATE&amp;creator=factset&amp;DYN_ARGS=TRUE&amp;DOC_NAME=FAT:FQL_AUDITING_CLIENT_TEMPLATE.FAT&amp;display_string=Audit&amp;VAR:KEY=WTCVKXCDWP&amp;VAR:QUERY=Q0VfRkZfRU5UUlBSX1ZBTCgwLC05LFksJzBEJyxVU0QpIC8vIEZGX1NBTEVTKEFOTiwwLC05LFksUlAsVVNEK","Q==&amp;WINDOW=FIRST_POPUP&amp;HEIGHT=450&amp;WIDTH=450&amp;START_MAXIMIZED=FALSE&amp;VAR:CALENDAR=US&amp;VAR:SYMBOL=B10LQP&amp;VAR:INDEX=5"}</definedName>
    <definedName name="_188__FDSAUDITLINK__" hidden="1">{"fdsup://directions/FAT Viewer?action=UPDATE&amp;creator=factset&amp;DYN_ARGS=TRUE&amp;DOC_NAME=FAT:FQL_AUDITING_CLIENT_TEMPLATE.FAT&amp;display_string=Audit&amp;VAR:KEY=WTCVKXCDWP&amp;VAR:QUERY=Q0VfRkZfRU5UUlBSX1ZBTCgwLC05LFksJzBEJyxVU0QpIC8vIEZGX1NBTEVTKEFOTiwwLC05LFksUlAsVVNEK","Q==&amp;WINDOW=FIRST_POPUP&amp;HEIGHT=450&amp;WIDTH=450&amp;START_MAXIMIZED=FALSE&amp;VAR:CALENDAR=US&amp;VAR:SYMBOL=B10LQP&amp;VAR:INDEX=5"}</definedName>
    <definedName name="_1880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80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80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8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8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8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8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8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8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8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8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8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8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8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8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8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8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8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8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8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8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8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8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8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8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8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8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8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8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8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9__FDSAUDITLINK__" localSheetId="3" hidden="1">{"fdsup://directions/FAT Viewer?action=UPDATE&amp;creator=factset&amp;DYN_ARGS=TRUE&amp;DOC_NAME=FAT:FQL_AUDITING_CLIENT_TEMPLATE.FAT&amp;display_string=Audit&amp;VAR:KEY=WTCVKXCDWP&amp;VAR:QUERY=Q0VfRkZfRU5UUlBSX1ZBTCgwLC05LFksJzBEJyxVU0QpIC8vIEZGX1NBTEVTKEFOTiwwLC05LFksUlAsVVNEK","Q==&amp;WINDOW=FIRST_POPUP&amp;HEIGHT=450&amp;WIDTH=450&amp;START_MAXIMIZED=FALSE&amp;VAR:CALENDAR=US&amp;VAR:SYMBOL=B10LQP&amp;VAR:INDEX=4"}</definedName>
    <definedName name="_189__FDSAUDITLINK__" localSheetId="7" hidden="1">{"fdsup://directions/FAT Viewer?action=UPDATE&amp;creator=factset&amp;DYN_ARGS=TRUE&amp;DOC_NAME=FAT:FQL_AUDITING_CLIENT_TEMPLATE.FAT&amp;display_string=Audit&amp;VAR:KEY=WTCVKXCDWP&amp;VAR:QUERY=Q0VfRkZfRU5UUlBSX1ZBTCgwLC05LFksJzBEJyxVU0QpIC8vIEZGX1NBTEVTKEFOTiwwLC05LFksUlAsVVNEK","Q==&amp;WINDOW=FIRST_POPUP&amp;HEIGHT=450&amp;WIDTH=450&amp;START_MAXIMIZED=FALSE&amp;VAR:CALENDAR=US&amp;VAR:SYMBOL=B10LQP&amp;VAR:INDEX=4"}</definedName>
    <definedName name="_189__FDSAUDITLINK__" hidden="1">{"fdsup://directions/FAT Viewer?action=UPDATE&amp;creator=factset&amp;DYN_ARGS=TRUE&amp;DOC_NAME=FAT:FQL_AUDITING_CLIENT_TEMPLATE.FAT&amp;display_string=Audit&amp;VAR:KEY=WTCVKXCDWP&amp;VAR:QUERY=Q0VfRkZfRU5UUlBSX1ZBTCgwLC05LFksJzBEJyxVU0QpIC8vIEZGX1NBTEVTKEFOTiwwLC05LFksUlAsVVNEK","Q==&amp;WINDOW=FIRST_POPUP&amp;HEIGHT=450&amp;WIDTH=450&amp;START_MAXIMIZED=FALSE&amp;VAR:CALENDAR=US&amp;VAR:SYMBOL=B10LQP&amp;VAR:INDEX=4"}</definedName>
    <definedName name="_189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9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9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9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9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9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9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9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9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9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9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9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9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9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9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89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9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9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89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9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9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89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9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9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89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9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9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89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9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89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__FDSAUDITLINK__" localSheetId="3" hidden="1">{"fdsup://Directions/FactSet Auditing Viewer?action=AUDIT_VALUE&amp;DB=129&amp;ID1=B4LHBQ&amp;VALUEID=01001&amp;SDATE=2010&amp;PERIODTYPE=ANN_STD&amp;SCFT=3&amp;window=popup_no_bar&amp;width=385&amp;height=120&amp;START_MAXIMIZED=FALSE&amp;creator=factset&amp;display_string=Audit"}</definedName>
    <definedName name="_19__FDSAUDITLINK__" localSheetId="7" hidden="1">{"fdsup://Directions/FactSet Auditing Viewer?action=AUDIT_VALUE&amp;DB=129&amp;ID1=B4LHBQ&amp;VALUEID=01001&amp;SDATE=2010&amp;PERIODTYPE=ANN_STD&amp;SCFT=3&amp;window=popup_no_bar&amp;width=385&amp;height=120&amp;START_MAXIMIZED=FALSE&amp;creator=factset&amp;display_string=Audit"}</definedName>
    <definedName name="_19__FDSAUDITLINK__" hidden="1">{"fdsup://Directions/FactSet Auditing Viewer?action=AUDIT_VALUE&amp;DB=129&amp;ID1=B4LHBQ&amp;VALUEID=01001&amp;SDATE=2010&amp;PERIODTYPE=ANN_STD&amp;SCFT=3&amp;window=popup_no_bar&amp;width=385&amp;height=120&amp;START_MAXIMIZED=FALSE&amp;creator=factset&amp;display_string=Audit"}</definedName>
    <definedName name="_190__FDSAUDITLINK__" localSheetId="3" hidden="1">{"fdsup://directions/FAT Viewer?action=UPDATE&amp;creator=factset&amp;DYN_ARGS=TRUE&amp;DOC_NAME=FAT:FQL_AUDITING_CLIENT_TEMPLATE.FAT&amp;display_string=Audit&amp;VAR:KEY=WTCVKXCDWP&amp;VAR:QUERY=Q0VfRkZfRU5UUlBSX1ZBTCgwLC05LFksJzBEJyxVU0QpIC8vIEZGX1NBTEVTKEFOTiwwLC05LFksUlAsVVNEK","Q==&amp;WINDOW=FIRST_POPUP&amp;HEIGHT=450&amp;WIDTH=450&amp;START_MAXIMIZED=FALSE&amp;VAR:CALENDAR=US&amp;VAR:SYMBOL=B10LQP&amp;VAR:INDEX=3"}</definedName>
    <definedName name="_190__FDSAUDITLINK__" localSheetId="7" hidden="1">{"fdsup://directions/FAT Viewer?action=UPDATE&amp;creator=factset&amp;DYN_ARGS=TRUE&amp;DOC_NAME=FAT:FQL_AUDITING_CLIENT_TEMPLATE.FAT&amp;display_string=Audit&amp;VAR:KEY=WTCVKXCDWP&amp;VAR:QUERY=Q0VfRkZfRU5UUlBSX1ZBTCgwLC05LFksJzBEJyxVU0QpIC8vIEZGX1NBTEVTKEFOTiwwLC05LFksUlAsVVNEK","Q==&amp;WINDOW=FIRST_POPUP&amp;HEIGHT=450&amp;WIDTH=450&amp;START_MAXIMIZED=FALSE&amp;VAR:CALENDAR=US&amp;VAR:SYMBOL=B10LQP&amp;VAR:INDEX=3"}</definedName>
    <definedName name="_190__FDSAUDITLINK__" hidden="1">{"fdsup://directions/FAT Viewer?action=UPDATE&amp;creator=factset&amp;DYN_ARGS=TRUE&amp;DOC_NAME=FAT:FQL_AUDITING_CLIENT_TEMPLATE.FAT&amp;display_string=Audit&amp;VAR:KEY=WTCVKXCDWP&amp;VAR:QUERY=Q0VfRkZfRU5UUlBSX1ZBTCgwLC05LFksJzBEJyxVU0QpIC8vIEZGX1NBTEVTKEFOTiwwLC05LFksUlAsVVNEK","Q==&amp;WINDOW=FIRST_POPUP&amp;HEIGHT=450&amp;WIDTH=450&amp;START_MAXIMIZED=FALSE&amp;VAR:CALENDAR=US&amp;VAR:SYMBOL=B10LQP&amp;VAR:INDEX=3"}</definedName>
    <definedName name="_190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0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0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0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0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0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0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0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0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0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0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0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0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0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0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0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0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0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0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0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0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0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0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0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0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0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0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0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0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0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1__FDSAUDITLINK__" localSheetId="3" hidden="1">{"fdsup://directions/FAT Viewer?action=UPDATE&amp;creator=factset&amp;DYN_ARGS=TRUE&amp;DOC_NAME=FAT:FQL_AUDITING_CLIENT_TEMPLATE.FAT&amp;display_string=Audit&amp;VAR:KEY=WTCVKXCDWP&amp;VAR:QUERY=Q0VfRkZfRU5UUlBSX1ZBTCgwLC05LFksJzBEJyxVU0QpIC8vIEZGX1NBTEVTKEFOTiwwLC05LFksUlAsVVNEK","Q==&amp;WINDOW=FIRST_POPUP&amp;HEIGHT=450&amp;WIDTH=450&amp;START_MAXIMIZED=FALSE&amp;VAR:CALENDAR=US&amp;VAR:SYMBOL=B10LQP&amp;VAR:INDEX=2"}</definedName>
    <definedName name="_191__FDSAUDITLINK__" localSheetId="7" hidden="1">{"fdsup://directions/FAT Viewer?action=UPDATE&amp;creator=factset&amp;DYN_ARGS=TRUE&amp;DOC_NAME=FAT:FQL_AUDITING_CLIENT_TEMPLATE.FAT&amp;display_string=Audit&amp;VAR:KEY=WTCVKXCDWP&amp;VAR:QUERY=Q0VfRkZfRU5UUlBSX1ZBTCgwLC05LFksJzBEJyxVU0QpIC8vIEZGX1NBTEVTKEFOTiwwLC05LFksUlAsVVNEK","Q==&amp;WINDOW=FIRST_POPUP&amp;HEIGHT=450&amp;WIDTH=450&amp;START_MAXIMIZED=FALSE&amp;VAR:CALENDAR=US&amp;VAR:SYMBOL=B10LQP&amp;VAR:INDEX=2"}</definedName>
    <definedName name="_191__FDSAUDITLINK__" hidden="1">{"fdsup://directions/FAT Viewer?action=UPDATE&amp;creator=factset&amp;DYN_ARGS=TRUE&amp;DOC_NAME=FAT:FQL_AUDITING_CLIENT_TEMPLATE.FAT&amp;display_string=Audit&amp;VAR:KEY=WTCVKXCDWP&amp;VAR:QUERY=Q0VfRkZfRU5UUlBSX1ZBTCgwLC05LFksJzBEJyxVU0QpIC8vIEZGX1NBTEVTKEFOTiwwLC05LFksUlAsVVNEK","Q==&amp;WINDOW=FIRST_POPUP&amp;HEIGHT=450&amp;WIDTH=450&amp;START_MAXIMIZED=FALSE&amp;VAR:CALENDAR=US&amp;VAR:SYMBOL=B10LQP&amp;VAR:INDEX=2"}</definedName>
    <definedName name="_1910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10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10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1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1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1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1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1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1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1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1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1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1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1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1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1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1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1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1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1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1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1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1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1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1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1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1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1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1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1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2__FDSAUDITLINK__" localSheetId="3" hidden="1">{"fdsup://directions/FAT Viewer?action=UPDATE&amp;creator=factset&amp;DYN_ARGS=TRUE&amp;DOC_NAME=FAT:FQL_AUDITING_CLIENT_TEMPLATE.FAT&amp;display_string=Audit&amp;VAR:KEY=LIFSHAFSNG&amp;VAR:QUERY=RkZfU0FMRVMoTFRNLDAsLCwsLE0p&amp;WINDOW=FIRST_POPUP&amp;HEIGHT=450&amp;WIDTH=450&amp;START_MAXIMIZED=","FALSE&amp;VAR:CALENDAR=US&amp;VAR:SYMBOL=B07C76&amp;VAR:INDEX=0"}</definedName>
    <definedName name="_192__FDSAUDITLINK__" localSheetId="7" hidden="1">{"fdsup://directions/FAT Viewer?action=UPDATE&amp;creator=factset&amp;DYN_ARGS=TRUE&amp;DOC_NAME=FAT:FQL_AUDITING_CLIENT_TEMPLATE.FAT&amp;display_string=Audit&amp;VAR:KEY=LIFSHAFSNG&amp;VAR:QUERY=RkZfU0FMRVMoTFRNLDAsLCwsLE0p&amp;WINDOW=FIRST_POPUP&amp;HEIGHT=450&amp;WIDTH=450&amp;START_MAXIMIZED=","FALSE&amp;VAR:CALENDAR=US&amp;VAR:SYMBOL=B07C76&amp;VAR:INDEX=0"}</definedName>
    <definedName name="_192__FDSAUDITLINK__" hidden="1">{"fdsup://directions/FAT Viewer?action=UPDATE&amp;creator=factset&amp;DYN_ARGS=TRUE&amp;DOC_NAME=FAT:FQL_AUDITING_CLIENT_TEMPLATE.FAT&amp;display_string=Audit&amp;VAR:KEY=LIFSHAFSNG&amp;VAR:QUERY=RkZfU0FMRVMoTFRNLDAsLCwsLE0p&amp;WINDOW=FIRST_POPUP&amp;HEIGHT=450&amp;WIDTH=450&amp;START_MAXIMIZED=","FALSE&amp;VAR:CALENDAR=US&amp;VAR:SYMBOL=B07C76&amp;VAR:INDEX=0"}</definedName>
    <definedName name="_192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2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2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2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2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2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2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2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2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2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2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2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2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2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2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2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2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2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2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2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2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2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2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2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2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2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2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2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2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2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3__FDSAUDITLINK__" localSheetId="3" hidden="1">{"fdsup://directions/FAT Viewer?action=UPDATE&amp;creator=factset&amp;DYN_ARGS=TRUE&amp;DOC_NAME=FAT:FQL_AUDITING_CLIENT_TEMPLATE.FAT&amp;display_string=Audit&amp;VAR:KEY=QVKJEBMRQR&amp;VAR:QUERY=RkZfQVNTRVRTX0NVUlJfT1RIKEFOTiwwLC05LFksUlAsVVNELE0p&amp;WINDOW=FIRST_POPUP&amp;HEIGHT=450&amp;WI","DTH=450&amp;START_MAXIMIZED=FALSE&amp;VAR:CALENDAR=US&amp;VAR:SYMBOL=B10LQP&amp;VAR:INDEX=4"}</definedName>
    <definedName name="_193__FDSAUDITLINK__" localSheetId="7" hidden="1">{"fdsup://directions/FAT Viewer?action=UPDATE&amp;creator=factset&amp;DYN_ARGS=TRUE&amp;DOC_NAME=FAT:FQL_AUDITING_CLIENT_TEMPLATE.FAT&amp;display_string=Audit&amp;VAR:KEY=QVKJEBMRQR&amp;VAR:QUERY=RkZfQVNTRVRTX0NVUlJfT1RIKEFOTiwwLC05LFksUlAsVVNELE0p&amp;WINDOW=FIRST_POPUP&amp;HEIGHT=450&amp;WI","DTH=450&amp;START_MAXIMIZED=FALSE&amp;VAR:CALENDAR=US&amp;VAR:SYMBOL=B10LQP&amp;VAR:INDEX=4"}</definedName>
    <definedName name="_193__FDSAUDITLINK__" hidden="1">{"fdsup://directions/FAT Viewer?action=UPDATE&amp;creator=factset&amp;DYN_ARGS=TRUE&amp;DOC_NAME=FAT:FQL_AUDITING_CLIENT_TEMPLATE.FAT&amp;display_string=Audit&amp;VAR:KEY=QVKJEBMRQR&amp;VAR:QUERY=RkZfQVNTRVRTX0NVUlJfT1RIKEFOTiwwLC05LFksUlAsVVNELE0p&amp;WINDOW=FIRST_POPUP&amp;HEIGHT=450&amp;WI","DTH=450&amp;START_MAXIMIZED=FALSE&amp;VAR:CALENDAR=US&amp;VAR:SYMBOL=B10LQP&amp;VAR:INDEX=4"}</definedName>
    <definedName name="_193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3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3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3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3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3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3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3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3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3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3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3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3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3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3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3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3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3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3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3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3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3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3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3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3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3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3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3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3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3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4__FDSAUDITLINK__" localSheetId="3" hidden="1">{"fdsup://directions/FAT Viewer?action=UPDATE&amp;creator=factset&amp;DYN_ARGS=TRUE&amp;DOC_NAME=FAT:FQL_AUDITING_CLIENT_TEMPLATE.FAT&amp;display_string=Audit&amp;VAR:KEY=DMJENQFSLO&amp;VAR:QUERY=Q0VfRkZfRU5UUlBSX1ZBTCgwLC05LFksJzBEJyxVU0QpIC8vIEZGX0VCSVREQV9PUEVSKEFOTiwwLC05LFksU","lAsVVNEKQ==&amp;WINDOW=FIRST_POPUP&amp;HEIGHT=450&amp;WIDTH=450&amp;START_MAXIMIZED=FALSE&amp;VAR:CALENDAR=US&amp;VAR:SYMBOL=B10LQP&amp;VAR:INDEX=7"}</definedName>
    <definedName name="_194__FDSAUDITLINK__" localSheetId="7" hidden="1">{"fdsup://directions/FAT Viewer?action=UPDATE&amp;creator=factset&amp;DYN_ARGS=TRUE&amp;DOC_NAME=FAT:FQL_AUDITING_CLIENT_TEMPLATE.FAT&amp;display_string=Audit&amp;VAR:KEY=DMJENQFSLO&amp;VAR:QUERY=Q0VfRkZfRU5UUlBSX1ZBTCgwLC05LFksJzBEJyxVU0QpIC8vIEZGX0VCSVREQV9PUEVSKEFOTiwwLC05LFksU","lAsVVNEKQ==&amp;WINDOW=FIRST_POPUP&amp;HEIGHT=450&amp;WIDTH=450&amp;START_MAXIMIZED=FALSE&amp;VAR:CALENDAR=US&amp;VAR:SYMBOL=B10LQP&amp;VAR:INDEX=7"}</definedName>
    <definedName name="_194__FDSAUDITLINK__" hidden="1">{"fdsup://directions/FAT Viewer?action=UPDATE&amp;creator=factset&amp;DYN_ARGS=TRUE&amp;DOC_NAME=FAT:FQL_AUDITING_CLIENT_TEMPLATE.FAT&amp;display_string=Audit&amp;VAR:KEY=DMJENQFSLO&amp;VAR:QUERY=Q0VfRkZfRU5UUlBSX1ZBTCgwLC05LFksJzBEJyxVU0QpIC8vIEZGX0VCSVREQV9PUEVSKEFOTiwwLC05LFksU","lAsVVNEKQ==&amp;WINDOW=FIRST_POPUP&amp;HEIGHT=450&amp;WIDTH=450&amp;START_MAXIMIZED=FALSE&amp;VAR:CALENDAR=US&amp;VAR:SYMBOL=B10LQP&amp;VAR:INDEX=7"}</definedName>
    <definedName name="_1940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40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40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4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4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4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4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4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4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4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4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4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4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4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4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4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4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4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4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4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4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4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4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4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4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4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4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4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4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4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5__FDSAUDITLINK__" localSheetId="3" hidden="1">{"fdsup://directions/FAT Viewer?action=UPDATE&amp;creator=factset&amp;DYN_ARGS=TRUE&amp;DOC_NAME=FAT:FQL_AUDITING_CLIENT_TEMPLATE.FAT&amp;display_string=Audit&amp;VAR:KEY=DMJENQFSLO&amp;VAR:QUERY=Q0VfRkZfRU5UUlBSX1ZBTCgwLC05LFksJzBEJyxVU0QpIC8vIEZGX0VCSVREQV9PUEVSKEFOTiwwLC05LFksU","lAsVVNEKQ==&amp;WINDOW=FIRST_POPUP&amp;HEIGHT=450&amp;WIDTH=450&amp;START_MAXIMIZED=FALSE&amp;VAR:CALENDAR=US&amp;VAR:SYMBOL=B10LQP&amp;VAR:INDEX=6"}</definedName>
    <definedName name="_195__FDSAUDITLINK__" localSheetId="7" hidden="1">{"fdsup://directions/FAT Viewer?action=UPDATE&amp;creator=factset&amp;DYN_ARGS=TRUE&amp;DOC_NAME=FAT:FQL_AUDITING_CLIENT_TEMPLATE.FAT&amp;display_string=Audit&amp;VAR:KEY=DMJENQFSLO&amp;VAR:QUERY=Q0VfRkZfRU5UUlBSX1ZBTCgwLC05LFksJzBEJyxVU0QpIC8vIEZGX0VCSVREQV9PUEVSKEFOTiwwLC05LFksU","lAsVVNEKQ==&amp;WINDOW=FIRST_POPUP&amp;HEIGHT=450&amp;WIDTH=450&amp;START_MAXIMIZED=FALSE&amp;VAR:CALENDAR=US&amp;VAR:SYMBOL=B10LQP&amp;VAR:INDEX=6"}</definedName>
    <definedName name="_195__FDSAUDITLINK__" hidden="1">{"fdsup://directions/FAT Viewer?action=UPDATE&amp;creator=factset&amp;DYN_ARGS=TRUE&amp;DOC_NAME=FAT:FQL_AUDITING_CLIENT_TEMPLATE.FAT&amp;display_string=Audit&amp;VAR:KEY=DMJENQFSLO&amp;VAR:QUERY=Q0VfRkZfRU5UUlBSX1ZBTCgwLC05LFksJzBEJyxVU0QpIC8vIEZGX0VCSVREQV9PUEVSKEFOTiwwLC05LFksU","lAsVVNEKQ==&amp;WINDOW=FIRST_POPUP&amp;HEIGHT=450&amp;WIDTH=450&amp;START_MAXIMIZED=FALSE&amp;VAR:CALENDAR=US&amp;VAR:SYMBOL=B10LQP&amp;VAR:INDEX=6"}</definedName>
    <definedName name="_195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5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5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5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5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5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5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5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5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5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5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5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5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5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5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5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5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5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5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5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5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5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5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5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5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5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5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5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5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5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6__FDSAUDITLINK__" localSheetId="3" hidden="1">{"fdsup://directions/FAT Viewer?action=UPDATE&amp;creator=factset&amp;DYN_ARGS=TRUE&amp;DOC_NAME=FAT:FQL_AUDITING_CLIENT_TEMPLATE.FAT&amp;display_string=Audit&amp;VAR:KEY=DMJENQFSLO&amp;VAR:QUERY=Q0VfRkZfRU5UUlBSX1ZBTCgwLC05LFksJzBEJyxVU0QpIC8vIEZGX0VCSVREQV9PUEVSKEFOTiwwLC05LFksU","lAsVVNEKQ==&amp;WINDOW=FIRST_POPUP&amp;HEIGHT=450&amp;WIDTH=450&amp;START_MAXIMIZED=FALSE&amp;VAR:CALENDAR=US&amp;VAR:SYMBOL=B10LQP&amp;VAR:INDEX=5"}</definedName>
    <definedName name="_196__FDSAUDITLINK__" localSheetId="7" hidden="1">{"fdsup://directions/FAT Viewer?action=UPDATE&amp;creator=factset&amp;DYN_ARGS=TRUE&amp;DOC_NAME=FAT:FQL_AUDITING_CLIENT_TEMPLATE.FAT&amp;display_string=Audit&amp;VAR:KEY=DMJENQFSLO&amp;VAR:QUERY=Q0VfRkZfRU5UUlBSX1ZBTCgwLC05LFksJzBEJyxVU0QpIC8vIEZGX0VCSVREQV9PUEVSKEFOTiwwLC05LFksU","lAsVVNEKQ==&amp;WINDOW=FIRST_POPUP&amp;HEIGHT=450&amp;WIDTH=450&amp;START_MAXIMIZED=FALSE&amp;VAR:CALENDAR=US&amp;VAR:SYMBOL=B10LQP&amp;VAR:INDEX=5"}</definedName>
    <definedName name="_196__FDSAUDITLINK__" hidden="1">{"fdsup://directions/FAT Viewer?action=UPDATE&amp;creator=factset&amp;DYN_ARGS=TRUE&amp;DOC_NAME=FAT:FQL_AUDITING_CLIENT_TEMPLATE.FAT&amp;display_string=Audit&amp;VAR:KEY=DMJENQFSLO&amp;VAR:QUERY=Q0VfRkZfRU5UUlBSX1ZBTCgwLC05LFksJzBEJyxVU0QpIC8vIEZGX0VCSVREQV9PUEVSKEFOTiwwLC05LFksU","lAsVVNEKQ==&amp;WINDOW=FIRST_POPUP&amp;HEIGHT=450&amp;WIDTH=450&amp;START_MAXIMIZED=FALSE&amp;VAR:CALENDAR=US&amp;VAR:SYMBOL=B10LQP&amp;VAR:INDEX=5"}</definedName>
    <definedName name="_196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6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6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6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6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6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6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6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6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6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6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6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6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6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6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6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6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6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6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6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6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6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6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6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6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6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6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6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6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6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7__FDSAUDITLINK__" localSheetId="3" hidden="1">{"fdsup://directions/FAT Viewer?action=UPDATE&amp;creator=factset&amp;DYN_ARGS=TRUE&amp;DOC_NAME=FAT:FQL_AUDITING_CLIENT_TEMPLATE.FAT&amp;display_string=Audit&amp;VAR:KEY=DMJENQFSLO&amp;VAR:QUERY=Q0VfRkZfRU5UUlBSX1ZBTCgwLC05LFksJzBEJyxVU0QpIC8vIEZGX0VCSVREQV9PUEVSKEFOTiwwLC05LFksU","lAsVVNEKQ==&amp;WINDOW=FIRST_POPUP&amp;HEIGHT=450&amp;WIDTH=450&amp;START_MAXIMIZED=FALSE&amp;VAR:CALENDAR=US&amp;VAR:SYMBOL=B10LQP&amp;VAR:INDEX=4"}</definedName>
    <definedName name="_197__FDSAUDITLINK__" localSheetId="7" hidden="1">{"fdsup://directions/FAT Viewer?action=UPDATE&amp;creator=factset&amp;DYN_ARGS=TRUE&amp;DOC_NAME=FAT:FQL_AUDITING_CLIENT_TEMPLATE.FAT&amp;display_string=Audit&amp;VAR:KEY=DMJENQFSLO&amp;VAR:QUERY=Q0VfRkZfRU5UUlBSX1ZBTCgwLC05LFksJzBEJyxVU0QpIC8vIEZGX0VCSVREQV9PUEVSKEFOTiwwLC05LFksU","lAsVVNEKQ==&amp;WINDOW=FIRST_POPUP&amp;HEIGHT=450&amp;WIDTH=450&amp;START_MAXIMIZED=FALSE&amp;VAR:CALENDAR=US&amp;VAR:SYMBOL=B10LQP&amp;VAR:INDEX=4"}</definedName>
    <definedName name="_197__FDSAUDITLINK__" hidden="1">{"fdsup://directions/FAT Viewer?action=UPDATE&amp;creator=factset&amp;DYN_ARGS=TRUE&amp;DOC_NAME=FAT:FQL_AUDITING_CLIENT_TEMPLATE.FAT&amp;display_string=Audit&amp;VAR:KEY=DMJENQFSLO&amp;VAR:QUERY=Q0VfRkZfRU5UUlBSX1ZBTCgwLC05LFksJzBEJyxVU0QpIC8vIEZGX0VCSVREQV9PUEVSKEFOTiwwLC05LFksU","lAsVVNEKQ==&amp;WINDOW=FIRST_POPUP&amp;HEIGHT=450&amp;WIDTH=450&amp;START_MAXIMIZED=FALSE&amp;VAR:CALENDAR=US&amp;VAR:SYMBOL=B10LQP&amp;VAR:INDEX=4"}</definedName>
    <definedName name="_1970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70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70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7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7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7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7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7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7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7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7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7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7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7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7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7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7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7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7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7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7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7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7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7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7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7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7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7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7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7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8__FDSAUDITLINK__" localSheetId="3" hidden="1">{"fdsup://directions/FAT Viewer?action=UPDATE&amp;creator=factset&amp;DYN_ARGS=TRUE&amp;DOC_NAME=FAT:FQL_AUDITING_CLIENT_TEMPLATE.FAT&amp;display_string=Audit&amp;VAR:KEY=DMJENQFSLO&amp;VAR:QUERY=Q0VfRkZfRU5UUlBSX1ZBTCgwLC05LFksJzBEJyxVU0QpIC8vIEZGX0VCSVREQV9PUEVSKEFOTiwwLC05LFksU","lAsVVNEKQ==&amp;WINDOW=FIRST_POPUP&amp;HEIGHT=450&amp;WIDTH=450&amp;START_MAXIMIZED=FALSE&amp;VAR:CALENDAR=US&amp;VAR:SYMBOL=B10LQP&amp;VAR:INDEX=3"}</definedName>
    <definedName name="_198__FDSAUDITLINK__" localSheetId="7" hidden="1">{"fdsup://directions/FAT Viewer?action=UPDATE&amp;creator=factset&amp;DYN_ARGS=TRUE&amp;DOC_NAME=FAT:FQL_AUDITING_CLIENT_TEMPLATE.FAT&amp;display_string=Audit&amp;VAR:KEY=DMJENQFSLO&amp;VAR:QUERY=Q0VfRkZfRU5UUlBSX1ZBTCgwLC05LFksJzBEJyxVU0QpIC8vIEZGX0VCSVREQV9PUEVSKEFOTiwwLC05LFksU","lAsVVNEKQ==&amp;WINDOW=FIRST_POPUP&amp;HEIGHT=450&amp;WIDTH=450&amp;START_MAXIMIZED=FALSE&amp;VAR:CALENDAR=US&amp;VAR:SYMBOL=B10LQP&amp;VAR:INDEX=3"}</definedName>
    <definedName name="_198__FDSAUDITLINK__" hidden="1">{"fdsup://directions/FAT Viewer?action=UPDATE&amp;creator=factset&amp;DYN_ARGS=TRUE&amp;DOC_NAME=FAT:FQL_AUDITING_CLIENT_TEMPLATE.FAT&amp;display_string=Audit&amp;VAR:KEY=DMJENQFSLO&amp;VAR:QUERY=Q0VfRkZfRU5UUlBSX1ZBTCgwLC05LFksJzBEJyxVU0QpIC8vIEZGX0VCSVREQV9PUEVSKEFOTiwwLC05LFksU","lAsVVNEKQ==&amp;WINDOW=FIRST_POPUP&amp;HEIGHT=450&amp;WIDTH=450&amp;START_MAXIMIZED=FALSE&amp;VAR:CALENDAR=US&amp;VAR:SYMBOL=B10LQP&amp;VAR:INDEX=3"}</definedName>
    <definedName name="_198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8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8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8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8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8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8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8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8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8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8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8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8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8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8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8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8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8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8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8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8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8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8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8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8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8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8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8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8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8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9__FDSAUDITLINK__" localSheetId="3" hidden="1">{"fdsup://directions/FAT Viewer?action=UPDATE&amp;creator=factset&amp;DYN_ARGS=TRUE&amp;DOC_NAME=FAT:FQL_AUDITING_CLIENT_TEMPLATE.FAT&amp;display_string=Audit&amp;VAR:KEY=DMJENQFSLO&amp;VAR:QUERY=Q0VfRkZfRU5UUlBSX1ZBTCgwLC05LFksJzBEJyxVU0QpIC8vIEZGX0VCSVREQV9PUEVSKEFOTiwwLC05LFksU","lAsVVNEKQ==&amp;WINDOW=FIRST_POPUP&amp;HEIGHT=450&amp;WIDTH=450&amp;START_MAXIMIZED=FALSE&amp;VAR:CALENDAR=US&amp;VAR:SYMBOL=B10LQP&amp;VAR:INDEX=2"}</definedName>
    <definedName name="_199__FDSAUDITLINK__" localSheetId="7" hidden="1">{"fdsup://directions/FAT Viewer?action=UPDATE&amp;creator=factset&amp;DYN_ARGS=TRUE&amp;DOC_NAME=FAT:FQL_AUDITING_CLIENT_TEMPLATE.FAT&amp;display_string=Audit&amp;VAR:KEY=DMJENQFSLO&amp;VAR:QUERY=Q0VfRkZfRU5UUlBSX1ZBTCgwLC05LFksJzBEJyxVU0QpIC8vIEZGX0VCSVREQV9PUEVSKEFOTiwwLC05LFksU","lAsVVNEKQ==&amp;WINDOW=FIRST_POPUP&amp;HEIGHT=450&amp;WIDTH=450&amp;START_MAXIMIZED=FALSE&amp;VAR:CALENDAR=US&amp;VAR:SYMBOL=B10LQP&amp;VAR:INDEX=2"}</definedName>
    <definedName name="_199__FDSAUDITLINK__" hidden="1">{"fdsup://directions/FAT Viewer?action=UPDATE&amp;creator=factset&amp;DYN_ARGS=TRUE&amp;DOC_NAME=FAT:FQL_AUDITING_CLIENT_TEMPLATE.FAT&amp;display_string=Audit&amp;VAR:KEY=DMJENQFSLO&amp;VAR:QUERY=Q0VfRkZfRU5UUlBSX1ZBTCgwLC05LFksJzBEJyxVU0QpIC8vIEZGX0VCSVREQV9PUEVSKEFOTiwwLC05LFksU","lAsVVNEKQ==&amp;WINDOW=FIRST_POPUP&amp;HEIGHT=450&amp;WIDTH=450&amp;START_MAXIMIZED=FALSE&amp;VAR:CALENDAR=US&amp;VAR:SYMBOL=B10LQP&amp;VAR:INDEX=2"}</definedName>
    <definedName name="_199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9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9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9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9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9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9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9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9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9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9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9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9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9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9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199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9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9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199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9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9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199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9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9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199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9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9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199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9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199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__FDSAUDITLINK__" localSheetId="3" hidden="1">{"fdsup://Directions/FactSet Auditing Viewer?action=AUDIT_VALUE&amp;DB=129&amp;ID1=03783310&amp;VALUEID=05192&amp;SDATE=2011&amp;PERIODTYPE=ANN_STD&amp;SCFT=3&amp;window=popup_no_bar&amp;width=385&amp;height=120&amp;START_MAXIMIZED=FALSE&amp;creator=factset&amp;display_string=Audit"}</definedName>
    <definedName name="_2__FDSAUDITLINK__" localSheetId="7" hidden="1">{"fdsup://Directions/FactSet Auditing Viewer?action=AUDIT_VALUE&amp;DB=129&amp;ID1=03783310&amp;VALUEID=05192&amp;SDATE=2011&amp;PERIODTYPE=ANN_STD&amp;SCFT=3&amp;window=popup_no_bar&amp;width=385&amp;height=120&amp;START_MAXIMIZED=FALSE&amp;creator=factset&amp;display_string=Audit"}</definedName>
    <definedName name="_2__FDSAUDITLINK__" hidden="1">{"fdsup://Directions/FactSet Auditing Viewer?action=AUDIT_VALUE&amp;DB=129&amp;ID1=03783310&amp;VALUEID=05192&amp;SDATE=2011&amp;PERIODTYPE=ANN_STD&amp;SCFT=3&amp;window=popup_no_bar&amp;width=385&amp;height=120&amp;START_MAXIMIZED=FALSE&amp;creator=factset&amp;display_string=Audit"}</definedName>
    <definedName name="_2_0_S" hidden="1">#REF!</definedName>
    <definedName name="_20__FDSAUDITLINK__" localSheetId="3" hidden="1">{"fdsup://Directions/FactSet Auditing Viewer?action=AUDIT_VALUE&amp;DB=129&amp;ID1=B01NTS&amp;VALUEID=01001&amp;SDATE=2010&amp;PERIODTYPE=ANN_STD&amp;SCFT=3&amp;window=popup_no_bar&amp;width=385&amp;height=120&amp;START_MAXIMIZED=FALSE&amp;creator=factset&amp;display_string=Audit"}</definedName>
    <definedName name="_20__FDSAUDITLINK__" localSheetId="7" hidden="1">{"fdsup://Directions/FactSet Auditing Viewer?action=AUDIT_VALUE&amp;DB=129&amp;ID1=B01NTS&amp;VALUEID=01001&amp;SDATE=2010&amp;PERIODTYPE=ANN_STD&amp;SCFT=3&amp;window=popup_no_bar&amp;width=385&amp;height=120&amp;START_MAXIMIZED=FALSE&amp;creator=factset&amp;display_string=Audit"}</definedName>
    <definedName name="_20__FDSAUDITLINK__" hidden="1">{"fdsup://Directions/FactSet Auditing Viewer?action=AUDIT_VALUE&amp;DB=129&amp;ID1=B01NTS&amp;VALUEID=01001&amp;SDATE=2010&amp;PERIODTYPE=ANN_STD&amp;SCFT=3&amp;window=popup_no_bar&amp;width=385&amp;height=120&amp;START_MAXIMIZED=FALSE&amp;creator=factset&amp;display_string=Audit"}</definedName>
    <definedName name="_200__FDSAUDITLINK__" localSheetId="3" hidden="1">{"fdsup://directions/FAT Viewer?action=UPDATE&amp;creator=factset&amp;DYN_ARGS=TRUE&amp;DOC_NAME=FAT:FQL_AUDITING_CLIENT_TEMPLATE.FAT&amp;display_string=Audit&amp;VAR:KEY=DMJENQFSLO&amp;VAR:QUERY=Q0VfRkZfRU5UUlBSX1ZBTCgwLC05LFksJzBEJyxVU0QpIC8vIEZGX0VCSVREQV9PUEVSKEFOTiwwLC05LFksU","lAsVVNEKQ==&amp;WINDOW=FIRST_POPUP&amp;HEIGHT=450&amp;WIDTH=450&amp;START_MAXIMIZED=FALSE&amp;VAR:CALENDAR=US&amp;VAR:SYMBOL=B10LQP&amp;VAR:INDEX=1"}</definedName>
    <definedName name="_200__FDSAUDITLINK__" localSheetId="7" hidden="1">{"fdsup://directions/FAT Viewer?action=UPDATE&amp;creator=factset&amp;DYN_ARGS=TRUE&amp;DOC_NAME=FAT:FQL_AUDITING_CLIENT_TEMPLATE.FAT&amp;display_string=Audit&amp;VAR:KEY=DMJENQFSLO&amp;VAR:QUERY=Q0VfRkZfRU5UUlBSX1ZBTCgwLC05LFksJzBEJyxVU0QpIC8vIEZGX0VCSVREQV9PUEVSKEFOTiwwLC05LFksU","lAsVVNEKQ==&amp;WINDOW=FIRST_POPUP&amp;HEIGHT=450&amp;WIDTH=450&amp;START_MAXIMIZED=FALSE&amp;VAR:CALENDAR=US&amp;VAR:SYMBOL=B10LQP&amp;VAR:INDEX=1"}</definedName>
    <definedName name="_200__FDSAUDITLINK__" hidden="1">{"fdsup://directions/FAT Viewer?action=UPDATE&amp;creator=factset&amp;DYN_ARGS=TRUE&amp;DOC_NAME=FAT:FQL_AUDITING_CLIENT_TEMPLATE.FAT&amp;display_string=Audit&amp;VAR:KEY=DMJENQFSLO&amp;VAR:QUERY=Q0VfRkZfRU5UUlBSX1ZBTCgwLC05LFksJzBEJyxVU0QpIC8vIEZGX0VCSVREQV9PUEVSKEFOTiwwLC05LFksU","lAsVVNEKQ==&amp;WINDOW=FIRST_POPUP&amp;HEIGHT=450&amp;WIDTH=450&amp;START_MAXIMIZED=FALSE&amp;VAR:CALENDAR=US&amp;VAR:SYMBOL=B10LQP&amp;VAR:INDEX=1"}</definedName>
    <definedName name="_2000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00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00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0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0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0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0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0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0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0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0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0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0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0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0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0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0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0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0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0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0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0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0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0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0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0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0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0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0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0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1__FDSAUDITLINK__" localSheetId="3" hidden="1">{"fdsup://directions/FAT Viewer?action=UPDATE&amp;creator=factset&amp;DYN_ARGS=TRUE&amp;DOC_NAME=FAT:FQL_AUDITING_CLIENT_TEMPLATE.FAT&amp;display_string=Audit&amp;VAR:KEY=IJMDGBSRAL&amp;VAR:QUERY=RkZfUkVDRUlWX1NUX09USChBTk4sMCwtOSxZLFJQLFVTRCxNKQ==&amp;WINDOW=FIRST_POPUP&amp;HEIGHT=450&amp;WI","DTH=450&amp;START_MAXIMIZED=FALSE&amp;VAR:CALENDAR=US&amp;VAR:SYMBOL=B10LQP&amp;VAR:INDEX=4"}</definedName>
    <definedName name="_201__FDSAUDITLINK__" localSheetId="7" hidden="1">{"fdsup://directions/FAT Viewer?action=UPDATE&amp;creator=factset&amp;DYN_ARGS=TRUE&amp;DOC_NAME=FAT:FQL_AUDITING_CLIENT_TEMPLATE.FAT&amp;display_string=Audit&amp;VAR:KEY=IJMDGBSRAL&amp;VAR:QUERY=RkZfUkVDRUlWX1NUX09USChBTk4sMCwtOSxZLFJQLFVTRCxNKQ==&amp;WINDOW=FIRST_POPUP&amp;HEIGHT=450&amp;WI","DTH=450&amp;START_MAXIMIZED=FALSE&amp;VAR:CALENDAR=US&amp;VAR:SYMBOL=B10LQP&amp;VAR:INDEX=4"}</definedName>
    <definedName name="_201__FDSAUDITLINK__" hidden="1">{"fdsup://directions/FAT Viewer?action=UPDATE&amp;creator=factset&amp;DYN_ARGS=TRUE&amp;DOC_NAME=FAT:FQL_AUDITING_CLIENT_TEMPLATE.FAT&amp;display_string=Audit&amp;VAR:KEY=IJMDGBSRAL&amp;VAR:QUERY=RkZfUkVDRUlWX1NUX09USChBTk4sMCwtOSxZLFJQLFVTRCxNKQ==&amp;WINDOW=FIRST_POPUP&amp;HEIGHT=450&amp;WI","DTH=450&amp;START_MAXIMIZED=FALSE&amp;VAR:CALENDAR=US&amp;VAR:SYMBOL=B10LQP&amp;VAR:INDEX=4"}</definedName>
    <definedName name="_201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1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1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1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1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1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1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1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1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1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1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1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1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1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1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1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1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1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1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1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1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1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1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1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1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1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1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1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1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1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2__FDSAUDITLINK__" localSheetId="3" hidden="1">{"fdsup://directions/FAT Viewer?action=UPDATE&amp;creator=factset&amp;DYN_ARGS=TRUE&amp;DOC_NAME=FAT:FQL_AUDITING_CLIENT_TEMPLATE.FAT&amp;display_string=Audit&amp;VAR:KEY=MNEPQLWTGB&amp;VAR:QUERY=Q0VfRkZfRU5UUlBSX1ZBTCgwLC05LFksJzBEJyxVU0QpIC8vIEZGX0VCSVRfT1BFUihBTk4sMCwtOSxZLFJQL","FVTRCk=&amp;WINDOW=FIRST_POPUP&amp;HEIGHT=450&amp;WIDTH=450&amp;START_MAXIMIZED=FALSE&amp;VAR:CALENDAR=US&amp;VAR:SYMBOL=B10LQP&amp;VAR:INDEX=7"}</definedName>
    <definedName name="_202__FDSAUDITLINK__" localSheetId="7" hidden="1">{"fdsup://directions/FAT Viewer?action=UPDATE&amp;creator=factset&amp;DYN_ARGS=TRUE&amp;DOC_NAME=FAT:FQL_AUDITING_CLIENT_TEMPLATE.FAT&amp;display_string=Audit&amp;VAR:KEY=MNEPQLWTGB&amp;VAR:QUERY=Q0VfRkZfRU5UUlBSX1ZBTCgwLC05LFksJzBEJyxVU0QpIC8vIEZGX0VCSVRfT1BFUihBTk4sMCwtOSxZLFJQL","FVTRCk=&amp;WINDOW=FIRST_POPUP&amp;HEIGHT=450&amp;WIDTH=450&amp;START_MAXIMIZED=FALSE&amp;VAR:CALENDAR=US&amp;VAR:SYMBOL=B10LQP&amp;VAR:INDEX=7"}</definedName>
    <definedName name="_202__FDSAUDITLINK__" hidden="1">{"fdsup://directions/FAT Viewer?action=UPDATE&amp;creator=factset&amp;DYN_ARGS=TRUE&amp;DOC_NAME=FAT:FQL_AUDITING_CLIENT_TEMPLATE.FAT&amp;display_string=Audit&amp;VAR:KEY=MNEPQLWTGB&amp;VAR:QUERY=Q0VfRkZfRU5UUlBSX1ZBTCgwLC05LFksJzBEJyxVU0QpIC8vIEZGX0VCSVRfT1BFUihBTk4sMCwtOSxZLFJQL","FVTRCk=&amp;WINDOW=FIRST_POPUP&amp;HEIGHT=450&amp;WIDTH=450&amp;START_MAXIMIZED=FALSE&amp;VAR:CALENDAR=US&amp;VAR:SYMBOL=B10LQP&amp;VAR:INDEX=7"}</definedName>
    <definedName name="_202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2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2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2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2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2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2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2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2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2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2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2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2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2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2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2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2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2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2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2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2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2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2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2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2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2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2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2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2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2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3__FDSAUDITLINK__" localSheetId="3" hidden="1">{"fdsup://directions/FAT Viewer?action=UPDATE&amp;creator=factset&amp;DYN_ARGS=TRUE&amp;DOC_NAME=FAT:FQL_AUDITING_CLIENT_TEMPLATE.FAT&amp;display_string=Audit&amp;VAR:KEY=TWXIJWVOHA&amp;VAR:QUERY=RkZfU0FMRVMoTFRNLE5PVyk=&amp;WINDOW=FIRST_POPUP&amp;HEIGHT=450&amp;WIDTH=450&amp;START_MAXIMIZED=FALS","E&amp;VAR:CALENDAR=US&amp;VAR:SYMBOL=B07C76&amp;VAR:INDEX=0"}</definedName>
    <definedName name="_203__FDSAUDITLINK__" localSheetId="7" hidden="1">{"fdsup://directions/FAT Viewer?action=UPDATE&amp;creator=factset&amp;DYN_ARGS=TRUE&amp;DOC_NAME=FAT:FQL_AUDITING_CLIENT_TEMPLATE.FAT&amp;display_string=Audit&amp;VAR:KEY=TWXIJWVOHA&amp;VAR:QUERY=RkZfU0FMRVMoTFRNLE5PVyk=&amp;WINDOW=FIRST_POPUP&amp;HEIGHT=450&amp;WIDTH=450&amp;START_MAXIMIZED=FALS","E&amp;VAR:CALENDAR=US&amp;VAR:SYMBOL=B07C76&amp;VAR:INDEX=0"}</definedName>
    <definedName name="_203__FDSAUDITLINK__" hidden="1">{"fdsup://directions/FAT Viewer?action=UPDATE&amp;creator=factset&amp;DYN_ARGS=TRUE&amp;DOC_NAME=FAT:FQL_AUDITING_CLIENT_TEMPLATE.FAT&amp;display_string=Audit&amp;VAR:KEY=TWXIJWVOHA&amp;VAR:QUERY=RkZfU0FMRVMoTFRNLE5PVyk=&amp;WINDOW=FIRST_POPUP&amp;HEIGHT=450&amp;WIDTH=450&amp;START_MAXIMIZED=FALS","E&amp;VAR:CALENDAR=US&amp;VAR:SYMBOL=B07C76&amp;VAR:INDEX=0"}</definedName>
    <definedName name="_203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3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3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3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3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3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3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3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3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3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3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3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3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3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3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3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3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3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3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3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3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3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3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3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3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3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3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3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3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3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4__FDSAUDITLINK__" localSheetId="3" hidden="1">{"fdsup://directions/FAT Viewer?action=UPDATE&amp;creator=factset&amp;DYN_ARGS=TRUE&amp;DOC_NAME=FAT:FQL_AUDITING_CLIENT_TEMPLATE.FAT&amp;display_string=Audit&amp;VAR:KEY=MNEPQLWTGB&amp;VAR:QUERY=Q0VfRkZfRU5UUlBSX1ZBTCgwLC05LFksJzBEJyxVU0QpIC8vIEZGX0VCSVRfT1BFUihBTk4sMCwtOSxZLFJQL","FVTRCk=&amp;WINDOW=FIRST_POPUP&amp;HEIGHT=450&amp;WIDTH=450&amp;START_MAXIMIZED=FALSE&amp;VAR:CALENDAR=US&amp;VAR:SYMBOL=B10LQP&amp;VAR:INDEX=5"}</definedName>
    <definedName name="_204__FDSAUDITLINK__" localSheetId="7" hidden="1">{"fdsup://directions/FAT Viewer?action=UPDATE&amp;creator=factset&amp;DYN_ARGS=TRUE&amp;DOC_NAME=FAT:FQL_AUDITING_CLIENT_TEMPLATE.FAT&amp;display_string=Audit&amp;VAR:KEY=MNEPQLWTGB&amp;VAR:QUERY=Q0VfRkZfRU5UUlBSX1ZBTCgwLC05LFksJzBEJyxVU0QpIC8vIEZGX0VCSVRfT1BFUihBTk4sMCwtOSxZLFJQL","FVTRCk=&amp;WINDOW=FIRST_POPUP&amp;HEIGHT=450&amp;WIDTH=450&amp;START_MAXIMIZED=FALSE&amp;VAR:CALENDAR=US&amp;VAR:SYMBOL=B10LQP&amp;VAR:INDEX=5"}</definedName>
    <definedName name="_204__FDSAUDITLINK__" hidden="1">{"fdsup://directions/FAT Viewer?action=UPDATE&amp;creator=factset&amp;DYN_ARGS=TRUE&amp;DOC_NAME=FAT:FQL_AUDITING_CLIENT_TEMPLATE.FAT&amp;display_string=Audit&amp;VAR:KEY=MNEPQLWTGB&amp;VAR:QUERY=Q0VfRkZfRU5UUlBSX1ZBTCgwLC05LFksJzBEJyxVU0QpIC8vIEZGX0VCSVRfT1BFUihBTk4sMCwtOSxZLFJQL","FVTRCk=&amp;WINDOW=FIRST_POPUP&amp;HEIGHT=450&amp;WIDTH=450&amp;START_MAXIMIZED=FALSE&amp;VAR:CALENDAR=US&amp;VAR:SYMBOL=B10LQP&amp;VAR:INDEX=5"}</definedName>
    <definedName name="_2040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40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40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4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4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4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4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4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4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4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4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4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4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4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4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4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4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4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4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4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4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4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4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4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4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4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4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4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4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4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5__FDSAUDITLINK__" localSheetId="3" hidden="1">{"fdsup://directions/FAT Viewer?action=UPDATE&amp;creator=factset&amp;DYN_ARGS=TRUE&amp;DOC_NAME=FAT:FQL_AUDITING_CLIENT_TEMPLATE.FAT&amp;display_string=Audit&amp;VAR:KEY=MNEPQLWTGB&amp;VAR:QUERY=Q0VfRkZfRU5UUlBSX1ZBTCgwLC05LFksJzBEJyxVU0QpIC8vIEZGX0VCSVRfT1BFUihBTk4sMCwtOSxZLFJQL","FVTRCk=&amp;WINDOW=FIRST_POPUP&amp;HEIGHT=450&amp;WIDTH=450&amp;START_MAXIMIZED=FALSE&amp;VAR:CALENDAR=US&amp;VAR:SYMBOL=B10LQP&amp;VAR:INDEX=4"}</definedName>
    <definedName name="_205__FDSAUDITLINK__" localSheetId="7" hidden="1">{"fdsup://directions/FAT Viewer?action=UPDATE&amp;creator=factset&amp;DYN_ARGS=TRUE&amp;DOC_NAME=FAT:FQL_AUDITING_CLIENT_TEMPLATE.FAT&amp;display_string=Audit&amp;VAR:KEY=MNEPQLWTGB&amp;VAR:QUERY=Q0VfRkZfRU5UUlBSX1ZBTCgwLC05LFksJzBEJyxVU0QpIC8vIEZGX0VCSVRfT1BFUihBTk4sMCwtOSxZLFJQL","FVTRCk=&amp;WINDOW=FIRST_POPUP&amp;HEIGHT=450&amp;WIDTH=450&amp;START_MAXIMIZED=FALSE&amp;VAR:CALENDAR=US&amp;VAR:SYMBOL=B10LQP&amp;VAR:INDEX=4"}</definedName>
    <definedName name="_205__FDSAUDITLINK__" hidden="1">{"fdsup://directions/FAT Viewer?action=UPDATE&amp;creator=factset&amp;DYN_ARGS=TRUE&amp;DOC_NAME=FAT:FQL_AUDITING_CLIENT_TEMPLATE.FAT&amp;display_string=Audit&amp;VAR:KEY=MNEPQLWTGB&amp;VAR:QUERY=Q0VfRkZfRU5UUlBSX1ZBTCgwLC05LFksJzBEJyxVU0QpIC8vIEZGX0VCSVRfT1BFUihBTk4sMCwtOSxZLFJQL","FVTRCk=&amp;WINDOW=FIRST_POPUP&amp;HEIGHT=450&amp;WIDTH=450&amp;START_MAXIMIZED=FALSE&amp;VAR:CALENDAR=US&amp;VAR:SYMBOL=B10LQP&amp;VAR:INDEX=4"}</definedName>
    <definedName name="_205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5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5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5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5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5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5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5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5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5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5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5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5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5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5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5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5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5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5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5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5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5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5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5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5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5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5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5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5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5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6__FDSAUDITLINK__" localSheetId="3"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 localSheetId="7"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6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6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6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6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6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6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6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6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6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6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6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6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6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6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6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6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6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6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6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6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6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6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6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6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6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6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6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6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6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7__FDSAUDITLINK__" localSheetId="3" hidden="1">{"fdsup://directions/FAT Viewer?action=UPDATE&amp;creator=factset&amp;DYN_ARGS=TRUE&amp;DOC_NAME=FAT:FQL_AUDITING_CLIENT_TEMPLATE.FAT&amp;display_string=Audit&amp;VAR:KEY=MNEPQLWTGB&amp;VAR:QUERY=Q0VfRkZfRU5UUlBSX1ZBTCgwLC05LFksJzBEJyxVU0QpIC8vIEZGX0VCSVRfT1BFUihBTk4sMCwtOSxZLFJQL","FVTRCk=&amp;WINDOW=FIRST_POPUP&amp;HEIGHT=450&amp;WIDTH=450&amp;START_MAXIMIZED=FALSE&amp;VAR:CALENDAR=US&amp;VAR:SYMBOL=B10LQP&amp;VAR:INDEX=2"}</definedName>
    <definedName name="_207__FDSAUDITLINK__" localSheetId="7" hidden="1">{"fdsup://directions/FAT Viewer?action=UPDATE&amp;creator=factset&amp;DYN_ARGS=TRUE&amp;DOC_NAME=FAT:FQL_AUDITING_CLIENT_TEMPLATE.FAT&amp;display_string=Audit&amp;VAR:KEY=MNEPQLWTGB&amp;VAR:QUERY=Q0VfRkZfRU5UUlBSX1ZBTCgwLC05LFksJzBEJyxVU0QpIC8vIEZGX0VCSVRfT1BFUihBTk4sMCwtOSxZLFJQL","FVTRCk=&amp;WINDOW=FIRST_POPUP&amp;HEIGHT=450&amp;WIDTH=450&amp;START_MAXIMIZED=FALSE&amp;VAR:CALENDAR=US&amp;VAR:SYMBOL=B10LQP&amp;VAR:INDEX=2"}</definedName>
    <definedName name="_207__FDSAUDITLINK__" hidden="1">{"fdsup://directions/FAT Viewer?action=UPDATE&amp;creator=factset&amp;DYN_ARGS=TRUE&amp;DOC_NAME=FAT:FQL_AUDITING_CLIENT_TEMPLATE.FAT&amp;display_string=Audit&amp;VAR:KEY=MNEPQLWTGB&amp;VAR:QUERY=Q0VfRkZfRU5UUlBSX1ZBTCgwLC05LFksJzBEJyxVU0QpIC8vIEZGX0VCSVRfT1BFUihBTk4sMCwtOSxZLFJQL","FVTRCk=&amp;WINDOW=FIRST_POPUP&amp;HEIGHT=450&amp;WIDTH=450&amp;START_MAXIMIZED=FALSE&amp;VAR:CALENDAR=US&amp;VAR:SYMBOL=B10LQP&amp;VAR:INDEX=2"}</definedName>
    <definedName name="_2070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70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70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7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7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7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7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7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7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7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7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7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7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7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7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7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7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7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7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7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7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7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7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7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7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7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7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7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7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7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8__FDSAUDITLINK__" localSheetId="3" hidden="1">{"fdsup://directions/FAT Viewer?action=UPDATE&amp;creator=factset&amp;DYN_ARGS=TRUE&amp;DOC_NAME=FAT:FQL_AUDITING_CLIENT_TEMPLATE.FAT&amp;display_string=Audit&amp;VAR:KEY=ULAHMHUVQD&amp;VAR:QUERY=RkZfRUJJVERBX09QRVIoTFRNLDAsLCwsLE0p&amp;WINDOW=FIRST_POPUP&amp;HEIGHT=450&amp;WIDTH=450&amp;START_MA","XIMIZED=FALSE&amp;VAR:CALENDAR=US&amp;VAR:SYMBOL=B1YCJ3&amp;VAR:INDEX=0"}</definedName>
    <definedName name="_208__FDSAUDITLINK__" localSheetId="7" hidden="1">{"fdsup://directions/FAT Viewer?action=UPDATE&amp;creator=factset&amp;DYN_ARGS=TRUE&amp;DOC_NAME=FAT:FQL_AUDITING_CLIENT_TEMPLATE.FAT&amp;display_string=Audit&amp;VAR:KEY=ULAHMHUVQD&amp;VAR:QUERY=RkZfRUJJVERBX09QRVIoTFRNLDAsLCwsLE0p&amp;WINDOW=FIRST_POPUP&amp;HEIGHT=450&amp;WIDTH=450&amp;START_MA","XIMIZED=FALSE&amp;VAR:CALENDAR=US&amp;VAR:SYMBOL=B1YCJ3&amp;VAR:INDEX=0"}</definedName>
    <definedName name="_208__FDSAUDITLINK__" hidden="1">{"fdsup://directions/FAT Viewer?action=UPDATE&amp;creator=factset&amp;DYN_ARGS=TRUE&amp;DOC_NAME=FAT:FQL_AUDITING_CLIENT_TEMPLATE.FAT&amp;display_string=Audit&amp;VAR:KEY=ULAHMHUVQD&amp;VAR:QUERY=RkZfRUJJVERBX09QRVIoTFRNLDAsLCwsLE0p&amp;WINDOW=FIRST_POPUP&amp;HEIGHT=450&amp;WIDTH=450&amp;START_MA","XIMIZED=FALSE&amp;VAR:CALENDAR=US&amp;VAR:SYMBOL=B1YCJ3&amp;VAR:INDEX=0"}</definedName>
    <definedName name="_208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8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8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8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8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8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8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8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8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8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8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8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8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8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8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8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8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8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8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8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8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8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8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8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8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8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8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8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8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8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9__FDSAUDITLINK__" localSheetId="3" hidden="1">{"fdsup://directions/FAT Viewer?action=UPDATE&amp;creator=factset&amp;DYN_ARGS=TRUE&amp;DOC_NAME=FAT:FQL_AUDITING_CLIENT_TEMPLATE.FAT&amp;display_string=Audit&amp;VAR:KEY=GDCJMLSVKJ&amp;VAR:QUERY=RkZfUkVDRUlWX0dST1NTKEFOTiwwLC05LFksUlAsVVNELE0p&amp;WINDOW=FIRST_POPUP&amp;HEIGHT=450&amp;WIDTH=","450&amp;START_MAXIMIZED=FALSE&amp;VAR:CALENDAR=US&amp;VAR:SYMBOL=B10LQP&amp;VAR:INDEX=6"}</definedName>
    <definedName name="_209__FDSAUDITLINK__" localSheetId="7" hidden="1">{"fdsup://directions/FAT Viewer?action=UPDATE&amp;creator=factset&amp;DYN_ARGS=TRUE&amp;DOC_NAME=FAT:FQL_AUDITING_CLIENT_TEMPLATE.FAT&amp;display_string=Audit&amp;VAR:KEY=GDCJMLSVKJ&amp;VAR:QUERY=RkZfUkVDRUlWX0dST1NTKEFOTiwwLC05LFksUlAsVVNELE0p&amp;WINDOW=FIRST_POPUP&amp;HEIGHT=450&amp;WIDTH=","450&amp;START_MAXIMIZED=FALSE&amp;VAR:CALENDAR=US&amp;VAR:SYMBOL=B10LQP&amp;VAR:INDEX=6"}</definedName>
    <definedName name="_209__FDSAUDITLINK__" hidden="1">{"fdsup://directions/FAT Viewer?action=UPDATE&amp;creator=factset&amp;DYN_ARGS=TRUE&amp;DOC_NAME=FAT:FQL_AUDITING_CLIENT_TEMPLATE.FAT&amp;display_string=Audit&amp;VAR:KEY=GDCJMLSVKJ&amp;VAR:QUERY=RkZfUkVDRUlWX0dST1NTKEFOTiwwLC05LFksUlAsVVNELE0p&amp;WINDOW=FIRST_POPUP&amp;HEIGHT=450&amp;WIDTH=","450&amp;START_MAXIMIZED=FALSE&amp;VAR:CALENDAR=US&amp;VAR:SYMBOL=B10LQP&amp;VAR:INDEX=6"}</definedName>
    <definedName name="_209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9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9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9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9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9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9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9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9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9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9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9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9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9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9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09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9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9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09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9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9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09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9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9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09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9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9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09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9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09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__FDSAUDITLINK__" localSheetId="3" hidden="1">{"fdsup://directions/FAT Viewer?action=UPDATE&amp;creator=factset&amp;DYN_ARGS=TRUE&amp;DOC_NAME=FAT:FQL_AUDITING_CLIENT_TEMPLATE.FAT&amp;display_string=Audit&amp;VAR:KEY=VWBQXMZAXM&amp;VAR:QUERY=RkZfRlJFRV9QU19DRihBTk4sMCwtOSxZLFJQLFVTRCxNKQ==&amp;WINDOW=FIRST_POPUP&amp;HEIGHT=450&amp;WIDTH=","450&amp;START_MAXIMIZED=FALSE&amp;VAR:CALENDAR=US&amp;VAR:SYMBOL=B10LQP&amp;VAR:INDEX=7"}</definedName>
    <definedName name="_21__FDSAUDITLINK__" localSheetId="7" hidden="1">{"fdsup://directions/FAT Viewer?action=UPDATE&amp;creator=factset&amp;DYN_ARGS=TRUE&amp;DOC_NAME=FAT:FQL_AUDITING_CLIENT_TEMPLATE.FAT&amp;display_string=Audit&amp;VAR:KEY=VWBQXMZAXM&amp;VAR:QUERY=RkZfRlJFRV9QU19DRihBTk4sMCwtOSxZLFJQLFVTRCxNKQ==&amp;WINDOW=FIRST_POPUP&amp;HEIGHT=450&amp;WIDTH=","450&amp;START_MAXIMIZED=FALSE&amp;VAR:CALENDAR=US&amp;VAR:SYMBOL=B10LQP&amp;VAR:INDEX=7"}</definedName>
    <definedName name="_21__FDSAUDITLINK__" hidden="1">{"fdsup://directions/FAT Viewer?action=UPDATE&amp;creator=factset&amp;DYN_ARGS=TRUE&amp;DOC_NAME=FAT:FQL_AUDITING_CLIENT_TEMPLATE.FAT&amp;display_string=Audit&amp;VAR:KEY=VWBQXMZAXM&amp;VAR:QUERY=RkZfRlJFRV9QU19DRihBTk4sMCwtOSxZLFJQLFVTRCxNKQ==&amp;WINDOW=FIRST_POPUP&amp;HEIGHT=450&amp;WIDTH=","450&amp;START_MAXIMIZED=FALSE&amp;VAR:CALENDAR=US&amp;VAR:SYMBOL=B10LQP&amp;VAR:INDEX=7"}</definedName>
    <definedName name="_210__FDSAUDITLINK__" localSheetId="3" hidden="1">{"fdsup://directions/FAT Viewer?action=UPDATE&amp;creator=factset&amp;DYN_ARGS=TRUE&amp;DOC_NAME=FAT:FQL_AUDITING_CLIENT_TEMPLATE.FAT&amp;display_string=Audit&amp;VAR:KEY=JUNMDYJKFU&amp;VAR:QUERY=RkZfUEZDRihBTk4sMCwtOSxZLFJQLFVTRCxNKQ==&amp;WINDOW=FIRST_POPUP&amp;HEIGHT=450&amp;WIDTH=450&amp;STAR","T_MAXIMIZED=FALSE&amp;VAR:CALENDAR=US&amp;VAR:SYMBOL=B10LQP&amp;VAR:INDEX=7"}</definedName>
    <definedName name="_210__FDSAUDITLINK__" localSheetId="7" hidden="1">{"fdsup://directions/FAT Viewer?action=UPDATE&amp;creator=factset&amp;DYN_ARGS=TRUE&amp;DOC_NAME=FAT:FQL_AUDITING_CLIENT_TEMPLATE.FAT&amp;display_string=Audit&amp;VAR:KEY=JUNMDYJKFU&amp;VAR:QUERY=RkZfUEZDRihBTk4sMCwtOSxZLFJQLFVTRCxNKQ==&amp;WINDOW=FIRST_POPUP&amp;HEIGHT=450&amp;WIDTH=450&amp;STAR","T_MAXIMIZED=FALSE&amp;VAR:CALENDAR=US&amp;VAR:SYMBOL=B10LQP&amp;VAR:INDEX=7"}</definedName>
    <definedName name="_210__FDSAUDITLINK__" hidden="1">{"fdsup://directions/FAT Viewer?action=UPDATE&amp;creator=factset&amp;DYN_ARGS=TRUE&amp;DOC_NAME=FAT:FQL_AUDITING_CLIENT_TEMPLATE.FAT&amp;display_string=Audit&amp;VAR:KEY=JUNMDYJKFU&amp;VAR:QUERY=RkZfUEZDRihBTk4sMCwtOSxZLFJQLFVTRCxNKQ==&amp;WINDOW=FIRST_POPUP&amp;HEIGHT=450&amp;WIDTH=450&amp;STAR","T_MAXIMIZED=FALSE&amp;VAR:CALENDAR=US&amp;VAR:SYMBOL=B10LQP&amp;VAR:INDEX=7"}</definedName>
    <definedName name="_2100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00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00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0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0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0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0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0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0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0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0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0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0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0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0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0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0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0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0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0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0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0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0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0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0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0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0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0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0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0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1__FDSAUDITLINK__" localSheetId="3" hidden="1">{"fdsup://directions/FAT Viewer?action=UPDATE&amp;creator=factset&amp;DYN_ARGS=TRUE&amp;DOC_NAME=FAT:FQL_AUDITING_CLIENT_TEMPLATE.FAT&amp;display_string=Audit&amp;VAR:KEY=JUNMDYJKFU&amp;VAR:QUERY=RkZfUEZDRihBTk4sMCwtOSxZLFJQLFVTRCxNKQ==&amp;WINDOW=FIRST_POPUP&amp;HEIGHT=450&amp;WIDTH=450&amp;STAR","T_MAXIMIZED=FALSE&amp;VAR:CALENDAR=US&amp;VAR:SYMBOL=B10LQP&amp;VAR:INDEX=6"}</definedName>
    <definedName name="_211__FDSAUDITLINK__" localSheetId="7" hidden="1">{"fdsup://directions/FAT Viewer?action=UPDATE&amp;creator=factset&amp;DYN_ARGS=TRUE&amp;DOC_NAME=FAT:FQL_AUDITING_CLIENT_TEMPLATE.FAT&amp;display_string=Audit&amp;VAR:KEY=JUNMDYJKFU&amp;VAR:QUERY=RkZfUEZDRihBTk4sMCwtOSxZLFJQLFVTRCxNKQ==&amp;WINDOW=FIRST_POPUP&amp;HEIGHT=450&amp;WIDTH=450&amp;STAR","T_MAXIMIZED=FALSE&amp;VAR:CALENDAR=US&amp;VAR:SYMBOL=B10LQP&amp;VAR:INDEX=6"}</definedName>
    <definedName name="_211__FDSAUDITLINK__" hidden="1">{"fdsup://directions/FAT Viewer?action=UPDATE&amp;creator=factset&amp;DYN_ARGS=TRUE&amp;DOC_NAME=FAT:FQL_AUDITING_CLIENT_TEMPLATE.FAT&amp;display_string=Audit&amp;VAR:KEY=JUNMDYJKFU&amp;VAR:QUERY=RkZfUEZDRihBTk4sMCwtOSxZLFJQLFVTRCxNKQ==&amp;WINDOW=FIRST_POPUP&amp;HEIGHT=450&amp;WIDTH=450&amp;STAR","T_MAXIMIZED=FALSE&amp;VAR:CALENDAR=US&amp;VAR:SYMBOL=B10LQP&amp;VAR:INDEX=6"}</definedName>
    <definedName name="_211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1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1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1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1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1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1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1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1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1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1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1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1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1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1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1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1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1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1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1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1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1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1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1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1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1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1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1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1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1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2__FDSAUDITLINK__" localSheetId="3" hidden="1">{"fdsup://directions/FAT Viewer?action=UPDATE&amp;creator=factset&amp;DYN_ARGS=TRUE&amp;DOC_NAME=FAT:FQL_AUDITING_CLIENT_TEMPLATE.FAT&amp;display_string=Audit&amp;VAR:KEY=JUNMDYJKFU&amp;VAR:QUERY=RkZfUEZDRihBTk4sMCwtOSxZLFJQLFVTRCxNKQ==&amp;WINDOW=FIRST_POPUP&amp;HEIGHT=450&amp;WIDTH=450&amp;STAR","T_MAXIMIZED=FALSE&amp;VAR:CALENDAR=US&amp;VAR:SYMBOL=B10LQP&amp;VAR:INDEX=5"}</definedName>
    <definedName name="_212__FDSAUDITLINK__" localSheetId="7" hidden="1">{"fdsup://directions/FAT Viewer?action=UPDATE&amp;creator=factset&amp;DYN_ARGS=TRUE&amp;DOC_NAME=FAT:FQL_AUDITING_CLIENT_TEMPLATE.FAT&amp;display_string=Audit&amp;VAR:KEY=JUNMDYJKFU&amp;VAR:QUERY=RkZfUEZDRihBTk4sMCwtOSxZLFJQLFVTRCxNKQ==&amp;WINDOW=FIRST_POPUP&amp;HEIGHT=450&amp;WIDTH=450&amp;STAR","T_MAXIMIZED=FALSE&amp;VAR:CALENDAR=US&amp;VAR:SYMBOL=B10LQP&amp;VAR:INDEX=5"}</definedName>
    <definedName name="_212__FDSAUDITLINK__" hidden="1">{"fdsup://directions/FAT Viewer?action=UPDATE&amp;creator=factset&amp;DYN_ARGS=TRUE&amp;DOC_NAME=FAT:FQL_AUDITING_CLIENT_TEMPLATE.FAT&amp;display_string=Audit&amp;VAR:KEY=JUNMDYJKFU&amp;VAR:QUERY=RkZfUEZDRihBTk4sMCwtOSxZLFJQLFVTRCxNKQ==&amp;WINDOW=FIRST_POPUP&amp;HEIGHT=450&amp;WIDTH=450&amp;STAR","T_MAXIMIZED=FALSE&amp;VAR:CALENDAR=US&amp;VAR:SYMBOL=B10LQP&amp;VAR:INDEX=5"}</definedName>
    <definedName name="_212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2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2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2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2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2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2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2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2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2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2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2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2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2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2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2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2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2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2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2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2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2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2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2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2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2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2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2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2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2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3__FDSAUDITLINK__" localSheetId="3" hidden="1">{"fdsup://directions/FAT Viewer?action=UPDATE&amp;creator=factset&amp;DYN_ARGS=TRUE&amp;DOC_NAME=FAT:FQL_AUDITING_CLIENT_TEMPLATE.FAT&amp;display_string=Audit&amp;VAR:KEY=JUNMDYJKFU&amp;VAR:QUERY=RkZfUEZDRihBTk4sMCwtOSxZLFJQLFVTRCxNKQ==&amp;WINDOW=FIRST_POPUP&amp;HEIGHT=450&amp;WIDTH=450&amp;STAR","T_MAXIMIZED=FALSE&amp;VAR:CALENDAR=US&amp;VAR:SYMBOL=B10LQP&amp;VAR:INDEX=4"}</definedName>
    <definedName name="_213__FDSAUDITLINK__" localSheetId="7" hidden="1">{"fdsup://directions/FAT Viewer?action=UPDATE&amp;creator=factset&amp;DYN_ARGS=TRUE&amp;DOC_NAME=FAT:FQL_AUDITING_CLIENT_TEMPLATE.FAT&amp;display_string=Audit&amp;VAR:KEY=JUNMDYJKFU&amp;VAR:QUERY=RkZfUEZDRihBTk4sMCwtOSxZLFJQLFVTRCxNKQ==&amp;WINDOW=FIRST_POPUP&amp;HEIGHT=450&amp;WIDTH=450&amp;STAR","T_MAXIMIZED=FALSE&amp;VAR:CALENDAR=US&amp;VAR:SYMBOL=B10LQP&amp;VAR:INDEX=4"}</definedName>
    <definedName name="_213__FDSAUDITLINK__" hidden="1">{"fdsup://directions/FAT Viewer?action=UPDATE&amp;creator=factset&amp;DYN_ARGS=TRUE&amp;DOC_NAME=FAT:FQL_AUDITING_CLIENT_TEMPLATE.FAT&amp;display_string=Audit&amp;VAR:KEY=JUNMDYJKFU&amp;VAR:QUERY=RkZfUEZDRihBTk4sMCwtOSxZLFJQLFVTRCxNKQ==&amp;WINDOW=FIRST_POPUP&amp;HEIGHT=450&amp;WIDTH=450&amp;STAR","T_MAXIMIZED=FALSE&amp;VAR:CALENDAR=US&amp;VAR:SYMBOL=B10LQP&amp;VAR:INDEX=4"}</definedName>
    <definedName name="_2130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30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30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3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3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3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3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3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3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3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3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3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3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3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3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3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3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3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3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3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3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3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3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3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3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3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3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3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3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3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4__FDSAUDITLINK__" localSheetId="3" hidden="1">{"fdsup://directions/FAT Viewer?action=UPDATE&amp;creator=factset&amp;DYN_ARGS=TRUE&amp;DOC_NAME=FAT:FQL_AUDITING_CLIENT_TEMPLATE.FAT&amp;display_string=Audit&amp;VAR:KEY=JUNMDYJKFU&amp;VAR:QUERY=RkZfUEZDRihBTk4sMCwtOSxZLFJQLFVTRCxNKQ==&amp;WINDOW=FIRST_POPUP&amp;HEIGHT=450&amp;WIDTH=450&amp;STAR","T_MAXIMIZED=FALSE&amp;VAR:CALENDAR=US&amp;VAR:SYMBOL=B10LQP&amp;VAR:INDEX=3"}</definedName>
    <definedName name="_214__FDSAUDITLINK__" localSheetId="7" hidden="1">{"fdsup://directions/FAT Viewer?action=UPDATE&amp;creator=factset&amp;DYN_ARGS=TRUE&amp;DOC_NAME=FAT:FQL_AUDITING_CLIENT_TEMPLATE.FAT&amp;display_string=Audit&amp;VAR:KEY=JUNMDYJKFU&amp;VAR:QUERY=RkZfUEZDRihBTk4sMCwtOSxZLFJQLFVTRCxNKQ==&amp;WINDOW=FIRST_POPUP&amp;HEIGHT=450&amp;WIDTH=450&amp;STAR","T_MAXIMIZED=FALSE&amp;VAR:CALENDAR=US&amp;VAR:SYMBOL=B10LQP&amp;VAR:INDEX=3"}</definedName>
    <definedName name="_214__FDSAUDITLINK__" hidden="1">{"fdsup://directions/FAT Viewer?action=UPDATE&amp;creator=factset&amp;DYN_ARGS=TRUE&amp;DOC_NAME=FAT:FQL_AUDITING_CLIENT_TEMPLATE.FAT&amp;display_string=Audit&amp;VAR:KEY=JUNMDYJKFU&amp;VAR:QUERY=RkZfUEZDRihBTk4sMCwtOSxZLFJQLFVTRCxNKQ==&amp;WINDOW=FIRST_POPUP&amp;HEIGHT=450&amp;WIDTH=450&amp;STAR","T_MAXIMIZED=FALSE&amp;VAR:CALENDAR=US&amp;VAR:SYMBOL=B10LQP&amp;VAR:INDEX=3"}</definedName>
    <definedName name="_214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4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4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4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4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4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4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4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4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4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4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4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4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4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4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4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4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4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4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4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4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4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4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4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4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4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4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4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4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4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5__FDSAUDITLINK__" localSheetId="3" hidden="1">{"fdsup://directions/FAT Viewer?action=UPDATE&amp;creator=factset&amp;DYN_ARGS=TRUE&amp;DOC_NAME=FAT:FQL_AUDITING_CLIENT_TEMPLATE.FAT&amp;display_string=Audit&amp;VAR:KEY=JUNMDYJKFU&amp;VAR:QUERY=RkZfUEZDRihBTk4sMCwtOSxZLFJQLFVTRCxNKQ==&amp;WINDOW=FIRST_POPUP&amp;HEIGHT=450&amp;WIDTH=450&amp;STAR","T_MAXIMIZED=FALSE&amp;VAR:CALENDAR=US&amp;VAR:SYMBOL=B10LQP&amp;VAR:INDEX=2"}</definedName>
    <definedName name="_215__FDSAUDITLINK__" localSheetId="7" hidden="1">{"fdsup://directions/FAT Viewer?action=UPDATE&amp;creator=factset&amp;DYN_ARGS=TRUE&amp;DOC_NAME=FAT:FQL_AUDITING_CLIENT_TEMPLATE.FAT&amp;display_string=Audit&amp;VAR:KEY=JUNMDYJKFU&amp;VAR:QUERY=RkZfUEZDRihBTk4sMCwtOSxZLFJQLFVTRCxNKQ==&amp;WINDOW=FIRST_POPUP&amp;HEIGHT=450&amp;WIDTH=450&amp;STAR","T_MAXIMIZED=FALSE&amp;VAR:CALENDAR=US&amp;VAR:SYMBOL=B10LQP&amp;VAR:INDEX=2"}</definedName>
    <definedName name="_215__FDSAUDITLINK__" hidden="1">{"fdsup://directions/FAT Viewer?action=UPDATE&amp;creator=factset&amp;DYN_ARGS=TRUE&amp;DOC_NAME=FAT:FQL_AUDITING_CLIENT_TEMPLATE.FAT&amp;display_string=Audit&amp;VAR:KEY=JUNMDYJKFU&amp;VAR:QUERY=RkZfUEZDRihBTk4sMCwtOSxZLFJQLFVTRCxNKQ==&amp;WINDOW=FIRST_POPUP&amp;HEIGHT=450&amp;WIDTH=450&amp;STAR","T_MAXIMIZED=FALSE&amp;VAR:CALENDAR=US&amp;VAR:SYMBOL=B10LQP&amp;VAR:INDEX=2"}</definedName>
    <definedName name="_215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5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5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5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5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5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5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5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5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5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5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5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5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5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5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5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5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5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5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5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5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5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5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5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5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5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5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5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5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5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6__FDSAUDITLINK__" localSheetId="3" hidden="1">{"fdsup://directions/FAT Viewer?action=UPDATE&amp;creator=factset&amp;DYN_ARGS=TRUE&amp;DOC_NAME=FAT:FQL_AUDITING_CLIENT_TEMPLATE.FAT&amp;display_string=Audit&amp;VAR:KEY=JUNMDYJKFU&amp;VAR:QUERY=RkZfUEZDRihBTk4sMCwtOSxZLFJQLFVTRCxNKQ==&amp;WINDOW=FIRST_POPUP&amp;HEIGHT=450&amp;WIDTH=450&amp;STAR","T_MAXIMIZED=FALSE&amp;VAR:CALENDAR=US&amp;VAR:SYMBOL=B10LQP&amp;VAR:INDEX=1"}</definedName>
    <definedName name="_216__FDSAUDITLINK__" localSheetId="7" hidden="1">{"fdsup://directions/FAT Viewer?action=UPDATE&amp;creator=factset&amp;DYN_ARGS=TRUE&amp;DOC_NAME=FAT:FQL_AUDITING_CLIENT_TEMPLATE.FAT&amp;display_string=Audit&amp;VAR:KEY=JUNMDYJKFU&amp;VAR:QUERY=RkZfUEZDRihBTk4sMCwtOSxZLFJQLFVTRCxNKQ==&amp;WINDOW=FIRST_POPUP&amp;HEIGHT=450&amp;WIDTH=450&amp;STAR","T_MAXIMIZED=FALSE&amp;VAR:CALENDAR=US&amp;VAR:SYMBOL=B10LQP&amp;VAR:INDEX=1"}</definedName>
    <definedName name="_216__FDSAUDITLINK__" hidden="1">{"fdsup://directions/FAT Viewer?action=UPDATE&amp;creator=factset&amp;DYN_ARGS=TRUE&amp;DOC_NAME=FAT:FQL_AUDITING_CLIENT_TEMPLATE.FAT&amp;display_string=Audit&amp;VAR:KEY=JUNMDYJKFU&amp;VAR:QUERY=RkZfUEZDRihBTk4sMCwtOSxZLFJQLFVTRCxNKQ==&amp;WINDOW=FIRST_POPUP&amp;HEIGHT=450&amp;WIDTH=450&amp;STAR","T_MAXIMIZED=FALSE&amp;VAR:CALENDAR=US&amp;VAR:SYMBOL=B10LQP&amp;VAR:INDEX=1"}</definedName>
    <definedName name="_2160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60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60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6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6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6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6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6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6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6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6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6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6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6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6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6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6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6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6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6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6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6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6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6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6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6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6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6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6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6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7__FDSAUDITLINK__" localSheetId="3" hidden="1">{"fdsup://Directions/FactSet Auditing Viewer?action=AUDIT_VALUE&amp;DB=129&amp;ID1=244103&amp;VALUEID=01001&amp;SDATE=2011&amp;PERIODTYPE=ANN_STD&amp;SCFT=3&amp;window=popup_no_bar&amp;width=385&amp;height=120&amp;START_MAXIMIZED=FALSE&amp;creator=factset&amp;display_string=Audit"}</definedName>
    <definedName name="_217__FDSAUDITLINK__" localSheetId="7" hidden="1">{"fdsup://Directions/FactSet Auditing Viewer?action=AUDIT_VALUE&amp;DB=129&amp;ID1=244103&amp;VALUEID=01001&amp;SDATE=2011&amp;PERIODTYPE=ANN_STD&amp;SCFT=3&amp;window=popup_no_bar&amp;width=385&amp;height=120&amp;START_MAXIMIZED=FALSE&amp;creator=factset&amp;display_string=Audit"}</definedName>
    <definedName name="_217__FDSAUDITLINK__" hidden="1">{"fdsup://Directions/FactSet Auditing Viewer?action=AUDIT_VALUE&amp;DB=129&amp;ID1=244103&amp;VALUEID=01001&amp;SDATE=2011&amp;PERIODTYPE=ANN_STD&amp;SCFT=3&amp;window=popup_no_bar&amp;width=385&amp;height=120&amp;START_MAXIMIZED=FALSE&amp;creator=factset&amp;display_string=Audit"}</definedName>
    <definedName name="_217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7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7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7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7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7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7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7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7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7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7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7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7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7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7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7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7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7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7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7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7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7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7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7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7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7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7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7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7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7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8__FDSAUDITLINK__" localSheetId="3" hidden="1">{"fdsup://directions/FAT Viewer?action=UPDATE&amp;creator=factset&amp;DYN_ARGS=TRUE&amp;DOC_NAME=FAT:FQL_AUDITING_CLIENT_TEMPLATE.FAT&amp;display_string=Audit&amp;VAR:KEY=MNCNCJGTYD&amp;VAR:QUERY=UCgwLC05LFksVVNEKSAvLyBGRl9PUEVSX1BTX05FVF9DRihBTk4sMCwtOSxZLFJQLFVTRCxNKQ==&amp;WINDOW=F","IRST_POPUP&amp;HEIGHT=450&amp;WIDTH=450&amp;START_MAXIMIZED=FALSE&amp;VAR:CALENDAR=US&amp;VAR:SYMBOL=B10LQP&amp;VAR:INDEX=7"}</definedName>
    <definedName name="_218__FDSAUDITLINK__" localSheetId="7" hidden="1">{"fdsup://directions/FAT Viewer?action=UPDATE&amp;creator=factset&amp;DYN_ARGS=TRUE&amp;DOC_NAME=FAT:FQL_AUDITING_CLIENT_TEMPLATE.FAT&amp;display_string=Audit&amp;VAR:KEY=MNCNCJGTYD&amp;VAR:QUERY=UCgwLC05LFksVVNEKSAvLyBGRl9PUEVSX1BTX05FVF9DRihBTk4sMCwtOSxZLFJQLFVTRCxNKQ==&amp;WINDOW=F","IRST_POPUP&amp;HEIGHT=450&amp;WIDTH=450&amp;START_MAXIMIZED=FALSE&amp;VAR:CALENDAR=US&amp;VAR:SYMBOL=B10LQP&amp;VAR:INDEX=7"}</definedName>
    <definedName name="_218__FDSAUDITLINK__" hidden="1">{"fdsup://directions/FAT Viewer?action=UPDATE&amp;creator=factset&amp;DYN_ARGS=TRUE&amp;DOC_NAME=FAT:FQL_AUDITING_CLIENT_TEMPLATE.FAT&amp;display_string=Audit&amp;VAR:KEY=MNCNCJGTYD&amp;VAR:QUERY=UCgwLC05LFksVVNEKSAvLyBGRl9PUEVSX1BTX05FVF9DRihBTk4sMCwtOSxZLFJQLFVTRCxNKQ==&amp;WINDOW=F","IRST_POPUP&amp;HEIGHT=450&amp;WIDTH=450&amp;START_MAXIMIZED=FALSE&amp;VAR:CALENDAR=US&amp;VAR:SYMBOL=B10LQP&amp;VAR:INDEX=7"}</definedName>
    <definedName name="_218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8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8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8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8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8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8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8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8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8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8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8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8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8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8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8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8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8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8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8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8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87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87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87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88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88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88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89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89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89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9__FDSAUDITLINK__" localSheetId="3" hidden="1">{"fdsup://directions/FAT Viewer?action=UPDATE&amp;creator=factset&amp;DYN_ARGS=TRUE&amp;DOC_NAME=FAT:FQL_AUDITING_CLIENT_TEMPLATE.FAT&amp;display_string=Audit&amp;VAR:KEY=XAFOHUNEHE&amp;VAR:QUERY=RkZfTkVUX0lOQyhMVE0sMCwsLCwsTSk=&amp;WINDOW=FIRST_POPUP&amp;HEIGHT=450&amp;WIDTH=450&amp;START_MAXIMI","ZED=FALSE&amp;VAR:CALENDAR=US&amp;VAR:SYMBOL=B0W1X3&amp;VAR:INDEX=0"}</definedName>
    <definedName name="_219__FDSAUDITLINK__" localSheetId="7" hidden="1">{"fdsup://directions/FAT Viewer?action=UPDATE&amp;creator=factset&amp;DYN_ARGS=TRUE&amp;DOC_NAME=FAT:FQL_AUDITING_CLIENT_TEMPLATE.FAT&amp;display_string=Audit&amp;VAR:KEY=XAFOHUNEHE&amp;VAR:QUERY=RkZfTkVUX0lOQyhMVE0sMCwsLCwsTSk=&amp;WINDOW=FIRST_POPUP&amp;HEIGHT=450&amp;WIDTH=450&amp;START_MAXIMI","ZED=FALSE&amp;VAR:CALENDAR=US&amp;VAR:SYMBOL=B0W1X3&amp;VAR:INDEX=0"}</definedName>
    <definedName name="_219__FDSAUDITLINK__" hidden="1">{"fdsup://directions/FAT Viewer?action=UPDATE&amp;creator=factset&amp;DYN_ARGS=TRUE&amp;DOC_NAME=FAT:FQL_AUDITING_CLIENT_TEMPLATE.FAT&amp;display_string=Audit&amp;VAR:KEY=XAFOHUNEHE&amp;VAR:QUERY=RkZfTkVUX0lOQyhMVE0sMCwsLCwsTSk=&amp;WINDOW=FIRST_POPUP&amp;HEIGHT=450&amp;WIDTH=450&amp;START_MAXIMI","ZED=FALSE&amp;VAR:CALENDAR=US&amp;VAR:SYMBOL=B0W1X3&amp;VAR:INDEX=0"}</definedName>
    <definedName name="_2190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90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90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9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9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9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9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9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9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93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93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93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94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94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94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195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95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95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196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96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96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19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9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9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19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9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9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199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99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199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__FDSAUDITLINK__" localSheetId="3" hidden="1">{"fdsup://directions/FAT Viewer?action=UPDATE&amp;creator=factset&amp;DYN_ARGS=TRUE&amp;DOC_NAME=FAT:FQL_AUDITING_CLIENT_TEMPLATE.FAT&amp;display_string=Audit&amp;VAR:KEY=BOHSVUBERE&amp;VAR:QUERY=RkZfU0hTX0ZMT0FUKEFOTixOT1csLCwsLE0p&amp;WINDOW=FIRST_POPUP&amp;HEIGHT=450&amp;WIDTH=450&amp;START_MA","XIMIZED=FALSE&amp;VAR:CALENDAR=US&amp;VAR:SYMBOL=268453&amp;VAR:INDEX=0"}</definedName>
    <definedName name="_22__FDSAUDITLINK__" localSheetId="7" hidden="1">{"fdsup://directions/FAT Viewer?action=UPDATE&amp;creator=factset&amp;DYN_ARGS=TRUE&amp;DOC_NAME=FAT:FQL_AUDITING_CLIENT_TEMPLATE.FAT&amp;display_string=Audit&amp;VAR:KEY=BOHSVUBERE&amp;VAR:QUERY=RkZfU0hTX0ZMT0FUKEFOTixOT1csLCwsLE0p&amp;WINDOW=FIRST_POPUP&amp;HEIGHT=450&amp;WIDTH=450&amp;START_MA","XIMIZED=FALSE&amp;VAR:CALENDAR=US&amp;VAR:SYMBOL=268453&amp;VAR:INDEX=0"}</definedName>
    <definedName name="_22__FDSAUDITLINK__" hidden="1">{"fdsup://directions/FAT Viewer?action=UPDATE&amp;creator=factset&amp;DYN_ARGS=TRUE&amp;DOC_NAME=FAT:FQL_AUDITING_CLIENT_TEMPLATE.FAT&amp;display_string=Audit&amp;VAR:KEY=BOHSVUBERE&amp;VAR:QUERY=RkZfU0hTX0ZMT0FUKEFOTixOT1csLCwsLE0p&amp;WINDOW=FIRST_POPUP&amp;HEIGHT=450&amp;WIDTH=450&amp;START_MA","XIMIZED=FALSE&amp;VAR:CALENDAR=US&amp;VAR:SYMBOL=268453&amp;VAR:INDEX=0"}</definedName>
    <definedName name="_220__FDSAUDITLINK__" localSheetId="3" hidden="1">{"fdsup://directions/FAT Viewer?action=UPDATE&amp;creator=factset&amp;DYN_ARGS=TRUE&amp;DOC_NAME=FAT:FQL_AUDITING_CLIENT_TEMPLATE.FAT&amp;display_string=Audit&amp;VAR:KEY=MNCNCJGTYD&amp;VAR:QUERY=UCgwLC05LFksVVNEKSAvLyBGRl9PUEVSX1BTX05FVF9DRihBTk4sMCwtOSxZLFJQLFVTRCxNKQ==&amp;WINDOW=F","IRST_POPUP&amp;HEIGHT=450&amp;WIDTH=450&amp;START_MAXIMIZED=FALSE&amp;VAR:CALENDAR=US&amp;VAR:SYMBOL=B10LQP&amp;VAR:INDEX=5"}</definedName>
    <definedName name="_220__FDSAUDITLINK__" localSheetId="7" hidden="1">{"fdsup://directions/FAT Viewer?action=UPDATE&amp;creator=factset&amp;DYN_ARGS=TRUE&amp;DOC_NAME=FAT:FQL_AUDITING_CLIENT_TEMPLATE.FAT&amp;display_string=Audit&amp;VAR:KEY=MNCNCJGTYD&amp;VAR:QUERY=UCgwLC05LFksVVNEKSAvLyBGRl9PUEVSX1BTX05FVF9DRihBTk4sMCwtOSxZLFJQLFVTRCxNKQ==&amp;WINDOW=F","IRST_POPUP&amp;HEIGHT=450&amp;WIDTH=450&amp;START_MAXIMIZED=FALSE&amp;VAR:CALENDAR=US&amp;VAR:SYMBOL=B10LQP&amp;VAR:INDEX=5"}</definedName>
    <definedName name="_220__FDSAUDITLINK__" hidden="1">{"fdsup://directions/FAT Viewer?action=UPDATE&amp;creator=factset&amp;DYN_ARGS=TRUE&amp;DOC_NAME=FAT:FQL_AUDITING_CLIENT_TEMPLATE.FAT&amp;display_string=Audit&amp;VAR:KEY=MNCNCJGTYD&amp;VAR:QUERY=UCgwLC05LFksVVNEKSAvLyBGRl9PUEVSX1BTX05FVF9DRihBTk4sMCwtOSxZLFJQLFVTRCxNKQ==&amp;WINDOW=F","IRST_POPUP&amp;HEIGHT=450&amp;WIDTH=450&amp;START_MAXIMIZED=FALSE&amp;VAR:CALENDAR=US&amp;VAR:SYMBOL=B10LQP&amp;VAR:INDEX=5"}</definedName>
    <definedName name="_2200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00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00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01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01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01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02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02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02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0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0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0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0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0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0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05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05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05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06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06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06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07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07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07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08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08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08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0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0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0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1__FDSAUDITLINK__" localSheetId="3" hidden="1">{"fdsup://directions/FAT Viewer?action=UPDATE&amp;creator=factset&amp;DYN_ARGS=TRUE&amp;DOC_NAME=FAT:FQL_AUDITING_CLIENT_TEMPLATE.FAT&amp;display_string=Audit&amp;VAR:KEY=MNCNCJGTYD&amp;VAR:QUERY=UCgwLC05LFksVVNEKSAvLyBGRl9PUEVSX1BTX05FVF9DRihBTk4sMCwtOSxZLFJQLFVTRCxNKQ==&amp;WINDOW=F","IRST_POPUP&amp;HEIGHT=450&amp;WIDTH=450&amp;START_MAXIMIZED=FALSE&amp;VAR:CALENDAR=US&amp;VAR:SYMBOL=B10LQP&amp;VAR:INDEX=4"}</definedName>
    <definedName name="_221__FDSAUDITLINK__" localSheetId="7" hidden="1">{"fdsup://directions/FAT Viewer?action=UPDATE&amp;creator=factset&amp;DYN_ARGS=TRUE&amp;DOC_NAME=FAT:FQL_AUDITING_CLIENT_TEMPLATE.FAT&amp;display_string=Audit&amp;VAR:KEY=MNCNCJGTYD&amp;VAR:QUERY=UCgwLC05LFksVVNEKSAvLyBGRl9PUEVSX1BTX05FVF9DRihBTk4sMCwtOSxZLFJQLFVTRCxNKQ==&amp;WINDOW=F","IRST_POPUP&amp;HEIGHT=450&amp;WIDTH=450&amp;START_MAXIMIZED=FALSE&amp;VAR:CALENDAR=US&amp;VAR:SYMBOL=B10LQP&amp;VAR:INDEX=4"}</definedName>
    <definedName name="_221__FDSAUDITLINK__" hidden="1">{"fdsup://directions/FAT Viewer?action=UPDATE&amp;creator=factset&amp;DYN_ARGS=TRUE&amp;DOC_NAME=FAT:FQL_AUDITING_CLIENT_TEMPLATE.FAT&amp;display_string=Audit&amp;VAR:KEY=MNCNCJGTYD&amp;VAR:QUERY=UCgwLC05LFksVVNEKSAvLyBGRl9PUEVSX1BTX05FVF9DRihBTk4sMCwtOSxZLFJQLFVTRCxNKQ==&amp;WINDOW=F","IRST_POPUP&amp;HEIGHT=450&amp;WIDTH=450&amp;START_MAXIMIZED=FALSE&amp;VAR:CALENDAR=US&amp;VAR:SYMBOL=B10LQP&amp;VAR:INDEX=4"}</definedName>
    <definedName name="_2210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10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10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11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11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11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12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12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12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13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13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13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14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14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14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1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1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1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1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1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1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17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17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17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18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18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18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19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19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19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2__FDSAUDITLINK__" localSheetId="3" hidden="1">{"fdsup://directions/FAT Viewer?action=UPDATE&amp;creator=factset&amp;DYN_ARGS=TRUE&amp;DOC_NAME=FAT:FQL_AUDITING_CLIENT_TEMPLATE.FAT&amp;display_string=Audit&amp;VAR:KEY=MNCNCJGTYD&amp;VAR:QUERY=UCgwLC05LFksVVNEKSAvLyBGRl9PUEVSX1BTX05FVF9DRihBTk4sMCwtOSxZLFJQLFVTRCxNKQ==&amp;WINDOW=F","IRST_POPUP&amp;HEIGHT=450&amp;WIDTH=450&amp;START_MAXIMIZED=FALSE&amp;VAR:CALENDAR=US&amp;VAR:SYMBOL=B10LQP&amp;VAR:INDEX=3"}</definedName>
    <definedName name="_222__FDSAUDITLINK__" localSheetId="7" hidden="1">{"fdsup://directions/FAT Viewer?action=UPDATE&amp;creator=factset&amp;DYN_ARGS=TRUE&amp;DOC_NAME=FAT:FQL_AUDITING_CLIENT_TEMPLATE.FAT&amp;display_string=Audit&amp;VAR:KEY=MNCNCJGTYD&amp;VAR:QUERY=UCgwLC05LFksVVNEKSAvLyBGRl9PUEVSX1BTX05FVF9DRihBTk4sMCwtOSxZLFJQLFVTRCxNKQ==&amp;WINDOW=F","IRST_POPUP&amp;HEIGHT=450&amp;WIDTH=450&amp;START_MAXIMIZED=FALSE&amp;VAR:CALENDAR=US&amp;VAR:SYMBOL=B10LQP&amp;VAR:INDEX=3"}</definedName>
    <definedName name="_222__FDSAUDITLINK__" hidden="1">{"fdsup://directions/FAT Viewer?action=UPDATE&amp;creator=factset&amp;DYN_ARGS=TRUE&amp;DOC_NAME=FAT:FQL_AUDITING_CLIENT_TEMPLATE.FAT&amp;display_string=Audit&amp;VAR:KEY=MNCNCJGTYD&amp;VAR:QUERY=UCgwLC05LFksVVNEKSAvLyBGRl9PUEVSX1BTX05FVF9DRihBTk4sMCwtOSxZLFJQLFVTRCxNKQ==&amp;WINDOW=F","IRST_POPUP&amp;HEIGHT=450&amp;WIDTH=450&amp;START_MAXIMIZED=FALSE&amp;VAR:CALENDAR=US&amp;VAR:SYMBOL=B10LQP&amp;VAR:INDEX=3"}</definedName>
    <definedName name="_2220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20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20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2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2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2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2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2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2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23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23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23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24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24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24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25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25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25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26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26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26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2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2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2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2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2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2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29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29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29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3__FDSAUDITLINK__" localSheetId="3" hidden="1">{"fdsup://directions/FAT Viewer?action=UPDATE&amp;creator=factset&amp;DYN_ARGS=TRUE&amp;DOC_NAME=FAT:FQL_AUDITING_CLIENT_TEMPLATE.FAT&amp;display_string=Audit&amp;VAR:KEY=RCPGTKTSNQ&amp;VAR:QUERY=RkZfTkVUX0lOQyhMVE0sMCwsLCwsTSk=&amp;WINDOW=FIRST_POPUP&amp;HEIGHT=450&amp;WIDTH=450&amp;START_MAXIMI","ZED=FALSE&amp;VAR:CALENDAR=US&amp;VAR:SYMBOL=B1YBRG&amp;VAR:INDEX=0"}</definedName>
    <definedName name="_223__FDSAUDITLINK__" localSheetId="7" hidden="1">{"fdsup://directions/FAT Viewer?action=UPDATE&amp;creator=factset&amp;DYN_ARGS=TRUE&amp;DOC_NAME=FAT:FQL_AUDITING_CLIENT_TEMPLATE.FAT&amp;display_string=Audit&amp;VAR:KEY=RCPGTKTSNQ&amp;VAR:QUERY=RkZfTkVUX0lOQyhMVE0sMCwsLCwsTSk=&amp;WINDOW=FIRST_POPUP&amp;HEIGHT=450&amp;WIDTH=450&amp;START_MAXIMI","ZED=FALSE&amp;VAR:CALENDAR=US&amp;VAR:SYMBOL=B1YBRG&amp;VAR:INDEX=0"}</definedName>
    <definedName name="_223__FDSAUDITLINK__" hidden="1">{"fdsup://directions/FAT Viewer?action=UPDATE&amp;creator=factset&amp;DYN_ARGS=TRUE&amp;DOC_NAME=FAT:FQL_AUDITING_CLIENT_TEMPLATE.FAT&amp;display_string=Audit&amp;VAR:KEY=RCPGTKTSNQ&amp;VAR:QUERY=RkZfTkVUX0lOQyhMVE0sMCwsLCwsTSk=&amp;WINDOW=FIRST_POPUP&amp;HEIGHT=450&amp;WIDTH=450&amp;START_MAXIMI","ZED=FALSE&amp;VAR:CALENDAR=US&amp;VAR:SYMBOL=B1YBRG&amp;VAR:INDEX=0"}</definedName>
    <definedName name="_2230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30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30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31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31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31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32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32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32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3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3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3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3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3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3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35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35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35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36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36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36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37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37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37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38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38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38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3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3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3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4__FDSAUDITLINK__" localSheetId="3" hidden="1">{"fdsup://directions/FAT Viewer?action=UPDATE&amp;creator=factset&amp;DYN_ARGS=TRUE&amp;DOC_NAME=FAT:FQL_AUDITING_CLIENT_TEMPLATE.FAT&amp;display_string=Audit&amp;VAR:KEY=NANGNEHSFS&amp;VAR:QUERY=RkZfRUJJVERBX09QRVIoTFRNLDAsLCwsLE0p&amp;WINDOW=FIRST_POPUP&amp;HEIGHT=450&amp;WIDTH=450&amp;START_MA","XIMIZED=FALSE&amp;VAR:CALENDAR=US&amp;VAR:SYMBOL=244097&amp;VAR:INDEX=0"}</definedName>
    <definedName name="_224__FDSAUDITLINK__" localSheetId="7" hidden="1">{"fdsup://directions/FAT Viewer?action=UPDATE&amp;creator=factset&amp;DYN_ARGS=TRUE&amp;DOC_NAME=FAT:FQL_AUDITING_CLIENT_TEMPLATE.FAT&amp;display_string=Audit&amp;VAR:KEY=NANGNEHSFS&amp;VAR:QUERY=RkZfRUJJVERBX09QRVIoTFRNLDAsLCwsLE0p&amp;WINDOW=FIRST_POPUP&amp;HEIGHT=450&amp;WIDTH=450&amp;START_MA","XIMIZED=FALSE&amp;VAR:CALENDAR=US&amp;VAR:SYMBOL=244097&amp;VAR:INDEX=0"}</definedName>
    <definedName name="_224__FDSAUDITLINK__" hidden="1">{"fdsup://directions/FAT Viewer?action=UPDATE&amp;creator=factset&amp;DYN_ARGS=TRUE&amp;DOC_NAME=FAT:FQL_AUDITING_CLIENT_TEMPLATE.FAT&amp;display_string=Audit&amp;VAR:KEY=NANGNEHSFS&amp;VAR:QUERY=RkZfRUJJVERBX09QRVIoTFRNLDAsLCwsLE0p&amp;WINDOW=FIRST_POPUP&amp;HEIGHT=450&amp;WIDTH=450&amp;START_MA","XIMIZED=FALSE&amp;VAR:CALENDAR=US&amp;VAR:SYMBOL=244097&amp;VAR:INDEX=0"}</definedName>
    <definedName name="_2240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40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40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41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41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41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42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42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42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43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43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43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44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44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44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4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4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4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4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4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4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47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47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47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48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48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48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49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49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49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5__FDSAUDITLINK__" localSheetId="3" hidden="1">{"fdsup://directions/FAT Viewer?action=UPDATE&amp;creator=factset&amp;DYN_ARGS=TRUE&amp;DOC_NAME=FAT:FQL_AUDITING_CLIENT_TEMPLATE.FAT&amp;display_string=Audit&amp;VAR:KEY=PADWBMFIPG&amp;VAR:QUERY=RkZfSU5WRU5fVFVSTihBTk4sMCwtOSxZLFJQKQ==&amp;WINDOW=FIRST_POPUP&amp;HEIGHT=450&amp;WIDTH=450&amp;STAR","T_MAXIMIZED=FALSE&amp;VAR:CALENDAR=US&amp;VAR:SYMBOL=B10LQP&amp;VAR:INDEX=6"}</definedName>
    <definedName name="_225__FDSAUDITLINK__" localSheetId="7" hidden="1">{"fdsup://directions/FAT Viewer?action=UPDATE&amp;creator=factset&amp;DYN_ARGS=TRUE&amp;DOC_NAME=FAT:FQL_AUDITING_CLIENT_TEMPLATE.FAT&amp;display_string=Audit&amp;VAR:KEY=PADWBMFIPG&amp;VAR:QUERY=RkZfSU5WRU5fVFVSTihBTk4sMCwtOSxZLFJQKQ==&amp;WINDOW=FIRST_POPUP&amp;HEIGHT=450&amp;WIDTH=450&amp;STAR","T_MAXIMIZED=FALSE&amp;VAR:CALENDAR=US&amp;VAR:SYMBOL=B10LQP&amp;VAR:INDEX=6"}</definedName>
    <definedName name="_225__FDSAUDITLINK__" hidden="1">{"fdsup://directions/FAT Viewer?action=UPDATE&amp;creator=factset&amp;DYN_ARGS=TRUE&amp;DOC_NAME=FAT:FQL_AUDITING_CLIENT_TEMPLATE.FAT&amp;display_string=Audit&amp;VAR:KEY=PADWBMFIPG&amp;VAR:QUERY=RkZfSU5WRU5fVFVSTihBTk4sMCwtOSxZLFJQKQ==&amp;WINDOW=FIRST_POPUP&amp;HEIGHT=450&amp;WIDTH=450&amp;STAR","T_MAXIMIZED=FALSE&amp;VAR:CALENDAR=US&amp;VAR:SYMBOL=B10LQP&amp;VAR:INDEX=6"}</definedName>
    <definedName name="_2250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50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50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5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5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5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5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5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5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53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53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53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54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54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54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55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55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55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56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56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56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5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5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5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5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5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5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59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59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59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6__FDSAUDITLINK__" localSheetId="3" hidden="1">{"fdsup://directions/FAT Viewer?action=UPDATE&amp;creator=factset&amp;DYN_ARGS=TRUE&amp;DOC_NAME=FAT:FQL_AUDITING_CLIENT_TEMPLATE.FAT&amp;display_string=Audit&amp;VAR:KEY=RAZCBGTALC&amp;VAR:QUERY=RkZfTkVUX0lOQyhMVE0sMCwsLCwsTSk=&amp;WINDOW=FIRST_POPUP&amp;HEIGHT=450&amp;WIDTH=450&amp;START_MAXIMI","ZED=FALSE&amp;VAR:CALENDAR=US&amp;VAR:SYMBOL=B667N4&amp;VAR:INDEX=0"}</definedName>
    <definedName name="_226__FDSAUDITLINK__" localSheetId="7" hidden="1">{"fdsup://directions/FAT Viewer?action=UPDATE&amp;creator=factset&amp;DYN_ARGS=TRUE&amp;DOC_NAME=FAT:FQL_AUDITING_CLIENT_TEMPLATE.FAT&amp;display_string=Audit&amp;VAR:KEY=RAZCBGTALC&amp;VAR:QUERY=RkZfTkVUX0lOQyhMVE0sMCwsLCwsTSk=&amp;WINDOW=FIRST_POPUP&amp;HEIGHT=450&amp;WIDTH=450&amp;START_MAXIMI","ZED=FALSE&amp;VAR:CALENDAR=US&amp;VAR:SYMBOL=B667N4&amp;VAR:INDEX=0"}</definedName>
    <definedName name="_226__FDSAUDITLINK__" hidden="1">{"fdsup://directions/FAT Viewer?action=UPDATE&amp;creator=factset&amp;DYN_ARGS=TRUE&amp;DOC_NAME=FAT:FQL_AUDITING_CLIENT_TEMPLATE.FAT&amp;display_string=Audit&amp;VAR:KEY=RAZCBGTALC&amp;VAR:QUERY=RkZfTkVUX0lOQyhMVE0sMCwsLCwsTSk=&amp;WINDOW=FIRST_POPUP&amp;HEIGHT=450&amp;WIDTH=450&amp;START_MAXIMI","ZED=FALSE&amp;VAR:CALENDAR=US&amp;VAR:SYMBOL=B667N4&amp;VAR:INDEX=0"}</definedName>
    <definedName name="_2260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60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60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61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61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61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62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62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62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6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6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6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6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6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6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65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65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65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66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66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66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67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67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67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68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68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68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6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6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6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7__FDSAUDITLINK__" localSheetId="3" hidden="1">{"fdsup://Directions/FactSet Auditing Viewer?action=AUDIT_VALUE&amp;DB=129&amp;ID1=B07C76&amp;VALUEID=01001&amp;SDATE=2011&amp;PERIODTYPE=ANN_STD&amp;SCFT=3&amp;window=popup_no_bar&amp;width=385&amp;height=120&amp;START_MAXIMIZED=FALSE&amp;creator=factset&amp;display_string=Audit"}</definedName>
    <definedName name="_227__FDSAUDITLINK__" localSheetId="7" hidden="1">{"fdsup://Directions/FactSet Auditing Viewer?action=AUDIT_VALUE&amp;DB=129&amp;ID1=B07C76&amp;VALUEID=01001&amp;SDATE=2011&amp;PERIODTYPE=ANN_STD&amp;SCFT=3&amp;window=popup_no_bar&amp;width=385&amp;height=120&amp;START_MAXIMIZED=FALSE&amp;creator=factset&amp;display_string=Audit"}</definedName>
    <definedName name="_227__FDSAUDITLINK__" hidden="1">{"fdsup://Directions/FactSet Auditing Viewer?action=AUDIT_VALUE&amp;DB=129&amp;ID1=B07C76&amp;VALUEID=01001&amp;SDATE=2011&amp;PERIODTYPE=ANN_STD&amp;SCFT=3&amp;window=popup_no_bar&amp;width=385&amp;height=120&amp;START_MAXIMIZED=FALSE&amp;creator=factset&amp;display_string=Audit"}</definedName>
    <definedName name="_2270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70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70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71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71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71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72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72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72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73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73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73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74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74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74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7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7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7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7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7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7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77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77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77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78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78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78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79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79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79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8__FDSAUDITLINK__" localSheetId="3" hidden="1">{"fdsup://directions/FAT Viewer?action=UPDATE&amp;creator=factset&amp;DYN_ARGS=TRUE&amp;DOC_NAME=FAT:FQL_AUDITING_CLIENT_TEMPLATE.FAT&amp;display_string=Audit&amp;VAR:KEY=YNGHUVENOL&amp;VAR:QUERY=RkZfTkVUX0lOQyhMVE0sMCwsLCwsTSk=&amp;WINDOW=FIRST_POPUP&amp;HEIGHT=450&amp;WIDTH=450&amp;START_MAXIMI","ZED=FALSE&amp;VAR:CALENDAR=US&amp;VAR:SYMBOL=B128R9&amp;VAR:INDEX=0"}</definedName>
    <definedName name="_228__FDSAUDITLINK__" localSheetId="7" hidden="1">{"fdsup://directions/FAT Viewer?action=UPDATE&amp;creator=factset&amp;DYN_ARGS=TRUE&amp;DOC_NAME=FAT:FQL_AUDITING_CLIENT_TEMPLATE.FAT&amp;display_string=Audit&amp;VAR:KEY=YNGHUVENOL&amp;VAR:QUERY=RkZfTkVUX0lOQyhMVE0sMCwsLCwsTSk=&amp;WINDOW=FIRST_POPUP&amp;HEIGHT=450&amp;WIDTH=450&amp;START_MAXIMI","ZED=FALSE&amp;VAR:CALENDAR=US&amp;VAR:SYMBOL=B128R9&amp;VAR:INDEX=0"}</definedName>
    <definedName name="_228__FDSAUDITLINK__" hidden="1">{"fdsup://directions/FAT Viewer?action=UPDATE&amp;creator=factset&amp;DYN_ARGS=TRUE&amp;DOC_NAME=FAT:FQL_AUDITING_CLIENT_TEMPLATE.FAT&amp;display_string=Audit&amp;VAR:KEY=YNGHUVENOL&amp;VAR:QUERY=RkZfTkVUX0lOQyhMVE0sMCwsLCwsTSk=&amp;WINDOW=FIRST_POPUP&amp;HEIGHT=450&amp;WIDTH=450&amp;START_MAXIMI","ZED=FALSE&amp;VAR:CALENDAR=US&amp;VAR:SYMBOL=B128R9&amp;VAR:INDEX=0"}</definedName>
    <definedName name="_2280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80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80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8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8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8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8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8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8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83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83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83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84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84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84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85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85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85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86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86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86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8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8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8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8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8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8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89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89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89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9__FDSAUDITLINK__" localSheetId="3" hidden="1">{"fdsup://directions/FAT Viewer?action=UPDATE&amp;creator=factset&amp;DYN_ARGS=TRUE&amp;DOC_NAME=FAT:FQL_AUDITING_CLIENT_TEMPLATE.FAT&amp;display_string=Audit&amp;VAR:KEY=DIPWZKNYRU&amp;VAR:QUERY=RkZfUEJLX1RBTkcoQU5OLDAsLTksWSxSUCxVU0QsTSk=&amp;WINDOW=FIRST_POPUP&amp;HEIGHT=450&amp;WIDTH=450&amp;","START_MAXIMIZED=FALSE&amp;VAR:CALENDAR=US&amp;VAR:SYMBOL=B10LQP&amp;VAR:INDEX=4"}</definedName>
    <definedName name="_229__FDSAUDITLINK__" localSheetId="7" hidden="1">{"fdsup://directions/FAT Viewer?action=UPDATE&amp;creator=factset&amp;DYN_ARGS=TRUE&amp;DOC_NAME=FAT:FQL_AUDITING_CLIENT_TEMPLATE.FAT&amp;display_string=Audit&amp;VAR:KEY=DIPWZKNYRU&amp;VAR:QUERY=RkZfUEJLX1RBTkcoQU5OLDAsLTksWSxSUCxVU0QsTSk=&amp;WINDOW=FIRST_POPUP&amp;HEIGHT=450&amp;WIDTH=450&amp;","START_MAXIMIZED=FALSE&amp;VAR:CALENDAR=US&amp;VAR:SYMBOL=B10LQP&amp;VAR:INDEX=4"}</definedName>
    <definedName name="_229__FDSAUDITLINK__" hidden="1">{"fdsup://directions/FAT Viewer?action=UPDATE&amp;creator=factset&amp;DYN_ARGS=TRUE&amp;DOC_NAME=FAT:FQL_AUDITING_CLIENT_TEMPLATE.FAT&amp;display_string=Audit&amp;VAR:KEY=DIPWZKNYRU&amp;VAR:QUERY=RkZfUEJLX1RBTkcoQU5OLDAsLTksWSxSUCxVU0QsTSk=&amp;WINDOW=FIRST_POPUP&amp;HEIGHT=450&amp;WIDTH=450&amp;","START_MAXIMIZED=FALSE&amp;VAR:CALENDAR=US&amp;VAR:SYMBOL=B10LQP&amp;VAR:INDEX=4"}</definedName>
    <definedName name="_2290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90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90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9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9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9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9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9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9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93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93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93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294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94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94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29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9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9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29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9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9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297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97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97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98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98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98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299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99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299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__FDSAUDITLINK__" localSheetId="3" hidden="1">{"fdsup://directions/FAT Viewer?action=UPDATE&amp;creator=factset&amp;DYN_ARGS=TRUE&amp;DOC_NAME=FAT:FQL_AUDITING_CLIENT_TEMPLATE.FAT&amp;display_string=Audit&amp;VAR:KEY=BINQFWNOHM&amp;VAR:QUERY=RkZfU0hTX0ZMT0FUKEFOTiwwKQ==&amp;WINDOW=FIRST_POPUP&amp;HEIGHT=450&amp;WIDTH=450&amp;START_MAXIMIZED=","FALSE&amp;VAR:CALENDAR=US&amp;VAR:SYMBOL=268453&amp;VAR:INDEX=0"}</definedName>
    <definedName name="_23__FDSAUDITLINK__" localSheetId="7" hidden="1">{"fdsup://directions/FAT Viewer?action=UPDATE&amp;creator=factset&amp;DYN_ARGS=TRUE&amp;DOC_NAME=FAT:FQL_AUDITING_CLIENT_TEMPLATE.FAT&amp;display_string=Audit&amp;VAR:KEY=BINQFWNOHM&amp;VAR:QUERY=RkZfU0hTX0ZMT0FUKEFOTiwwKQ==&amp;WINDOW=FIRST_POPUP&amp;HEIGHT=450&amp;WIDTH=450&amp;START_MAXIMIZED=","FALSE&amp;VAR:CALENDAR=US&amp;VAR:SYMBOL=268453&amp;VAR:INDEX=0"}</definedName>
    <definedName name="_23__FDSAUDITLINK__" hidden="1">{"fdsup://directions/FAT Viewer?action=UPDATE&amp;creator=factset&amp;DYN_ARGS=TRUE&amp;DOC_NAME=FAT:FQL_AUDITING_CLIENT_TEMPLATE.FAT&amp;display_string=Audit&amp;VAR:KEY=BINQFWNOHM&amp;VAR:QUERY=RkZfU0hTX0ZMT0FUKEFOTiwwKQ==&amp;WINDOW=FIRST_POPUP&amp;HEIGHT=450&amp;WIDTH=450&amp;START_MAXIMIZED=","FALSE&amp;VAR:CALENDAR=US&amp;VAR:SYMBOL=268453&amp;VAR:INDEX=0"}</definedName>
    <definedName name="_230__FDSAUDITLINK__" localSheetId="3" hidden="1">{"fdsup://directions/FAT Viewer?action=UPDATE&amp;creator=factset&amp;DYN_ARGS=TRUE&amp;DOC_NAME=FAT:FQL_AUDITING_CLIENT_TEMPLATE.FAT&amp;display_string=Audit&amp;VAR:KEY=DIPWZKNYRU&amp;VAR:QUERY=RkZfUEJLX1RBTkcoQU5OLDAsLTksWSxSUCxVU0QsTSk=&amp;WINDOW=FIRST_POPUP&amp;HEIGHT=450&amp;WIDTH=450&amp;","START_MAXIMIZED=FALSE&amp;VAR:CALENDAR=US&amp;VAR:SYMBOL=B10LQP&amp;VAR:INDEX=3"}</definedName>
    <definedName name="_230__FDSAUDITLINK__" localSheetId="7" hidden="1">{"fdsup://directions/FAT Viewer?action=UPDATE&amp;creator=factset&amp;DYN_ARGS=TRUE&amp;DOC_NAME=FAT:FQL_AUDITING_CLIENT_TEMPLATE.FAT&amp;display_string=Audit&amp;VAR:KEY=DIPWZKNYRU&amp;VAR:QUERY=RkZfUEJLX1RBTkcoQU5OLDAsLTksWSxSUCxVU0QsTSk=&amp;WINDOW=FIRST_POPUP&amp;HEIGHT=450&amp;WIDTH=450&amp;","START_MAXIMIZED=FALSE&amp;VAR:CALENDAR=US&amp;VAR:SYMBOL=B10LQP&amp;VAR:INDEX=3"}</definedName>
    <definedName name="_230__FDSAUDITLINK__" hidden="1">{"fdsup://directions/FAT Viewer?action=UPDATE&amp;creator=factset&amp;DYN_ARGS=TRUE&amp;DOC_NAME=FAT:FQL_AUDITING_CLIENT_TEMPLATE.FAT&amp;display_string=Audit&amp;VAR:KEY=DIPWZKNYRU&amp;VAR:QUERY=RkZfUEJLX1RBTkcoQU5OLDAsLTksWSxSUCxVU0QsTSk=&amp;WINDOW=FIRST_POPUP&amp;HEIGHT=450&amp;WIDTH=450&amp;","START_MAXIMIZED=FALSE&amp;VAR:CALENDAR=US&amp;VAR:SYMBOL=B10LQP&amp;VAR:INDEX=3"}</definedName>
    <definedName name="_2300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00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00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01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01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01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02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02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02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03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03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03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04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04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04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0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0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0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0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0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0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07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07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07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08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08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08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09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09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09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1__FDSAUDITLINK__" localSheetId="3" hidden="1">{"fdsup://directions/FAT Viewer?action=UPDATE&amp;creator=factset&amp;DYN_ARGS=TRUE&amp;DOC_NAME=FAT:FQL_AUDITING_CLIENT_TEMPLATE.FAT&amp;display_string=Audit&amp;VAR:KEY=DIPWZKNYRU&amp;VAR:QUERY=RkZfUEJLX1RBTkcoQU5OLDAsLTksWSxSUCxVU0QsTSk=&amp;WINDOW=FIRST_POPUP&amp;HEIGHT=450&amp;WIDTH=450&amp;","START_MAXIMIZED=FALSE&amp;VAR:CALENDAR=US&amp;VAR:SYMBOL=B10LQP&amp;VAR:INDEX=2"}</definedName>
    <definedName name="_231__FDSAUDITLINK__" localSheetId="7" hidden="1">{"fdsup://directions/FAT Viewer?action=UPDATE&amp;creator=factset&amp;DYN_ARGS=TRUE&amp;DOC_NAME=FAT:FQL_AUDITING_CLIENT_TEMPLATE.FAT&amp;display_string=Audit&amp;VAR:KEY=DIPWZKNYRU&amp;VAR:QUERY=RkZfUEJLX1RBTkcoQU5OLDAsLTksWSxSUCxVU0QsTSk=&amp;WINDOW=FIRST_POPUP&amp;HEIGHT=450&amp;WIDTH=450&amp;","START_MAXIMIZED=FALSE&amp;VAR:CALENDAR=US&amp;VAR:SYMBOL=B10LQP&amp;VAR:INDEX=2"}</definedName>
    <definedName name="_231__FDSAUDITLINK__" hidden="1">{"fdsup://directions/FAT Viewer?action=UPDATE&amp;creator=factset&amp;DYN_ARGS=TRUE&amp;DOC_NAME=FAT:FQL_AUDITING_CLIENT_TEMPLATE.FAT&amp;display_string=Audit&amp;VAR:KEY=DIPWZKNYRU&amp;VAR:QUERY=RkZfUEJLX1RBTkcoQU5OLDAsLTksWSxSUCxVU0QsTSk=&amp;WINDOW=FIRST_POPUP&amp;HEIGHT=450&amp;WIDTH=450&amp;","START_MAXIMIZED=FALSE&amp;VAR:CALENDAR=US&amp;VAR:SYMBOL=B10LQP&amp;VAR:INDEX=2"}</definedName>
    <definedName name="_2310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10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10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1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1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1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1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1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1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13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13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13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14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14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14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15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15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15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16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16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16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1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1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1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1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1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1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19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19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19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2__FDSAUDITLINK__" localSheetId="3" hidden="1">{"fdsup://directions/FAT Viewer?action=UPDATE&amp;creator=factset&amp;DYN_ARGS=TRUE&amp;DOC_NAME=FAT:FQL_AUDITING_CLIENT_TEMPLATE.FAT&amp;display_string=Audit&amp;VAR:KEY=DIPWZKNYRU&amp;VAR:QUERY=RkZfUEJLX1RBTkcoQU5OLDAsLTksWSxSUCxVU0QsTSk=&amp;WINDOW=FIRST_POPUP&amp;HEIGHT=450&amp;WIDTH=450&amp;","START_MAXIMIZED=FALSE&amp;VAR:CALENDAR=US&amp;VAR:SYMBOL=B10LQP&amp;VAR:INDEX=1"}</definedName>
    <definedName name="_232__FDSAUDITLINK__" localSheetId="7" hidden="1">{"fdsup://directions/FAT Viewer?action=UPDATE&amp;creator=factset&amp;DYN_ARGS=TRUE&amp;DOC_NAME=FAT:FQL_AUDITING_CLIENT_TEMPLATE.FAT&amp;display_string=Audit&amp;VAR:KEY=DIPWZKNYRU&amp;VAR:QUERY=RkZfUEJLX1RBTkcoQU5OLDAsLTksWSxSUCxVU0QsTSk=&amp;WINDOW=FIRST_POPUP&amp;HEIGHT=450&amp;WIDTH=450&amp;","START_MAXIMIZED=FALSE&amp;VAR:CALENDAR=US&amp;VAR:SYMBOL=B10LQP&amp;VAR:INDEX=1"}</definedName>
    <definedName name="_232__FDSAUDITLINK__" hidden="1">{"fdsup://directions/FAT Viewer?action=UPDATE&amp;creator=factset&amp;DYN_ARGS=TRUE&amp;DOC_NAME=FAT:FQL_AUDITING_CLIENT_TEMPLATE.FAT&amp;display_string=Audit&amp;VAR:KEY=DIPWZKNYRU&amp;VAR:QUERY=RkZfUEJLX1RBTkcoQU5OLDAsLTksWSxSUCxVU0QsTSk=&amp;WINDOW=FIRST_POPUP&amp;HEIGHT=450&amp;WIDTH=450&amp;","START_MAXIMIZED=FALSE&amp;VAR:CALENDAR=US&amp;VAR:SYMBOL=B10LQP&amp;VAR:INDEX=1"}</definedName>
    <definedName name="_2320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20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20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21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21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21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22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22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22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2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2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2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2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2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2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25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25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25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26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26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26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27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27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27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28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28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28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2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2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2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3__FDSAUDITLINK__" localSheetId="3" hidden="1">{"fdsup://directions/FAT Viewer?action=UPDATE&amp;creator=factset&amp;DYN_ARGS=TRUE&amp;DOC_NAME=FAT:FQL_AUDITING_CLIENT_TEMPLATE.FAT&amp;display_string=Audit&amp;VAR:KEY=HKFMXEFWXQ&amp;VAR:QUERY=RkZfUkVDRUlWX1RVUk5fREFZUyhBTk4sMCwtOSxZLFJQKQ==&amp;WINDOW=FIRST_POPUP&amp;HEIGHT=450&amp;WIDTH=","450&amp;START_MAXIMIZED=FALSE&amp;VAR:CALENDAR=US&amp;VAR:SYMBOL=B10LQP&amp;VAR:INDEX=6"}</definedName>
    <definedName name="_233__FDSAUDITLINK__" localSheetId="7" hidden="1">{"fdsup://directions/FAT Viewer?action=UPDATE&amp;creator=factset&amp;DYN_ARGS=TRUE&amp;DOC_NAME=FAT:FQL_AUDITING_CLIENT_TEMPLATE.FAT&amp;display_string=Audit&amp;VAR:KEY=HKFMXEFWXQ&amp;VAR:QUERY=RkZfUkVDRUlWX1RVUk5fREFZUyhBTk4sMCwtOSxZLFJQKQ==&amp;WINDOW=FIRST_POPUP&amp;HEIGHT=450&amp;WIDTH=","450&amp;START_MAXIMIZED=FALSE&amp;VAR:CALENDAR=US&amp;VAR:SYMBOL=B10LQP&amp;VAR:INDEX=6"}</definedName>
    <definedName name="_233__FDSAUDITLINK__" hidden="1">{"fdsup://directions/FAT Viewer?action=UPDATE&amp;creator=factset&amp;DYN_ARGS=TRUE&amp;DOC_NAME=FAT:FQL_AUDITING_CLIENT_TEMPLATE.FAT&amp;display_string=Audit&amp;VAR:KEY=HKFMXEFWXQ&amp;VAR:QUERY=RkZfUkVDRUlWX1RVUk5fREFZUyhBTk4sMCwtOSxZLFJQKQ==&amp;WINDOW=FIRST_POPUP&amp;HEIGHT=450&amp;WIDTH=","450&amp;START_MAXIMIZED=FALSE&amp;VAR:CALENDAR=US&amp;VAR:SYMBOL=B10LQP&amp;VAR:INDEX=6"}</definedName>
    <definedName name="_2330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30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30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31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31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31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32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32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32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33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33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33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34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34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34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3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3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3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3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3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3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37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37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37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38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38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38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39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39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39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4__FDSAUDITLINK__" localSheetId="3" hidden="1">{"fdsup://directions/FAT Viewer?action=UPDATE&amp;creator=factset&amp;DYN_ARGS=TRUE&amp;DOC_NAME=FAT:FQL_AUDITING_CLIENT_TEMPLATE.FAT&amp;display_string=Audit&amp;VAR:KEY=OJIHOBCTIX&amp;VAR:QUERY=UCgwLC05LFksVVNEKSAvLyBGRl9CUFMoQU5OLDAsLTksWSxSUCxVU0QsTSk=&amp;WINDOW=FIRST_POPUP&amp;HEIGH","T=450&amp;WIDTH=450&amp;START_MAXIMIZED=FALSE&amp;VAR:CALENDAR=US&amp;VAR:SYMBOL=B10LQP&amp;VAR:INDEX=7"}</definedName>
    <definedName name="_234__FDSAUDITLINK__" localSheetId="7" hidden="1">{"fdsup://directions/FAT Viewer?action=UPDATE&amp;creator=factset&amp;DYN_ARGS=TRUE&amp;DOC_NAME=FAT:FQL_AUDITING_CLIENT_TEMPLATE.FAT&amp;display_string=Audit&amp;VAR:KEY=OJIHOBCTIX&amp;VAR:QUERY=UCgwLC05LFksVVNEKSAvLyBGRl9CUFMoQU5OLDAsLTksWSxSUCxVU0QsTSk=&amp;WINDOW=FIRST_POPUP&amp;HEIGH","T=450&amp;WIDTH=450&amp;START_MAXIMIZED=FALSE&amp;VAR:CALENDAR=US&amp;VAR:SYMBOL=B10LQP&amp;VAR:INDEX=7"}</definedName>
    <definedName name="_234__FDSAUDITLINK__" hidden="1">{"fdsup://directions/FAT Viewer?action=UPDATE&amp;creator=factset&amp;DYN_ARGS=TRUE&amp;DOC_NAME=FAT:FQL_AUDITING_CLIENT_TEMPLATE.FAT&amp;display_string=Audit&amp;VAR:KEY=OJIHOBCTIX&amp;VAR:QUERY=UCgwLC05LFksVVNEKSAvLyBGRl9CUFMoQU5OLDAsLTksWSxSUCxVU0QsTSk=&amp;WINDOW=FIRST_POPUP&amp;HEIGH","T=450&amp;WIDTH=450&amp;START_MAXIMIZED=FALSE&amp;VAR:CALENDAR=US&amp;VAR:SYMBOL=B10LQP&amp;VAR:INDEX=7"}</definedName>
    <definedName name="_2340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40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40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4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4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4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4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4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4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43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43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43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44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44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44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45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45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45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46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46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46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4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4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4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4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4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4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49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49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49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5__FDSAUDITLINK__" localSheetId="3" hidden="1">{"fdsup://directions/FAT Viewer?action=UPDATE&amp;creator=factset&amp;DYN_ARGS=TRUE&amp;DOC_NAME=FAT:FQL_AUDITING_CLIENT_TEMPLATE.FAT&amp;display_string=Audit&amp;VAR:KEY=OJIHOBCTIX&amp;VAR:QUERY=UCgwLC05LFksVVNEKSAvLyBGRl9CUFMoQU5OLDAsLTksWSxSUCxVU0QsTSk=&amp;WINDOW=FIRST_POPUP&amp;HEIGH","T=450&amp;WIDTH=450&amp;START_MAXIMIZED=FALSE&amp;VAR:CALENDAR=US&amp;VAR:SYMBOL=B10LQP&amp;VAR:INDEX=6"}</definedName>
    <definedName name="_235__FDSAUDITLINK__" localSheetId="7" hidden="1">{"fdsup://directions/FAT Viewer?action=UPDATE&amp;creator=factset&amp;DYN_ARGS=TRUE&amp;DOC_NAME=FAT:FQL_AUDITING_CLIENT_TEMPLATE.FAT&amp;display_string=Audit&amp;VAR:KEY=OJIHOBCTIX&amp;VAR:QUERY=UCgwLC05LFksVVNEKSAvLyBGRl9CUFMoQU5OLDAsLTksWSxSUCxVU0QsTSk=&amp;WINDOW=FIRST_POPUP&amp;HEIGH","T=450&amp;WIDTH=450&amp;START_MAXIMIZED=FALSE&amp;VAR:CALENDAR=US&amp;VAR:SYMBOL=B10LQP&amp;VAR:INDEX=6"}</definedName>
    <definedName name="_235__FDSAUDITLINK__" hidden="1">{"fdsup://directions/FAT Viewer?action=UPDATE&amp;creator=factset&amp;DYN_ARGS=TRUE&amp;DOC_NAME=FAT:FQL_AUDITING_CLIENT_TEMPLATE.FAT&amp;display_string=Audit&amp;VAR:KEY=OJIHOBCTIX&amp;VAR:QUERY=UCgwLC05LFksVVNEKSAvLyBGRl9CUFMoQU5OLDAsLTksWSxSUCxVU0QsTSk=&amp;WINDOW=FIRST_POPUP&amp;HEIGH","T=450&amp;WIDTH=450&amp;START_MAXIMIZED=FALSE&amp;VAR:CALENDAR=US&amp;VAR:SYMBOL=B10LQP&amp;VAR:INDEX=6"}</definedName>
    <definedName name="_2350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50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50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51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51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51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52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52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52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5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5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5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5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5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5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55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55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55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56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56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56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57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57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57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58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58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58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5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5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5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6__FDSAUDITLINK__" localSheetId="3" hidden="1">{"fdsup://directions/FAT Viewer?action=UPDATE&amp;creator=factset&amp;DYN_ARGS=TRUE&amp;DOC_NAME=FAT:FQL_AUDITING_CLIENT_TEMPLATE.FAT&amp;display_string=Audit&amp;VAR:KEY=OJIHOBCTIX&amp;VAR:QUERY=UCgwLC05LFksVVNEKSAvLyBGRl9CUFMoQU5OLDAsLTksWSxSUCxVU0QsTSk=&amp;WINDOW=FIRST_POPUP&amp;HEIGH","T=450&amp;WIDTH=450&amp;START_MAXIMIZED=FALSE&amp;VAR:CALENDAR=US&amp;VAR:SYMBOL=B10LQP&amp;VAR:INDEX=5"}</definedName>
    <definedName name="_236__FDSAUDITLINK__" localSheetId="7" hidden="1">{"fdsup://directions/FAT Viewer?action=UPDATE&amp;creator=factset&amp;DYN_ARGS=TRUE&amp;DOC_NAME=FAT:FQL_AUDITING_CLIENT_TEMPLATE.FAT&amp;display_string=Audit&amp;VAR:KEY=OJIHOBCTIX&amp;VAR:QUERY=UCgwLC05LFksVVNEKSAvLyBGRl9CUFMoQU5OLDAsLTksWSxSUCxVU0QsTSk=&amp;WINDOW=FIRST_POPUP&amp;HEIGH","T=450&amp;WIDTH=450&amp;START_MAXIMIZED=FALSE&amp;VAR:CALENDAR=US&amp;VAR:SYMBOL=B10LQP&amp;VAR:INDEX=5"}</definedName>
    <definedName name="_236__FDSAUDITLINK__" hidden="1">{"fdsup://directions/FAT Viewer?action=UPDATE&amp;creator=factset&amp;DYN_ARGS=TRUE&amp;DOC_NAME=FAT:FQL_AUDITING_CLIENT_TEMPLATE.FAT&amp;display_string=Audit&amp;VAR:KEY=OJIHOBCTIX&amp;VAR:QUERY=UCgwLC05LFksVVNEKSAvLyBGRl9CUFMoQU5OLDAsLTksWSxSUCxVU0QsTSk=&amp;WINDOW=FIRST_POPUP&amp;HEIGH","T=450&amp;WIDTH=450&amp;START_MAXIMIZED=FALSE&amp;VAR:CALENDAR=US&amp;VAR:SYMBOL=B10LQP&amp;VAR:INDEX=5"}</definedName>
    <definedName name="_2360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60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60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61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61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61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62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62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62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63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63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63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64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64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64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6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6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6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6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6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6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67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67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67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68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68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68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69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69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69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70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70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70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71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71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71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72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72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72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73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73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73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74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74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74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75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75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75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76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76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76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7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7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7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7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7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7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79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79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79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238__FDSAUDITLINK__" localSheetId="3" hidden="1">{"fdsup://directions/FAT Viewer?action=UPDATE&amp;creator=factset&amp;DYN_ARGS=TRUE&amp;DOC_NAME=FAT:FQL_AUDITING_CLIENT_TEMPLATE.FAT&amp;display_string=Audit&amp;VAR:KEY=OJIHOBCTIX&amp;VAR:QUERY=UCgwLC05LFksVVNEKSAvLyBGRl9CUFMoQU5OLDAsLTksWSxSUCxVU0QsTSk=&amp;WINDOW=FIRST_POPUP&amp;HEIGH","T=450&amp;WIDTH=450&amp;START_MAXIMIZED=FALSE&amp;VAR:CALENDAR=US&amp;VAR:SYMBOL=B10LQP&amp;VAR:INDEX=3"}</definedName>
    <definedName name="_238__FDSAUDITLINK__" localSheetId="7" hidden="1">{"fdsup://directions/FAT Viewer?action=UPDATE&amp;creator=factset&amp;DYN_ARGS=TRUE&amp;DOC_NAME=FAT:FQL_AUDITING_CLIENT_TEMPLATE.FAT&amp;display_string=Audit&amp;VAR:KEY=OJIHOBCTIX&amp;VAR:QUERY=UCgwLC05LFksVVNEKSAvLyBGRl9CUFMoQU5OLDAsLTksWSxSUCxVU0QsTSk=&amp;WINDOW=FIRST_POPUP&amp;HEIGH","T=450&amp;WIDTH=450&amp;START_MAXIMIZED=FALSE&amp;VAR:CALENDAR=US&amp;VAR:SYMBOL=B10LQP&amp;VAR:INDEX=3"}</definedName>
    <definedName name="_238__FDSAUDITLINK__" hidden="1">{"fdsup://directions/FAT Viewer?action=UPDATE&amp;creator=factset&amp;DYN_ARGS=TRUE&amp;DOC_NAME=FAT:FQL_AUDITING_CLIENT_TEMPLATE.FAT&amp;display_string=Audit&amp;VAR:KEY=OJIHOBCTIX&amp;VAR:QUERY=UCgwLC05LFksVVNEKSAvLyBGRl9CUFMoQU5OLDAsLTksWSxSUCxVU0QsTSk=&amp;WINDOW=FIRST_POPUP&amp;HEIGH","T=450&amp;WIDTH=450&amp;START_MAXIMIZED=FALSE&amp;VAR:CALENDAR=US&amp;VAR:SYMBOL=B10LQP&amp;VAR:INDEX=3"}</definedName>
    <definedName name="_2380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80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80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2381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81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81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2382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82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82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2383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83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83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238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8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8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2385__FDSAUDITLINK__" localSheetId="3" hidden="1">{"fdsup://directions/FAT Viewer?action=UPDATE&amp;creator=factset&amp;DYN_ARGS=TRUE&amp;DOC_NAME=FAT:FQL_AUDITING_CLIENT_TEMPLATE.FAT&amp;display_string=Audit&amp;VAR:KEY=DSDCXKBEHE&amp;VAR:QUERY=UkdGX1RBWF9SQVRFKEFOTiwwLCwsLCwsTk9BVURJVCk=&amp;WINDOW=FIRST_POPUP&amp;HEIGHT=450&amp;WIDTH=450&amp;","START_MAXIMIZED=FALSE&amp;VAR:CALENDAR=US&amp;VAR:SYMBOL=FDS&amp;VAR:INDEX=0"}</definedName>
    <definedName name="_2385__FDSAUDITLINK__" localSheetId="7" hidden="1">{"fdsup://directions/FAT Viewer?action=UPDATE&amp;creator=factset&amp;DYN_ARGS=TRUE&amp;DOC_NAME=FAT:FQL_AUDITING_CLIENT_TEMPLATE.FAT&amp;display_string=Audit&amp;VAR:KEY=DSDCXKBEHE&amp;VAR:QUERY=UkdGX1RBWF9SQVRFKEFOTiwwLCwsLCwsTk9BVURJVCk=&amp;WINDOW=FIRST_POPUP&amp;HEIGHT=450&amp;WIDTH=450&amp;","START_MAXIMIZED=FALSE&amp;VAR:CALENDAR=US&amp;VAR:SYMBOL=FDS&amp;VAR:INDEX=0"}</definedName>
    <definedName name="_2385__FDSAUDITLINK__" hidden="1">{"fdsup://directions/FAT Viewer?action=UPDATE&amp;creator=factset&amp;DYN_ARGS=TRUE&amp;DOC_NAME=FAT:FQL_AUDITING_CLIENT_TEMPLATE.FAT&amp;display_string=Audit&amp;VAR:KEY=DSDCXKBEHE&amp;VAR:QUERY=UkdGX1RBWF9SQVRFKEFOTiwwLCwsLCwsTk9BVURJVCk=&amp;WINDOW=FIRST_POPUP&amp;HEIGHT=450&amp;WIDTH=450&amp;","START_MAXIMIZED=FALSE&amp;VAR:CALENDAR=US&amp;VAR:SYMBOL=FDS&amp;VAR:INDEX=0"}</definedName>
    <definedName name="_2386__FDSAUDITLINK__" localSheetId="3" hidden="1">{"fdsup://directions/FAT Viewer?action=UPDATE&amp;creator=factset&amp;DYN_ARGS=TRUE&amp;DOC_NAME=FAT:FQL_AUDITING_CLIENT_TEMPLATE.FAT&amp;display_string=Audit&amp;VAR:KEY=DSDCXKBEHE&amp;VAR:QUERY=UkdGX1RBWF9SQVRFKEFOTiwwLCwsLCwsTk9BVURJVCk=&amp;WINDOW=FIRST_POPUP&amp;HEIGHT=450&amp;WIDTH=450&amp;","START_MAXIMIZED=FALSE&amp;VAR:CALENDAR=US&amp;VAR:SYMBOL=FDS&amp;VAR:INDEX=0"}</definedName>
    <definedName name="_2386__FDSAUDITLINK__" localSheetId="7" hidden="1">{"fdsup://directions/FAT Viewer?action=UPDATE&amp;creator=factset&amp;DYN_ARGS=TRUE&amp;DOC_NAME=FAT:FQL_AUDITING_CLIENT_TEMPLATE.FAT&amp;display_string=Audit&amp;VAR:KEY=DSDCXKBEHE&amp;VAR:QUERY=UkdGX1RBWF9SQVRFKEFOTiwwLCwsLCwsTk9BVURJVCk=&amp;WINDOW=FIRST_POPUP&amp;HEIGHT=450&amp;WIDTH=450&amp;","START_MAXIMIZED=FALSE&amp;VAR:CALENDAR=US&amp;VAR:SYMBOL=FDS&amp;VAR:INDEX=0"}</definedName>
    <definedName name="_2386__FDSAUDITLINK__" hidden="1">{"fdsup://directions/FAT Viewer?action=UPDATE&amp;creator=factset&amp;DYN_ARGS=TRUE&amp;DOC_NAME=FAT:FQL_AUDITING_CLIENT_TEMPLATE.FAT&amp;display_string=Audit&amp;VAR:KEY=DSDCXKBEHE&amp;VAR:QUERY=UkdGX1RBWF9SQVRFKEFOTiwwLCwsLCwsTk9BVURJVCk=&amp;WINDOW=FIRST_POPUP&amp;HEIGHT=450&amp;WIDTH=450&amp;","START_MAXIMIZED=FALSE&amp;VAR:CALENDAR=US&amp;VAR:SYMBOL=FDS&amp;VAR:INDEX=0"}</definedName>
    <definedName name="_2387__FDSAUDITLINK__" localSheetId="3" hidden="1">{"fdsup://directions/FAT Viewer?action=UPDATE&amp;creator=factset&amp;DYN_ARGS=TRUE&amp;DOC_NAME=FAT:FQL_AUDITING_CLIENT_TEMPLATE.FAT&amp;display_string=Audit&amp;VAR:KEY=LOFSPIDKTU&amp;VAR:QUERY=UkdGX1RBWF9SQVRFKEFOTiwwLCwsLCwsTk9BVURJVCk=&amp;WINDOW=FIRST_POPUP&amp;HEIGHT=450&amp;WIDTH=450&amp;","START_MAXIMIZED=FALSE&amp;VAR:CALENDAR=US&amp;VAR:SYMBOL=BLANK&amp;VAR:INDEX=0"}</definedName>
    <definedName name="_2387__FDSAUDITLINK__" localSheetId="7" hidden="1">{"fdsup://directions/FAT Viewer?action=UPDATE&amp;creator=factset&amp;DYN_ARGS=TRUE&amp;DOC_NAME=FAT:FQL_AUDITING_CLIENT_TEMPLATE.FAT&amp;display_string=Audit&amp;VAR:KEY=LOFSPIDKTU&amp;VAR:QUERY=UkdGX1RBWF9SQVRFKEFOTiwwLCwsLCwsTk9BVURJVCk=&amp;WINDOW=FIRST_POPUP&amp;HEIGHT=450&amp;WIDTH=450&amp;","START_MAXIMIZED=FALSE&amp;VAR:CALENDAR=US&amp;VAR:SYMBOL=BLANK&amp;VAR:INDEX=0"}</definedName>
    <definedName name="_2387__FDSAUDITLINK__" hidden="1">{"fdsup://directions/FAT Viewer?action=UPDATE&amp;creator=factset&amp;DYN_ARGS=TRUE&amp;DOC_NAME=FAT:FQL_AUDITING_CLIENT_TEMPLATE.FAT&amp;display_string=Audit&amp;VAR:KEY=LOFSPIDKTU&amp;VAR:QUERY=UkdGX1RBWF9SQVRFKEFOTiwwLCwsLCwsTk9BVURJVCk=&amp;WINDOW=FIRST_POPUP&amp;HEIGHT=450&amp;WIDTH=450&amp;","START_MAXIMIZED=FALSE&amp;VAR:CALENDAR=US&amp;VAR:SYMBOL=BLANK&amp;VAR:INDEX=0"}</definedName>
    <definedName name="_2388__FDSAUDITLINK__" localSheetId="3" hidden="1">{"fdsup://directions/FAT Viewer?action=UPDATE&amp;creator=factset&amp;DYN_ARGS=TRUE&amp;DOC_NAME=FAT:FQL_AUDITING_CLIENT_TEMPLATE.FAT&amp;display_string=Audit&amp;VAR:KEY=RULSLWLSPA&amp;VAR:QUERY=UkdGX1RBWF9SQVRFKEFOTiwwLCwsLCwsTk9BVURJVCk=&amp;WINDOW=FIRST_POPUP&amp;HEIGHT=450&amp;WIDTH=450&amp;","START_MAXIMIZED=FALSE&amp;VAR:CALENDAR=US&amp;VAR:SYMBOL=NTES&amp;VAR:INDEX=0"}</definedName>
    <definedName name="_2388__FDSAUDITLINK__" localSheetId="7" hidden="1">{"fdsup://directions/FAT Viewer?action=UPDATE&amp;creator=factset&amp;DYN_ARGS=TRUE&amp;DOC_NAME=FAT:FQL_AUDITING_CLIENT_TEMPLATE.FAT&amp;display_string=Audit&amp;VAR:KEY=RULSLWLSPA&amp;VAR:QUERY=UkdGX1RBWF9SQVRFKEFOTiwwLCwsLCwsTk9BVURJVCk=&amp;WINDOW=FIRST_POPUP&amp;HEIGHT=450&amp;WIDTH=450&amp;","START_MAXIMIZED=FALSE&amp;VAR:CALENDAR=US&amp;VAR:SYMBOL=NTES&amp;VAR:INDEX=0"}</definedName>
    <definedName name="_2388__FDSAUDITLINK__" hidden="1">{"fdsup://directions/FAT Viewer?action=UPDATE&amp;creator=factset&amp;DYN_ARGS=TRUE&amp;DOC_NAME=FAT:FQL_AUDITING_CLIENT_TEMPLATE.FAT&amp;display_string=Audit&amp;VAR:KEY=RULSLWLSPA&amp;VAR:QUERY=UkdGX1RBWF9SQVRFKEFOTiwwLCwsLCwsTk9BVURJVCk=&amp;WINDOW=FIRST_POPUP&amp;HEIGHT=450&amp;WIDTH=450&amp;","START_MAXIMIZED=FALSE&amp;VAR:CALENDAR=US&amp;VAR:SYMBOL=NTES&amp;VAR:INDEX=0"}</definedName>
    <definedName name="_2389__FDSAUDITLINK__" localSheetId="3" hidden="1">{"fdsup://directions/FAT Viewer?action=UPDATE&amp;creator=factset&amp;DYN_ARGS=TRUE&amp;DOC_NAME=FAT:FQL_AUDITING_CLIENT_TEMPLATE.FAT&amp;display_string=Audit&amp;VAR:KEY=RULSLWLSPA&amp;VAR:QUERY=UkdGX1RBWF9SQVRFKEFOTiwwLCwsLCwsTk9BVURJVCk=&amp;WINDOW=FIRST_POPUP&amp;HEIGHT=450&amp;WIDTH=450&amp;","START_MAXIMIZED=FALSE&amp;VAR:CALENDAR=US&amp;VAR:SYMBOL=NTES&amp;VAR:INDEX=0"}</definedName>
    <definedName name="_2389__FDSAUDITLINK__" localSheetId="7" hidden="1">{"fdsup://directions/FAT Viewer?action=UPDATE&amp;creator=factset&amp;DYN_ARGS=TRUE&amp;DOC_NAME=FAT:FQL_AUDITING_CLIENT_TEMPLATE.FAT&amp;display_string=Audit&amp;VAR:KEY=RULSLWLSPA&amp;VAR:QUERY=UkdGX1RBWF9SQVRFKEFOTiwwLCwsLCwsTk9BVURJVCk=&amp;WINDOW=FIRST_POPUP&amp;HEIGHT=450&amp;WIDTH=450&amp;","START_MAXIMIZED=FALSE&amp;VAR:CALENDAR=US&amp;VAR:SYMBOL=NTES&amp;VAR:INDEX=0"}</definedName>
    <definedName name="_2389__FDSAUDITLINK__" hidden="1">{"fdsup://directions/FAT Viewer?action=UPDATE&amp;creator=factset&amp;DYN_ARGS=TRUE&amp;DOC_NAME=FAT:FQL_AUDITING_CLIENT_TEMPLATE.FAT&amp;display_string=Audit&amp;VAR:KEY=RULSLWLSPA&amp;VAR:QUERY=UkdGX1RBWF9SQVRFKEFOTiwwLCwsLCwsTk9BVURJVCk=&amp;WINDOW=FIRST_POPUP&amp;HEIGHT=450&amp;WIDTH=450&amp;","START_MAXIMIZED=FALSE&amp;VAR:CALENDAR=US&amp;VAR:SYMBOL=NTES&amp;VAR:INDEX=0"}</definedName>
    <definedName name="_239__FDSAUDITLINK__" localSheetId="3" hidden="1">{"fdsup://directions/FAT Viewer?action=UPDATE&amp;creator=factset&amp;DYN_ARGS=TRUE&amp;DOC_NAME=FAT:FQL_AUDITING_CLIENT_TEMPLATE.FAT&amp;display_string=Audit&amp;VAR:KEY=OJIHOBCTIX&amp;VAR:QUERY=UCgwLC05LFksVVNEKSAvLyBGRl9CUFMoQU5OLDAsLTksWSxSUCxVU0QsTSk=&amp;WINDOW=FIRST_POPUP&amp;HEIGH","T=450&amp;WIDTH=450&amp;START_MAXIMIZED=FALSE&amp;VAR:CALENDAR=US&amp;VAR:SYMBOL=B10LQP&amp;VAR:INDEX=2"}</definedName>
    <definedName name="_239__FDSAUDITLINK__" localSheetId="7" hidden="1">{"fdsup://directions/FAT Viewer?action=UPDATE&amp;creator=factset&amp;DYN_ARGS=TRUE&amp;DOC_NAME=FAT:FQL_AUDITING_CLIENT_TEMPLATE.FAT&amp;display_string=Audit&amp;VAR:KEY=OJIHOBCTIX&amp;VAR:QUERY=UCgwLC05LFksVVNEKSAvLyBGRl9CUFMoQU5OLDAsLTksWSxSUCxVU0QsTSk=&amp;WINDOW=FIRST_POPUP&amp;HEIGH","T=450&amp;WIDTH=450&amp;START_MAXIMIZED=FALSE&amp;VAR:CALENDAR=US&amp;VAR:SYMBOL=B10LQP&amp;VAR:INDEX=2"}</definedName>
    <definedName name="_239__FDSAUDITLINK__" hidden="1">{"fdsup://directions/FAT Viewer?action=UPDATE&amp;creator=factset&amp;DYN_ARGS=TRUE&amp;DOC_NAME=FAT:FQL_AUDITING_CLIENT_TEMPLATE.FAT&amp;display_string=Audit&amp;VAR:KEY=OJIHOBCTIX&amp;VAR:QUERY=UCgwLC05LFksVVNEKSAvLyBGRl9CUFMoQU5OLDAsLTksWSxSUCxVU0QsTSk=&amp;WINDOW=FIRST_POPUP&amp;HEIGH","T=450&amp;WIDTH=450&amp;START_MAXIMIZED=FALSE&amp;VAR:CALENDAR=US&amp;VAR:SYMBOL=B10LQP&amp;VAR:INDEX=2"}</definedName>
    <definedName name="_2390__FDSAUDITLINK__" localSheetId="3" hidden="1">{"fdsup://directions/FAT Viewer?action=UPDATE&amp;creator=factset&amp;DYN_ARGS=TRUE&amp;DOC_NAME=FAT:FQL_AUDITING_CLIENT_TEMPLATE.FAT&amp;display_string=Audit&amp;VAR:KEY=BEVWZUTSVQ&amp;VAR:QUERY=UkdGX1RBWF9SQVRFKEFOTiwwLCwsLCwsTk9BVURJVCk=&amp;WINDOW=FIRST_POPUP&amp;HEIGHT=450&amp;WIDTH=450&amp;","START_MAXIMIZED=FALSE&amp;VAR:CALENDAR=US&amp;VAR:SYMBOL=YHOO&amp;VAR:INDEX=0"}</definedName>
    <definedName name="_2390__FDSAUDITLINK__" localSheetId="7" hidden="1">{"fdsup://directions/FAT Viewer?action=UPDATE&amp;creator=factset&amp;DYN_ARGS=TRUE&amp;DOC_NAME=FAT:FQL_AUDITING_CLIENT_TEMPLATE.FAT&amp;display_string=Audit&amp;VAR:KEY=BEVWZUTSVQ&amp;VAR:QUERY=UkdGX1RBWF9SQVRFKEFOTiwwLCwsLCwsTk9BVURJVCk=&amp;WINDOW=FIRST_POPUP&amp;HEIGHT=450&amp;WIDTH=450&amp;","START_MAXIMIZED=FALSE&amp;VAR:CALENDAR=US&amp;VAR:SYMBOL=YHOO&amp;VAR:INDEX=0"}</definedName>
    <definedName name="_2390__FDSAUDITLINK__" hidden="1">{"fdsup://directions/FAT Viewer?action=UPDATE&amp;creator=factset&amp;DYN_ARGS=TRUE&amp;DOC_NAME=FAT:FQL_AUDITING_CLIENT_TEMPLATE.FAT&amp;display_string=Audit&amp;VAR:KEY=BEVWZUTSVQ&amp;VAR:QUERY=UkdGX1RBWF9SQVRFKEFOTiwwLCwsLCwsTk9BVURJVCk=&amp;WINDOW=FIRST_POPUP&amp;HEIGHT=450&amp;WIDTH=450&amp;","START_MAXIMIZED=FALSE&amp;VAR:CALENDAR=US&amp;VAR:SYMBOL=YHOO&amp;VAR:INDEX=0"}</definedName>
    <definedName name="_2391__FDSAUDITLINK__" localSheetId="3" hidden="1">{"fdsup://directions/FAT Viewer?action=UPDATE&amp;creator=factset&amp;DYN_ARGS=TRUE&amp;DOC_NAME=FAT:FQL_AUDITING_CLIENT_TEMPLATE.FAT&amp;display_string=Audit&amp;VAR:KEY=BEVWZUTSVQ&amp;VAR:QUERY=UkdGX1RBWF9SQVRFKEFOTiwwLCwsLCwsTk9BVURJVCk=&amp;WINDOW=FIRST_POPUP&amp;HEIGHT=450&amp;WIDTH=450&amp;","START_MAXIMIZED=FALSE&amp;VAR:CALENDAR=US&amp;VAR:SYMBOL=YHOO&amp;VAR:INDEX=0"}</definedName>
    <definedName name="_2391__FDSAUDITLINK__" localSheetId="7" hidden="1">{"fdsup://directions/FAT Viewer?action=UPDATE&amp;creator=factset&amp;DYN_ARGS=TRUE&amp;DOC_NAME=FAT:FQL_AUDITING_CLIENT_TEMPLATE.FAT&amp;display_string=Audit&amp;VAR:KEY=BEVWZUTSVQ&amp;VAR:QUERY=UkdGX1RBWF9SQVRFKEFOTiwwLCwsLCwsTk9BVURJVCk=&amp;WINDOW=FIRST_POPUP&amp;HEIGHT=450&amp;WIDTH=450&amp;","START_MAXIMIZED=FALSE&amp;VAR:CALENDAR=US&amp;VAR:SYMBOL=YHOO&amp;VAR:INDEX=0"}</definedName>
    <definedName name="_2391__FDSAUDITLINK__" hidden="1">{"fdsup://directions/FAT Viewer?action=UPDATE&amp;creator=factset&amp;DYN_ARGS=TRUE&amp;DOC_NAME=FAT:FQL_AUDITING_CLIENT_TEMPLATE.FAT&amp;display_string=Audit&amp;VAR:KEY=BEVWZUTSVQ&amp;VAR:QUERY=UkdGX1RBWF9SQVRFKEFOTiwwLCwsLCwsTk9BVURJVCk=&amp;WINDOW=FIRST_POPUP&amp;HEIGHT=450&amp;WIDTH=450&amp;","START_MAXIMIZED=FALSE&amp;VAR:CALENDAR=US&amp;VAR:SYMBOL=YHOO&amp;VAR:INDEX=0"}</definedName>
    <definedName name="_2392__FDSAUDITLINK__" localSheetId="3" hidden="1">{"fdsup://directions/FAT Viewer?action=UPDATE&amp;creator=factset&amp;DYN_ARGS=TRUE&amp;DOC_NAME=FAT:FQL_AUDITING_CLIENT_TEMPLATE.FAT&amp;display_string=Audit&amp;VAR:KEY=DUJIFGTCHC&amp;VAR:QUERY=UkdGX1RBWF9SQVRFKEFOTiwwLCwsLCwsTk9BVURJVCk=&amp;WINDOW=FIRST_POPUP&amp;HEIGHT=450&amp;WIDTH=450&amp;","START_MAXIMIZED=FALSE&amp;VAR:CALENDAR=US&amp;VAR:SYMBOL=B3DMTY&amp;VAR:INDEX=0"}</definedName>
    <definedName name="_2392__FDSAUDITLINK__" localSheetId="7" hidden="1">{"fdsup://directions/FAT Viewer?action=UPDATE&amp;creator=factset&amp;DYN_ARGS=TRUE&amp;DOC_NAME=FAT:FQL_AUDITING_CLIENT_TEMPLATE.FAT&amp;display_string=Audit&amp;VAR:KEY=DUJIFGTCHC&amp;VAR:QUERY=UkdGX1RBWF9SQVRFKEFOTiwwLCwsLCwsTk9BVURJVCk=&amp;WINDOW=FIRST_POPUP&amp;HEIGHT=450&amp;WIDTH=450&amp;","START_MAXIMIZED=FALSE&amp;VAR:CALENDAR=US&amp;VAR:SYMBOL=B3DMTY&amp;VAR:INDEX=0"}</definedName>
    <definedName name="_2392__FDSAUDITLINK__" hidden="1">{"fdsup://directions/FAT Viewer?action=UPDATE&amp;creator=factset&amp;DYN_ARGS=TRUE&amp;DOC_NAME=FAT:FQL_AUDITING_CLIENT_TEMPLATE.FAT&amp;display_string=Audit&amp;VAR:KEY=DUJIFGTCHC&amp;VAR:QUERY=UkdGX1RBWF9SQVRFKEFOTiwwLCwsLCwsTk9BVURJVCk=&amp;WINDOW=FIRST_POPUP&amp;HEIGHT=450&amp;WIDTH=450&amp;","START_MAXIMIZED=FALSE&amp;VAR:CALENDAR=US&amp;VAR:SYMBOL=B3DMTY&amp;VAR:INDEX=0"}</definedName>
    <definedName name="_2393__FDSAUDITLINK__" localSheetId="3" hidden="1">{"fdsup://directions/FAT Viewer?action=UPDATE&amp;creator=factset&amp;DYN_ARGS=TRUE&amp;DOC_NAME=FAT:FQL_AUDITING_CLIENT_TEMPLATE.FAT&amp;display_string=Audit&amp;VAR:KEY=DUJIFGTCHC&amp;VAR:QUERY=UkdGX1RBWF9SQVRFKEFOTiwwLCwsLCwsTk9BVURJVCk=&amp;WINDOW=FIRST_POPUP&amp;HEIGHT=450&amp;WIDTH=450&amp;","START_MAXIMIZED=FALSE&amp;VAR:CALENDAR=US&amp;VAR:SYMBOL=B3DMTY&amp;VAR:INDEX=0"}</definedName>
    <definedName name="_2393__FDSAUDITLINK__" localSheetId="7" hidden="1">{"fdsup://directions/FAT Viewer?action=UPDATE&amp;creator=factset&amp;DYN_ARGS=TRUE&amp;DOC_NAME=FAT:FQL_AUDITING_CLIENT_TEMPLATE.FAT&amp;display_string=Audit&amp;VAR:KEY=DUJIFGTCHC&amp;VAR:QUERY=UkdGX1RBWF9SQVRFKEFOTiwwLCwsLCwsTk9BVURJVCk=&amp;WINDOW=FIRST_POPUP&amp;HEIGHT=450&amp;WIDTH=450&amp;","START_MAXIMIZED=FALSE&amp;VAR:CALENDAR=US&amp;VAR:SYMBOL=B3DMTY&amp;VAR:INDEX=0"}</definedName>
    <definedName name="_2393__FDSAUDITLINK__" hidden="1">{"fdsup://directions/FAT Viewer?action=UPDATE&amp;creator=factset&amp;DYN_ARGS=TRUE&amp;DOC_NAME=FAT:FQL_AUDITING_CLIENT_TEMPLATE.FAT&amp;display_string=Audit&amp;VAR:KEY=DUJIFGTCHC&amp;VAR:QUERY=UkdGX1RBWF9SQVRFKEFOTiwwLCwsLCwsTk9BVURJVCk=&amp;WINDOW=FIRST_POPUP&amp;HEIGHT=450&amp;WIDTH=450&amp;","START_MAXIMIZED=FALSE&amp;VAR:CALENDAR=US&amp;VAR:SYMBOL=B3DMTY&amp;VAR:INDEX=0"}</definedName>
    <definedName name="_2394__FDSAUDITLINK__" localSheetId="3" hidden="1">{"fdsup://directions/FAT Viewer?action=UPDATE&amp;creator=factset&amp;DYN_ARGS=TRUE&amp;DOC_NAME=FAT:FQL_AUDITING_CLIENT_TEMPLATE.FAT&amp;display_string=Audit&amp;VAR:KEY=PQLWXQJWZE&amp;VAR:QUERY=UkdGX1RBWF9SQVRFKEFOTiwwLCwsLCwsTk9BVURJVCk=&amp;WINDOW=FIRST_POPUP&amp;HEIGHT=450&amp;WIDTH=450&amp;","START_MAXIMIZED=FALSE&amp;VAR:CALENDAR=US&amp;VAR:SYMBOL=WSTM&amp;VAR:INDEX=0"}</definedName>
    <definedName name="_2394__FDSAUDITLINK__" localSheetId="7" hidden="1">{"fdsup://directions/FAT Viewer?action=UPDATE&amp;creator=factset&amp;DYN_ARGS=TRUE&amp;DOC_NAME=FAT:FQL_AUDITING_CLIENT_TEMPLATE.FAT&amp;display_string=Audit&amp;VAR:KEY=PQLWXQJWZE&amp;VAR:QUERY=UkdGX1RBWF9SQVRFKEFOTiwwLCwsLCwsTk9BVURJVCk=&amp;WINDOW=FIRST_POPUP&amp;HEIGHT=450&amp;WIDTH=450&amp;","START_MAXIMIZED=FALSE&amp;VAR:CALENDAR=US&amp;VAR:SYMBOL=WSTM&amp;VAR:INDEX=0"}</definedName>
    <definedName name="_2394__FDSAUDITLINK__" hidden="1">{"fdsup://directions/FAT Viewer?action=UPDATE&amp;creator=factset&amp;DYN_ARGS=TRUE&amp;DOC_NAME=FAT:FQL_AUDITING_CLIENT_TEMPLATE.FAT&amp;display_string=Audit&amp;VAR:KEY=PQLWXQJWZE&amp;VAR:QUERY=UkdGX1RBWF9SQVRFKEFOTiwwLCwsLCwsTk9BVURJVCk=&amp;WINDOW=FIRST_POPUP&amp;HEIGHT=450&amp;WIDTH=450&amp;","START_MAXIMIZED=FALSE&amp;VAR:CALENDAR=US&amp;VAR:SYMBOL=WSTM&amp;VAR:INDEX=0"}</definedName>
    <definedName name="_2395__FDSAUDITLINK__" localSheetId="3" hidden="1">{"fdsup://directions/FAT Viewer?action=UPDATE&amp;creator=factset&amp;DYN_ARGS=TRUE&amp;DOC_NAME=FAT:FQL_AUDITING_CLIENT_TEMPLATE.FAT&amp;display_string=Audit&amp;VAR:KEY=JMFWTEDQTO&amp;VAR:QUERY=UkdGX1RBWF9SQVRFKEFOTiwwLCwsLCwsTk9BVURJVCk=&amp;WINDOW=FIRST_POPUP&amp;HEIGHT=450&amp;WIDTH=450&amp;","START_MAXIMIZED=FALSE&amp;VAR:CALENDAR=US&amp;VAR:SYMBOL=WSPI&amp;VAR:INDEX=0"}</definedName>
    <definedName name="_2395__FDSAUDITLINK__" localSheetId="7" hidden="1">{"fdsup://directions/FAT Viewer?action=UPDATE&amp;creator=factset&amp;DYN_ARGS=TRUE&amp;DOC_NAME=FAT:FQL_AUDITING_CLIENT_TEMPLATE.FAT&amp;display_string=Audit&amp;VAR:KEY=JMFWTEDQTO&amp;VAR:QUERY=UkdGX1RBWF9SQVRFKEFOTiwwLCwsLCwsTk9BVURJVCk=&amp;WINDOW=FIRST_POPUP&amp;HEIGHT=450&amp;WIDTH=450&amp;","START_MAXIMIZED=FALSE&amp;VAR:CALENDAR=US&amp;VAR:SYMBOL=WSPI&amp;VAR:INDEX=0"}</definedName>
    <definedName name="_2395__FDSAUDITLINK__" hidden="1">{"fdsup://directions/FAT Viewer?action=UPDATE&amp;creator=factset&amp;DYN_ARGS=TRUE&amp;DOC_NAME=FAT:FQL_AUDITING_CLIENT_TEMPLATE.FAT&amp;display_string=Audit&amp;VAR:KEY=JMFWTEDQTO&amp;VAR:QUERY=UkdGX1RBWF9SQVRFKEFOTiwwLCwsLCwsTk9BVURJVCk=&amp;WINDOW=FIRST_POPUP&amp;HEIGHT=450&amp;WIDTH=450&amp;","START_MAXIMIZED=FALSE&amp;VAR:CALENDAR=US&amp;VAR:SYMBOL=WSPI&amp;VAR:INDEX=0"}</definedName>
    <definedName name="_2396__FDSAUDITLINK__" localSheetId="3" hidden="1">{"fdsup://directions/FAT Viewer?action=UPDATE&amp;creator=factset&amp;DYN_ARGS=TRUE&amp;DOC_NAME=FAT:FQL_AUDITING_CLIENT_TEMPLATE.FAT&amp;display_string=Audit&amp;VAR:KEY=TCXKBMJSLY&amp;VAR:QUERY=UkdGX1RBWF9SQVRFKEFOTiwwLCwsLCwsTk9BVURJVCk=&amp;WINDOW=FIRST_POPUP&amp;HEIGHT=450&amp;WIDTH=450&amp;","START_MAXIMIZED=FALSE&amp;VAR:CALENDAR=US&amp;VAR:SYMBOL=WBSN&amp;VAR:INDEX=0"}</definedName>
    <definedName name="_2396__FDSAUDITLINK__" localSheetId="7" hidden="1">{"fdsup://directions/FAT Viewer?action=UPDATE&amp;creator=factset&amp;DYN_ARGS=TRUE&amp;DOC_NAME=FAT:FQL_AUDITING_CLIENT_TEMPLATE.FAT&amp;display_string=Audit&amp;VAR:KEY=TCXKBMJSLY&amp;VAR:QUERY=UkdGX1RBWF9SQVRFKEFOTiwwLCwsLCwsTk9BVURJVCk=&amp;WINDOW=FIRST_POPUP&amp;HEIGHT=450&amp;WIDTH=450&amp;","START_MAXIMIZED=FALSE&amp;VAR:CALENDAR=US&amp;VAR:SYMBOL=WBSN&amp;VAR:INDEX=0"}</definedName>
    <definedName name="_2396__FDSAUDITLINK__" hidden="1">{"fdsup://directions/FAT Viewer?action=UPDATE&amp;creator=factset&amp;DYN_ARGS=TRUE&amp;DOC_NAME=FAT:FQL_AUDITING_CLIENT_TEMPLATE.FAT&amp;display_string=Audit&amp;VAR:KEY=TCXKBMJSLY&amp;VAR:QUERY=UkdGX1RBWF9SQVRFKEFOTiwwLCwsLCwsTk9BVURJVCk=&amp;WINDOW=FIRST_POPUP&amp;HEIGHT=450&amp;WIDTH=450&amp;","START_MAXIMIZED=FALSE&amp;VAR:CALENDAR=US&amp;VAR:SYMBOL=WBSN&amp;VAR:INDEX=0"}</definedName>
    <definedName name="_2397__FDSAUDITLINK__" localSheetId="3" hidden="1">{"fdsup://directions/FAT Viewer?action=UPDATE&amp;creator=factset&amp;DYN_ARGS=TRUE&amp;DOC_NAME=FAT:FQL_AUDITING_CLIENT_TEMPLATE.FAT&amp;display_string=Audit&amp;VAR:KEY=TCXKBMJSLY&amp;VAR:QUERY=UkdGX1RBWF9SQVRFKEFOTiwwLCwsLCwsTk9BVURJVCk=&amp;WINDOW=FIRST_POPUP&amp;HEIGHT=450&amp;WIDTH=450&amp;","START_MAXIMIZED=FALSE&amp;VAR:CALENDAR=US&amp;VAR:SYMBOL=WBSN&amp;VAR:INDEX=0"}</definedName>
    <definedName name="_2397__FDSAUDITLINK__" localSheetId="7" hidden="1">{"fdsup://directions/FAT Viewer?action=UPDATE&amp;creator=factset&amp;DYN_ARGS=TRUE&amp;DOC_NAME=FAT:FQL_AUDITING_CLIENT_TEMPLATE.FAT&amp;display_string=Audit&amp;VAR:KEY=TCXKBMJSLY&amp;VAR:QUERY=UkdGX1RBWF9SQVRFKEFOTiwwLCwsLCwsTk9BVURJVCk=&amp;WINDOW=FIRST_POPUP&amp;HEIGHT=450&amp;WIDTH=450&amp;","START_MAXIMIZED=FALSE&amp;VAR:CALENDAR=US&amp;VAR:SYMBOL=WBSN&amp;VAR:INDEX=0"}</definedName>
    <definedName name="_2397__FDSAUDITLINK__" hidden="1">{"fdsup://directions/FAT Viewer?action=UPDATE&amp;creator=factset&amp;DYN_ARGS=TRUE&amp;DOC_NAME=FAT:FQL_AUDITING_CLIENT_TEMPLATE.FAT&amp;display_string=Audit&amp;VAR:KEY=TCXKBMJSLY&amp;VAR:QUERY=UkdGX1RBWF9SQVRFKEFOTiwwLCwsLCwsTk9BVURJVCk=&amp;WINDOW=FIRST_POPUP&amp;HEIGHT=450&amp;WIDTH=450&amp;","START_MAXIMIZED=FALSE&amp;VAR:CALENDAR=US&amp;VAR:SYMBOL=WBSN&amp;VAR:INDEX=0"}</definedName>
    <definedName name="_2398__FDSAUDITLINK__" localSheetId="3" hidden="1">{"fdsup://directions/FAT Viewer?action=UPDATE&amp;creator=factset&amp;DYN_ARGS=TRUE&amp;DOC_NAME=FAT:FQL_AUDITING_CLIENT_TEMPLATE.FAT&amp;display_string=Audit&amp;VAR:KEY=HAFMROTURM&amp;VAR:QUERY=UkdGX1RBWF9SQVRFKEFOTiwwLCwsLCwsTk9BVURJVCk=&amp;WINDOW=FIRST_POPUP&amp;HEIGHT=450&amp;WIDTH=450&amp;","START_MAXIMIZED=FALSE&amp;VAR:CALENDAR=US&amp;VAR:SYMBOL=WBMD&amp;VAR:INDEX=0"}</definedName>
    <definedName name="_2398__FDSAUDITLINK__" localSheetId="7" hidden="1">{"fdsup://directions/FAT Viewer?action=UPDATE&amp;creator=factset&amp;DYN_ARGS=TRUE&amp;DOC_NAME=FAT:FQL_AUDITING_CLIENT_TEMPLATE.FAT&amp;display_string=Audit&amp;VAR:KEY=HAFMROTURM&amp;VAR:QUERY=UkdGX1RBWF9SQVRFKEFOTiwwLCwsLCwsTk9BVURJVCk=&amp;WINDOW=FIRST_POPUP&amp;HEIGHT=450&amp;WIDTH=450&amp;","START_MAXIMIZED=FALSE&amp;VAR:CALENDAR=US&amp;VAR:SYMBOL=WBMD&amp;VAR:INDEX=0"}</definedName>
    <definedName name="_2398__FDSAUDITLINK__" hidden="1">{"fdsup://directions/FAT Viewer?action=UPDATE&amp;creator=factset&amp;DYN_ARGS=TRUE&amp;DOC_NAME=FAT:FQL_AUDITING_CLIENT_TEMPLATE.FAT&amp;display_string=Audit&amp;VAR:KEY=HAFMROTURM&amp;VAR:QUERY=UkdGX1RBWF9SQVRFKEFOTiwwLCwsLCwsTk9BVURJVCk=&amp;WINDOW=FIRST_POPUP&amp;HEIGHT=450&amp;WIDTH=450&amp;","START_MAXIMIZED=FALSE&amp;VAR:CALENDAR=US&amp;VAR:SYMBOL=WBMD&amp;VAR:INDEX=0"}</definedName>
    <definedName name="_2399__FDSAUDITLINK__" localSheetId="3" hidden="1">{"fdsup://directions/FAT Viewer?action=UPDATE&amp;creator=factset&amp;DYN_ARGS=TRUE&amp;DOC_NAME=FAT:FQL_AUDITING_CLIENT_TEMPLATE.FAT&amp;display_string=Audit&amp;VAR:KEY=HAFMROTURM&amp;VAR:QUERY=UkdGX1RBWF9SQVRFKEFOTiwwLCwsLCwsTk9BVURJVCk=&amp;WINDOW=FIRST_POPUP&amp;HEIGHT=450&amp;WIDTH=450&amp;","START_MAXIMIZED=FALSE&amp;VAR:CALENDAR=US&amp;VAR:SYMBOL=WBMD&amp;VAR:INDEX=0"}</definedName>
    <definedName name="_2399__FDSAUDITLINK__" localSheetId="7" hidden="1">{"fdsup://directions/FAT Viewer?action=UPDATE&amp;creator=factset&amp;DYN_ARGS=TRUE&amp;DOC_NAME=FAT:FQL_AUDITING_CLIENT_TEMPLATE.FAT&amp;display_string=Audit&amp;VAR:KEY=HAFMROTURM&amp;VAR:QUERY=UkdGX1RBWF9SQVRFKEFOTiwwLCwsLCwsTk9BVURJVCk=&amp;WINDOW=FIRST_POPUP&amp;HEIGHT=450&amp;WIDTH=450&amp;","START_MAXIMIZED=FALSE&amp;VAR:CALENDAR=US&amp;VAR:SYMBOL=WBMD&amp;VAR:INDEX=0"}</definedName>
    <definedName name="_2399__FDSAUDITLINK__" hidden="1">{"fdsup://directions/FAT Viewer?action=UPDATE&amp;creator=factset&amp;DYN_ARGS=TRUE&amp;DOC_NAME=FAT:FQL_AUDITING_CLIENT_TEMPLATE.FAT&amp;display_string=Audit&amp;VAR:KEY=HAFMROTURM&amp;VAR:QUERY=UkdGX1RBWF9SQVRFKEFOTiwwLCwsLCwsTk9BVURJVCk=&amp;WINDOW=FIRST_POPUP&amp;HEIGHT=450&amp;WIDTH=450&amp;","START_MAXIMIZED=FALSE&amp;VAR:CALENDAR=US&amp;VAR:SYMBOL=WBMD&amp;VAR:INDEX=0"}</definedName>
    <definedName name="_24__FDSAUDITLINK__" localSheetId="3" hidden="1">{"fdsup://directions/FAT Viewer?action=UPDATE&amp;creator=factset&amp;DYN_ARGS=TRUE&amp;DOC_NAME=FAT:FQL_AUDITING_CLIENT_TEMPLATE.FAT&amp;display_string=Audit&amp;VAR:KEY=HKPOZUBURY&amp;VAR:QUERY=RkZfU0hTX0ZMT0FUKEFOTixOT1csLCwsLE0p&amp;WINDOW=FIRST_POPUP&amp;HEIGHT=450&amp;WIDTH=450&amp;START_MA","XIMIZED=FALSE&amp;VAR:CALENDAR=US&amp;VAR:SYMBOL=268236&amp;VAR:INDEX=0"}</definedName>
    <definedName name="_24__FDSAUDITLINK__" localSheetId="7" hidden="1">{"fdsup://directions/FAT Viewer?action=UPDATE&amp;creator=factset&amp;DYN_ARGS=TRUE&amp;DOC_NAME=FAT:FQL_AUDITING_CLIENT_TEMPLATE.FAT&amp;display_string=Audit&amp;VAR:KEY=HKPOZUBURY&amp;VAR:QUERY=RkZfU0hTX0ZMT0FUKEFOTixOT1csLCwsLE0p&amp;WINDOW=FIRST_POPUP&amp;HEIGHT=450&amp;WIDTH=450&amp;START_MA","XIMIZED=FALSE&amp;VAR:CALENDAR=US&amp;VAR:SYMBOL=268236&amp;VAR:INDEX=0"}</definedName>
    <definedName name="_24__FDSAUDITLINK__" hidden="1">{"fdsup://directions/FAT Viewer?action=UPDATE&amp;creator=factset&amp;DYN_ARGS=TRUE&amp;DOC_NAME=FAT:FQL_AUDITING_CLIENT_TEMPLATE.FAT&amp;display_string=Audit&amp;VAR:KEY=HKPOZUBURY&amp;VAR:QUERY=RkZfU0hTX0ZMT0FUKEFOTixOT1csLCwsLE0p&amp;WINDOW=FIRST_POPUP&amp;HEIGHT=450&amp;WIDTH=450&amp;START_MA","XIMIZED=FALSE&amp;VAR:CALENDAR=US&amp;VAR:SYMBOL=268236&amp;VAR:INDEX=0"}</definedName>
    <definedName name="_240__FDSAUDITLINK__" localSheetId="3" hidden="1">{"fdsup://directions/FAT Viewer?action=UPDATE&amp;creator=factset&amp;DYN_ARGS=TRUE&amp;DOC_NAME=FAT:FQL_AUDITING_CLIENT_TEMPLATE.FAT&amp;display_string=Audit&amp;VAR:KEY=FKXSRORONC&amp;VAR:QUERY=RkZfU0FMRVMoTFRNLDAsLCwsLE0p&amp;WINDOW=FIRST_POPUP&amp;HEIGHT=450&amp;WIDTH=450&amp;START_MAXIMIZED=","FALSE&amp;VAR:CALENDAR=US&amp;VAR:SYMBOL=B0W1X3&amp;VAR:INDEX=0"}</definedName>
    <definedName name="_240__FDSAUDITLINK__" localSheetId="7" hidden="1">{"fdsup://directions/FAT Viewer?action=UPDATE&amp;creator=factset&amp;DYN_ARGS=TRUE&amp;DOC_NAME=FAT:FQL_AUDITING_CLIENT_TEMPLATE.FAT&amp;display_string=Audit&amp;VAR:KEY=FKXSRORONC&amp;VAR:QUERY=RkZfU0FMRVMoTFRNLDAsLCwsLE0p&amp;WINDOW=FIRST_POPUP&amp;HEIGHT=450&amp;WIDTH=450&amp;START_MAXIMIZED=","FALSE&amp;VAR:CALENDAR=US&amp;VAR:SYMBOL=B0W1X3&amp;VAR:INDEX=0"}</definedName>
    <definedName name="_240__FDSAUDITLINK__" hidden="1">{"fdsup://directions/FAT Viewer?action=UPDATE&amp;creator=factset&amp;DYN_ARGS=TRUE&amp;DOC_NAME=FAT:FQL_AUDITING_CLIENT_TEMPLATE.FAT&amp;display_string=Audit&amp;VAR:KEY=FKXSRORONC&amp;VAR:QUERY=RkZfU0FMRVMoTFRNLDAsLCwsLE0p&amp;WINDOW=FIRST_POPUP&amp;HEIGHT=450&amp;WIDTH=450&amp;START_MAXIMIZED=","FALSE&amp;VAR:CALENDAR=US&amp;VAR:SYMBOL=B0W1X3&amp;VAR:INDEX=0"}</definedName>
    <definedName name="_2400__FDSAUDITLINK__" localSheetId="3" hidden="1">{"fdsup://directions/FAT Viewer?action=UPDATE&amp;creator=factset&amp;DYN_ARGS=TRUE&amp;DOC_NAME=FAT:FQL_AUDITING_CLIENT_TEMPLATE.FAT&amp;display_string=Audit&amp;VAR:KEY=RKHKBULMFE&amp;VAR:QUERY=UkdGX1RBWF9SQVRFKEFOTiwwLCwsLCwsTk9BVURJVCk=&amp;WINDOW=FIRST_POPUP&amp;HEIGHT=450&amp;WIDTH=450&amp;","START_MAXIMIZED=FALSE&amp;VAR:CALENDAR=US&amp;VAR:SYMBOL=VOLT&amp;VAR:INDEX=0"}</definedName>
    <definedName name="_2400__FDSAUDITLINK__" localSheetId="7" hidden="1">{"fdsup://directions/FAT Viewer?action=UPDATE&amp;creator=factset&amp;DYN_ARGS=TRUE&amp;DOC_NAME=FAT:FQL_AUDITING_CLIENT_TEMPLATE.FAT&amp;display_string=Audit&amp;VAR:KEY=RKHKBULMFE&amp;VAR:QUERY=UkdGX1RBWF9SQVRFKEFOTiwwLCwsLCwsTk9BVURJVCk=&amp;WINDOW=FIRST_POPUP&amp;HEIGHT=450&amp;WIDTH=450&amp;","START_MAXIMIZED=FALSE&amp;VAR:CALENDAR=US&amp;VAR:SYMBOL=VOLT&amp;VAR:INDEX=0"}</definedName>
    <definedName name="_2400__FDSAUDITLINK__" hidden="1">{"fdsup://directions/FAT Viewer?action=UPDATE&amp;creator=factset&amp;DYN_ARGS=TRUE&amp;DOC_NAME=FAT:FQL_AUDITING_CLIENT_TEMPLATE.FAT&amp;display_string=Audit&amp;VAR:KEY=RKHKBULMFE&amp;VAR:QUERY=UkdGX1RBWF9SQVRFKEFOTiwwLCwsLCwsTk9BVURJVCk=&amp;WINDOW=FIRST_POPUP&amp;HEIGHT=450&amp;WIDTH=450&amp;","START_MAXIMIZED=FALSE&amp;VAR:CALENDAR=US&amp;VAR:SYMBOL=VOLT&amp;VAR:INDEX=0"}</definedName>
    <definedName name="_2401__FDSAUDITLINK__" localSheetId="3" hidden="1">{"fdsup://directions/FAT Viewer?action=UPDATE&amp;creator=factset&amp;DYN_ARGS=TRUE&amp;DOC_NAME=FAT:FQL_AUDITING_CLIENT_TEMPLATE.FAT&amp;display_string=Audit&amp;VAR:KEY=PSXIVMLQFW&amp;VAR:QUERY=UkdGX1RBWF9SQVRFKEFOTiwwLCwsLCwsTk9BVURJVCk=&amp;WINDOW=FIRST_POPUP&amp;HEIGHT=450&amp;WIDTH=450&amp;","START_MAXIMIZED=FALSE&amp;VAR:CALENDAR=US&amp;VAR:SYMBOL=VOCS&amp;VAR:INDEX=0"}</definedName>
    <definedName name="_2401__FDSAUDITLINK__" localSheetId="7" hidden="1">{"fdsup://directions/FAT Viewer?action=UPDATE&amp;creator=factset&amp;DYN_ARGS=TRUE&amp;DOC_NAME=FAT:FQL_AUDITING_CLIENT_TEMPLATE.FAT&amp;display_string=Audit&amp;VAR:KEY=PSXIVMLQFW&amp;VAR:QUERY=UkdGX1RBWF9SQVRFKEFOTiwwLCwsLCwsTk9BVURJVCk=&amp;WINDOW=FIRST_POPUP&amp;HEIGHT=450&amp;WIDTH=450&amp;","START_MAXIMIZED=FALSE&amp;VAR:CALENDAR=US&amp;VAR:SYMBOL=VOCS&amp;VAR:INDEX=0"}</definedName>
    <definedName name="_2401__FDSAUDITLINK__" hidden="1">{"fdsup://directions/FAT Viewer?action=UPDATE&amp;creator=factset&amp;DYN_ARGS=TRUE&amp;DOC_NAME=FAT:FQL_AUDITING_CLIENT_TEMPLATE.FAT&amp;display_string=Audit&amp;VAR:KEY=PSXIVMLQFW&amp;VAR:QUERY=UkdGX1RBWF9SQVRFKEFOTiwwLCwsLCwsTk9BVURJVCk=&amp;WINDOW=FIRST_POPUP&amp;HEIGHT=450&amp;WIDTH=450&amp;","START_MAXIMIZED=FALSE&amp;VAR:CALENDAR=US&amp;VAR:SYMBOL=VOCS&amp;VAR:INDEX=0"}</definedName>
    <definedName name="_2402__FDSAUDITLINK__" localSheetId="3" hidden="1">{"fdsup://directions/FAT Viewer?action=UPDATE&amp;creator=factset&amp;DYN_ARGS=TRUE&amp;DOC_NAME=FAT:FQL_AUDITING_CLIENT_TEMPLATE.FAT&amp;display_string=Audit&amp;VAR:KEY=JGHIFGLALK&amp;VAR:QUERY=UkdGX1RBWF9SQVRFKEFOTiwwLCwsLCwsTk9BVURJVCk=&amp;WINDOW=FIRST_POPUP&amp;HEIGHT=450&amp;WIDTH=450&amp;","START_MAXIMIZED=FALSE&amp;VAR:CALENDAR=US&amp;VAR:SYMBOL=VMW&amp;VAR:INDEX=0"}</definedName>
    <definedName name="_2402__FDSAUDITLINK__" localSheetId="7" hidden="1">{"fdsup://directions/FAT Viewer?action=UPDATE&amp;creator=factset&amp;DYN_ARGS=TRUE&amp;DOC_NAME=FAT:FQL_AUDITING_CLIENT_TEMPLATE.FAT&amp;display_string=Audit&amp;VAR:KEY=JGHIFGLALK&amp;VAR:QUERY=UkdGX1RBWF9SQVRFKEFOTiwwLCwsLCwsTk9BVURJVCk=&amp;WINDOW=FIRST_POPUP&amp;HEIGHT=450&amp;WIDTH=450&amp;","START_MAXIMIZED=FALSE&amp;VAR:CALENDAR=US&amp;VAR:SYMBOL=VMW&amp;VAR:INDEX=0"}</definedName>
    <definedName name="_2402__FDSAUDITLINK__" hidden="1">{"fdsup://directions/FAT Viewer?action=UPDATE&amp;creator=factset&amp;DYN_ARGS=TRUE&amp;DOC_NAME=FAT:FQL_AUDITING_CLIENT_TEMPLATE.FAT&amp;display_string=Audit&amp;VAR:KEY=JGHIFGLALK&amp;VAR:QUERY=UkdGX1RBWF9SQVRFKEFOTiwwLCwsLCwsTk9BVURJVCk=&amp;WINDOW=FIRST_POPUP&amp;HEIGHT=450&amp;WIDTH=450&amp;","START_MAXIMIZED=FALSE&amp;VAR:CALENDAR=US&amp;VAR:SYMBOL=VMW&amp;VAR:INDEX=0"}</definedName>
    <definedName name="_2403__FDSAUDITLINK__" localSheetId="3" hidden="1">{"fdsup://directions/FAT Viewer?action=UPDATE&amp;creator=factset&amp;DYN_ARGS=TRUE&amp;DOC_NAME=FAT:FQL_AUDITING_CLIENT_TEMPLATE.FAT&amp;display_string=Audit&amp;VAR:KEY=JGHIFGLALK&amp;VAR:QUERY=UkdGX1RBWF9SQVRFKEFOTiwwLCwsLCwsTk9BVURJVCk=&amp;WINDOW=FIRST_POPUP&amp;HEIGHT=450&amp;WIDTH=450&amp;","START_MAXIMIZED=FALSE&amp;VAR:CALENDAR=US&amp;VAR:SYMBOL=VMW&amp;VAR:INDEX=0"}</definedName>
    <definedName name="_2403__FDSAUDITLINK__" localSheetId="7" hidden="1">{"fdsup://directions/FAT Viewer?action=UPDATE&amp;creator=factset&amp;DYN_ARGS=TRUE&amp;DOC_NAME=FAT:FQL_AUDITING_CLIENT_TEMPLATE.FAT&amp;display_string=Audit&amp;VAR:KEY=JGHIFGLALK&amp;VAR:QUERY=UkdGX1RBWF9SQVRFKEFOTiwwLCwsLCwsTk9BVURJVCk=&amp;WINDOW=FIRST_POPUP&amp;HEIGHT=450&amp;WIDTH=450&amp;","START_MAXIMIZED=FALSE&amp;VAR:CALENDAR=US&amp;VAR:SYMBOL=VMW&amp;VAR:INDEX=0"}</definedName>
    <definedName name="_2403__FDSAUDITLINK__" hidden="1">{"fdsup://directions/FAT Viewer?action=UPDATE&amp;creator=factset&amp;DYN_ARGS=TRUE&amp;DOC_NAME=FAT:FQL_AUDITING_CLIENT_TEMPLATE.FAT&amp;display_string=Audit&amp;VAR:KEY=JGHIFGLALK&amp;VAR:QUERY=UkdGX1RBWF9SQVRFKEFOTiwwLCwsLCwsTk9BVURJVCk=&amp;WINDOW=FIRST_POPUP&amp;HEIGHT=450&amp;WIDTH=450&amp;","START_MAXIMIZED=FALSE&amp;VAR:CALENDAR=US&amp;VAR:SYMBOL=VMW&amp;VAR:INDEX=0"}</definedName>
    <definedName name="_2404__FDSAUDITLINK__" localSheetId="3" hidden="1">{"fdsup://directions/FAT Viewer?action=UPDATE&amp;creator=factset&amp;DYN_ARGS=TRUE&amp;DOC_NAME=FAT:FQL_AUDITING_CLIENT_TEMPLATE.FAT&amp;display_string=Audit&amp;VAR:KEY=JALMDCVGZA&amp;VAR:QUERY=UkdGX1RBWF9SQVRFKEFOTiwwLCwsLCwsTk9BVURJVCk=&amp;WINDOW=FIRST_POPUP&amp;HEIGHT=450&amp;WIDTH=450&amp;","START_MAXIMIZED=FALSE&amp;VAR:CALENDAR=US&amp;VAR:SYMBOL=VRSN&amp;VAR:INDEX=0"}</definedName>
    <definedName name="_2404__FDSAUDITLINK__" localSheetId="7" hidden="1">{"fdsup://directions/FAT Viewer?action=UPDATE&amp;creator=factset&amp;DYN_ARGS=TRUE&amp;DOC_NAME=FAT:FQL_AUDITING_CLIENT_TEMPLATE.FAT&amp;display_string=Audit&amp;VAR:KEY=JALMDCVGZA&amp;VAR:QUERY=UkdGX1RBWF9SQVRFKEFOTiwwLCwsLCwsTk9BVURJVCk=&amp;WINDOW=FIRST_POPUP&amp;HEIGHT=450&amp;WIDTH=450&amp;","START_MAXIMIZED=FALSE&amp;VAR:CALENDAR=US&amp;VAR:SYMBOL=VRSN&amp;VAR:INDEX=0"}</definedName>
    <definedName name="_2404__FDSAUDITLINK__" hidden="1">{"fdsup://directions/FAT Viewer?action=UPDATE&amp;creator=factset&amp;DYN_ARGS=TRUE&amp;DOC_NAME=FAT:FQL_AUDITING_CLIENT_TEMPLATE.FAT&amp;display_string=Audit&amp;VAR:KEY=JALMDCVGZA&amp;VAR:QUERY=UkdGX1RBWF9SQVRFKEFOTiwwLCwsLCwsTk9BVURJVCk=&amp;WINDOW=FIRST_POPUP&amp;HEIGHT=450&amp;WIDTH=450&amp;","START_MAXIMIZED=FALSE&amp;VAR:CALENDAR=US&amp;VAR:SYMBOL=VRSN&amp;VAR:INDEX=0"}</definedName>
    <definedName name="_2405__FDSAUDITLINK__" localSheetId="3" hidden="1">{"fdsup://directions/FAT Viewer?action=UPDATE&amp;creator=factset&amp;DYN_ARGS=TRUE&amp;DOC_NAME=FAT:FQL_AUDITING_CLIENT_TEMPLATE.FAT&amp;display_string=Audit&amp;VAR:KEY=JALMDCVGZA&amp;VAR:QUERY=UkdGX1RBWF9SQVRFKEFOTiwwLCwsLCwsTk9BVURJVCk=&amp;WINDOW=FIRST_POPUP&amp;HEIGHT=450&amp;WIDTH=450&amp;","START_MAXIMIZED=FALSE&amp;VAR:CALENDAR=US&amp;VAR:SYMBOL=VRSN&amp;VAR:INDEX=0"}</definedName>
    <definedName name="_2405__FDSAUDITLINK__" localSheetId="7" hidden="1">{"fdsup://directions/FAT Viewer?action=UPDATE&amp;creator=factset&amp;DYN_ARGS=TRUE&amp;DOC_NAME=FAT:FQL_AUDITING_CLIENT_TEMPLATE.FAT&amp;display_string=Audit&amp;VAR:KEY=JALMDCVGZA&amp;VAR:QUERY=UkdGX1RBWF9SQVRFKEFOTiwwLCwsLCwsTk9BVURJVCk=&amp;WINDOW=FIRST_POPUP&amp;HEIGHT=450&amp;WIDTH=450&amp;","START_MAXIMIZED=FALSE&amp;VAR:CALENDAR=US&amp;VAR:SYMBOL=VRSN&amp;VAR:INDEX=0"}</definedName>
    <definedName name="_2405__FDSAUDITLINK__" hidden="1">{"fdsup://directions/FAT Viewer?action=UPDATE&amp;creator=factset&amp;DYN_ARGS=TRUE&amp;DOC_NAME=FAT:FQL_AUDITING_CLIENT_TEMPLATE.FAT&amp;display_string=Audit&amp;VAR:KEY=JALMDCVGZA&amp;VAR:QUERY=UkdGX1RBWF9SQVRFKEFOTiwwLCwsLCwsTk9BVURJVCk=&amp;WINDOW=FIRST_POPUP&amp;HEIGHT=450&amp;WIDTH=450&amp;","START_MAXIMIZED=FALSE&amp;VAR:CALENDAR=US&amp;VAR:SYMBOL=VRSN&amp;VAR:INDEX=0"}</definedName>
    <definedName name="_2406__FDSAUDITLINK__" localSheetId="3" hidden="1">{"fdsup://directions/FAT Viewer?action=UPDATE&amp;creator=factset&amp;DYN_ARGS=TRUE&amp;DOC_NAME=FAT:FQL_AUDITING_CLIENT_TEMPLATE.FAT&amp;display_string=Audit&amp;VAR:KEY=XWPCHWDOVC&amp;VAR:QUERY=UkdGX1RBWF9SQVRFKEFOTiwwLCwsLCwsTk9BVURJVCk=&amp;WINDOW=FIRST_POPUP&amp;HEIGHT=450&amp;WIDTH=450&amp;","START_MAXIMIZED=FALSE&amp;VAR:CALENDAR=US&amp;VAR:SYMBOL=VDSI&amp;VAR:INDEX=0"}</definedName>
    <definedName name="_2406__FDSAUDITLINK__" localSheetId="7" hidden="1">{"fdsup://directions/FAT Viewer?action=UPDATE&amp;creator=factset&amp;DYN_ARGS=TRUE&amp;DOC_NAME=FAT:FQL_AUDITING_CLIENT_TEMPLATE.FAT&amp;display_string=Audit&amp;VAR:KEY=XWPCHWDOVC&amp;VAR:QUERY=UkdGX1RBWF9SQVRFKEFOTiwwLCwsLCwsTk9BVURJVCk=&amp;WINDOW=FIRST_POPUP&amp;HEIGHT=450&amp;WIDTH=450&amp;","START_MAXIMIZED=FALSE&amp;VAR:CALENDAR=US&amp;VAR:SYMBOL=VDSI&amp;VAR:INDEX=0"}</definedName>
    <definedName name="_2406__FDSAUDITLINK__" hidden="1">{"fdsup://directions/FAT Viewer?action=UPDATE&amp;creator=factset&amp;DYN_ARGS=TRUE&amp;DOC_NAME=FAT:FQL_AUDITING_CLIENT_TEMPLATE.FAT&amp;display_string=Audit&amp;VAR:KEY=XWPCHWDOVC&amp;VAR:QUERY=UkdGX1RBWF9SQVRFKEFOTiwwLCwsLCwsTk9BVURJVCk=&amp;WINDOW=FIRST_POPUP&amp;HEIGHT=450&amp;WIDTH=450&amp;","START_MAXIMIZED=FALSE&amp;VAR:CALENDAR=US&amp;VAR:SYMBOL=VDSI&amp;VAR:INDEX=0"}</definedName>
    <definedName name="_2407__FDSAUDITLINK__" localSheetId="3" hidden="1">{"fdsup://directions/FAT Viewer?action=UPDATE&amp;creator=factset&amp;DYN_ARGS=TRUE&amp;DOC_NAME=FAT:FQL_AUDITING_CLIENT_TEMPLATE.FAT&amp;display_string=Audit&amp;VAR:KEY=XWPCHWDOVC&amp;VAR:QUERY=UkdGX1RBWF9SQVRFKEFOTiwwLCwsLCwsTk9BVURJVCk=&amp;WINDOW=FIRST_POPUP&amp;HEIGHT=450&amp;WIDTH=450&amp;","START_MAXIMIZED=FALSE&amp;VAR:CALENDAR=US&amp;VAR:SYMBOL=VDSI&amp;VAR:INDEX=0"}</definedName>
    <definedName name="_2407__FDSAUDITLINK__" localSheetId="7" hidden="1">{"fdsup://directions/FAT Viewer?action=UPDATE&amp;creator=factset&amp;DYN_ARGS=TRUE&amp;DOC_NAME=FAT:FQL_AUDITING_CLIENT_TEMPLATE.FAT&amp;display_string=Audit&amp;VAR:KEY=XWPCHWDOVC&amp;VAR:QUERY=UkdGX1RBWF9SQVRFKEFOTiwwLCwsLCwsTk9BVURJVCk=&amp;WINDOW=FIRST_POPUP&amp;HEIGHT=450&amp;WIDTH=450&amp;","START_MAXIMIZED=FALSE&amp;VAR:CALENDAR=US&amp;VAR:SYMBOL=VDSI&amp;VAR:INDEX=0"}</definedName>
    <definedName name="_2407__FDSAUDITLINK__" hidden="1">{"fdsup://directions/FAT Viewer?action=UPDATE&amp;creator=factset&amp;DYN_ARGS=TRUE&amp;DOC_NAME=FAT:FQL_AUDITING_CLIENT_TEMPLATE.FAT&amp;display_string=Audit&amp;VAR:KEY=XWPCHWDOVC&amp;VAR:QUERY=UkdGX1RBWF9SQVRFKEFOTiwwLCwsLCwsTk9BVURJVCk=&amp;WINDOW=FIRST_POPUP&amp;HEIGHT=450&amp;WIDTH=450&amp;","START_MAXIMIZED=FALSE&amp;VAR:CALENDAR=US&amp;VAR:SYMBOL=VDSI&amp;VAR:INDEX=0"}</definedName>
    <definedName name="_2408__FDSAUDITLINK__" localSheetId="3" hidden="1">{"fdsup://directions/FAT Viewer?action=UPDATE&amp;creator=factset&amp;DYN_ARGS=TRUE&amp;DOC_NAME=FAT:FQL_AUDITING_CLIENT_TEMPLATE.FAT&amp;display_string=Audit&amp;VAR:KEY=TYTONUTUTU&amp;VAR:QUERY=UkdGX1RBWF9SQVRFKEFOTiwwLCwsLCwsTk9BVURJVCk=&amp;WINDOW=FIRST_POPUP&amp;HEIGHT=450&amp;WIDTH=450&amp;","START_MAXIMIZED=FALSE&amp;VAR:CALENDAR=US&amp;VAR:SYMBOL=ULTI&amp;VAR:INDEX=0"}</definedName>
    <definedName name="_2408__FDSAUDITLINK__" localSheetId="7" hidden="1">{"fdsup://directions/FAT Viewer?action=UPDATE&amp;creator=factset&amp;DYN_ARGS=TRUE&amp;DOC_NAME=FAT:FQL_AUDITING_CLIENT_TEMPLATE.FAT&amp;display_string=Audit&amp;VAR:KEY=TYTONUTUTU&amp;VAR:QUERY=UkdGX1RBWF9SQVRFKEFOTiwwLCwsLCwsTk9BVURJVCk=&amp;WINDOW=FIRST_POPUP&amp;HEIGHT=450&amp;WIDTH=450&amp;","START_MAXIMIZED=FALSE&amp;VAR:CALENDAR=US&amp;VAR:SYMBOL=ULTI&amp;VAR:INDEX=0"}</definedName>
    <definedName name="_2408__FDSAUDITLINK__" hidden="1">{"fdsup://directions/FAT Viewer?action=UPDATE&amp;creator=factset&amp;DYN_ARGS=TRUE&amp;DOC_NAME=FAT:FQL_AUDITING_CLIENT_TEMPLATE.FAT&amp;display_string=Audit&amp;VAR:KEY=TYTONUTUTU&amp;VAR:QUERY=UkdGX1RBWF9SQVRFKEFOTiwwLCwsLCwsTk9BVURJVCk=&amp;WINDOW=FIRST_POPUP&amp;HEIGHT=450&amp;WIDTH=450&amp;","START_MAXIMIZED=FALSE&amp;VAR:CALENDAR=US&amp;VAR:SYMBOL=ULTI&amp;VAR:INDEX=0"}</definedName>
    <definedName name="_2409__FDSAUDITLINK__" localSheetId="3" hidden="1">{"fdsup://directions/FAT Viewer?action=UPDATE&amp;creator=factset&amp;DYN_ARGS=TRUE&amp;DOC_NAME=FAT:FQL_AUDITING_CLIENT_TEMPLATE.FAT&amp;display_string=Audit&amp;VAR:KEY=TYTONUTUTU&amp;VAR:QUERY=UkdGX1RBWF9SQVRFKEFOTiwwLCwsLCwsTk9BVURJVCk=&amp;WINDOW=FIRST_POPUP&amp;HEIGHT=450&amp;WIDTH=450&amp;","START_MAXIMIZED=FALSE&amp;VAR:CALENDAR=US&amp;VAR:SYMBOL=ULTI&amp;VAR:INDEX=0"}</definedName>
    <definedName name="_2409__FDSAUDITLINK__" localSheetId="7" hidden="1">{"fdsup://directions/FAT Viewer?action=UPDATE&amp;creator=factset&amp;DYN_ARGS=TRUE&amp;DOC_NAME=FAT:FQL_AUDITING_CLIENT_TEMPLATE.FAT&amp;display_string=Audit&amp;VAR:KEY=TYTONUTUTU&amp;VAR:QUERY=UkdGX1RBWF9SQVRFKEFOTiwwLCwsLCwsTk9BVURJVCk=&amp;WINDOW=FIRST_POPUP&amp;HEIGHT=450&amp;WIDTH=450&amp;","START_MAXIMIZED=FALSE&amp;VAR:CALENDAR=US&amp;VAR:SYMBOL=ULTI&amp;VAR:INDEX=0"}</definedName>
    <definedName name="_2409__FDSAUDITLINK__" hidden="1">{"fdsup://directions/FAT Viewer?action=UPDATE&amp;creator=factset&amp;DYN_ARGS=TRUE&amp;DOC_NAME=FAT:FQL_AUDITING_CLIENT_TEMPLATE.FAT&amp;display_string=Audit&amp;VAR:KEY=TYTONUTUTU&amp;VAR:QUERY=UkdGX1RBWF9SQVRFKEFOTiwwLCwsLCwsTk9BVURJVCk=&amp;WINDOW=FIRST_POPUP&amp;HEIGHT=450&amp;WIDTH=450&amp;","START_MAXIMIZED=FALSE&amp;VAR:CALENDAR=US&amp;VAR:SYMBOL=ULTI&amp;VAR:INDEX=0"}</definedName>
    <definedName name="_241__FDSAUDITLINK__" localSheetId="3" hidden="1">{"fdsup://directions/FAT Viewer?action=UPDATE&amp;creator=factset&amp;DYN_ARGS=TRUE&amp;DOC_NAME=FAT:FQL_AUDITING_CLIENT_TEMPLATE.FAT&amp;display_string=Audit&amp;VAR:KEY=CXIFYHQHOZ&amp;VAR:QUERY=RkZfRUJJVERBX09QRVIoTFRNLDAsLCwsLE0p&amp;WINDOW=FIRST_POPUP&amp;HEIGHT=450&amp;WIDTH=450&amp;START_MA","XIMIZED=FALSE&amp;VAR:CALENDAR=US&amp;VAR:SYMBOL=CLSC6-BR&amp;VAR:INDEX=0"}</definedName>
    <definedName name="_241__FDSAUDITLINK__" localSheetId="7" hidden="1">{"fdsup://directions/FAT Viewer?action=UPDATE&amp;creator=factset&amp;DYN_ARGS=TRUE&amp;DOC_NAME=FAT:FQL_AUDITING_CLIENT_TEMPLATE.FAT&amp;display_string=Audit&amp;VAR:KEY=CXIFYHQHOZ&amp;VAR:QUERY=RkZfRUJJVERBX09QRVIoTFRNLDAsLCwsLE0p&amp;WINDOW=FIRST_POPUP&amp;HEIGHT=450&amp;WIDTH=450&amp;START_MA","XIMIZED=FALSE&amp;VAR:CALENDAR=US&amp;VAR:SYMBOL=CLSC6-BR&amp;VAR:INDEX=0"}</definedName>
    <definedName name="_241__FDSAUDITLINK__" hidden="1">{"fdsup://directions/FAT Viewer?action=UPDATE&amp;creator=factset&amp;DYN_ARGS=TRUE&amp;DOC_NAME=FAT:FQL_AUDITING_CLIENT_TEMPLATE.FAT&amp;display_string=Audit&amp;VAR:KEY=CXIFYHQHOZ&amp;VAR:QUERY=RkZfRUJJVERBX09QRVIoTFRNLDAsLCwsLE0p&amp;WINDOW=FIRST_POPUP&amp;HEIGHT=450&amp;WIDTH=450&amp;START_MA","XIMIZED=FALSE&amp;VAR:CALENDAR=US&amp;VAR:SYMBOL=CLSC6-BR&amp;VAR:INDEX=0"}</definedName>
    <definedName name="_2410__FDSAUDITLINK__" localSheetId="3" hidden="1">{"fdsup://directions/FAT Viewer?action=UPDATE&amp;creator=factset&amp;DYN_ARGS=TRUE&amp;DOC_NAME=FAT:FQL_AUDITING_CLIENT_TEMPLATE.FAT&amp;display_string=Audit&amp;VAR:KEY=LAPKZILENS&amp;VAR:QUERY=UkdGX1RBWF9SQVRFKEFOTiwwLCwsLCwsTk9BVURJVCk=&amp;WINDOW=FIRST_POPUP&amp;HEIGHT=450&amp;WIDTH=450&amp;","START_MAXIMIZED=FALSE&amp;VAR:CALENDAR=US&amp;VAR:SYMBOL=TYPE&amp;VAR:INDEX=0"}</definedName>
    <definedName name="_2410__FDSAUDITLINK__" localSheetId="7" hidden="1">{"fdsup://directions/FAT Viewer?action=UPDATE&amp;creator=factset&amp;DYN_ARGS=TRUE&amp;DOC_NAME=FAT:FQL_AUDITING_CLIENT_TEMPLATE.FAT&amp;display_string=Audit&amp;VAR:KEY=LAPKZILENS&amp;VAR:QUERY=UkdGX1RBWF9SQVRFKEFOTiwwLCwsLCwsTk9BVURJVCk=&amp;WINDOW=FIRST_POPUP&amp;HEIGHT=450&amp;WIDTH=450&amp;","START_MAXIMIZED=FALSE&amp;VAR:CALENDAR=US&amp;VAR:SYMBOL=TYPE&amp;VAR:INDEX=0"}</definedName>
    <definedName name="_2410__FDSAUDITLINK__" hidden="1">{"fdsup://directions/FAT Viewer?action=UPDATE&amp;creator=factset&amp;DYN_ARGS=TRUE&amp;DOC_NAME=FAT:FQL_AUDITING_CLIENT_TEMPLATE.FAT&amp;display_string=Audit&amp;VAR:KEY=LAPKZILENS&amp;VAR:QUERY=UkdGX1RBWF9SQVRFKEFOTiwwLCwsLCwsTk9BVURJVCk=&amp;WINDOW=FIRST_POPUP&amp;HEIGHT=450&amp;WIDTH=450&amp;","START_MAXIMIZED=FALSE&amp;VAR:CALENDAR=US&amp;VAR:SYMBOL=TYPE&amp;VAR:INDEX=0"}</definedName>
    <definedName name="_2411__FDSAUDITLINK__" localSheetId="3" hidden="1">{"fdsup://directions/FAT Viewer?action=UPDATE&amp;creator=factset&amp;DYN_ARGS=TRUE&amp;DOC_NAME=FAT:FQL_AUDITING_CLIENT_TEMPLATE.FAT&amp;display_string=Audit&amp;VAR:KEY=LAPKZILENS&amp;VAR:QUERY=UkdGX1RBWF9SQVRFKEFOTiwwLCwsLCwsTk9BVURJVCk=&amp;WINDOW=FIRST_POPUP&amp;HEIGHT=450&amp;WIDTH=450&amp;","START_MAXIMIZED=FALSE&amp;VAR:CALENDAR=US&amp;VAR:SYMBOL=TYPE&amp;VAR:INDEX=0"}</definedName>
    <definedName name="_2411__FDSAUDITLINK__" localSheetId="7" hidden="1">{"fdsup://directions/FAT Viewer?action=UPDATE&amp;creator=factset&amp;DYN_ARGS=TRUE&amp;DOC_NAME=FAT:FQL_AUDITING_CLIENT_TEMPLATE.FAT&amp;display_string=Audit&amp;VAR:KEY=LAPKZILENS&amp;VAR:QUERY=UkdGX1RBWF9SQVRFKEFOTiwwLCwsLCwsTk9BVURJVCk=&amp;WINDOW=FIRST_POPUP&amp;HEIGHT=450&amp;WIDTH=450&amp;","START_MAXIMIZED=FALSE&amp;VAR:CALENDAR=US&amp;VAR:SYMBOL=TYPE&amp;VAR:INDEX=0"}</definedName>
    <definedName name="_2411__FDSAUDITLINK__" hidden="1">{"fdsup://directions/FAT Viewer?action=UPDATE&amp;creator=factset&amp;DYN_ARGS=TRUE&amp;DOC_NAME=FAT:FQL_AUDITING_CLIENT_TEMPLATE.FAT&amp;display_string=Audit&amp;VAR:KEY=LAPKZILENS&amp;VAR:QUERY=UkdGX1RBWF9SQVRFKEFOTiwwLCwsLCwsTk9BVURJVCk=&amp;WINDOW=FIRST_POPUP&amp;HEIGHT=450&amp;WIDTH=450&amp;","START_MAXIMIZED=FALSE&amp;VAR:CALENDAR=US&amp;VAR:SYMBOL=TYPE&amp;VAR:INDEX=0"}</definedName>
    <definedName name="_2412__FDSAUDITLINK__" localSheetId="3" hidden="1">{"fdsup://directions/FAT Viewer?action=UPDATE&amp;creator=factset&amp;DYN_ARGS=TRUE&amp;DOC_NAME=FAT:FQL_AUDITING_CLIENT_TEMPLATE.FAT&amp;display_string=Audit&amp;VAR:KEY=FCDCRELING&amp;VAR:QUERY=UkdGX1RBWF9SQVRFKEFOTiwwLCwsLCwsTk9BVURJVCk=&amp;WINDOW=FIRST_POPUP&amp;HEIGHT=450&amp;WIDTH=450&amp;","START_MAXIMIZED=FALSE&amp;VAR:CALENDAR=US&amp;VAR:SYMBOL=TYL&amp;VAR:INDEX=0"}</definedName>
    <definedName name="_2412__FDSAUDITLINK__" localSheetId="7" hidden="1">{"fdsup://directions/FAT Viewer?action=UPDATE&amp;creator=factset&amp;DYN_ARGS=TRUE&amp;DOC_NAME=FAT:FQL_AUDITING_CLIENT_TEMPLATE.FAT&amp;display_string=Audit&amp;VAR:KEY=FCDCRELING&amp;VAR:QUERY=UkdGX1RBWF9SQVRFKEFOTiwwLCwsLCwsTk9BVURJVCk=&amp;WINDOW=FIRST_POPUP&amp;HEIGHT=450&amp;WIDTH=450&amp;","START_MAXIMIZED=FALSE&amp;VAR:CALENDAR=US&amp;VAR:SYMBOL=TYL&amp;VAR:INDEX=0"}</definedName>
    <definedName name="_2412__FDSAUDITLINK__" hidden="1">{"fdsup://directions/FAT Viewer?action=UPDATE&amp;creator=factset&amp;DYN_ARGS=TRUE&amp;DOC_NAME=FAT:FQL_AUDITING_CLIENT_TEMPLATE.FAT&amp;display_string=Audit&amp;VAR:KEY=FCDCRELING&amp;VAR:QUERY=UkdGX1RBWF9SQVRFKEFOTiwwLCwsLCwsTk9BVURJVCk=&amp;WINDOW=FIRST_POPUP&amp;HEIGHT=450&amp;WIDTH=450&amp;","START_MAXIMIZED=FALSE&amp;VAR:CALENDAR=US&amp;VAR:SYMBOL=TYL&amp;VAR:INDEX=0"}</definedName>
    <definedName name="_2413__FDSAUDITLINK__" localSheetId="3" hidden="1">{"fdsup://directions/FAT Viewer?action=UPDATE&amp;creator=factset&amp;DYN_ARGS=TRUE&amp;DOC_NAME=FAT:FQL_AUDITING_CLIENT_TEMPLATE.FAT&amp;display_string=Audit&amp;VAR:KEY=FCDCRELING&amp;VAR:QUERY=UkdGX1RBWF9SQVRFKEFOTiwwLCwsLCwsTk9BVURJVCk=&amp;WINDOW=FIRST_POPUP&amp;HEIGHT=450&amp;WIDTH=450&amp;","START_MAXIMIZED=FALSE&amp;VAR:CALENDAR=US&amp;VAR:SYMBOL=TYL&amp;VAR:INDEX=0"}</definedName>
    <definedName name="_2413__FDSAUDITLINK__" localSheetId="7" hidden="1">{"fdsup://directions/FAT Viewer?action=UPDATE&amp;creator=factset&amp;DYN_ARGS=TRUE&amp;DOC_NAME=FAT:FQL_AUDITING_CLIENT_TEMPLATE.FAT&amp;display_string=Audit&amp;VAR:KEY=FCDCRELING&amp;VAR:QUERY=UkdGX1RBWF9SQVRFKEFOTiwwLCwsLCwsTk9BVURJVCk=&amp;WINDOW=FIRST_POPUP&amp;HEIGHT=450&amp;WIDTH=450&amp;","START_MAXIMIZED=FALSE&amp;VAR:CALENDAR=US&amp;VAR:SYMBOL=TYL&amp;VAR:INDEX=0"}</definedName>
    <definedName name="_2413__FDSAUDITLINK__" hidden="1">{"fdsup://directions/FAT Viewer?action=UPDATE&amp;creator=factset&amp;DYN_ARGS=TRUE&amp;DOC_NAME=FAT:FQL_AUDITING_CLIENT_TEMPLATE.FAT&amp;display_string=Audit&amp;VAR:KEY=FCDCRELING&amp;VAR:QUERY=UkdGX1RBWF9SQVRFKEFOTiwwLCwsLCwsTk9BVURJVCk=&amp;WINDOW=FIRST_POPUP&amp;HEIGHT=450&amp;WIDTH=450&amp;","START_MAXIMIZED=FALSE&amp;VAR:CALENDAR=US&amp;VAR:SYMBOL=TYL&amp;VAR:INDEX=0"}</definedName>
    <definedName name="_2414__FDSAUDITLINK__" localSheetId="3" hidden="1">{"fdsup://directions/FAT Viewer?action=UPDATE&amp;creator=factset&amp;DYN_ARGS=TRUE&amp;DOC_NAME=FAT:FQL_AUDITING_CLIENT_TEMPLATE.FAT&amp;display_string=Audit&amp;VAR:KEY=VQPSPEXKPM&amp;VAR:QUERY=UkdGX1RBWF9SQVRFKEFOTiwwLCwsLCwsTk9BVURJVCk=&amp;WINDOW=FIRST_POPUP&amp;HEIGHT=450&amp;WIDTH=450&amp;","START_MAXIMIZED=FALSE&amp;VAR:CALENDAR=US&amp;VAR:SYMBOL=612528&amp;VAR:INDEX=0"}</definedName>
    <definedName name="_2414__FDSAUDITLINK__" localSheetId="7" hidden="1">{"fdsup://directions/FAT Viewer?action=UPDATE&amp;creator=factset&amp;DYN_ARGS=TRUE&amp;DOC_NAME=FAT:FQL_AUDITING_CLIENT_TEMPLATE.FAT&amp;display_string=Audit&amp;VAR:KEY=VQPSPEXKPM&amp;VAR:QUERY=UkdGX1RBWF9SQVRFKEFOTiwwLCwsLCwsTk9BVURJVCk=&amp;WINDOW=FIRST_POPUP&amp;HEIGHT=450&amp;WIDTH=450&amp;","START_MAXIMIZED=FALSE&amp;VAR:CALENDAR=US&amp;VAR:SYMBOL=612528&amp;VAR:INDEX=0"}</definedName>
    <definedName name="_2414__FDSAUDITLINK__" hidden="1">{"fdsup://directions/FAT Viewer?action=UPDATE&amp;creator=factset&amp;DYN_ARGS=TRUE&amp;DOC_NAME=FAT:FQL_AUDITING_CLIENT_TEMPLATE.FAT&amp;display_string=Audit&amp;VAR:KEY=VQPSPEXKPM&amp;VAR:QUERY=UkdGX1RBWF9SQVRFKEFOTiwwLCwsLCwsTk9BVURJVCk=&amp;WINDOW=FIRST_POPUP&amp;HEIGHT=450&amp;WIDTH=450&amp;","START_MAXIMIZED=FALSE&amp;VAR:CALENDAR=US&amp;VAR:SYMBOL=612528&amp;VAR:INDEX=0"}</definedName>
    <definedName name="_2415__FDSAUDITLINK__" localSheetId="3" hidden="1">{"fdsup://directions/FAT Viewer?action=UPDATE&amp;creator=factset&amp;DYN_ARGS=TRUE&amp;DOC_NAME=FAT:FQL_AUDITING_CLIENT_TEMPLATE.FAT&amp;display_string=Audit&amp;VAR:KEY=VQPSPEXKPM&amp;VAR:QUERY=UkdGX1RBWF9SQVRFKEFOTiwwLCwsLCwsTk9BVURJVCk=&amp;WINDOW=FIRST_POPUP&amp;HEIGHT=450&amp;WIDTH=450&amp;","START_MAXIMIZED=FALSE&amp;VAR:CALENDAR=US&amp;VAR:SYMBOL=612528&amp;VAR:INDEX=0"}</definedName>
    <definedName name="_2415__FDSAUDITLINK__" localSheetId="7" hidden="1">{"fdsup://directions/FAT Viewer?action=UPDATE&amp;creator=factset&amp;DYN_ARGS=TRUE&amp;DOC_NAME=FAT:FQL_AUDITING_CLIENT_TEMPLATE.FAT&amp;display_string=Audit&amp;VAR:KEY=VQPSPEXKPM&amp;VAR:QUERY=UkdGX1RBWF9SQVRFKEFOTiwwLCwsLCwsTk9BVURJVCk=&amp;WINDOW=FIRST_POPUP&amp;HEIGHT=450&amp;WIDTH=450&amp;","START_MAXIMIZED=FALSE&amp;VAR:CALENDAR=US&amp;VAR:SYMBOL=612528&amp;VAR:INDEX=0"}</definedName>
    <definedName name="_2415__FDSAUDITLINK__" hidden="1">{"fdsup://directions/FAT Viewer?action=UPDATE&amp;creator=factset&amp;DYN_ARGS=TRUE&amp;DOC_NAME=FAT:FQL_AUDITING_CLIENT_TEMPLATE.FAT&amp;display_string=Audit&amp;VAR:KEY=VQPSPEXKPM&amp;VAR:QUERY=UkdGX1RBWF9SQVRFKEFOTiwwLCwsLCwsTk9BVURJVCk=&amp;WINDOW=FIRST_POPUP&amp;HEIGHT=450&amp;WIDTH=450&amp;","START_MAXIMIZED=FALSE&amp;VAR:CALENDAR=US&amp;VAR:SYMBOL=612528&amp;VAR:INDEX=0"}</definedName>
    <definedName name="_2416__FDSAUDITLINK__" localSheetId="3" hidden="1">{"fdsup://directions/FAT Viewer?action=UPDATE&amp;creator=factset&amp;DYN_ARGS=TRUE&amp;DOC_NAME=FAT:FQL_AUDITING_CLIENT_TEMPLATE.FAT&amp;display_string=Audit&amp;VAR:KEY=ZMFUVILAHY&amp;VAR:QUERY=UkdGX1RBWF9SQVRFKEFOTiwwLCwsLCwsTk9BVURJVCk=&amp;WINDOW=FIRST_POPUP&amp;HEIGHT=450&amp;WIDTH=450&amp;","START_MAXIMIZED=FALSE&amp;VAR:CALENDAR=US&amp;VAR:SYMBOL=B10LQP&amp;VAR:INDEX=0"}</definedName>
    <definedName name="_2416__FDSAUDITLINK__" localSheetId="7" hidden="1">{"fdsup://directions/FAT Viewer?action=UPDATE&amp;creator=factset&amp;DYN_ARGS=TRUE&amp;DOC_NAME=FAT:FQL_AUDITING_CLIENT_TEMPLATE.FAT&amp;display_string=Audit&amp;VAR:KEY=ZMFUVILAHY&amp;VAR:QUERY=UkdGX1RBWF9SQVRFKEFOTiwwLCwsLCwsTk9BVURJVCk=&amp;WINDOW=FIRST_POPUP&amp;HEIGHT=450&amp;WIDTH=450&amp;","START_MAXIMIZED=FALSE&amp;VAR:CALENDAR=US&amp;VAR:SYMBOL=B10LQP&amp;VAR:INDEX=0"}</definedName>
    <definedName name="_2416__FDSAUDITLINK__" hidden="1">{"fdsup://directions/FAT Viewer?action=UPDATE&amp;creator=factset&amp;DYN_ARGS=TRUE&amp;DOC_NAME=FAT:FQL_AUDITING_CLIENT_TEMPLATE.FAT&amp;display_string=Audit&amp;VAR:KEY=ZMFUVILAHY&amp;VAR:QUERY=UkdGX1RBWF9SQVRFKEFOTiwwLCwsLCwsTk9BVURJVCk=&amp;WINDOW=FIRST_POPUP&amp;HEIGHT=450&amp;WIDTH=450&amp;","START_MAXIMIZED=FALSE&amp;VAR:CALENDAR=US&amp;VAR:SYMBOL=B10LQP&amp;VAR:INDEX=0"}</definedName>
    <definedName name="_2417__FDSAUDITLINK__" localSheetId="3" hidden="1">{"fdsup://directions/FAT Viewer?action=UPDATE&amp;creator=factset&amp;DYN_ARGS=TRUE&amp;DOC_NAME=FAT:FQL_AUDITING_CLIENT_TEMPLATE.FAT&amp;display_string=Audit&amp;VAR:KEY=ZMFUVILAHY&amp;VAR:QUERY=UkdGX1RBWF9SQVRFKEFOTiwwLCwsLCwsTk9BVURJVCk=&amp;WINDOW=FIRST_POPUP&amp;HEIGHT=450&amp;WIDTH=450&amp;","START_MAXIMIZED=FALSE&amp;VAR:CALENDAR=US&amp;VAR:SYMBOL=B10LQP&amp;VAR:INDEX=0"}</definedName>
    <definedName name="_2417__FDSAUDITLINK__" localSheetId="7" hidden="1">{"fdsup://directions/FAT Viewer?action=UPDATE&amp;creator=factset&amp;DYN_ARGS=TRUE&amp;DOC_NAME=FAT:FQL_AUDITING_CLIENT_TEMPLATE.FAT&amp;display_string=Audit&amp;VAR:KEY=ZMFUVILAHY&amp;VAR:QUERY=UkdGX1RBWF9SQVRFKEFOTiwwLCwsLCwsTk9BVURJVCk=&amp;WINDOW=FIRST_POPUP&amp;HEIGHT=450&amp;WIDTH=450&amp;","START_MAXIMIZED=FALSE&amp;VAR:CALENDAR=US&amp;VAR:SYMBOL=B10LQP&amp;VAR:INDEX=0"}</definedName>
    <definedName name="_2417__FDSAUDITLINK__" hidden="1">{"fdsup://directions/FAT Viewer?action=UPDATE&amp;creator=factset&amp;DYN_ARGS=TRUE&amp;DOC_NAME=FAT:FQL_AUDITING_CLIENT_TEMPLATE.FAT&amp;display_string=Audit&amp;VAR:KEY=ZMFUVILAHY&amp;VAR:QUERY=UkdGX1RBWF9SQVRFKEFOTiwwLCwsLCwsTk9BVURJVCk=&amp;WINDOW=FIRST_POPUP&amp;HEIGHT=450&amp;WIDTH=450&amp;","START_MAXIMIZED=FALSE&amp;VAR:CALENDAR=US&amp;VAR:SYMBOL=B10LQP&amp;VAR:INDEX=0"}</definedName>
    <definedName name="_2418__FDSAUDITLINK__" localSheetId="3" hidden="1">{"fdsup://directions/FAT Viewer?action=UPDATE&amp;creator=factset&amp;DYN_ARGS=TRUE&amp;DOC_NAME=FAT:FQL_AUDITING_CLIENT_TEMPLATE.FAT&amp;display_string=Audit&amp;VAR:KEY=XWFMPKBQHW&amp;VAR:QUERY=UkdGX1RBWF9SQVRFKEFOTiwwLCwsLCwsTk9BVURJVCk=&amp;WINDOW=FIRST_POPUP&amp;HEIGHT=450&amp;WIDTH=450&amp;","START_MAXIMIZED=FALSE&amp;VAR:CALENDAR=US&amp;VAR:SYMBOL=TNS&amp;VAR:INDEX=0"}</definedName>
    <definedName name="_2418__FDSAUDITLINK__" localSheetId="7" hidden="1">{"fdsup://directions/FAT Viewer?action=UPDATE&amp;creator=factset&amp;DYN_ARGS=TRUE&amp;DOC_NAME=FAT:FQL_AUDITING_CLIENT_TEMPLATE.FAT&amp;display_string=Audit&amp;VAR:KEY=XWFMPKBQHW&amp;VAR:QUERY=UkdGX1RBWF9SQVRFKEFOTiwwLCwsLCwsTk9BVURJVCk=&amp;WINDOW=FIRST_POPUP&amp;HEIGHT=450&amp;WIDTH=450&amp;","START_MAXIMIZED=FALSE&amp;VAR:CALENDAR=US&amp;VAR:SYMBOL=TNS&amp;VAR:INDEX=0"}</definedName>
    <definedName name="_2418__FDSAUDITLINK__" hidden="1">{"fdsup://directions/FAT Viewer?action=UPDATE&amp;creator=factset&amp;DYN_ARGS=TRUE&amp;DOC_NAME=FAT:FQL_AUDITING_CLIENT_TEMPLATE.FAT&amp;display_string=Audit&amp;VAR:KEY=XWFMPKBQHW&amp;VAR:QUERY=UkdGX1RBWF9SQVRFKEFOTiwwLCwsLCwsTk9BVURJVCk=&amp;WINDOW=FIRST_POPUP&amp;HEIGHT=450&amp;WIDTH=450&amp;","START_MAXIMIZED=FALSE&amp;VAR:CALENDAR=US&amp;VAR:SYMBOL=TNS&amp;VAR:INDEX=0"}</definedName>
    <definedName name="_2419__FDSAUDITLINK__" localSheetId="3" hidden="1">{"fdsup://directions/FAT Viewer?action=UPDATE&amp;creator=factset&amp;DYN_ARGS=TRUE&amp;DOC_NAME=FAT:FQL_AUDITING_CLIENT_TEMPLATE.FAT&amp;display_string=Audit&amp;VAR:KEY=XWFMPKBQHW&amp;VAR:QUERY=UkdGX1RBWF9SQVRFKEFOTiwwLCwsLCwsTk9BVURJVCk=&amp;WINDOW=FIRST_POPUP&amp;HEIGHT=450&amp;WIDTH=450&amp;","START_MAXIMIZED=FALSE&amp;VAR:CALENDAR=US&amp;VAR:SYMBOL=TNS&amp;VAR:INDEX=0"}</definedName>
    <definedName name="_2419__FDSAUDITLINK__" localSheetId="7" hidden="1">{"fdsup://directions/FAT Viewer?action=UPDATE&amp;creator=factset&amp;DYN_ARGS=TRUE&amp;DOC_NAME=FAT:FQL_AUDITING_CLIENT_TEMPLATE.FAT&amp;display_string=Audit&amp;VAR:KEY=XWFMPKBQHW&amp;VAR:QUERY=UkdGX1RBWF9SQVRFKEFOTiwwLCwsLCwsTk9BVURJVCk=&amp;WINDOW=FIRST_POPUP&amp;HEIGHT=450&amp;WIDTH=450&amp;","START_MAXIMIZED=FALSE&amp;VAR:CALENDAR=US&amp;VAR:SYMBOL=TNS&amp;VAR:INDEX=0"}</definedName>
    <definedName name="_2419__FDSAUDITLINK__" hidden="1">{"fdsup://directions/FAT Viewer?action=UPDATE&amp;creator=factset&amp;DYN_ARGS=TRUE&amp;DOC_NAME=FAT:FQL_AUDITING_CLIENT_TEMPLATE.FAT&amp;display_string=Audit&amp;VAR:KEY=XWFMPKBQHW&amp;VAR:QUERY=UkdGX1RBWF9SQVRFKEFOTiwwLCwsLCwsTk9BVURJVCk=&amp;WINDOW=FIRST_POPUP&amp;HEIGHT=450&amp;WIDTH=450&amp;","START_MAXIMIZED=FALSE&amp;VAR:CALENDAR=US&amp;VAR:SYMBOL=TNS&amp;VAR:INDEX=0"}</definedName>
    <definedName name="_242__FDSAUDITLINK__" localSheetId="3" hidden="1">{"fdsup://directions/FAT Viewer?action=UPDATE&amp;creator=factset&amp;DYN_ARGS=TRUE&amp;DOC_NAME=FAT:FQL_AUDITING_CLIENT_TEMPLATE.FAT&amp;display_string=Audit&amp;VAR:KEY=JYTWVQNOTS&amp;VAR:QUERY=UCgwLC05LFksVVNEKSAvLyBGRl9TQUxFU19QUyhBTk4sMCwtOSxZLFJQLFVTRCxNKQ==&amp;WINDOW=FIRST_POP","UP&amp;HEIGHT=450&amp;WIDTH=450&amp;START_MAXIMIZED=FALSE&amp;VAR:CALENDAR=US&amp;VAR:SYMBOL=B10LQP&amp;VAR:INDEX=7"}</definedName>
    <definedName name="_242__FDSAUDITLINK__" localSheetId="7" hidden="1">{"fdsup://directions/FAT Viewer?action=UPDATE&amp;creator=factset&amp;DYN_ARGS=TRUE&amp;DOC_NAME=FAT:FQL_AUDITING_CLIENT_TEMPLATE.FAT&amp;display_string=Audit&amp;VAR:KEY=JYTWVQNOTS&amp;VAR:QUERY=UCgwLC05LFksVVNEKSAvLyBGRl9TQUxFU19QUyhBTk4sMCwtOSxZLFJQLFVTRCxNKQ==&amp;WINDOW=FIRST_POP","UP&amp;HEIGHT=450&amp;WIDTH=450&amp;START_MAXIMIZED=FALSE&amp;VAR:CALENDAR=US&amp;VAR:SYMBOL=B10LQP&amp;VAR:INDEX=7"}</definedName>
    <definedName name="_242__FDSAUDITLINK__" hidden="1">{"fdsup://directions/FAT Viewer?action=UPDATE&amp;creator=factset&amp;DYN_ARGS=TRUE&amp;DOC_NAME=FAT:FQL_AUDITING_CLIENT_TEMPLATE.FAT&amp;display_string=Audit&amp;VAR:KEY=JYTWVQNOTS&amp;VAR:QUERY=UCgwLC05LFksVVNEKSAvLyBGRl9TQUxFU19QUyhBTk4sMCwtOSxZLFJQLFVTRCxNKQ==&amp;WINDOW=FIRST_POP","UP&amp;HEIGHT=450&amp;WIDTH=450&amp;START_MAXIMIZED=FALSE&amp;VAR:CALENDAR=US&amp;VAR:SYMBOL=B10LQP&amp;VAR:INDEX=7"}</definedName>
    <definedName name="_2420__FDSAUDITLINK__" localSheetId="3" hidden="1">{"fdsup://directions/FAT Viewer?action=UPDATE&amp;creator=factset&amp;DYN_ARGS=TRUE&amp;DOC_NAME=FAT:FQL_AUDITING_CLIENT_TEMPLATE.FAT&amp;display_string=Audit&amp;VAR:KEY=HORIJCLQRO&amp;VAR:QUERY=UkdGX1RBWF9SQVRFKEFOTiwwLCwsLCwsTk9BVURJVCk=&amp;WINDOW=FIRST_POPUP&amp;HEIGHT=450&amp;WIDTH=450&amp;","START_MAXIMIZED=FALSE&amp;VAR:CALENDAR=US&amp;VAR:SYMBOL=TIBX&amp;VAR:INDEX=0"}</definedName>
    <definedName name="_2420__FDSAUDITLINK__" localSheetId="7" hidden="1">{"fdsup://directions/FAT Viewer?action=UPDATE&amp;creator=factset&amp;DYN_ARGS=TRUE&amp;DOC_NAME=FAT:FQL_AUDITING_CLIENT_TEMPLATE.FAT&amp;display_string=Audit&amp;VAR:KEY=HORIJCLQRO&amp;VAR:QUERY=UkdGX1RBWF9SQVRFKEFOTiwwLCwsLCwsTk9BVURJVCk=&amp;WINDOW=FIRST_POPUP&amp;HEIGHT=450&amp;WIDTH=450&amp;","START_MAXIMIZED=FALSE&amp;VAR:CALENDAR=US&amp;VAR:SYMBOL=TIBX&amp;VAR:INDEX=0"}</definedName>
    <definedName name="_2420__FDSAUDITLINK__" hidden="1">{"fdsup://directions/FAT Viewer?action=UPDATE&amp;creator=factset&amp;DYN_ARGS=TRUE&amp;DOC_NAME=FAT:FQL_AUDITING_CLIENT_TEMPLATE.FAT&amp;display_string=Audit&amp;VAR:KEY=HORIJCLQRO&amp;VAR:QUERY=UkdGX1RBWF9SQVRFKEFOTiwwLCwsLCwsTk9BVURJVCk=&amp;WINDOW=FIRST_POPUP&amp;HEIGHT=450&amp;WIDTH=450&amp;","START_MAXIMIZED=FALSE&amp;VAR:CALENDAR=US&amp;VAR:SYMBOL=TIBX&amp;VAR:INDEX=0"}</definedName>
    <definedName name="_2421__FDSAUDITLINK__" localSheetId="3" hidden="1">{"fdsup://directions/FAT Viewer?action=UPDATE&amp;creator=factset&amp;DYN_ARGS=TRUE&amp;DOC_NAME=FAT:FQL_AUDITING_CLIENT_TEMPLATE.FAT&amp;display_string=Audit&amp;VAR:KEY=HORIJCLQRO&amp;VAR:QUERY=UkdGX1RBWF9SQVRFKEFOTiwwLCwsLCwsTk9BVURJVCk=&amp;WINDOW=FIRST_POPUP&amp;HEIGHT=450&amp;WIDTH=450&amp;","START_MAXIMIZED=FALSE&amp;VAR:CALENDAR=US&amp;VAR:SYMBOL=TIBX&amp;VAR:INDEX=0"}</definedName>
    <definedName name="_2421__FDSAUDITLINK__" localSheetId="7" hidden="1">{"fdsup://directions/FAT Viewer?action=UPDATE&amp;creator=factset&amp;DYN_ARGS=TRUE&amp;DOC_NAME=FAT:FQL_AUDITING_CLIENT_TEMPLATE.FAT&amp;display_string=Audit&amp;VAR:KEY=HORIJCLQRO&amp;VAR:QUERY=UkdGX1RBWF9SQVRFKEFOTiwwLCwsLCwsTk9BVURJVCk=&amp;WINDOW=FIRST_POPUP&amp;HEIGHT=450&amp;WIDTH=450&amp;","START_MAXIMIZED=FALSE&amp;VAR:CALENDAR=US&amp;VAR:SYMBOL=TIBX&amp;VAR:INDEX=0"}</definedName>
    <definedName name="_2421__FDSAUDITLINK__" hidden="1">{"fdsup://directions/FAT Viewer?action=UPDATE&amp;creator=factset&amp;DYN_ARGS=TRUE&amp;DOC_NAME=FAT:FQL_AUDITING_CLIENT_TEMPLATE.FAT&amp;display_string=Audit&amp;VAR:KEY=HORIJCLQRO&amp;VAR:QUERY=UkdGX1RBWF9SQVRFKEFOTiwwLCwsLCwsTk9BVURJVCk=&amp;WINDOW=FIRST_POPUP&amp;HEIGHT=450&amp;WIDTH=450&amp;","START_MAXIMIZED=FALSE&amp;VAR:CALENDAR=US&amp;VAR:SYMBOL=TIBX&amp;VAR:INDEX=0"}</definedName>
    <definedName name="_2422__FDSAUDITLINK__" localSheetId="3" hidden="1">{"fdsup://directions/FAT Viewer?action=UPDATE&amp;creator=factset&amp;DYN_ARGS=TRUE&amp;DOC_NAME=FAT:FQL_AUDITING_CLIENT_TEMPLATE.FAT&amp;display_string=Audit&amp;VAR:KEY=FOJMXQBSHM&amp;VAR:QUERY=UkdGX1RBWF9SQVRFKEFOTiwwLCwsLCwsTk9BVURJVCk=&amp;WINDOW=FIRST_POPUP&amp;HEIGHT=450&amp;WIDTH=450&amp;","START_MAXIMIZED=FALSE&amp;VAR:CALENDAR=US&amp;VAR:SYMBOL=TDC&amp;VAR:INDEX=0"}</definedName>
    <definedName name="_2422__FDSAUDITLINK__" localSheetId="7" hidden="1">{"fdsup://directions/FAT Viewer?action=UPDATE&amp;creator=factset&amp;DYN_ARGS=TRUE&amp;DOC_NAME=FAT:FQL_AUDITING_CLIENT_TEMPLATE.FAT&amp;display_string=Audit&amp;VAR:KEY=FOJMXQBSHM&amp;VAR:QUERY=UkdGX1RBWF9SQVRFKEFOTiwwLCwsLCwsTk9BVURJVCk=&amp;WINDOW=FIRST_POPUP&amp;HEIGHT=450&amp;WIDTH=450&amp;","START_MAXIMIZED=FALSE&amp;VAR:CALENDAR=US&amp;VAR:SYMBOL=TDC&amp;VAR:INDEX=0"}</definedName>
    <definedName name="_2422__FDSAUDITLINK__" hidden="1">{"fdsup://directions/FAT Viewer?action=UPDATE&amp;creator=factset&amp;DYN_ARGS=TRUE&amp;DOC_NAME=FAT:FQL_AUDITING_CLIENT_TEMPLATE.FAT&amp;display_string=Audit&amp;VAR:KEY=FOJMXQBSHM&amp;VAR:QUERY=UkdGX1RBWF9SQVRFKEFOTiwwLCwsLCwsTk9BVURJVCk=&amp;WINDOW=FIRST_POPUP&amp;HEIGHT=450&amp;WIDTH=450&amp;","START_MAXIMIZED=FALSE&amp;VAR:CALENDAR=US&amp;VAR:SYMBOL=TDC&amp;VAR:INDEX=0"}</definedName>
    <definedName name="_2423__FDSAUDITLINK__" localSheetId="3" hidden="1">{"fdsup://directions/FAT Viewer?action=UPDATE&amp;creator=factset&amp;DYN_ARGS=TRUE&amp;DOC_NAME=FAT:FQL_AUDITING_CLIENT_TEMPLATE.FAT&amp;display_string=Audit&amp;VAR:KEY=FOJMXQBSHM&amp;VAR:QUERY=UkdGX1RBWF9SQVRFKEFOTiwwLCwsLCwsTk9BVURJVCk=&amp;WINDOW=FIRST_POPUP&amp;HEIGHT=450&amp;WIDTH=450&amp;","START_MAXIMIZED=FALSE&amp;VAR:CALENDAR=US&amp;VAR:SYMBOL=TDC&amp;VAR:INDEX=0"}</definedName>
    <definedName name="_2423__FDSAUDITLINK__" localSheetId="7" hidden="1">{"fdsup://directions/FAT Viewer?action=UPDATE&amp;creator=factset&amp;DYN_ARGS=TRUE&amp;DOC_NAME=FAT:FQL_AUDITING_CLIENT_TEMPLATE.FAT&amp;display_string=Audit&amp;VAR:KEY=FOJMXQBSHM&amp;VAR:QUERY=UkdGX1RBWF9SQVRFKEFOTiwwLCwsLCwsTk9BVURJVCk=&amp;WINDOW=FIRST_POPUP&amp;HEIGHT=450&amp;WIDTH=450&amp;","START_MAXIMIZED=FALSE&amp;VAR:CALENDAR=US&amp;VAR:SYMBOL=TDC&amp;VAR:INDEX=0"}</definedName>
    <definedName name="_2423__FDSAUDITLINK__" hidden="1">{"fdsup://directions/FAT Viewer?action=UPDATE&amp;creator=factset&amp;DYN_ARGS=TRUE&amp;DOC_NAME=FAT:FQL_AUDITING_CLIENT_TEMPLATE.FAT&amp;display_string=Audit&amp;VAR:KEY=FOJMXQBSHM&amp;VAR:QUERY=UkdGX1RBWF9SQVRFKEFOTiwwLCwsLCwsTk9BVURJVCk=&amp;WINDOW=FIRST_POPUP&amp;HEIGHT=450&amp;WIDTH=450&amp;","START_MAXIMIZED=FALSE&amp;VAR:CALENDAR=US&amp;VAR:SYMBOL=TDC&amp;VAR:INDEX=0"}</definedName>
    <definedName name="_2424__FDSAUDITLINK__" localSheetId="3" hidden="1">{"fdsup://directions/FAT Viewer?action=UPDATE&amp;creator=factset&amp;DYN_ARGS=TRUE&amp;DOC_NAME=FAT:FQL_AUDITING_CLIENT_TEMPLATE.FAT&amp;display_string=Audit&amp;VAR:KEY=ZKNORULAPK&amp;VAR:QUERY=UkdGX1RBWF9SQVRFKEFOTiwwLCwsLCwsTk9BVURJVCk=&amp;WINDOW=FIRST_POPUP&amp;HEIGHT=450&amp;WIDTH=450&amp;","START_MAXIMIZED=FALSE&amp;VAR:CALENDAR=US&amp;VAR:SYMBOL=597791&amp;VAR:INDEX=0"}</definedName>
    <definedName name="_2424__FDSAUDITLINK__" localSheetId="7" hidden="1">{"fdsup://directions/FAT Viewer?action=UPDATE&amp;creator=factset&amp;DYN_ARGS=TRUE&amp;DOC_NAME=FAT:FQL_AUDITING_CLIENT_TEMPLATE.FAT&amp;display_string=Audit&amp;VAR:KEY=ZKNORULAPK&amp;VAR:QUERY=UkdGX1RBWF9SQVRFKEFOTiwwLCwsLCwsTk9BVURJVCk=&amp;WINDOW=FIRST_POPUP&amp;HEIGHT=450&amp;WIDTH=450&amp;","START_MAXIMIZED=FALSE&amp;VAR:CALENDAR=US&amp;VAR:SYMBOL=597791&amp;VAR:INDEX=0"}</definedName>
    <definedName name="_2424__FDSAUDITLINK__" hidden="1">{"fdsup://directions/FAT Viewer?action=UPDATE&amp;creator=factset&amp;DYN_ARGS=TRUE&amp;DOC_NAME=FAT:FQL_AUDITING_CLIENT_TEMPLATE.FAT&amp;display_string=Audit&amp;VAR:KEY=ZKNORULAPK&amp;VAR:QUERY=UkdGX1RBWF9SQVRFKEFOTiwwLCwsLCwsTk9BVURJVCk=&amp;WINDOW=FIRST_POPUP&amp;HEIGHT=450&amp;WIDTH=450&amp;","START_MAXIMIZED=FALSE&amp;VAR:CALENDAR=US&amp;VAR:SYMBOL=597791&amp;VAR:INDEX=0"}</definedName>
    <definedName name="_2425__FDSAUDITLINK__" localSheetId="3" hidden="1">{"fdsup://directions/FAT Viewer?action=UPDATE&amp;creator=factset&amp;DYN_ARGS=TRUE&amp;DOC_NAME=FAT:FQL_AUDITING_CLIENT_TEMPLATE.FAT&amp;display_string=Audit&amp;VAR:KEY=ZKNORULAPK&amp;VAR:QUERY=UkdGX1RBWF9SQVRFKEFOTiwwLCwsLCwsTk9BVURJVCk=&amp;WINDOW=FIRST_POPUP&amp;HEIGHT=450&amp;WIDTH=450&amp;","START_MAXIMIZED=FALSE&amp;VAR:CALENDAR=US&amp;VAR:SYMBOL=597791&amp;VAR:INDEX=0"}</definedName>
    <definedName name="_2425__FDSAUDITLINK__" localSheetId="7" hidden="1">{"fdsup://directions/FAT Viewer?action=UPDATE&amp;creator=factset&amp;DYN_ARGS=TRUE&amp;DOC_NAME=FAT:FQL_AUDITING_CLIENT_TEMPLATE.FAT&amp;display_string=Audit&amp;VAR:KEY=ZKNORULAPK&amp;VAR:QUERY=UkdGX1RBWF9SQVRFKEFOTiwwLCwsLCwsTk9BVURJVCk=&amp;WINDOW=FIRST_POPUP&amp;HEIGHT=450&amp;WIDTH=450&amp;","START_MAXIMIZED=FALSE&amp;VAR:CALENDAR=US&amp;VAR:SYMBOL=597791&amp;VAR:INDEX=0"}</definedName>
    <definedName name="_2425__FDSAUDITLINK__" hidden="1">{"fdsup://directions/FAT Viewer?action=UPDATE&amp;creator=factset&amp;DYN_ARGS=TRUE&amp;DOC_NAME=FAT:FQL_AUDITING_CLIENT_TEMPLATE.FAT&amp;display_string=Audit&amp;VAR:KEY=ZKNORULAPK&amp;VAR:QUERY=UkdGX1RBWF9SQVRFKEFOTiwwLCwsLCwsTk9BVURJVCk=&amp;WINDOW=FIRST_POPUP&amp;HEIGHT=450&amp;WIDTH=450&amp;","START_MAXIMIZED=FALSE&amp;VAR:CALENDAR=US&amp;VAR:SYMBOL=597791&amp;VAR:INDEX=0"}</definedName>
    <definedName name="_2426__FDSAUDITLINK__" localSheetId="3" hidden="1">{"fdsup://directions/FAT Viewer?action=UPDATE&amp;creator=factset&amp;DYN_ARGS=TRUE&amp;DOC_NAME=FAT:FQL_AUDITING_CLIENT_TEMPLATE.FAT&amp;display_string=Audit&amp;VAR:KEY=RSJMBEBKNA&amp;VAR:QUERY=UkdGX1RBWF9SQVRFKEFOTiwwLCwsLCwsTk9BVURJVCk=&amp;WINDOW=FIRST_POPUP&amp;HEIGHT=450&amp;WIDTH=450&amp;","START_MAXIMIZED=FALSE&amp;VAR:CALENDAR=US&amp;VAR:SYMBOL=B01CT3&amp;VAR:INDEX=0"}</definedName>
    <definedName name="_2426__FDSAUDITLINK__" localSheetId="7" hidden="1">{"fdsup://directions/FAT Viewer?action=UPDATE&amp;creator=factset&amp;DYN_ARGS=TRUE&amp;DOC_NAME=FAT:FQL_AUDITING_CLIENT_TEMPLATE.FAT&amp;display_string=Audit&amp;VAR:KEY=RSJMBEBKNA&amp;VAR:QUERY=UkdGX1RBWF9SQVRFKEFOTiwwLCwsLCwsTk9BVURJVCk=&amp;WINDOW=FIRST_POPUP&amp;HEIGHT=450&amp;WIDTH=450&amp;","START_MAXIMIZED=FALSE&amp;VAR:CALENDAR=US&amp;VAR:SYMBOL=B01CT3&amp;VAR:INDEX=0"}</definedName>
    <definedName name="_2426__FDSAUDITLINK__" hidden="1">{"fdsup://directions/FAT Viewer?action=UPDATE&amp;creator=factset&amp;DYN_ARGS=TRUE&amp;DOC_NAME=FAT:FQL_AUDITING_CLIENT_TEMPLATE.FAT&amp;display_string=Audit&amp;VAR:KEY=RSJMBEBKNA&amp;VAR:QUERY=UkdGX1RBWF9SQVRFKEFOTiwwLCwsLCwsTk9BVURJVCk=&amp;WINDOW=FIRST_POPUP&amp;HEIGHT=450&amp;WIDTH=450&amp;","START_MAXIMIZED=FALSE&amp;VAR:CALENDAR=US&amp;VAR:SYMBOL=B01CT3&amp;VAR:INDEX=0"}</definedName>
    <definedName name="_2427__FDSAUDITLINK__" localSheetId="3" hidden="1">{"fdsup://directions/FAT Viewer?action=UPDATE&amp;creator=factset&amp;DYN_ARGS=TRUE&amp;DOC_NAME=FAT:FQL_AUDITING_CLIENT_TEMPLATE.FAT&amp;display_string=Audit&amp;VAR:KEY=RSJMBEBKNA&amp;VAR:QUERY=UkdGX1RBWF9SQVRFKEFOTiwwLCwsLCwsTk9BVURJVCk=&amp;WINDOW=FIRST_POPUP&amp;HEIGHT=450&amp;WIDTH=450&amp;","START_MAXIMIZED=FALSE&amp;VAR:CALENDAR=US&amp;VAR:SYMBOL=B01CT3&amp;VAR:INDEX=0"}</definedName>
    <definedName name="_2427__FDSAUDITLINK__" localSheetId="7" hidden="1">{"fdsup://directions/FAT Viewer?action=UPDATE&amp;creator=factset&amp;DYN_ARGS=TRUE&amp;DOC_NAME=FAT:FQL_AUDITING_CLIENT_TEMPLATE.FAT&amp;display_string=Audit&amp;VAR:KEY=RSJMBEBKNA&amp;VAR:QUERY=UkdGX1RBWF9SQVRFKEFOTiwwLCwsLCwsTk9BVURJVCk=&amp;WINDOW=FIRST_POPUP&amp;HEIGHT=450&amp;WIDTH=450&amp;","START_MAXIMIZED=FALSE&amp;VAR:CALENDAR=US&amp;VAR:SYMBOL=B01CT3&amp;VAR:INDEX=0"}</definedName>
    <definedName name="_2427__FDSAUDITLINK__" hidden="1">{"fdsup://directions/FAT Viewer?action=UPDATE&amp;creator=factset&amp;DYN_ARGS=TRUE&amp;DOC_NAME=FAT:FQL_AUDITING_CLIENT_TEMPLATE.FAT&amp;display_string=Audit&amp;VAR:KEY=RSJMBEBKNA&amp;VAR:QUERY=UkdGX1RBWF9SQVRFKEFOTiwwLCwsLCwsTk9BVURJVCk=&amp;WINDOW=FIRST_POPUP&amp;HEIGHT=450&amp;WIDTH=450&amp;","START_MAXIMIZED=FALSE&amp;VAR:CALENDAR=US&amp;VAR:SYMBOL=B01CT3&amp;VAR:INDEX=0"}</definedName>
    <definedName name="_2428__FDSAUDITLINK__" localSheetId="3" hidden="1">{"fdsup://directions/FAT Viewer?action=UPDATE&amp;creator=factset&amp;DYN_ARGS=TRUE&amp;DOC_NAME=FAT:FQL_AUDITING_CLIENT_TEMPLATE.FAT&amp;display_string=Audit&amp;VAR:KEY=ZOFENSXWFA&amp;VAR:QUERY=UkdGX1RBWF9SQVRFKEFOTiwwLCwsLCwsTk9BVURJVCk=&amp;WINDOW=FIRST_POPUP&amp;HEIGHT=450&amp;WIDTH=450&amp;","START_MAXIMIZED=FALSE&amp;VAR:CALENDAR=US&amp;VAR:SYMBOL=TNAV&amp;VAR:INDEX=0"}</definedName>
    <definedName name="_2428__FDSAUDITLINK__" localSheetId="7" hidden="1">{"fdsup://directions/FAT Viewer?action=UPDATE&amp;creator=factset&amp;DYN_ARGS=TRUE&amp;DOC_NAME=FAT:FQL_AUDITING_CLIENT_TEMPLATE.FAT&amp;display_string=Audit&amp;VAR:KEY=ZOFENSXWFA&amp;VAR:QUERY=UkdGX1RBWF9SQVRFKEFOTiwwLCwsLCwsTk9BVURJVCk=&amp;WINDOW=FIRST_POPUP&amp;HEIGHT=450&amp;WIDTH=450&amp;","START_MAXIMIZED=FALSE&amp;VAR:CALENDAR=US&amp;VAR:SYMBOL=TNAV&amp;VAR:INDEX=0"}</definedName>
    <definedName name="_2428__FDSAUDITLINK__" hidden="1">{"fdsup://directions/FAT Viewer?action=UPDATE&amp;creator=factset&amp;DYN_ARGS=TRUE&amp;DOC_NAME=FAT:FQL_AUDITING_CLIENT_TEMPLATE.FAT&amp;display_string=Audit&amp;VAR:KEY=ZOFENSXWFA&amp;VAR:QUERY=UkdGX1RBWF9SQVRFKEFOTiwwLCwsLCwsTk9BVURJVCk=&amp;WINDOW=FIRST_POPUP&amp;HEIGHT=450&amp;WIDTH=450&amp;","START_MAXIMIZED=FALSE&amp;VAR:CALENDAR=US&amp;VAR:SYMBOL=TNAV&amp;VAR:INDEX=0"}</definedName>
    <definedName name="_2429__FDSAUDITLINK__" localSheetId="3" hidden="1">{"fdsup://directions/FAT Viewer?action=UPDATE&amp;creator=factset&amp;DYN_ARGS=TRUE&amp;DOC_NAME=FAT:FQL_AUDITING_CLIENT_TEMPLATE.FAT&amp;display_string=Audit&amp;VAR:KEY=ZOFENSXWFA&amp;VAR:QUERY=UkdGX1RBWF9SQVRFKEFOTiwwLCwsLCwsTk9BVURJVCk=&amp;WINDOW=FIRST_POPUP&amp;HEIGHT=450&amp;WIDTH=450&amp;","START_MAXIMIZED=FALSE&amp;VAR:CALENDAR=US&amp;VAR:SYMBOL=TNAV&amp;VAR:INDEX=0"}</definedName>
    <definedName name="_2429__FDSAUDITLINK__" localSheetId="7" hidden="1">{"fdsup://directions/FAT Viewer?action=UPDATE&amp;creator=factset&amp;DYN_ARGS=TRUE&amp;DOC_NAME=FAT:FQL_AUDITING_CLIENT_TEMPLATE.FAT&amp;display_string=Audit&amp;VAR:KEY=ZOFENSXWFA&amp;VAR:QUERY=UkdGX1RBWF9SQVRFKEFOTiwwLCwsLCwsTk9BVURJVCk=&amp;WINDOW=FIRST_POPUP&amp;HEIGHT=450&amp;WIDTH=450&amp;","START_MAXIMIZED=FALSE&amp;VAR:CALENDAR=US&amp;VAR:SYMBOL=TNAV&amp;VAR:INDEX=0"}</definedName>
    <definedName name="_2429__FDSAUDITLINK__" hidden="1">{"fdsup://directions/FAT Viewer?action=UPDATE&amp;creator=factset&amp;DYN_ARGS=TRUE&amp;DOC_NAME=FAT:FQL_AUDITING_CLIENT_TEMPLATE.FAT&amp;display_string=Audit&amp;VAR:KEY=ZOFENSXWFA&amp;VAR:QUERY=UkdGX1RBWF9SQVRFKEFOTiwwLCwsLCwsTk9BVURJVCk=&amp;WINDOW=FIRST_POPUP&amp;HEIGHT=450&amp;WIDTH=450&amp;","START_MAXIMIZED=FALSE&amp;VAR:CALENDAR=US&amp;VAR:SYMBOL=TNAV&amp;VAR:INDEX=0"}</definedName>
    <definedName name="_243__FDSAUDITLINK__" localSheetId="3" hidden="1">{"fdsup://directions/FAT Viewer?action=UPDATE&amp;creator=factset&amp;DYN_ARGS=TRUE&amp;DOC_NAME=FAT:FQL_AUDITING_CLIENT_TEMPLATE.FAT&amp;display_string=Audit&amp;VAR:KEY=JYTWVQNOTS&amp;VAR:QUERY=UCgwLC05LFksVVNEKSAvLyBGRl9TQUxFU19QUyhBTk4sMCwtOSxZLFJQLFVTRCxNKQ==&amp;WINDOW=FIRST_POP","UP&amp;HEIGHT=450&amp;WIDTH=450&amp;START_MAXIMIZED=FALSE&amp;VAR:CALENDAR=US&amp;VAR:SYMBOL=B10LQP&amp;VAR:INDEX=6"}</definedName>
    <definedName name="_243__FDSAUDITLINK__" localSheetId="7" hidden="1">{"fdsup://directions/FAT Viewer?action=UPDATE&amp;creator=factset&amp;DYN_ARGS=TRUE&amp;DOC_NAME=FAT:FQL_AUDITING_CLIENT_TEMPLATE.FAT&amp;display_string=Audit&amp;VAR:KEY=JYTWVQNOTS&amp;VAR:QUERY=UCgwLC05LFksVVNEKSAvLyBGRl9TQUxFU19QUyhBTk4sMCwtOSxZLFJQLFVTRCxNKQ==&amp;WINDOW=FIRST_POP","UP&amp;HEIGHT=450&amp;WIDTH=450&amp;START_MAXIMIZED=FALSE&amp;VAR:CALENDAR=US&amp;VAR:SYMBOL=B10LQP&amp;VAR:INDEX=6"}</definedName>
    <definedName name="_243__FDSAUDITLINK__" hidden="1">{"fdsup://directions/FAT Viewer?action=UPDATE&amp;creator=factset&amp;DYN_ARGS=TRUE&amp;DOC_NAME=FAT:FQL_AUDITING_CLIENT_TEMPLATE.FAT&amp;display_string=Audit&amp;VAR:KEY=JYTWVQNOTS&amp;VAR:QUERY=UCgwLC05LFksVVNEKSAvLyBGRl9TQUxFU19QUyhBTk4sMCwtOSxZLFJQLFVTRCxNKQ==&amp;WINDOW=FIRST_POP","UP&amp;HEIGHT=450&amp;WIDTH=450&amp;START_MAXIMIZED=FALSE&amp;VAR:CALENDAR=US&amp;VAR:SYMBOL=B10LQP&amp;VAR:INDEX=6"}</definedName>
    <definedName name="_2430__FDSAUDITLINK__" localSheetId="3" hidden="1">{"fdsup://directions/FAT Viewer?action=UPDATE&amp;creator=factset&amp;DYN_ARGS=TRUE&amp;DOC_NAME=FAT:FQL_AUDITING_CLIENT_TEMPLATE.FAT&amp;display_string=Audit&amp;VAR:KEY=VIPSVMXYVU&amp;VAR:QUERY=UkdGX1RBWF9SQVRFKEFOTiwwLCwsLCwsTk9BVURJVCk=&amp;WINDOW=FIRST_POPUP&amp;HEIGHT=450&amp;WIDTH=450&amp;","START_MAXIMIZED=FALSE&amp;VAR:CALENDAR=US&amp;VAR:SYMBOL=TTGT&amp;VAR:INDEX=0"}</definedName>
    <definedName name="_2430__FDSAUDITLINK__" localSheetId="7" hidden="1">{"fdsup://directions/FAT Viewer?action=UPDATE&amp;creator=factset&amp;DYN_ARGS=TRUE&amp;DOC_NAME=FAT:FQL_AUDITING_CLIENT_TEMPLATE.FAT&amp;display_string=Audit&amp;VAR:KEY=VIPSVMXYVU&amp;VAR:QUERY=UkdGX1RBWF9SQVRFKEFOTiwwLCwsLCwsTk9BVURJVCk=&amp;WINDOW=FIRST_POPUP&amp;HEIGHT=450&amp;WIDTH=450&amp;","START_MAXIMIZED=FALSE&amp;VAR:CALENDAR=US&amp;VAR:SYMBOL=TTGT&amp;VAR:INDEX=0"}</definedName>
    <definedName name="_2430__FDSAUDITLINK__" hidden="1">{"fdsup://directions/FAT Viewer?action=UPDATE&amp;creator=factset&amp;DYN_ARGS=TRUE&amp;DOC_NAME=FAT:FQL_AUDITING_CLIENT_TEMPLATE.FAT&amp;display_string=Audit&amp;VAR:KEY=VIPSVMXYVU&amp;VAR:QUERY=UkdGX1RBWF9SQVRFKEFOTiwwLCwsLCwsTk9BVURJVCk=&amp;WINDOW=FIRST_POPUP&amp;HEIGHT=450&amp;WIDTH=450&amp;","START_MAXIMIZED=FALSE&amp;VAR:CALENDAR=US&amp;VAR:SYMBOL=TTGT&amp;VAR:INDEX=0"}</definedName>
    <definedName name="_2431__FDSAUDITLINK__" localSheetId="3" hidden="1">{"fdsup://directions/FAT Viewer?action=UPDATE&amp;creator=factset&amp;DYN_ARGS=TRUE&amp;DOC_NAME=FAT:FQL_AUDITING_CLIENT_TEMPLATE.FAT&amp;display_string=Audit&amp;VAR:KEY=VIPSVMXYVU&amp;VAR:QUERY=UkdGX1RBWF9SQVRFKEFOTiwwLCwsLCwsTk9BVURJVCk=&amp;WINDOW=FIRST_POPUP&amp;HEIGHT=450&amp;WIDTH=450&amp;","START_MAXIMIZED=FALSE&amp;VAR:CALENDAR=US&amp;VAR:SYMBOL=TTGT&amp;VAR:INDEX=0"}</definedName>
    <definedName name="_2431__FDSAUDITLINK__" localSheetId="7" hidden="1">{"fdsup://directions/FAT Viewer?action=UPDATE&amp;creator=factset&amp;DYN_ARGS=TRUE&amp;DOC_NAME=FAT:FQL_AUDITING_CLIENT_TEMPLATE.FAT&amp;display_string=Audit&amp;VAR:KEY=VIPSVMXYVU&amp;VAR:QUERY=UkdGX1RBWF9SQVRFKEFOTiwwLCwsLCwsTk9BVURJVCk=&amp;WINDOW=FIRST_POPUP&amp;HEIGHT=450&amp;WIDTH=450&amp;","START_MAXIMIZED=FALSE&amp;VAR:CALENDAR=US&amp;VAR:SYMBOL=TTGT&amp;VAR:INDEX=0"}</definedName>
    <definedName name="_2431__FDSAUDITLINK__" hidden="1">{"fdsup://directions/FAT Viewer?action=UPDATE&amp;creator=factset&amp;DYN_ARGS=TRUE&amp;DOC_NAME=FAT:FQL_AUDITING_CLIENT_TEMPLATE.FAT&amp;display_string=Audit&amp;VAR:KEY=VIPSVMXYVU&amp;VAR:QUERY=UkdGX1RBWF9SQVRFKEFOTiwwLCwsLCwsTk9BVURJVCk=&amp;WINDOW=FIRST_POPUP&amp;HEIGHT=450&amp;WIDTH=450&amp;","START_MAXIMIZED=FALSE&amp;VAR:CALENDAR=US&amp;VAR:SYMBOL=TTGT&amp;VAR:INDEX=0"}</definedName>
    <definedName name="_2432__FDSAUDITLINK__" localSheetId="3" hidden="1">{"fdsup://directions/FAT Viewer?action=UPDATE&amp;creator=factset&amp;DYN_ARGS=TRUE&amp;DOC_NAME=FAT:FQL_AUDITING_CLIENT_TEMPLATE.FAT&amp;display_string=Audit&amp;VAR:KEY=PMHKVAZOPA&amp;VAR:QUERY=UkdGX1RBWF9SQVRFKEFOTiwwLCwsLCwsTk9BVURJVCk=&amp;WINDOW=FIRST_POPUP&amp;HEIGHT=450&amp;WIDTH=450&amp;","START_MAXIMIZED=FALSE&amp;VAR:CALENDAR=US&amp;VAR:SYMBOL=TLEO&amp;VAR:INDEX=0"}</definedName>
    <definedName name="_2432__FDSAUDITLINK__" localSheetId="7" hidden="1">{"fdsup://directions/FAT Viewer?action=UPDATE&amp;creator=factset&amp;DYN_ARGS=TRUE&amp;DOC_NAME=FAT:FQL_AUDITING_CLIENT_TEMPLATE.FAT&amp;display_string=Audit&amp;VAR:KEY=PMHKVAZOPA&amp;VAR:QUERY=UkdGX1RBWF9SQVRFKEFOTiwwLCwsLCwsTk9BVURJVCk=&amp;WINDOW=FIRST_POPUP&amp;HEIGHT=450&amp;WIDTH=450&amp;","START_MAXIMIZED=FALSE&amp;VAR:CALENDAR=US&amp;VAR:SYMBOL=TLEO&amp;VAR:INDEX=0"}</definedName>
    <definedName name="_2432__FDSAUDITLINK__" hidden="1">{"fdsup://directions/FAT Viewer?action=UPDATE&amp;creator=factset&amp;DYN_ARGS=TRUE&amp;DOC_NAME=FAT:FQL_AUDITING_CLIENT_TEMPLATE.FAT&amp;display_string=Audit&amp;VAR:KEY=PMHKVAZOPA&amp;VAR:QUERY=UkdGX1RBWF9SQVRFKEFOTiwwLCwsLCwsTk9BVURJVCk=&amp;WINDOW=FIRST_POPUP&amp;HEIGHT=450&amp;WIDTH=450&amp;","START_MAXIMIZED=FALSE&amp;VAR:CALENDAR=US&amp;VAR:SYMBOL=TLEO&amp;VAR:INDEX=0"}</definedName>
    <definedName name="_2433__FDSAUDITLINK__" localSheetId="3" hidden="1">{"fdsup://directions/FAT Viewer?action=UPDATE&amp;creator=factset&amp;DYN_ARGS=TRUE&amp;DOC_NAME=FAT:FQL_AUDITING_CLIENT_TEMPLATE.FAT&amp;display_string=Audit&amp;VAR:KEY=HKVGPWDETK&amp;VAR:QUERY=UkdGX1RBWF9SQVRFKEFOTiwwLCwsLCwsTk9BVURJVCk=&amp;WINDOW=FIRST_POPUP&amp;HEIGHT=450&amp;WIDTH=450&amp;","START_MAXIMIZED=FALSE&amp;VAR:CALENDAR=US&amp;VAR:SYMBOL=SNPS&amp;VAR:INDEX=0"}</definedName>
    <definedName name="_2433__FDSAUDITLINK__" localSheetId="7" hidden="1">{"fdsup://directions/FAT Viewer?action=UPDATE&amp;creator=factset&amp;DYN_ARGS=TRUE&amp;DOC_NAME=FAT:FQL_AUDITING_CLIENT_TEMPLATE.FAT&amp;display_string=Audit&amp;VAR:KEY=HKVGPWDETK&amp;VAR:QUERY=UkdGX1RBWF9SQVRFKEFOTiwwLCwsLCwsTk9BVURJVCk=&amp;WINDOW=FIRST_POPUP&amp;HEIGHT=450&amp;WIDTH=450&amp;","START_MAXIMIZED=FALSE&amp;VAR:CALENDAR=US&amp;VAR:SYMBOL=SNPS&amp;VAR:INDEX=0"}</definedName>
    <definedName name="_2433__FDSAUDITLINK__" hidden="1">{"fdsup://directions/FAT Viewer?action=UPDATE&amp;creator=factset&amp;DYN_ARGS=TRUE&amp;DOC_NAME=FAT:FQL_AUDITING_CLIENT_TEMPLATE.FAT&amp;display_string=Audit&amp;VAR:KEY=HKVGPWDETK&amp;VAR:QUERY=UkdGX1RBWF9SQVRFKEFOTiwwLCwsLCwsTk9BVURJVCk=&amp;WINDOW=FIRST_POPUP&amp;HEIGHT=450&amp;WIDTH=450&amp;","START_MAXIMIZED=FALSE&amp;VAR:CALENDAR=US&amp;VAR:SYMBOL=SNPS&amp;VAR:INDEX=0"}</definedName>
    <definedName name="_2434__FDSAUDITLINK__" localSheetId="3" hidden="1">{"fdsup://directions/FAT Viewer?action=UPDATE&amp;creator=factset&amp;DYN_ARGS=TRUE&amp;DOC_NAME=FAT:FQL_AUDITING_CLIENT_TEMPLATE.FAT&amp;display_string=Audit&amp;VAR:KEY=HKVGPWDETK&amp;VAR:QUERY=UkdGX1RBWF9SQVRFKEFOTiwwLCwsLCwsTk9BVURJVCk=&amp;WINDOW=FIRST_POPUP&amp;HEIGHT=450&amp;WIDTH=450&amp;","START_MAXIMIZED=FALSE&amp;VAR:CALENDAR=US&amp;VAR:SYMBOL=SNPS&amp;VAR:INDEX=0"}</definedName>
    <definedName name="_2434__FDSAUDITLINK__" localSheetId="7" hidden="1">{"fdsup://directions/FAT Viewer?action=UPDATE&amp;creator=factset&amp;DYN_ARGS=TRUE&amp;DOC_NAME=FAT:FQL_AUDITING_CLIENT_TEMPLATE.FAT&amp;display_string=Audit&amp;VAR:KEY=HKVGPWDETK&amp;VAR:QUERY=UkdGX1RBWF9SQVRFKEFOTiwwLCwsLCwsTk9BVURJVCk=&amp;WINDOW=FIRST_POPUP&amp;HEIGHT=450&amp;WIDTH=450&amp;","START_MAXIMIZED=FALSE&amp;VAR:CALENDAR=US&amp;VAR:SYMBOL=SNPS&amp;VAR:INDEX=0"}</definedName>
    <definedName name="_2434__FDSAUDITLINK__" hidden="1">{"fdsup://directions/FAT Viewer?action=UPDATE&amp;creator=factset&amp;DYN_ARGS=TRUE&amp;DOC_NAME=FAT:FQL_AUDITING_CLIENT_TEMPLATE.FAT&amp;display_string=Audit&amp;VAR:KEY=HKVGPWDETK&amp;VAR:QUERY=UkdGX1RBWF9SQVRFKEFOTiwwLCwsLCwsTk9BVURJVCk=&amp;WINDOW=FIRST_POPUP&amp;HEIGHT=450&amp;WIDTH=450&amp;","START_MAXIMIZED=FALSE&amp;VAR:CALENDAR=US&amp;VAR:SYMBOL=SNPS&amp;VAR:INDEX=0"}</definedName>
    <definedName name="_2435__FDSAUDITLINK__" localSheetId="3" hidden="1">{"fdsup://directions/FAT Viewer?action=UPDATE&amp;creator=factset&amp;DYN_ARGS=TRUE&amp;DOC_NAME=FAT:FQL_AUDITING_CLIENT_TEMPLATE.FAT&amp;display_string=Audit&amp;VAR:KEY=RCDYLMVGFE&amp;VAR:QUERY=UkdGX1RBWF9SQVRFKEFOTiwwLCwsLCwsTk9BVURJVCk=&amp;WINDOW=FIRST_POPUP&amp;HEIGHT=450&amp;WIDTH=450&amp;","START_MAXIMIZED=FALSE&amp;VAR:CALENDAR=US&amp;VAR:SYMBOL=SVR&amp;VAR:INDEX=0"}</definedName>
    <definedName name="_2435__FDSAUDITLINK__" localSheetId="7" hidden="1">{"fdsup://directions/FAT Viewer?action=UPDATE&amp;creator=factset&amp;DYN_ARGS=TRUE&amp;DOC_NAME=FAT:FQL_AUDITING_CLIENT_TEMPLATE.FAT&amp;display_string=Audit&amp;VAR:KEY=RCDYLMVGFE&amp;VAR:QUERY=UkdGX1RBWF9SQVRFKEFOTiwwLCwsLCwsTk9BVURJVCk=&amp;WINDOW=FIRST_POPUP&amp;HEIGHT=450&amp;WIDTH=450&amp;","START_MAXIMIZED=FALSE&amp;VAR:CALENDAR=US&amp;VAR:SYMBOL=SVR&amp;VAR:INDEX=0"}</definedName>
    <definedName name="_2435__FDSAUDITLINK__" hidden="1">{"fdsup://directions/FAT Viewer?action=UPDATE&amp;creator=factset&amp;DYN_ARGS=TRUE&amp;DOC_NAME=FAT:FQL_AUDITING_CLIENT_TEMPLATE.FAT&amp;display_string=Audit&amp;VAR:KEY=RCDYLMVGFE&amp;VAR:QUERY=UkdGX1RBWF9SQVRFKEFOTiwwLCwsLCwsTk9BVURJVCk=&amp;WINDOW=FIRST_POPUP&amp;HEIGHT=450&amp;WIDTH=450&amp;","START_MAXIMIZED=FALSE&amp;VAR:CALENDAR=US&amp;VAR:SYMBOL=SVR&amp;VAR:INDEX=0"}</definedName>
    <definedName name="_2436__FDSAUDITLINK__" localSheetId="3" hidden="1">{"fdsup://directions/FAT Viewer?action=UPDATE&amp;creator=factset&amp;DYN_ARGS=TRUE&amp;DOC_NAME=FAT:FQL_AUDITING_CLIENT_TEMPLATE.FAT&amp;display_string=Audit&amp;VAR:KEY=RCDYLMVGFE&amp;VAR:QUERY=UkdGX1RBWF9SQVRFKEFOTiwwLCwsLCwsTk9BVURJVCk=&amp;WINDOW=FIRST_POPUP&amp;HEIGHT=450&amp;WIDTH=450&amp;","START_MAXIMIZED=FALSE&amp;VAR:CALENDAR=US&amp;VAR:SYMBOL=SVR&amp;VAR:INDEX=0"}</definedName>
    <definedName name="_2436__FDSAUDITLINK__" localSheetId="7" hidden="1">{"fdsup://directions/FAT Viewer?action=UPDATE&amp;creator=factset&amp;DYN_ARGS=TRUE&amp;DOC_NAME=FAT:FQL_AUDITING_CLIENT_TEMPLATE.FAT&amp;display_string=Audit&amp;VAR:KEY=RCDYLMVGFE&amp;VAR:QUERY=UkdGX1RBWF9SQVRFKEFOTiwwLCwsLCwsTk9BVURJVCk=&amp;WINDOW=FIRST_POPUP&amp;HEIGHT=450&amp;WIDTH=450&amp;","START_MAXIMIZED=FALSE&amp;VAR:CALENDAR=US&amp;VAR:SYMBOL=SVR&amp;VAR:INDEX=0"}</definedName>
    <definedName name="_2436__FDSAUDITLINK__" hidden="1">{"fdsup://directions/FAT Viewer?action=UPDATE&amp;creator=factset&amp;DYN_ARGS=TRUE&amp;DOC_NAME=FAT:FQL_AUDITING_CLIENT_TEMPLATE.FAT&amp;display_string=Audit&amp;VAR:KEY=RCDYLMVGFE&amp;VAR:QUERY=UkdGX1RBWF9SQVRFKEFOTiwwLCwsLCwsTk9BVURJVCk=&amp;WINDOW=FIRST_POPUP&amp;HEIGHT=450&amp;WIDTH=450&amp;","START_MAXIMIZED=FALSE&amp;VAR:CALENDAR=US&amp;VAR:SYMBOL=SVR&amp;VAR:INDEX=0"}</definedName>
    <definedName name="_2437__FDSAUDITLINK__" localSheetId="3" hidden="1">{"fdsup://directions/FAT Viewer?action=UPDATE&amp;creator=factset&amp;DYN_ARGS=TRUE&amp;DOC_NAME=FAT:FQL_AUDITING_CLIENT_TEMPLATE.FAT&amp;display_string=Audit&amp;VAR:KEY=XUXYFSFKLK&amp;VAR:QUERY=UkdGX1RBWF9SQVRFKEFOTiwwLCwsLCwsTk9BVURJVCk=&amp;WINDOW=FIRST_POPUP&amp;HEIGHT=450&amp;WIDTH=450&amp;","START_MAXIMIZED=FALSE&amp;VAR:CALENDAR=US&amp;VAR:SYMBOL=SNCR&amp;VAR:INDEX=0"}</definedName>
    <definedName name="_2437__FDSAUDITLINK__" localSheetId="7" hidden="1">{"fdsup://directions/FAT Viewer?action=UPDATE&amp;creator=factset&amp;DYN_ARGS=TRUE&amp;DOC_NAME=FAT:FQL_AUDITING_CLIENT_TEMPLATE.FAT&amp;display_string=Audit&amp;VAR:KEY=XUXYFSFKLK&amp;VAR:QUERY=UkdGX1RBWF9SQVRFKEFOTiwwLCwsLCwsTk9BVURJVCk=&amp;WINDOW=FIRST_POPUP&amp;HEIGHT=450&amp;WIDTH=450&amp;","START_MAXIMIZED=FALSE&amp;VAR:CALENDAR=US&amp;VAR:SYMBOL=SNCR&amp;VAR:INDEX=0"}</definedName>
    <definedName name="_2437__FDSAUDITLINK__" hidden="1">{"fdsup://directions/FAT Viewer?action=UPDATE&amp;creator=factset&amp;DYN_ARGS=TRUE&amp;DOC_NAME=FAT:FQL_AUDITING_CLIENT_TEMPLATE.FAT&amp;display_string=Audit&amp;VAR:KEY=XUXYFSFKLK&amp;VAR:QUERY=UkdGX1RBWF9SQVRFKEFOTiwwLCwsLCwsTk9BVURJVCk=&amp;WINDOW=FIRST_POPUP&amp;HEIGHT=450&amp;WIDTH=450&amp;","START_MAXIMIZED=FALSE&amp;VAR:CALENDAR=US&amp;VAR:SYMBOL=SNCR&amp;VAR:INDEX=0"}</definedName>
    <definedName name="_2438__FDSAUDITLINK__" localSheetId="3" hidden="1">{"fdsup://directions/FAT Viewer?action=UPDATE&amp;creator=factset&amp;DYN_ARGS=TRUE&amp;DOC_NAME=FAT:FQL_AUDITING_CLIENT_TEMPLATE.FAT&amp;display_string=Audit&amp;VAR:KEY=XUXYFSFKLK&amp;VAR:QUERY=UkdGX1RBWF9SQVRFKEFOTiwwLCwsLCwsTk9BVURJVCk=&amp;WINDOW=FIRST_POPUP&amp;HEIGHT=450&amp;WIDTH=450&amp;","START_MAXIMIZED=FALSE&amp;VAR:CALENDAR=US&amp;VAR:SYMBOL=SNCR&amp;VAR:INDEX=0"}</definedName>
    <definedName name="_2438__FDSAUDITLINK__" localSheetId="7" hidden="1">{"fdsup://directions/FAT Viewer?action=UPDATE&amp;creator=factset&amp;DYN_ARGS=TRUE&amp;DOC_NAME=FAT:FQL_AUDITING_CLIENT_TEMPLATE.FAT&amp;display_string=Audit&amp;VAR:KEY=XUXYFSFKLK&amp;VAR:QUERY=UkdGX1RBWF9SQVRFKEFOTiwwLCwsLCwsTk9BVURJVCk=&amp;WINDOW=FIRST_POPUP&amp;HEIGHT=450&amp;WIDTH=450&amp;","START_MAXIMIZED=FALSE&amp;VAR:CALENDAR=US&amp;VAR:SYMBOL=SNCR&amp;VAR:INDEX=0"}</definedName>
    <definedName name="_2438__FDSAUDITLINK__" hidden="1">{"fdsup://directions/FAT Viewer?action=UPDATE&amp;creator=factset&amp;DYN_ARGS=TRUE&amp;DOC_NAME=FAT:FQL_AUDITING_CLIENT_TEMPLATE.FAT&amp;display_string=Audit&amp;VAR:KEY=XUXYFSFKLK&amp;VAR:QUERY=UkdGX1RBWF9SQVRFKEFOTiwwLCwsLCwsTk9BVURJVCk=&amp;WINDOW=FIRST_POPUP&amp;HEIGHT=450&amp;WIDTH=450&amp;","START_MAXIMIZED=FALSE&amp;VAR:CALENDAR=US&amp;VAR:SYMBOL=SNCR&amp;VAR:INDEX=0"}</definedName>
    <definedName name="_2439__FDSAUDITLINK__" localSheetId="3" hidden="1">{"fdsup://directions/FAT Viewer?action=UPDATE&amp;creator=factset&amp;DYN_ARGS=TRUE&amp;DOC_NAME=FAT:FQL_AUDITING_CLIENT_TEMPLATE.FAT&amp;display_string=Audit&amp;VAR:KEY=HCZEJALUTQ&amp;VAR:QUERY=UkdGX1RBWF9SQVRFKEFOTiwwLCwsLCwsTk9BVURJVCk=&amp;WINDOW=FIRST_POPUP&amp;HEIGHT=450&amp;WIDTH=450&amp;","START_MAXIMIZED=FALSE&amp;VAR:CALENDAR=US&amp;VAR:SYMBOL=SYMC&amp;VAR:INDEX=0"}</definedName>
    <definedName name="_2439__FDSAUDITLINK__" localSheetId="7" hidden="1">{"fdsup://directions/FAT Viewer?action=UPDATE&amp;creator=factset&amp;DYN_ARGS=TRUE&amp;DOC_NAME=FAT:FQL_AUDITING_CLIENT_TEMPLATE.FAT&amp;display_string=Audit&amp;VAR:KEY=HCZEJALUTQ&amp;VAR:QUERY=UkdGX1RBWF9SQVRFKEFOTiwwLCwsLCwsTk9BVURJVCk=&amp;WINDOW=FIRST_POPUP&amp;HEIGHT=450&amp;WIDTH=450&amp;","START_MAXIMIZED=FALSE&amp;VAR:CALENDAR=US&amp;VAR:SYMBOL=SYMC&amp;VAR:INDEX=0"}</definedName>
    <definedName name="_2439__FDSAUDITLINK__" hidden="1">{"fdsup://directions/FAT Viewer?action=UPDATE&amp;creator=factset&amp;DYN_ARGS=TRUE&amp;DOC_NAME=FAT:FQL_AUDITING_CLIENT_TEMPLATE.FAT&amp;display_string=Audit&amp;VAR:KEY=HCZEJALUTQ&amp;VAR:QUERY=UkdGX1RBWF9SQVRFKEFOTiwwLCwsLCwsTk9BVURJVCk=&amp;WINDOW=FIRST_POPUP&amp;HEIGHT=450&amp;WIDTH=450&amp;","START_MAXIMIZED=FALSE&amp;VAR:CALENDAR=US&amp;VAR:SYMBOL=SYMC&amp;VAR:INDEX=0"}</definedName>
    <definedName name="_244__FDSAUDITLINK__" localSheetId="3" hidden="1">{"fdsup://directions/FAT Viewer?action=UPDATE&amp;creator=factset&amp;DYN_ARGS=TRUE&amp;DOC_NAME=FAT:FQL_AUDITING_CLIENT_TEMPLATE.FAT&amp;display_string=Audit&amp;VAR:KEY=CXOXKHSTSR&amp;VAR:QUERY=RkZfTkVUX0lOQyhMVE0sMCwsLCwsTSk=&amp;WINDOW=FIRST_POPUP&amp;HEIGHT=450&amp;WIDTH=450&amp;START_MAXIMI","ZED=FALSE&amp;VAR:CALENDAR=US&amp;VAR:SYMBOL=244097&amp;VAR:INDEX=0"}</definedName>
    <definedName name="_244__FDSAUDITLINK__" localSheetId="7" hidden="1">{"fdsup://directions/FAT Viewer?action=UPDATE&amp;creator=factset&amp;DYN_ARGS=TRUE&amp;DOC_NAME=FAT:FQL_AUDITING_CLIENT_TEMPLATE.FAT&amp;display_string=Audit&amp;VAR:KEY=CXOXKHSTSR&amp;VAR:QUERY=RkZfTkVUX0lOQyhMVE0sMCwsLCwsTSk=&amp;WINDOW=FIRST_POPUP&amp;HEIGHT=450&amp;WIDTH=450&amp;START_MAXIMI","ZED=FALSE&amp;VAR:CALENDAR=US&amp;VAR:SYMBOL=244097&amp;VAR:INDEX=0"}</definedName>
    <definedName name="_244__FDSAUDITLINK__" hidden="1">{"fdsup://directions/FAT Viewer?action=UPDATE&amp;creator=factset&amp;DYN_ARGS=TRUE&amp;DOC_NAME=FAT:FQL_AUDITING_CLIENT_TEMPLATE.FAT&amp;display_string=Audit&amp;VAR:KEY=CXOXKHSTSR&amp;VAR:QUERY=RkZfTkVUX0lOQyhMVE0sMCwsLCwsTSk=&amp;WINDOW=FIRST_POPUP&amp;HEIGHT=450&amp;WIDTH=450&amp;START_MAXIMI","ZED=FALSE&amp;VAR:CALENDAR=US&amp;VAR:SYMBOL=244097&amp;VAR:INDEX=0"}</definedName>
    <definedName name="_2440__FDSAUDITLINK__" localSheetId="3" hidden="1">{"fdsup://directions/FAT Viewer?action=UPDATE&amp;creator=factset&amp;DYN_ARGS=TRUE&amp;DOC_NAME=FAT:FQL_AUDITING_CLIENT_TEMPLATE.FAT&amp;display_string=Audit&amp;VAR:KEY=HCZEJALUTQ&amp;VAR:QUERY=UkdGX1RBWF9SQVRFKEFOTiwwLCwsLCwsTk9BVURJVCk=&amp;WINDOW=FIRST_POPUP&amp;HEIGHT=450&amp;WIDTH=450&amp;","START_MAXIMIZED=FALSE&amp;VAR:CALENDAR=US&amp;VAR:SYMBOL=SYMC&amp;VAR:INDEX=0"}</definedName>
    <definedName name="_2440__FDSAUDITLINK__" localSheetId="7" hidden="1">{"fdsup://directions/FAT Viewer?action=UPDATE&amp;creator=factset&amp;DYN_ARGS=TRUE&amp;DOC_NAME=FAT:FQL_AUDITING_CLIENT_TEMPLATE.FAT&amp;display_string=Audit&amp;VAR:KEY=HCZEJALUTQ&amp;VAR:QUERY=UkdGX1RBWF9SQVRFKEFOTiwwLCwsLCwsTk9BVURJVCk=&amp;WINDOW=FIRST_POPUP&amp;HEIGHT=450&amp;WIDTH=450&amp;","START_MAXIMIZED=FALSE&amp;VAR:CALENDAR=US&amp;VAR:SYMBOL=SYMC&amp;VAR:INDEX=0"}</definedName>
    <definedName name="_2440__FDSAUDITLINK__" hidden="1">{"fdsup://directions/FAT Viewer?action=UPDATE&amp;creator=factset&amp;DYN_ARGS=TRUE&amp;DOC_NAME=FAT:FQL_AUDITING_CLIENT_TEMPLATE.FAT&amp;display_string=Audit&amp;VAR:KEY=HCZEJALUTQ&amp;VAR:QUERY=UkdGX1RBWF9SQVRFKEFOTiwwLCwsLCwsTk9BVURJVCk=&amp;WINDOW=FIRST_POPUP&amp;HEIGHT=450&amp;WIDTH=450&amp;","START_MAXIMIZED=FALSE&amp;VAR:CALENDAR=US&amp;VAR:SYMBOL=SYMC&amp;VAR:INDEX=0"}</definedName>
    <definedName name="_2441__FDSAUDITLINK__" localSheetId="3" hidden="1">{"fdsup://directions/FAT Viewer?action=UPDATE&amp;creator=factset&amp;DYN_ARGS=TRUE&amp;DOC_NAME=FAT:FQL_AUDITING_CLIENT_TEMPLATE.FAT&amp;display_string=Audit&amp;VAR:KEY=HKPSJOXQDM&amp;VAR:QUERY=UkdGX1RBWF9SQVRFKEFOTiwwLCwsLCwsTk9BVURJVCk=&amp;WINDOW=FIRST_POPUP&amp;HEIGHT=450&amp;WIDTH=450&amp;","START_MAXIMIZED=FALSE&amp;VAR:CALENDAR=US&amp;VAR:SYMBOL=SPRT&amp;VAR:INDEX=0"}</definedName>
    <definedName name="_2441__FDSAUDITLINK__" localSheetId="7" hidden="1">{"fdsup://directions/FAT Viewer?action=UPDATE&amp;creator=factset&amp;DYN_ARGS=TRUE&amp;DOC_NAME=FAT:FQL_AUDITING_CLIENT_TEMPLATE.FAT&amp;display_string=Audit&amp;VAR:KEY=HKPSJOXQDM&amp;VAR:QUERY=UkdGX1RBWF9SQVRFKEFOTiwwLCwsLCwsTk9BVURJVCk=&amp;WINDOW=FIRST_POPUP&amp;HEIGHT=450&amp;WIDTH=450&amp;","START_MAXIMIZED=FALSE&amp;VAR:CALENDAR=US&amp;VAR:SYMBOL=SPRT&amp;VAR:INDEX=0"}</definedName>
    <definedName name="_2441__FDSAUDITLINK__" hidden="1">{"fdsup://directions/FAT Viewer?action=UPDATE&amp;creator=factset&amp;DYN_ARGS=TRUE&amp;DOC_NAME=FAT:FQL_AUDITING_CLIENT_TEMPLATE.FAT&amp;display_string=Audit&amp;VAR:KEY=HKPSJOXQDM&amp;VAR:QUERY=UkdGX1RBWF9SQVRFKEFOTiwwLCwsLCwsTk9BVURJVCk=&amp;WINDOW=FIRST_POPUP&amp;HEIGHT=450&amp;WIDTH=450&amp;","START_MAXIMIZED=FALSE&amp;VAR:CALENDAR=US&amp;VAR:SYMBOL=SPRT&amp;VAR:INDEX=0"}</definedName>
    <definedName name="_2442__FDSAUDITLINK__" localSheetId="3" hidden="1">{"fdsup://directions/FAT Viewer?action=UPDATE&amp;creator=factset&amp;DYN_ARGS=TRUE&amp;DOC_NAME=FAT:FQL_AUDITING_CLIENT_TEMPLATE.FAT&amp;display_string=Audit&amp;VAR:KEY=DORUPWHUHQ&amp;VAR:QUERY=UkdGX1RBWF9SQVRFKEFOTiwwLCwsLCwsTk9BVURJVCk=&amp;WINDOW=FIRST_POPUP&amp;HEIGHT=450&amp;WIDTH=450&amp;","START_MAXIMIZED=FALSE&amp;VAR:CALENDAR=US&amp;VAR:SYMBOL=SFSF&amp;VAR:INDEX=0"}</definedName>
    <definedName name="_2442__FDSAUDITLINK__" localSheetId="7" hidden="1">{"fdsup://directions/FAT Viewer?action=UPDATE&amp;creator=factset&amp;DYN_ARGS=TRUE&amp;DOC_NAME=FAT:FQL_AUDITING_CLIENT_TEMPLATE.FAT&amp;display_string=Audit&amp;VAR:KEY=DORUPWHUHQ&amp;VAR:QUERY=UkdGX1RBWF9SQVRFKEFOTiwwLCwsLCwsTk9BVURJVCk=&amp;WINDOW=FIRST_POPUP&amp;HEIGHT=450&amp;WIDTH=450&amp;","START_MAXIMIZED=FALSE&amp;VAR:CALENDAR=US&amp;VAR:SYMBOL=SFSF&amp;VAR:INDEX=0"}</definedName>
    <definedName name="_2442__FDSAUDITLINK__" hidden="1">{"fdsup://directions/FAT Viewer?action=UPDATE&amp;creator=factset&amp;DYN_ARGS=TRUE&amp;DOC_NAME=FAT:FQL_AUDITING_CLIENT_TEMPLATE.FAT&amp;display_string=Audit&amp;VAR:KEY=DORUPWHUHQ&amp;VAR:QUERY=UkdGX1RBWF9SQVRFKEFOTiwwLCwsLCwsTk9BVURJVCk=&amp;WINDOW=FIRST_POPUP&amp;HEIGHT=450&amp;WIDTH=450&amp;","START_MAXIMIZED=FALSE&amp;VAR:CALENDAR=US&amp;VAR:SYMBOL=SFSF&amp;VAR:INDEX=0"}</definedName>
    <definedName name="_2443__FDSAUDITLINK__" localSheetId="3" hidden="1">{"fdsup://directions/FAT Viewer?action=UPDATE&amp;creator=factset&amp;DYN_ARGS=TRUE&amp;DOC_NAME=FAT:FQL_AUDITING_CLIENT_TEMPLATE.FAT&amp;display_string=Audit&amp;VAR:KEY=LODCBGXQHE&amp;VAR:QUERY=UkdGX1RBWF9SQVRFKEFOTiwwLCwsLCwsTk9BVURJVCk=&amp;WINDOW=FIRST_POPUP&amp;HEIGHT=450&amp;WIDTH=450&amp;","START_MAXIMIZED=FALSE&amp;VAR:CALENDAR=US&amp;VAR:SYMBOL=SSNC&amp;VAR:INDEX=0"}</definedName>
    <definedName name="_2443__FDSAUDITLINK__" localSheetId="7" hidden="1">{"fdsup://directions/FAT Viewer?action=UPDATE&amp;creator=factset&amp;DYN_ARGS=TRUE&amp;DOC_NAME=FAT:FQL_AUDITING_CLIENT_TEMPLATE.FAT&amp;display_string=Audit&amp;VAR:KEY=LODCBGXQHE&amp;VAR:QUERY=UkdGX1RBWF9SQVRFKEFOTiwwLCwsLCwsTk9BVURJVCk=&amp;WINDOW=FIRST_POPUP&amp;HEIGHT=450&amp;WIDTH=450&amp;","START_MAXIMIZED=FALSE&amp;VAR:CALENDAR=US&amp;VAR:SYMBOL=SSNC&amp;VAR:INDEX=0"}</definedName>
    <definedName name="_2443__FDSAUDITLINK__" hidden="1">{"fdsup://directions/FAT Viewer?action=UPDATE&amp;creator=factset&amp;DYN_ARGS=TRUE&amp;DOC_NAME=FAT:FQL_AUDITING_CLIENT_TEMPLATE.FAT&amp;display_string=Audit&amp;VAR:KEY=LODCBGXQHE&amp;VAR:QUERY=UkdGX1RBWF9SQVRFKEFOTiwwLCwsLCwsTk9BVURJVCk=&amp;WINDOW=FIRST_POPUP&amp;HEIGHT=450&amp;WIDTH=450&amp;","START_MAXIMIZED=FALSE&amp;VAR:CALENDAR=US&amp;VAR:SYMBOL=SSNC&amp;VAR:INDEX=0"}</definedName>
    <definedName name="_2444__FDSAUDITLINK__" localSheetId="3" hidden="1">{"fdsup://directions/FAT Viewer?action=UPDATE&amp;creator=factset&amp;DYN_ARGS=TRUE&amp;DOC_NAME=FAT:FQL_AUDITING_CLIENT_TEMPLATE.FAT&amp;display_string=Audit&amp;VAR:KEY=LODCBGXQHE&amp;VAR:QUERY=UkdGX1RBWF9SQVRFKEFOTiwwLCwsLCwsTk9BVURJVCk=&amp;WINDOW=FIRST_POPUP&amp;HEIGHT=450&amp;WIDTH=450&amp;","START_MAXIMIZED=FALSE&amp;VAR:CALENDAR=US&amp;VAR:SYMBOL=SSNC&amp;VAR:INDEX=0"}</definedName>
    <definedName name="_2444__FDSAUDITLINK__" localSheetId="7" hidden="1">{"fdsup://directions/FAT Viewer?action=UPDATE&amp;creator=factset&amp;DYN_ARGS=TRUE&amp;DOC_NAME=FAT:FQL_AUDITING_CLIENT_TEMPLATE.FAT&amp;display_string=Audit&amp;VAR:KEY=LODCBGXQHE&amp;VAR:QUERY=UkdGX1RBWF9SQVRFKEFOTiwwLCwsLCwsTk9BVURJVCk=&amp;WINDOW=FIRST_POPUP&amp;HEIGHT=450&amp;WIDTH=450&amp;","START_MAXIMIZED=FALSE&amp;VAR:CALENDAR=US&amp;VAR:SYMBOL=SSNC&amp;VAR:INDEX=0"}</definedName>
    <definedName name="_2444__FDSAUDITLINK__" hidden="1">{"fdsup://directions/FAT Viewer?action=UPDATE&amp;creator=factset&amp;DYN_ARGS=TRUE&amp;DOC_NAME=FAT:FQL_AUDITING_CLIENT_TEMPLATE.FAT&amp;display_string=Audit&amp;VAR:KEY=LODCBGXQHE&amp;VAR:QUERY=UkdGX1RBWF9SQVRFKEFOTiwwLCwsLCwsTk9BVURJVCk=&amp;WINDOW=FIRST_POPUP&amp;HEIGHT=450&amp;WIDTH=450&amp;","START_MAXIMIZED=FALSE&amp;VAR:CALENDAR=US&amp;VAR:SYMBOL=SSNC&amp;VAR:INDEX=0"}</definedName>
    <definedName name="_2445__FDSAUDITLINK__" localSheetId="3" hidden="1">{"fdsup://directions/FAT Viewer?action=UPDATE&amp;creator=factset&amp;DYN_ARGS=TRUE&amp;DOC_NAME=FAT:FQL_AUDITING_CLIENT_TEMPLATE.FAT&amp;display_string=Audit&amp;VAR:KEY=DUVIBAHQFU&amp;VAR:QUERY=UkdGX1RBWF9SQVRFKEFOTiwwLCwsLCwsTk9BVURJVCk=&amp;WINDOW=FIRST_POPUP&amp;HEIGHT=450&amp;WIDTH=450&amp;","START_MAXIMIZED=FALSE&amp;VAR:CALENDAR=US&amp;VAR:SYMBOL=SPSC&amp;VAR:INDEX=0"}</definedName>
    <definedName name="_2445__FDSAUDITLINK__" localSheetId="7" hidden="1">{"fdsup://directions/FAT Viewer?action=UPDATE&amp;creator=factset&amp;DYN_ARGS=TRUE&amp;DOC_NAME=FAT:FQL_AUDITING_CLIENT_TEMPLATE.FAT&amp;display_string=Audit&amp;VAR:KEY=DUVIBAHQFU&amp;VAR:QUERY=UkdGX1RBWF9SQVRFKEFOTiwwLCwsLCwsTk9BVURJVCk=&amp;WINDOW=FIRST_POPUP&amp;HEIGHT=450&amp;WIDTH=450&amp;","START_MAXIMIZED=FALSE&amp;VAR:CALENDAR=US&amp;VAR:SYMBOL=SPSC&amp;VAR:INDEX=0"}</definedName>
    <definedName name="_2445__FDSAUDITLINK__" hidden="1">{"fdsup://directions/FAT Viewer?action=UPDATE&amp;creator=factset&amp;DYN_ARGS=TRUE&amp;DOC_NAME=FAT:FQL_AUDITING_CLIENT_TEMPLATE.FAT&amp;display_string=Audit&amp;VAR:KEY=DUVIBAHQFU&amp;VAR:QUERY=UkdGX1RBWF9SQVRFKEFOTiwwLCwsLCwsTk9BVURJVCk=&amp;WINDOW=FIRST_POPUP&amp;HEIGHT=450&amp;WIDTH=450&amp;","START_MAXIMIZED=FALSE&amp;VAR:CALENDAR=US&amp;VAR:SYMBOL=SPSC&amp;VAR:INDEX=0"}</definedName>
    <definedName name="_2446__FDSAUDITLINK__" localSheetId="3" hidden="1">{"fdsup://directions/FAT Viewer?action=UPDATE&amp;creator=factset&amp;DYN_ARGS=TRUE&amp;DOC_NAME=FAT:FQL_AUDITING_CLIENT_TEMPLATE.FAT&amp;display_string=Audit&amp;VAR:KEY=DUVIBAHQFU&amp;VAR:QUERY=UkdGX1RBWF9SQVRFKEFOTiwwLCwsLCwsTk9BVURJVCk=&amp;WINDOW=FIRST_POPUP&amp;HEIGHT=450&amp;WIDTH=450&amp;","START_MAXIMIZED=FALSE&amp;VAR:CALENDAR=US&amp;VAR:SYMBOL=SPSC&amp;VAR:INDEX=0"}</definedName>
    <definedName name="_2446__FDSAUDITLINK__" localSheetId="7" hidden="1">{"fdsup://directions/FAT Viewer?action=UPDATE&amp;creator=factset&amp;DYN_ARGS=TRUE&amp;DOC_NAME=FAT:FQL_AUDITING_CLIENT_TEMPLATE.FAT&amp;display_string=Audit&amp;VAR:KEY=DUVIBAHQFU&amp;VAR:QUERY=UkdGX1RBWF9SQVRFKEFOTiwwLCwsLCwsTk9BVURJVCk=&amp;WINDOW=FIRST_POPUP&amp;HEIGHT=450&amp;WIDTH=450&amp;","START_MAXIMIZED=FALSE&amp;VAR:CALENDAR=US&amp;VAR:SYMBOL=SPSC&amp;VAR:INDEX=0"}</definedName>
    <definedName name="_2446__FDSAUDITLINK__" hidden="1">{"fdsup://directions/FAT Viewer?action=UPDATE&amp;creator=factset&amp;DYN_ARGS=TRUE&amp;DOC_NAME=FAT:FQL_AUDITING_CLIENT_TEMPLATE.FAT&amp;display_string=Audit&amp;VAR:KEY=DUVIBAHQFU&amp;VAR:QUERY=UkdGX1RBWF9SQVRFKEFOTiwwLCwsLCwsTk9BVURJVCk=&amp;WINDOW=FIRST_POPUP&amp;HEIGHT=450&amp;WIDTH=450&amp;","START_MAXIMIZED=FALSE&amp;VAR:CALENDAR=US&amp;VAR:SYMBOL=SPSC&amp;VAR:INDEX=0"}</definedName>
    <definedName name="_2447__FDSAUDITLINK__" localSheetId="3" hidden="1">{"fdsup://directions/FAT Viewer?action=UPDATE&amp;creator=factset&amp;DYN_ARGS=TRUE&amp;DOC_NAME=FAT:FQL_AUDITING_CLIENT_TEMPLATE.FAT&amp;display_string=Audit&amp;VAR:KEY=JYHSVKLIHA&amp;VAR:QUERY=UkdGX1RBWF9SQVRFKEFOTiwwLCwsLCwsTk9BVURJVCk=&amp;WINDOW=FIRST_POPUP&amp;HEIGHT=450&amp;WIDTH=450&amp;","START_MAXIMIZED=FALSE&amp;VAR:CALENDAR=US&amp;VAR:SYMBOL=LNUX&amp;VAR:INDEX=0"}</definedName>
    <definedName name="_2447__FDSAUDITLINK__" localSheetId="7" hidden="1">{"fdsup://directions/FAT Viewer?action=UPDATE&amp;creator=factset&amp;DYN_ARGS=TRUE&amp;DOC_NAME=FAT:FQL_AUDITING_CLIENT_TEMPLATE.FAT&amp;display_string=Audit&amp;VAR:KEY=JYHSVKLIHA&amp;VAR:QUERY=UkdGX1RBWF9SQVRFKEFOTiwwLCwsLCwsTk9BVURJVCk=&amp;WINDOW=FIRST_POPUP&amp;HEIGHT=450&amp;WIDTH=450&amp;","START_MAXIMIZED=FALSE&amp;VAR:CALENDAR=US&amp;VAR:SYMBOL=LNUX&amp;VAR:INDEX=0"}</definedName>
    <definedName name="_2447__FDSAUDITLINK__" hidden="1">{"fdsup://directions/FAT Viewer?action=UPDATE&amp;creator=factset&amp;DYN_ARGS=TRUE&amp;DOC_NAME=FAT:FQL_AUDITING_CLIENT_TEMPLATE.FAT&amp;display_string=Audit&amp;VAR:KEY=JYHSVKLIHA&amp;VAR:QUERY=UkdGX1RBWF9SQVRFKEFOTiwwLCwsLCwsTk9BVURJVCk=&amp;WINDOW=FIRST_POPUP&amp;HEIGHT=450&amp;WIDTH=450&amp;","START_MAXIMIZED=FALSE&amp;VAR:CALENDAR=US&amp;VAR:SYMBOL=LNUX&amp;VAR:INDEX=0"}</definedName>
    <definedName name="_2448__FDSAUDITLINK__" localSheetId="3" hidden="1">{"fdsup://directions/FAT Viewer?action=UPDATE&amp;creator=factset&amp;DYN_ARGS=TRUE&amp;DOC_NAME=FAT:FQL_AUDITING_CLIENT_TEMPLATE.FAT&amp;display_string=Audit&amp;VAR:KEY=DQFUTKTQBS&amp;VAR:QUERY=UkdGX1RBWF9SQVRFKEFOTiwwLCwsLCwsTk9BVURJVCk=&amp;WINDOW=FIRST_POPUP&amp;HEIGHT=450&amp;WIDTH=450&amp;","START_MAXIMIZED=FALSE&amp;VAR:CALENDAR=US&amp;VAR:SYMBOL=FIRE&amp;VAR:INDEX=0"}</definedName>
    <definedName name="_2448__FDSAUDITLINK__" localSheetId="7" hidden="1">{"fdsup://directions/FAT Viewer?action=UPDATE&amp;creator=factset&amp;DYN_ARGS=TRUE&amp;DOC_NAME=FAT:FQL_AUDITING_CLIENT_TEMPLATE.FAT&amp;display_string=Audit&amp;VAR:KEY=DQFUTKTQBS&amp;VAR:QUERY=UkdGX1RBWF9SQVRFKEFOTiwwLCwsLCwsTk9BVURJVCk=&amp;WINDOW=FIRST_POPUP&amp;HEIGHT=450&amp;WIDTH=450&amp;","START_MAXIMIZED=FALSE&amp;VAR:CALENDAR=US&amp;VAR:SYMBOL=FIRE&amp;VAR:INDEX=0"}</definedName>
    <definedName name="_2448__FDSAUDITLINK__" hidden="1">{"fdsup://directions/FAT Viewer?action=UPDATE&amp;creator=factset&amp;DYN_ARGS=TRUE&amp;DOC_NAME=FAT:FQL_AUDITING_CLIENT_TEMPLATE.FAT&amp;display_string=Audit&amp;VAR:KEY=DQFUTKTQBS&amp;VAR:QUERY=UkdGX1RBWF9SQVRFKEFOTiwwLCwsLCwsTk9BVURJVCk=&amp;WINDOW=FIRST_POPUP&amp;HEIGHT=450&amp;WIDTH=450&amp;","START_MAXIMIZED=FALSE&amp;VAR:CALENDAR=US&amp;VAR:SYMBOL=FIRE&amp;VAR:INDEX=0"}</definedName>
    <definedName name="_2449__FDSAUDITLINK__" localSheetId="3" hidden="1">{"fdsup://directions/FAT Viewer?action=UPDATE&amp;creator=factset&amp;DYN_ARGS=TRUE&amp;DOC_NAME=FAT:FQL_AUDITING_CLIENT_TEMPLATE.FAT&amp;display_string=Audit&amp;VAR:KEY=DQFUTKTQBS&amp;VAR:QUERY=UkdGX1RBWF9SQVRFKEFOTiwwLCwsLCwsTk9BVURJVCk=&amp;WINDOW=FIRST_POPUP&amp;HEIGHT=450&amp;WIDTH=450&amp;","START_MAXIMIZED=FALSE&amp;VAR:CALENDAR=US&amp;VAR:SYMBOL=FIRE&amp;VAR:INDEX=0"}</definedName>
    <definedName name="_2449__FDSAUDITLINK__" localSheetId="7" hidden="1">{"fdsup://directions/FAT Viewer?action=UPDATE&amp;creator=factset&amp;DYN_ARGS=TRUE&amp;DOC_NAME=FAT:FQL_AUDITING_CLIENT_TEMPLATE.FAT&amp;display_string=Audit&amp;VAR:KEY=DQFUTKTQBS&amp;VAR:QUERY=UkdGX1RBWF9SQVRFKEFOTiwwLCwsLCwsTk9BVURJVCk=&amp;WINDOW=FIRST_POPUP&amp;HEIGHT=450&amp;WIDTH=450&amp;","START_MAXIMIZED=FALSE&amp;VAR:CALENDAR=US&amp;VAR:SYMBOL=FIRE&amp;VAR:INDEX=0"}</definedName>
    <definedName name="_2449__FDSAUDITLINK__" hidden="1">{"fdsup://directions/FAT Viewer?action=UPDATE&amp;creator=factset&amp;DYN_ARGS=TRUE&amp;DOC_NAME=FAT:FQL_AUDITING_CLIENT_TEMPLATE.FAT&amp;display_string=Audit&amp;VAR:KEY=DQFUTKTQBS&amp;VAR:QUERY=UkdGX1RBWF9SQVRFKEFOTiwwLCwsLCwsTk9BVURJVCk=&amp;WINDOW=FIRST_POPUP&amp;HEIGHT=450&amp;WIDTH=450&amp;","START_MAXIMIZED=FALSE&amp;VAR:CALENDAR=US&amp;VAR:SYMBOL=FIRE&amp;VAR:INDEX=0"}</definedName>
    <definedName name="_245__FDSAUDITLINK__" localSheetId="3" hidden="1">{"fdsup://Directions/FactSet Auditing Viewer?action=AUDIT_VALUE&amp;DB=129&amp;ID1=244097&amp;VALUEID=01001&amp;SDATE=2011&amp;PERIODTYPE=ANN_STD&amp;SCFT=3&amp;window=popup_no_bar&amp;width=385&amp;height=120&amp;START_MAXIMIZED=FALSE&amp;creator=factset&amp;display_string=Audit"}</definedName>
    <definedName name="_245__FDSAUDITLINK__" localSheetId="7" hidden="1">{"fdsup://Directions/FactSet Auditing Viewer?action=AUDIT_VALUE&amp;DB=129&amp;ID1=244097&amp;VALUEID=01001&amp;SDATE=2011&amp;PERIODTYPE=ANN_STD&amp;SCFT=3&amp;window=popup_no_bar&amp;width=385&amp;height=120&amp;START_MAXIMIZED=FALSE&amp;creator=factset&amp;display_string=Audit"}</definedName>
    <definedName name="_245__FDSAUDITLINK__" hidden="1">{"fdsup://Directions/FactSet Auditing Viewer?action=AUDIT_VALUE&amp;DB=129&amp;ID1=244097&amp;VALUEID=01001&amp;SDATE=2011&amp;PERIODTYPE=ANN_STD&amp;SCFT=3&amp;window=popup_no_bar&amp;width=385&amp;height=120&amp;START_MAXIMIZED=FALSE&amp;creator=factset&amp;display_string=Audit"}</definedName>
    <definedName name="_2450__FDSAUDITLINK__" localSheetId="3" hidden="1">{"fdsup://directions/FAT Viewer?action=UPDATE&amp;creator=factset&amp;DYN_ARGS=TRUE&amp;DOC_NAME=FAT:FQL_AUDITING_CLIENT_TEMPLATE.FAT&amp;display_string=Audit&amp;VAR:KEY=RCLSVCXCXS&amp;VAR:QUERY=UkdGX1RBWF9SQVRFKEFOTiwwLCwsLCwsTk9BVURJVCk=&amp;WINDOW=FIRST_POPUP&amp;HEIGHT=450&amp;WIDTH=450&amp;","START_MAXIMIZED=FALSE&amp;VAR:CALENDAR=US&amp;VAR:SYMBOL=SNIC&amp;VAR:INDEX=0"}</definedName>
    <definedName name="_2450__FDSAUDITLINK__" localSheetId="7" hidden="1">{"fdsup://directions/FAT Viewer?action=UPDATE&amp;creator=factset&amp;DYN_ARGS=TRUE&amp;DOC_NAME=FAT:FQL_AUDITING_CLIENT_TEMPLATE.FAT&amp;display_string=Audit&amp;VAR:KEY=RCLSVCXCXS&amp;VAR:QUERY=UkdGX1RBWF9SQVRFKEFOTiwwLCwsLCwsTk9BVURJVCk=&amp;WINDOW=FIRST_POPUP&amp;HEIGHT=450&amp;WIDTH=450&amp;","START_MAXIMIZED=FALSE&amp;VAR:CALENDAR=US&amp;VAR:SYMBOL=SNIC&amp;VAR:INDEX=0"}</definedName>
    <definedName name="_2450__FDSAUDITLINK__" hidden="1">{"fdsup://directions/FAT Viewer?action=UPDATE&amp;creator=factset&amp;DYN_ARGS=TRUE&amp;DOC_NAME=FAT:FQL_AUDITING_CLIENT_TEMPLATE.FAT&amp;display_string=Audit&amp;VAR:KEY=RCLSVCXCXS&amp;VAR:QUERY=UkdGX1RBWF9SQVRFKEFOTiwwLCwsLCwsTk9BVURJVCk=&amp;WINDOW=FIRST_POPUP&amp;HEIGHT=450&amp;WIDTH=450&amp;","START_MAXIMIZED=FALSE&amp;VAR:CALENDAR=US&amp;VAR:SYMBOL=SNIC&amp;VAR:INDEX=0"}</definedName>
    <definedName name="_2451__FDSAUDITLINK__" localSheetId="3" hidden="1">{"fdsup://directions/FAT Viewer?action=UPDATE&amp;creator=factset&amp;DYN_ARGS=TRUE&amp;DOC_NAME=FAT:FQL_AUDITING_CLIENT_TEMPLATE.FAT&amp;display_string=Audit&amp;VAR:KEY=HYPEZAZUTG&amp;VAR:QUERY=UkdGX1RBWF9SQVRFKEFOTiwwLCwsLCwsTk9BVURJVCk=&amp;WINDOW=FIRST_POPUP&amp;HEIGHT=450&amp;WIDTH=450&amp;","START_MAXIMIZED=FALSE&amp;VAR:CALENDAR=US&amp;VAR:SYMBOL=SLH&amp;VAR:INDEX=0"}</definedName>
    <definedName name="_2451__FDSAUDITLINK__" localSheetId="7" hidden="1">{"fdsup://directions/FAT Viewer?action=UPDATE&amp;creator=factset&amp;DYN_ARGS=TRUE&amp;DOC_NAME=FAT:FQL_AUDITING_CLIENT_TEMPLATE.FAT&amp;display_string=Audit&amp;VAR:KEY=HYPEZAZUTG&amp;VAR:QUERY=UkdGX1RBWF9SQVRFKEFOTiwwLCwsLCwsTk9BVURJVCk=&amp;WINDOW=FIRST_POPUP&amp;HEIGHT=450&amp;WIDTH=450&amp;","START_MAXIMIZED=FALSE&amp;VAR:CALENDAR=US&amp;VAR:SYMBOL=SLH&amp;VAR:INDEX=0"}</definedName>
    <definedName name="_2451__FDSAUDITLINK__" hidden="1">{"fdsup://directions/FAT Viewer?action=UPDATE&amp;creator=factset&amp;DYN_ARGS=TRUE&amp;DOC_NAME=FAT:FQL_AUDITING_CLIENT_TEMPLATE.FAT&amp;display_string=Audit&amp;VAR:KEY=HYPEZAZUTG&amp;VAR:QUERY=UkdGX1RBWF9SQVRFKEFOTiwwLCwsLCwsTk9BVURJVCk=&amp;WINDOW=FIRST_POPUP&amp;HEIGHT=450&amp;WIDTH=450&amp;","START_MAXIMIZED=FALSE&amp;VAR:CALENDAR=US&amp;VAR:SYMBOL=SLH&amp;VAR:INDEX=0"}</definedName>
    <definedName name="_2452__FDSAUDITLINK__" localSheetId="3" hidden="1">{"fdsup://directions/FAT Viewer?action=UPDATE&amp;creator=factset&amp;DYN_ARGS=TRUE&amp;DOC_NAME=FAT:FQL_AUDITING_CLIENT_TEMPLATE.FAT&amp;display_string=Audit&amp;VAR:KEY=HYPEZAZUTG&amp;VAR:QUERY=UkdGX1RBWF9SQVRFKEFOTiwwLCwsLCwsTk9BVURJVCk=&amp;WINDOW=FIRST_POPUP&amp;HEIGHT=450&amp;WIDTH=450&amp;","START_MAXIMIZED=FALSE&amp;VAR:CALENDAR=US&amp;VAR:SYMBOL=SLH&amp;VAR:INDEX=0"}</definedName>
    <definedName name="_2452__FDSAUDITLINK__" localSheetId="7" hidden="1">{"fdsup://directions/FAT Viewer?action=UPDATE&amp;creator=factset&amp;DYN_ARGS=TRUE&amp;DOC_NAME=FAT:FQL_AUDITING_CLIENT_TEMPLATE.FAT&amp;display_string=Audit&amp;VAR:KEY=HYPEZAZUTG&amp;VAR:QUERY=UkdGX1RBWF9SQVRFKEFOTiwwLCwsLCwsTk9BVURJVCk=&amp;WINDOW=FIRST_POPUP&amp;HEIGHT=450&amp;WIDTH=450&amp;","START_MAXIMIZED=FALSE&amp;VAR:CALENDAR=US&amp;VAR:SYMBOL=SLH&amp;VAR:INDEX=0"}</definedName>
    <definedName name="_2452__FDSAUDITLINK__" hidden="1">{"fdsup://directions/FAT Viewer?action=UPDATE&amp;creator=factset&amp;DYN_ARGS=TRUE&amp;DOC_NAME=FAT:FQL_AUDITING_CLIENT_TEMPLATE.FAT&amp;display_string=Audit&amp;VAR:KEY=HYPEZAZUTG&amp;VAR:QUERY=UkdGX1RBWF9SQVRFKEFOTiwwLCwsLCwsTk9BVURJVCk=&amp;WINDOW=FIRST_POPUP&amp;HEIGHT=450&amp;WIDTH=450&amp;","START_MAXIMIZED=FALSE&amp;VAR:CALENDAR=US&amp;VAR:SYMBOL=SLH&amp;VAR:INDEX=0"}</definedName>
    <definedName name="_2453__FDSAUDITLINK__" localSheetId="3" hidden="1">{"fdsup://directions/FAT Viewer?action=UPDATE&amp;creator=factset&amp;DYN_ARGS=TRUE&amp;DOC_NAME=FAT:FQL_AUDITING_CLIENT_TEMPLATE.FAT&amp;display_string=Audit&amp;VAR:KEY=NCNMDQVWLA&amp;VAR:QUERY=UkdGX1RBWF9SQVRFKEFOTiwwLCwsLCwsTk9BVURJVCk=&amp;WINDOW=FIRST_POPUP&amp;HEIGHT=450&amp;WIDTH=450&amp;","START_MAXIMIZED=FALSE&amp;VAR:CALENDAR=US&amp;VAR:SYMBOL=SWI&amp;VAR:INDEX=0"}</definedName>
    <definedName name="_2453__FDSAUDITLINK__" localSheetId="7" hidden="1">{"fdsup://directions/FAT Viewer?action=UPDATE&amp;creator=factset&amp;DYN_ARGS=TRUE&amp;DOC_NAME=FAT:FQL_AUDITING_CLIENT_TEMPLATE.FAT&amp;display_string=Audit&amp;VAR:KEY=NCNMDQVWLA&amp;VAR:QUERY=UkdGX1RBWF9SQVRFKEFOTiwwLCwsLCwsTk9BVURJVCk=&amp;WINDOW=FIRST_POPUP&amp;HEIGHT=450&amp;WIDTH=450&amp;","START_MAXIMIZED=FALSE&amp;VAR:CALENDAR=US&amp;VAR:SYMBOL=SWI&amp;VAR:INDEX=0"}</definedName>
    <definedName name="_2453__FDSAUDITLINK__" hidden="1">{"fdsup://directions/FAT Viewer?action=UPDATE&amp;creator=factset&amp;DYN_ARGS=TRUE&amp;DOC_NAME=FAT:FQL_AUDITING_CLIENT_TEMPLATE.FAT&amp;display_string=Audit&amp;VAR:KEY=NCNMDQVWLA&amp;VAR:QUERY=UkdGX1RBWF9SQVRFKEFOTiwwLCwsLCwsTk9BVURJVCk=&amp;WINDOW=FIRST_POPUP&amp;HEIGHT=450&amp;WIDTH=450&amp;","START_MAXIMIZED=FALSE&amp;VAR:CALENDAR=US&amp;VAR:SYMBOL=SWI&amp;VAR:INDEX=0"}</definedName>
    <definedName name="_2454__FDSAUDITLINK__" localSheetId="3" hidden="1">{"fdsup://directions/FAT Viewer?action=UPDATE&amp;creator=factset&amp;DYN_ARGS=TRUE&amp;DOC_NAME=FAT:FQL_AUDITING_CLIENT_TEMPLATE.FAT&amp;display_string=Audit&amp;VAR:KEY=NCNMDQVWLA&amp;VAR:QUERY=UkdGX1RBWF9SQVRFKEFOTiwwLCwsLCwsTk9BVURJVCk=&amp;WINDOW=FIRST_POPUP&amp;HEIGHT=450&amp;WIDTH=450&amp;","START_MAXIMIZED=FALSE&amp;VAR:CALENDAR=US&amp;VAR:SYMBOL=SWI&amp;VAR:INDEX=0"}</definedName>
    <definedName name="_2454__FDSAUDITLINK__" localSheetId="7" hidden="1">{"fdsup://directions/FAT Viewer?action=UPDATE&amp;creator=factset&amp;DYN_ARGS=TRUE&amp;DOC_NAME=FAT:FQL_AUDITING_CLIENT_TEMPLATE.FAT&amp;display_string=Audit&amp;VAR:KEY=NCNMDQVWLA&amp;VAR:QUERY=UkdGX1RBWF9SQVRFKEFOTiwwLCwsLCwsTk9BVURJVCk=&amp;WINDOW=FIRST_POPUP&amp;HEIGHT=450&amp;WIDTH=450&amp;","START_MAXIMIZED=FALSE&amp;VAR:CALENDAR=US&amp;VAR:SYMBOL=SWI&amp;VAR:INDEX=0"}</definedName>
    <definedName name="_2454__FDSAUDITLINK__" hidden="1">{"fdsup://directions/FAT Viewer?action=UPDATE&amp;creator=factset&amp;DYN_ARGS=TRUE&amp;DOC_NAME=FAT:FQL_AUDITING_CLIENT_TEMPLATE.FAT&amp;display_string=Audit&amp;VAR:KEY=NCNMDQVWLA&amp;VAR:QUERY=UkdGX1RBWF9SQVRFKEFOTiwwLCwsLCwsTk9BVURJVCk=&amp;WINDOW=FIRST_POPUP&amp;HEIGHT=450&amp;WIDTH=450&amp;","START_MAXIMIZED=FALSE&amp;VAR:CALENDAR=US&amp;VAR:SYMBOL=SWI&amp;VAR:INDEX=0"}</definedName>
    <definedName name="_2455__FDSAUDITLINK__" localSheetId="3" hidden="1">{"fdsup://directions/FAT Viewer?action=UPDATE&amp;creator=factset&amp;DYN_ARGS=TRUE&amp;DOC_NAME=FAT:FQL_AUDITING_CLIENT_TEMPLATE.FAT&amp;display_string=Audit&amp;VAR:KEY=TOBYXIPWPM&amp;VAR:QUERY=UkdGX1RBWF9SQVRFKEFOTiwwLCwsLCwsTk9BVURJVCk=&amp;WINDOW=FIRST_POPUP&amp;HEIGHT=450&amp;WIDTH=450&amp;","START_MAXIMIZED=FALSE&amp;VAR:CALENDAR=US&amp;VAR:SYMBOL=475513&amp;VAR:INDEX=0"}</definedName>
    <definedName name="_2455__FDSAUDITLINK__" localSheetId="7" hidden="1">{"fdsup://directions/FAT Viewer?action=UPDATE&amp;creator=factset&amp;DYN_ARGS=TRUE&amp;DOC_NAME=FAT:FQL_AUDITING_CLIENT_TEMPLATE.FAT&amp;display_string=Audit&amp;VAR:KEY=TOBYXIPWPM&amp;VAR:QUERY=UkdGX1RBWF9SQVRFKEFOTiwwLCwsLCwsTk9BVURJVCk=&amp;WINDOW=FIRST_POPUP&amp;HEIGHT=450&amp;WIDTH=450&amp;","START_MAXIMIZED=FALSE&amp;VAR:CALENDAR=US&amp;VAR:SYMBOL=475513&amp;VAR:INDEX=0"}</definedName>
    <definedName name="_2455__FDSAUDITLINK__" hidden="1">{"fdsup://directions/FAT Viewer?action=UPDATE&amp;creator=factset&amp;DYN_ARGS=TRUE&amp;DOC_NAME=FAT:FQL_AUDITING_CLIENT_TEMPLATE.FAT&amp;display_string=Audit&amp;VAR:KEY=TOBYXIPWPM&amp;VAR:QUERY=UkdGX1RBWF9SQVRFKEFOTiwwLCwsLCwsTk9BVURJVCk=&amp;WINDOW=FIRST_POPUP&amp;HEIGHT=450&amp;WIDTH=450&amp;","START_MAXIMIZED=FALSE&amp;VAR:CALENDAR=US&amp;VAR:SYMBOL=475513&amp;VAR:INDEX=0"}</definedName>
    <definedName name="_2456__FDSAUDITLINK__" localSheetId="3" hidden="1">{"fdsup://directions/FAT Viewer?action=UPDATE&amp;creator=factset&amp;DYN_ARGS=TRUE&amp;DOC_NAME=FAT:FQL_AUDITING_CLIENT_TEMPLATE.FAT&amp;display_string=Audit&amp;VAR:KEY=TOBYXIPWPM&amp;VAR:QUERY=UkdGX1RBWF9SQVRFKEFOTiwwLCwsLCwsTk9BVURJVCk=&amp;WINDOW=FIRST_POPUP&amp;HEIGHT=450&amp;WIDTH=450&amp;","START_MAXIMIZED=FALSE&amp;VAR:CALENDAR=US&amp;VAR:SYMBOL=475513&amp;VAR:INDEX=0"}</definedName>
    <definedName name="_2456__FDSAUDITLINK__" localSheetId="7" hidden="1">{"fdsup://directions/FAT Viewer?action=UPDATE&amp;creator=factset&amp;DYN_ARGS=TRUE&amp;DOC_NAME=FAT:FQL_AUDITING_CLIENT_TEMPLATE.FAT&amp;display_string=Audit&amp;VAR:KEY=TOBYXIPWPM&amp;VAR:QUERY=UkdGX1RBWF9SQVRFKEFOTiwwLCwsLCwsTk9BVURJVCk=&amp;WINDOW=FIRST_POPUP&amp;HEIGHT=450&amp;WIDTH=450&amp;","START_MAXIMIZED=FALSE&amp;VAR:CALENDAR=US&amp;VAR:SYMBOL=475513&amp;VAR:INDEX=0"}</definedName>
    <definedName name="_2456__FDSAUDITLINK__" hidden="1">{"fdsup://directions/FAT Viewer?action=UPDATE&amp;creator=factset&amp;DYN_ARGS=TRUE&amp;DOC_NAME=FAT:FQL_AUDITING_CLIENT_TEMPLATE.FAT&amp;display_string=Audit&amp;VAR:KEY=TOBYXIPWPM&amp;VAR:QUERY=UkdGX1RBWF9SQVRFKEFOTiwwLCwsLCwsTk9BVURJVCk=&amp;WINDOW=FIRST_POPUP&amp;HEIGHT=450&amp;WIDTH=450&amp;","START_MAXIMIZED=FALSE&amp;VAR:CALENDAR=US&amp;VAR:SYMBOL=475513&amp;VAR:INDEX=0"}</definedName>
    <definedName name="_2457__FDSAUDITLINK__" localSheetId="3" hidden="1">{"fdsup://directions/FAT Viewer?action=UPDATE&amp;creator=factset&amp;DYN_ARGS=TRUE&amp;DOC_NAME=FAT:FQL_AUDITING_CLIENT_TEMPLATE.FAT&amp;display_string=Audit&amp;VAR:KEY=FSNWJODKDS&amp;VAR:QUERY=UkdGX1RBWF9SQVRFKEFOTiwwLCwsLCwsTk9BVURJVCk=&amp;WINDOW=FIRST_POPUP&amp;HEIGHT=450&amp;WIDTH=450&amp;","START_MAXIMIZED=FALSE&amp;VAR:CALENDAR=US&amp;VAR:SYMBOL=SMSI&amp;VAR:INDEX=0"}</definedName>
    <definedName name="_2457__FDSAUDITLINK__" localSheetId="7" hidden="1">{"fdsup://directions/FAT Viewer?action=UPDATE&amp;creator=factset&amp;DYN_ARGS=TRUE&amp;DOC_NAME=FAT:FQL_AUDITING_CLIENT_TEMPLATE.FAT&amp;display_string=Audit&amp;VAR:KEY=FSNWJODKDS&amp;VAR:QUERY=UkdGX1RBWF9SQVRFKEFOTiwwLCwsLCwsTk9BVURJVCk=&amp;WINDOW=FIRST_POPUP&amp;HEIGHT=450&amp;WIDTH=450&amp;","START_MAXIMIZED=FALSE&amp;VAR:CALENDAR=US&amp;VAR:SYMBOL=SMSI&amp;VAR:INDEX=0"}</definedName>
    <definedName name="_2457__FDSAUDITLINK__" hidden="1">{"fdsup://directions/FAT Viewer?action=UPDATE&amp;creator=factset&amp;DYN_ARGS=TRUE&amp;DOC_NAME=FAT:FQL_AUDITING_CLIENT_TEMPLATE.FAT&amp;display_string=Audit&amp;VAR:KEY=FSNWJODKDS&amp;VAR:QUERY=UkdGX1RBWF9SQVRFKEFOTiwwLCwsLCwsTk9BVURJVCk=&amp;WINDOW=FIRST_POPUP&amp;HEIGHT=450&amp;WIDTH=450&amp;","START_MAXIMIZED=FALSE&amp;VAR:CALENDAR=US&amp;VAR:SYMBOL=SMSI&amp;VAR:INDEX=0"}</definedName>
    <definedName name="_2458__FDSAUDITLINK__" localSheetId="3" hidden="1">{"fdsup://directions/FAT Viewer?action=UPDATE&amp;creator=factset&amp;DYN_ARGS=TRUE&amp;DOC_NAME=FAT:FQL_AUDITING_CLIENT_TEMPLATE.FAT&amp;display_string=Audit&amp;VAR:KEY=FSNWJODKDS&amp;VAR:QUERY=UkdGX1RBWF9SQVRFKEFOTiwwLCwsLCwsTk9BVURJVCk=&amp;WINDOW=FIRST_POPUP&amp;HEIGHT=450&amp;WIDTH=450&amp;","START_MAXIMIZED=FALSE&amp;VAR:CALENDAR=US&amp;VAR:SYMBOL=SMSI&amp;VAR:INDEX=0"}</definedName>
    <definedName name="_2458__FDSAUDITLINK__" localSheetId="7" hidden="1">{"fdsup://directions/FAT Viewer?action=UPDATE&amp;creator=factset&amp;DYN_ARGS=TRUE&amp;DOC_NAME=FAT:FQL_AUDITING_CLIENT_TEMPLATE.FAT&amp;display_string=Audit&amp;VAR:KEY=FSNWJODKDS&amp;VAR:QUERY=UkdGX1RBWF9SQVRFKEFOTiwwLCwsLCwsTk9BVURJVCk=&amp;WINDOW=FIRST_POPUP&amp;HEIGHT=450&amp;WIDTH=450&amp;","START_MAXIMIZED=FALSE&amp;VAR:CALENDAR=US&amp;VAR:SYMBOL=SMSI&amp;VAR:INDEX=0"}</definedName>
    <definedName name="_2458__FDSAUDITLINK__" hidden="1">{"fdsup://directions/FAT Viewer?action=UPDATE&amp;creator=factset&amp;DYN_ARGS=TRUE&amp;DOC_NAME=FAT:FQL_AUDITING_CLIENT_TEMPLATE.FAT&amp;display_string=Audit&amp;VAR:KEY=FSNWJODKDS&amp;VAR:QUERY=UkdGX1RBWF9SQVRFKEFOTiwwLCwsLCwsTk9BVURJVCk=&amp;WINDOW=FIRST_POPUP&amp;HEIGHT=450&amp;WIDTH=450&amp;","START_MAXIMIZED=FALSE&amp;VAR:CALENDAR=US&amp;VAR:SYMBOL=SMSI&amp;VAR:INDEX=0"}</definedName>
    <definedName name="_2459__FDSAUDITLINK__" localSheetId="3" hidden="1">{"fdsup://directions/FAT Viewer?action=UPDATE&amp;creator=factset&amp;DYN_ARGS=TRUE&amp;DOC_NAME=FAT:FQL_AUDITING_CLIENT_TEMPLATE.FAT&amp;display_string=Audit&amp;VAR:KEY=VETQNUPQTE&amp;VAR:QUERY=UkdGX1RBWF9SQVRFKEFOTiwwLCwsLCwsTk9BVURJVCk=&amp;WINDOW=FIRST_POPUP&amp;HEIGHT=450&amp;WIDTH=450&amp;","START_MAXIMIZED=FALSE&amp;VAR:CALENDAR=US&amp;VAR:SYMBOL=SQI&amp;VAR:INDEX=0"}</definedName>
    <definedName name="_2459__FDSAUDITLINK__" localSheetId="7" hidden="1">{"fdsup://directions/FAT Viewer?action=UPDATE&amp;creator=factset&amp;DYN_ARGS=TRUE&amp;DOC_NAME=FAT:FQL_AUDITING_CLIENT_TEMPLATE.FAT&amp;display_string=Audit&amp;VAR:KEY=VETQNUPQTE&amp;VAR:QUERY=UkdGX1RBWF9SQVRFKEFOTiwwLCwsLCwsTk9BVURJVCk=&amp;WINDOW=FIRST_POPUP&amp;HEIGHT=450&amp;WIDTH=450&amp;","START_MAXIMIZED=FALSE&amp;VAR:CALENDAR=US&amp;VAR:SYMBOL=SQI&amp;VAR:INDEX=0"}</definedName>
    <definedName name="_2459__FDSAUDITLINK__" hidden="1">{"fdsup://directions/FAT Viewer?action=UPDATE&amp;creator=factset&amp;DYN_ARGS=TRUE&amp;DOC_NAME=FAT:FQL_AUDITING_CLIENT_TEMPLATE.FAT&amp;display_string=Audit&amp;VAR:KEY=VETQNUPQTE&amp;VAR:QUERY=UkdGX1RBWF9SQVRFKEFOTiwwLCwsLCwsTk9BVURJVCk=&amp;WINDOW=FIRST_POPUP&amp;HEIGHT=450&amp;WIDTH=450&amp;","START_MAXIMIZED=FALSE&amp;VAR:CALENDAR=US&amp;VAR:SYMBOL=SQI&amp;VAR:INDEX=0"}</definedName>
    <definedName name="_246__FDSAUDITLINK__" localSheetId="3" hidden="1">{"fdsup://directions/FAT Viewer?action=UPDATE&amp;creator=factset&amp;DYN_ARGS=TRUE&amp;DOC_NAME=FAT:FQL_AUDITING_CLIENT_TEMPLATE.FAT&amp;display_string=Audit&amp;VAR:KEY=JYTWVQNOTS&amp;VAR:QUERY=UCgwLC05LFksVVNEKSAvLyBGRl9TQUxFU19QUyhBTk4sMCwtOSxZLFJQLFVTRCxNKQ==&amp;WINDOW=FIRST_POP","UP&amp;HEIGHT=450&amp;WIDTH=450&amp;START_MAXIMIZED=FALSE&amp;VAR:CALENDAR=US&amp;VAR:SYMBOL=B10LQP&amp;VAR:INDEX=3"}</definedName>
    <definedName name="_246__FDSAUDITLINK__" localSheetId="7" hidden="1">{"fdsup://directions/FAT Viewer?action=UPDATE&amp;creator=factset&amp;DYN_ARGS=TRUE&amp;DOC_NAME=FAT:FQL_AUDITING_CLIENT_TEMPLATE.FAT&amp;display_string=Audit&amp;VAR:KEY=JYTWVQNOTS&amp;VAR:QUERY=UCgwLC05LFksVVNEKSAvLyBGRl9TQUxFU19QUyhBTk4sMCwtOSxZLFJQLFVTRCxNKQ==&amp;WINDOW=FIRST_POP","UP&amp;HEIGHT=450&amp;WIDTH=450&amp;START_MAXIMIZED=FALSE&amp;VAR:CALENDAR=US&amp;VAR:SYMBOL=B10LQP&amp;VAR:INDEX=3"}</definedName>
    <definedName name="_246__FDSAUDITLINK__" hidden="1">{"fdsup://directions/FAT Viewer?action=UPDATE&amp;creator=factset&amp;DYN_ARGS=TRUE&amp;DOC_NAME=FAT:FQL_AUDITING_CLIENT_TEMPLATE.FAT&amp;display_string=Audit&amp;VAR:KEY=JYTWVQNOTS&amp;VAR:QUERY=UCgwLC05LFksVVNEKSAvLyBGRl9TQUxFU19QUyhBTk4sMCwtOSxZLFJQLFVTRCxNKQ==&amp;WINDOW=FIRST_POP","UP&amp;HEIGHT=450&amp;WIDTH=450&amp;START_MAXIMIZED=FALSE&amp;VAR:CALENDAR=US&amp;VAR:SYMBOL=B10LQP&amp;VAR:INDEX=3"}</definedName>
    <definedName name="_2460__FDSAUDITLINK__" localSheetId="3" hidden="1">{"fdsup://directions/FAT Viewer?action=UPDATE&amp;creator=factset&amp;DYN_ARGS=TRUE&amp;DOC_NAME=FAT:FQL_AUDITING_CLIENT_TEMPLATE.FAT&amp;display_string=Audit&amp;VAR:KEY=VETQNUPQTE&amp;VAR:QUERY=UkdGX1RBWF9SQVRFKEFOTiwwLCwsLCwsTk9BVURJVCk=&amp;WINDOW=FIRST_POPUP&amp;HEIGHT=450&amp;WIDTH=450&amp;","START_MAXIMIZED=FALSE&amp;VAR:CALENDAR=US&amp;VAR:SYMBOL=SQI&amp;VAR:INDEX=0"}</definedName>
    <definedName name="_2460__FDSAUDITLINK__" localSheetId="7" hidden="1">{"fdsup://directions/FAT Viewer?action=UPDATE&amp;creator=factset&amp;DYN_ARGS=TRUE&amp;DOC_NAME=FAT:FQL_AUDITING_CLIENT_TEMPLATE.FAT&amp;display_string=Audit&amp;VAR:KEY=VETQNUPQTE&amp;VAR:QUERY=UkdGX1RBWF9SQVRFKEFOTiwwLCwsLCwsTk9BVURJVCk=&amp;WINDOW=FIRST_POPUP&amp;HEIGHT=450&amp;WIDTH=450&amp;","START_MAXIMIZED=FALSE&amp;VAR:CALENDAR=US&amp;VAR:SYMBOL=SQI&amp;VAR:INDEX=0"}</definedName>
    <definedName name="_2460__FDSAUDITLINK__" hidden="1">{"fdsup://directions/FAT Viewer?action=UPDATE&amp;creator=factset&amp;DYN_ARGS=TRUE&amp;DOC_NAME=FAT:FQL_AUDITING_CLIENT_TEMPLATE.FAT&amp;display_string=Audit&amp;VAR:KEY=VETQNUPQTE&amp;VAR:QUERY=UkdGX1RBWF9SQVRFKEFOTiwwLCwsLCwsTk9BVURJVCk=&amp;WINDOW=FIRST_POPUP&amp;HEIGHT=450&amp;WIDTH=450&amp;","START_MAXIMIZED=FALSE&amp;VAR:CALENDAR=US&amp;VAR:SYMBOL=SQI&amp;VAR:INDEX=0"}</definedName>
    <definedName name="_2461__FDSAUDITLINK__" localSheetId="3" hidden="1">{"fdsup://directions/FAT Viewer?action=UPDATE&amp;creator=factset&amp;DYN_ARGS=TRUE&amp;DOC_NAME=FAT:FQL_AUDITING_CLIENT_TEMPLATE.FAT&amp;display_string=Audit&amp;VAR:KEY=DYZADSRMHA&amp;VAR:QUERY=UkdGX1RBWF9SQVRFKEFOTiwwLCwsLCwsTk9BVURJVCk=&amp;WINDOW=FIRST_POPUP&amp;HEIGHT=450&amp;WIDTH=450&amp;","START_MAXIMIZED=FALSE&amp;VAR:CALENDAR=US&amp;VAR:SYMBOL=SVVS&amp;VAR:INDEX=0"}</definedName>
    <definedName name="_2461__FDSAUDITLINK__" localSheetId="7" hidden="1">{"fdsup://directions/FAT Viewer?action=UPDATE&amp;creator=factset&amp;DYN_ARGS=TRUE&amp;DOC_NAME=FAT:FQL_AUDITING_CLIENT_TEMPLATE.FAT&amp;display_string=Audit&amp;VAR:KEY=DYZADSRMHA&amp;VAR:QUERY=UkdGX1RBWF9SQVRFKEFOTiwwLCwsLCwsTk9BVURJVCk=&amp;WINDOW=FIRST_POPUP&amp;HEIGHT=450&amp;WIDTH=450&amp;","START_MAXIMIZED=FALSE&amp;VAR:CALENDAR=US&amp;VAR:SYMBOL=SVVS&amp;VAR:INDEX=0"}</definedName>
    <definedName name="_2461__FDSAUDITLINK__" hidden="1">{"fdsup://directions/FAT Viewer?action=UPDATE&amp;creator=factset&amp;DYN_ARGS=TRUE&amp;DOC_NAME=FAT:FQL_AUDITING_CLIENT_TEMPLATE.FAT&amp;display_string=Audit&amp;VAR:KEY=DYZADSRMHA&amp;VAR:QUERY=UkdGX1RBWF9SQVRFKEFOTiwwLCwsLCwsTk9BVURJVCk=&amp;WINDOW=FIRST_POPUP&amp;HEIGHT=450&amp;WIDTH=450&amp;","START_MAXIMIZED=FALSE&amp;VAR:CALENDAR=US&amp;VAR:SYMBOL=SVVS&amp;VAR:INDEX=0"}</definedName>
    <definedName name="_2462__FDSAUDITLINK__" localSheetId="3" hidden="1">{"fdsup://directions/FAT Viewer?action=UPDATE&amp;creator=factset&amp;DYN_ARGS=TRUE&amp;DOC_NAME=FAT:FQL_AUDITING_CLIENT_TEMPLATE.FAT&amp;display_string=Audit&amp;VAR:KEY=VQVMNCTKZK&amp;VAR:QUERY=UkdGX1RBWF9SQVRFKEFOTiwwLCwsLCwsTk9BVURJVCk=&amp;WINDOW=FIRST_POPUP&amp;HEIGHT=450&amp;WIDTH=450&amp;","START_MAXIMIZED=FALSE&amp;VAR:CALENDAR=US&amp;VAR:SYMBOL=SAP&amp;VAR:INDEX=0"}</definedName>
    <definedName name="_2462__FDSAUDITLINK__" localSheetId="7" hidden="1">{"fdsup://directions/FAT Viewer?action=UPDATE&amp;creator=factset&amp;DYN_ARGS=TRUE&amp;DOC_NAME=FAT:FQL_AUDITING_CLIENT_TEMPLATE.FAT&amp;display_string=Audit&amp;VAR:KEY=VQVMNCTKZK&amp;VAR:QUERY=UkdGX1RBWF9SQVRFKEFOTiwwLCwsLCwsTk9BVURJVCk=&amp;WINDOW=FIRST_POPUP&amp;HEIGHT=450&amp;WIDTH=450&amp;","START_MAXIMIZED=FALSE&amp;VAR:CALENDAR=US&amp;VAR:SYMBOL=SAP&amp;VAR:INDEX=0"}</definedName>
    <definedName name="_2462__FDSAUDITLINK__" hidden="1">{"fdsup://directions/FAT Viewer?action=UPDATE&amp;creator=factset&amp;DYN_ARGS=TRUE&amp;DOC_NAME=FAT:FQL_AUDITING_CLIENT_TEMPLATE.FAT&amp;display_string=Audit&amp;VAR:KEY=VQVMNCTKZK&amp;VAR:QUERY=UkdGX1RBWF9SQVRFKEFOTiwwLCwsLCwsTk9BVURJVCk=&amp;WINDOW=FIRST_POPUP&amp;HEIGHT=450&amp;WIDTH=450&amp;","START_MAXIMIZED=FALSE&amp;VAR:CALENDAR=US&amp;VAR:SYMBOL=SAP&amp;VAR:INDEX=0"}</definedName>
    <definedName name="_2463__FDSAUDITLINK__" localSheetId="3" hidden="1">{"fdsup://directions/FAT Viewer?action=UPDATE&amp;creator=factset&amp;DYN_ARGS=TRUE&amp;DOC_NAME=FAT:FQL_AUDITING_CLIENT_TEMPLATE.FAT&amp;display_string=Audit&amp;VAR:KEY=VQVMNCTKZK&amp;VAR:QUERY=UkdGX1RBWF9SQVRFKEFOTiwwLCwsLCwsTk9BVURJVCk=&amp;WINDOW=FIRST_POPUP&amp;HEIGHT=450&amp;WIDTH=450&amp;","START_MAXIMIZED=FALSE&amp;VAR:CALENDAR=US&amp;VAR:SYMBOL=SAP&amp;VAR:INDEX=0"}</definedName>
    <definedName name="_2463__FDSAUDITLINK__" localSheetId="7" hidden="1">{"fdsup://directions/FAT Viewer?action=UPDATE&amp;creator=factset&amp;DYN_ARGS=TRUE&amp;DOC_NAME=FAT:FQL_AUDITING_CLIENT_TEMPLATE.FAT&amp;display_string=Audit&amp;VAR:KEY=VQVMNCTKZK&amp;VAR:QUERY=UkdGX1RBWF9SQVRFKEFOTiwwLCwsLCwsTk9BVURJVCk=&amp;WINDOW=FIRST_POPUP&amp;HEIGHT=450&amp;WIDTH=450&amp;","START_MAXIMIZED=FALSE&amp;VAR:CALENDAR=US&amp;VAR:SYMBOL=SAP&amp;VAR:INDEX=0"}</definedName>
    <definedName name="_2463__FDSAUDITLINK__" hidden="1">{"fdsup://directions/FAT Viewer?action=UPDATE&amp;creator=factset&amp;DYN_ARGS=TRUE&amp;DOC_NAME=FAT:FQL_AUDITING_CLIENT_TEMPLATE.FAT&amp;display_string=Audit&amp;VAR:KEY=VQVMNCTKZK&amp;VAR:QUERY=UkdGX1RBWF9SQVRFKEFOTiwwLCwsLCwsTk9BVURJVCk=&amp;WINDOW=FIRST_POPUP&amp;HEIGHT=450&amp;WIDTH=450&amp;","START_MAXIMIZED=FALSE&amp;VAR:CALENDAR=US&amp;VAR:SYMBOL=SAP&amp;VAR:INDEX=0"}</definedName>
    <definedName name="_2464__FDSAUDITLINK__" localSheetId="3" hidden="1">{"fdsup://directions/FAT Viewer?action=UPDATE&amp;creator=factset&amp;DYN_ARGS=TRUE&amp;DOC_NAME=FAT:FQL_AUDITING_CLIENT_TEMPLATE.FAT&amp;display_string=Audit&amp;VAR:KEY=XOJOBSRWNK&amp;VAR:QUERY=UkdGX1RBWF9SQVRFKEFOTiwwLCwsLCwsTk9BVURJVCk=&amp;WINDOW=FIRST_POPUP&amp;HEIGHT=450&amp;WIDTH=450&amp;","START_MAXIMIZED=FALSE&amp;VAR:CALENDAR=US&amp;VAR:SYMBOL=CRM&amp;VAR:INDEX=0"}</definedName>
    <definedName name="_2464__FDSAUDITLINK__" localSheetId="7" hidden="1">{"fdsup://directions/FAT Viewer?action=UPDATE&amp;creator=factset&amp;DYN_ARGS=TRUE&amp;DOC_NAME=FAT:FQL_AUDITING_CLIENT_TEMPLATE.FAT&amp;display_string=Audit&amp;VAR:KEY=XOJOBSRWNK&amp;VAR:QUERY=UkdGX1RBWF9SQVRFKEFOTiwwLCwsLCwsTk9BVURJVCk=&amp;WINDOW=FIRST_POPUP&amp;HEIGHT=450&amp;WIDTH=450&amp;","START_MAXIMIZED=FALSE&amp;VAR:CALENDAR=US&amp;VAR:SYMBOL=CRM&amp;VAR:INDEX=0"}</definedName>
    <definedName name="_2464__FDSAUDITLINK__" hidden="1">{"fdsup://directions/FAT Viewer?action=UPDATE&amp;creator=factset&amp;DYN_ARGS=TRUE&amp;DOC_NAME=FAT:FQL_AUDITING_CLIENT_TEMPLATE.FAT&amp;display_string=Audit&amp;VAR:KEY=XOJOBSRWNK&amp;VAR:QUERY=UkdGX1RBWF9SQVRFKEFOTiwwLCwsLCwsTk9BVURJVCk=&amp;WINDOW=FIRST_POPUP&amp;HEIGHT=450&amp;WIDTH=450&amp;","START_MAXIMIZED=FALSE&amp;VAR:CALENDAR=US&amp;VAR:SYMBOL=CRM&amp;VAR:INDEX=0"}</definedName>
    <definedName name="_2465__FDSAUDITLINK__" localSheetId="3" hidden="1">{"fdsup://directions/FAT Viewer?action=UPDATE&amp;creator=factset&amp;DYN_ARGS=TRUE&amp;DOC_NAME=FAT:FQL_AUDITING_CLIENT_TEMPLATE.FAT&amp;display_string=Audit&amp;VAR:KEY=XOJOBSRWNK&amp;VAR:QUERY=UkdGX1RBWF9SQVRFKEFOTiwwLCwsLCwsTk9BVURJVCk=&amp;WINDOW=FIRST_POPUP&amp;HEIGHT=450&amp;WIDTH=450&amp;","START_MAXIMIZED=FALSE&amp;VAR:CALENDAR=US&amp;VAR:SYMBOL=CRM&amp;VAR:INDEX=0"}</definedName>
    <definedName name="_2465__FDSAUDITLINK__" localSheetId="7" hidden="1">{"fdsup://directions/FAT Viewer?action=UPDATE&amp;creator=factset&amp;DYN_ARGS=TRUE&amp;DOC_NAME=FAT:FQL_AUDITING_CLIENT_TEMPLATE.FAT&amp;display_string=Audit&amp;VAR:KEY=XOJOBSRWNK&amp;VAR:QUERY=UkdGX1RBWF9SQVRFKEFOTiwwLCwsLCwsTk9BVURJVCk=&amp;WINDOW=FIRST_POPUP&amp;HEIGHT=450&amp;WIDTH=450&amp;","START_MAXIMIZED=FALSE&amp;VAR:CALENDAR=US&amp;VAR:SYMBOL=CRM&amp;VAR:INDEX=0"}</definedName>
    <definedName name="_2465__FDSAUDITLINK__" hidden="1">{"fdsup://directions/FAT Viewer?action=UPDATE&amp;creator=factset&amp;DYN_ARGS=TRUE&amp;DOC_NAME=FAT:FQL_AUDITING_CLIENT_TEMPLATE.FAT&amp;display_string=Audit&amp;VAR:KEY=XOJOBSRWNK&amp;VAR:QUERY=UkdGX1RBWF9SQVRFKEFOTiwwLCwsLCwsTk9BVURJVCk=&amp;WINDOW=FIRST_POPUP&amp;HEIGHT=450&amp;WIDTH=450&amp;","START_MAXIMIZED=FALSE&amp;VAR:CALENDAR=US&amp;VAR:SYMBOL=CRM&amp;VAR:INDEX=0"}</definedName>
    <definedName name="_2466__FDSAUDITLINK__" localSheetId="3" hidden="1">{"fdsup://directions/FAT Viewer?action=UPDATE&amp;creator=factset&amp;DYN_ARGS=TRUE&amp;DOC_NAME=FAT:FQL_AUDITING_CLIENT_TEMPLATE.FAT&amp;display_string=Audit&amp;VAR:KEY=XMJMNKLCBO&amp;VAR:QUERY=UkdGX1RBWF9SQVRFKEFOTiwwLCwsLCwsTk9BVURJVCk=&amp;WINDOW=FIRST_POPUP&amp;HEIGHT=450&amp;WIDTH=450&amp;","START_MAXIMIZED=FALSE&amp;VAR:CALENDAR=US&amp;VAR:SYMBOL=080216&amp;VAR:INDEX=0"}</definedName>
    <definedName name="_2466__FDSAUDITLINK__" localSheetId="7" hidden="1">{"fdsup://directions/FAT Viewer?action=UPDATE&amp;creator=factset&amp;DYN_ARGS=TRUE&amp;DOC_NAME=FAT:FQL_AUDITING_CLIENT_TEMPLATE.FAT&amp;display_string=Audit&amp;VAR:KEY=XMJMNKLCBO&amp;VAR:QUERY=UkdGX1RBWF9SQVRFKEFOTiwwLCwsLCwsTk9BVURJVCk=&amp;WINDOW=FIRST_POPUP&amp;HEIGHT=450&amp;WIDTH=450&amp;","START_MAXIMIZED=FALSE&amp;VAR:CALENDAR=US&amp;VAR:SYMBOL=080216&amp;VAR:INDEX=0"}</definedName>
    <definedName name="_2466__FDSAUDITLINK__" hidden="1">{"fdsup://directions/FAT Viewer?action=UPDATE&amp;creator=factset&amp;DYN_ARGS=TRUE&amp;DOC_NAME=FAT:FQL_AUDITING_CLIENT_TEMPLATE.FAT&amp;display_string=Audit&amp;VAR:KEY=XMJMNKLCBO&amp;VAR:QUERY=UkdGX1RBWF9SQVRFKEFOTiwwLCwsLCwsTk9BVURJVCk=&amp;WINDOW=FIRST_POPUP&amp;HEIGHT=450&amp;WIDTH=450&amp;","START_MAXIMIZED=FALSE&amp;VAR:CALENDAR=US&amp;VAR:SYMBOL=080216&amp;VAR:INDEX=0"}</definedName>
    <definedName name="_2467__FDSAUDITLINK__" localSheetId="3" hidden="1">{"fdsup://directions/FAT Viewer?action=UPDATE&amp;creator=factset&amp;DYN_ARGS=TRUE&amp;DOC_NAME=FAT:FQL_AUDITING_CLIENT_TEMPLATE.FAT&amp;display_string=Audit&amp;VAR:KEY=XMJMNKLCBO&amp;VAR:QUERY=UkdGX1RBWF9SQVRFKEFOTiwwLCwsLCwsTk9BVURJVCk=&amp;WINDOW=FIRST_POPUP&amp;HEIGHT=450&amp;WIDTH=450&amp;","START_MAXIMIZED=FALSE&amp;VAR:CALENDAR=US&amp;VAR:SYMBOL=080216&amp;VAR:INDEX=0"}</definedName>
    <definedName name="_2467__FDSAUDITLINK__" localSheetId="7" hidden="1">{"fdsup://directions/FAT Viewer?action=UPDATE&amp;creator=factset&amp;DYN_ARGS=TRUE&amp;DOC_NAME=FAT:FQL_AUDITING_CLIENT_TEMPLATE.FAT&amp;display_string=Audit&amp;VAR:KEY=XMJMNKLCBO&amp;VAR:QUERY=UkdGX1RBWF9SQVRFKEFOTiwwLCwsLCwsTk9BVURJVCk=&amp;WINDOW=FIRST_POPUP&amp;HEIGHT=450&amp;WIDTH=450&amp;","START_MAXIMIZED=FALSE&amp;VAR:CALENDAR=US&amp;VAR:SYMBOL=080216&amp;VAR:INDEX=0"}</definedName>
    <definedName name="_2467__FDSAUDITLINK__" hidden="1">{"fdsup://directions/FAT Viewer?action=UPDATE&amp;creator=factset&amp;DYN_ARGS=TRUE&amp;DOC_NAME=FAT:FQL_AUDITING_CLIENT_TEMPLATE.FAT&amp;display_string=Audit&amp;VAR:KEY=XMJMNKLCBO&amp;VAR:QUERY=UkdGX1RBWF9SQVRFKEFOTiwwLCwsLCwsTk9BVURJVCk=&amp;WINDOW=FIRST_POPUP&amp;HEIGHT=450&amp;WIDTH=450&amp;","START_MAXIMIZED=FALSE&amp;VAR:CALENDAR=US&amp;VAR:SYMBOL=080216&amp;VAR:INDEX=0"}</definedName>
    <definedName name="_2468__FDSAUDITLINK__" localSheetId="3" hidden="1">{"fdsup://directions/FAT Viewer?action=UPDATE&amp;creator=factset&amp;DYN_ARGS=TRUE&amp;DOC_NAME=FAT:FQL_AUDITING_CLIENT_TEMPLATE.FAT&amp;display_string=Audit&amp;VAR:KEY=BIXEVWHYLK&amp;VAR:QUERY=UkdGX1RBWF9SQVRFKEFOTiwwLCwsLCwsTk9BVURJVCk=&amp;WINDOW=FIRST_POPUP&amp;HEIGHT=450&amp;WIDTH=450&amp;","START_MAXIMIZED=FALSE&amp;VAR:CALENDAR=US&amp;VAR:SYMBOL=SABA&amp;VAR:INDEX=0"}</definedName>
    <definedName name="_2468__FDSAUDITLINK__" localSheetId="7" hidden="1">{"fdsup://directions/FAT Viewer?action=UPDATE&amp;creator=factset&amp;DYN_ARGS=TRUE&amp;DOC_NAME=FAT:FQL_AUDITING_CLIENT_TEMPLATE.FAT&amp;display_string=Audit&amp;VAR:KEY=BIXEVWHYLK&amp;VAR:QUERY=UkdGX1RBWF9SQVRFKEFOTiwwLCwsLCwsTk9BVURJVCk=&amp;WINDOW=FIRST_POPUP&amp;HEIGHT=450&amp;WIDTH=450&amp;","START_MAXIMIZED=FALSE&amp;VAR:CALENDAR=US&amp;VAR:SYMBOL=SABA&amp;VAR:INDEX=0"}</definedName>
    <definedName name="_2468__FDSAUDITLINK__" hidden="1">{"fdsup://directions/FAT Viewer?action=UPDATE&amp;creator=factset&amp;DYN_ARGS=TRUE&amp;DOC_NAME=FAT:FQL_AUDITING_CLIENT_TEMPLATE.FAT&amp;display_string=Audit&amp;VAR:KEY=BIXEVWHYLK&amp;VAR:QUERY=UkdGX1RBWF9SQVRFKEFOTiwwLCwsLCwsTk9BVURJVCk=&amp;WINDOW=FIRST_POPUP&amp;HEIGHT=450&amp;WIDTH=450&amp;","START_MAXIMIZED=FALSE&amp;VAR:CALENDAR=US&amp;VAR:SYMBOL=SABA&amp;VAR:INDEX=0"}</definedName>
    <definedName name="_2469__FDSAUDITLINK__" localSheetId="3" hidden="1">{"fdsup://directions/FAT Viewer?action=UPDATE&amp;creator=factset&amp;DYN_ARGS=TRUE&amp;DOC_NAME=FAT:FQL_AUDITING_CLIENT_TEMPLATE.FAT&amp;display_string=Audit&amp;VAR:KEY=BIXEVWHYLK&amp;VAR:QUERY=UkdGX1RBWF9SQVRFKEFOTiwwLCwsLCwsTk9BVURJVCk=&amp;WINDOW=FIRST_POPUP&amp;HEIGHT=450&amp;WIDTH=450&amp;","START_MAXIMIZED=FALSE&amp;VAR:CALENDAR=US&amp;VAR:SYMBOL=SABA&amp;VAR:INDEX=0"}</definedName>
    <definedName name="_2469__FDSAUDITLINK__" localSheetId="7" hidden="1">{"fdsup://directions/FAT Viewer?action=UPDATE&amp;creator=factset&amp;DYN_ARGS=TRUE&amp;DOC_NAME=FAT:FQL_AUDITING_CLIENT_TEMPLATE.FAT&amp;display_string=Audit&amp;VAR:KEY=BIXEVWHYLK&amp;VAR:QUERY=UkdGX1RBWF9SQVRFKEFOTiwwLCwsLCwsTk9BVURJVCk=&amp;WINDOW=FIRST_POPUP&amp;HEIGHT=450&amp;WIDTH=450&amp;","START_MAXIMIZED=FALSE&amp;VAR:CALENDAR=US&amp;VAR:SYMBOL=SABA&amp;VAR:INDEX=0"}</definedName>
    <definedName name="_2469__FDSAUDITLINK__" hidden="1">{"fdsup://directions/FAT Viewer?action=UPDATE&amp;creator=factset&amp;DYN_ARGS=TRUE&amp;DOC_NAME=FAT:FQL_AUDITING_CLIENT_TEMPLATE.FAT&amp;display_string=Audit&amp;VAR:KEY=BIXEVWHYLK&amp;VAR:QUERY=UkdGX1RBWF9SQVRFKEFOTiwwLCwsLCwsTk9BVURJVCk=&amp;WINDOW=FIRST_POPUP&amp;HEIGHT=450&amp;WIDTH=450&amp;","START_MAXIMIZED=FALSE&amp;VAR:CALENDAR=US&amp;VAR:SYMBOL=SABA&amp;VAR:INDEX=0"}</definedName>
    <definedName name="_247__FDSAUDITLINK__" localSheetId="3" hidden="1">{"fdsup://directions/FAT Viewer?action=UPDATE&amp;creator=factset&amp;DYN_ARGS=TRUE&amp;DOC_NAME=FAT:FQL_AUDITING_CLIENT_TEMPLATE.FAT&amp;display_string=Audit&amp;VAR:KEY=JYTWVQNOTS&amp;VAR:QUERY=UCgwLC05LFksVVNEKSAvLyBGRl9TQUxFU19QUyhBTk4sMCwtOSxZLFJQLFVTRCxNKQ==&amp;WINDOW=FIRST_POP","UP&amp;HEIGHT=450&amp;WIDTH=450&amp;START_MAXIMIZED=FALSE&amp;VAR:CALENDAR=US&amp;VAR:SYMBOL=B10LQP&amp;VAR:INDEX=2"}</definedName>
    <definedName name="_247__FDSAUDITLINK__" localSheetId="7" hidden="1">{"fdsup://directions/FAT Viewer?action=UPDATE&amp;creator=factset&amp;DYN_ARGS=TRUE&amp;DOC_NAME=FAT:FQL_AUDITING_CLIENT_TEMPLATE.FAT&amp;display_string=Audit&amp;VAR:KEY=JYTWVQNOTS&amp;VAR:QUERY=UCgwLC05LFksVVNEKSAvLyBGRl9TQUxFU19QUyhBTk4sMCwtOSxZLFJQLFVTRCxNKQ==&amp;WINDOW=FIRST_POP","UP&amp;HEIGHT=450&amp;WIDTH=450&amp;START_MAXIMIZED=FALSE&amp;VAR:CALENDAR=US&amp;VAR:SYMBOL=B10LQP&amp;VAR:INDEX=2"}</definedName>
    <definedName name="_247__FDSAUDITLINK__" hidden="1">{"fdsup://directions/FAT Viewer?action=UPDATE&amp;creator=factset&amp;DYN_ARGS=TRUE&amp;DOC_NAME=FAT:FQL_AUDITING_CLIENT_TEMPLATE.FAT&amp;display_string=Audit&amp;VAR:KEY=JYTWVQNOTS&amp;VAR:QUERY=UCgwLC05LFksVVNEKSAvLyBGRl9TQUxFU19QUyhBTk4sMCwtOSxZLFJQLFVTRCxNKQ==&amp;WINDOW=FIRST_POP","UP&amp;HEIGHT=450&amp;WIDTH=450&amp;START_MAXIMIZED=FALSE&amp;VAR:CALENDAR=US&amp;VAR:SYMBOL=B10LQP&amp;VAR:INDEX=2"}</definedName>
    <definedName name="_2470__FDSAUDITLINK__" localSheetId="3" hidden="1">{"fdsup://directions/FAT Viewer?action=UPDATE&amp;creator=factset&amp;DYN_ARGS=TRUE&amp;DOC_NAME=FAT:FQL_AUDITING_CLIENT_TEMPLATE.FAT&amp;display_string=Audit&amp;VAR:KEY=JKRGZATWXA&amp;VAR:QUERY=UkdGX1RBWF9SQVRFKEFOTiwwLCwsLCwsTk9BVURJVCk=&amp;WINDOW=FIRST_POPUP&amp;HEIGHT=450&amp;WIDTH=450&amp;","START_MAXIMIZED=FALSE&amp;VAR:CALENDAR=US&amp;VAR:SYMBOL=RVBD&amp;VAR:INDEX=0"}</definedName>
    <definedName name="_2470__FDSAUDITLINK__" localSheetId="7" hidden="1">{"fdsup://directions/FAT Viewer?action=UPDATE&amp;creator=factset&amp;DYN_ARGS=TRUE&amp;DOC_NAME=FAT:FQL_AUDITING_CLIENT_TEMPLATE.FAT&amp;display_string=Audit&amp;VAR:KEY=JKRGZATWXA&amp;VAR:QUERY=UkdGX1RBWF9SQVRFKEFOTiwwLCwsLCwsTk9BVURJVCk=&amp;WINDOW=FIRST_POPUP&amp;HEIGHT=450&amp;WIDTH=450&amp;","START_MAXIMIZED=FALSE&amp;VAR:CALENDAR=US&amp;VAR:SYMBOL=RVBD&amp;VAR:INDEX=0"}</definedName>
    <definedName name="_2470__FDSAUDITLINK__" hidden="1">{"fdsup://directions/FAT Viewer?action=UPDATE&amp;creator=factset&amp;DYN_ARGS=TRUE&amp;DOC_NAME=FAT:FQL_AUDITING_CLIENT_TEMPLATE.FAT&amp;display_string=Audit&amp;VAR:KEY=JKRGZATWXA&amp;VAR:QUERY=UkdGX1RBWF9SQVRFKEFOTiwwLCwsLCwsTk9BVURJVCk=&amp;WINDOW=FIRST_POPUP&amp;HEIGHT=450&amp;WIDTH=450&amp;","START_MAXIMIZED=FALSE&amp;VAR:CALENDAR=US&amp;VAR:SYMBOL=RVBD&amp;VAR:INDEX=0"}</definedName>
    <definedName name="_2471__FDSAUDITLINK__" localSheetId="3" hidden="1">{"fdsup://directions/FAT Viewer?action=UPDATE&amp;creator=factset&amp;DYN_ARGS=TRUE&amp;DOC_NAME=FAT:FQL_AUDITING_CLIENT_TEMPLATE.FAT&amp;display_string=Audit&amp;VAR:KEY=JKRGZATWXA&amp;VAR:QUERY=UkdGX1RBWF9SQVRFKEFOTiwwLCwsLCwsTk9BVURJVCk=&amp;WINDOW=FIRST_POPUP&amp;HEIGHT=450&amp;WIDTH=450&amp;","START_MAXIMIZED=FALSE&amp;VAR:CALENDAR=US&amp;VAR:SYMBOL=RVBD&amp;VAR:INDEX=0"}</definedName>
    <definedName name="_2471__FDSAUDITLINK__" localSheetId="7" hidden="1">{"fdsup://directions/FAT Viewer?action=UPDATE&amp;creator=factset&amp;DYN_ARGS=TRUE&amp;DOC_NAME=FAT:FQL_AUDITING_CLIENT_TEMPLATE.FAT&amp;display_string=Audit&amp;VAR:KEY=JKRGZATWXA&amp;VAR:QUERY=UkdGX1RBWF9SQVRFKEFOTiwwLCwsLCwsTk9BVURJVCk=&amp;WINDOW=FIRST_POPUP&amp;HEIGHT=450&amp;WIDTH=450&amp;","START_MAXIMIZED=FALSE&amp;VAR:CALENDAR=US&amp;VAR:SYMBOL=RVBD&amp;VAR:INDEX=0"}</definedName>
    <definedName name="_2471__FDSAUDITLINK__" hidden="1">{"fdsup://directions/FAT Viewer?action=UPDATE&amp;creator=factset&amp;DYN_ARGS=TRUE&amp;DOC_NAME=FAT:FQL_AUDITING_CLIENT_TEMPLATE.FAT&amp;display_string=Audit&amp;VAR:KEY=JKRGZATWXA&amp;VAR:QUERY=UkdGX1RBWF9SQVRFKEFOTiwwLCwsLCwsTk9BVURJVCk=&amp;WINDOW=FIRST_POPUP&amp;HEIGHT=450&amp;WIDTH=450&amp;","START_MAXIMIZED=FALSE&amp;VAR:CALENDAR=US&amp;VAR:SYMBOL=RVBD&amp;VAR:INDEX=0"}</definedName>
    <definedName name="_2472__FDSAUDITLINK__" localSheetId="3" hidden="1">{"fdsup://directions/FAT Viewer?action=UPDATE&amp;creator=factset&amp;DYN_ARGS=TRUE&amp;DOC_NAME=FAT:FQL_AUDITING_CLIENT_TEMPLATE.FAT&amp;display_string=Audit&amp;VAR:KEY=VWBEHWVYTI&amp;VAR:QUERY=UkdGX1RBWF9SQVRFKEFOTiwwLCwsLCwsTk9BVURJVCk=&amp;WINDOW=FIRST_POPUP&amp;HEIGHT=450&amp;WIDTH=450&amp;","START_MAXIMIZED=FALSE&amp;VAR:CALENDAR=US&amp;VAR:SYMBOL=ROVI&amp;VAR:INDEX=0"}</definedName>
    <definedName name="_2472__FDSAUDITLINK__" localSheetId="7" hidden="1">{"fdsup://directions/FAT Viewer?action=UPDATE&amp;creator=factset&amp;DYN_ARGS=TRUE&amp;DOC_NAME=FAT:FQL_AUDITING_CLIENT_TEMPLATE.FAT&amp;display_string=Audit&amp;VAR:KEY=VWBEHWVYTI&amp;VAR:QUERY=UkdGX1RBWF9SQVRFKEFOTiwwLCwsLCwsTk9BVURJVCk=&amp;WINDOW=FIRST_POPUP&amp;HEIGHT=450&amp;WIDTH=450&amp;","START_MAXIMIZED=FALSE&amp;VAR:CALENDAR=US&amp;VAR:SYMBOL=ROVI&amp;VAR:INDEX=0"}</definedName>
    <definedName name="_2472__FDSAUDITLINK__" hidden="1">{"fdsup://directions/FAT Viewer?action=UPDATE&amp;creator=factset&amp;DYN_ARGS=TRUE&amp;DOC_NAME=FAT:FQL_AUDITING_CLIENT_TEMPLATE.FAT&amp;display_string=Audit&amp;VAR:KEY=VWBEHWVYTI&amp;VAR:QUERY=UkdGX1RBWF9SQVRFKEFOTiwwLCwsLCwsTk9BVURJVCk=&amp;WINDOW=FIRST_POPUP&amp;HEIGHT=450&amp;WIDTH=450&amp;","START_MAXIMIZED=FALSE&amp;VAR:CALENDAR=US&amp;VAR:SYMBOL=ROVI&amp;VAR:INDEX=0"}</definedName>
    <definedName name="_2473__FDSAUDITLINK__" localSheetId="3" hidden="1">{"fdsup://directions/FAT Viewer?action=UPDATE&amp;creator=factset&amp;DYN_ARGS=TRUE&amp;DOC_NAME=FAT:FQL_AUDITING_CLIENT_TEMPLATE.FAT&amp;display_string=Audit&amp;VAR:KEY=VWBEHWVYTI&amp;VAR:QUERY=UkdGX1RBWF9SQVRFKEFOTiwwLCwsLCwsTk9BVURJVCk=&amp;WINDOW=FIRST_POPUP&amp;HEIGHT=450&amp;WIDTH=450&amp;","START_MAXIMIZED=FALSE&amp;VAR:CALENDAR=US&amp;VAR:SYMBOL=ROVI&amp;VAR:INDEX=0"}</definedName>
    <definedName name="_2473__FDSAUDITLINK__" localSheetId="7" hidden="1">{"fdsup://directions/FAT Viewer?action=UPDATE&amp;creator=factset&amp;DYN_ARGS=TRUE&amp;DOC_NAME=FAT:FQL_AUDITING_CLIENT_TEMPLATE.FAT&amp;display_string=Audit&amp;VAR:KEY=VWBEHWVYTI&amp;VAR:QUERY=UkdGX1RBWF9SQVRFKEFOTiwwLCwsLCwsTk9BVURJVCk=&amp;WINDOW=FIRST_POPUP&amp;HEIGHT=450&amp;WIDTH=450&amp;","START_MAXIMIZED=FALSE&amp;VAR:CALENDAR=US&amp;VAR:SYMBOL=ROVI&amp;VAR:INDEX=0"}</definedName>
    <definedName name="_2473__FDSAUDITLINK__" hidden="1">{"fdsup://directions/FAT Viewer?action=UPDATE&amp;creator=factset&amp;DYN_ARGS=TRUE&amp;DOC_NAME=FAT:FQL_AUDITING_CLIENT_TEMPLATE.FAT&amp;display_string=Audit&amp;VAR:KEY=VWBEHWVYTI&amp;VAR:QUERY=UkdGX1RBWF9SQVRFKEFOTiwwLCwsLCwsTk9BVURJVCk=&amp;WINDOW=FIRST_POPUP&amp;HEIGHT=450&amp;WIDTH=450&amp;","START_MAXIMIZED=FALSE&amp;VAR:CALENDAR=US&amp;VAR:SYMBOL=ROVI&amp;VAR:INDEX=0"}</definedName>
    <definedName name="_2474__FDSAUDITLINK__" localSheetId="3" hidden="1">{"fdsup://directions/FAT Viewer?action=UPDATE&amp;creator=factset&amp;DYN_ARGS=TRUE&amp;DOC_NAME=FAT:FQL_AUDITING_CLIENT_TEMPLATE.FAT&amp;display_string=Audit&amp;VAR:KEY=FSRULINKPW&amp;VAR:QUERY=UkdGX1RBWF9SQVRFKEFOTiwwLCwsLCwsTk9BVURJVCk=&amp;WINDOW=FIRST_POPUP&amp;HEIGHT=450&amp;WIDTH=450&amp;","START_MAXIMIZED=FALSE&amp;VAR:CALENDAR=US&amp;VAR:SYMBOL=RNWK&amp;VAR:INDEX=0"}</definedName>
    <definedName name="_2474__FDSAUDITLINK__" localSheetId="7" hidden="1">{"fdsup://directions/FAT Viewer?action=UPDATE&amp;creator=factset&amp;DYN_ARGS=TRUE&amp;DOC_NAME=FAT:FQL_AUDITING_CLIENT_TEMPLATE.FAT&amp;display_string=Audit&amp;VAR:KEY=FSRULINKPW&amp;VAR:QUERY=UkdGX1RBWF9SQVRFKEFOTiwwLCwsLCwsTk9BVURJVCk=&amp;WINDOW=FIRST_POPUP&amp;HEIGHT=450&amp;WIDTH=450&amp;","START_MAXIMIZED=FALSE&amp;VAR:CALENDAR=US&amp;VAR:SYMBOL=RNWK&amp;VAR:INDEX=0"}</definedName>
    <definedName name="_2474__FDSAUDITLINK__" hidden="1">{"fdsup://directions/FAT Viewer?action=UPDATE&amp;creator=factset&amp;DYN_ARGS=TRUE&amp;DOC_NAME=FAT:FQL_AUDITING_CLIENT_TEMPLATE.FAT&amp;display_string=Audit&amp;VAR:KEY=FSRULINKPW&amp;VAR:QUERY=UkdGX1RBWF9SQVRFKEFOTiwwLCwsLCwsTk9BVURJVCk=&amp;WINDOW=FIRST_POPUP&amp;HEIGHT=450&amp;WIDTH=450&amp;","START_MAXIMIZED=FALSE&amp;VAR:CALENDAR=US&amp;VAR:SYMBOL=RNWK&amp;VAR:INDEX=0"}</definedName>
    <definedName name="_2475__FDSAUDITLINK__" localSheetId="3" hidden="1">{"fdsup://directions/FAT Viewer?action=UPDATE&amp;creator=factset&amp;DYN_ARGS=TRUE&amp;DOC_NAME=FAT:FQL_AUDITING_CLIENT_TEMPLATE.FAT&amp;display_string=Audit&amp;VAR:KEY=VQTEXITWVG&amp;VAR:QUERY=UkdGX1RBWF9SQVRFKEFOTiwwLCwsLCwsTk9BVURJVCk=&amp;WINDOW=FIRST_POPUP&amp;HEIGHT=450&amp;WIDTH=450&amp;","START_MAXIMIZED=FALSE&amp;VAR:CALENDAR=US&amp;VAR:SYMBOL=RNOW&amp;VAR:INDEX=0"}</definedName>
    <definedName name="_2475__FDSAUDITLINK__" localSheetId="7" hidden="1">{"fdsup://directions/FAT Viewer?action=UPDATE&amp;creator=factset&amp;DYN_ARGS=TRUE&amp;DOC_NAME=FAT:FQL_AUDITING_CLIENT_TEMPLATE.FAT&amp;display_string=Audit&amp;VAR:KEY=VQTEXITWVG&amp;VAR:QUERY=UkdGX1RBWF9SQVRFKEFOTiwwLCwsLCwsTk9BVURJVCk=&amp;WINDOW=FIRST_POPUP&amp;HEIGHT=450&amp;WIDTH=450&amp;","START_MAXIMIZED=FALSE&amp;VAR:CALENDAR=US&amp;VAR:SYMBOL=RNOW&amp;VAR:INDEX=0"}</definedName>
    <definedName name="_2475__FDSAUDITLINK__" hidden="1">{"fdsup://directions/FAT Viewer?action=UPDATE&amp;creator=factset&amp;DYN_ARGS=TRUE&amp;DOC_NAME=FAT:FQL_AUDITING_CLIENT_TEMPLATE.FAT&amp;display_string=Audit&amp;VAR:KEY=VQTEXITWVG&amp;VAR:QUERY=UkdGX1RBWF9SQVRFKEFOTiwwLCwsLCwsTk9BVURJVCk=&amp;WINDOW=FIRST_POPUP&amp;HEIGHT=450&amp;WIDTH=450&amp;","START_MAXIMIZED=FALSE&amp;VAR:CALENDAR=US&amp;VAR:SYMBOL=RNOW&amp;VAR:INDEX=0"}</definedName>
    <definedName name="_2476__FDSAUDITLINK__" localSheetId="3" hidden="1">{"fdsup://directions/FAT Viewer?action=UPDATE&amp;creator=factset&amp;DYN_ARGS=TRUE&amp;DOC_NAME=FAT:FQL_AUDITING_CLIENT_TEMPLATE.FAT&amp;display_string=Audit&amp;VAR:KEY=VQTEXITWVG&amp;VAR:QUERY=UkdGX1RBWF9SQVRFKEFOTiwwLCwsLCwsTk9BVURJVCk=&amp;WINDOW=FIRST_POPUP&amp;HEIGHT=450&amp;WIDTH=450&amp;","START_MAXIMIZED=FALSE&amp;VAR:CALENDAR=US&amp;VAR:SYMBOL=RNOW&amp;VAR:INDEX=0"}</definedName>
    <definedName name="_2476__FDSAUDITLINK__" localSheetId="7" hidden="1">{"fdsup://directions/FAT Viewer?action=UPDATE&amp;creator=factset&amp;DYN_ARGS=TRUE&amp;DOC_NAME=FAT:FQL_AUDITING_CLIENT_TEMPLATE.FAT&amp;display_string=Audit&amp;VAR:KEY=VQTEXITWVG&amp;VAR:QUERY=UkdGX1RBWF9SQVRFKEFOTiwwLCwsLCwsTk9BVURJVCk=&amp;WINDOW=FIRST_POPUP&amp;HEIGHT=450&amp;WIDTH=450&amp;","START_MAXIMIZED=FALSE&amp;VAR:CALENDAR=US&amp;VAR:SYMBOL=RNOW&amp;VAR:INDEX=0"}</definedName>
    <definedName name="_2476__FDSAUDITLINK__" hidden="1">{"fdsup://directions/FAT Viewer?action=UPDATE&amp;creator=factset&amp;DYN_ARGS=TRUE&amp;DOC_NAME=FAT:FQL_AUDITING_CLIENT_TEMPLATE.FAT&amp;display_string=Audit&amp;VAR:KEY=VQTEXITWVG&amp;VAR:QUERY=UkdGX1RBWF9SQVRFKEFOTiwwLCwsLCwsTk9BVURJVCk=&amp;WINDOW=FIRST_POPUP&amp;HEIGHT=450&amp;WIDTH=450&amp;","START_MAXIMIZED=FALSE&amp;VAR:CALENDAR=US&amp;VAR:SYMBOL=RNOW&amp;VAR:INDEX=0"}</definedName>
    <definedName name="_2477__FDSAUDITLINK__" localSheetId="3" hidden="1">{"fdsup://directions/FAT Viewer?action=UPDATE&amp;creator=factset&amp;DYN_ARGS=TRUE&amp;DOC_NAME=FAT:FQL_AUDITING_CLIENT_TEMPLATE.FAT&amp;display_string=Audit&amp;VAR:KEY=PSXULUVKDK&amp;VAR:QUERY=UkdGX1RBWF9SQVRFKEFOTiwwLCwsLCwsTk9BVURJVCk=&amp;WINDOW=FIRST_POPUP&amp;HEIGHT=450&amp;WIDTH=450&amp;","START_MAXIMIZED=FALSE&amp;VAR:CALENDAR=US&amp;VAR:SYMBOL=RLD&amp;VAR:INDEX=0"}</definedName>
    <definedName name="_2477__FDSAUDITLINK__" localSheetId="7" hidden="1">{"fdsup://directions/FAT Viewer?action=UPDATE&amp;creator=factset&amp;DYN_ARGS=TRUE&amp;DOC_NAME=FAT:FQL_AUDITING_CLIENT_TEMPLATE.FAT&amp;display_string=Audit&amp;VAR:KEY=PSXULUVKDK&amp;VAR:QUERY=UkdGX1RBWF9SQVRFKEFOTiwwLCwsLCwsTk9BVURJVCk=&amp;WINDOW=FIRST_POPUP&amp;HEIGHT=450&amp;WIDTH=450&amp;","START_MAXIMIZED=FALSE&amp;VAR:CALENDAR=US&amp;VAR:SYMBOL=RLD&amp;VAR:INDEX=0"}</definedName>
    <definedName name="_2477__FDSAUDITLINK__" hidden="1">{"fdsup://directions/FAT Viewer?action=UPDATE&amp;creator=factset&amp;DYN_ARGS=TRUE&amp;DOC_NAME=FAT:FQL_AUDITING_CLIENT_TEMPLATE.FAT&amp;display_string=Audit&amp;VAR:KEY=PSXULUVKDK&amp;VAR:QUERY=UkdGX1RBWF9SQVRFKEFOTiwwLCwsLCwsTk9BVURJVCk=&amp;WINDOW=FIRST_POPUP&amp;HEIGHT=450&amp;WIDTH=450&amp;","START_MAXIMIZED=FALSE&amp;VAR:CALENDAR=US&amp;VAR:SYMBOL=RLD&amp;VAR:INDEX=0"}</definedName>
    <definedName name="_2478__FDSAUDITLINK__" localSheetId="3" hidden="1">{"fdsup://directions/FAT Viewer?action=UPDATE&amp;creator=factset&amp;DYN_ARGS=TRUE&amp;DOC_NAME=FAT:FQL_AUDITING_CLIENT_TEMPLATE.FAT&amp;display_string=Audit&amp;VAR:KEY=JUPGDIXCFC&amp;VAR:QUERY=UkdGX1RBWF9SQVRFKEFOTiwwLCwsLCwsTk9BVURJVCk=&amp;WINDOW=FIRST_POPUP&amp;HEIGHT=450&amp;WIDTH=450&amp;","START_MAXIMIZED=FALSE&amp;VAR:CALENDAR=US&amp;VAR:SYMBOL=RIMM&amp;VAR:INDEX=0"}</definedName>
    <definedName name="_2478__FDSAUDITLINK__" localSheetId="7" hidden="1">{"fdsup://directions/FAT Viewer?action=UPDATE&amp;creator=factset&amp;DYN_ARGS=TRUE&amp;DOC_NAME=FAT:FQL_AUDITING_CLIENT_TEMPLATE.FAT&amp;display_string=Audit&amp;VAR:KEY=JUPGDIXCFC&amp;VAR:QUERY=UkdGX1RBWF9SQVRFKEFOTiwwLCwsLCwsTk9BVURJVCk=&amp;WINDOW=FIRST_POPUP&amp;HEIGHT=450&amp;WIDTH=450&amp;","START_MAXIMIZED=FALSE&amp;VAR:CALENDAR=US&amp;VAR:SYMBOL=RIMM&amp;VAR:INDEX=0"}</definedName>
    <definedName name="_2478__FDSAUDITLINK__" hidden="1">{"fdsup://directions/FAT Viewer?action=UPDATE&amp;creator=factset&amp;DYN_ARGS=TRUE&amp;DOC_NAME=FAT:FQL_AUDITING_CLIENT_TEMPLATE.FAT&amp;display_string=Audit&amp;VAR:KEY=JUPGDIXCFC&amp;VAR:QUERY=UkdGX1RBWF9SQVRFKEFOTiwwLCwsLCwsTk9BVURJVCk=&amp;WINDOW=FIRST_POPUP&amp;HEIGHT=450&amp;WIDTH=450&amp;","START_MAXIMIZED=FALSE&amp;VAR:CALENDAR=US&amp;VAR:SYMBOL=RIMM&amp;VAR:INDEX=0"}</definedName>
    <definedName name="_2479__FDSAUDITLINK__" localSheetId="3" hidden="1">{"fdsup://directions/FAT Viewer?action=UPDATE&amp;creator=factset&amp;DYN_ARGS=TRUE&amp;DOC_NAME=FAT:FQL_AUDITING_CLIENT_TEMPLATE.FAT&amp;display_string=Audit&amp;VAR:KEY=JUPGDIXCFC&amp;VAR:QUERY=UkdGX1RBWF9SQVRFKEFOTiwwLCwsLCwsTk9BVURJVCk=&amp;WINDOW=FIRST_POPUP&amp;HEIGHT=450&amp;WIDTH=450&amp;","START_MAXIMIZED=FALSE&amp;VAR:CALENDAR=US&amp;VAR:SYMBOL=RIMM&amp;VAR:INDEX=0"}</definedName>
    <definedName name="_2479__FDSAUDITLINK__" localSheetId="7" hidden="1">{"fdsup://directions/FAT Viewer?action=UPDATE&amp;creator=factset&amp;DYN_ARGS=TRUE&amp;DOC_NAME=FAT:FQL_AUDITING_CLIENT_TEMPLATE.FAT&amp;display_string=Audit&amp;VAR:KEY=JUPGDIXCFC&amp;VAR:QUERY=UkdGX1RBWF9SQVRFKEFOTiwwLCwsLCwsTk9BVURJVCk=&amp;WINDOW=FIRST_POPUP&amp;HEIGHT=450&amp;WIDTH=450&amp;","START_MAXIMIZED=FALSE&amp;VAR:CALENDAR=US&amp;VAR:SYMBOL=RIMM&amp;VAR:INDEX=0"}</definedName>
    <definedName name="_2479__FDSAUDITLINK__" hidden="1">{"fdsup://directions/FAT Viewer?action=UPDATE&amp;creator=factset&amp;DYN_ARGS=TRUE&amp;DOC_NAME=FAT:FQL_AUDITING_CLIENT_TEMPLATE.FAT&amp;display_string=Audit&amp;VAR:KEY=JUPGDIXCFC&amp;VAR:QUERY=UkdGX1RBWF9SQVRFKEFOTiwwLCwsLCwsTk9BVURJVCk=&amp;WINDOW=FIRST_POPUP&amp;HEIGHT=450&amp;WIDTH=450&amp;","START_MAXIMIZED=FALSE&amp;VAR:CALENDAR=US&amp;VAR:SYMBOL=RIMM&amp;VAR:INDEX=0"}</definedName>
    <definedName name="_248__FDSAUDITLINK__" localSheetId="3" hidden="1">{"fdsup://directions/FAT Viewer?action=UPDATE&amp;creator=factset&amp;DYN_ARGS=TRUE&amp;DOC_NAME=FAT:FQL_AUDITING_CLIENT_TEMPLATE.FAT&amp;display_string=Audit&amp;VAR:KEY=LGFUDWVAZQ&amp;VAR:QUERY=RkZfRUJJVERBX09QRVIoTFRNLDAsLCwsLE0p&amp;WINDOW=FIRST_POPUP&amp;HEIGHT=450&amp;WIDTH=450&amp;START_MA","XIMIZED=FALSE&amp;VAR:CALENDAR=US&amp;VAR:SYMBOL=B66HFL&amp;VAR:INDEX=0"}</definedName>
    <definedName name="_248__FDSAUDITLINK__" localSheetId="7" hidden="1">{"fdsup://directions/FAT Viewer?action=UPDATE&amp;creator=factset&amp;DYN_ARGS=TRUE&amp;DOC_NAME=FAT:FQL_AUDITING_CLIENT_TEMPLATE.FAT&amp;display_string=Audit&amp;VAR:KEY=LGFUDWVAZQ&amp;VAR:QUERY=RkZfRUJJVERBX09QRVIoTFRNLDAsLCwsLE0p&amp;WINDOW=FIRST_POPUP&amp;HEIGHT=450&amp;WIDTH=450&amp;START_MA","XIMIZED=FALSE&amp;VAR:CALENDAR=US&amp;VAR:SYMBOL=B66HFL&amp;VAR:INDEX=0"}</definedName>
    <definedName name="_248__FDSAUDITLINK__" hidden="1">{"fdsup://directions/FAT Viewer?action=UPDATE&amp;creator=factset&amp;DYN_ARGS=TRUE&amp;DOC_NAME=FAT:FQL_AUDITING_CLIENT_TEMPLATE.FAT&amp;display_string=Audit&amp;VAR:KEY=LGFUDWVAZQ&amp;VAR:QUERY=RkZfRUJJVERBX09QRVIoTFRNLDAsLCwsLE0p&amp;WINDOW=FIRST_POPUP&amp;HEIGHT=450&amp;WIDTH=450&amp;START_MA","XIMIZED=FALSE&amp;VAR:CALENDAR=US&amp;VAR:SYMBOL=B66HFL&amp;VAR:INDEX=0"}</definedName>
    <definedName name="_2480__FDSAUDITLINK__" localSheetId="3" hidden="1">{"fdsup://directions/FAT Viewer?action=UPDATE&amp;creator=factset&amp;DYN_ARGS=TRUE&amp;DOC_NAME=FAT:FQL_AUDITING_CLIENT_TEMPLATE.FAT&amp;display_string=Audit&amp;VAR:KEY=BOXABGVSXG&amp;VAR:QUERY=UkdGX1RBWF9SQVRFKEFOTiwwLCwsLCwsTk9BVURJVCk=&amp;WINDOW=FIRST_POPUP&amp;HEIGHT=450&amp;WIDTH=450&amp;","START_MAXIMIZED=FALSE&amp;VAR:CALENDAR=US&amp;VAR:SYMBOL=RHT&amp;VAR:INDEX=0"}</definedName>
    <definedName name="_2480__FDSAUDITLINK__" localSheetId="7" hidden="1">{"fdsup://directions/FAT Viewer?action=UPDATE&amp;creator=factset&amp;DYN_ARGS=TRUE&amp;DOC_NAME=FAT:FQL_AUDITING_CLIENT_TEMPLATE.FAT&amp;display_string=Audit&amp;VAR:KEY=BOXABGVSXG&amp;VAR:QUERY=UkdGX1RBWF9SQVRFKEFOTiwwLCwsLCwsTk9BVURJVCk=&amp;WINDOW=FIRST_POPUP&amp;HEIGHT=450&amp;WIDTH=450&amp;","START_MAXIMIZED=FALSE&amp;VAR:CALENDAR=US&amp;VAR:SYMBOL=RHT&amp;VAR:INDEX=0"}</definedName>
    <definedName name="_2480__FDSAUDITLINK__" hidden="1">{"fdsup://directions/FAT Viewer?action=UPDATE&amp;creator=factset&amp;DYN_ARGS=TRUE&amp;DOC_NAME=FAT:FQL_AUDITING_CLIENT_TEMPLATE.FAT&amp;display_string=Audit&amp;VAR:KEY=BOXABGVSXG&amp;VAR:QUERY=UkdGX1RBWF9SQVRFKEFOTiwwLCwsLCwsTk9BVURJVCk=&amp;WINDOW=FIRST_POPUP&amp;HEIGHT=450&amp;WIDTH=450&amp;","START_MAXIMIZED=FALSE&amp;VAR:CALENDAR=US&amp;VAR:SYMBOL=RHT&amp;VAR:INDEX=0"}</definedName>
    <definedName name="_2481__FDSAUDITLINK__" localSheetId="3" hidden="1">{"fdsup://directions/FAT Viewer?action=UPDATE&amp;creator=factset&amp;DYN_ARGS=TRUE&amp;DOC_NAME=FAT:FQL_AUDITING_CLIENT_TEMPLATE.FAT&amp;display_string=Audit&amp;VAR:KEY=BOXABGVSXG&amp;VAR:QUERY=UkdGX1RBWF9SQVRFKEFOTiwwLCwsLCwsTk9BVURJVCk=&amp;WINDOW=FIRST_POPUP&amp;HEIGHT=450&amp;WIDTH=450&amp;","START_MAXIMIZED=FALSE&amp;VAR:CALENDAR=US&amp;VAR:SYMBOL=RHT&amp;VAR:INDEX=0"}</definedName>
    <definedName name="_2481__FDSAUDITLINK__" localSheetId="7" hidden="1">{"fdsup://directions/FAT Viewer?action=UPDATE&amp;creator=factset&amp;DYN_ARGS=TRUE&amp;DOC_NAME=FAT:FQL_AUDITING_CLIENT_TEMPLATE.FAT&amp;display_string=Audit&amp;VAR:KEY=BOXABGVSXG&amp;VAR:QUERY=UkdGX1RBWF9SQVRFKEFOTiwwLCwsLCwsTk9BVURJVCk=&amp;WINDOW=FIRST_POPUP&amp;HEIGHT=450&amp;WIDTH=450&amp;","START_MAXIMIZED=FALSE&amp;VAR:CALENDAR=US&amp;VAR:SYMBOL=RHT&amp;VAR:INDEX=0"}</definedName>
    <definedName name="_2481__FDSAUDITLINK__" hidden="1">{"fdsup://directions/FAT Viewer?action=UPDATE&amp;creator=factset&amp;DYN_ARGS=TRUE&amp;DOC_NAME=FAT:FQL_AUDITING_CLIENT_TEMPLATE.FAT&amp;display_string=Audit&amp;VAR:KEY=BOXABGVSXG&amp;VAR:QUERY=UkdGX1RBWF9SQVRFKEFOTiwwLCwsLCwsTk9BVURJVCk=&amp;WINDOW=FIRST_POPUP&amp;HEIGHT=450&amp;WIDTH=450&amp;","START_MAXIMIZED=FALSE&amp;VAR:CALENDAR=US&amp;VAR:SYMBOL=RHT&amp;VAR:INDEX=0"}</definedName>
    <definedName name="_2482__FDSAUDITLINK__" localSheetId="3" hidden="1">{"fdsup://directions/FAT Viewer?action=UPDATE&amp;creator=factset&amp;DYN_ARGS=TRUE&amp;DOC_NAME=FAT:FQL_AUDITING_CLIENT_TEMPLATE.FAT&amp;display_string=Audit&amp;VAR:KEY=VUDAZEJGJA&amp;VAR:QUERY=UkdGX1RBWF9SQVRFKEFOTiwwLCwsLCwsTk9BVURJVCk=&amp;WINDOW=FIRST_POPUP&amp;HEIGHT=450&amp;WIDTH=450&amp;","START_MAXIMIZED=FALSE&amp;VAR:CALENDAR=US&amp;VAR:SYMBOL=RP&amp;VAR:INDEX=0"}</definedName>
    <definedName name="_2482__FDSAUDITLINK__" localSheetId="7" hidden="1">{"fdsup://directions/FAT Viewer?action=UPDATE&amp;creator=factset&amp;DYN_ARGS=TRUE&amp;DOC_NAME=FAT:FQL_AUDITING_CLIENT_TEMPLATE.FAT&amp;display_string=Audit&amp;VAR:KEY=VUDAZEJGJA&amp;VAR:QUERY=UkdGX1RBWF9SQVRFKEFOTiwwLCwsLCwsTk9BVURJVCk=&amp;WINDOW=FIRST_POPUP&amp;HEIGHT=450&amp;WIDTH=450&amp;","START_MAXIMIZED=FALSE&amp;VAR:CALENDAR=US&amp;VAR:SYMBOL=RP&amp;VAR:INDEX=0"}</definedName>
    <definedName name="_2482__FDSAUDITLINK__" hidden="1">{"fdsup://directions/FAT Viewer?action=UPDATE&amp;creator=factset&amp;DYN_ARGS=TRUE&amp;DOC_NAME=FAT:FQL_AUDITING_CLIENT_TEMPLATE.FAT&amp;display_string=Audit&amp;VAR:KEY=VUDAZEJGJA&amp;VAR:QUERY=UkdGX1RBWF9SQVRFKEFOTiwwLCwsLCwsTk9BVURJVCk=&amp;WINDOW=FIRST_POPUP&amp;HEIGHT=450&amp;WIDTH=450&amp;","START_MAXIMIZED=FALSE&amp;VAR:CALENDAR=US&amp;VAR:SYMBOL=RP&amp;VAR:INDEX=0"}</definedName>
    <definedName name="_2483__FDSAUDITLINK__" localSheetId="3" hidden="1">{"fdsup://directions/FAT Viewer?action=UPDATE&amp;creator=factset&amp;DYN_ARGS=TRUE&amp;DOC_NAME=FAT:FQL_AUDITING_CLIENT_TEMPLATE.FAT&amp;display_string=Audit&amp;VAR:KEY=VUDAZEJGJA&amp;VAR:QUERY=UkdGX1RBWF9SQVRFKEFOTiwwLCwsLCwsTk9BVURJVCk=&amp;WINDOW=FIRST_POPUP&amp;HEIGHT=450&amp;WIDTH=450&amp;","START_MAXIMIZED=FALSE&amp;VAR:CALENDAR=US&amp;VAR:SYMBOL=RP&amp;VAR:INDEX=0"}</definedName>
    <definedName name="_2483__FDSAUDITLINK__" localSheetId="7" hidden="1">{"fdsup://directions/FAT Viewer?action=UPDATE&amp;creator=factset&amp;DYN_ARGS=TRUE&amp;DOC_NAME=FAT:FQL_AUDITING_CLIENT_TEMPLATE.FAT&amp;display_string=Audit&amp;VAR:KEY=VUDAZEJGJA&amp;VAR:QUERY=UkdGX1RBWF9SQVRFKEFOTiwwLCwsLCwsTk9BVURJVCk=&amp;WINDOW=FIRST_POPUP&amp;HEIGHT=450&amp;WIDTH=450&amp;","START_MAXIMIZED=FALSE&amp;VAR:CALENDAR=US&amp;VAR:SYMBOL=RP&amp;VAR:INDEX=0"}</definedName>
    <definedName name="_2483__FDSAUDITLINK__" hidden="1">{"fdsup://directions/FAT Viewer?action=UPDATE&amp;creator=factset&amp;DYN_ARGS=TRUE&amp;DOC_NAME=FAT:FQL_AUDITING_CLIENT_TEMPLATE.FAT&amp;display_string=Audit&amp;VAR:KEY=VUDAZEJGJA&amp;VAR:QUERY=UkdGX1RBWF9SQVRFKEFOTiwwLCwsLCwsTk9BVURJVCk=&amp;WINDOW=FIRST_POPUP&amp;HEIGHT=450&amp;WIDTH=450&amp;","START_MAXIMIZED=FALSE&amp;VAR:CALENDAR=US&amp;VAR:SYMBOL=RP&amp;VAR:INDEX=0"}</definedName>
    <definedName name="_2484__FDSAUDITLINK__" localSheetId="3" hidden="1">{"fdsup://directions/FAT Viewer?action=UPDATE&amp;creator=factset&amp;DYN_ARGS=TRUE&amp;DOC_NAME=FAT:FQL_AUDITING_CLIENT_TEMPLATE.FAT&amp;display_string=Audit&amp;VAR:KEY=VYZWJIDSHS&amp;VAR:QUERY=UkdGX1RBWF9SQVRFKEFOTiwwLCwsLCwsTk9BVURJVCk=&amp;WINDOW=FIRST_POPUP&amp;HEIGHT=450&amp;WIDTH=450&amp;","START_MAXIMIZED=FALSE&amp;VAR:CALENDAR=US&amp;VAR:SYMBOL=RDWR&amp;VAR:INDEX=0"}</definedName>
    <definedName name="_2484__FDSAUDITLINK__" localSheetId="7" hidden="1">{"fdsup://directions/FAT Viewer?action=UPDATE&amp;creator=factset&amp;DYN_ARGS=TRUE&amp;DOC_NAME=FAT:FQL_AUDITING_CLIENT_TEMPLATE.FAT&amp;display_string=Audit&amp;VAR:KEY=VYZWJIDSHS&amp;VAR:QUERY=UkdGX1RBWF9SQVRFKEFOTiwwLCwsLCwsTk9BVURJVCk=&amp;WINDOW=FIRST_POPUP&amp;HEIGHT=450&amp;WIDTH=450&amp;","START_MAXIMIZED=FALSE&amp;VAR:CALENDAR=US&amp;VAR:SYMBOL=RDWR&amp;VAR:INDEX=0"}</definedName>
    <definedName name="_2484__FDSAUDITLINK__" hidden="1">{"fdsup://directions/FAT Viewer?action=UPDATE&amp;creator=factset&amp;DYN_ARGS=TRUE&amp;DOC_NAME=FAT:FQL_AUDITING_CLIENT_TEMPLATE.FAT&amp;display_string=Audit&amp;VAR:KEY=VYZWJIDSHS&amp;VAR:QUERY=UkdGX1RBWF9SQVRFKEFOTiwwLCwsLCwsTk9BVURJVCk=&amp;WINDOW=FIRST_POPUP&amp;HEIGHT=450&amp;WIDTH=450&amp;","START_MAXIMIZED=FALSE&amp;VAR:CALENDAR=US&amp;VAR:SYMBOL=RDWR&amp;VAR:INDEX=0"}</definedName>
    <definedName name="_2485__FDSAUDITLINK__" localSheetId="3" hidden="1">{"fdsup://directions/FAT Viewer?action=UPDATE&amp;creator=factset&amp;DYN_ARGS=TRUE&amp;DOC_NAME=FAT:FQL_AUDITING_CLIENT_TEMPLATE.FAT&amp;display_string=Audit&amp;VAR:KEY=BAJMZWVYZY&amp;VAR:QUERY=UkdGX1RBWF9SQVRFKEFOTiwwLCwsLCwsTk9BVURJVCk=&amp;WINDOW=FIRST_POPUP&amp;HEIGHT=450&amp;WIDTH=450&amp;","START_MAXIMIZED=FALSE&amp;VAR:CALENDAR=US&amp;VAR:SYMBOL=RAX&amp;VAR:INDEX=0"}</definedName>
    <definedName name="_2485__FDSAUDITLINK__" localSheetId="7" hidden="1">{"fdsup://directions/FAT Viewer?action=UPDATE&amp;creator=factset&amp;DYN_ARGS=TRUE&amp;DOC_NAME=FAT:FQL_AUDITING_CLIENT_TEMPLATE.FAT&amp;display_string=Audit&amp;VAR:KEY=BAJMZWVYZY&amp;VAR:QUERY=UkdGX1RBWF9SQVRFKEFOTiwwLCwsLCwsTk9BVURJVCk=&amp;WINDOW=FIRST_POPUP&amp;HEIGHT=450&amp;WIDTH=450&amp;","START_MAXIMIZED=FALSE&amp;VAR:CALENDAR=US&amp;VAR:SYMBOL=RAX&amp;VAR:INDEX=0"}</definedName>
    <definedName name="_2485__FDSAUDITLINK__" hidden="1">{"fdsup://directions/FAT Viewer?action=UPDATE&amp;creator=factset&amp;DYN_ARGS=TRUE&amp;DOC_NAME=FAT:FQL_AUDITING_CLIENT_TEMPLATE.FAT&amp;display_string=Audit&amp;VAR:KEY=BAJMZWVYZY&amp;VAR:QUERY=UkdGX1RBWF9SQVRFKEFOTiwwLCwsLCwsTk9BVURJVCk=&amp;WINDOW=FIRST_POPUP&amp;HEIGHT=450&amp;WIDTH=450&amp;","START_MAXIMIZED=FALSE&amp;VAR:CALENDAR=US&amp;VAR:SYMBOL=RAX&amp;VAR:INDEX=0"}</definedName>
    <definedName name="_2486__FDSAUDITLINK__" localSheetId="3" hidden="1">{"fdsup://directions/FAT Viewer?action=UPDATE&amp;creator=factset&amp;DYN_ARGS=TRUE&amp;DOC_NAME=FAT:FQL_AUDITING_CLIENT_TEMPLATE.FAT&amp;display_string=Audit&amp;VAR:KEY=BAJMZWVYZY&amp;VAR:QUERY=UkdGX1RBWF9SQVRFKEFOTiwwLCwsLCwsTk9BVURJVCk=&amp;WINDOW=FIRST_POPUP&amp;HEIGHT=450&amp;WIDTH=450&amp;","START_MAXIMIZED=FALSE&amp;VAR:CALENDAR=US&amp;VAR:SYMBOL=RAX&amp;VAR:INDEX=0"}</definedName>
    <definedName name="_2486__FDSAUDITLINK__" localSheetId="7" hidden="1">{"fdsup://directions/FAT Viewer?action=UPDATE&amp;creator=factset&amp;DYN_ARGS=TRUE&amp;DOC_NAME=FAT:FQL_AUDITING_CLIENT_TEMPLATE.FAT&amp;display_string=Audit&amp;VAR:KEY=BAJMZWVYZY&amp;VAR:QUERY=UkdGX1RBWF9SQVRFKEFOTiwwLCwsLCwsTk9BVURJVCk=&amp;WINDOW=FIRST_POPUP&amp;HEIGHT=450&amp;WIDTH=450&amp;","START_MAXIMIZED=FALSE&amp;VAR:CALENDAR=US&amp;VAR:SYMBOL=RAX&amp;VAR:INDEX=0"}</definedName>
    <definedName name="_2486__FDSAUDITLINK__" hidden="1">{"fdsup://directions/FAT Viewer?action=UPDATE&amp;creator=factset&amp;DYN_ARGS=TRUE&amp;DOC_NAME=FAT:FQL_AUDITING_CLIENT_TEMPLATE.FAT&amp;display_string=Audit&amp;VAR:KEY=BAJMZWVYZY&amp;VAR:QUERY=UkdGX1RBWF9SQVRFKEFOTiwwLCwsLCwsTk9BVURJVCk=&amp;WINDOW=FIRST_POPUP&amp;HEIGHT=450&amp;WIDTH=450&amp;","START_MAXIMIZED=FALSE&amp;VAR:CALENDAR=US&amp;VAR:SYMBOL=RAX&amp;VAR:INDEX=0"}</definedName>
    <definedName name="_2487__FDSAUDITLINK__" localSheetId="3" hidden="1">{"fdsup://directions/FAT Viewer?action=UPDATE&amp;creator=factset&amp;DYN_ARGS=TRUE&amp;DOC_NAME=FAT:FQL_AUDITING_CLIENT_TEMPLATE.FAT&amp;display_string=Audit&amp;VAR:KEY=LEXABERMNM&amp;VAR:QUERY=UkdGX1RBWF9SQVRFKEFOTiwwLCwsLCwsTk9BVURJVCk=&amp;WINDOW=FIRST_POPUP&amp;HEIGHT=450&amp;WIDTH=450&amp;","START_MAXIMIZED=FALSE&amp;VAR:CALENDAR=US&amp;VAR:SYMBOL=QLIK&amp;VAR:INDEX=0"}</definedName>
    <definedName name="_2487__FDSAUDITLINK__" localSheetId="7" hidden="1">{"fdsup://directions/FAT Viewer?action=UPDATE&amp;creator=factset&amp;DYN_ARGS=TRUE&amp;DOC_NAME=FAT:FQL_AUDITING_CLIENT_TEMPLATE.FAT&amp;display_string=Audit&amp;VAR:KEY=LEXABERMNM&amp;VAR:QUERY=UkdGX1RBWF9SQVRFKEFOTiwwLCwsLCwsTk9BVURJVCk=&amp;WINDOW=FIRST_POPUP&amp;HEIGHT=450&amp;WIDTH=450&amp;","START_MAXIMIZED=FALSE&amp;VAR:CALENDAR=US&amp;VAR:SYMBOL=QLIK&amp;VAR:INDEX=0"}</definedName>
    <definedName name="_2487__FDSAUDITLINK__" hidden="1">{"fdsup://directions/FAT Viewer?action=UPDATE&amp;creator=factset&amp;DYN_ARGS=TRUE&amp;DOC_NAME=FAT:FQL_AUDITING_CLIENT_TEMPLATE.FAT&amp;display_string=Audit&amp;VAR:KEY=LEXABERMNM&amp;VAR:QUERY=UkdGX1RBWF9SQVRFKEFOTiwwLCwsLCwsTk9BVURJVCk=&amp;WINDOW=FIRST_POPUP&amp;HEIGHT=450&amp;WIDTH=450&amp;","START_MAXIMIZED=FALSE&amp;VAR:CALENDAR=US&amp;VAR:SYMBOL=QLIK&amp;VAR:INDEX=0"}</definedName>
    <definedName name="_2488__FDSAUDITLINK__" localSheetId="3" hidden="1">{"fdsup://directions/FAT Viewer?action=UPDATE&amp;creator=factset&amp;DYN_ARGS=TRUE&amp;DOC_NAME=FAT:FQL_AUDITING_CLIENT_TEMPLATE.FAT&amp;display_string=Audit&amp;VAR:KEY=LEXABERMNM&amp;VAR:QUERY=UkdGX1RBWF9SQVRFKEFOTiwwLCwsLCwsTk9BVURJVCk=&amp;WINDOW=FIRST_POPUP&amp;HEIGHT=450&amp;WIDTH=450&amp;","START_MAXIMIZED=FALSE&amp;VAR:CALENDAR=US&amp;VAR:SYMBOL=QLIK&amp;VAR:INDEX=0"}</definedName>
    <definedName name="_2488__FDSAUDITLINK__" localSheetId="7" hidden="1">{"fdsup://directions/FAT Viewer?action=UPDATE&amp;creator=factset&amp;DYN_ARGS=TRUE&amp;DOC_NAME=FAT:FQL_AUDITING_CLIENT_TEMPLATE.FAT&amp;display_string=Audit&amp;VAR:KEY=LEXABERMNM&amp;VAR:QUERY=UkdGX1RBWF9SQVRFKEFOTiwwLCwsLCwsTk9BVURJVCk=&amp;WINDOW=FIRST_POPUP&amp;HEIGHT=450&amp;WIDTH=450&amp;","START_MAXIMIZED=FALSE&amp;VAR:CALENDAR=US&amp;VAR:SYMBOL=QLIK&amp;VAR:INDEX=0"}</definedName>
    <definedName name="_2488__FDSAUDITLINK__" hidden="1">{"fdsup://directions/FAT Viewer?action=UPDATE&amp;creator=factset&amp;DYN_ARGS=TRUE&amp;DOC_NAME=FAT:FQL_AUDITING_CLIENT_TEMPLATE.FAT&amp;display_string=Audit&amp;VAR:KEY=LEXABERMNM&amp;VAR:QUERY=UkdGX1RBWF9SQVRFKEFOTiwwLCwsLCwsTk9BVURJVCk=&amp;WINDOW=FIRST_POPUP&amp;HEIGHT=450&amp;WIDTH=450&amp;","START_MAXIMIZED=FALSE&amp;VAR:CALENDAR=US&amp;VAR:SYMBOL=QLIK&amp;VAR:INDEX=0"}</definedName>
    <definedName name="_2489__FDSAUDITLINK__" localSheetId="3" hidden="1">{"fdsup://directions/FAT Viewer?action=UPDATE&amp;creator=factset&amp;DYN_ARGS=TRUE&amp;DOC_NAME=FAT:FQL_AUDITING_CLIENT_TEMPLATE.FAT&amp;display_string=Audit&amp;VAR:KEY=PCLCVQBYTS&amp;VAR:QUERY=UkdGX1RBWF9SQVRFKEFOTiwwLCwsLCwsTk9BVURJVCk=&amp;WINDOW=FIRST_POPUP&amp;HEIGHT=450&amp;WIDTH=450&amp;","START_MAXIMIZED=FALSE&amp;VAR:CALENDAR=US&amp;VAR:SYMBOL=QNST&amp;VAR:INDEX=0"}</definedName>
    <definedName name="_2489__FDSAUDITLINK__" localSheetId="7" hidden="1">{"fdsup://directions/FAT Viewer?action=UPDATE&amp;creator=factset&amp;DYN_ARGS=TRUE&amp;DOC_NAME=FAT:FQL_AUDITING_CLIENT_TEMPLATE.FAT&amp;display_string=Audit&amp;VAR:KEY=PCLCVQBYTS&amp;VAR:QUERY=UkdGX1RBWF9SQVRFKEFOTiwwLCwsLCwsTk9BVURJVCk=&amp;WINDOW=FIRST_POPUP&amp;HEIGHT=450&amp;WIDTH=450&amp;","START_MAXIMIZED=FALSE&amp;VAR:CALENDAR=US&amp;VAR:SYMBOL=QNST&amp;VAR:INDEX=0"}</definedName>
    <definedName name="_2489__FDSAUDITLINK__" hidden="1">{"fdsup://directions/FAT Viewer?action=UPDATE&amp;creator=factset&amp;DYN_ARGS=TRUE&amp;DOC_NAME=FAT:FQL_AUDITING_CLIENT_TEMPLATE.FAT&amp;display_string=Audit&amp;VAR:KEY=PCLCVQBYTS&amp;VAR:QUERY=UkdGX1RBWF9SQVRFKEFOTiwwLCwsLCwsTk9BVURJVCk=&amp;WINDOW=FIRST_POPUP&amp;HEIGHT=450&amp;WIDTH=450&amp;","START_MAXIMIZED=FALSE&amp;VAR:CALENDAR=US&amp;VAR:SYMBOL=QNST&amp;VAR:INDEX=0"}</definedName>
    <definedName name="_249__FDSAUDITLINK__" localSheetId="3" hidden="1">{"fdsup://directions/FAT Viewer?action=UPDATE&amp;creator=factset&amp;DYN_ARGS=TRUE&amp;DOC_NAME=FAT:FQL_AUDITING_CLIENT_TEMPLATE.FAT&amp;display_string=Audit&amp;VAR:KEY=ADGHMTQBYV&amp;VAR:QUERY=RkZfRUJJVERBX09QRVIoTFRNLDAsLCwsLE0p&amp;WINDOW=FIRST_POPUP&amp;HEIGHT=450&amp;WIDTH=450&amp;START_MA","XIMIZED=FALSE&amp;VAR:CALENDAR=US&amp;VAR:SYMBOL=244103&amp;VAR:INDEX=0"}</definedName>
    <definedName name="_249__FDSAUDITLINK__" localSheetId="7" hidden="1">{"fdsup://directions/FAT Viewer?action=UPDATE&amp;creator=factset&amp;DYN_ARGS=TRUE&amp;DOC_NAME=FAT:FQL_AUDITING_CLIENT_TEMPLATE.FAT&amp;display_string=Audit&amp;VAR:KEY=ADGHMTQBYV&amp;VAR:QUERY=RkZfRUJJVERBX09QRVIoTFRNLDAsLCwsLE0p&amp;WINDOW=FIRST_POPUP&amp;HEIGHT=450&amp;WIDTH=450&amp;START_MA","XIMIZED=FALSE&amp;VAR:CALENDAR=US&amp;VAR:SYMBOL=244103&amp;VAR:INDEX=0"}</definedName>
    <definedName name="_249__FDSAUDITLINK__" hidden="1">{"fdsup://directions/FAT Viewer?action=UPDATE&amp;creator=factset&amp;DYN_ARGS=TRUE&amp;DOC_NAME=FAT:FQL_AUDITING_CLIENT_TEMPLATE.FAT&amp;display_string=Audit&amp;VAR:KEY=ADGHMTQBYV&amp;VAR:QUERY=RkZfRUJJVERBX09QRVIoTFRNLDAsLCwsLE0p&amp;WINDOW=FIRST_POPUP&amp;HEIGHT=450&amp;WIDTH=450&amp;START_MA","XIMIZED=FALSE&amp;VAR:CALENDAR=US&amp;VAR:SYMBOL=244103&amp;VAR:INDEX=0"}</definedName>
    <definedName name="_2490__FDSAUDITLINK__" localSheetId="3" hidden="1">{"fdsup://directions/FAT Viewer?action=UPDATE&amp;creator=factset&amp;DYN_ARGS=TRUE&amp;DOC_NAME=FAT:FQL_AUDITING_CLIENT_TEMPLATE.FAT&amp;display_string=Audit&amp;VAR:KEY=PCLCVQBYTS&amp;VAR:QUERY=UkdGX1RBWF9SQVRFKEFOTiwwLCwsLCwsTk9BVURJVCk=&amp;WINDOW=FIRST_POPUP&amp;HEIGHT=450&amp;WIDTH=450&amp;","START_MAXIMIZED=FALSE&amp;VAR:CALENDAR=US&amp;VAR:SYMBOL=QNST&amp;VAR:INDEX=0"}</definedName>
    <definedName name="_2490__FDSAUDITLINK__" localSheetId="7" hidden="1">{"fdsup://directions/FAT Viewer?action=UPDATE&amp;creator=factset&amp;DYN_ARGS=TRUE&amp;DOC_NAME=FAT:FQL_AUDITING_CLIENT_TEMPLATE.FAT&amp;display_string=Audit&amp;VAR:KEY=PCLCVQBYTS&amp;VAR:QUERY=UkdGX1RBWF9SQVRFKEFOTiwwLCwsLCwsTk9BVURJVCk=&amp;WINDOW=FIRST_POPUP&amp;HEIGHT=450&amp;WIDTH=450&amp;","START_MAXIMIZED=FALSE&amp;VAR:CALENDAR=US&amp;VAR:SYMBOL=QNST&amp;VAR:INDEX=0"}</definedName>
    <definedName name="_2490__FDSAUDITLINK__" hidden="1">{"fdsup://directions/FAT Viewer?action=UPDATE&amp;creator=factset&amp;DYN_ARGS=TRUE&amp;DOC_NAME=FAT:FQL_AUDITING_CLIENT_TEMPLATE.FAT&amp;display_string=Audit&amp;VAR:KEY=PCLCVQBYTS&amp;VAR:QUERY=UkdGX1RBWF9SQVRFKEFOTiwwLCwsLCwsTk9BVURJVCk=&amp;WINDOW=FIRST_POPUP&amp;HEIGHT=450&amp;WIDTH=450&amp;","START_MAXIMIZED=FALSE&amp;VAR:CALENDAR=US&amp;VAR:SYMBOL=QNST&amp;VAR:INDEX=0"}</definedName>
    <definedName name="_2491__FDSAUDITLINK__" localSheetId="3" hidden="1">{"fdsup://directions/FAT Viewer?action=UPDATE&amp;creator=factset&amp;DYN_ARGS=TRUE&amp;DOC_NAME=FAT:FQL_AUDITING_CLIENT_TEMPLATE.FAT&amp;display_string=Audit&amp;VAR:KEY=TOLQZONENA&amp;VAR:QUERY=UkdGX1RBWF9SQVRFKEFOTiwwLCwsLCwsTk9BVURJVCk=&amp;WINDOW=FIRST_POPUP&amp;HEIGHT=450&amp;WIDTH=450&amp;","START_MAXIMIZED=FALSE&amp;VAR:CALENDAR=US&amp;VAR:SYMBOL=QSFT&amp;VAR:INDEX=0"}</definedName>
    <definedName name="_2491__FDSAUDITLINK__" localSheetId="7" hidden="1">{"fdsup://directions/FAT Viewer?action=UPDATE&amp;creator=factset&amp;DYN_ARGS=TRUE&amp;DOC_NAME=FAT:FQL_AUDITING_CLIENT_TEMPLATE.FAT&amp;display_string=Audit&amp;VAR:KEY=TOLQZONENA&amp;VAR:QUERY=UkdGX1RBWF9SQVRFKEFOTiwwLCwsLCwsTk9BVURJVCk=&amp;WINDOW=FIRST_POPUP&amp;HEIGHT=450&amp;WIDTH=450&amp;","START_MAXIMIZED=FALSE&amp;VAR:CALENDAR=US&amp;VAR:SYMBOL=QSFT&amp;VAR:INDEX=0"}</definedName>
    <definedName name="_2491__FDSAUDITLINK__" hidden="1">{"fdsup://directions/FAT Viewer?action=UPDATE&amp;creator=factset&amp;DYN_ARGS=TRUE&amp;DOC_NAME=FAT:FQL_AUDITING_CLIENT_TEMPLATE.FAT&amp;display_string=Audit&amp;VAR:KEY=TOLQZONENA&amp;VAR:QUERY=UkdGX1RBWF9SQVRFKEFOTiwwLCwsLCwsTk9BVURJVCk=&amp;WINDOW=FIRST_POPUP&amp;HEIGHT=450&amp;WIDTH=450&amp;","START_MAXIMIZED=FALSE&amp;VAR:CALENDAR=US&amp;VAR:SYMBOL=QSFT&amp;VAR:INDEX=0"}</definedName>
    <definedName name="_2492__FDSAUDITLINK__" localSheetId="3" hidden="1">{"fdsup://directions/FAT Viewer?action=UPDATE&amp;creator=factset&amp;DYN_ARGS=TRUE&amp;DOC_NAME=FAT:FQL_AUDITING_CLIENT_TEMPLATE.FAT&amp;display_string=Audit&amp;VAR:KEY=TOLQZONENA&amp;VAR:QUERY=UkdGX1RBWF9SQVRFKEFOTiwwLCwsLCwsTk9BVURJVCk=&amp;WINDOW=FIRST_POPUP&amp;HEIGHT=450&amp;WIDTH=450&amp;","START_MAXIMIZED=FALSE&amp;VAR:CALENDAR=US&amp;VAR:SYMBOL=QSFT&amp;VAR:INDEX=0"}</definedName>
    <definedName name="_2492__FDSAUDITLINK__" localSheetId="7" hidden="1">{"fdsup://directions/FAT Viewer?action=UPDATE&amp;creator=factset&amp;DYN_ARGS=TRUE&amp;DOC_NAME=FAT:FQL_AUDITING_CLIENT_TEMPLATE.FAT&amp;display_string=Audit&amp;VAR:KEY=TOLQZONENA&amp;VAR:QUERY=UkdGX1RBWF9SQVRFKEFOTiwwLCwsLCwsTk9BVURJVCk=&amp;WINDOW=FIRST_POPUP&amp;HEIGHT=450&amp;WIDTH=450&amp;","START_MAXIMIZED=FALSE&amp;VAR:CALENDAR=US&amp;VAR:SYMBOL=QSFT&amp;VAR:INDEX=0"}</definedName>
    <definedName name="_2492__FDSAUDITLINK__" hidden="1">{"fdsup://directions/FAT Viewer?action=UPDATE&amp;creator=factset&amp;DYN_ARGS=TRUE&amp;DOC_NAME=FAT:FQL_AUDITING_CLIENT_TEMPLATE.FAT&amp;display_string=Audit&amp;VAR:KEY=TOLQZONENA&amp;VAR:QUERY=UkdGX1RBWF9SQVRFKEFOTiwwLCwsLCwsTk9BVURJVCk=&amp;WINDOW=FIRST_POPUP&amp;HEIGHT=450&amp;WIDTH=450&amp;","START_MAXIMIZED=FALSE&amp;VAR:CALENDAR=US&amp;VAR:SYMBOL=QSFT&amp;VAR:INDEX=0"}</definedName>
    <definedName name="_2493__FDSAUDITLINK__" localSheetId="3" hidden="1">{"fdsup://directions/FAT Viewer?action=UPDATE&amp;creator=factset&amp;DYN_ARGS=TRUE&amp;DOC_NAME=FAT:FQL_AUDITING_CLIENT_TEMPLATE.FAT&amp;display_string=Audit&amp;VAR:KEY=FKLQVKBOZK&amp;VAR:QUERY=UkdGX1RBWF9SQVRFKEFOTiwwLCwsLCwsTk9BVURJVCk=&amp;WINDOW=FIRST_POPUP&amp;HEIGHT=450&amp;WIDTH=450&amp;","START_MAXIMIZED=FALSE&amp;VAR:CALENDAR=US&amp;VAR:SYMBOL=QCOM&amp;VAR:INDEX=0"}</definedName>
    <definedName name="_2493__FDSAUDITLINK__" localSheetId="7" hidden="1">{"fdsup://directions/FAT Viewer?action=UPDATE&amp;creator=factset&amp;DYN_ARGS=TRUE&amp;DOC_NAME=FAT:FQL_AUDITING_CLIENT_TEMPLATE.FAT&amp;display_string=Audit&amp;VAR:KEY=FKLQVKBOZK&amp;VAR:QUERY=UkdGX1RBWF9SQVRFKEFOTiwwLCwsLCwsTk9BVURJVCk=&amp;WINDOW=FIRST_POPUP&amp;HEIGHT=450&amp;WIDTH=450&amp;","START_MAXIMIZED=FALSE&amp;VAR:CALENDAR=US&amp;VAR:SYMBOL=QCOM&amp;VAR:INDEX=0"}</definedName>
    <definedName name="_2493__FDSAUDITLINK__" hidden="1">{"fdsup://directions/FAT Viewer?action=UPDATE&amp;creator=factset&amp;DYN_ARGS=TRUE&amp;DOC_NAME=FAT:FQL_AUDITING_CLIENT_TEMPLATE.FAT&amp;display_string=Audit&amp;VAR:KEY=FKLQVKBOZK&amp;VAR:QUERY=UkdGX1RBWF9SQVRFKEFOTiwwLCwsLCwsTk9BVURJVCk=&amp;WINDOW=FIRST_POPUP&amp;HEIGHT=450&amp;WIDTH=450&amp;","START_MAXIMIZED=FALSE&amp;VAR:CALENDAR=US&amp;VAR:SYMBOL=QCOM&amp;VAR:INDEX=0"}</definedName>
    <definedName name="_2494__FDSAUDITLINK__" localSheetId="3" hidden="1">{"fdsup://directions/FAT Viewer?action=UPDATE&amp;creator=factset&amp;DYN_ARGS=TRUE&amp;DOC_NAME=FAT:FQL_AUDITING_CLIENT_TEMPLATE.FAT&amp;display_string=Audit&amp;VAR:KEY=FKLQVKBOZK&amp;VAR:QUERY=UkdGX1RBWF9SQVRFKEFOTiwwLCwsLCwsTk9BVURJVCk=&amp;WINDOW=FIRST_POPUP&amp;HEIGHT=450&amp;WIDTH=450&amp;","START_MAXIMIZED=FALSE&amp;VAR:CALENDAR=US&amp;VAR:SYMBOL=QCOM&amp;VAR:INDEX=0"}</definedName>
    <definedName name="_2494__FDSAUDITLINK__" localSheetId="7" hidden="1">{"fdsup://directions/FAT Viewer?action=UPDATE&amp;creator=factset&amp;DYN_ARGS=TRUE&amp;DOC_NAME=FAT:FQL_AUDITING_CLIENT_TEMPLATE.FAT&amp;display_string=Audit&amp;VAR:KEY=FKLQVKBOZK&amp;VAR:QUERY=UkdGX1RBWF9SQVRFKEFOTiwwLCwsLCwsTk9BVURJVCk=&amp;WINDOW=FIRST_POPUP&amp;HEIGHT=450&amp;WIDTH=450&amp;","START_MAXIMIZED=FALSE&amp;VAR:CALENDAR=US&amp;VAR:SYMBOL=QCOM&amp;VAR:INDEX=0"}</definedName>
    <definedName name="_2494__FDSAUDITLINK__" hidden="1">{"fdsup://directions/FAT Viewer?action=UPDATE&amp;creator=factset&amp;DYN_ARGS=TRUE&amp;DOC_NAME=FAT:FQL_AUDITING_CLIENT_TEMPLATE.FAT&amp;display_string=Audit&amp;VAR:KEY=FKLQVKBOZK&amp;VAR:QUERY=UkdGX1RBWF9SQVRFKEFOTiwwLCwsLCwsTk9BVURJVCk=&amp;WINDOW=FIRST_POPUP&amp;HEIGHT=450&amp;WIDTH=450&amp;","START_MAXIMIZED=FALSE&amp;VAR:CALENDAR=US&amp;VAR:SYMBOL=QCOM&amp;VAR:INDEX=0"}</definedName>
    <definedName name="_2495__FDSAUDITLINK__" localSheetId="3" hidden="1">{"fdsup://directions/FAT Viewer?action=UPDATE&amp;creator=factset&amp;DYN_ARGS=TRUE&amp;DOC_NAME=FAT:FQL_AUDITING_CLIENT_TEMPLATE.FAT&amp;display_string=Audit&amp;VAR:KEY=ZKDYXCHSLG&amp;VAR:QUERY=UkdGX1RBWF9SQVRFKEFOTiwwLCwsLCwsTk9BVURJVCk=&amp;WINDOW=FIRST_POPUP&amp;HEIGHT=450&amp;WIDTH=450&amp;","START_MAXIMIZED=FALSE&amp;VAR:CALENDAR=US&amp;VAR:SYMBOL=QADI&amp;VAR:INDEX=0"}</definedName>
    <definedName name="_2495__FDSAUDITLINK__" localSheetId="7" hidden="1">{"fdsup://directions/FAT Viewer?action=UPDATE&amp;creator=factset&amp;DYN_ARGS=TRUE&amp;DOC_NAME=FAT:FQL_AUDITING_CLIENT_TEMPLATE.FAT&amp;display_string=Audit&amp;VAR:KEY=ZKDYXCHSLG&amp;VAR:QUERY=UkdGX1RBWF9SQVRFKEFOTiwwLCwsLCwsTk9BVURJVCk=&amp;WINDOW=FIRST_POPUP&amp;HEIGHT=450&amp;WIDTH=450&amp;","START_MAXIMIZED=FALSE&amp;VAR:CALENDAR=US&amp;VAR:SYMBOL=QADI&amp;VAR:INDEX=0"}</definedName>
    <definedName name="_2495__FDSAUDITLINK__" hidden="1">{"fdsup://directions/FAT Viewer?action=UPDATE&amp;creator=factset&amp;DYN_ARGS=TRUE&amp;DOC_NAME=FAT:FQL_AUDITING_CLIENT_TEMPLATE.FAT&amp;display_string=Audit&amp;VAR:KEY=ZKDYXCHSLG&amp;VAR:QUERY=UkdGX1RBWF9SQVRFKEFOTiwwLCwsLCwsTk9BVURJVCk=&amp;WINDOW=FIRST_POPUP&amp;HEIGHT=450&amp;WIDTH=450&amp;","START_MAXIMIZED=FALSE&amp;VAR:CALENDAR=US&amp;VAR:SYMBOL=QADI&amp;VAR:INDEX=0"}</definedName>
    <definedName name="_2496__FDSAUDITLINK__" localSheetId="3" hidden="1">{"fdsup://directions/FAT Viewer?action=UPDATE&amp;creator=factset&amp;DYN_ARGS=TRUE&amp;DOC_NAME=FAT:FQL_AUDITING_CLIENT_TEMPLATE.FAT&amp;display_string=Audit&amp;VAR:KEY=ZKDYXCHSLG&amp;VAR:QUERY=UkdGX1RBWF9SQVRFKEFOTiwwLCwsLCwsTk9BVURJVCk=&amp;WINDOW=FIRST_POPUP&amp;HEIGHT=450&amp;WIDTH=450&amp;","START_MAXIMIZED=FALSE&amp;VAR:CALENDAR=US&amp;VAR:SYMBOL=QADI&amp;VAR:INDEX=0"}</definedName>
    <definedName name="_2496__FDSAUDITLINK__" localSheetId="7" hidden="1">{"fdsup://directions/FAT Viewer?action=UPDATE&amp;creator=factset&amp;DYN_ARGS=TRUE&amp;DOC_NAME=FAT:FQL_AUDITING_CLIENT_TEMPLATE.FAT&amp;display_string=Audit&amp;VAR:KEY=ZKDYXCHSLG&amp;VAR:QUERY=UkdGX1RBWF9SQVRFKEFOTiwwLCwsLCwsTk9BVURJVCk=&amp;WINDOW=FIRST_POPUP&amp;HEIGHT=450&amp;WIDTH=450&amp;","START_MAXIMIZED=FALSE&amp;VAR:CALENDAR=US&amp;VAR:SYMBOL=QADI&amp;VAR:INDEX=0"}</definedName>
    <definedName name="_2496__FDSAUDITLINK__" hidden="1">{"fdsup://directions/FAT Viewer?action=UPDATE&amp;creator=factset&amp;DYN_ARGS=TRUE&amp;DOC_NAME=FAT:FQL_AUDITING_CLIENT_TEMPLATE.FAT&amp;display_string=Audit&amp;VAR:KEY=ZKDYXCHSLG&amp;VAR:QUERY=UkdGX1RBWF9SQVRFKEFOTiwwLCwsLCwsTk9BVURJVCk=&amp;WINDOW=FIRST_POPUP&amp;HEIGHT=450&amp;WIDTH=450&amp;","START_MAXIMIZED=FALSE&amp;VAR:CALENDAR=US&amp;VAR:SYMBOL=QADI&amp;VAR:INDEX=0"}</definedName>
    <definedName name="_2497__FDSAUDITLINK__" localSheetId="3" hidden="1">{"fdsup://directions/FAT Viewer?action=UPDATE&amp;creator=factset&amp;DYN_ARGS=TRUE&amp;DOC_NAME=FAT:FQL_AUDITING_CLIENT_TEMPLATE.FAT&amp;display_string=Audit&amp;VAR:KEY=BKVCJQNQVE&amp;VAR:QUERY=UkdGX1RBWF9SQVRFKEFOTiwwLCwsLCwsTk9BVURJVCk=&amp;WINDOW=FIRST_POPUP&amp;HEIGHT=450&amp;WIDTH=450&amp;","START_MAXIMIZED=FALSE&amp;VAR:CALENDAR=US&amp;VAR:SYMBOL=PRO&amp;VAR:INDEX=0"}</definedName>
    <definedName name="_2497__FDSAUDITLINK__" localSheetId="7" hidden="1">{"fdsup://directions/FAT Viewer?action=UPDATE&amp;creator=factset&amp;DYN_ARGS=TRUE&amp;DOC_NAME=FAT:FQL_AUDITING_CLIENT_TEMPLATE.FAT&amp;display_string=Audit&amp;VAR:KEY=BKVCJQNQVE&amp;VAR:QUERY=UkdGX1RBWF9SQVRFKEFOTiwwLCwsLCwsTk9BVURJVCk=&amp;WINDOW=FIRST_POPUP&amp;HEIGHT=450&amp;WIDTH=450&amp;","START_MAXIMIZED=FALSE&amp;VAR:CALENDAR=US&amp;VAR:SYMBOL=PRO&amp;VAR:INDEX=0"}</definedName>
    <definedName name="_2497__FDSAUDITLINK__" hidden="1">{"fdsup://directions/FAT Viewer?action=UPDATE&amp;creator=factset&amp;DYN_ARGS=TRUE&amp;DOC_NAME=FAT:FQL_AUDITING_CLIENT_TEMPLATE.FAT&amp;display_string=Audit&amp;VAR:KEY=BKVCJQNQVE&amp;VAR:QUERY=UkdGX1RBWF9SQVRFKEFOTiwwLCwsLCwsTk9BVURJVCk=&amp;WINDOW=FIRST_POPUP&amp;HEIGHT=450&amp;WIDTH=450&amp;","START_MAXIMIZED=FALSE&amp;VAR:CALENDAR=US&amp;VAR:SYMBOL=PRO&amp;VAR:INDEX=0"}</definedName>
    <definedName name="_2498__FDSAUDITLINK__" localSheetId="3" hidden="1">{"fdsup://directions/FAT Viewer?action=UPDATE&amp;creator=factset&amp;DYN_ARGS=TRUE&amp;DOC_NAME=FAT:FQL_AUDITING_CLIENT_TEMPLATE.FAT&amp;display_string=Audit&amp;VAR:KEY=VCZIJUDGBC&amp;VAR:QUERY=UkdGX1RBWF9SQVRFKEFOTiwwLCwsLCwsTk9BVURJVCk=&amp;WINDOW=FIRST_POPUP&amp;HEIGHT=450&amp;WIDTH=450&amp;","START_MAXIMIZED=FALSE&amp;VAR:CALENDAR=US&amp;VAR:SYMBOL=PRGS&amp;VAR:INDEX=0"}</definedName>
    <definedName name="_2498__FDSAUDITLINK__" localSheetId="7" hidden="1">{"fdsup://directions/FAT Viewer?action=UPDATE&amp;creator=factset&amp;DYN_ARGS=TRUE&amp;DOC_NAME=FAT:FQL_AUDITING_CLIENT_TEMPLATE.FAT&amp;display_string=Audit&amp;VAR:KEY=VCZIJUDGBC&amp;VAR:QUERY=UkdGX1RBWF9SQVRFKEFOTiwwLCwsLCwsTk9BVURJVCk=&amp;WINDOW=FIRST_POPUP&amp;HEIGHT=450&amp;WIDTH=450&amp;","START_MAXIMIZED=FALSE&amp;VAR:CALENDAR=US&amp;VAR:SYMBOL=PRGS&amp;VAR:INDEX=0"}</definedName>
    <definedName name="_2498__FDSAUDITLINK__" hidden="1">{"fdsup://directions/FAT Viewer?action=UPDATE&amp;creator=factset&amp;DYN_ARGS=TRUE&amp;DOC_NAME=FAT:FQL_AUDITING_CLIENT_TEMPLATE.FAT&amp;display_string=Audit&amp;VAR:KEY=VCZIJUDGBC&amp;VAR:QUERY=UkdGX1RBWF9SQVRFKEFOTiwwLCwsLCwsTk9BVURJVCk=&amp;WINDOW=FIRST_POPUP&amp;HEIGHT=450&amp;WIDTH=450&amp;","START_MAXIMIZED=FALSE&amp;VAR:CALENDAR=US&amp;VAR:SYMBOL=PRGS&amp;VAR:INDEX=0"}</definedName>
    <definedName name="_2499__FDSAUDITLINK__" localSheetId="3" hidden="1">{"fdsup://directions/FAT Viewer?action=UPDATE&amp;creator=factset&amp;DYN_ARGS=TRUE&amp;DOC_NAME=FAT:FQL_AUDITING_CLIENT_TEMPLATE.FAT&amp;display_string=Audit&amp;VAR:KEY=VCZIJUDGBC&amp;VAR:QUERY=UkdGX1RBWF9SQVRFKEFOTiwwLCwsLCwsTk9BVURJVCk=&amp;WINDOW=FIRST_POPUP&amp;HEIGHT=450&amp;WIDTH=450&amp;","START_MAXIMIZED=FALSE&amp;VAR:CALENDAR=US&amp;VAR:SYMBOL=PRGS&amp;VAR:INDEX=0"}</definedName>
    <definedName name="_2499__FDSAUDITLINK__" localSheetId="7" hidden="1">{"fdsup://directions/FAT Viewer?action=UPDATE&amp;creator=factset&amp;DYN_ARGS=TRUE&amp;DOC_NAME=FAT:FQL_AUDITING_CLIENT_TEMPLATE.FAT&amp;display_string=Audit&amp;VAR:KEY=VCZIJUDGBC&amp;VAR:QUERY=UkdGX1RBWF9SQVRFKEFOTiwwLCwsLCwsTk9BVURJVCk=&amp;WINDOW=FIRST_POPUP&amp;HEIGHT=450&amp;WIDTH=450&amp;","START_MAXIMIZED=FALSE&amp;VAR:CALENDAR=US&amp;VAR:SYMBOL=PRGS&amp;VAR:INDEX=0"}</definedName>
    <definedName name="_2499__FDSAUDITLINK__" hidden="1">{"fdsup://directions/FAT Viewer?action=UPDATE&amp;creator=factset&amp;DYN_ARGS=TRUE&amp;DOC_NAME=FAT:FQL_AUDITING_CLIENT_TEMPLATE.FAT&amp;display_string=Audit&amp;VAR:KEY=VCZIJUDGBC&amp;VAR:QUERY=UkdGX1RBWF9SQVRFKEFOTiwwLCwsLCwsTk9BVURJVCk=&amp;WINDOW=FIRST_POPUP&amp;HEIGHT=450&amp;WIDTH=450&amp;","START_MAXIMIZED=FALSE&amp;VAR:CALENDAR=US&amp;VAR:SYMBOL=PRGS&amp;VAR:INDEX=0"}</definedName>
    <definedName name="_25__FDSAUDITLINK__" localSheetId="3" hidden="1">{"fdsup://Directions/FactSet Auditing Viewer?action=AUDIT_VALUE&amp;DB=129&amp;ID1=268453&amp;VALUEID=01001&amp;SDATE=2010&amp;PERIODTYPE=ANN_STD&amp;SCFT=3&amp;window=popup_no_bar&amp;width=385&amp;height=120&amp;START_MAXIMIZED=FALSE&amp;creator=factset&amp;display_string=Audit"}</definedName>
    <definedName name="_25__FDSAUDITLINK__" localSheetId="7" hidden="1">{"fdsup://Directions/FactSet Auditing Viewer?action=AUDIT_VALUE&amp;DB=129&amp;ID1=268453&amp;VALUEID=01001&amp;SDATE=2010&amp;PERIODTYPE=ANN_STD&amp;SCFT=3&amp;window=popup_no_bar&amp;width=385&amp;height=120&amp;START_MAXIMIZED=FALSE&amp;creator=factset&amp;display_string=Audit"}</definedName>
    <definedName name="_25__FDSAUDITLINK__" hidden="1">{"fdsup://Directions/FactSet Auditing Viewer?action=AUDIT_VALUE&amp;DB=129&amp;ID1=268453&amp;VALUEID=01001&amp;SDATE=2010&amp;PERIODTYPE=ANN_STD&amp;SCFT=3&amp;window=popup_no_bar&amp;width=385&amp;height=120&amp;START_MAXIMIZED=FALSE&amp;creator=factset&amp;display_string=Audit"}</definedName>
    <definedName name="_250__FDSAUDITLINK__" localSheetId="3" hidden="1">{"fdsup://directions/FAT Viewer?action=UPDATE&amp;creator=factset&amp;DYN_ARGS=TRUE&amp;DOC_NAME=FAT:FQL_AUDITING_CLIENT_TEMPLATE.FAT&amp;display_string=Audit&amp;VAR:KEY=GVABOJWLCH&amp;VAR:QUERY=RkZfTkVUX0lOQyhMVE0sMCwsLCwsTSk=&amp;WINDOW=FIRST_POPUP&amp;HEIGHT=450&amp;WIDTH=450&amp;START_MAXIMI","ZED=FALSE&amp;VAR:CALENDAR=US&amp;VAR:SYMBOL=B66HFL&amp;VAR:INDEX=0"}</definedName>
    <definedName name="_250__FDSAUDITLINK__" localSheetId="7" hidden="1">{"fdsup://directions/FAT Viewer?action=UPDATE&amp;creator=factset&amp;DYN_ARGS=TRUE&amp;DOC_NAME=FAT:FQL_AUDITING_CLIENT_TEMPLATE.FAT&amp;display_string=Audit&amp;VAR:KEY=GVABOJWLCH&amp;VAR:QUERY=RkZfTkVUX0lOQyhMVE0sMCwsLCwsTSk=&amp;WINDOW=FIRST_POPUP&amp;HEIGHT=450&amp;WIDTH=450&amp;START_MAXIMI","ZED=FALSE&amp;VAR:CALENDAR=US&amp;VAR:SYMBOL=B66HFL&amp;VAR:INDEX=0"}</definedName>
    <definedName name="_250__FDSAUDITLINK__" hidden="1">{"fdsup://directions/FAT Viewer?action=UPDATE&amp;creator=factset&amp;DYN_ARGS=TRUE&amp;DOC_NAME=FAT:FQL_AUDITING_CLIENT_TEMPLATE.FAT&amp;display_string=Audit&amp;VAR:KEY=GVABOJWLCH&amp;VAR:QUERY=RkZfTkVUX0lOQyhMVE0sMCwsLCwsTSk=&amp;WINDOW=FIRST_POPUP&amp;HEIGHT=450&amp;WIDTH=450&amp;START_MAXIMI","ZED=FALSE&amp;VAR:CALENDAR=US&amp;VAR:SYMBOL=B66HFL&amp;VAR:INDEX=0"}</definedName>
    <definedName name="_2500__FDSAUDITLINK__" localSheetId="3" hidden="1">{"fdsup://directions/FAT Viewer?action=UPDATE&amp;creator=factset&amp;DYN_ARGS=TRUE&amp;DOC_NAME=FAT:FQL_AUDITING_CLIENT_TEMPLATE.FAT&amp;display_string=Audit&amp;VAR:KEY=PYZATQRMTO&amp;VAR:QUERY=UkdGX1RBWF9SQVRFKEFOTiwwLCwsLCwsTk9BVURJVCk=&amp;WINDOW=FIRST_POPUP&amp;HEIGHT=450&amp;WIDTH=450&amp;","START_MAXIMIZED=FALSE&amp;VAR:CALENDAR=US&amp;VAR:SYMBOL=PCLN&amp;VAR:INDEX=0"}</definedName>
    <definedName name="_2500__FDSAUDITLINK__" localSheetId="7" hidden="1">{"fdsup://directions/FAT Viewer?action=UPDATE&amp;creator=factset&amp;DYN_ARGS=TRUE&amp;DOC_NAME=FAT:FQL_AUDITING_CLIENT_TEMPLATE.FAT&amp;display_string=Audit&amp;VAR:KEY=PYZATQRMTO&amp;VAR:QUERY=UkdGX1RBWF9SQVRFKEFOTiwwLCwsLCwsTk9BVURJVCk=&amp;WINDOW=FIRST_POPUP&amp;HEIGHT=450&amp;WIDTH=450&amp;","START_MAXIMIZED=FALSE&amp;VAR:CALENDAR=US&amp;VAR:SYMBOL=PCLN&amp;VAR:INDEX=0"}</definedName>
    <definedName name="_2500__FDSAUDITLINK__" hidden="1">{"fdsup://directions/FAT Viewer?action=UPDATE&amp;creator=factset&amp;DYN_ARGS=TRUE&amp;DOC_NAME=FAT:FQL_AUDITING_CLIENT_TEMPLATE.FAT&amp;display_string=Audit&amp;VAR:KEY=PYZATQRMTO&amp;VAR:QUERY=UkdGX1RBWF9SQVRFKEFOTiwwLCwsLCwsTk9BVURJVCk=&amp;WINDOW=FIRST_POPUP&amp;HEIGHT=450&amp;WIDTH=450&amp;","START_MAXIMIZED=FALSE&amp;VAR:CALENDAR=US&amp;VAR:SYMBOL=PCLN&amp;VAR:INDEX=0"}</definedName>
    <definedName name="_2501__FDSAUDITLINK__" localSheetId="3" hidden="1">{"fdsup://directions/FAT Viewer?action=UPDATE&amp;creator=factset&amp;DYN_ARGS=TRUE&amp;DOC_NAME=FAT:FQL_AUDITING_CLIENT_TEMPLATE.FAT&amp;display_string=Audit&amp;VAR:KEY=PYZATQRMTO&amp;VAR:QUERY=UkdGX1RBWF9SQVRFKEFOTiwwLCwsLCwsTk9BVURJVCk=&amp;WINDOW=FIRST_POPUP&amp;HEIGHT=450&amp;WIDTH=450&amp;","START_MAXIMIZED=FALSE&amp;VAR:CALENDAR=US&amp;VAR:SYMBOL=PCLN&amp;VAR:INDEX=0"}</definedName>
    <definedName name="_2501__FDSAUDITLINK__" localSheetId="7" hidden="1">{"fdsup://directions/FAT Viewer?action=UPDATE&amp;creator=factset&amp;DYN_ARGS=TRUE&amp;DOC_NAME=FAT:FQL_AUDITING_CLIENT_TEMPLATE.FAT&amp;display_string=Audit&amp;VAR:KEY=PYZATQRMTO&amp;VAR:QUERY=UkdGX1RBWF9SQVRFKEFOTiwwLCwsLCwsTk9BVURJVCk=&amp;WINDOW=FIRST_POPUP&amp;HEIGHT=450&amp;WIDTH=450&amp;","START_MAXIMIZED=FALSE&amp;VAR:CALENDAR=US&amp;VAR:SYMBOL=PCLN&amp;VAR:INDEX=0"}</definedName>
    <definedName name="_2501__FDSAUDITLINK__" hidden="1">{"fdsup://directions/FAT Viewer?action=UPDATE&amp;creator=factset&amp;DYN_ARGS=TRUE&amp;DOC_NAME=FAT:FQL_AUDITING_CLIENT_TEMPLATE.FAT&amp;display_string=Audit&amp;VAR:KEY=PYZATQRMTO&amp;VAR:QUERY=UkdGX1RBWF9SQVRFKEFOTiwwLCwsLCwsTk9BVURJVCk=&amp;WINDOW=FIRST_POPUP&amp;HEIGHT=450&amp;WIDTH=450&amp;","START_MAXIMIZED=FALSE&amp;VAR:CALENDAR=US&amp;VAR:SYMBOL=PCLN&amp;VAR:INDEX=0"}</definedName>
    <definedName name="_2502__FDSAUDITLINK__" localSheetId="3" hidden="1">{"fdsup://directions/FAT Viewer?action=UPDATE&amp;creator=factset&amp;DYN_ARGS=TRUE&amp;DOC_NAME=FAT:FQL_AUDITING_CLIENT_TEMPLATE.FAT&amp;display_string=Audit&amp;VAR:KEY=TEJWHONMBC&amp;VAR:QUERY=UkdGX1RBWF9SQVRFKEFOTiwwLCwsLCwsTk9BVURJVCk=&amp;WINDOW=FIRST_POPUP&amp;HEIGHT=450&amp;WIDTH=450&amp;","START_MAXIMIZED=FALSE&amp;VAR:CALENDAR=US&amp;VAR:SYMBOL=PVSW&amp;VAR:INDEX=0"}</definedName>
    <definedName name="_2502__FDSAUDITLINK__" localSheetId="7" hidden="1">{"fdsup://directions/FAT Viewer?action=UPDATE&amp;creator=factset&amp;DYN_ARGS=TRUE&amp;DOC_NAME=FAT:FQL_AUDITING_CLIENT_TEMPLATE.FAT&amp;display_string=Audit&amp;VAR:KEY=TEJWHONMBC&amp;VAR:QUERY=UkdGX1RBWF9SQVRFKEFOTiwwLCwsLCwsTk9BVURJVCk=&amp;WINDOW=FIRST_POPUP&amp;HEIGHT=450&amp;WIDTH=450&amp;","START_MAXIMIZED=FALSE&amp;VAR:CALENDAR=US&amp;VAR:SYMBOL=PVSW&amp;VAR:INDEX=0"}</definedName>
    <definedName name="_2502__FDSAUDITLINK__" hidden="1">{"fdsup://directions/FAT Viewer?action=UPDATE&amp;creator=factset&amp;DYN_ARGS=TRUE&amp;DOC_NAME=FAT:FQL_AUDITING_CLIENT_TEMPLATE.FAT&amp;display_string=Audit&amp;VAR:KEY=TEJWHONMBC&amp;VAR:QUERY=UkdGX1RBWF9SQVRFKEFOTiwwLCwsLCwsTk9BVURJVCk=&amp;WINDOW=FIRST_POPUP&amp;HEIGHT=450&amp;WIDTH=450&amp;","START_MAXIMIZED=FALSE&amp;VAR:CALENDAR=US&amp;VAR:SYMBOL=PVSW&amp;VAR:INDEX=0"}</definedName>
    <definedName name="_2503__FDSAUDITLINK__" localSheetId="3" hidden="1">{"fdsup://directions/FAT Viewer?action=UPDATE&amp;creator=factset&amp;DYN_ARGS=TRUE&amp;DOC_NAME=FAT:FQL_AUDITING_CLIENT_TEMPLATE.FAT&amp;display_string=Audit&amp;VAR:KEY=TEJWHONMBC&amp;VAR:QUERY=UkdGX1RBWF9SQVRFKEFOTiwwLCwsLCwsTk9BVURJVCk=&amp;WINDOW=FIRST_POPUP&amp;HEIGHT=450&amp;WIDTH=450&amp;","START_MAXIMIZED=FALSE&amp;VAR:CALENDAR=US&amp;VAR:SYMBOL=PVSW&amp;VAR:INDEX=0"}</definedName>
    <definedName name="_2503__FDSAUDITLINK__" localSheetId="7" hidden="1">{"fdsup://directions/FAT Viewer?action=UPDATE&amp;creator=factset&amp;DYN_ARGS=TRUE&amp;DOC_NAME=FAT:FQL_AUDITING_CLIENT_TEMPLATE.FAT&amp;display_string=Audit&amp;VAR:KEY=TEJWHONMBC&amp;VAR:QUERY=UkdGX1RBWF9SQVRFKEFOTiwwLCwsLCwsTk9BVURJVCk=&amp;WINDOW=FIRST_POPUP&amp;HEIGHT=450&amp;WIDTH=450&amp;","START_MAXIMIZED=FALSE&amp;VAR:CALENDAR=US&amp;VAR:SYMBOL=PVSW&amp;VAR:INDEX=0"}</definedName>
    <definedName name="_2503__FDSAUDITLINK__" hidden="1">{"fdsup://directions/FAT Viewer?action=UPDATE&amp;creator=factset&amp;DYN_ARGS=TRUE&amp;DOC_NAME=FAT:FQL_AUDITING_CLIENT_TEMPLATE.FAT&amp;display_string=Audit&amp;VAR:KEY=TEJWHONMBC&amp;VAR:QUERY=UkdGX1RBWF9SQVRFKEFOTiwwLCwsLCwsTk9BVURJVCk=&amp;WINDOW=FIRST_POPUP&amp;HEIGHT=450&amp;WIDTH=450&amp;","START_MAXIMIZED=FALSE&amp;VAR:CALENDAR=US&amp;VAR:SYMBOL=PVSW&amp;VAR:INDEX=0"}</definedName>
    <definedName name="_2504__FDSAUDITLINK__" localSheetId="3" hidden="1">{"fdsup://directions/FAT Viewer?action=UPDATE&amp;creator=factset&amp;DYN_ARGS=TRUE&amp;DOC_NAME=FAT:FQL_AUDITING_CLIENT_TEMPLATE.FAT&amp;display_string=Audit&amp;VAR:KEY=FYHMXQVYLK&amp;VAR:QUERY=UkdGX1RBWF9SQVRFKEFOTiwwLCwsLCwsTk9BVURJVCk=&amp;WINDOW=FIRST_POPUP&amp;HEIGHT=450&amp;WIDTH=450&amp;","START_MAXIMIZED=FALSE&amp;VAR:CALENDAR=US&amp;VAR:SYMBOL=PEGA&amp;VAR:INDEX=0"}</definedName>
    <definedName name="_2504__FDSAUDITLINK__" localSheetId="7" hidden="1">{"fdsup://directions/FAT Viewer?action=UPDATE&amp;creator=factset&amp;DYN_ARGS=TRUE&amp;DOC_NAME=FAT:FQL_AUDITING_CLIENT_TEMPLATE.FAT&amp;display_string=Audit&amp;VAR:KEY=FYHMXQVYLK&amp;VAR:QUERY=UkdGX1RBWF9SQVRFKEFOTiwwLCwsLCwsTk9BVURJVCk=&amp;WINDOW=FIRST_POPUP&amp;HEIGHT=450&amp;WIDTH=450&amp;","START_MAXIMIZED=FALSE&amp;VAR:CALENDAR=US&amp;VAR:SYMBOL=PEGA&amp;VAR:INDEX=0"}</definedName>
    <definedName name="_2504__FDSAUDITLINK__" hidden="1">{"fdsup://directions/FAT Viewer?action=UPDATE&amp;creator=factset&amp;DYN_ARGS=TRUE&amp;DOC_NAME=FAT:FQL_AUDITING_CLIENT_TEMPLATE.FAT&amp;display_string=Audit&amp;VAR:KEY=FYHMXQVYLK&amp;VAR:QUERY=UkdGX1RBWF9SQVRFKEFOTiwwLCwsLCwsTk9BVURJVCk=&amp;WINDOW=FIRST_POPUP&amp;HEIGHT=450&amp;WIDTH=450&amp;","START_MAXIMIZED=FALSE&amp;VAR:CALENDAR=US&amp;VAR:SYMBOL=PEGA&amp;VAR:INDEX=0"}</definedName>
    <definedName name="_2505__FDSAUDITLINK__" localSheetId="3" hidden="1">{"fdsup://directions/FAT Viewer?action=UPDATE&amp;creator=factset&amp;DYN_ARGS=TRUE&amp;DOC_NAME=FAT:FQL_AUDITING_CLIENT_TEMPLATE.FAT&amp;display_string=Audit&amp;VAR:KEY=FYHMXQVYLK&amp;VAR:QUERY=UkdGX1RBWF9SQVRFKEFOTiwwLCwsLCwsTk9BVURJVCk=&amp;WINDOW=FIRST_POPUP&amp;HEIGHT=450&amp;WIDTH=450&amp;","START_MAXIMIZED=FALSE&amp;VAR:CALENDAR=US&amp;VAR:SYMBOL=PEGA&amp;VAR:INDEX=0"}</definedName>
    <definedName name="_2505__FDSAUDITLINK__" localSheetId="7" hidden="1">{"fdsup://directions/FAT Viewer?action=UPDATE&amp;creator=factset&amp;DYN_ARGS=TRUE&amp;DOC_NAME=FAT:FQL_AUDITING_CLIENT_TEMPLATE.FAT&amp;display_string=Audit&amp;VAR:KEY=FYHMXQVYLK&amp;VAR:QUERY=UkdGX1RBWF9SQVRFKEFOTiwwLCwsLCwsTk9BVURJVCk=&amp;WINDOW=FIRST_POPUP&amp;HEIGHT=450&amp;WIDTH=450&amp;","START_MAXIMIZED=FALSE&amp;VAR:CALENDAR=US&amp;VAR:SYMBOL=PEGA&amp;VAR:INDEX=0"}</definedName>
    <definedName name="_2505__FDSAUDITLINK__" hidden="1">{"fdsup://directions/FAT Viewer?action=UPDATE&amp;creator=factset&amp;DYN_ARGS=TRUE&amp;DOC_NAME=FAT:FQL_AUDITING_CLIENT_TEMPLATE.FAT&amp;display_string=Audit&amp;VAR:KEY=FYHMXQVYLK&amp;VAR:QUERY=UkdGX1RBWF9SQVRFKEFOTiwwLCwsLCwsTk9BVURJVCk=&amp;WINDOW=FIRST_POPUP&amp;HEIGHT=450&amp;WIDTH=450&amp;","START_MAXIMIZED=FALSE&amp;VAR:CALENDAR=US&amp;VAR:SYMBOL=PEGA&amp;VAR:INDEX=0"}</definedName>
    <definedName name="_2506__FDSAUDITLINK__" localSheetId="3" hidden="1">{"fdsup://directions/FAT Viewer?action=UPDATE&amp;creator=factset&amp;DYN_ARGS=TRUE&amp;DOC_NAME=FAT:FQL_AUDITING_CLIENT_TEMPLATE.FAT&amp;display_string=Audit&amp;VAR:KEY=XUJMXYJMLO&amp;VAR:QUERY=UkdGX1RBWF9SQVRFKEFOTiwwLCwsLCwsTk9BVURJVCk=&amp;WINDOW=FIRST_POPUP&amp;HEIGHT=450&amp;WIDTH=450&amp;","START_MAXIMIZED=FALSE&amp;VAR:CALENDAR=US&amp;VAR:SYMBOL=PDFS&amp;VAR:INDEX=0"}</definedName>
    <definedName name="_2506__FDSAUDITLINK__" localSheetId="7" hidden="1">{"fdsup://directions/FAT Viewer?action=UPDATE&amp;creator=factset&amp;DYN_ARGS=TRUE&amp;DOC_NAME=FAT:FQL_AUDITING_CLIENT_TEMPLATE.FAT&amp;display_string=Audit&amp;VAR:KEY=XUJMXYJMLO&amp;VAR:QUERY=UkdGX1RBWF9SQVRFKEFOTiwwLCwsLCwsTk9BVURJVCk=&amp;WINDOW=FIRST_POPUP&amp;HEIGHT=450&amp;WIDTH=450&amp;","START_MAXIMIZED=FALSE&amp;VAR:CALENDAR=US&amp;VAR:SYMBOL=PDFS&amp;VAR:INDEX=0"}</definedName>
    <definedName name="_2506__FDSAUDITLINK__" hidden="1">{"fdsup://directions/FAT Viewer?action=UPDATE&amp;creator=factset&amp;DYN_ARGS=TRUE&amp;DOC_NAME=FAT:FQL_AUDITING_CLIENT_TEMPLATE.FAT&amp;display_string=Audit&amp;VAR:KEY=XUJMXYJMLO&amp;VAR:QUERY=UkdGX1RBWF9SQVRFKEFOTiwwLCwsLCwsTk9BVURJVCk=&amp;WINDOW=FIRST_POPUP&amp;HEIGHT=450&amp;WIDTH=450&amp;","START_MAXIMIZED=FALSE&amp;VAR:CALENDAR=US&amp;VAR:SYMBOL=PDFS&amp;VAR:INDEX=0"}</definedName>
    <definedName name="_2507__FDSAUDITLINK__" localSheetId="3" hidden="1">{"fdsup://directions/FAT Viewer?action=UPDATE&amp;creator=factset&amp;DYN_ARGS=TRUE&amp;DOC_NAME=FAT:FQL_AUDITING_CLIENT_TEMPLATE.FAT&amp;display_string=Audit&amp;VAR:KEY=XUJMXYJMLO&amp;VAR:QUERY=UkdGX1RBWF9SQVRFKEFOTiwwLCwsLCwsTk9BVURJVCk=&amp;WINDOW=FIRST_POPUP&amp;HEIGHT=450&amp;WIDTH=450&amp;","START_MAXIMIZED=FALSE&amp;VAR:CALENDAR=US&amp;VAR:SYMBOL=PDFS&amp;VAR:INDEX=0"}</definedName>
    <definedName name="_2507__FDSAUDITLINK__" localSheetId="7" hidden="1">{"fdsup://directions/FAT Viewer?action=UPDATE&amp;creator=factset&amp;DYN_ARGS=TRUE&amp;DOC_NAME=FAT:FQL_AUDITING_CLIENT_TEMPLATE.FAT&amp;display_string=Audit&amp;VAR:KEY=XUJMXYJMLO&amp;VAR:QUERY=UkdGX1RBWF9SQVRFKEFOTiwwLCwsLCwsTk9BVURJVCk=&amp;WINDOW=FIRST_POPUP&amp;HEIGHT=450&amp;WIDTH=450&amp;","START_MAXIMIZED=FALSE&amp;VAR:CALENDAR=US&amp;VAR:SYMBOL=PDFS&amp;VAR:INDEX=0"}</definedName>
    <definedName name="_2507__FDSAUDITLINK__" hidden="1">{"fdsup://directions/FAT Viewer?action=UPDATE&amp;creator=factset&amp;DYN_ARGS=TRUE&amp;DOC_NAME=FAT:FQL_AUDITING_CLIENT_TEMPLATE.FAT&amp;display_string=Audit&amp;VAR:KEY=XUJMXYJMLO&amp;VAR:QUERY=UkdGX1RBWF9SQVRFKEFOTiwwLCwsLCwsTk9BVURJVCk=&amp;WINDOW=FIRST_POPUP&amp;HEIGHT=450&amp;WIDTH=450&amp;","START_MAXIMIZED=FALSE&amp;VAR:CALENDAR=US&amp;VAR:SYMBOL=PDFS&amp;VAR:INDEX=0"}</definedName>
    <definedName name="_2508__FDSAUDITLINK__" localSheetId="3" hidden="1">{"fdsup://directions/FAT Viewer?action=UPDATE&amp;creator=factset&amp;DYN_ARGS=TRUE&amp;DOC_NAME=FAT:FQL_AUDITING_CLIENT_TEMPLATE.FAT&amp;display_string=Audit&amp;VAR:KEY=PIHINADAPE&amp;VAR:QUERY=UkdGX1RBWF9SQVRFKEFOTiwwLCwsLCwsTk9BVURJVCk=&amp;WINDOW=FIRST_POPUP&amp;HEIGHT=450&amp;WIDTH=450&amp;","START_MAXIMIZED=FALSE&amp;VAR:CALENDAR=US&amp;VAR:SYMBOL=PMTC&amp;VAR:INDEX=0"}</definedName>
    <definedName name="_2508__FDSAUDITLINK__" localSheetId="7" hidden="1">{"fdsup://directions/FAT Viewer?action=UPDATE&amp;creator=factset&amp;DYN_ARGS=TRUE&amp;DOC_NAME=FAT:FQL_AUDITING_CLIENT_TEMPLATE.FAT&amp;display_string=Audit&amp;VAR:KEY=PIHINADAPE&amp;VAR:QUERY=UkdGX1RBWF9SQVRFKEFOTiwwLCwsLCwsTk9BVURJVCk=&amp;WINDOW=FIRST_POPUP&amp;HEIGHT=450&amp;WIDTH=450&amp;","START_MAXIMIZED=FALSE&amp;VAR:CALENDAR=US&amp;VAR:SYMBOL=PMTC&amp;VAR:INDEX=0"}</definedName>
    <definedName name="_2508__FDSAUDITLINK__" hidden="1">{"fdsup://directions/FAT Viewer?action=UPDATE&amp;creator=factset&amp;DYN_ARGS=TRUE&amp;DOC_NAME=FAT:FQL_AUDITING_CLIENT_TEMPLATE.FAT&amp;display_string=Audit&amp;VAR:KEY=PIHINADAPE&amp;VAR:QUERY=UkdGX1RBWF9SQVRFKEFOTiwwLCwsLCwsTk9BVURJVCk=&amp;WINDOW=FIRST_POPUP&amp;HEIGHT=450&amp;WIDTH=450&amp;","START_MAXIMIZED=FALSE&amp;VAR:CALENDAR=US&amp;VAR:SYMBOL=PMTC&amp;VAR:INDEX=0"}</definedName>
    <definedName name="_2509__FDSAUDITLINK__" localSheetId="3" hidden="1">{"fdsup://directions/FAT Viewer?action=UPDATE&amp;creator=factset&amp;DYN_ARGS=TRUE&amp;DOC_NAME=FAT:FQL_AUDITING_CLIENT_TEMPLATE.FAT&amp;display_string=Audit&amp;VAR:KEY=PIHINADAPE&amp;VAR:QUERY=UkdGX1RBWF9SQVRFKEFOTiwwLCwsLCwsTk9BVURJVCk=&amp;WINDOW=FIRST_POPUP&amp;HEIGHT=450&amp;WIDTH=450&amp;","START_MAXIMIZED=FALSE&amp;VAR:CALENDAR=US&amp;VAR:SYMBOL=PMTC&amp;VAR:INDEX=0"}</definedName>
    <definedName name="_2509__FDSAUDITLINK__" localSheetId="7" hidden="1">{"fdsup://directions/FAT Viewer?action=UPDATE&amp;creator=factset&amp;DYN_ARGS=TRUE&amp;DOC_NAME=FAT:FQL_AUDITING_CLIENT_TEMPLATE.FAT&amp;display_string=Audit&amp;VAR:KEY=PIHINADAPE&amp;VAR:QUERY=UkdGX1RBWF9SQVRFKEFOTiwwLCwsLCwsTk9BVURJVCk=&amp;WINDOW=FIRST_POPUP&amp;HEIGHT=450&amp;WIDTH=450&amp;","START_MAXIMIZED=FALSE&amp;VAR:CALENDAR=US&amp;VAR:SYMBOL=PMTC&amp;VAR:INDEX=0"}</definedName>
    <definedName name="_2509__FDSAUDITLINK__" hidden="1">{"fdsup://directions/FAT Viewer?action=UPDATE&amp;creator=factset&amp;DYN_ARGS=TRUE&amp;DOC_NAME=FAT:FQL_AUDITING_CLIENT_TEMPLATE.FAT&amp;display_string=Audit&amp;VAR:KEY=PIHINADAPE&amp;VAR:QUERY=UkdGX1RBWF9SQVRFKEFOTiwwLCwsLCwsTk9BVURJVCk=&amp;WINDOW=FIRST_POPUP&amp;HEIGHT=450&amp;WIDTH=450&amp;","START_MAXIMIZED=FALSE&amp;VAR:CALENDAR=US&amp;VAR:SYMBOL=PMTC&amp;VAR:INDEX=0"}</definedName>
    <definedName name="_251__FDSAUDITLINK__" localSheetId="3" hidden="1">{"fdsup://directions/FAT Viewer?action=UPDATE&amp;creator=factset&amp;DYN_ARGS=TRUE&amp;DOC_NAME=FAT:FQL_AUDITING_CLIENT_TEMPLATE.FAT&amp;display_string=Audit&amp;VAR:KEY=LMTGLMXKXC&amp;VAR:QUERY=RkZfRUJJVERBX09QRVIoTFRNLDAsLCwsLE0p&amp;WINDOW=FIRST_POPUP&amp;HEIGHT=450&amp;WIDTH=450&amp;START_MA","XIMIZED=FALSE&amp;VAR:CALENDAR=US&amp;VAR:SYMBOL=B29VWQ&amp;VAR:INDEX=0"}</definedName>
    <definedName name="_251__FDSAUDITLINK__" localSheetId="7" hidden="1">{"fdsup://directions/FAT Viewer?action=UPDATE&amp;creator=factset&amp;DYN_ARGS=TRUE&amp;DOC_NAME=FAT:FQL_AUDITING_CLIENT_TEMPLATE.FAT&amp;display_string=Audit&amp;VAR:KEY=LMTGLMXKXC&amp;VAR:QUERY=RkZfRUJJVERBX09QRVIoTFRNLDAsLCwsLE0p&amp;WINDOW=FIRST_POPUP&amp;HEIGHT=450&amp;WIDTH=450&amp;START_MA","XIMIZED=FALSE&amp;VAR:CALENDAR=US&amp;VAR:SYMBOL=B29VWQ&amp;VAR:INDEX=0"}</definedName>
    <definedName name="_251__FDSAUDITLINK__" hidden="1">{"fdsup://directions/FAT Viewer?action=UPDATE&amp;creator=factset&amp;DYN_ARGS=TRUE&amp;DOC_NAME=FAT:FQL_AUDITING_CLIENT_TEMPLATE.FAT&amp;display_string=Audit&amp;VAR:KEY=LMTGLMXKXC&amp;VAR:QUERY=RkZfRUJJVERBX09QRVIoTFRNLDAsLCwsLE0p&amp;WINDOW=FIRST_POPUP&amp;HEIGHT=450&amp;WIDTH=450&amp;START_MA","XIMIZED=FALSE&amp;VAR:CALENDAR=US&amp;VAR:SYMBOL=B29VWQ&amp;VAR:INDEX=0"}</definedName>
    <definedName name="_2510__FDSAUDITLINK__" localSheetId="3" hidden="1">{"fdsup://directions/FAT Viewer?action=UPDATE&amp;creator=factset&amp;DYN_ARGS=TRUE&amp;DOC_NAME=FAT:FQL_AUDITING_CLIENT_TEMPLATE.FAT&amp;display_string=Audit&amp;VAR:KEY=RILYHABUHO&amp;VAR:QUERY=UkdGX1RBWF9SQVRFKEFOTiwwLCwsLCwsTk9BVURJVCk=&amp;WINDOW=FIRST_POPUP&amp;HEIGHT=450&amp;WIDTH=450&amp;","START_MAXIMIZED=FALSE&amp;VAR:CALENDAR=US&amp;VAR:SYMBOL=ORCL&amp;VAR:INDEX=0"}</definedName>
    <definedName name="_2510__FDSAUDITLINK__" localSheetId="7" hidden="1">{"fdsup://directions/FAT Viewer?action=UPDATE&amp;creator=factset&amp;DYN_ARGS=TRUE&amp;DOC_NAME=FAT:FQL_AUDITING_CLIENT_TEMPLATE.FAT&amp;display_string=Audit&amp;VAR:KEY=RILYHABUHO&amp;VAR:QUERY=UkdGX1RBWF9SQVRFKEFOTiwwLCwsLCwsTk9BVURJVCk=&amp;WINDOW=FIRST_POPUP&amp;HEIGHT=450&amp;WIDTH=450&amp;","START_MAXIMIZED=FALSE&amp;VAR:CALENDAR=US&amp;VAR:SYMBOL=ORCL&amp;VAR:INDEX=0"}</definedName>
    <definedName name="_2510__FDSAUDITLINK__" hidden="1">{"fdsup://directions/FAT Viewer?action=UPDATE&amp;creator=factset&amp;DYN_ARGS=TRUE&amp;DOC_NAME=FAT:FQL_AUDITING_CLIENT_TEMPLATE.FAT&amp;display_string=Audit&amp;VAR:KEY=RILYHABUHO&amp;VAR:QUERY=UkdGX1RBWF9SQVRFKEFOTiwwLCwsLCwsTk9BVURJVCk=&amp;WINDOW=FIRST_POPUP&amp;HEIGHT=450&amp;WIDTH=450&amp;","START_MAXIMIZED=FALSE&amp;VAR:CALENDAR=US&amp;VAR:SYMBOL=ORCL&amp;VAR:INDEX=0"}</definedName>
    <definedName name="_2511__FDSAUDITLINK__" localSheetId="3" hidden="1">{"fdsup://directions/FAT Viewer?action=UPDATE&amp;creator=factset&amp;DYN_ARGS=TRUE&amp;DOC_NAME=FAT:FQL_AUDITING_CLIENT_TEMPLATE.FAT&amp;display_string=Audit&amp;VAR:KEY=RILYHABUHO&amp;VAR:QUERY=UkdGX1RBWF9SQVRFKEFOTiwwLCwsLCwsTk9BVURJVCk=&amp;WINDOW=FIRST_POPUP&amp;HEIGHT=450&amp;WIDTH=450&amp;","START_MAXIMIZED=FALSE&amp;VAR:CALENDAR=US&amp;VAR:SYMBOL=ORCL&amp;VAR:INDEX=0"}</definedName>
    <definedName name="_2511__FDSAUDITLINK__" localSheetId="7" hidden="1">{"fdsup://directions/FAT Viewer?action=UPDATE&amp;creator=factset&amp;DYN_ARGS=TRUE&amp;DOC_NAME=FAT:FQL_AUDITING_CLIENT_TEMPLATE.FAT&amp;display_string=Audit&amp;VAR:KEY=RILYHABUHO&amp;VAR:QUERY=UkdGX1RBWF9SQVRFKEFOTiwwLCwsLCwsTk9BVURJVCk=&amp;WINDOW=FIRST_POPUP&amp;HEIGHT=450&amp;WIDTH=450&amp;","START_MAXIMIZED=FALSE&amp;VAR:CALENDAR=US&amp;VAR:SYMBOL=ORCL&amp;VAR:INDEX=0"}</definedName>
    <definedName name="_2511__FDSAUDITLINK__" hidden="1">{"fdsup://directions/FAT Viewer?action=UPDATE&amp;creator=factset&amp;DYN_ARGS=TRUE&amp;DOC_NAME=FAT:FQL_AUDITING_CLIENT_TEMPLATE.FAT&amp;display_string=Audit&amp;VAR:KEY=RILYHABUHO&amp;VAR:QUERY=UkdGX1RBWF9SQVRFKEFOTiwwLCwsLCwsTk9BVURJVCk=&amp;WINDOW=FIRST_POPUP&amp;HEIGHT=450&amp;WIDTH=450&amp;","START_MAXIMIZED=FALSE&amp;VAR:CALENDAR=US&amp;VAR:SYMBOL=ORCL&amp;VAR:INDEX=0"}</definedName>
    <definedName name="_2512__FDSAUDITLINK__" localSheetId="3" hidden="1">{"fdsup://directions/FAT Viewer?action=UPDATE&amp;creator=factset&amp;DYN_ARGS=TRUE&amp;DOC_NAME=FAT:FQL_AUDITING_CLIENT_TEMPLATE.FAT&amp;display_string=Audit&amp;VAR:KEY=VKBAJITKPK&amp;VAR:QUERY=UkdGX1RBWF9SQVRFKEFOTiwwLCwsLCwsTk9BVURJVCk=&amp;WINDOW=FIRST_POPUP&amp;HEIGHT=450&amp;WIDTH=450&amp;","START_MAXIMIZED=FALSE&amp;VAR:CALENDAR=US&amp;VAR:SYMBOL=OPNT&amp;VAR:INDEX=0"}</definedName>
    <definedName name="_2512__FDSAUDITLINK__" localSheetId="7" hidden="1">{"fdsup://directions/FAT Viewer?action=UPDATE&amp;creator=factset&amp;DYN_ARGS=TRUE&amp;DOC_NAME=FAT:FQL_AUDITING_CLIENT_TEMPLATE.FAT&amp;display_string=Audit&amp;VAR:KEY=VKBAJITKPK&amp;VAR:QUERY=UkdGX1RBWF9SQVRFKEFOTiwwLCwsLCwsTk9BVURJVCk=&amp;WINDOW=FIRST_POPUP&amp;HEIGHT=450&amp;WIDTH=450&amp;","START_MAXIMIZED=FALSE&amp;VAR:CALENDAR=US&amp;VAR:SYMBOL=OPNT&amp;VAR:INDEX=0"}</definedName>
    <definedName name="_2512__FDSAUDITLINK__" hidden="1">{"fdsup://directions/FAT Viewer?action=UPDATE&amp;creator=factset&amp;DYN_ARGS=TRUE&amp;DOC_NAME=FAT:FQL_AUDITING_CLIENT_TEMPLATE.FAT&amp;display_string=Audit&amp;VAR:KEY=VKBAJITKPK&amp;VAR:QUERY=UkdGX1RBWF9SQVRFKEFOTiwwLCwsLCwsTk9BVURJVCk=&amp;WINDOW=FIRST_POPUP&amp;HEIGHT=450&amp;WIDTH=450&amp;","START_MAXIMIZED=FALSE&amp;VAR:CALENDAR=US&amp;VAR:SYMBOL=OPNT&amp;VAR:INDEX=0"}</definedName>
    <definedName name="_2513__FDSAUDITLINK__" localSheetId="3" hidden="1">{"fdsup://directions/FAT Viewer?action=UPDATE&amp;creator=factset&amp;DYN_ARGS=TRUE&amp;DOC_NAME=FAT:FQL_AUDITING_CLIENT_TEMPLATE.FAT&amp;display_string=Audit&amp;VAR:KEY=VKBAJITKPK&amp;VAR:QUERY=UkdGX1RBWF9SQVRFKEFOTiwwLCwsLCwsTk9BVURJVCk=&amp;WINDOW=FIRST_POPUP&amp;HEIGHT=450&amp;WIDTH=450&amp;","START_MAXIMIZED=FALSE&amp;VAR:CALENDAR=US&amp;VAR:SYMBOL=OPNT&amp;VAR:INDEX=0"}</definedName>
    <definedName name="_2513__FDSAUDITLINK__" localSheetId="7" hidden="1">{"fdsup://directions/FAT Viewer?action=UPDATE&amp;creator=factset&amp;DYN_ARGS=TRUE&amp;DOC_NAME=FAT:FQL_AUDITING_CLIENT_TEMPLATE.FAT&amp;display_string=Audit&amp;VAR:KEY=VKBAJITKPK&amp;VAR:QUERY=UkdGX1RBWF9SQVRFKEFOTiwwLCwsLCwsTk9BVURJVCk=&amp;WINDOW=FIRST_POPUP&amp;HEIGHT=450&amp;WIDTH=450&amp;","START_MAXIMIZED=FALSE&amp;VAR:CALENDAR=US&amp;VAR:SYMBOL=OPNT&amp;VAR:INDEX=0"}</definedName>
    <definedName name="_2513__FDSAUDITLINK__" hidden="1">{"fdsup://directions/FAT Viewer?action=UPDATE&amp;creator=factset&amp;DYN_ARGS=TRUE&amp;DOC_NAME=FAT:FQL_AUDITING_CLIENT_TEMPLATE.FAT&amp;display_string=Audit&amp;VAR:KEY=VKBAJITKPK&amp;VAR:QUERY=UkdGX1RBWF9SQVRFKEFOTiwwLCwsLCwsTk9BVURJVCk=&amp;WINDOW=FIRST_POPUP&amp;HEIGHT=450&amp;WIDTH=450&amp;","START_MAXIMIZED=FALSE&amp;VAR:CALENDAR=US&amp;VAR:SYMBOL=OPNT&amp;VAR:INDEX=0"}</definedName>
    <definedName name="_2514__FDSAUDITLINK__" localSheetId="3" hidden="1">{"fdsup://directions/FAT Viewer?action=UPDATE&amp;creator=factset&amp;DYN_ARGS=TRUE&amp;DOC_NAME=FAT:FQL_AUDITING_CLIENT_TEMPLATE.FAT&amp;display_string=Audit&amp;VAR:KEY=LULSZIBYTM&amp;VAR:QUERY=UkdGX1RBWF9SQVRFKEFOTiwwLCwsLCwsTk9BVURJVCk=&amp;WINDOW=FIRST_POPUP&amp;HEIGHT=450&amp;WIDTH=450&amp;","START_MAXIMIZED=FALSE&amp;VAR:CALENDAR=US&amp;VAR:SYMBOL=705772&amp;VAR:INDEX=0"}</definedName>
    <definedName name="_2514__FDSAUDITLINK__" localSheetId="7" hidden="1">{"fdsup://directions/FAT Viewer?action=UPDATE&amp;creator=factset&amp;DYN_ARGS=TRUE&amp;DOC_NAME=FAT:FQL_AUDITING_CLIENT_TEMPLATE.FAT&amp;display_string=Audit&amp;VAR:KEY=LULSZIBYTM&amp;VAR:QUERY=UkdGX1RBWF9SQVRFKEFOTiwwLCwsLCwsTk9BVURJVCk=&amp;WINDOW=FIRST_POPUP&amp;HEIGHT=450&amp;WIDTH=450&amp;","START_MAXIMIZED=FALSE&amp;VAR:CALENDAR=US&amp;VAR:SYMBOL=705772&amp;VAR:INDEX=0"}</definedName>
    <definedName name="_2514__FDSAUDITLINK__" hidden="1">{"fdsup://directions/FAT Viewer?action=UPDATE&amp;creator=factset&amp;DYN_ARGS=TRUE&amp;DOC_NAME=FAT:FQL_AUDITING_CLIENT_TEMPLATE.FAT&amp;display_string=Audit&amp;VAR:KEY=LULSZIBYTM&amp;VAR:QUERY=UkdGX1RBWF9SQVRFKEFOTiwwLCwsLCwsTk9BVURJVCk=&amp;WINDOW=FIRST_POPUP&amp;HEIGHT=450&amp;WIDTH=450&amp;","START_MAXIMIZED=FALSE&amp;VAR:CALENDAR=US&amp;VAR:SYMBOL=705772&amp;VAR:INDEX=0"}</definedName>
    <definedName name="_2515__FDSAUDITLINK__" localSheetId="3" hidden="1">{"fdsup://directions/FAT Viewer?action=UPDATE&amp;creator=factset&amp;DYN_ARGS=TRUE&amp;DOC_NAME=FAT:FQL_AUDITING_CLIENT_TEMPLATE.FAT&amp;display_string=Audit&amp;VAR:KEY=LULSZIBYTM&amp;VAR:QUERY=UkdGX1RBWF9SQVRFKEFOTiwwLCwsLCwsTk9BVURJVCk=&amp;WINDOW=FIRST_POPUP&amp;HEIGHT=450&amp;WIDTH=450&amp;","START_MAXIMIZED=FALSE&amp;VAR:CALENDAR=US&amp;VAR:SYMBOL=705772&amp;VAR:INDEX=0"}</definedName>
    <definedName name="_2515__FDSAUDITLINK__" localSheetId="7" hidden="1">{"fdsup://directions/FAT Viewer?action=UPDATE&amp;creator=factset&amp;DYN_ARGS=TRUE&amp;DOC_NAME=FAT:FQL_AUDITING_CLIENT_TEMPLATE.FAT&amp;display_string=Audit&amp;VAR:KEY=LULSZIBYTM&amp;VAR:QUERY=UkdGX1RBWF9SQVRFKEFOTiwwLCwsLCwsTk9BVURJVCk=&amp;WINDOW=FIRST_POPUP&amp;HEIGHT=450&amp;WIDTH=450&amp;","START_MAXIMIZED=FALSE&amp;VAR:CALENDAR=US&amp;VAR:SYMBOL=705772&amp;VAR:INDEX=0"}</definedName>
    <definedName name="_2515__FDSAUDITLINK__" hidden="1">{"fdsup://directions/FAT Viewer?action=UPDATE&amp;creator=factset&amp;DYN_ARGS=TRUE&amp;DOC_NAME=FAT:FQL_AUDITING_CLIENT_TEMPLATE.FAT&amp;display_string=Audit&amp;VAR:KEY=LULSZIBYTM&amp;VAR:QUERY=UkdGX1RBWF9SQVRFKEFOTiwwLCwsLCwsTk9BVURJVCk=&amp;WINDOW=FIRST_POPUP&amp;HEIGHT=450&amp;WIDTH=450&amp;","START_MAXIMIZED=FALSE&amp;VAR:CALENDAR=US&amp;VAR:SYMBOL=705772&amp;VAR:INDEX=0"}</definedName>
    <definedName name="_2516__FDSAUDITLINK__" localSheetId="3" hidden="1">{"fdsup://directions/FAT Viewer?action=UPDATE&amp;creator=factset&amp;DYN_ARGS=TRUE&amp;DOC_NAME=FAT:FQL_AUDITING_CLIENT_TEMPLATE.FAT&amp;display_string=Audit&amp;VAR:KEY=DUFYHABSBI&amp;VAR:QUERY=UkdGX1RBWF9SQVRFKEFOTiwwLCwsLCwsTk9BVURJVCk=&amp;WINDOW=FIRST_POPUP&amp;HEIGHT=450&amp;WIDTH=450&amp;","START_MAXIMIZED=FALSE&amp;VAR:CALENDAR=US&amp;VAR:SYMBOL=OTEX&amp;VAR:INDEX=0"}</definedName>
    <definedName name="_2516__FDSAUDITLINK__" localSheetId="7" hidden="1">{"fdsup://directions/FAT Viewer?action=UPDATE&amp;creator=factset&amp;DYN_ARGS=TRUE&amp;DOC_NAME=FAT:FQL_AUDITING_CLIENT_TEMPLATE.FAT&amp;display_string=Audit&amp;VAR:KEY=DUFYHABSBI&amp;VAR:QUERY=UkdGX1RBWF9SQVRFKEFOTiwwLCwsLCwsTk9BVURJVCk=&amp;WINDOW=FIRST_POPUP&amp;HEIGHT=450&amp;WIDTH=450&amp;","START_MAXIMIZED=FALSE&amp;VAR:CALENDAR=US&amp;VAR:SYMBOL=OTEX&amp;VAR:INDEX=0"}</definedName>
    <definedName name="_2516__FDSAUDITLINK__" hidden="1">{"fdsup://directions/FAT Viewer?action=UPDATE&amp;creator=factset&amp;DYN_ARGS=TRUE&amp;DOC_NAME=FAT:FQL_AUDITING_CLIENT_TEMPLATE.FAT&amp;display_string=Audit&amp;VAR:KEY=DUFYHABSBI&amp;VAR:QUERY=UkdGX1RBWF9SQVRFKEFOTiwwLCwsLCwsTk9BVURJVCk=&amp;WINDOW=FIRST_POPUP&amp;HEIGHT=450&amp;WIDTH=450&amp;","START_MAXIMIZED=FALSE&amp;VAR:CALENDAR=US&amp;VAR:SYMBOL=OTEX&amp;VAR:INDEX=0"}</definedName>
    <definedName name="_2517__FDSAUDITLINK__" localSheetId="3" hidden="1">{"fdsup://directions/FAT Viewer?action=UPDATE&amp;creator=factset&amp;DYN_ARGS=TRUE&amp;DOC_NAME=FAT:FQL_AUDITING_CLIENT_TEMPLATE.FAT&amp;display_string=Audit&amp;VAR:KEY=DUFYHABSBI&amp;VAR:QUERY=UkdGX1RBWF9SQVRFKEFOTiwwLCwsLCwsTk9BVURJVCk=&amp;WINDOW=FIRST_POPUP&amp;HEIGHT=450&amp;WIDTH=450&amp;","START_MAXIMIZED=FALSE&amp;VAR:CALENDAR=US&amp;VAR:SYMBOL=OTEX&amp;VAR:INDEX=0"}</definedName>
    <definedName name="_2517__FDSAUDITLINK__" localSheetId="7" hidden="1">{"fdsup://directions/FAT Viewer?action=UPDATE&amp;creator=factset&amp;DYN_ARGS=TRUE&amp;DOC_NAME=FAT:FQL_AUDITING_CLIENT_TEMPLATE.FAT&amp;display_string=Audit&amp;VAR:KEY=DUFYHABSBI&amp;VAR:QUERY=UkdGX1RBWF9SQVRFKEFOTiwwLCwsLCwsTk9BVURJVCk=&amp;WINDOW=FIRST_POPUP&amp;HEIGHT=450&amp;WIDTH=450&amp;","START_MAXIMIZED=FALSE&amp;VAR:CALENDAR=US&amp;VAR:SYMBOL=OTEX&amp;VAR:INDEX=0"}</definedName>
    <definedName name="_2517__FDSAUDITLINK__" hidden="1">{"fdsup://directions/FAT Viewer?action=UPDATE&amp;creator=factset&amp;DYN_ARGS=TRUE&amp;DOC_NAME=FAT:FQL_AUDITING_CLIENT_TEMPLATE.FAT&amp;display_string=Audit&amp;VAR:KEY=DUFYHABSBI&amp;VAR:QUERY=UkdGX1RBWF9SQVRFKEFOTiwwLCwsLCwsTk9BVURJVCk=&amp;WINDOW=FIRST_POPUP&amp;HEIGHT=450&amp;WIDTH=450&amp;","START_MAXIMIZED=FALSE&amp;VAR:CALENDAR=US&amp;VAR:SYMBOL=OTEX&amp;VAR:INDEX=0"}</definedName>
    <definedName name="_2518__FDSAUDITLINK__" localSheetId="3" hidden="1">{"fdsup://directions/FAT Viewer?action=UPDATE&amp;creator=factset&amp;DYN_ARGS=TRUE&amp;DOC_NAME=FAT:FQL_AUDITING_CLIENT_TEMPLATE.FAT&amp;display_string=Audit&amp;VAR:KEY=LSPEVSLMPQ&amp;VAR:QUERY=UkdGX1RBWF9SQVRFKEFOTiwwLCwsLCwsTk9BVURJVCk=&amp;WINDOW=FIRST_POPUP&amp;HEIGHT=450&amp;WIDTH=450&amp;","START_MAXIMIZED=FALSE&amp;VAR:CALENDAR=US&amp;VAR:SYMBOL=OPEN&amp;VAR:INDEX=0"}</definedName>
    <definedName name="_2518__FDSAUDITLINK__" localSheetId="7" hidden="1">{"fdsup://directions/FAT Viewer?action=UPDATE&amp;creator=factset&amp;DYN_ARGS=TRUE&amp;DOC_NAME=FAT:FQL_AUDITING_CLIENT_TEMPLATE.FAT&amp;display_string=Audit&amp;VAR:KEY=LSPEVSLMPQ&amp;VAR:QUERY=UkdGX1RBWF9SQVRFKEFOTiwwLCwsLCwsTk9BVURJVCk=&amp;WINDOW=FIRST_POPUP&amp;HEIGHT=450&amp;WIDTH=450&amp;","START_MAXIMIZED=FALSE&amp;VAR:CALENDAR=US&amp;VAR:SYMBOL=OPEN&amp;VAR:INDEX=0"}</definedName>
    <definedName name="_2518__FDSAUDITLINK__" hidden="1">{"fdsup://directions/FAT Viewer?action=UPDATE&amp;creator=factset&amp;DYN_ARGS=TRUE&amp;DOC_NAME=FAT:FQL_AUDITING_CLIENT_TEMPLATE.FAT&amp;display_string=Audit&amp;VAR:KEY=LSPEVSLMPQ&amp;VAR:QUERY=UkdGX1RBWF9SQVRFKEFOTiwwLCwsLCwsTk9BVURJVCk=&amp;WINDOW=FIRST_POPUP&amp;HEIGHT=450&amp;WIDTH=450&amp;","START_MAXIMIZED=FALSE&amp;VAR:CALENDAR=US&amp;VAR:SYMBOL=OPEN&amp;VAR:INDEX=0"}</definedName>
    <definedName name="_2519__FDSAUDITLINK__" localSheetId="3" hidden="1">{"fdsup://directions/FAT Viewer?action=UPDATE&amp;creator=factset&amp;DYN_ARGS=TRUE&amp;DOC_NAME=FAT:FQL_AUDITING_CLIENT_TEMPLATE.FAT&amp;display_string=Audit&amp;VAR:KEY=LSPEVSLMPQ&amp;VAR:QUERY=UkdGX1RBWF9SQVRFKEFOTiwwLCwsLCwsTk9BVURJVCk=&amp;WINDOW=FIRST_POPUP&amp;HEIGHT=450&amp;WIDTH=450&amp;","START_MAXIMIZED=FALSE&amp;VAR:CALENDAR=US&amp;VAR:SYMBOL=OPEN&amp;VAR:INDEX=0"}</definedName>
    <definedName name="_2519__FDSAUDITLINK__" localSheetId="7" hidden="1">{"fdsup://directions/FAT Viewer?action=UPDATE&amp;creator=factset&amp;DYN_ARGS=TRUE&amp;DOC_NAME=FAT:FQL_AUDITING_CLIENT_TEMPLATE.FAT&amp;display_string=Audit&amp;VAR:KEY=LSPEVSLMPQ&amp;VAR:QUERY=UkdGX1RBWF9SQVRFKEFOTiwwLCwsLCwsTk9BVURJVCk=&amp;WINDOW=FIRST_POPUP&amp;HEIGHT=450&amp;WIDTH=450&amp;","START_MAXIMIZED=FALSE&amp;VAR:CALENDAR=US&amp;VAR:SYMBOL=OPEN&amp;VAR:INDEX=0"}</definedName>
    <definedName name="_2519__FDSAUDITLINK__" hidden="1">{"fdsup://directions/FAT Viewer?action=UPDATE&amp;creator=factset&amp;DYN_ARGS=TRUE&amp;DOC_NAME=FAT:FQL_AUDITING_CLIENT_TEMPLATE.FAT&amp;display_string=Audit&amp;VAR:KEY=LSPEVSLMPQ&amp;VAR:QUERY=UkdGX1RBWF9SQVRFKEFOTiwwLCwsLCwsTk9BVURJVCk=&amp;WINDOW=FIRST_POPUP&amp;HEIGHT=450&amp;WIDTH=450&amp;","START_MAXIMIZED=FALSE&amp;VAR:CALENDAR=US&amp;VAR:SYMBOL=OPEN&amp;VAR:INDEX=0"}</definedName>
    <definedName name="_252__FDSAUDITLINK__" localSheetId="3" hidden="1">{"fdsup://directions/FAT Viewer?action=UPDATE&amp;creator=factset&amp;DYN_ARGS=TRUE&amp;DOC_NAME=FAT:FQL_AUDITING_CLIENT_TEMPLATE.FAT&amp;display_string=Audit&amp;VAR:KEY=URMFWPCPWD&amp;VAR:QUERY=UCgwLC05LFksVVNEKSAvLyBGRl9FUFMoQU5OLDAsLTksWSxSUCxVU0QsTSk=&amp;WINDOW=FIRST_POPUP&amp;HEIGH","T=450&amp;WIDTH=450&amp;START_MAXIMIZED=FALSE&amp;VAR:CALENDAR=US&amp;VAR:SYMBOL=B10LQP&amp;VAR:INDEX=5"}</definedName>
    <definedName name="_252__FDSAUDITLINK__" localSheetId="7" hidden="1">{"fdsup://directions/FAT Viewer?action=UPDATE&amp;creator=factset&amp;DYN_ARGS=TRUE&amp;DOC_NAME=FAT:FQL_AUDITING_CLIENT_TEMPLATE.FAT&amp;display_string=Audit&amp;VAR:KEY=URMFWPCPWD&amp;VAR:QUERY=UCgwLC05LFksVVNEKSAvLyBGRl9FUFMoQU5OLDAsLTksWSxSUCxVU0QsTSk=&amp;WINDOW=FIRST_POPUP&amp;HEIGH","T=450&amp;WIDTH=450&amp;START_MAXIMIZED=FALSE&amp;VAR:CALENDAR=US&amp;VAR:SYMBOL=B10LQP&amp;VAR:INDEX=5"}</definedName>
    <definedName name="_252__FDSAUDITLINK__" hidden="1">{"fdsup://directions/FAT Viewer?action=UPDATE&amp;creator=factset&amp;DYN_ARGS=TRUE&amp;DOC_NAME=FAT:FQL_AUDITING_CLIENT_TEMPLATE.FAT&amp;display_string=Audit&amp;VAR:KEY=URMFWPCPWD&amp;VAR:QUERY=UCgwLC05LFksVVNEKSAvLyBGRl9FUFMoQU5OLDAsLTksWSxSUCxVU0QsTSk=&amp;WINDOW=FIRST_POPUP&amp;HEIGH","T=450&amp;WIDTH=450&amp;START_MAXIMIZED=FALSE&amp;VAR:CALENDAR=US&amp;VAR:SYMBOL=B10LQP&amp;VAR:INDEX=5"}</definedName>
    <definedName name="_2520__FDSAUDITLINK__" localSheetId="3" hidden="1">{"fdsup://directions/FAT Viewer?action=UPDATE&amp;creator=factset&amp;DYN_ARGS=TRUE&amp;DOC_NAME=FAT:FQL_AUDITING_CLIENT_TEMPLATE.FAT&amp;display_string=Audit&amp;VAR:KEY=NIBITWPELI&amp;VAR:QUERY=UkdGX1RBWF9SQVRFKEFOTiwwLCwsLCwsTk9BVURJVCk=&amp;WINDOW=FIRST_POPUP&amp;HEIGHT=450&amp;WIDTH=450&amp;","START_MAXIMIZED=FALSE&amp;VAR:CALENDAR=US&amp;VAR:SYMBOL=NUAN&amp;VAR:INDEX=0"}</definedName>
    <definedName name="_2520__FDSAUDITLINK__" localSheetId="7" hidden="1">{"fdsup://directions/FAT Viewer?action=UPDATE&amp;creator=factset&amp;DYN_ARGS=TRUE&amp;DOC_NAME=FAT:FQL_AUDITING_CLIENT_TEMPLATE.FAT&amp;display_string=Audit&amp;VAR:KEY=NIBITWPELI&amp;VAR:QUERY=UkdGX1RBWF9SQVRFKEFOTiwwLCwsLCwsTk9BVURJVCk=&amp;WINDOW=FIRST_POPUP&amp;HEIGHT=450&amp;WIDTH=450&amp;","START_MAXIMIZED=FALSE&amp;VAR:CALENDAR=US&amp;VAR:SYMBOL=NUAN&amp;VAR:INDEX=0"}</definedName>
    <definedName name="_2520__FDSAUDITLINK__" hidden="1">{"fdsup://directions/FAT Viewer?action=UPDATE&amp;creator=factset&amp;DYN_ARGS=TRUE&amp;DOC_NAME=FAT:FQL_AUDITING_CLIENT_TEMPLATE.FAT&amp;display_string=Audit&amp;VAR:KEY=NIBITWPELI&amp;VAR:QUERY=UkdGX1RBWF9SQVRFKEFOTiwwLCwsLCwsTk9BVURJVCk=&amp;WINDOW=FIRST_POPUP&amp;HEIGHT=450&amp;WIDTH=450&amp;","START_MAXIMIZED=FALSE&amp;VAR:CALENDAR=US&amp;VAR:SYMBOL=NUAN&amp;VAR:INDEX=0"}</definedName>
    <definedName name="_2521__FDSAUDITLINK__" localSheetId="3" hidden="1">{"fdsup://directions/FAT Viewer?action=UPDATE&amp;creator=factset&amp;DYN_ARGS=TRUE&amp;DOC_NAME=FAT:FQL_AUDITING_CLIENT_TEMPLATE.FAT&amp;display_string=Audit&amp;VAR:KEY=TWNWHGHMXU&amp;VAR:QUERY=UkdGX1RBWF9SQVRFKEFOTiwwLCwsLCwsTk9BVURJVCk=&amp;WINDOW=FIRST_POPUP&amp;HEIGHT=450&amp;WIDTH=450&amp;","START_MAXIMIZED=FALSE&amp;VAR:CALENDAR=US&amp;VAR:SYMBOL=NOVL&amp;VAR:INDEX=0"}</definedName>
    <definedName name="_2521__FDSAUDITLINK__" localSheetId="7" hidden="1">{"fdsup://directions/FAT Viewer?action=UPDATE&amp;creator=factset&amp;DYN_ARGS=TRUE&amp;DOC_NAME=FAT:FQL_AUDITING_CLIENT_TEMPLATE.FAT&amp;display_string=Audit&amp;VAR:KEY=TWNWHGHMXU&amp;VAR:QUERY=UkdGX1RBWF9SQVRFKEFOTiwwLCwsLCwsTk9BVURJVCk=&amp;WINDOW=FIRST_POPUP&amp;HEIGHT=450&amp;WIDTH=450&amp;","START_MAXIMIZED=FALSE&amp;VAR:CALENDAR=US&amp;VAR:SYMBOL=NOVL&amp;VAR:INDEX=0"}</definedName>
    <definedName name="_2521__FDSAUDITLINK__" hidden="1">{"fdsup://directions/FAT Viewer?action=UPDATE&amp;creator=factset&amp;DYN_ARGS=TRUE&amp;DOC_NAME=FAT:FQL_AUDITING_CLIENT_TEMPLATE.FAT&amp;display_string=Audit&amp;VAR:KEY=TWNWHGHMXU&amp;VAR:QUERY=UkdGX1RBWF9SQVRFKEFOTiwwLCwsLCwsTk9BVURJVCk=&amp;WINDOW=FIRST_POPUP&amp;HEIGHT=450&amp;WIDTH=450&amp;","START_MAXIMIZED=FALSE&amp;VAR:CALENDAR=US&amp;VAR:SYMBOL=NOVL&amp;VAR:INDEX=0"}</definedName>
    <definedName name="_2522__FDSAUDITLINK__" localSheetId="3" hidden="1">{"fdsup://directions/FAT Viewer?action=UPDATE&amp;creator=factset&amp;DYN_ARGS=TRUE&amp;DOC_NAME=FAT:FQL_AUDITING_CLIENT_TEMPLATE.FAT&amp;display_string=Audit&amp;VAR:KEY=TWNWHGHMXU&amp;VAR:QUERY=UkdGX1RBWF9SQVRFKEFOTiwwLCwsLCwsTk9BVURJVCk=&amp;WINDOW=FIRST_POPUP&amp;HEIGHT=450&amp;WIDTH=450&amp;","START_MAXIMIZED=FALSE&amp;VAR:CALENDAR=US&amp;VAR:SYMBOL=NOVL&amp;VAR:INDEX=0"}</definedName>
    <definedName name="_2522__FDSAUDITLINK__" localSheetId="7" hidden="1">{"fdsup://directions/FAT Viewer?action=UPDATE&amp;creator=factset&amp;DYN_ARGS=TRUE&amp;DOC_NAME=FAT:FQL_AUDITING_CLIENT_TEMPLATE.FAT&amp;display_string=Audit&amp;VAR:KEY=TWNWHGHMXU&amp;VAR:QUERY=UkdGX1RBWF9SQVRFKEFOTiwwLCwsLCwsTk9BVURJVCk=&amp;WINDOW=FIRST_POPUP&amp;HEIGHT=450&amp;WIDTH=450&amp;","START_MAXIMIZED=FALSE&amp;VAR:CALENDAR=US&amp;VAR:SYMBOL=NOVL&amp;VAR:INDEX=0"}</definedName>
    <definedName name="_2522__FDSAUDITLINK__" hidden="1">{"fdsup://directions/FAT Viewer?action=UPDATE&amp;creator=factset&amp;DYN_ARGS=TRUE&amp;DOC_NAME=FAT:FQL_AUDITING_CLIENT_TEMPLATE.FAT&amp;display_string=Audit&amp;VAR:KEY=TWNWHGHMXU&amp;VAR:QUERY=UkdGX1RBWF9SQVRFKEFOTiwwLCwsLCwsTk9BVURJVCk=&amp;WINDOW=FIRST_POPUP&amp;HEIGHT=450&amp;WIDTH=450&amp;","START_MAXIMIZED=FALSE&amp;VAR:CALENDAR=US&amp;VAR:SYMBOL=NOVL&amp;VAR:INDEX=0"}</definedName>
    <definedName name="_2523__FDSAUDITLINK__" localSheetId="3" hidden="1">{"fdsup://directions/FAT Viewer?action=UPDATE&amp;creator=factset&amp;DYN_ARGS=TRUE&amp;DOC_NAME=FAT:FQL_AUDITING_CLIENT_TEMPLATE.FAT&amp;display_string=Audit&amp;VAR:KEY=BINCZUZKNU&amp;VAR:QUERY=UkdGX1RBWF9SQVRFKEFOTiwwLCwsLCwsTk9BVURJVCk=&amp;WINDOW=FIRST_POPUP&amp;HEIGHT=450&amp;WIDTH=450&amp;","START_MAXIMIZED=FALSE&amp;VAR:CALENDAR=US&amp;VAR:SYMBOL=590294&amp;VAR:INDEX=0"}</definedName>
    <definedName name="_2523__FDSAUDITLINK__" localSheetId="7" hidden="1">{"fdsup://directions/FAT Viewer?action=UPDATE&amp;creator=factset&amp;DYN_ARGS=TRUE&amp;DOC_NAME=FAT:FQL_AUDITING_CLIENT_TEMPLATE.FAT&amp;display_string=Audit&amp;VAR:KEY=BINCZUZKNU&amp;VAR:QUERY=UkdGX1RBWF9SQVRFKEFOTiwwLCwsLCwsTk9BVURJVCk=&amp;WINDOW=FIRST_POPUP&amp;HEIGHT=450&amp;WIDTH=450&amp;","START_MAXIMIZED=FALSE&amp;VAR:CALENDAR=US&amp;VAR:SYMBOL=590294&amp;VAR:INDEX=0"}</definedName>
    <definedName name="_2523__FDSAUDITLINK__" hidden="1">{"fdsup://directions/FAT Viewer?action=UPDATE&amp;creator=factset&amp;DYN_ARGS=TRUE&amp;DOC_NAME=FAT:FQL_AUDITING_CLIENT_TEMPLATE.FAT&amp;display_string=Audit&amp;VAR:KEY=BINCZUZKNU&amp;VAR:QUERY=UkdGX1RBWF9SQVRFKEFOTiwwLCwsLCwsTk9BVURJVCk=&amp;WINDOW=FIRST_POPUP&amp;HEIGHT=450&amp;WIDTH=450&amp;","START_MAXIMIZED=FALSE&amp;VAR:CALENDAR=US&amp;VAR:SYMBOL=590294&amp;VAR:INDEX=0"}</definedName>
    <definedName name="_2524__FDSAUDITLINK__" localSheetId="3" hidden="1">{"fdsup://directions/FAT Viewer?action=UPDATE&amp;creator=factset&amp;DYN_ARGS=TRUE&amp;DOC_NAME=FAT:FQL_AUDITING_CLIENT_TEMPLATE.FAT&amp;display_string=Audit&amp;VAR:KEY=BINCZUZKNU&amp;VAR:QUERY=UkdGX1RBWF9SQVRFKEFOTiwwLCwsLCwsTk9BVURJVCk=&amp;WINDOW=FIRST_POPUP&amp;HEIGHT=450&amp;WIDTH=450&amp;","START_MAXIMIZED=FALSE&amp;VAR:CALENDAR=US&amp;VAR:SYMBOL=590294&amp;VAR:INDEX=0"}</definedName>
    <definedName name="_2524__FDSAUDITLINK__" localSheetId="7" hidden="1">{"fdsup://directions/FAT Viewer?action=UPDATE&amp;creator=factset&amp;DYN_ARGS=TRUE&amp;DOC_NAME=FAT:FQL_AUDITING_CLIENT_TEMPLATE.FAT&amp;display_string=Audit&amp;VAR:KEY=BINCZUZKNU&amp;VAR:QUERY=UkdGX1RBWF9SQVRFKEFOTiwwLCwsLCwsTk9BVURJVCk=&amp;WINDOW=FIRST_POPUP&amp;HEIGHT=450&amp;WIDTH=450&amp;","START_MAXIMIZED=FALSE&amp;VAR:CALENDAR=US&amp;VAR:SYMBOL=590294&amp;VAR:INDEX=0"}</definedName>
    <definedName name="_2524__FDSAUDITLINK__" hidden="1">{"fdsup://directions/FAT Viewer?action=UPDATE&amp;creator=factset&amp;DYN_ARGS=TRUE&amp;DOC_NAME=FAT:FQL_AUDITING_CLIENT_TEMPLATE.FAT&amp;display_string=Audit&amp;VAR:KEY=BINCZUZKNU&amp;VAR:QUERY=UkdGX1RBWF9SQVRFKEFOTiwwLCwsLCwsTk9BVURJVCk=&amp;WINDOW=FIRST_POPUP&amp;HEIGHT=450&amp;WIDTH=450&amp;","START_MAXIMIZED=FALSE&amp;VAR:CALENDAR=US&amp;VAR:SYMBOL=590294&amp;VAR:INDEX=0"}</definedName>
    <definedName name="_2525__FDSAUDITLINK__" localSheetId="3" hidden="1">{"fdsup://directions/FAT Viewer?action=UPDATE&amp;creator=factset&amp;DYN_ARGS=TRUE&amp;DOC_NAME=FAT:FQL_AUDITING_CLIENT_TEMPLATE.FAT&amp;display_string=Audit&amp;VAR:KEY=XSZONGJKPC&amp;VAR:QUERY=UkdGX1RBWF9SQVRFKEFOTiwwLCwsLCwsTk9BVURJVCk=&amp;WINDOW=FIRST_POPUP&amp;HEIGHT=450&amp;WIDTH=450&amp;","START_MAXIMIZED=FALSE&amp;VAR:CALENDAR=US&amp;VAR:SYMBOL=NSR&amp;VAR:INDEX=0"}</definedName>
    <definedName name="_2525__FDSAUDITLINK__" localSheetId="7" hidden="1">{"fdsup://directions/FAT Viewer?action=UPDATE&amp;creator=factset&amp;DYN_ARGS=TRUE&amp;DOC_NAME=FAT:FQL_AUDITING_CLIENT_TEMPLATE.FAT&amp;display_string=Audit&amp;VAR:KEY=XSZONGJKPC&amp;VAR:QUERY=UkdGX1RBWF9SQVRFKEFOTiwwLCwsLCwsTk9BVURJVCk=&amp;WINDOW=FIRST_POPUP&amp;HEIGHT=450&amp;WIDTH=450&amp;","START_MAXIMIZED=FALSE&amp;VAR:CALENDAR=US&amp;VAR:SYMBOL=NSR&amp;VAR:INDEX=0"}</definedName>
    <definedName name="_2525__FDSAUDITLINK__" hidden="1">{"fdsup://directions/FAT Viewer?action=UPDATE&amp;creator=factset&amp;DYN_ARGS=TRUE&amp;DOC_NAME=FAT:FQL_AUDITING_CLIENT_TEMPLATE.FAT&amp;display_string=Audit&amp;VAR:KEY=XSZONGJKPC&amp;VAR:QUERY=UkdGX1RBWF9SQVRFKEFOTiwwLCwsLCwsTk9BVURJVCk=&amp;WINDOW=FIRST_POPUP&amp;HEIGHT=450&amp;WIDTH=450&amp;","START_MAXIMIZED=FALSE&amp;VAR:CALENDAR=US&amp;VAR:SYMBOL=NSR&amp;VAR:INDEX=0"}</definedName>
    <definedName name="_2526__FDSAUDITLINK__" localSheetId="3" hidden="1">{"fdsup://directions/FAT Viewer?action=UPDATE&amp;creator=factset&amp;DYN_ARGS=TRUE&amp;DOC_NAME=FAT:FQL_AUDITING_CLIENT_TEMPLATE.FAT&amp;display_string=Audit&amp;VAR:KEY=XSZONGJKPC&amp;VAR:QUERY=UkdGX1RBWF9SQVRFKEFOTiwwLCwsLCwsTk9BVURJVCk=&amp;WINDOW=FIRST_POPUP&amp;HEIGHT=450&amp;WIDTH=450&amp;","START_MAXIMIZED=FALSE&amp;VAR:CALENDAR=US&amp;VAR:SYMBOL=NSR&amp;VAR:INDEX=0"}</definedName>
    <definedName name="_2526__FDSAUDITLINK__" localSheetId="7" hidden="1">{"fdsup://directions/FAT Viewer?action=UPDATE&amp;creator=factset&amp;DYN_ARGS=TRUE&amp;DOC_NAME=FAT:FQL_AUDITING_CLIENT_TEMPLATE.FAT&amp;display_string=Audit&amp;VAR:KEY=XSZONGJKPC&amp;VAR:QUERY=UkdGX1RBWF9SQVRFKEFOTiwwLCwsLCwsTk9BVURJVCk=&amp;WINDOW=FIRST_POPUP&amp;HEIGHT=450&amp;WIDTH=450&amp;","START_MAXIMIZED=FALSE&amp;VAR:CALENDAR=US&amp;VAR:SYMBOL=NSR&amp;VAR:INDEX=0"}</definedName>
    <definedName name="_2526__FDSAUDITLINK__" hidden="1">{"fdsup://directions/FAT Viewer?action=UPDATE&amp;creator=factset&amp;DYN_ARGS=TRUE&amp;DOC_NAME=FAT:FQL_AUDITING_CLIENT_TEMPLATE.FAT&amp;display_string=Audit&amp;VAR:KEY=XSZONGJKPC&amp;VAR:QUERY=UkdGX1RBWF9SQVRFKEFOTiwwLCwsLCwsTk9BVURJVCk=&amp;WINDOW=FIRST_POPUP&amp;HEIGHT=450&amp;WIDTH=450&amp;","START_MAXIMIZED=FALSE&amp;VAR:CALENDAR=US&amp;VAR:SYMBOL=NSR&amp;VAR:INDEX=0"}</definedName>
    <definedName name="_2527__FDSAUDITLINK__" localSheetId="3" hidden="1">{"fdsup://directions/FAT Viewer?action=UPDATE&amp;creator=factset&amp;DYN_ARGS=TRUE&amp;DOC_NAME=FAT:FQL_AUDITING_CLIENT_TEMPLATE.FAT&amp;display_string=Audit&amp;VAR:KEY=DUVAFIDWRY&amp;VAR:QUERY=UkdGX1RBWF9SQVRFKEFOTiwwLCwsLCwsTk9BVURJVCk=&amp;WINDOW=FIRST_POPUP&amp;HEIGHT=450&amp;WIDTH=450&amp;","START_MAXIMIZED=FALSE&amp;VAR:CALENDAR=US&amp;VAR:SYMBOL=N&amp;VAR:INDEX=0"}</definedName>
    <definedName name="_2527__FDSAUDITLINK__" localSheetId="7" hidden="1">{"fdsup://directions/FAT Viewer?action=UPDATE&amp;creator=factset&amp;DYN_ARGS=TRUE&amp;DOC_NAME=FAT:FQL_AUDITING_CLIENT_TEMPLATE.FAT&amp;display_string=Audit&amp;VAR:KEY=DUVAFIDWRY&amp;VAR:QUERY=UkdGX1RBWF9SQVRFKEFOTiwwLCwsLCwsTk9BVURJVCk=&amp;WINDOW=FIRST_POPUP&amp;HEIGHT=450&amp;WIDTH=450&amp;","START_MAXIMIZED=FALSE&amp;VAR:CALENDAR=US&amp;VAR:SYMBOL=N&amp;VAR:INDEX=0"}</definedName>
    <definedName name="_2527__FDSAUDITLINK__" hidden="1">{"fdsup://directions/FAT Viewer?action=UPDATE&amp;creator=factset&amp;DYN_ARGS=TRUE&amp;DOC_NAME=FAT:FQL_AUDITING_CLIENT_TEMPLATE.FAT&amp;display_string=Audit&amp;VAR:KEY=DUVAFIDWRY&amp;VAR:QUERY=UkdGX1RBWF9SQVRFKEFOTiwwLCwsLCwsTk9BVURJVCk=&amp;WINDOW=FIRST_POPUP&amp;HEIGHT=450&amp;WIDTH=450&amp;","START_MAXIMIZED=FALSE&amp;VAR:CALENDAR=US&amp;VAR:SYMBOL=N&amp;VAR:INDEX=0"}</definedName>
    <definedName name="_2528__FDSAUDITLINK__" localSheetId="3" hidden="1">{"fdsup://directions/FAT Viewer?action=UPDATE&amp;creator=factset&amp;DYN_ARGS=TRUE&amp;DOC_NAME=FAT:FQL_AUDITING_CLIENT_TEMPLATE.FAT&amp;display_string=Audit&amp;VAR:KEY=FMJAJGDCFA&amp;VAR:QUERY=UkdGX1RBWF9SQVRFKEFOTiwwLCwsLCwsTk9BVURJVCk=&amp;WINDOW=FIRST_POPUP&amp;HEIGHT=450&amp;WIDTH=450&amp;","START_MAXIMIZED=FALSE&amp;VAR:CALENDAR=US&amp;VAR:SYMBOL=NFLX&amp;VAR:INDEX=0"}</definedName>
    <definedName name="_2528__FDSAUDITLINK__" localSheetId="7" hidden="1">{"fdsup://directions/FAT Viewer?action=UPDATE&amp;creator=factset&amp;DYN_ARGS=TRUE&amp;DOC_NAME=FAT:FQL_AUDITING_CLIENT_TEMPLATE.FAT&amp;display_string=Audit&amp;VAR:KEY=FMJAJGDCFA&amp;VAR:QUERY=UkdGX1RBWF9SQVRFKEFOTiwwLCwsLCwsTk9BVURJVCk=&amp;WINDOW=FIRST_POPUP&amp;HEIGHT=450&amp;WIDTH=450&amp;","START_MAXIMIZED=FALSE&amp;VAR:CALENDAR=US&amp;VAR:SYMBOL=NFLX&amp;VAR:INDEX=0"}</definedName>
    <definedName name="_2528__FDSAUDITLINK__" hidden="1">{"fdsup://directions/FAT Viewer?action=UPDATE&amp;creator=factset&amp;DYN_ARGS=TRUE&amp;DOC_NAME=FAT:FQL_AUDITING_CLIENT_TEMPLATE.FAT&amp;display_string=Audit&amp;VAR:KEY=FMJAJGDCFA&amp;VAR:QUERY=UkdGX1RBWF9SQVRFKEFOTiwwLCwsLCwsTk9BVURJVCk=&amp;WINDOW=FIRST_POPUP&amp;HEIGHT=450&amp;WIDTH=450&amp;","START_MAXIMIZED=FALSE&amp;VAR:CALENDAR=US&amp;VAR:SYMBOL=NFLX&amp;VAR:INDEX=0"}</definedName>
    <definedName name="_2529__FDSAUDITLINK__" localSheetId="3" hidden="1">{"fdsup://directions/FAT Viewer?action=UPDATE&amp;creator=factset&amp;DYN_ARGS=TRUE&amp;DOC_NAME=FAT:FQL_AUDITING_CLIENT_TEMPLATE.FAT&amp;display_string=Audit&amp;VAR:KEY=FMJAJGDCFA&amp;VAR:QUERY=UkdGX1RBWF9SQVRFKEFOTiwwLCwsLCwsTk9BVURJVCk=&amp;WINDOW=FIRST_POPUP&amp;HEIGHT=450&amp;WIDTH=450&amp;","START_MAXIMIZED=FALSE&amp;VAR:CALENDAR=US&amp;VAR:SYMBOL=NFLX&amp;VAR:INDEX=0"}</definedName>
    <definedName name="_2529__FDSAUDITLINK__" localSheetId="7" hidden="1">{"fdsup://directions/FAT Viewer?action=UPDATE&amp;creator=factset&amp;DYN_ARGS=TRUE&amp;DOC_NAME=FAT:FQL_AUDITING_CLIENT_TEMPLATE.FAT&amp;display_string=Audit&amp;VAR:KEY=FMJAJGDCFA&amp;VAR:QUERY=UkdGX1RBWF9SQVRFKEFOTiwwLCwsLCwsTk9BVURJVCk=&amp;WINDOW=FIRST_POPUP&amp;HEIGHT=450&amp;WIDTH=450&amp;","START_MAXIMIZED=FALSE&amp;VAR:CALENDAR=US&amp;VAR:SYMBOL=NFLX&amp;VAR:INDEX=0"}</definedName>
    <definedName name="_2529__FDSAUDITLINK__" hidden="1">{"fdsup://directions/FAT Viewer?action=UPDATE&amp;creator=factset&amp;DYN_ARGS=TRUE&amp;DOC_NAME=FAT:FQL_AUDITING_CLIENT_TEMPLATE.FAT&amp;display_string=Audit&amp;VAR:KEY=FMJAJGDCFA&amp;VAR:QUERY=UkdGX1RBWF9SQVRFKEFOTiwwLCwsLCwsTk9BVURJVCk=&amp;WINDOW=FIRST_POPUP&amp;HEIGHT=450&amp;WIDTH=450&amp;","START_MAXIMIZED=FALSE&amp;VAR:CALENDAR=US&amp;VAR:SYMBOL=NFLX&amp;VAR:INDEX=0"}</definedName>
    <definedName name="_253__FDSAUDITLINK__" localSheetId="3" hidden="1">{"fdsup://directions/FAT Viewer?action=UPDATE&amp;creator=factset&amp;DYN_ARGS=TRUE&amp;DOC_NAME=FAT:FQL_AUDITING_CLIENT_TEMPLATE.FAT&amp;display_string=Audit&amp;VAR:KEY=VGPQZKTCDQ&amp;VAR:QUERY=RkZfRUJJVERBX09QRVIoTFRNLDAsLCwsLE0p&amp;WINDOW=FIRST_POPUP&amp;HEIGHT=450&amp;WIDTH=450&amp;START_MA","XIMIZED=FALSE&amp;VAR:CALENDAR=US&amp;VAR:SYMBOL=B07C76&amp;VAR:INDEX=0"}</definedName>
    <definedName name="_253__FDSAUDITLINK__" localSheetId="7" hidden="1">{"fdsup://directions/FAT Viewer?action=UPDATE&amp;creator=factset&amp;DYN_ARGS=TRUE&amp;DOC_NAME=FAT:FQL_AUDITING_CLIENT_TEMPLATE.FAT&amp;display_string=Audit&amp;VAR:KEY=VGPQZKTCDQ&amp;VAR:QUERY=RkZfRUJJVERBX09QRVIoTFRNLDAsLCwsLE0p&amp;WINDOW=FIRST_POPUP&amp;HEIGHT=450&amp;WIDTH=450&amp;START_MA","XIMIZED=FALSE&amp;VAR:CALENDAR=US&amp;VAR:SYMBOL=B07C76&amp;VAR:INDEX=0"}</definedName>
    <definedName name="_253__FDSAUDITLINK__" hidden="1">{"fdsup://directions/FAT Viewer?action=UPDATE&amp;creator=factset&amp;DYN_ARGS=TRUE&amp;DOC_NAME=FAT:FQL_AUDITING_CLIENT_TEMPLATE.FAT&amp;display_string=Audit&amp;VAR:KEY=VGPQZKTCDQ&amp;VAR:QUERY=RkZfRUJJVERBX09QRVIoTFRNLDAsLCwsLE0p&amp;WINDOW=FIRST_POPUP&amp;HEIGHT=450&amp;WIDTH=450&amp;START_MA","XIMIZED=FALSE&amp;VAR:CALENDAR=US&amp;VAR:SYMBOL=B07C76&amp;VAR:INDEX=0"}</definedName>
    <definedName name="_2530__FDSAUDITLINK__" localSheetId="3" hidden="1">{"fdsup://directions/FAT Viewer?action=UPDATE&amp;creator=factset&amp;DYN_ARGS=TRUE&amp;DOC_NAME=FAT:FQL_AUDITING_CLIENT_TEMPLATE.FAT&amp;display_string=Audit&amp;VAR:KEY=BGDEHYLSTE&amp;VAR:QUERY=UkdGX1RBWF9SQVRFKEFOTiwwLCwsLCwsTk9BVURJVCk=&amp;WINDOW=FIRST_POPUP&amp;HEIGHT=450&amp;WIDTH=450&amp;","START_MAXIMIZED=FALSE&amp;VAR:CALENDAR=US&amp;VAR:SYMBOL=NTAP&amp;VAR:INDEX=0"}</definedName>
    <definedName name="_2530__FDSAUDITLINK__" localSheetId="7" hidden="1">{"fdsup://directions/FAT Viewer?action=UPDATE&amp;creator=factset&amp;DYN_ARGS=TRUE&amp;DOC_NAME=FAT:FQL_AUDITING_CLIENT_TEMPLATE.FAT&amp;display_string=Audit&amp;VAR:KEY=BGDEHYLSTE&amp;VAR:QUERY=UkdGX1RBWF9SQVRFKEFOTiwwLCwsLCwsTk9BVURJVCk=&amp;WINDOW=FIRST_POPUP&amp;HEIGHT=450&amp;WIDTH=450&amp;","START_MAXIMIZED=FALSE&amp;VAR:CALENDAR=US&amp;VAR:SYMBOL=NTAP&amp;VAR:INDEX=0"}</definedName>
    <definedName name="_2530__FDSAUDITLINK__" hidden="1">{"fdsup://directions/FAT Viewer?action=UPDATE&amp;creator=factset&amp;DYN_ARGS=TRUE&amp;DOC_NAME=FAT:FQL_AUDITING_CLIENT_TEMPLATE.FAT&amp;display_string=Audit&amp;VAR:KEY=BGDEHYLSTE&amp;VAR:QUERY=UkdGX1RBWF9SQVRFKEFOTiwwLCwsLCwsTk9BVURJVCk=&amp;WINDOW=FIRST_POPUP&amp;HEIGHT=450&amp;WIDTH=450&amp;","START_MAXIMIZED=FALSE&amp;VAR:CALENDAR=US&amp;VAR:SYMBOL=NTAP&amp;VAR:INDEX=0"}</definedName>
    <definedName name="_2531__FDSAUDITLINK__" localSheetId="3" hidden="1">{"fdsup://directions/FAT Viewer?action=UPDATE&amp;creator=factset&amp;DYN_ARGS=TRUE&amp;DOC_NAME=FAT:FQL_AUDITING_CLIENT_TEMPLATE.FAT&amp;display_string=Audit&amp;VAR:KEY=BGDEHYLSTE&amp;VAR:QUERY=UkdGX1RBWF9SQVRFKEFOTiwwLCwsLCwsTk9BVURJVCk=&amp;WINDOW=FIRST_POPUP&amp;HEIGHT=450&amp;WIDTH=450&amp;","START_MAXIMIZED=FALSE&amp;VAR:CALENDAR=US&amp;VAR:SYMBOL=NTAP&amp;VAR:INDEX=0"}</definedName>
    <definedName name="_2531__FDSAUDITLINK__" localSheetId="7" hidden="1">{"fdsup://directions/FAT Viewer?action=UPDATE&amp;creator=factset&amp;DYN_ARGS=TRUE&amp;DOC_NAME=FAT:FQL_AUDITING_CLIENT_TEMPLATE.FAT&amp;display_string=Audit&amp;VAR:KEY=BGDEHYLSTE&amp;VAR:QUERY=UkdGX1RBWF9SQVRFKEFOTiwwLCwsLCwsTk9BVURJVCk=&amp;WINDOW=FIRST_POPUP&amp;HEIGHT=450&amp;WIDTH=450&amp;","START_MAXIMIZED=FALSE&amp;VAR:CALENDAR=US&amp;VAR:SYMBOL=NTAP&amp;VAR:INDEX=0"}</definedName>
    <definedName name="_2531__FDSAUDITLINK__" hidden="1">{"fdsup://directions/FAT Viewer?action=UPDATE&amp;creator=factset&amp;DYN_ARGS=TRUE&amp;DOC_NAME=FAT:FQL_AUDITING_CLIENT_TEMPLATE.FAT&amp;display_string=Audit&amp;VAR:KEY=BGDEHYLSTE&amp;VAR:QUERY=UkdGX1RBWF9SQVRFKEFOTiwwLCwsLCwsTk9BVURJVCk=&amp;WINDOW=FIRST_POPUP&amp;HEIGHT=450&amp;WIDTH=450&amp;","START_MAXIMIZED=FALSE&amp;VAR:CALENDAR=US&amp;VAR:SYMBOL=NTAP&amp;VAR:INDEX=0"}</definedName>
    <definedName name="_2532__FDSAUDITLINK__" localSheetId="3" hidden="1">{"fdsup://directions/FAT Viewer?action=UPDATE&amp;creator=factset&amp;DYN_ARGS=TRUE&amp;DOC_NAME=FAT:FQL_AUDITING_CLIENT_TEMPLATE.FAT&amp;display_string=Audit&amp;VAR:KEY=XOBWZINSBE&amp;VAR:QUERY=UkdGX1RBWF9SQVRFKEFOTiwwLCwsLCwsTk9BVURJVCk=&amp;WINDOW=FIRST_POPUP&amp;HEIGHT=450&amp;WIDTH=450&amp;","START_MAXIMIZED=FALSE&amp;VAR:CALENDAR=US&amp;VAR:SYMBOL=563396&amp;VAR:INDEX=0"}</definedName>
    <definedName name="_2532__FDSAUDITLINK__" localSheetId="7" hidden="1">{"fdsup://directions/FAT Viewer?action=UPDATE&amp;creator=factset&amp;DYN_ARGS=TRUE&amp;DOC_NAME=FAT:FQL_AUDITING_CLIENT_TEMPLATE.FAT&amp;display_string=Audit&amp;VAR:KEY=XOBWZINSBE&amp;VAR:QUERY=UkdGX1RBWF9SQVRFKEFOTiwwLCwsLCwsTk9BVURJVCk=&amp;WINDOW=FIRST_POPUP&amp;HEIGHT=450&amp;WIDTH=450&amp;","START_MAXIMIZED=FALSE&amp;VAR:CALENDAR=US&amp;VAR:SYMBOL=563396&amp;VAR:INDEX=0"}</definedName>
    <definedName name="_2532__FDSAUDITLINK__" hidden="1">{"fdsup://directions/FAT Viewer?action=UPDATE&amp;creator=factset&amp;DYN_ARGS=TRUE&amp;DOC_NAME=FAT:FQL_AUDITING_CLIENT_TEMPLATE.FAT&amp;display_string=Audit&amp;VAR:KEY=XOBWZINSBE&amp;VAR:QUERY=UkdGX1RBWF9SQVRFKEFOTiwwLCwsLCwsTk9BVURJVCk=&amp;WINDOW=FIRST_POPUP&amp;HEIGHT=450&amp;WIDTH=450&amp;","START_MAXIMIZED=FALSE&amp;VAR:CALENDAR=US&amp;VAR:SYMBOL=563396&amp;VAR:INDEX=0"}</definedName>
    <definedName name="_2533__FDSAUDITLINK__" localSheetId="3" hidden="1">{"fdsup://directions/FAT Viewer?action=UPDATE&amp;creator=factset&amp;DYN_ARGS=TRUE&amp;DOC_NAME=FAT:FQL_AUDITING_CLIENT_TEMPLATE.FAT&amp;display_string=Audit&amp;VAR:KEY=XOBWZINSBE&amp;VAR:QUERY=UkdGX1RBWF9SQVRFKEFOTiwwLCwsLCwsTk9BVURJVCk=&amp;WINDOW=FIRST_POPUP&amp;HEIGHT=450&amp;WIDTH=450&amp;","START_MAXIMIZED=FALSE&amp;VAR:CALENDAR=US&amp;VAR:SYMBOL=563396&amp;VAR:INDEX=0"}</definedName>
    <definedName name="_2533__FDSAUDITLINK__" localSheetId="7" hidden="1">{"fdsup://directions/FAT Viewer?action=UPDATE&amp;creator=factset&amp;DYN_ARGS=TRUE&amp;DOC_NAME=FAT:FQL_AUDITING_CLIENT_TEMPLATE.FAT&amp;display_string=Audit&amp;VAR:KEY=XOBWZINSBE&amp;VAR:QUERY=UkdGX1RBWF9SQVRFKEFOTiwwLCwsLCwsTk9BVURJVCk=&amp;WINDOW=FIRST_POPUP&amp;HEIGHT=450&amp;WIDTH=450&amp;","START_MAXIMIZED=FALSE&amp;VAR:CALENDAR=US&amp;VAR:SYMBOL=563396&amp;VAR:INDEX=0"}</definedName>
    <definedName name="_2533__FDSAUDITLINK__" hidden="1">{"fdsup://directions/FAT Viewer?action=UPDATE&amp;creator=factset&amp;DYN_ARGS=TRUE&amp;DOC_NAME=FAT:FQL_AUDITING_CLIENT_TEMPLATE.FAT&amp;display_string=Audit&amp;VAR:KEY=XOBWZINSBE&amp;VAR:QUERY=UkdGX1RBWF9SQVRFKEFOTiwwLCwsLCwsTk9BVURJVCk=&amp;WINDOW=FIRST_POPUP&amp;HEIGHT=450&amp;WIDTH=450&amp;","START_MAXIMIZED=FALSE&amp;VAR:CALENDAR=US&amp;VAR:SYMBOL=563396&amp;VAR:INDEX=0"}</definedName>
    <definedName name="_2534__FDSAUDITLINK__" localSheetId="3" hidden="1">{"fdsup://directions/FAT Viewer?action=UPDATE&amp;creator=factset&amp;DYN_ARGS=TRUE&amp;DOC_NAME=FAT:FQL_AUDITING_CLIENT_TEMPLATE.FAT&amp;display_string=Audit&amp;VAR:KEY=RYRMPATCVM&amp;VAR:QUERY=UkdGX1RBWF9SQVRFKEFOTiwwLCwsLCwsTk9BVURJVCk=&amp;WINDOW=FIRST_POPUP&amp;HEIGHT=450&amp;WIDTH=450&amp;","START_MAXIMIZED=FALSE&amp;VAR:CALENDAR=US&amp;VAR:SYMBOL=MOTR&amp;VAR:INDEX=0"}</definedName>
    <definedName name="_2534__FDSAUDITLINK__" localSheetId="7" hidden="1">{"fdsup://directions/FAT Viewer?action=UPDATE&amp;creator=factset&amp;DYN_ARGS=TRUE&amp;DOC_NAME=FAT:FQL_AUDITING_CLIENT_TEMPLATE.FAT&amp;display_string=Audit&amp;VAR:KEY=RYRMPATCVM&amp;VAR:QUERY=UkdGX1RBWF9SQVRFKEFOTiwwLCwsLCwsTk9BVURJVCk=&amp;WINDOW=FIRST_POPUP&amp;HEIGHT=450&amp;WIDTH=450&amp;","START_MAXIMIZED=FALSE&amp;VAR:CALENDAR=US&amp;VAR:SYMBOL=MOTR&amp;VAR:INDEX=0"}</definedName>
    <definedName name="_2534__FDSAUDITLINK__" hidden="1">{"fdsup://directions/FAT Viewer?action=UPDATE&amp;creator=factset&amp;DYN_ARGS=TRUE&amp;DOC_NAME=FAT:FQL_AUDITING_CLIENT_TEMPLATE.FAT&amp;display_string=Audit&amp;VAR:KEY=RYRMPATCVM&amp;VAR:QUERY=UkdGX1RBWF9SQVRFKEFOTiwwLCwsLCwsTk9BVURJVCk=&amp;WINDOW=FIRST_POPUP&amp;HEIGHT=450&amp;WIDTH=450&amp;","START_MAXIMIZED=FALSE&amp;VAR:CALENDAR=US&amp;VAR:SYMBOL=MOTR&amp;VAR:INDEX=0"}</definedName>
    <definedName name="_2535__FDSAUDITLINK__" localSheetId="3" hidden="1">{"fdsup://directions/FAT Viewer?action=UPDATE&amp;creator=factset&amp;DYN_ARGS=TRUE&amp;DOC_NAME=FAT:FQL_AUDITING_CLIENT_TEMPLATE.FAT&amp;display_string=Audit&amp;VAR:KEY=HYFWHAFGTM&amp;VAR:QUERY=UkdGX1RBWF9SQVRFKEFOTiwwLCwsLCwsTk9BVURJVCk=&amp;WINDOW=FIRST_POPUP&amp;HEIGHT=450&amp;WIDTH=450&amp;","START_MAXIMIZED=FALSE&amp;VAR:CALENDAR=US&amp;VAR:SYMBOL=MOT&amp;VAR:INDEX=0"}</definedName>
    <definedName name="_2535__FDSAUDITLINK__" localSheetId="7" hidden="1">{"fdsup://directions/FAT Viewer?action=UPDATE&amp;creator=factset&amp;DYN_ARGS=TRUE&amp;DOC_NAME=FAT:FQL_AUDITING_CLIENT_TEMPLATE.FAT&amp;display_string=Audit&amp;VAR:KEY=HYFWHAFGTM&amp;VAR:QUERY=UkdGX1RBWF9SQVRFKEFOTiwwLCwsLCwsTk9BVURJVCk=&amp;WINDOW=FIRST_POPUP&amp;HEIGHT=450&amp;WIDTH=450&amp;","START_MAXIMIZED=FALSE&amp;VAR:CALENDAR=US&amp;VAR:SYMBOL=MOT&amp;VAR:INDEX=0"}</definedName>
    <definedName name="_2535__FDSAUDITLINK__" hidden="1">{"fdsup://directions/FAT Viewer?action=UPDATE&amp;creator=factset&amp;DYN_ARGS=TRUE&amp;DOC_NAME=FAT:FQL_AUDITING_CLIENT_TEMPLATE.FAT&amp;display_string=Audit&amp;VAR:KEY=HYFWHAFGTM&amp;VAR:QUERY=UkdGX1RBWF9SQVRFKEFOTiwwLCwsLCwsTk9BVURJVCk=&amp;WINDOW=FIRST_POPUP&amp;HEIGHT=450&amp;WIDTH=450&amp;","START_MAXIMIZED=FALSE&amp;VAR:CALENDAR=US&amp;VAR:SYMBOL=MOT&amp;VAR:INDEX=0"}</definedName>
    <definedName name="_2536__FDSAUDITLINK__" localSheetId="3" hidden="1">{"fdsup://directions/FAT Viewer?action=UPDATE&amp;creator=factset&amp;DYN_ARGS=TRUE&amp;DOC_NAME=FAT:FQL_AUDITING_CLIENT_TEMPLATE.FAT&amp;display_string=Audit&amp;VAR:KEY=HYFWHAFGTM&amp;VAR:QUERY=UkdGX1RBWF9SQVRFKEFOTiwwLCwsLCwsTk9BVURJVCk=&amp;WINDOW=FIRST_POPUP&amp;HEIGHT=450&amp;WIDTH=450&amp;","START_MAXIMIZED=FALSE&amp;VAR:CALENDAR=US&amp;VAR:SYMBOL=MOT&amp;VAR:INDEX=0"}</definedName>
    <definedName name="_2536__FDSAUDITLINK__" localSheetId="7" hidden="1">{"fdsup://directions/FAT Viewer?action=UPDATE&amp;creator=factset&amp;DYN_ARGS=TRUE&amp;DOC_NAME=FAT:FQL_AUDITING_CLIENT_TEMPLATE.FAT&amp;display_string=Audit&amp;VAR:KEY=HYFWHAFGTM&amp;VAR:QUERY=UkdGX1RBWF9SQVRFKEFOTiwwLCwsLCwsTk9BVURJVCk=&amp;WINDOW=FIRST_POPUP&amp;HEIGHT=450&amp;WIDTH=450&amp;","START_MAXIMIZED=FALSE&amp;VAR:CALENDAR=US&amp;VAR:SYMBOL=MOT&amp;VAR:INDEX=0"}</definedName>
    <definedName name="_2536__FDSAUDITLINK__" hidden="1">{"fdsup://directions/FAT Viewer?action=UPDATE&amp;creator=factset&amp;DYN_ARGS=TRUE&amp;DOC_NAME=FAT:FQL_AUDITING_CLIENT_TEMPLATE.FAT&amp;display_string=Audit&amp;VAR:KEY=HYFWHAFGTM&amp;VAR:QUERY=UkdGX1RBWF9SQVRFKEFOTiwwLCwsLCwsTk9BVURJVCk=&amp;WINDOW=FIRST_POPUP&amp;HEIGHT=450&amp;WIDTH=450&amp;","START_MAXIMIZED=FALSE&amp;VAR:CALENDAR=US&amp;VAR:SYMBOL=MOT&amp;VAR:INDEX=0"}</definedName>
    <definedName name="_2537__FDSAUDITLINK__" localSheetId="3" hidden="1">{"fdsup://directions/FAT Viewer?action=UPDATE&amp;creator=factset&amp;DYN_ARGS=TRUE&amp;DOC_NAME=FAT:FQL_AUDITING_CLIENT_TEMPLATE.FAT&amp;display_string=Audit&amp;VAR:KEY=TENADMRKBA&amp;VAR:QUERY=UkdGX1RBWF9SQVRFKEFOTiwwLCwsLCwsTk9BVURJVCk=&amp;WINDOW=FIRST_POPUP&amp;HEIGHT=450&amp;WIDTH=450&amp;","START_MAXIMIZED=FALSE&amp;VAR:CALENDAR=US&amp;VAR:SYMBOL=MNST&amp;VAR:INDEX=0"}</definedName>
    <definedName name="_2537__FDSAUDITLINK__" localSheetId="7" hidden="1">{"fdsup://directions/FAT Viewer?action=UPDATE&amp;creator=factset&amp;DYN_ARGS=TRUE&amp;DOC_NAME=FAT:FQL_AUDITING_CLIENT_TEMPLATE.FAT&amp;display_string=Audit&amp;VAR:KEY=TENADMRKBA&amp;VAR:QUERY=UkdGX1RBWF9SQVRFKEFOTiwwLCwsLCwsTk9BVURJVCk=&amp;WINDOW=FIRST_POPUP&amp;HEIGHT=450&amp;WIDTH=450&amp;","START_MAXIMIZED=FALSE&amp;VAR:CALENDAR=US&amp;VAR:SYMBOL=MNST&amp;VAR:INDEX=0"}</definedName>
    <definedName name="_2537__FDSAUDITLINK__" hidden="1">{"fdsup://directions/FAT Viewer?action=UPDATE&amp;creator=factset&amp;DYN_ARGS=TRUE&amp;DOC_NAME=FAT:FQL_AUDITING_CLIENT_TEMPLATE.FAT&amp;display_string=Audit&amp;VAR:KEY=TENADMRKBA&amp;VAR:QUERY=UkdGX1RBWF9SQVRFKEFOTiwwLCwsLCwsTk9BVURJVCk=&amp;WINDOW=FIRST_POPUP&amp;HEIGHT=450&amp;WIDTH=450&amp;","START_MAXIMIZED=FALSE&amp;VAR:CALENDAR=US&amp;VAR:SYMBOL=MNST&amp;VAR:INDEX=0"}</definedName>
    <definedName name="_2538__FDSAUDITLINK__" localSheetId="3" hidden="1">{"fdsup://directions/FAT Viewer?action=UPDATE&amp;creator=factset&amp;DYN_ARGS=TRUE&amp;DOC_NAME=FAT:FQL_AUDITING_CLIENT_TEMPLATE.FAT&amp;display_string=Audit&amp;VAR:KEY=BAJAJEJSVU&amp;VAR:QUERY=UkdGX1RBWF9SQVRFKEFOTiwwLCwsLCwsTk9BVURJVCk=&amp;WINDOW=FIRST_POPUP&amp;HEIGHT=450&amp;WIDTH=450&amp;","START_MAXIMIZED=FALSE&amp;VAR:CALENDAR=US&amp;VAR:SYMBOL=MIPS&amp;VAR:INDEX=0"}</definedName>
    <definedName name="_2538__FDSAUDITLINK__" localSheetId="7" hidden="1">{"fdsup://directions/FAT Viewer?action=UPDATE&amp;creator=factset&amp;DYN_ARGS=TRUE&amp;DOC_NAME=FAT:FQL_AUDITING_CLIENT_TEMPLATE.FAT&amp;display_string=Audit&amp;VAR:KEY=BAJAJEJSVU&amp;VAR:QUERY=UkdGX1RBWF9SQVRFKEFOTiwwLCwsLCwsTk9BVURJVCk=&amp;WINDOW=FIRST_POPUP&amp;HEIGHT=450&amp;WIDTH=450&amp;","START_MAXIMIZED=FALSE&amp;VAR:CALENDAR=US&amp;VAR:SYMBOL=MIPS&amp;VAR:INDEX=0"}</definedName>
    <definedName name="_2538__FDSAUDITLINK__" hidden="1">{"fdsup://directions/FAT Viewer?action=UPDATE&amp;creator=factset&amp;DYN_ARGS=TRUE&amp;DOC_NAME=FAT:FQL_AUDITING_CLIENT_TEMPLATE.FAT&amp;display_string=Audit&amp;VAR:KEY=BAJAJEJSVU&amp;VAR:QUERY=UkdGX1RBWF9SQVRFKEFOTiwwLCwsLCwsTk9BVURJVCk=&amp;WINDOW=FIRST_POPUP&amp;HEIGHT=450&amp;WIDTH=450&amp;","START_MAXIMIZED=FALSE&amp;VAR:CALENDAR=US&amp;VAR:SYMBOL=MIPS&amp;VAR:INDEX=0"}</definedName>
    <definedName name="_2539__FDSAUDITLINK__" localSheetId="3" hidden="1">{"fdsup://directions/FAT Viewer?action=UPDATE&amp;creator=factset&amp;DYN_ARGS=TRUE&amp;DOC_NAME=FAT:FQL_AUDITING_CLIENT_TEMPLATE.FAT&amp;display_string=Audit&amp;VAR:KEY=BAJAJEJSVU&amp;VAR:QUERY=UkdGX1RBWF9SQVRFKEFOTiwwLCwsLCwsTk9BVURJVCk=&amp;WINDOW=FIRST_POPUP&amp;HEIGHT=450&amp;WIDTH=450&amp;","START_MAXIMIZED=FALSE&amp;VAR:CALENDAR=US&amp;VAR:SYMBOL=MIPS&amp;VAR:INDEX=0"}</definedName>
    <definedName name="_2539__FDSAUDITLINK__" localSheetId="7" hidden="1">{"fdsup://directions/FAT Viewer?action=UPDATE&amp;creator=factset&amp;DYN_ARGS=TRUE&amp;DOC_NAME=FAT:FQL_AUDITING_CLIENT_TEMPLATE.FAT&amp;display_string=Audit&amp;VAR:KEY=BAJAJEJSVU&amp;VAR:QUERY=UkdGX1RBWF9SQVRFKEFOTiwwLCwsLCwsTk9BVURJVCk=&amp;WINDOW=FIRST_POPUP&amp;HEIGHT=450&amp;WIDTH=450&amp;","START_MAXIMIZED=FALSE&amp;VAR:CALENDAR=US&amp;VAR:SYMBOL=MIPS&amp;VAR:INDEX=0"}</definedName>
    <definedName name="_2539__FDSAUDITLINK__" hidden="1">{"fdsup://directions/FAT Viewer?action=UPDATE&amp;creator=factset&amp;DYN_ARGS=TRUE&amp;DOC_NAME=FAT:FQL_AUDITING_CLIENT_TEMPLATE.FAT&amp;display_string=Audit&amp;VAR:KEY=BAJAJEJSVU&amp;VAR:QUERY=UkdGX1RBWF9SQVRFKEFOTiwwLCwsLCwsTk9BVURJVCk=&amp;WINDOW=FIRST_POPUP&amp;HEIGHT=450&amp;WIDTH=450&amp;","START_MAXIMIZED=FALSE&amp;VAR:CALENDAR=US&amp;VAR:SYMBOL=MIPS&amp;VAR:INDEX=0"}</definedName>
    <definedName name="_254__FDSAUDITLINK__" localSheetId="3" hidden="1">{"fdsup://directions/FAT Viewer?action=UPDATE&amp;creator=factset&amp;DYN_ARGS=TRUE&amp;DOC_NAME=FAT:FQL_AUDITING_CLIENT_TEMPLATE.FAT&amp;display_string=Audit&amp;VAR:KEY=URMFWPCPWD&amp;VAR:QUERY=UCgwLC05LFksVVNEKSAvLyBGRl9FUFMoQU5OLDAsLTksWSxSUCxVU0QsTSk=&amp;WINDOW=FIRST_POPUP&amp;HEIGH","T=450&amp;WIDTH=450&amp;START_MAXIMIZED=FALSE&amp;VAR:CALENDAR=US&amp;VAR:SYMBOL=B10LQP&amp;VAR:INDEX=3"}</definedName>
    <definedName name="_254__FDSAUDITLINK__" localSheetId="7" hidden="1">{"fdsup://directions/FAT Viewer?action=UPDATE&amp;creator=factset&amp;DYN_ARGS=TRUE&amp;DOC_NAME=FAT:FQL_AUDITING_CLIENT_TEMPLATE.FAT&amp;display_string=Audit&amp;VAR:KEY=URMFWPCPWD&amp;VAR:QUERY=UCgwLC05LFksVVNEKSAvLyBGRl9FUFMoQU5OLDAsLTksWSxSUCxVU0QsTSk=&amp;WINDOW=FIRST_POPUP&amp;HEIGH","T=450&amp;WIDTH=450&amp;START_MAXIMIZED=FALSE&amp;VAR:CALENDAR=US&amp;VAR:SYMBOL=B10LQP&amp;VAR:INDEX=3"}</definedName>
    <definedName name="_254__FDSAUDITLINK__" hidden="1">{"fdsup://directions/FAT Viewer?action=UPDATE&amp;creator=factset&amp;DYN_ARGS=TRUE&amp;DOC_NAME=FAT:FQL_AUDITING_CLIENT_TEMPLATE.FAT&amp;display_string=Audit&amp;VAR:KEY=URMFWPCPWD&amp;VAR:QUERY=UCgwLC05LFksVVNEKSAvLyBGRl9FUFMoQU5OLDAsLTksWSxSUCxVU0QsTSk=&amp;WINDOW=FIRST_POPUP&amp;HEIGH","T=450&amp;WIDTH=450&amp;START_MAXIMIZED=FALSE&amp;VAR:CALENDAR=US&amp;VAR:SYMBOL=B10LQP&amp;VAR:INDEX=3"}</definedName>
    <definedName name="_2540__FDSAUDITLINK__" localSheetId="3" hidden="1">{"fdsup://directions/FAT Viewer?action=UPDATE&amp;creator=factset&amp;DYN_ARGS=TRUE&amp;DOC_NAME=FAT:FQL_AUDITING_CLIENT_TEMPLATE.FAT&amp;display_string=Audit&amp;VAR:KEY=RIHORKVUXC&amp;VAR:QUERY=UkdGX1RBWF9SQVRFKEFOTiwwLCwsLCwsTk9BVURJVCk=&amp;WINDOW=FIRST_POPUP&amp;HEIGHT=450&amp;WIDTH=450&amp;","START_MAXIMIZED=FALSE&amp;VAR:CALENDAR=US&amp;VAR:SYMBOL=MSTR&amp;VAR:INDEX=0"}</definedName>
    <definedName name="_2540__FDSAUDITLINK__" localSheetId="7" hidden="1">{"fdsup://directions/FAT Viewer?action=UPDATE&amp;creator=factset&amp;DYN_ARGS=TRUE&amp;DOC_NAME=FAT:FQL_AUDITING_CLIENT_TEMPLATE.FAT&amp;display_string=Audit&amp;VAR:KEY=RIHORKVUXC&amp;VAR:QUERY=UkdGX1RBWF9SQVRFKEFOTiwwLCwsLCwsTk9BVURJVCk=&amp;WINDOW=FIRST_POPUP&amp;HEIGHT=450&amp;WIDTH=450&amp;","START_MAXIMIZED=FALSE&amp;VAR:CALENDAR=US&amp;VAR:SYMBOL=MSTR&amp;VAR:INDEX=0"}</definedName>
    <definedName name="_2540__FDSAUDITLINK__" hidden="1">{"fdsup://directions/FAT Viewer?action=UPDATE&amp;creator=factset&amp;DYN_ARGS=TRUE&amp;DOC_NAME=FAT:FQL_AUDITING_CLIENT_TEMPLATE.FAT&amp;display_string=Audit&amp;VAR:KEY=RIHORKVUXC&amp;VAR:QUERY=UkdGX1RBWF9SQVRFKEFOTiwwLCwsLCwsTk9BVURJVCk=&amp;WINDOW=FIRST_POPUP&amp;HEIGHT=450&amp;WIDTH=450&amp;","START_MAXIMIZED=FALSE&amp;VAR:CALENDAR=US&amp;VAR:SYMBOL=MSTR&amp;VAR:INDEX=0"}</definedName>
    <definedName name="_2541__FDSAUDITLINK__" localSheetId="3" hidden="1">{"fdsup://directions/FAT Viewer?action=UPDATE&amp;creator=factset&amp;DYN_ARGS=TRUE&amp;DOC_NAME=FAT:FQL_AUDITING_CLIENT_TEMPLATE.FAT&amp;display_string=Audit&amp;VAR:KEY=RIHORKVUXC&amp;VAR:QUERY=UkdGX1RBWF9SQVRFKEFOTiwwLCwsLCwsTk9BVURJVCk=&amp;WINDOW=FIRST_POPUP&amp;HEIGHT=450&amp;WIDTH=450&amp;","START_MAXIMIZED=FALSE&amp;VAR:CALENDAR=US&amp;VAR:SYMBOL=MSTR&amp;VAR:INDEX=0"}</definedName>
    <definedName name="_2541__FDSAUDITLINK__" localSheetId="7" hidden="1">{"fdsup://directions/FAT Viewer?action=UPDATE&amp;creator=factset&amp;DYN_ARGS=TRUE&amp;DOC_NAME=FAT:FQL_AUDITING_CLIENT_TEMPLATE.FAT&amp;display_string=Audit&amp;VAR:KEY=RIHORKVUXC&amp;VAR:QUERY=UkdGX1RBWF9SQVRFKEFOTiwwLCwsLCwsTk9BVURJVCk=&amp;WINDOW=FIRST_POPUP&amp;HEIGHT=450&amp;WIDTH=450&amp;","START_MAXIMIZED=FALSE&amp;VAR:CALENDAR=US&amp;VAR:SYMBOL=MSTR&amp;VAR:INDEX=0"}</definedName>
    <definedName name="_2541__FDSAUDITLINK__" hidden="1">{"fdsup://directions/FAT Viewer?action=UPDATE&amp;creator=factset&amp;DYN_ARGS=TRUE&amp;DOC_NAME=FAT:FQL_AUDITING_CLIENT_TEMPLATE.FAT&amp;display_string=Audit&amp;VAR:KEY=RIHORKVUXC&amp;VAR:QUERY=UkdGX1RBWF9SQVRFKEFOTiwwLCwsLCwsTk9BVURJVCk=&amp;WINDOW=FIRST_POPUP&amp;HEIGHT=450&amp;WIDTH=450&amp;","START_MAXIMIZED=FALSE&amp;VAR:CALENDAR=US&amp;VAR:SYMBOL=MSTR&amp;VAR:INDEX=0"}</definedName>
    <definedName name="_2542__FDSAUDITLINK__" localSheetId="3" hidden="1">{"fdsup://directions/FAT Viewer?action=UPDATE&amp;creator=factset&amp;DYN_ARGS=TRUE&amp;DOC_NAME=FAT:FQL_AUDITING_CLIENT_TEMPLATE.FAT&amp;display_string=Audit&amp;VAR:KEY=XMLMJMHMVE&amp;VAR:QUERY=UkdGX1RBWF9SQVRFKEFOTiwwLCwsLCwsTk9BVURJVCk=&amp;WINDOW=FIRST_POPUP&amp;HEIGHT=450&amp;WIDTH=450&amp;","START_MAXIMIZED=FALSE&amp;VAR:CALENDAR=US&amp;VAR:SYMBOL=MSFT&amp;VAR:INDEX=0"}</definedName>
    <definedName name="_2542__FDSAUDITLINK__" localSheetId="7" hidden="1">{"fdsup://directions/FAT Viewer?action=UPDATE&amp;creator=factset&amp;DYN_ARGS=TRUE&amp;DOC_NAME=FAT:FQL_AUDITING_CLIENT_TEMPLATE.FAT&amp;display_string=Audit&amp;VAR:KEY=XMLMJMHMVE&amp;VAR:QUERY=UkdGX1RBWF9SQVRFKEFOTiwwLCwsLCwsTk9BVURJVCk=&amp;WINDOW=FIRST_POPUP&amp;HEIGHT=450&amp;WIDTH=450&amp;","START_MAXIMIZED=FALSE&amp;VAR:CALENDAR=US&amp;VAR:SYMBOL=MSFT&amp;VAR:INDEX=0"}</definedName>
    <definedName name="_2542__FDSAUDITLINK__" hidden="1">{"fdsup://directions/FAT Viewer?action=UPDATE&amp;creator=factset&amp;DYN_ARGS=TRUE&amp;DOC_NAME=FAT:FQL_AUDITING_CLIENT_TEMPLATE.FAT&amp;display_string=Audit&amp;VAR:KEY=XMLMJMHMVE&amp;VAR:QUERY=UkdGX1RBWF9SQVRFKEFOTiwwLCwsLCwsTk9BVURJVCk=&amp;WINDOW=FIRST_POPUP&amp;HEIGHT=450&amp;WIDTH=450&amp;","START_MAXIMIZED=FALSE&amp;VAR:CALENDAR=US&amp;VAR:SYMBOL=MSFT&amp;VAR:INDEX=0"}</definedName>
    <definedName name="_2543__FDSAUDITLINK__" localSheetId="3" hidden="1">{"fdsup://directions/FAT Viewer?action=UPDATE&amp;creator=factset&amp;DYN_ARGS=TRUE&amp;DOC_NAME=FAT:FQL_AUDITING_CLIENT_TEMPLATE.FAT&amp;display_string=Audit&amp;VAR:KEY=XMLMJMHMVE&amp;VAR:QUERY=UkdGX1RBWF9SQVRFKEFOTiwwLCwsLCwsTk9BVURJVCk=&amp;WINDOW=FIRST_POPUP&amp;HEIGHT=450&amp;WIDTH=450&amp;","START_MAXIMIZED=FALSE&amp;VAR:CALENDAR=US&amp;VAR:SYMBOL=MSFT&amp;VAR:INDEX=0"}</definedName>
    <definedName name="_2543__FDSAUDITLINK__" localSheetId="7" hidden="1">{"fdsup://directions/FAT Viewer?action=UPDATE&amp;creator=factset&amp;DYN_ARGS=TRUE&amp;DOC_NAME=FAT:FQL_AUDITING_CLIENT_TEMPLATE.FAT&amp;display_string=Audit&amp;VAR:KEY=XMLMJMHMVE&amp;VAR:QUERY=UkdGX1RBWF9SQVRFKEFOTiwwLCwsLCwsTk9BVURJVCk=&amp;WINDOW=FIRST_POPUP&amp;HEIGHT=450&amp;WIDTH=450&amp;","START_MAXIMIZED=FALSE&amp;VAR:CALENDAR=US&amp;VAR:SYMBOL=MSFT&amp;VAR:INDEX=0"}</definedName>
    <definedName name="_2543__FDSAUDITLINK__" hidden="1">{"fdsup://directions/FAT Viewer?action=UPDATE&amp;creator=factset&amp;DYN_ARGS=TRUE&amp;DOC_NAME=FAT:FQL_AUDITING_CLIENT_TEMPLATE.FAT&amp;display_string=Audit&amp;VAR:KEY=XMLMJMHMVE&amp;VAR:QUERY=UkdGX1RBWF9SQVRFKEFOTiwwLCwsLCwsTk9BVURJVCk=&amp;WINDOW=FIRST_POPUP&amp;HEIGHT=450&amp;WIDTH=450&amp;","START_MAXIMIZED=FALSE&amp;VAR:CALENDAR=US&amp;VAR:SYMBOL=MSFT&amp;VAR:INDEX=0"}</definedName>
    <definedName name="_2544__FDSAUDITLINK__" localSheetId="3" hidden="1">{"fdsup://directions/FAT Viewer?action=UPDATE&amp;creator=factset&amp;DYN_ARGS=TRUE&amp;DOC_NAME=FAT:FQL_AUDITING_CLIENT_TEMPLATE.FAT&amp;display_string=Audit&amp;VAR:KEY=HINILYXGTW&amp;VAR:QUERY=UkdGX1RBWF9SQVRFKEFOTiwwLCwsLCwsTk9BVURJVCk=&amp;WINDOW=FIRST_POPUP&amp;HEIGHT=450&amp;WIDTH=450&amp;","START_MAXIMIZED=FALSE&amp;VAR:CALENDAR=US&amp;VAR:SYMBOL=B079W5&amp;VAR:INDEX=0"}</definedName>
    <definedName name="_2544__FDSAUDITLINK__" localSheetId="7" hidden="1">{"fdsup://directions/FAT Viewer?action=UPDATE&amp;creator=factset&amp;DYN_ARGS=TRUE&amp;DOC_NAME=FAT:FQL_AUDITING_CLIENT_TEMPLATE.FAT&amp;display_string=Audit&amp;VAR:KEY=HINILYXGTW&amp;VAR:QUERY=UkdGX1RBWF9SQVRFKEFOTiwwLCwsLCwsTk9BVURJVCk=&amp;WINDOW=FIRST_POPUP&amp;HEIGHT=450&amp;WIDTH=450&amp;","START_MAXIMIZED=FALSE&amp;VAR:CALENDAR=US&amp;VAR:SYMBOL=B079W5&amp;VAR:INDEX=0"}</definedName>
    <definedName name="_2544__FDSAUDITLINK__" hidden="1">{"fdsup://directions/FAT Viewer?action=UPDATE&amp;creator=factset&amp;DYN_ARGS=TRUE&amp;DOC_NAME=FAT:FQL_AUDITING_CLIENT_TEMPLATE.FAT&amp;display_string=Audit&amp;VAR:KEY=HINILYXGTW&amp;VAR:QUERY=UkdGX1RBWF9SQVRFKEFOTiwwLCwsLCwsTk9BVURJVCk=&amp;WINDOW=FIRST_POPUP&amp;HEIGHT=450&amp;WIDTH=450&amp;","START_MAXIMIZED=FALSE&amp;VAR:CALENDAR=US&amp;VAR:SYMBOL=B079W5&amp;VAR:INDEX=0"}</definedName>
    <definedName name="_2545__FDSAUDITLINK__" localSheetId="3" hidden="1">{"fdsup://directions/FAT Viewer?action=UPDATE&amp;creator=factset&amp;DYN_ARGS=TRUE&amp;DOC_NAME=FAT:FQL_AUDITING_CLIENT_TEMPLATE.FAT&amp;display_string=Audit&amp;VAR:KEY=HINILYXGTW&amp;VAR:QUERY=UkdGX1RBWF9SQVRFKEFOTiwwLCwsLCwsTk9BVURJVCk=&amp;WINDOW=FIRST_POPUP&amp;HEIGHT=450&amp;WIDTH=450&amp;","START_MAXIMIZED=FALSE&amp;VAR:CALENDAR=US&amp;VAR:SYMBOL=B079W5&amp;VAR:INDEX=0"}</definedName>
    <definedName name="_2545__FDSAUDITLINK__" localSheetId="7" hidden="1">{"fdsup://directions/FAT Viewer?action=UPDATE&amp;creator=factset&amp;DYN_ARGS=TRUE&amp;DOC_NAME=FAT:FQL_AUDITING_CLIENT_TEMPLATE.FAT&amp;display_string=Audit&amp;VAR:KEY=HINILYXGTW&amp;VAR:QUERY=UkdGX1RBWF9SQVRFKEFOTiwwLCwsLCwsTk9BVURJVCk=&amp;WINDOW=FIRST_POPUP&amp;HEIGHT=450&amp;WIDTH=450&amp;","START_MAXIMIZED=FALSE&amp;VAR:CALENDAR=US&amp;VAR:SYMBOL=B079W5&amp;VAR:INDEX=0"}</definedName>
    <definedName name="_2545__FDSAUDITLINK__" hidden="1">{"fdsup://directions/FAT Viewer?action=UPDATE&amp;creator=factset&amp;DYN_ARGS=TRUE&amp;DOC_NAME=FAT:FQL_AUDITING_CLIENT_TEMPLATE.FAT&amp;display_string=Audit&amp;VAR:KEY=HINILYXGTW&amp;VAR:QUERY=UkdGX1RBWF9SQVRFKEFOTiwwLCwsLCwsTk9BVURJVCk=&amp;WINDOW=FIRST_POPUP&amp;HEIGHT=450&amp;WIDTH=450&amp;","START_MAXIMIZED=FALSE&amp;VAR:CALENDAR=US&amp;VAR:SYMBOL=B079W5&amp;VAR:INDEX=0"}</definedName>
    <definedName name="_2546__FDSAUDITLINK__" localSheetId="3" hidden="1">{"fdsup://directions/FAT Viewer?action=UPDATE&amp;creator=factset&amp;DYN_ARGS=TRUE&amp;DOC_NAME=FAT:FQL_AUDITING_CLIENT_TEMPLATE.FAT&amp;display_string=Audit&amp;VAR:KEY=HOXAJADGZI&amp;VAR:QUERY=UkdGX1RBWF9SQVRFKEFOTiwwLCwsLCwsTk9BVURJVCk=&amp;WINDOW=FIRST_POPUP&amp;HEIGHT=450&amp;WIDTH=450&amp;","START_MAXIMIZED=FALSE&amp;VAR:CALENDAR=US&amp;VAR:SYMBOL=MERU&amp;VAR:INDEX=0"}</definedName>
    <definedName name="_2546__FDSAUDITLINK__" localSheetId="7" hidden="1">{"fdsup://directions/FAT Viewer?action=UPDATE&amp;creator=factset&amp;DYN_ARGS=TRUE&amp;DOC_NAME=FAT:FQL_AUDITING_CLIENT_TEMPLATE.FAT&amp;display_string=Audit&amp;VAR:KEY=HOXAJADGZI&amp;VAR:QUERY=UkdGX1RBWF9SQVRFKEFOTiwwLCwsLCwsTk9BVURJVCk=&amp;WINDOW=FIRST_POPUP&amp;HEIGHT=450&amp;WIDTH=450&amp;","START_MAXIMIZED=FALSE&amp;VAR:CALENDAR=US&amp;VAR:SYMBOL=MERU&amp;VAR:INDEX=0"}</definedName>
    <definedName name="_2546__FDSAUDITLINK__" hidden="1">{"fdsup://directions/FAT Viewer?action=UPDATE&amp;creator=factset&amp;DYN_ARGS=TRUE&amp;DOC_NAME=FAT:FQL_AUDITING_CLIENT_TEMPLATE.FAT&amp;display_string=Audit&amp;VAR:KEY=HOXAJADGZI&amp;VAR:QUERY=UkdGX1RBWF9SQVRFKEFOTiwwLCwsLCwsTk9BVURJVCk=&amp;WINDOW=FIRST_POPUP&amp;HEIGHT=450&amp;WIDTH=450&amp;","START_MAXIMIZED=FALSE&amp;VAR:CALENDAR=US&amp;VAR:SYMBOL=MERU&amp;VAR:INDEX=0"}</definedName>
    <definedName name="_2547__FDSAUDITLINK__" localSheetId="3" hidden="1">{"fdsup://directions/FAT Viewer?action=UPDATE&amp;creator=factset&amp;DYN_ARGS=TRUE&amp;DOC_NAME=FAT:FQL_AUDITING_CLIENT_TEMPLATE.FAT&amp;display_string=Audit&amp;VAR:KEY=LSPUTGLKPI&amp;VAR:QUERY=UkdGX1RBWF9SQVRFKEFOTiwwLCwsLCwsTk9BVURJVCk=&amp;WINDOW=FIRST_POPUP&amp;HEIGHT=450&amp;WIDTH=450&amp;","START_MAXIMIZED=FALSE&amp;VAR:CALENDAR=US&amp;VAR:SYMBOL=58733R10&amp;VAR:INDEX=0"}</definedName>
    <definedName name="_2547__FDSAUDITLINK__" localSheetId="7" hidden="1">{"fdsup://directions/FAT Viewer?action=UPDATE&amp;creator=factset&amp;DYN_ARGS=TRUE&amp;DOC_NAME=FAT:FQL_AUDITING_CLIENT_TEMPLATE.FAT&amp;display_string=Audit&amp;VAR:KEY=LSPUTGLKPI&amp;VAR:QUERY=UkdGX1RBWF9SQVRFKEFOTiwwLCwsLCwsTk9BVURJVCk=&amp;WINDOW=FIRST_POPUP&amp;HEIGHT=450&amp;WIDTH=450&amp;","START_MAXIMIZED=FALSE&amp;VAR:CALENDAR=US&amp;VAR:SYMBOL=58733R10&amp;VAR:INDEX=0"}</definedName>
    <definedName name="_2547__FDSAUDITLINK__" hidden="1">{"fdsup://directions/FAT Viewer?action=UPDATE&amp;creator=factset&amp;DYN_ARGS=TRUE&amp;DOC_NAME=FAT:FQL_AUDITING_CLIENT_TEMPLATE.FAT&amp;display_string=Audit&amp;VAR:KEY=LSPUTGLKPI&amp;VAR:QUERY=UkdGX1RBWF9SQVRFKEFOTiwwLCwsLCwsTk9BVURJVCk=&amp;WINDOW=FIRST_POPUP&amp;HEIGHT=450&amp;WIDTH=450&amp;","START_MAXIMIZED=FALSE&amp;VAR:CALENDAR=US&amp;VAR:SYMBOL=58733R10&amp;VAR:INDEX=0"}</definedName>
    <definedName name="_2548__FDSAUDITLINK__" localSheetId="3" hidden="1">{"fdsup://directions/FAT Viewer?action=UPDATE&amp;creator=factset&amp;DYN_ARGS=TRUE&amp;DOC_NAME=FAT:FQL_AUDITING_CLIENT_TEMPLATE.FAT&amp;display_string=Audit&amp;VAR:KEY=LSPUTGLKPI&amp;VAR:QUERY=UkdGX1RBWF9SQVRFKEFOTiwwLCwsLCwsTk9BVURJVCk=&amp;WINDOW=FIRST_POPUP&amp;HEIGHT=450&amp;WIDTH=450&amp;","START_MAXIMIZED=FALSE&amp;VAR:CALENDAR=US&amp;VAR:SYMBOL=58733R10&amp;VAR:INDEX=0"}</definedName>
    <definedName name="_2548__FDSAUDITLINK__" localSheetId="7" hidden="1">{"fdsup://directions/FAT Viewer?action=UPDATE&amp;creator=factset&amp;DYN_ARGS=TRUE&amp;DOC_NAME=FAT:FQL_AUDITING_CLIENT_TEMPLATE.FAT&amp;display_string=Audit&amp;VAR:KEY=LSPUTGLKPI&amp;VAR:QUERY=UkdGX1RBWF9SQVRFKEFOTiwwLCwsLCwsTk9BVURJVCk=&amp;WINDOW=FIRST_POPUP&amp;HEIGHT=450&amp;WIDTH=450&amp;","START_MAXIMIZED=FALSE&amp;VAR:CALENDAR=US&amp;VAR:SYMBOL=58733R10&amp;VAR:INDEX=0"}</definedName>
    <definedName name="_2548__FDSAUDITLINK__" hidden="1">{"fdsup://directions/FAT Viewer?action=UPDATE&amp;creator=factset&amp;DYN_ARGS=TRUE&amp;DOC_NAME=FAT:FQL_AUDITING_CLIENT_TEMPLATE.FAT&amp;display_string=Audit&amp;VAR:KEY=LSPUTGLKPI&amp;VAR:QUERY=UkdGX1RBWF9SQVRFKEFOTiwwLCwsLCwsTk9BVURJVCk=&amp;WINDOW=FIRST_POPUP&amp;HEIGHT=450&amp;WIDTH=450&amp;","START_MAXIMIZED=FALSE&amp;VAR:CALENDAR=US&amp;VAR:SYMBOL=58733R10&amp;VAR:INDEX=0"}</definedName>
    <definedName name="_2549__FDSAUDITLINK__" localSheetId="3" hidden="1">{"fdsup://directions/FAT Viewer?action=UPDATE&amp;creator=factset&amp;DYN_ARGS=TRUE&amp;DOC_NAME=FAT:FQL_AUDITING_CLIENT_TEMPLATE.FAT&amp;display_string=Audit&amp;VAR:KEY=BWPWHIVULO&amp;VAR:QUERY=UkdGX1RBWF9SQVRFKEFOTiwwLCwsLCwsTk9BVURJVCk=&amp;WINDOW=FIRST_POPUP&amp;HEIGHT=450&amp;WIDTH=450&amp;","START_MAXIMIZED=FALSE&amp;VAR:CALENDAR=US&amp;VAR:SYMBOL=MENT&amp;VAR:INDEX=0"}</definedName>
    <definedName name="_2549__FDSAUDITLINK__" localSheetId="7" hidden="1">{"fdsup://directions/FAT Viewer?action=UPDATE&amp;creator=factset&amp;DYN_ARGS=TRUE&amp;DOC_NAME=FAT:FQL_AUDITING_CLIENT_TEMPLATE.FAT&amp;display_string=Audit&amp;VAR:KEY=BWPWHIVULO&amp;VAR:QUERY=UkdGX1RBWF9SQVRFKEFOTiwwLCwsLCwsTk9BVURJVCk=&amp;WINDOW=FIRST_POPUP&amp;HEIGHT=450&amp;WIDTH=450&amp;","START_MAXIMIZED=FALSE&amp;VAR:CALENDAR=US&amp;VAR:SYMBOL=MENT&amp;VAR:INDEX=0"}</definedName>
    <definedName name="_2549__FDSAUDITLINK__" hidden="1">{"fdsup://directions/FAT Viewer?action=UPDATE&amp;creator=factset&amp;DYN_ARGS=TRUE&amp;DOC_NAME=FAT:FQL_AUDITING_CLIENT_TEMPLATE.FAT&amp;display_string=Audit&amp;VAR:KEY=BWPWHIVULO&amp;VAR:QUERY=UkdGX1RBWF9SQVRFKEFOTiwwLCwsLCwsTk9BVURJVCk=&amp;WINDOW=FIRST_POPUP&amp;HEIGHT=450&amp;WIDTH=450&amp;","START_MAXIMIZED=FALSE&amp;VAR:CALENDAR=US&amp;VAR:SYMBOL=MENT&amp;VAR:INDEX=0"}</definedName>
    <definedName name="_255__FDSAUDITLINK__" localSheetId="3" hidden="1">{"fdsup://directions/FAT Viewer?action=UPDATE&amp;creator=factset&amp;DYN_ARGS=TRUE&amp;DOC_NAME=FAT:FQL_AUDITING_CLIENT_TEMPLATE.FAT&amp;display_string=Audit&amp;VAR:KEY=URMFWPCPWD&amp;VAR:QUERY=UCgwLC05LFksVVNEKSAvLyBGRl9FUFMoQU5OLDAsLTksWSxSUCxVU0QsTSk=&amp;WINDOW=FIRST_POPUP&amp;HEIGH","T=450&amp;WIDTH=450&amp;START_MAXIMIZED=FALSE&amp;VAR:CALENDAR=US&amp;VAR:SYMBOL=B10LQP&amp;VAR:INDEX=2"}</definedName>
    <definedName name="_255__FDSAUDITLINK__" localSheetId="7" hidden="1">{"fdsup://directions/FAT Viewer?action=UPDATE&amp;creator=factset&amp;DYN_ARGS=TRUE&amp;DOC_NAME=FAT:FQL_AUDITING_CLIENT_TEMPLATE.FAT&amp;display_string=Audit&amp;VAR:KEY=URMFWPCPWD&amp;VAR:QUERY=UCgwLC05LFksVVNEKSAvLyBGRl9FUFMoQU5OLDAsLTksWSxSUCxVU0QsTSk=&amp;WINDOW=FIRST_POPUP&amp;HEIGH","T=450&amp;WIDTH=450&amp;START_MAXIMIZED=FALSE&amp;VAR:CALENDAR=US&amp;VAR:SYMBOL=B10LQP&amp;VAR:INDEX=2"}</definedName>
    <definedName name="_255__FDSAUDITLINK__" hidden="1">{"fdsup://directions/FAT Viewer?action=UPDATE&amp;creator=factset&amp;DYN_ARGS=TRUE&amp;DOC_NAME=FAT:FQL_AUDITING_CLIENT_TEMPLATE.FAT&amp;display_string=Audit&amp;VAR:KEY=URMFWPCPWD&amp;VAR:QUERY=UCgwLC05LFksVVNEKSAvLyBGRl9FUFMoQU5OLDAsLTksWSxSUCxVU0QsTSk=&amp;WINDOW=FIRST_POPUP&amp;HEIGH","T=450&amp;WIDTH=450&amp;START_MAXIMIZED=FALSE&amp;VAR:CALENDAR=US&amp;VAR:SYMBOL=B10LQP&amp;VAR:INDEX=2"}</definedName>
    <definedName name="_2550__FDSAUDITLINK__" localSheetId="3" hidden="1">{"fdsup://directions/FAT Viewer?action=UPDATE&amp;creator=factset&amp;DYN_ARGS=TRUE&amp;DOC_NAME=FAT:FQL_AUDITING_CLIENT_TEMPLATE.FAT&amp;display_string=Audit&amp;VAR:KEY=BWPWHIVULO&amp;VAR:QUERY=UkdGX1RBWF9SQVRFKEFOTiwwLCwsLCwsTk9BVURJVCk=&amp;WINDOW=FIRST_POPUP&amp;HEIGHT=450&amp;WIDTH=450&amp;","START_MAXIMIZED=FALSE&amp;VAR:CALENDAR=US&amp;VAR:SYMBOL=MENT&amp;VAR:INDEX=0"}</definedName>
    <definedName name="_2550__FDSAUDITLINK__" localSheetId="7" hidden="1">{"fdsup://directions/FAT Viewer?action=UPDATE&amp;creator=factset&amp;DYN_ARGS=TRUE&amp;DOC_NAME=FAT:FQL_AUDITING_CLIENT_TEMPLATE.FAT&amp;display_string=Audit&amp;VAR:KEY=BWPWHIVULO&amp;VAR:QUERY=UkdGX1RBWF9SQVRFKEFOTiwwLCwsLCwsTk9BVURJVCk=&amp;WINDOW=FIRST_POPUP&amp;HEIGHT=450&amp;WIDTH=450&amp;","START_MAXIMIZED=FALSE&amp;VAR:CALENDAR=US&amp;VAR:SYMBOL=MENT&amp;VAR:INDEX=0"}</definedName>
    <definedName name="_2550__FDSAUDITLINK__" hidden="1">{"fdsup://directions/FAT Viewer?action=UPDATE&amp;creator=factset&amp;DYN_ARGS=TRUE&amp;DOC_NAME=FAT:FQL_AUDITING_CLIENT_TEMPLATE.FAT&amp;display_string=Audit&amp;VAR:KEY=BWPWHIVULO&amp;VAR:QUERY=UkdGX1RBWF9SQVRFKEFOTiwwLCwsLCwsTk9BVURJVCk=&amp;WINDOW=FIRST_POPUP&amp;HEIGHT=450&amp;WIDTH=450&amp;","START_MAXIMIZED=FALSE&amp;VAR:CALENDAR=US&amp;VAR:SYMBOL=MENT&amp;VAR:INDEX=0"}</definedName>
    <definedName name="_2551__FDSAUDITLINK__" localSheetId="3" hidden="1">{"fdsup://directions/FAT Viewer?action=UPDATE&amp;creator=factset&amp;DYN_ARGS=TRUE&amp;DOC_NAME=FAT:FQL_AUDITING_CLIENT_TEMPLATE.FAT&amp;display_string=Audit&amp;VAR:KEY=RKJYHEBOTU&amp;VAR:QUERY=UkdGX1RBWF9SQVRFKEFOTiwwLCwsLCwsTk9BVURJVCk=&amp;WINDOW=FIRST_POPUP&amp;HEIGHT=450&amp;WIDTH=450&amp;","START_MAXIMIZED=FALSE&amp;VAR:CALENDAR=US&amp;VAR:SYMBOL=MDSO&amp;VAR:INDEX=0"}</definedName>
    <definedName name="_2551__FDSAUDITLINK__" localSheetId="7" hidden="1">{"fdsup://directions/FAT Viewer?action=UPDATE&amp;creator=factset&amp;DYN_ARGS=TRUE&amp;DOC_NAME=FAT:FQL_AUDITING_CLIENT_TEMPLATE.FAT&amp;display_string=Audit&amp;VAR:KEY=RKJYHEBOTU&amp;VAR:QUERY=UkdGX1RBWF9SQVRFKEFOTiwwLCwsLCwsTk9BVURJVCk=&amp;WINDOW=FIRST_POPUP&amp;HEIGHT=450&amp;WIDTH=450&amp;","START_MAXIMIZED=FALSE&amp;VAR:CALENDAR=US&amp;VAR:SYMBOL=MDSO&amp;VAR:INDEX=0"}</definedName>
    <definedName name="_2551__FDSAUDITLINK__" hidden="1">{"fdsup://directions/FAT Viewer?action=UPDATE&amp;creator=factset&amp;DYN_ARGS=TRUE&amp;DOC_NAME=FAT:FQL_AUDITING_CLIENT_TEMPLATE.FAT&amp;display_string=Audit&amp;VAR:KEY=RKJYHEBOTU&amp;VAR:QUERY=UkdGX1RBWF9SQVRFKEFOTiwwLCwsLCwsTk9BVURJVCk=&amp;WINDOW=FIRST_POPUP&amp;HEIGHT=450&amp;WIDTH=450&amp;","START_MAXIMIZED=FALSE&amp;VAR:CALENDAR=US&amp;VAR:SYMBOL=MDSO&amp;VAR:INDEX=0"}</definedName>
    <definedName name="_2552__FDSAUDITLINK__" localSheetId="3" hidden="1">{"fdsup://directions/FAT Viewer?action=UPDATE&amp;creator=factset&amp;DYN_ARGS=TRUE&amp;DOC_NAME=FAT:FQL_AUDITING_CLIENT_TEMPLATE.FAT&amp;display_string=Audit&amp;VAR:KEY=RKJYHEBOTU&amp;VAR:QUERY=UkdGX1RBWF9SQVRFKEFOTiwwLCwsLCwsTk9BVURJVCk=&amp;WINDOW=FIRST_POPUP&amp;HEIGHT=450&amp;WIDTH=450&amp;","START_MAXIMIZED=FALSE&amp;VAR:CALENDAR=US&amp;VAR:SYMBOL=MDSO&amp;VAR:INDEX=0"}</definedName>
    <definedName name="_2552__FDSAUDITLINK__" localSheetId="7" hidden="1">{"fdsup://directions/FAT Viewer?action=UPDATE&amp;creator=factset&amp;DYN_ARGS=TRUE&amp;DOC_NAME=FAT:FQL_AUDITING_CLIENT_TEMPLATE.FAT&amp;display_string=Audit&amp;VAR:KEY=RKJYHEBOTU&amp;VAR:QUERY=UkdGX1RBWF9SQVRFKEFOTiwwLCwsLCwsTk9BVURJVCk=&amp;WINDOW=FIRST_POPUP&amp;HEIGHT=450&amp;WIDTH=450&amp;","START_MAXIMIZED=FALSE&amp;VAR:CALENDAR=US&amp;VAR:SYMBOL=MDSO&amp;VAR:INDEX=0"}</definedName>
    <definedName name="_2552__FDSAUDITLINK__" hidden="1">{"fdsup://directions/FAT Viewer?action=UPDATE&amp;creator=factset&amp;DYN_ARGS=TRUE&amp;DOC_NAME=FAT:FQL_AUDITING_CLIENT_TEMPLATE.FAT&amp;display_string=Audit&amp;VAR:KEY=RKJYHEBOTU&amp;VAR:QUERY=UkdGX1RBWF9SQVRFKEFOTiwwLCwsLCwsTk9BVURJVCk=&amp;WINDOW=FIRST_POPUP&amp;HEIGHT=450&amp;WIDTH=450&amp;","START_MAXIMIZED=FALSE&amp;VAR:CALENDAR=US&amp;VAR:SYMBOL=MDSO&amp;VAR:INDEX=0"}</definedName>
    <definedName name="_2553__FDSAUDITLINK__" localSheetId="3" hidden="1">{"fdsup://directions/FAT Viewer?action=UPDATE&amp;creator=factset&amp;DYN_ARGS=TRUE&amp;DOC_NAME=FAT:FQL_AUDITING_CLIENT_TEMPLATE.FAT&amp;display_string=Audit&amp;VAR:KEY=FGTYNGXCRE&amp;VAR:QUERY=UkdGX1RBWF9SQVRFKEFOTiwwLCwsLCwsTk9BVURJVCk=&amp;WINDOW=FIRST_POPUP&amp;HEIGHT=450&amp;WIDTH=450&amp;","START_MAXIMIZED=FALSE&amp;VAR:CALENDAR=US&amp;VAR:SYMBOL=MCK&amp;VAR:INDEX=0"}</definedName>
    <definedName name="_2553__FDSAUDITLINK__" localSheetId="7" hidden="1">{"fdsup://directions/FAT Viewer?action=UPDATE&amp;creator=factset&amp;DYN_ARGS=TRUE&amp;DOC_NAME=FAT:FQL_AUDITING_CLIENT_TEMPLATE.FAT&amp;display_string=Audit&amp;VAR:KEY=FGTYNGXCRE&amp;VAR:QUERY=UkdGX1RBWF9SQVRFKEFOTiwwLCwsLCwsTk9BVURJVCk=&amp;WINDOW=FIRST_POPUP&amp;HEIGHT=450&amp;WIDTH=450&amp;","START_MAXIMIZED=FALSE&amp;VAR:CALENDAR=US&amp;VAR:SYMBOL=MCK&amp;VAR:INDEX=0"}</definedName>
    <definedName name="_2553__FDSAUDITLINK__" hidden="1">{"fdsup://directions/FAT Viewer?action=UPDATE&amp;creator=factset&amp;DYN_ARGS=TRUE&amp;DOC_NAME=FAT:FQL_AUDITING_CLIENT_TEMPLATE.FAT&amp;display_string=Audit&amp;VAR:KEY=FGTYNGXCRE&amp;VAR:QUERY=UkdGX1RBWF9SQVRFKEFOTiwwLCwsLCwsTk9BVURJVCk=&amp;WINDOW=FIRST_POPUP&amp;HEIGHT=450&amp;WIDTH=450&amp;","START_MAXIMIZED=FALSE&amp;VAR:CALENDAR=US&amp;VAR:SYMBOL=MCK&amp;VAR:INDEX=0"}</definedName>
    <definedName name="_2554__FDSAUDITLINK__" localSheetId="3" hidden="1">{"fdsup://directions/FAT Viewer?action=UPDATE&amp;creator=factset&amp;DYN_ARGS=TRUE&amp;DOC_NAME=FAT:FQL_AUDITING_CLIENT_TEMPLATE.FAT&amp;display_string=Audit&amp;VAR:KEY=FGTYNGXCRE&amp;VAR:QUERY=UkdGX1RBWF9SQVRFKEFOTiwwLCwsLCwsTk9BVURJVCk=&amp;WINDOW=FIRST_POPUP&amp;HEIGHT=450&amp;WIDTH=450&amp;","START_MAXIMIZED=FALSE&amp;VAR:CALENDAR=US&amp;VAR:SYMBOL=MCK&amp;VAR:INDEX=0"}</definedName>
    <definedName name="_2554__FDSAUDITLINK__" localSheetId="7" hidden="1">{"fdsup://directions/FAT Viewer?action=UPDATE&amp;creator=factset&amp;DYN_ARGS=TRUE&amp;DOC_NAME=FAT:FQL_AUDITING_CLIENT_TEMPLATE.FAT&amp;display_string=Audit&amp;VAR:KEY=FGTYNGXCRE&amp;VAR:QUERY=UkdGX1RBWF9SQVRFKEFOTiwwLCwsLCwsTk9BVURJVCk=&amp;WINDOW=FIRST_POPUP&amp;HEIGHT=450&amp;WIDTH=450&amp;","START_MAXIMIZED=FALSE&amp;VAR:CALENDAR=US&amp;VAR:SYMBOL=MCK&amp;VAR:INDEX=0"}</definedName>
    <definedName name="_2554__FDSAUDITLINK__" hidden="1">{"fdsup://directions/FAT Viewer?action=UPDATE&amp;creator=factset&amp;DYN_ARGS=TRUE&amp;DOC_NAME=FAT:FQL_AUDITING_CLIENT_TEMPLATE.FAT&amp;display_string=Audit&amp;VAR:KEY=FGTYNGXCRE&amp;VAR:QUERY=UkdGX1RBWF9SQVRFKEFOTiwwLCwsLCwsTk9BVURJVCk=&amp;WINDOW=FIRST_POPUP&amp;HEIGHT=450&amp;WIDTH=450&amp;","START_MAXIMIZED=FALSE&amp;VAR:CALENDAR=US&amp;VAR:SYMBOL=MCK&amp;VAR:INDEX=0"}</definedName>
    <definedName name="_2555__FDSAUDITLINK__" localSheetId="3" hidden="1">{"fdsup://directions/FAT Viewer?action=UPDATE&amp;creator=factset&amp;DYN_ARGS=TRUE&amp;DOC_NAME=FAT:FQL_AUDITING_CLIENT_TEMPLATE.FAT&amp;display_string=Audit&amp;VAR:KEY=FULODEBOZI&amp;VAR:QUERY=UkdGX1RBWF9SQVRFKEFOTiwwLCwsLCwsTk9BVURJVCk=&amp;WINDOW=FIRST_POPUP&amp;HEIGHT=450&amp;WIDTH=450&amp;","START_MAXIMIZED=FALSE&amp;VAR:CALENDAR=US&amp;VAR:SYMBOL=MFE&amp;VAR:INDEX=0"}</definedName>
    <definedName name="_2555__FDSAUDITLINK__" localSheetId="7" hidden="1">{"fdsup://directions/FAT Viewer?action=UPDATE&amp;creator=factset&amp;DYN_ARGS=TRUE&amp;DOC_NAME=FAT:FQL_AUDITING_CLIENT_TEMPLATE.FAT&amp;display_string=Audit&amp;VAR:KEY=FULODEBOZI&amp;VAR:QUERY=UkdGX1RBWF9SQVRFKEFOTiwwLCwsLCwsTk9BVURJVCk=&amp;WINDOW=FIRST_POPUP&amp;HEIGHT=450&amp;WIDTH=450&amp;","START_MAXIMIZED=FALSE&amp;VAR:CALENDAR=US&amp;VAR:SYMBOL=MFE&amp;VAR:INDEX=0"}</definedName>
    <definedName name="_2555__FDSAUDITLINK__" hidden="1">{"fdsup://directions/FAT Viewer?action=UPDATE&amp;creator=factset&amp;DYN_ARGS=TRUE&amp;DOC_NAME=FAT:FQL_AUDITING_CLIENT_TEMPLATE.FAT&amp;display_string=Audit&amp;VAR:KEY=FULODEBOZI&amp;VAR:QUERY=UkdGX1RBWF9SQVRFKEFOTiwwLCwsLCwsTk9BVURJVCk=&amp;WINDOW=FIRST_POPUP&amp;HEIGHT=450&amp;WIDTH=450&amp;","START_MAXIMIZED=FALSE&amp;VAR:CALENDAR=US&amp;VAR:SYMBOL=MFE&amp;VAR:INDEX=0"}</definedName>
    <definedName name="_2556__FDSAUDITLINK__" localSheetId="3" hidden="1">{"fdsup://directions/FAT Viewer?action=UPDATE&amp;creator=factset&amp;DYN_ARGS=TRUE&amp;DOC_NAME=FAT:FQL_AUDITING_CLIENT_TEMPLATE.FAT&amp;display_string=Audit&amp;VAR:KEY=FULODEBOZI&amp;VAR:QUERY=UkdGX1RBWF9SQVRFKEFOTiwwLCwsLCwsTk9BVURJVCk=&amp;WINDOW=FIRST_POPUP&amp;HEIGHT=450&amp;WIDTH=450&amp;","START_MAXIMIZED=FALSE&amp;VAR:CALENDAR=US&amp;VAR:SYMBOL=MFE&amp;VAR:INDEX=0"}</definedName>
    <definedName name="_2556__FDSAUDITLINK__" localSheetId="7" hidden="1">{"fdsup://directions/FAT Viewer?action=UPDATE&amp;creator=factset&amp;DYN_ARGS=TRUE&amp;DOC_NAME=FAT:FQL_AUDITING_CLIENT_TEMPLATE.FAT&amp;display_string=Audit&amp;VAR:KEY=FULODEBOZI&amp;VAR:QUERY=UkdGX1RBWF9SQVRFKEFOTiwwLCwsLCwsTk9BVURJVCk=&amp;WINDOW=FIRST_POPUP&amp;HEIGHT=450&amp;WIDTH=450&amp;","START_MAXIMIZED=FALSE&amp;VAR:CALENDAR=US&amp;VAR:SYMBOL=MFE&amp;VAR:INDEX=0"}</definedName>
    <definedName name="_2556__FDSAUDITLINK__" hidden="1">{"fdsup://directions/FAT Viewer?action=UPDATE&amp;creator=factset&amp;DYN_ARGS=TRUE&amp;DOC_NAME=FAT:FQL_AUDITING_CLIENT_TEMPLATE.FAT&amp;display_string=Audit&amp;VAR:KEY=FULODEBOZI&amp;VAR:QUERY=UkdGX1RBWF9SQVRFKEFOTiwwLCwsLCwsTk9BVURJVCk=&amp;WINDOW=FIRST_POPUP&amp;HEIGHT=450&amp;WIDTH=450&amp;","START_MAXIMIZED=FALSE&amp;VAR:CALENDAR=US&amp;VAR:SYMBOL=MFE&amp;VAR:INDEX=0"}</definedName>
    <definedName name="_2557__FDSAUDITLINK__" localSheetId="3" hidden="1">{"fdsup://directions/FAT Viewer?action=UPDATE&amp;creator=factset&amp;DYN_ARGS=TRUE&amp;DOC_NAME=FAT:FQL_AUDITING_CLIENT_TEMPLATE.FAT&amp;display_string=Audit&amp;VAR:KEY=NMJETYXEDA&amp;VAR:QUERY=UkdGX1RBWF9SQVRFKEFOTiwwLCwsLCwsTk9BVURJVCk=&amp;WINDOW=FIRST_POPUP&amp;HEIGHT=450&amp;WIDTH=450&amp;","START_MAXIMIZED=FALSE&amp;VAR:CALENDAR=US&amp;VAR:SYMBOL=MCHX&amp;VAR:INDEX=0"}</definedName>
    <definedName name="_2557__FDSAUDITLINK__" localSheetId="7" hidden="1">{"fdsup://directions/FAT Viewer?action=UPDATE&amp;creator=factset&amp;DYN_ARGS=TRUE&amp;DOC_NAME=FAT:FQL_AUDITING_CLIENT_TEMPLATE.FAT&amp;display_string=Audit&amp;VAR:KEY=NMJETYXEDA&amp;VAR:QUERY=UkdGX1RBWF9SQVRFKEFOTiwwLCwsLCwsTk9BVURJVCk=&amp;WINDOW=FIRST_POPUP&amp;HEIGHT=450&amp;WIDTH=450&amp;","START_MAXIMIZED=FALSE&amp;VAR:CALENDAR=US&amp;VAR:SYMBOL=MCHX&amp;VAR:INDEX=0"}</definedName>
    <definedName name="_2557__FDSAUDITLINK__" hidden="1">{"fdsup://directions/FAT Viewer?action=UPDATE&amp;creator=factset&amp;DYN_ARGS=TRUE&amp;DOC_NAME=FAT:FQL_AUDITING_CLIENT_TEMPLATE.FAT&amp;display_string=Audit&amp;VAR:KEY=NMJETYXEDA&amp;VAR:QUERY=UkdGX1RBWF9SQVRFKEFOTiwwLCwsLCwsTk9BVURJVCk=&amp;WINDOW=FIRST_POPUP&amp;HEIGHT=450&amp;WIDTH=450&amp;","START_MAXIMIZED=FALSE&amp;VAR:CALENDAR=US&amp;VAR:SYMBOL=MCHX&amp;VAR:INDEX=0"}</definedName>
    <definedName name="_2558__FDSAUDITLINK__" localSheetId="3" hidden="1">{"fdsup://directions/FAT Viewer?action=UPDATE&amp;creator=factset&amp;DYN_ARGS=TRUE&amp;DOC_NAME=FAT:FQL_AUDITING_CLIENT_TEMPLATE.FAT&amp;display_string=Audit&amp;VAR:KEY=JGLIFKDAFQ&amp;VAR:QUERY=UkdGX1RBWF9SQVRFKEFOTiwwLCwsLCwsTk9BVURJVCk=&amp;WINDOW=FIRST_POPUP&amp;HEIGHT=450&amp;WIDTH=450&amp;","START_MAXIMIZED=FALSE&amp;VAR:CALENDAR=US&amp;VAR:SYMBOL=MANH&amp;VAR:INDEX=0"}</definedName>
    <definedName name="_2558__FDSAUDITLINK__" localSheetId="7" hidden="1">{"fdsup://directions/FAT Viewer?action=UPDATE&amp;creator=factset&amp;DYN_ARGS=TRUE&amp;DOC_NAME=FAT:FQL_AUDITING_CLIENT_TEMPLATE.FAT&amp;display_string=Audit&amp;VAR:KEY=JGLIFKDAFQ&amp;VAR:QUERY=UkdGX1RBWF9SQVRFKEFOTiwwLCwsLCwsTk9BVURJVCk=&amp;WINDOW=FIRST_POPUP&amp;HEIGHT=450&amp;WIDTH=450&amp;","START_MAXIMIZED=FALSE&amp;VAR:CALENDAR=US&amp;VAR:SYMBOL=MANH&amp;VAR:INDEX=0"}</definedName>
    <definedName name="_2558__FDSAUDITLINK__" hidden="1">{"fdsup://directions/FAT Viewer?action=UPDATE&amp;creator=factset&amp;DYN_ARGS=TRUE&amp;DOC_NAME=FAT:FQL_AUDITING_CLIENT_TEMPLATE.FAT&amp;display_string=Audit&amp;VAR:KEY=JGLIFKDAFQ&amp;VAR:QUERY=UkdGX1RBWF9SQVRFKEFOTiwwLCwsLCwsTk9BVURJVCk=&amp;WINDOW=FIRST_POPUP&amp;HEIGHT=450&amp;WIDTH=450&amp;","START_MAXIMIZED=FALSE&amp;VAR:CALENDAR=US&amp;VAR:SYMBOL=MANH&amp;VAR:INDEX=0"}</definedName>
    <definedName name="_2559__FDSAUDITLINK__" localSheetId="3" hidden="1">{"fdsup://directions/FAT Viewer?action=UPDATE&amp;creator=factset&amp;DYN_ARGS=TRUE&amp;DOC_NAME=FAT:FQL_AUDITING_CLIENT_TEMPLATE.FAT&amp;display_string=Audit&amp;VAR:KEY=JGLIFKDAFQ&amp;VAR:QUERY=UkdGX1RBWF9SQVRFKEFOTiwwLCwsLCwsTk9BVURJVCk=&amp;WINDOW=FIRST_POPUP&amp;HEIGHT=450&amp;WIDTH=450&amp;","START_MAXIMIZED=FALSE&amp;VAR:CALENDAR=US&amp;VAR:SYMBOL=MANH&amp;VAR:INDEX=0"}</definedName>
    <definedName name="_2559__FDSAUDITLINK__" localSheetId="7" hidden="1">{"fdsup://directions/FAT Viewer?action=UPDATE&amp;creator=factset&amp;DYN_ARGS=TRUE&amp;DOC_NAME=FAT:FQL_AUDITING_CLIENT_TEMPLATE.FAT&amp;display_string=Audit&amp;VAR:KEY=JGLIFKDAFQ&amp;VAR:QUERY=UkdGX1RBWF9SQVRFKEFOTiwwLCwsLCwsTk9BVURJVCk=&amp;WINDOW=FIRST_POPUP&amp;HEIGHT=450&amp;WIDTH=450&amp;","START_MAXIMIZED=FALSE&amp;VAR:CALENDAR=US&amp;VAR:SYMBOL=MANH&amp;VAR:INDEX=0"}</definedName>
    <definedName name="_2559__FDSAUDITLINK__" hidden="1">{"fdsup://directions/FAT Viewer?action=UPDATE&amp;creator=factset&amp;DYN_ARGS=TRUE&amp;DOC_NAME=FAT:FQL_AUDITING_CLIENT_TEMPLATE.FAT&amp;display_string=Audit&amp;VAR:KEY=JGLIFKDAFQ&amp;VAR:QUERY=UkdGX1RBWF9SQVRFKEFOTiwwLCwsLCwsTk9BVURJVCk=&amp;WINDOW=FIRST_POPUP&amp;HEIGHT=450&amp;WIDTH=450&amp;","START_MAXIMIZED=FALSE&amp;VAR:CALENDAR=US&amp;VAR:SYMBOL=MANH&amp;VAR:INDEX=0"}</definedName>
    <definedName name="_256__FDSAUDITLINK__" localSheetId="3" hidden="1">{"fdsup://directions/FAT Viewer?action=UPDATE&amp;creator=factset&amp;DYN_ARGS=TRUE&amp;DOC_NAME=FAT:FQL_AUDITING_CLIENT_TEMPLATE.FAT&amp;display_string=Audit&amp;VAR:KEY=URMFWPCPWD&amp;VAR:QUERY=UCgwLC05LFksVVNEKSAvLyBGRl9FUFMoQU5OLDAsLTksWSxSUCxVU0QsTSk=&amp;WINDOW=FIRST_POPUP&amp;HEIGH","T=450&amp;WIDTH=450&amp;START_MAXIMIZED=FALSE&amp;VAR:CALENDAR=US&amp;VAR:SYMBOL=B10LQP&amp;VAR:INDEX=1"}</definedName>
    <definedName name="_256__FDSAUDITLINK__" localSheetId="7" hidden="1">{"fdsup://directions/FAT Viewer?action=UPDATE&amp;creator=factset&amp;DYN_ARGS=TRUE&amp;DOC_NAME=FAT:FQL_AUDITING_CLIENT_TEMPLATE.FAT&amp;display_string=Audit&amp;VAR:KEY=URMFWPCPWD&amp;VAR:QUERY=UCgwLC05LFksVVNEKSAvLyBGRl9FUFMoQU5OLDAsLTksWSxSUCxVU0QsTSk=&amp;WINDOW=FIRST_POPUP&amp;HEIGH","T=450&amp;WIDTH=450&amp;START_MAXIMIZED=FALSE&amp;VAR:CALENDAR=US&amp;VAR:SYMBOL=B10LQP&amp;VAR:INDEX=1"}</definedName>
    <definedName name="_256__FDSAUDITLINK__" hidden="1">{"fdsup://directions/FAT Viewer?action=UPDATE&amp;creator=factset&amp;DYN_ARGS=TRUE&amp;DOC_NAME=FAT:FQL_AUDITING_CLIENT_TEMPLATE.FAT&amp;display_string=Audit&amp;VAR:KEY=URMFWPCPWD&amp;VAR:QUERY=UCgwLC05LFksVVNEKSAvLyBGRl9FUFMoQU5OLDAsLTksWSxSUCxVU0QsTSk=&amp;WINDOW=FIRST_POPUP&amp;HEIGH","T=450&amp;WIDTH=450&amp;START_MAXIMIZED=FALSE&amp;VAR:CALENDAR=US&amp;VAR:SYMBOL=B10LQP&amp;VAR:INDEX=1"}</definedName>
    <definedName name="_2560__FDSAUDITLINK__" localSheetId="3" hidden="1">{"fdsup://directions/FAT Viewer?action=UPDATE&amp;creator=factset&amp;DYN_ARGS=TRUE&amp;DOC_NAME=FAT:FQL_AUDITING_CLIENT_TEMPLATE.FAT&amp;display_string=Audit&amp;VAR:KEY=NEZOBMNEJM&amp;VAR:QUERY=UkdGX1RBWF9SQVRFKEFOTiwwLCwsLCwsTk9BVURJVCk=&amp;WINDOW=FIRST_POPUP&amp;HEIGHT=450&amp;WIDTH=450&amp;","START_MAXIMIZED=FALSE&amp;VAR:CALENDAR=US&amp;VAR:SYMBOL=LAVA&amp;VAR:INDEX=0"}</definedName>
    <definedName name="_2560__FDSAUDITLINK__" localSheetId="7" hidden="1">{"fdsup://directions/FAT Viewer?action=UPDATE&amp;creator=factset&amp;DYN_ARGS=TRUE&amp;DOC_NAME=FAT:FQL_AUDITING_CLIENT_TEMPLATE.FAT&amp;display_string=Audit&amp;VAR:KEY=NEZOBMNEJM&amp;VAR:QUERY=UkdGX1RBWF9SQVRFKEFOTiwwLCwsLCwsTk9BVURJVCk=&amp;WINDOW=FIRST_POPUP&amp;HEIGHT=450&amp;WIDTH=450&amp;","START_MAXIMIZED=FALSE&amp;VAR:CALENDAR=US&amp;VAR:SYMBOL=LAVA&amp;VAR:INDEX=0"}</definedName>
    <definedName name="_2560__FDSAUDITLINK__" hidden="1">{"fdsup://directions/FAT Viewer?action=UPDATE&amp;creator=factset&amp;DYN_ARGS=TRUE&amp;DOC_NAME=FAT:FQL_AUDITING_CLIENT_TEMPLATE.FAT&amp;display_string=Audit&amp;VAR:KEY=NEZOBMNEJM&amp;VAR:QUERY=UkdGX1RBWF9SQVRFKEFOTiwwLCwsLCwsTk9BVURJVCk=&amp;WINDOW=FIRST_POPUP&amp;HEIGHT=450&amp;WIDTH=450&amp;","START_MAXIMIZED=FALSE&amp;VAR:CALENDAR=US&amp;VAR:SYMBOL=LAVA&amp;VAR:INDEX=0"}</definedName>
    <definedName name="_2561__FDSAUDITLINK__" localSheetId="3" hidden="1">{"fdsup://directions/FAT Viewer?action=UPDATE&amp;creator=factset&amp;DYN_ARGS=TRUE&amp;DOC_NAME=FAT:FQL_AUDITING_CLIENT_TEMPLATE.FAT&amp;display_string=Audit&amp;VAR:KEY=RQXKTSLOBC&amp;VAR:QUERY=UkdGX1RBWF9SQVRFKEFOTiwwLCwsLCwsTk9BVURJVCk=&amp;WINDOW=FIRST_POPUP&amp;HEIGHT=450&amp;WIDTH=450&amp;","START_MAXIMIZED=FALSE&amp;VAR:CALENDAR=US&amp;VAR:SYMBOL=LOOP&amp;VAR:INDEX=0"}</definedName>
    <definedName name="_2561__FDSAUDITLINK__" localSheetId="7" hidden="1">{"fdsup://directions/FAT Viewer?action=UPDATE&amp;creator=factset&amp;DYN_ARGS=TRUE&amp;DOC_NAME=FAT:FQL_AUDITING_CLIENT_TEMPLATE.FAT&amp;display_string=Audit&amp;VAR:KEY=RQXKTSLOBC&amp;VAR:QUERY=UkdGX1RBWF9SQVRFKEFOTiwwLCwsLCwsTk9BVURJVCk=&amp;WINDOW=FIRST_POPUP&amp;HEIGHT=450&amp;WIDTH=450&amp;","START_MAXIMIZED=FALSE&amp;VAR:CALENDAR=US&amp;VAR:SYMBOL=LOOP&amp;VAR:INDEX=0"}</definedName>
    <definedName name="_2561__FDSAUDITLINK__" hidden="1">{"fdsup://directions/FAT Viewer?action=UPDATE&amp;creator=factset&amp;DYN_ARGS=TRUE&amp;DOC_NAME=FAT:FQL_AUDITING_CLIENT_TEMPLATE.FAT&amp;display_string=Audit&amp;VAR:KEY=RQXKTSLOBC&amp;VAR:QUERY=UkdGX1RBWF9SQVRFKEFOTiwwLCwsLCwsTk9BVURJVCk=&amp;WINDOW=FIRST_POPUP&amp;HEIGHT=450&amp;WIDTH=450&amp;","START_MAXIMIZED=FALSE&amp;VAR:CALENDAR=US&amp;VAR:SYMBOL=LOOP&amp;VAR:INDEX=0"}</definedName>
    <definedName name="_2562__FDSAUDITLINK__" localSheetId="3" hidden="1">{"fdsup://directions/FAT Viewer?action=UPDATE&amp;creator=factset&amp;DYN_ARGS=TRUE&amp;DOC_NAME=FAT:FQL_AUDITING_CLIENT_TEMPLATE.FAT&amp;display_string=Audit&amp;VAR:KEY=RQXKTSLOBC&amp;VAR:QUERY=UkdGX1RBWF9SQVRFKEFOTiwwLCwsLCwsTk9BVURJVCk=&amp;WINDOW=FIRST_POPUP&amp;HEIGHT=450&amp;WIDTH=450&amp;","START_MAXIMIZED=FALSE&amp;VAR:CALENDAR=US&amp;VAR:SYMBOL=LOOP&amp;VAR:INDEX=0"}</definedName>
    <definedName name="_2562__FDSAUDITLINK__" localSheetId="7" hidden="1">{"fdsup://directions/FAT Viewer?action=UPDATE&amp;creator=factset&amp;DYN_ARGS=TRUE&amp;DOC_NAME=FAT:FQL_AUDITING_CLIENT_TEMPLATE.FAT&amp;display_string=Audit&amp;VAR:KEY=RQXKTSLOBC&amp;VAR:QUERY=UkdGX1RBWF9SQVRFKEFOTiwwLCwsLCwsTk9BVURJVCk=&amp;WINDOW=FIRST_POPUP&amp;HEIGHT=450&amp;WIDTH=450&amp;","START_MAXIMIZED=FALSE&amp;VAR:CALENDAR=US&amp;VAR:SYMBOL=LOOP&amp;VAR:INDEX=0"}</definedName>
    <definedName name="_2562__FDSAUDITLINK__" hidden="1">{"fdsup://directions/FAT Viewer?action=UPDATE&amp;creator=factset&amp;DYN_ARGS=TRUE&amp;DOC_NAME=FAT:FQL_AUDITING_CLIENT_TEMPLATE.FAT&amp;display_string=Audit&amp;VAR:KEY=RQXKTSLOBC&amp;VAR:QUERY=UkdGX1RBWF9SQVRFKEFOTiwwLCwsLCwsTk9BVURJVCk=&amp;WINDOW=FIRST_POPUP&amp;HEIGHT=450&amp;WIDTH=450&amp;","START_MAXIMIZED=FALSE&amp;VAR:CALENDAR=US&amp;VAR:SYMBOL=LOOP&amp;VAR:INDEX=0"}</definedName>
    <definedName name="_2563__FDSAUDITLINK__" localSheetId="3" hidden="1">{"fdsup://directions/FAT Viewer?action=UPDATE&amp;creator=factset&amp;DYN_ARGS=TRUE&amp;DOC_NAME=FAT:FQL_AUDITING_CLIENT_TEMPLATE.FAT&amp;display_string=Audit&amp;VAR:KEY=ZUVWJCPEZO&amp;VAR:QUERY=UkdGX1RBWF9SQVRFKEFOTiwwLCwsLCwsTk9BVURJVCk=&amp;WINDOW=FIRST_POPUP&amp;HEIGHT=450&amp;WIDTH=450&amp;","START_MAXIMIZED=FALSE&amp;VAR:CALENDAR=US&amp;VAR:SYMBOL=LPSN&amp;VAR:INDEX=0"}</definedName>
    <definedName name="_2563__FDSAUDITLINK__" localSheetId="7" hidden="1">{"fdsup://directions/FAT Viewer?action=UPDATE&amp;creator=factset&amp;DYN_ARGS=TRUE&amp;DOC_NAME=FAT:FQL_AUDITING_CLIENT_TEMPLATE.FAT&amp;display_string=Audit&amp;VAR:KEY=ZUVWJCPEZO&amp;VAR:QUERY=UkdGX1RBWF9SQVRFKEFOTiwwLCwsLCwsTk9BVURJVCk=&amp;WINDOW=FIRST_POPUP&amp;HEIGHT=450&amp;WIDTH=450&amp;","START_MAXIMIZED=FALSE&amp;VAR:CALENDAR=US&amp;VAR:SYMBOL=LPSN&amp;VAR:INDEX=0"}</definedName>
    <definedName name="_2563__FDSAUDITLINK__" hidden="1">{"fdsup://directions/FAT Viewer?action=UPDATE&amp;creator=factset&amp;DYN_ARGS=TRUE&amp;DOC_NAME=FAT:FQL_AUDITING_CLIENT_TEMPLATE.FAT&amp;display_string=Audit&amp;VAR:KEY=ZUVWJCPEZO&amp;VAR:QUERY=UkdGX1RBWF9SQVRFKEFOTiwwLCwsLCwsTk9BVURJVCk=&amp;WINDOW=FIRST_POPUP&amp;HEIGHT=450&amp;WIDTH=450&amp;","START_MAXIMIZED=FALSE&amp;VAR:CALENDAR=US&amp;VAR:SYMBOL=LPSN&amp;VAR:INDEX=0"}</definedName>
    <definedName name="_2564__FDSAUDITLINK__" localSheetId="3" hidden="1">{"fdsup://directions/FAT Viewer?action=UPDATE&amp;creator=factset&amp;DYN_ARGS=TRUE&amp;DOC_NAME=FAT:FQL_AUDITING_CLIENT_TEMPLATE.FAT&amp;display_string=Audit&amp;VAR:KEY=ZUVWJCPEZO&amp;VAR:QUERY=UkdGX1RBWF9SQVRFKEFOTiwwLCwsLCwsTk9BVURJVCk=&amp;WINDOW=FIRST_POPUP&amp;HEIGHT=450&amp;WIDTH=450&amp;","START_MAXIMIZED=FALSE&amp;VAR:CALENDAR=US&amp;VAR:SYMBOL=LPSN&amp;VAR:INDEX=0"}</definedName>
    <definedName name="_2564__FDSAUDITLINK__" localSheetId="7" hidden="1">{"fdsup://directions/FAT Viewer?action=UPDATE&amp;creator=factset&amp;DYN_ARGS=TRUE&amp;DOC_NAME=FAT:FQL_AUDITING_CLIENT_TEMPLATE.FAT&amp;display_string=Audit&amp;VAR:KEY=ZUVWJCPEZO&amp;VAR:QUERY=UkdGX1RBWF9SQVRFKEFOTiwwLCwsLCwsTk9BVURJVCk=&amp;WINDOW=FIRST_POPUP&amp;HEIGHT=450&amp;WIDTH=450&amp;","START_MAXIMIZED=FALSE&amp;VAR:CALENDAR=US&amp;VAR:SYMBOL=LPSN&amp;VAR:INDEX=0"}</definedName>
    <definedName name="_2564__FDSAUDITLINK__" hidden="1">{"fdsup://directions/FAT Viewer?action=UPDATE&amp;creator=factset&amp;DYN_ARGS=TRUE&amp;DOC_NAME=FAT:FQL_AUDITING_CLIENT_TEMPLATE.FAT&amp;display_string=Audit&amp;VAR:KEY=ZUVWJCPEZO&amp;VAR:QUERY=UkdGX1RBWF9SQVRFKEFOTiwwLCwsLCwsTk9BVURJVCk=&amp;WINDOW=FIRST_POPUP&amp;HEIGHT=450&amp;WIDTH=450&amp;","START_MAXIMIZED=FALSE&amp;VAR:CALENDAR=US&amp;VAR:SYMBOL=LPSN&amp;VAR:INDEX=0"}</definedName>
    <definedName name="_2565__FDSAUDITLINK__" localSheetId="3" hidden="1">{"fdsup://directions/FAT Viewer?action=UPDATE&amp;creator=factset&amp;DYN_ARGS=TRUE&amp;DOC_NAME=FAT:FQL_AUDITING_CLIENT_TEMPLATE.FAT&amp;display_string=Audit&amp;VAR:KEY=RYZCLGVATC&amp;VAR:QUERY=UkdGX1RBWF9SQVRFKEFOTiwwLCwsLCwsTk9BVURJVCk=&amp;WINDOW=FIRST_POPUP&amp;HEIGHT=450&amp;WIDTH=450&amp;","START_MAXIMIZED=FALSE&amp;VAR:CALENDAR=US&amp;VAR:SYMBOL=LOGM&amp;VAR:INDEX=0"}</definedName>
    <definedName name="_2565__FDSAUDITLINK__" localSheetId="7" hidden="1">{"fdsup://directions/FAT Viewer?action=UPDATE&amp;creator=factset&amp;DYN_ARGS=TRUE&amp;DOC_NAME=FAT:FQL_AUDITING_CLIENT_TEMPLATE.FAT&amp;display_string=Audit&amp;VAR:KEY=RYZCLGVATC&amp;VAR:QUERY=UkdGX1RBWF9SQVRFKEFOTiwwLCwsLCwsTk9BVURJVCk=&amp;WINDOW=FIRST_POPUP&amp;HEIGHT=450&amp;WIDTH=450&amp;","START_MAXIMIZED=FALSE&amp;VAR:CALENDAR=US&amp;VAR:SYMBOL=LOGM&amp;VAR:INDEX=0"}</definedName>
    <definedName name="_2565__FDSAUDITLINK__" hidden="1">{"fdsup://directions/FAT Viewer?action=UPDATE&amp;creator=factset&amp;DYN_ARGS=TRUE&amp;DOC_NAME=FAT:FQL_AUDITING_CLIENT_TEMPLATE.FAT&amp;display_string=Audit&amp;VAR:KEY=RYZCLGVATC&amp;VAR:QUERY=UkdGX1RBWF9SQVRFKEFOTiwwLCwsLCwsTk9BVURJVCk=&amp;WINDOW=FIRST_POPUP&amp;HEIGHT=450&amp;WIDTH=450&amp;","START_MAXIMIZED=FALSE&amp;VAR:CALENDAR=US&amp;VAR:SYMBOL=LOGM&amp;VAR:INDEX=0"}</definedName>
    <definedName name="_2566__FDSAUDITLINK__" localSheetId="3" hidden="1">{"fdsup://directions/FAT Viewer?action=UPDATE&amp;creator=factset&amp;DYN_ARGS=TRUE&amp;DOC_NAME=FAT:FQL_AUDITING_CLIENT_TEMPLATE.FAT&amp;display_string=Audit&amp;VAR:KEY=RYZCLGVATC&amp;VAR:QUERY=UkdGX1RBWF9SQVRFKEFOTiwwLCwsLCwsTk9BVURJVCk=&amp;WINDOW=FIRST_POPUP&amp;HEIGHT=450&amp;WIDTH=450&amp;","START_MAXIMIZED=FALSE&amp;VAR:CALENDAR=US&amp;VAR:SYMBOL=LOGM&amp;VAR:INDEX=0"}</definedName>
    <definedName name="_2566__FDSAUDITLINK__" localSheetId="7" hidden="1">{"fdsup://directions/FAT Viewer?action=UPDATE&amp;creator=factset&amp;DYN_ARGS=TRUE&amp;DOC_NAME=FAT:FQL_AUDITING_CLIENT_TEMPLATE.FAT&amp;display_string=Audit&amp;VAR:KEY=RYZCLGVATC&amp;VAR:QUERY=UkdGX1RBWF9SQVRFKEFOTiwwLCwsLCwsTk9BVURJVCk=&amp;WINDOW=FIRST_POPUP&amp;HEIGHT=450&amp;WIDTH=450&amp;","START_MAXIMIZED=FALSE&amp;VAR:CALENDAR=US&amp;VAR:SYMBOL=LOGM&amp;VAR:INDEX=0"}</definedName>
    <definedName name="_2566__FDSAUDITLINK__" hidden="1">{"fdsup://directions/FAT Viewer?action=UPDATE&amp;creator=factset&amp;DYN_ARGS=TRUE&amp;DOC_NAME=FAT:FQL_AUDITING_CLIENT_TEMPLATE.FAT&amp;display_string=Audit&amp;VAR:KEY=RYZCLGVATC&amp;VAR:QUERY=UkdGX1RBWF9SQVRFKEFOTiwwLCwsLCwsTk9BVURJVCk=&amp;WINDOW=FIRST_POPUP&amp;HEIGHT=450&amp;WIDTH=450&amp;","START_MAXIMIZED=FALSE&amp;VAR:CALENDAR=US&amp;VAR:SYMBOL=LOGM&amp;VAR:INDEX=0"}</definedName>
    <definedName name="_2567__FDSAUDITLINK__" localSheetId="3" hidden="1">{"fdsup://directions/FAT Viewer?action=UPDATE&amp;creator=factset&amp;DYN_ARGS=TRUE&amp;DOC_NAME=FAT:FQL_AUDITING_CLIENT_TEMPLATE.FAT&amp;display_string=Audit&amp;VAR:KEY=TEHEXUNKXM&amp;VAR:QUERY=UkdGX1RBWF9SQVRFKEFOTiwwLCwsLCwsTk9BVURJVCk=&amp;WINDOW=FIRST_POPUP&amp;HEIGHT=450&amp;WIDTH=450&amp;","START_MAXIMIZED=FALSE&amp;VAR:CALENDAR=US&amp;VAR:SYMBOL=LIOX&amp;VAR:INDEX=0"}</definedName>
    <definedName name="_2567__FDSAUDITLINK__" localSheetId="7" hidden="1">{"fdsup://directions/FAT Viewer?action=UPDATE&amp;creator=factset&amp;DYN_ARGS=TRUE&amp;DOC_NAME=FAT:FQL_AUDITING_CLIENT_TEMPLATE.FAT&amp;display_string=Audit&amp;VAR:KEY=TEHEXUNKXM&amp;VAR:QUERY=UkdGX1RBWF9SQVRFKEFOTiwwLCwsLCwsTk9BVURJVCk=&amp;WINDOW=FIRST_POPUP&amp;HEIGHT=450&amp;WIDTH=450&amp;","START_MAXIMIZED=FALSE&amp;VAR:CALENDAR=US&amp;VAR:SYMBOL=LIOX&amp;VAR:INDEX=0"}</definedName>
    <definedName name="_2567__FDSAUDITLINK__" hidden="1">{"fdsup://directions/FAT Viewer?action=UPDATE&amp;creator=factset&amp;DYN_ARGS=TRUE&amp;DOC_NAME=FAT:FQL_AUDITING_CLIENT_TEMPLATE.FAT&amp;display_string=Audit&amp;VAR:KEY=TEHEXUNKXM&amp;VAR:QUERY=UkdGX1RBWF9SQVRFKEFOTiwwLCwsLCwsTk9BVURJVCk=&amp;WINDOW=FIRST_POPUP&amp;HEIGHT=450&amp;WIDTH=450&amp;","START_MAXIMIZED=FALSE&amp;VAR:CALENDAR=US&amp;VAR:SYMBOL=LIOX&amp;VAR:INDEX=0"}</definedName>
    <definedName name="_2568__FDSAUDITLINK__" localSheetId="3" hidden="1">{"fdsup://directions/FAT Viewer?action=UPDATE&amp;creator=factset&amp;DYN_ARGS=TRUE&amp;DOC_NAME=FAT:FQL_AUDITING_CLIENT_TEMPLATE.FAT&amp;display_string=Audit&amp;VAR:KEY=TEHEXUNKXM&amp;VAR:QUERY=UkdGX1RBWF9SQVRFKEFOTiwwLCwsLCwsTk9BVURJVCk=&amp;WINDOW=FIRST_POPUP&amp;HEIGHT=450&amp;WIDTH=450&amp;","START_MAXIMIZED=FALSE&amp;VAR:CALENDAR=US&amp;VAR:SYMBOL=LIOX&amp;VAR:INDEX=0"}</definedName>
    <definedName name="_2568__FDSAUDITLINK__" localSheetId="7" hidden="1">{"fdsup://directions/FAT Viewer?action=UPDATE&amp;creator=factset&amp;DYN_ARGS=TRUE&amp;DOC_NAME=FAT:FQL_AUDITING_CLIENT_TEMPLATE.FAT&amp;display_string=Audit&amp;VAR:KEY=TEHEXUNKXM&amp;VAR:QUERY=UkdGX1RBWF9SQVRFKEFOTiwwLCwsLCwsTk9BVURJVCk=&amp;WINDOW=FIRST_POPUP&amp;HEIGHT=450&amp;WIDTH=450&amp;","START_MAXIMIZED=FALSE&amp;VAR:CALENDAR=US&amp;VAR:SYMBOL=LIOX&amp;VAR:INDEX=0"}</definedName>
    <definedName name="_2568__FDSAUDITLINK__" hidden="1">{"fdsup://directions/FAT Viewer?action=UPDATE&amp;creator=factset&amp;DYN_ARGS=TRUE&amp;DOC_NAME=FAT:FQL_AUDITING_CLIENT_TEMPLATE.FAT&amp;display_string=Audit&amp;VAR:KEY=TEHEXUNKXM&amp;VAR:QUERY=UkdGX1RBWF9SQVRFKEFOTiwwLCwsLCwsTk9BVURJVCk=&amp;WINDOW=FIRST_POPUP&amp;HEIGHT=450&amp;WIDTH=450&amp;","START_MAXIMIZED=FALSE&amp;VAR:CALENDAR=US&amp;VAR:SYMBOL=LIOX&amp;VAR:INDEX=0"}</definedName>
    <definedName name="_2569__FDSAUDITLINK__" localSheetId="3" hidden="1">{"fdsup://directions/FAT Viewer?action=UPDATE&amp;creator=factset&amp;DYN_ARGS=TRUE&amp;DOC_NAME=FAT:FQL_AUDITING_CLIENT_TEMPLATE.FAT&amp;display_string=Audit&amp;VAR:KEY=JIXWFSXQJI&amp;VAR:QUERY=UkdGX1RBWF9SQVRFKEFOTiwwLCwsLCwsTk9BVURJVCk=&amp;WINDOW=FIRST_POPUP&amp;HEIGHT=450&amp;WIDTH=450&amp;","START_MAXIMIZED=FALSE&amp;VAR:CALENDAR=US&amp;VAR:SYMBOL=LLNW&amp;VAR:INDEX=0"}</definedName>
    <definedName name="_2569__FDSAUDITLINK__" localSheetId="7" hidden="1">{"fdsup://directions/FAT Viewer?action=UPDATE&amp;creator=factset&amp;DYN_ARGS=TRUE&amp;DOC_NAME=FAT:FQL_AUDITING_CLIENT_TEMPLATE.FAT&amp;display_string=Audit&amp;VAR:KEY=JIXWFSXQJI&amp;VAR:QUERY=UkdGX1RBWF9SQVRFKEFOTiwwLCwsLCwsTk9BVURJVCk=&amp;WINDOW=FIRST_POPUP&amp;HEIGHT=450&amp;WIDTH=450&amp;","START_MAXIMIZED=FALSE&amp;VAR:CALENDAR=US&amp;VAR:SYMBOL=LLNW&amp;VAR:INDEX=0"}</definedName>
    <definedName name="_2569__FDSAUDITLINK__" hidden="1">{"fdsup://directions/FAT Viewer?action=UPDATE&amp;creator=factset&amp;DYN_ARGS=TRUE&amp;DOC_NAME=FAT:FQL_AUDITING_CLIENT_TEMPLATE.FAT&amp;display_string=Audit&amp;VAR:KEY=JIXWFSXQJI&amp;VAR:QUERY=UkdGX1RBWF9SQVRFKEFOTiwwLCwsLCwsTk9BVURJVCk=&amp;WINDOW=FIRST_POPUP&amp;HEIGHT=450&amp;WIDTH=450&amp;","START_MAXIMIZED=FALSE&amp;VAR:CALENDAR=US&amp;VAR:SYMBOL=LLNW&amp;VAR:INDEX=0"}</definedName>
    <definedName name="_257__FDSAUDITLINK__" localSheetId="3" hidden="1">{"fdsup://directions/FAT Viewer?action=UPDATE&amp;creator=factset&amp;DYN_ARGS=TRUE&amp;DOC_NAME=FAT:FQL_AUDITING_CLIENT_TEMPLATE.FAT&amp;display_string=Audit&amp;VAR:KEY=KZEBONYHIL&amp;VAR:QUERY=RkZfRUJJVERBX09QRVIoTFRNLDAsLCwsLE0p&amp;WINDOW=FIRST_POPUP&amp;HEIGHT=450&amp;WIDTH=450&amp;START_MA","XIMIZED=FALSE&amp;VAR:CALENDAR=US&amp;VAR:SYMBOL=B1YBRG&amp;VAR:INDEX=0"}</definedName>
    <definedName name="_257__FDSAUDITLINK__" localSheetId="7" hidden="1">{"fdsup://directions/FAT Viewer?action=UPDATE&amp;creator=factset&amp;DYN_ARGS=TRUE&amp;DOC_NAME=FAT:FQL_AUDITING_CLIENT_TEMPLATE.FAT&amp;display_string=Audit&amp;VAR:KEY=KZEBONYHIL&amp;VAR:QUERY=RkZfRUJJVERBX09QRVIoTFRNLDAsLCwsLE0p&amp;WINDOW=FIRST_POPUP&amp;HEIGHT=450&amp;WIDTH=450&amp;START_MA","XIMIZED=FALSE&amp;VAR:CALENDAR=US&amp;VAR:SYMBOL=B1YBRG&amp;VAR:INDEX=0"}</definedName>
    <definedName name="_257__FDSAUDITLINK__" hidden="1">{"fdsup://directions/FAT Viewer?action=UPDATE&amp;creator=factset&amp;DYN_ARGS=TRUE&amp;DOC_NAME=FAT:FQL_AUDITING_CLIENT_TEMPLATE.FAT&amp;display_string=Audit&amp;VAR:KEY=KZEBONYHIL&amp;VAR:QUERY=RkZfRUJJVERBX09QRVIoTFRNLDAsLCwsLE0p&amp;WINDOW=FIRST_POPUP&amp;HEIGHT=450&amp;WIDTH=450&amp;START_MA","XIMIZED=FALSE&amp;VAR:CALENDAR=US&amp;VAR:SYMBOL=B1YBRG&amp;VAR:INDEX=0"}</definedName>
    <definedName name="_2570__FDSAUDITLINK__" localSheetId="3" hidden="1">{"fdsup://directions/FAT Viewer?action=UPDATE&amp;creator=factset&amp;DYN_ARGS=TRUE&amp;DOC_NAME=FAT:FQL_AUDITING_CLIENT_TEMPLATE.FAT&amp;display_string=Audit&amp;VAR:KEY=VQBATWZSDA&amp;VAR:QUERY=UkdGX1RBWF9SQVRFKEFOTiwwLCwsLCwsTk9BVURJVCk=&amp;WINDOW=FIRST_POPUP&amp;HEIGHT=450&amp;WIDTH=450&amp;","START_MAXIMIZED=FALSE&amp;VAR:CALENDAR=US&amp;VAR:SYMBOL=LVLT&amp;VAR:INDEX=0"}</definedName>
    <definedName name="_2570__FDSAUDITLINK__" localSheetId="7" hidden="1">{"fdsup://directions/FAT Viewer?action=UPDATE&amp;creator=factset&amp;DYN_ARGS=TRUE&amp;DOC_NAME=FAT:FQL_AUDITING_CLIENT_TEMPLATE.FAT&amp;display_string=Audit&amp;VAR:KEY=VQBATWZSDA&amp;VAR:QUERY=UkdGX1RBWF9SQVRFKEFOTiwwLCwsLCwsTk9BVURJVCk=&amp;WINDOW=FIRST_POPUP&amp;HEIGHT=450&amp;WIDTH=450&amp;","START_MAXIMIZED=FALSE&amp;VAR:CALENDAR=US&amp;VAR:SYMBOL=LVLT&amp;VAR:INDEX=0"}</definedName>
    <definedName name="_2570__FDSAUDITLINK__" hidden="1">{"fdsup://directions/FAT Viewer?action=UPDATE&amp;creator=factset&amp;DYN_ARGS=TRUE&amp;DOC_NAME=FAT:FQL_AUDITING_CLIENT_TEMPLATE.FAT&amp;display_string=Audit&amp;VAR:KEY=VQBATWZSDA&amp;VAR:QUERY=UkdGX1RBWF9SQVRFKEFOTiwwLCwsLCwsTk9BVURJVCk=&amp;WINDOW=FIRST_POPUP&amp;HEIGHT=450&amp;WIDTH=450&amp;","START_MAXIMIZED=FALSE&amp;VAR:CALENDAR=US&amp;VAR:SYMBOL=LVLT&amp;VAR:INDEX=0"}</definedName>
    <definedName name="_2571__FDSAUDITLINK__" localSheetId="3" hidden="1">{"fdsup://directions/FAT Viewer?action=UPDATE&amp;creator=factset&amp;DYN_ARGS=TRUE&amp;DOC_NAME=FAT:FQL_AUDITING_CLIENT_TEMPLATE.FAT&amp;display_string=Audit&amp;VAR:KEY=FENMVCLCJK&amp;VAR:QUERY=UkdGX1RBWF9SQVRFKEFOTiwwLCwsLCwsTk9BVURJVCk=&amp;WINDOW=FIRST_POPUP&amp;HEIGHT=450&amp;WIDTH=450&amp;","START_MAXIMIZED=FALSE&amp;VAR:CALENDAR=US&amp;VAR:SYMBOL=LWSN&amp;VAR:INDEX=0"}</definedName>
    <definedName name="_2571__FDSAUDITLINK__" localSheetId="7" hidden="1">{"fdsup://directions/FAT Viewer?action=UPDATE&amp;creator=factset&amp;DYN_ARGS=TRUE&amp;DOC_NAME=FAT:FQL_AUDITING_CLIENT_TEMPLATE.FAT&amp;display_string=Audit&amp;VAR:KEY=FENMVCLCJK&amp;VAR:QUERY=UkdGX1RBWF9SQVRFKEFOTiwwLCwsLCwsTk9BVURJVCk=&amp;WINDOW=FIRST_POPUP&amp;HEIGHT=450&amp;WIDTH=450&amp;","START_MAXIMIZED=FALSE&amp;VAR:CALENDAR=US&amp;VAR:SYMBOL=LWSN&amp;VAR:INDEX=0"}</definedName>
    <definedName name="_2571__FDSAUDITLINK__" hidden="1">{"fdsup://directions/FAT Viewer?action=UPDATE&amp;creator=factset&amp;DYN_ARGS=TRUE&amp;DOC_NAME=FAT:FQL_AUDITING_CLIENT_TEMPLATE.FAT&amp;display_string=Audit&amp;VAR:KEY=FENMVCLCJK&amp;VAR:QUERY=UkdGX1RBWF9SQVRFKEFOTiwwLCwsLCwsTk9BVURJVCk=&amp;WINDOW=FIRST_POPUP&amp;HEIGHT=450&amp;WIDTH=450&amp;","START_MAXIMIZED=FALSE&amp;VAR:CALENDAR=US&amp;VAR:SYMBOL=LWSN&amp;VAR:INDEX=0"}</definedName>
    <definedName name="_2572__FDSAUDITLINK__" localSheetId="3" hidden="1">{"fdsup://directions/FAT Viewer?action=UPDATE&amp;creator=factset&amp;DYN_ARGS=TRUE&amp;DOC_NAME=FAT:FQL_AUDITING_CLIENT_TEMPLATE.FAT&amp;display_string=Audit&amp;VAR:KEY=FENMVCLCJK&amp;VAR:QUERY=UkdGX1RBWF9SQVRFKEFOTiwwLCwsLCwsTk9BVURJVCk=&amp;WINDOW=FIRST_POPUP&amp;HEIGHT=450&amp;WIDTH=450&amp;","START_MAXIMIZED=FALSE&amp;VAR:CALENDAR=US&amp;VAR:SYMBOL=LWSN&amp;VAR:INDEX=0"}</definedName>
    <definedName name="_2572__FDSAUDITLINK__" localSheetId="7" hidden="1">{"fdsup://directions/FAT Viewer?action=UPDATE&amp;creator=factset&amp;DYN_ARGS=TRUE&amp;DOC_NAME=FAT:FQL_AUDITING_CLIENT_TEMPLATE.FAT&amp;display_string=Audit&amp;VAR:KEY=FENMVCLCJK&amp;VAR:QUERY=UkdGX1RBWF9SQVRFKEFOTiwwLCwsLCwsTk9BVURJVCk=&amp;WINDOW=FIRST_POPUP&amp;HEIGHT=450&amp;WIDTH=450&amp;","START_MAXIMIZED=FALSE&amp;VAR:CALENDAR=US&amp;VAR:SYMBOL=LWSN&amp;VAR:INDEX=0"}</definedName>
    <definedName name="_2572__FDSAUDITLINK__" hidden="1">{"fdsup://directions/FAT Viewer?action=UPDATE&amp;creator=factset&amp;DYN_ARGS=TRUE&amp;DOC_NAME=FAT:FQL_AUDITING_CLIENT_TEMPLATE.FAT&amp;display_string=Audit&amp;VAR:KEY=FENMVCLCJK&amp;VAR:QUERY=UkdGX1RBWF9SQVRFKEFOTiwwLCwsLCwsTk9BVURJVCk=&amp;WINDOW=FIRST_POPUP&amp;HEIGHT=450&amp;WIDTH=450&amp;","START_MAXIMIZED=FALSE&amp;VAR:CALENDAR=US&amp;VAR:SYMBOL=LWSN&amp;VAR:INDEX=0"}</definedName>
    <definedName name="_2573__FDSAUDITLINK__" localSheetId="3" hidden="1">{"fdsup://directions/FAT Viewer?action=UPDATE&amp;creator=factset&amp;DYN_ARGS=TRUE&amp;DOC_NAME=FAT:FQL_AUDITING_CLIENT_TEMPLATE.FAT&amp;display_string=Audit&amp;VAR:KEY=BKLCDCTENS&amp;VAR:QUERY=UkdGX1RBWF9SQVRFKEFOTiwwLCwsLCwsTk9BVURJVCk=&amp;WINDOW=FIRST_POPUP&amp;HEIGHT=450&amp;WIDTH=450&amp;","START_MAXIMIZED=FALSE&amp;VAR:CALENDAR=US&amp;VAR:SYMBOL=712125&amp;VAR:INDEX=0"}</definedName>
    <definedName name="_2573__FDSAUDITLINK__" localSheetId="7" hidden="1">{"fdsup://directions/FAT Viewer?action=UPDATE&amp;creator=factset&amp;DYN_ARGS=TRUE&amp;DOC_NAME=FAT:FQL_AUDITING_CLIENT_TEMPLATE.FAT&amp;display_string=Audit&amp;VAR:KEY=BKLCDCTENS&amp;VAR:QUERY=UkdGX1RBWF9SQVRFKEFOTiwwLCwsLCwsTk9BVURJVCk=&amp;WINDOW=FIRST_POPUP&amp;HEIGHT=450&amp;WIDTH=450&amp;","START_MAXIMIZED=FALSE&amp;VAR:CALENDAR=US&amp;VAR:SYMBOL=712125&amp;VAR:INDEX=0"}</definedName>
    <definedName name="_2573__FDSAUDITLINK__" hidden="1">{"fdsup://directions/FAT Viewer?action=UPDATE&amp;creator=factset&amp;DYN_ARGS=TRUE&amp;DOC_NAME=FAT:FQL_AUDITING_CLIENT_TEMPLATE.FAT&amp;display_string=Audit&amp;VAR:KEY=BKLCDCTENS&amp;VAR:QUERY=UkdGX1RBWF9SQVRFKEFOTiwwLCwsLCwsTk9BVURJVCk=&amp;WINDOW=FIRST_POPUP&amp;HEIGHT=450&amp;WIDTH=450&amp;","START_MAXIMIZED=FALSE&amp;VAR:CALENDAR=US&amp;VAR:SYMBOL=712125&amp;VAR:INDEX=0"}</definedName>
    <definedName name="_2574__FDSAUDITLINK__" localSheetId="3" hidden="1">{"fdsup://directions/FAT Viewer?action=UPDATE&amp;creator=factset&amp;DYN_ARGS=TRUE&amp;DOC_NAME=FAT:FQL_AUDITING_CLIENT_TEMPLATE.FAT&amp;display_string=Audit&amp;VAR:KEY=BKLCDCTENS&amp;VAR:QUERY=UkdGX1RBWF9SQVRFKEFOTiwwLCwsLCwsTk9BVURJVCk=&amp;WINDOW=FIRST_POPUP&amp;HEIGHT=450&amp;WIDTH=450&amp;","START_MAXIMIZED=FALSE&amp;VAR:CALENDAR=US&amp;VAR:SYMBOL=712125&amp;VAR:INDEX=0"}</definedName>
    <definedName name="_2574__FDSAUDITLINK__" localSheetId="7" hidden="1">{"fdsup://directions/FAT Viewer?action=UPDATE&amp;creator=factset&amp;DYN_ARGS=TRUE&amp;DOC_NAME=FAT:FQL_AUDITING_CLIENT_TEMPLATE.FAT&amp;display_string=Audit&amp;VAR:KEY=BKLCDCTENS&amp;VAR:QUERY=UkdGX1RBWF9SQVRFKEFOTiwwLCwsLCwsTk9BVURJVCk=&amp;WINDOW=FIRST_POPUP&amp;HEIGHT=450&amp;WIDTH=450&amp;","START_MAXIMIZED=FALSE&amp;VAR:CALENDAR=US&amp;VAR:SYMBOL=712125&amp;VAR:INDEX=0"}</definedName>
    <definedName name="_2574__FDSAUDITLINK__" hidden="1">{"fdsup://directions/FAT Viewer?action=UPDATE&amp;creator=factset&amp;DYN_ARGS=TRUE&amp;DOC_NAME=FAT:FQL_AUDITING_CLIENT_TEMPLATE.FAT&amp;display_string=Audit&amp;VAR:KEY=BKLCDCTENS&amp;VAR:QUERY=UkdGX1RBWF9SQVRFKEFOTiwwLCwsLCwsTk9BVURJVCk=&amp;WINDOW=FIRST_POPUP&amp;HEIGHT=450&amp;WIDTH=450&amp;","START_MAXIMIZED=FALSE&amp;VAR:CALENDAR=US&amp;VAR:SYMBOL=712125&amp;VAR:INDEX=0"}</definedName>
    <definedName name="_2575__FDSAUDITLINK__" localSheetId="3" hidden="1">{"fdsup://directions/FAT Viewer?action=UPDATE&amp;creator=factset&amp;DYN_ARGS=TRUE&amp;DOC_NAME=FAT:FQL_AUDITING_CLIENT_TEMPLATE.FAT&amp;display_string=Audit&amp;VAR:KEY=XSBOHUDSDO&amp;VAR:QUERY=UkdGX1RBWF9SQVRFKEFOTiwwLCwsLCwsTk9BVURJVCk=&amp;WINDOW=FIRST_POPUP&amp;HEIGHT=450&amp;WIDTH=450&amp;","START_MAXIMIZED=FALSE&amp;VAR:CALENDAR=US&amp;VAR:SYMBOL=KEYN&amp;VAR:INDEX=0"}</definedName>
    <definedName name="_2575__FDSAUDITLINK__" localSheetId="7" hidden="1">{"fdsup://directions/FAT Viewer?action=UPDATE&amp;creator=factset&amp;DYN_ARGS=TRUE&amp;DOC_NAME=FAT:FQL_AUDITING_CLIENT_TEMPLATE.FAT&amp;display_string=Audit&amp;VAR:KEY=XSBOHUDSDO&amp;VAR:QUERY=UkdGX1RBWF9SQVRFKEFOTiwwLCwsLCwsTk9BVURJVCk=&amp;WINDOW=FIRST_POPUP&amp;HEIGHT=450&amp;WIDTH=450&amp;","START_MAXIMIZED=FALSE&amp;VAR:CALENDAR=US&amp;VAR:SYMBOL=KEYN&amp;VAR:INDEX=0"}</definedName>
    <definedName name="_2575__FDSAUDITLINK__" hidden="1">{"fdsup://directions/FAT Viewer?action=UPDATE&amp;creator=factset&amp;DYN_ARGS=TRUE&amp;DOC_NAME=FAT:FQL_AUDITING_CLIENT_TEMPLATE.FAT&amp;display_string=Audit&amp;VAR:KEY=XSBOHUDSDO&amp;VAR:QUERY=UkdGX1RBWF9SQVRFKEFOTiwwLCwsLCwsTk9BVURJVCk=&amp;WINDOW=FIRST_POPUP&amp;HEIGHT=450&amp;WIDTH=450&amp;","START_MAXIMIZED=FALSE&amp;VAR:CALENDAR=US&amp;VAR:SYMBOL=KEYN&amp;VAR:INDEX=0"}</definedName>
    <definedName name="_2576__FDSAUDITLINK__" localSheetId="3" hidden="1">{"fdsup://directions/FAT Viewer?action=UPDATE&amp;creator=factset&amp;DYN_ARGS=TRUE&amp;DOC_NAME=FAT:FQL_AUDITING_CLIENT_TEMPLATE.FAT&amp;display_string=Audit&amp;VAR:KEY=XSBOHUDSDO&amp;VAR:QUERY=UkdGX1RBWF9SQVRFKEFOTiwwLCwsLCwsTk9BVURJVCk=&amp;WINDOW=FIRST_POPUP&amp;HEIGHT=450&amp;WIDTH=450&amp;","START_MAXIMIZED=FALSE&amp;VAR:CALENDAR=US&amp;VAR:SYMBOL=KEYN&amp;VAR:INDEX=0"}</definedName>
    <definedName name="_2576__FDSAUDITLINK__" localSheetId="7" hidden="1">{"fdsup://directions/FAT Viewer?action=UPDATE&amp;creator=factset&amp;DYN_ARGS=TRUE&amp;DOC_NAME=FAT:FQL_AUDITING_CLIENT_TEMPLATE.FAT&amp;display_string=Audit&amp;VAR:KEY=XSBOHUDSDO&amp;VAR:QUERY=UkdGX1RBWF9SQVRFKEFOTiwwLCwsLCwsTk9BVURJVCk=&amp;WINDOW=FIRST_POPUP&amp;HEIGHT=450&amp;WIDTH=450&amp;","START_MAXIMIZED=FALSE&amp;VAR:CALENDAR=US&amp;VAR:SYMBOL=KEYN&amp;VAR:INDEX=0"}</definedName>
    <definedName name="_2576__FDSAUDITLINK__" hidden="1">{"fdsup://directions/FAT Viewer?action=UPDATE&amp;creator=factset&amp;DYN_ARGS=TRUE&amp;DOC_NAME=FAT:FQL_AUDITING_CLIENT_TEMPLATE.FAT&amp;display_string=Audit&amp;VAR:KEY=XSBOHUDSDO&amp;VAR:QUERY=UkdGX1RBWF9SQVRFKEFOTiwwLCwsLCwsTk9BVURJVCk=&amp;WINDOW=FIRST_POPUP&amp;HEIGHT=450&amp;WIDTH=450&amp;","START_MAXIMIZED=FALSE&amp;VAR:CALENDAR=US&amp;VAR:SYMBOL=KEYN&amp;VAR:INDEX=0"}</definedName>
    <definedName name="_2577__FDSAUDITLINK__" localSheetId="3" hidden="1">{"fdsup://directions/FAT Viewer?action=UPDATE&amp;creator=factset&amp;DYN_ARGS=TRUE&amp;DOC_NAME=FAT:FQL_AUDITING_CLIENT_TEMPLATE.FAT&amp;display_string=Audit&amp;VAR:KEY=BCVAPOVAPI&amp;VAR:QUERY=UkdGX1RBWF9SQVRFKEFOTiwwLCwsLCwsTk9BVURJVCk=&amp;WINDOW=FIRST_POPUP&amp;HEIGHT=450&amp;WIDTH=450&amp;","START_MAXIMIZED=FALSE&amp;VAR:CALENDAR=US&amp;VAR:SYMBOL=KNXA&amp;VAR:INDEX=0"}</definedName>
    <definedName name="_2577__FDSAUDITLINK__" localSheetId="7" hidden="1">{"fdsup://directions/FAT Viewer?action=UPDATE&amp;creator=factset&amp;DYN_ARGS=TRUE&amp;DOC_NAME=FAT:FQL_AUDITING_CLIENT_TEMPLATE.FAT&amp;display_string=Audit&amp;VAR:KEY=BCVAPOVAPI&amp;VAR:QUERY=UkdGX1RBWF9SQVRFKEFOTiwwLCwsLCwsTk9BVURJVCk=&amp;WINDOW=FIRST_POPUP&amp;HEIGHT=450&amp;WIDTH=450&amp;","START_MAXIMIZED=FALSE&amp;VAR:CALENDAR=US&amp;VAR:SYMBOL=KNXA&amp;VAR:INDEX=0"}</definedName>
    <definedName name="_2577__FDSAUDITLINK__" hidden="1">{"fdsup://directions/FAT Viewer?action=UPDATE&amp;creator=factset&amp;DYN_ARGS=TRUE&amp;DOC_NAME=FAT:FQL_AUDITING_CLIENT_TEMPLATE.FAT&amp;display_string=Audit&amp;VAR:KEY=BCVAPOVAPI&amp;VAR:QUERY=UkdGX1RBWF9SQVRFKEFOTiwwLCwsLCwsTk9BVURJVCk=&amp;WINDOW=FIRST_POPUP&amp;HEIGHT=450&amp;WIDTH=450&amp;","START_MAXIMIZED=FALSE&amp;VAR:CALENDAR=US&amp;VAR:SYMBOL=KNXA&amp;VAR:INDEX=0"}</definedName>
    <definedName name="_2578__FDSAUDITLINK__" localSheetId="3" hidden="1">{"fdsup://directions/FAT Viewer?action=UPDATE&amp;creator=factset&amp;DYN_ARGS=TRUE&amp;DOC_NAME=FAT:FQL_AUDITING_CLIENT_TEMPLATE.FAT&amp;display_string=Audit&amp;VAR:KEY=ZONWTSFKDU&amp;VAR:QUERY=UkdGX1RBWF9SQVRFKEFOTiwwLCwsLCwsTk9BVURJVCk=&amp;WINDOW=FIRST_POPUP&amp;HEIGHT=450&amp;WIDTH=450&amp;","START_MAXIMIZED=FALSE&amp;VAR:CALENDAR=US&amp;VAR:SYMBOL=KANA&amp;VAR:INDEX=0"}</definedName>
    <definedName name="_2578__FDSAUDITLINK__" localSheetId="7" hidden="1">{"fdsup://directions/FAT Viewer?action=UPDATE&amp;creator=factset&amp;DYN_ARGS=TRUE&amp;DOC_NAME=FAT:FQL_AUDITING_CLIENT_TEMPLATE.FAT&amp;display_string=Audit&amp;VAR:KEY=ZONWTSFKDU&amp;VAR:QUERY=UkdGX1RBWF9SQVRFKEFOTiwwLCwsLCwsTk9BVURJVCk=&amp;WINDOW=FIRST_POPUP&amp;HEIGHT=450&amp;WIDTH=450&amp;","START_MAXIMIZED=FALSE&amp;VAR:CALENDAR=US&amp;VAR:SYMBOL=KANA&amp;VAR:INDEX=0"}</definedName>
    <definedName name="_2578__FDSAUDITLINK__" hidden="1">{"fdsup://directions/FAT Viewer?action=UPDATE&amp;creator=factset&amp;DYN_ARGS=TRUE&amp;DOC_NAME=FAT:FQL_AUDITING_CLIENT_TEMPLATE.FAT&amp;display_string=Audit&amp;VAR:KEY=ZONWTSFKDU&amp;VAR:QUERY=UkdGX1RBWF9SQVRFKEFOTiwwLCwsLCwsTk9BVURJVCk=&amp;WINDOW=FIRST_POPUP&amp;HEIGHT=450&amp;WIDTH=450&amp;","START_MAXIMIZED=FALSE&amp;VAR:CALENDAR=US&amp;VAR:SYMBOL=KANA&amp;VAR:INDEX=0"}</definedName>
    <definedName name="_2579__FDSAUDITLINK__" localSheetId="3" hidden="1">{"fdsup://directions/FAT Viewer?action=UPDATE&amp;creator=factset&amp;DYN_ARGS=TRUE&amp;DOC_NAME=FAT:FQL_AUDITING_CLIENT_TEMPLATE.FAT&amp;display_string=Audit&amp;VAR:KEY=ZONWTSFKDU&amp;VAR:QUERY=UkdGX1RBWF9SQVRFKEFOTiwwLCwsLCwsTk9BVURJVCk=&amp;WINDOW=FIRST_POPUP&amp;HEIGHT=450&amp;WIDTH=450&amp;","START_MAXIMIZED=FALSE&amp;VAR:CALENDAR=US&amp;VAR:SYMBOL=KANA&amp;VAR:INDEX=0"}</definedName>
    <definedName name="_2579__FDSAUDITLINK__" localSheetId="7" hidden="1">{"fdsup://directions/FAT Viewer?action=UPDATE&amp;creator=factset&amp;DYN_ARGS=TRUE&amp;DOC_NAME=FAT:FQL_AUDITING_CLIENT_TEMPLATE.FAT&amp;display_string=Audit&amp;VAR:KEY=ZONWTSFKDU&amp;VAR:QUERY=UkdGX1RBWF9SQVRFKEFOTiwwLCwsLCwsTk9BVURJVCk=&amp;WINDOW=FIRST_POPUP&amp;HEIGHT=450&amp;WIDTH=450&amp;","START_MAXIMIZED=FALSE&amp;VAR:CALENDAR=US&amp;VAR:SYMBOL=KANA&amp;VAR:INDEX=0"}</definedName>
    <definedName name="_2579__FDSAUDITLINK__" hidden="1">{"fdsup://directions/FAT Viewer?action=UPDATE&amp;creator=factset&amp;DYN_ARGS=TRUE&amp;DOC_NAME=FAT:FQL_AUDITING_CLIENT_TEMPLATE.FAT&amp;display_string=Audit&amp;VAR:KEY=ZONWTSFKDU&amp;VAR:QUERY=UkdGX1RBWF9SQVRFKEFOTiwwLCwsLCwsTk9BVURJVCk=&amp;WINDOW=FIRST_POPUP&amp;HEIGHT=450&amp;WIDTH=450&amp;","START_MAXIMIZED=FALSE&amp;VAR:CALENDAR=US&amp;VAR:SYMBOL=KANA&amp;VAR:INDEX=0"}</definedName>
    <definedName name="_258__FDSAUDITLINK__" localSheetId="3" hidden="1">{"fdsup://directions/FAT Viewer?action=UPDATE&amp;creator=factset&amp;DYN_ARGS=TRUE&amp;DOC_NAME=FAT:FQL_AUDITING_CLIENT_TEMPLATE.FAT&amp;display_string=Audit&amp;VAR:KEY=NUJUHILOVM&amp;VAR:QUERY=RkZfRkNGX1lMRChBTk4sMCwtOSxZLFJQLExPQ0FMLE0p&amp;WINDOW=FIRST_POPUP&amp;HEIGHT=450&amp;WIDTH=450&amp;","START_MAXIMIZED=FALSE&amp;VAR:CALENDAR=US&amp;VAR:SYMBOL=B10LQP&amp;VAR:INDEX=7"}</definedName>
    <definedName name="_258__FDSAUDITLINK__" localSheetId="7" hidden="1">{"fdsup://directions/FAT Viewer?action=UPDATE&amp;creator=factset&amp;DYN_ARGS=TRUE&amp;DOC_NAME=FAT:FQL_AUDITING_CLIENT_TEMPLATE.FAT&amp;display_string=Audit&amp;VAR:KEY=NUJUHILOVM&amp;VAR:QUERY=RkZfRkNGX1lMRChBTk4sMCwtOSxZLFJQLExPQ0FMLE0p&amp;WINDOW=FIRST_POPUP&amp;HEIGHT=450&amp;WIDTH=450&amp;","START_MAXIMIZED=FALSE&amp;VAR:CALENDAR=US&amp;VAR:SYMBOL=B10LQP&amp;VAR:INDEX=7"}</definedName>
    <definedName name="_258__FDSAUDITLINK__" hidden="1">{"fdsup://directions/FAT Viewer?action=UPDATE&amp;creator=factset&amp;DYN_ARGS=TRUE&amp;DOC_NAME=FAT:FQL_AUDITING_CLIENT_TEMPLATE.FAT&amp;display_string=Audit&amp;VAR:KEY=NUJUHILOVM&amp;VAR:QUERY=RkZfRkNGX1lMRChBTk4sMCwtOSxZLFJQLExPQ0FMLE0p&amp;WINDOW=FIRST_POPUP&amp;HEIGHT=450&amp;WIDTH=450&amp;","START_MAXIMIZED=FALSE&amp;VAR:CALENDAR=US&amp;VAR:SYMBOL=B10LQP&amp;VAR:INDEX=7"}</definedName>
    <definedName name="_2580__FDSAUDITLINK__" localSheetId="3" hidden="1">{"fdsup://directions/FAT Viewer?action=UPDATE&amp;creator=factset&amp;DYN_ARGS=TRUE&amp;DOC_NAME=FAT:FQL_AUDITING_CLIENT_TEMPLATE.FAT&amp;display_string=Audit&amp;VAR:KEY=LGRYBUBOJI&amp;VAR:QUERY=UkdGX1RBWF9SQVRFKEFOTiwwLCwsLCwsTk9BVURJVCk=&amp;WINDOW=FIRST_POPUP&amp;HEIGHT=450&amp;WIDTH=450&amp;","START_MAXIMIZED=FALSE&amp;VAR:CALENDAR=US&amp;VAR:SYMBOL=JUPM&amp;VAR:INDEX=0"}</definedName>
    <definedName name="_2580__FDSAUDITLINK__" localSheetId="7" hidden="1">{"fdsup://directions/FAT Viewer?action=UPDATE&amp;creator=factset&amp;DYN_ARGS=TRUE&amp;DOC_NAME=FAT:FQL_AUDITING_CLIENT_TEMPLATE.FAT&amp;display_string=Audit&amp;VAR:KEY=LGRYBUBOJI&amp;VAR:QUERY=UkdGX1RBWF9SQVRFKEFOTiwwLCwsLCwsTk9BVURJVCk=&amp;WINDOW=FIRST_POPUP&amp;HEIGHT=450&amp;WIDTH=450&amp;","START_MAXIMIZED=FALSE&amp;VAR:CALENDAR=US&amp;VAR:SYMBOL=JUPM&amp;VAR:INDEX=0"}</definedName>
    <definedName name="_2580__FDSAUDITLINK__" hidden="1">{"fdsup://directions/FAT Viewer?action=UPDATE&amp;creator=factset&amp;DYN_ARGS=TRUE&amp;DOC_NAME=FAT:FQL_AUDITING_CLIENT_TEMPLATE.FAT&amp;display_string=Audit&amp;VAR:KEY=LGRYBUBOJI&amp;VAR:QUERY=UkdGX1RBWF9SQVRFKEFOTiwwLCwsLCwsTk9BVURJVCk=&amp;WINDOW=FIRST_POPUP&amp;HEIGHT=450&amp;WIDTH=450&amp;","START_MAXIMIZED=FALSE&amp;VAR:CALENDAR=US&amp;VAR:SYMBOL=JUPM&amp;VAR:INDEX=0"}</definedName>
    <definedName name="_2581__FDSAUDITLINK__" localSheetId="3" hidden="1">{"fdsup://directions/FAT Viewer?action=UPDATE&amp;creator=factset&amp;DYN_ARGS=TRUE&amp;DOC_NAME=FAT:FQL_AUDITING_CLIENT_TEMPLATE.FAT&amp;display_string=Audit&amp;VAR:KEY=TQFQXQBEZO&amp;VAR:QUERY=UkdGX1RBWF9SQVRFKEFOTiwwLCwsLCwsTk9BVURJVCk=&amp;WINDOW=FIRST_POPUP&amp;HEIGHT=450&amp;WIDTH=450&amp;","START_MAXIMIZED=FALSE&amp;VAR:CALENDAR=US&amp;VAR:SYMBOL=JNPR&amp;VAR:INDEX=0"}</definedName>
    <definedName name="_2581__FDSAUDITLINK__" localSheetId="7" hidden="1">{"fdsup://directions/FAT Viewer?action=UPDATE&amp;creator=factset&amp;DYN_ARGS=TRUE&amp;DOC_NAME=FAT:FQL_AUDITING_CLIENT_TEMPLATE.FAT&amp;display_string=Audit&amp;VAR:KEY=TQFQXQBEZO&amp;VAR:QUERY=UkdGX1RBWF9SQVRFKEFOTiwwLCwsLCwsTk9BVURJVCk=&amp;WINDOW=FIRST_POPUP&amp;HEIGHT=450&amp;WIDTH=450&amp;","START_MAXIMIZED=FALSE&amp;VAR:CALENDAR=US&amp;VAR:SYMBOL=JNPR&amp;VAR:INDEX=0"}</definedName>
    <definedName name="_2581__FDSAUDITLINK__" hidden="1">{"fdsup://directions/FAT Viewer?action=UPDATE&amp;creator=factset&amp;DYN_ARGS=TRUE&amp;DOC_NAME=FAT:FQL_AUDITING_CLIENT_TEMPLATE.FAT&amp;display_string=Audit&amp;VAR:KEY=TQFQXQBEZO&amp;VAR:QUERY=UkdGX1RBWF9SQVRFKEFOTiwwLCwsLCwsTk9BVURJVCk=&amp;WINDOW=FIRST_POPUP&amp;HEIGHT=450&amp;WIDTH=450&amp;","START_MAXIMIZED=FALSE&amp;VAR:CALENDAR=US&amp;VAR:SYMBOL=JNPR&amp;VAR:INDEX=0"}</definedName>
    <definedName name="_2582__FDSAUDITLINK__" localSheetId="3" hidden="1">{"fdsup://directions/FAT Viewer?action=UPDATE&amp;creator=factset&amp;DYN_ARGS=TRUE&amp;DOC_NAME=FAT:FQL_AUDITING_CLIENT_TEMPLATE.FAT&amp;display_string=Audit&amp;VAR:KEY=TQFQXQBEZO&amp;VAR:QUERY=UkdGX1RBWF9SQVRFKEFOTiwwLCwsLCwsTk9BVURJVCk=&amp;WINDOW=FIRST_POPUP&amp;HEIGHT=450&amp;WIDTH=450&amp;","START_MAXIMIZED=FALSE&amp;VAR:CALENDAR=US&amp;VAR:SYMBOL=JNPR&amp;VAR:INDEX=0"}</definedName>
    <definedName name="_2582__FDSAUDITLINK__" localSheetId="7" hidden="1">{"fdsup://directions/FAT Viewer?action=UPDATE&amp;creator=factset&amp;DYN_ARGS=TRUE&amp;DOC_NAME=FAT:FQL_AUDITING_CLIENT_TEMPLATE.FAT&amp;display_string=Audit&amp;VAR:KEY=TQFQXQBEZO&amp;VAR:QUERY=UkdGX1RBWF9SQVRFKEFOTiwwLCwsLCwsTk9BVURJVCk=&amp;WINDOW=FIRST_POPUP&amp;HEIGHT=450&amp;WIDTH=450&amp;","START_MAXIMIZED=FALSE&amp;VAR:CALENDAR=US&amp;VAR:SYMBOL=JNPR&amp;VAR:INDEX=0"}</definedName>
    <definedName name="_2582__FDSAUDITLINK__" hidden="1">{"fdsup://directions/FAT Viewer?action=UPDATE&amp;creator=factset&amp;DYN_ARGS=TRUE&amp;DOC_NAME=FAT:FQL_AUDITING_CLIENT_TEMPLATE.FAT&amp;display_string=Audit&amp;VAR:KEY=TQFQXQBEZO&amp;VAR:QUERY=UkdGX1RBWF9SQVRFKEFOTiwwLCwsLCwsTk9BVURJVCk=&amp;WINDOW=FIRST_POPUP&amp;HEIGHT=450&amp;WIDTH=450&amp;","START_MAXIMIZED=FALSE&amp;VAR:CALENDAR=US&amp;VAR:SYMBOL=JNPR&amp;VAR:INDEX=0"}</definedName>
    <definedName name="_2583__FDSAUDITLINK__" localSheetId="3" hidden="1">{"fdsup://directions/FAT Viewer?action=UPDATE&amp;creator=factset&amp;DYN_ARGS=TRUE&amp;DOC_NAME=FAT:FQL_AUDITING_CLIENT_TEMPLATE.FAT&amp;display_string=Audit&amp;VAR:KEY=TIHQFITOPS&amp;VAR:QUERY=UkdGX1RBWF9SQVRFKEFOTiwwLCwsLCwsTk9BVURJVCk=&amp;WINDOW=FIRST_POPUP&amp;HEIGHT=450&amp;WIDTH=450&amp;","START_MAXIMIZED=FALSE&amp;VAR:CALENDAR=US&amp;VAR:SYMBOL=JDAS&amp;VAR:INDEX=0"}</definedName>
    <definedName name="_2583__FDSAUDITLINK__" localSheetId="7" hidden="1">{"fdsup://directions/FAT Viewer?action=UPDATE&amp;creator=factset&amp;DYN_ARGS=TRUE&amp;DOC_NAME=FAT:FQL_AUDITING_CLIENT_TEMPLATE.FAT&amp;display_string=Audit&amp;VAR:KEY=TIHQFITOPS&amp;VAR:QUERY=UkdGX1RBWF9SQVRFKEFOTiwwLCwsLCwsTk9BVURJVCk=&amp;WINDOW=FIRST_POPUP&amp;HEIGHT=450&amp;WIDTH=450&amp;","START_MAXIMIZED=FALSE&amp;VAR:CALENDAR=US&amp;VAR:SYMBOL=JDAS&amp;VAR:INDEX=0"}</definedName>
    <definedName name="_2583__FDSAUDITLINK__" hidden="1">{"fdsup://directions/FAT Viewer?action=UPDATE&amp;creator=factset&amp;DYN_ARGS=TRUE&amp;DOC_NAME=FAT:FQL_AUDITING_CLIENT_TEMPLATE.FAT&amp;display_string=Audit&amp;VAR:KEY=TIHQFITOPS&amp;VAR:QUERY=UkdGX1RBWF9SQVRFKEFOTiwwLCwsLCwsTk9BVURJVCk=&amp;WINDOW=FIRST_POPUP&amp;HEIGHT=450&amp;WIDTH=450&amp;","START_MAXIMIZED=FALSE&amp;VAR:CALENDAR=US&amp;VAR:SYMBOL=JDAS&amp;VAR:INDEX=0"}</definedName>
    <definedName name="_2584__FDSAUDITLINK__" localSheetId="3" hidden="1">{"fdsup://directions/FAT Viewer?action=UPDATE&amp;creator=factset&amp;DYN_ARGS=TRUE&amp;DOC_NAME=FAT:FQL_AUDITING_CLIENT_TEMPLATE.FAT&amp;display_string=Audit&amp;VAR:KEY=TIHQFITOPS&amp;VAR:QUERY=UkdGX1RBWF9SQVRFKEFOTiwwLCwsLCwsTk9BVURJVCk=&amp;WINDOW=FIRST_POPUP&amp;HEIGHT=450&amp;WIDTH=450&amp;","START_MAXIMIZED=FALSE&amp;VAR:CALENDAR=US&amp;VAR:SYMBOL=JDAS&amp;VAR:INDEX=0"}</definedName>
    <definedName name="_2584__FDSAUDITLINK__" localSheetId="7" hidden="1">{"fdsup://directions/FAT Viewer?action=UPDATE&amp;creator=factset&amp;DYN_ARGS=TRUE&amp;DOC_NAME=FAT:FQL_AUDITING_CLIENT_TEMPLATE.FAT&amp;display_string=Audit&amp;VAR:KEY=TIHQFITOPS&amp;VAR:QUERY=UkdGX1RBWF9SQVRFKEFOTiwwLCwsLCwsTk9BVURJVCk=&amp;WINDOW=FIRST_POPUP&amp;HEIGHT=450&amp;WIDTH=450&amp;","START_MAXIMIZED=FALSE&amp;VAR:CALENDAR=US&amp;VAR:SYMBOL=JDAS&amp;VAR:INDEX=0"}</definedName>
    <definedName name="_2584__FDSAUDITLINK__" hidden="1">{"fdsup://directions/FAT Viewer?action=UPDATE&amp;creator=factset&amp;DYN_ARGS=TRUE&amp;DOC_NAME=FAT:FQL_AUDITING_CLIENT_TEMPLATE.FAT&amp;display_string=Audit&amp;VAR:KEY=TIHQFITOPS&amp;VAR:QUERY=UkdGX1RBWF9SQVRFKEFOTiwwLCwsLCwsTk9BVURJVCk=&amp;WINDOW=FIRST_POPUP&amp;HEIGHT=450&amp;WIDTH=450&amp;","START_MAXIMIZED=FALSE&amp;VAR:CALENDAR=US&amp;VAR:SYMBOL=JDAS&amp;VAR:INDEX=0"}</definedName>
    <definedName name="_2585__FDSAUDITLINK__" localSheetId="3" hidden="1">{"fdsup://directions/FAT Viewer?action=UPDATE&amp;creator=factset&amp;DYN_ARGS=TRUE&amp;DOC_NAME=FAT:FQL_AUDITING_CLIENT_TEMPLATE.FAT&amp;display_string=Audit&amp;VAR:KEY=RIJKZEDGLI&amp;VAR:QUERY=UkdGX1RBWF9SQVRFKEFOTiwwLCwsLCwsTk9BVURJVCk=&amp;WINDOW=FIRST_POPUP&amp;HEIGHT=450&amp;WIDTH=450&amp;","START_MAXIMIZED=FALSE&amp;VAR:CALENDAR=US&amp;VAR:SYMBOL=JCOM&amp;VAR:INDEX=0"}</definedName>
    <definedName name="_2585__FDSAUDITLINK__" localSheetId="7" hidden="1">{"fdsup://directions/FAT Viewer?action=UPDATE&amp;creator=factset&amp;DYN_ARGS=TRUE&amp;DOC_NAME=FAT:FQL_AUDITING_CLIENT_TEMPLATE.FAT&amp;display_string=Audit&amp;VAR:KEY=RIJKZEDGLI&amp;VAR:QUERY=UkdGX1RBWF9SQVRFKEFOTiwwLCwsLCwsTk9BVURJVCk=&amp;WINDOW=FIRST_POPUP&amp;HEIGHT=450&amp;WIDTH=450&amp;","START_MAXIMIZED=FALSE&amp;VAR:CALENDAR=US&amp;VAR:SYMBOL=JCOM&amp;VAR:INDEX=0"}</definedName>
    <definedName name="_2585__FDSAUDITLINK__" hidden="1">{"fdsup://directions/FAT Viewer?action=UPDATE&amp;creator=factset&amp;DYN_ARGS=TRUE&amp;DOC_NAME=FAT:FQL_AUDITING_CLIENT_TEMPLATE.FAT&amp;display_string=Audit&amp;VAR:KEY=RIJKZEDGLI&amp;VAR:QUERY=UkdGX1RBWF9SQVRFKEFOTiwwLCwsLCwsTk9BVURJVCk=&amp;WINDOW=FIRST_POPUP&amp;HEIGHT=450&amp;WIDTH=450&amp;","START_MAXIMIZED=FALSE&amp;VAR:CALENDAR=US&amp;VAR:SYMBOL=JCOM&amp;VAR:INDEX=0"}</definedName>
    <definedName name="_2586__FDSAUDITLINK__" localSheetId="3" hidden="1">{"fdsup://directions/FAT Viewer?action=UPDATE&amp;creator=factset&amp;DYN_ARGS=TRUE&amp;DOC_NAME=FAT:FQL_AUDITING_CLIENT_TEMPLATE.FAT&amp;display_string=Audit&amp;VAR:KEY=RIJKZEDGLI&amp;VAR:QUERY=UkdGX1RBWF9SQVRFKEFOTiwwLCwsLCwsTk9BVURJVCk=&amp;WINDOW=FIRST_POPUP&amp;HEIGHT=450&amp;WIDTH=450&amp;","START_MAXIMIZED=FALSE&amp;VAR:CALENDAR=US&amp;VAR:SYMBOL=JCOM&amp;VAR:INDEX=0"}</definedName>
    <definedName name="_2586__FDSAUDITLINK__" localSheetId="7" hidden="1">{"fdsup://directions/FAT Viewer?action=UPDATE&amp;creator=factset&amp;DYN_ARGS=TRUE&amp;DOC_NAME=FAT:FQL_AUDITING_CLIENT_TEMPLATE.FAT&amp;display_string=Audit&amp;VAR:KEY=RIJKZEDGLI&amp;VAR:QUERY=UkdGX1RBWF9SQVRFKEFOTiwwLCwsLCwsTk9BVURJVCk=&amp;WINDOW=FIRST_POPUP&amp;HEIGHT=450&amp;WIDTH=450&amp;","START_MAXIMIZED=FALSE&amp;VAR:CALENDAR=US&amp;VAR:SYMBOL=JCOM&amp;VAR:INDEX=0"}</definedName>
    <definedName name="_2586__FDSAUDITLINK__" hidden="1">{"fdsup://directions/FAT Viewer?action=UPDATE&amp;creator=factset&amp;DYN_ARGS=TRUE&amp;DOC_NAME=FAT:FQL_AUDITING_CLIENT_TEMPLATE.FAT&amp;display_string=Audit&amp;VAR:KEY=RIJKZEDGLI&amp;VAR:QUERY=UkdGX1RBWF9SQVRFKEFOTiwwLCwsLCwsTk9BVURJVCk=&amp;WINDOW=FIRST_POPUP&amp;HEIGHT=450&amp;WIDTH=450&amp;","START_MAXIMIZED=FALSE&amp;VAR:CALENDAR=US&amp;VAR:SYMBOL=JCOM&amp;VAR:INDEX=0"}</definedName>
    <definedName name="_2587__FDSAUDITLINK__" localSheetId="3" hidden="1">{"fdsup://directions/FAT Viewer?action=UPDATE&amp;creator=factset&amp;DYN_ARGS=TRUE&amp;DOC_NAME=FAT:FQL_AUDITING_CLIENT_TEMPLATE.FAT&amp;display_string=Audit&amp;VAR:KEY=XWXABCNQPG&amp;VAR:QUERY=UkdGX1RBWF9SQVRFKEFOTiwwLCwsLCwsTk9BVURJVCk=&amp;WINDOW=FIRST_POPUP&amp;HEIGHT=450&amp;WIDTH=450&amp;","START_MAXIMIZED=FALSE&amp;VAR:CALENDAR=US&amp;VAR:SYMBOL=B188NJ&amp;VAR:INDEX=0"}</definedName>
    <definedName name="_2587__FDSAUDITLINK__" localSheetId="7" hidden="1">{"fdsup://directions/FAT Viewer?action=UPDATE&amp;creator=factset&amp;DYN_ARGS=TRUE&amp;DOC_NAME=FAT:FQL_AUDITING_CLIENT_TEMPLATE.FAT&amp;display_string=Audit&amp;VAR:KEY=XWXABCNQPG&amp;VAR:QUERY=UkdGX1RBWF9SQVRFKEFOTiwwLCwsLCwsTk9BVURJVCk=&amp;WINDOW=FIRST_POPUP&amp;HEIGHT=450&amp;WIDTH=450&amp;","START_MAXIMIZED=FALSE&amp;VAR:CALENDAR=US&amp;VAR:SYMBOL=B188NJ&amp;VAR:INDEX=0"}</definedName>
    <definedName name="_2587__FDSAUDITLINK__" hidden="1">{"fdsup://directions/FAT Viewer?action=UPDATE&amp;creator=factset&amp;DYN_ARGS=TRUE&amp;DOC_NAME=FAT:FQL_AUDITING_CLIENT_TEMPLATE.FAT&amp;display_string=Audit&amp;VAR:KEY=XWXABCNQPG&amp;VAR:QUERY=UkdGX1RBWF9SQVRFKEFOTiwwLCwsLCwsTk9BVURJVCk=&amp;WINDOW=FIRST_POPUP&amp;HEIGHT=450&amp;WIDTH=450&amp;","START_MAXIMIZED=FALSE&amp;VAR:CALENDAR=US&amp;VAR:SYMBOL=B188NJ&amp;VAR:INDEX=0"}</definedName>
    <definedName name="_2588__FDSAUDITLINK__" localSheetId="3" hidden="1">{"fdsup://directions/FAT Viewer?action=UPDATE&amp;creator=factset&amp;DYN_ARGS=TRUE&amp;DOC_NAME=FAT:FQL_AUDITING_CLIENT_TEMPLATE.FAT&amp;display_string=Audit&amp;VAR:KEY=XWXABCNQPG&amp;VAR:QUERY=UkdGX1RBWF9SQVRFKEFOTiwwLCwsLCwsTk9BVURJVCk=&amp;WINDOW=FIRST_POPUP&amp;HEIGHT=450&amp;WIDTH=450&amp;","START_MAXIMIZED=FALSE&amp;VAR:CALENDAR=US&amp;VAR:SYMBOL=B188NJ&amp;VAR:INDEX=0"}</definedName>
    <definedName name="_2588__FDSAUDITLINK__" localSheetId="7" hidden="1">{"fdsup://directions/FAT Viewer?action=UPDATE&amp;creator=factset&amp;DYN_ARGS=TRUE&amp;DOC_NAME=FAT:FQL_AUDITING_CLIENT_TEMPLATE.FAT&amp;display_string=Audit&amp;VAR:KEY=XWXABCNQPG&amp;VAR:QUERY=UkdGX1RBWF9SQVRFKEFOTiwwLCwsLCwsTk9BVURJVCk=&amp;WINDOW=FIRST_POPUP&amp;HEIGHT=450&amp;WIDTH=450&amp;","START_MAXIMIZED=FALSE&amp;VAR:CALENDAR=US&amp;VAR:SYMBOL=B188NJ&amp;VAR:INDEX=0"}</definedName>
    <definedName name="_2588__FDSAUDITLINK__" hidden="1">{"fdsup://directions/FAT Viewer?action=UPDATE&amp;creator=factset&amp;DYN_ARGS=TRUE&amp;DOC_NAME=FAT:FQL_AUDITING_CLIENT_TEMPLATE.FAT&amp;display_string=Audit&amp;VAR:KEY=XWXABCNQPG&amp;VAR:QUERY=UkdGX1RBWF9SQVRFKEFOTiwwLCwsLCwsTk9BVURJVCk=&amp;WINDOW=FIRST_POPUP&amp;HEIGHT=450&amp;WIDTH=450&amp;","START_MAXIMIZED=FALSE&amp;VAR:CALENDAR=US&amp;VAR:SYMBOL=B188NJ&amp;VAR:INDEX=0"}</definedName>
    <definedName name="_2589__FDSAUDITLINK__" localSheetId="3" hidden="1">{"fdsup://directions/FAT Viewer?action=UPDATE&amp;creator=factset&amp;DYN_ARGS=TRUE&amp;DOC_NAME=FAT:FQL_AUDITING_CLIENT_TEMPLATE.FAT&amp;display_string=Audit&amp;VAR:KEY=FAZMXKHARM&amp;VAR:QUERY=UkdGX1RBWF9SQVRFKEFOTiwwLCwsLCwsTk9BVURJVCk=&amp;WINDOW=FIRST_POPUP&amp;HEIGHT=450&amp;WIDTH=450&amp;","START_MAXIMIZED=FALSE&amp;VAR:CALENDAR=US&amp;VAR:SYMBOL=INTU&amp;VAR:INDEX=0"}</definedName>
    <definedName name="_2589__FDSAUDITLINK__" localSheetId="7" hidden="1">{"fdsup://directions/FAT Viewer?action=UPDATE&amp;creator=factset&amp;DYN_ARGS=TRUE&amp;DOC_NAME=FAT:FQL_AUDITING_CLIENT_TEMPLATE.FAT&amp;display_string=Audit&amp;VAR:KEY=FAZMXKHARM&amp;VAR:QUERY=UkdGX1RBWF9SQVRFKEFOTiwwLCwsLCwsTk9BVURJVCk=&amp;WINDOW=FIRST_POPUP&amp;HEIGHT=450&amp;WIDTH=450&amp;","START_MAXIMIZED=FALSE&amp;VAR:CALENDAR=US&amp;VAR:SYMBOL=INTU&amp;VAR:INDEX=0"}</definedName>
    <definedName name="_2589__FDSAUDITLINK__" hidden="1">{"fdsup://directions/FAT Viewer?action=UPDATE&amp;creator=factset&amp;DYN_ARGS=TRUE&amp;DOC_NAME=FAT:FQL_AUDITING_CLIENT_TEMPLATE.FAT&amp;display_string=Audit&amp;VAR:KEY=FAZMXKHARM&amp;VAR:QUERY=UkdGX1RBWF9SQVRFKEFOTiwwLCwsLCwsTk9BVURJVCk=&amp;WINDOW=FIRST_POPUP&amp;HEIGHT=450&amp;WIDTH=450&amp;","START_MAXIMIZED=FALSE&amp;VAR:CALENDAR=US&amp;VAR:SYMBOL=INTU&amp;VAR:INDEX=0"}</definedName>
    <definedName name="_259__FDSAUDITLINK__" localSheetId="3" hidden="1">{"fdsup://directions/FAT Viewer?action=UPDATE&amp;creator=factset&amp;DYN_ARGS=TRUE&amp;DOC_NAME=FAT:FQL_AUDITING_CLIENT_TEMPLATE.FAT&amp;display_string=Audit&amp;VAR:KEY=XSHWPWZEPO&amp;VAR:QUERY=RkZfTkVUX0lOQyhMVE0sMCwsLCwsTSk=&amp;WINDOW=FIRST_POPUP&amp;HEIGHT=450&amp;WIDTH=450&amp;START_MAXIMI","ZED=FALSE&amp;VAR:CALENDAR=US&amp;VAR:SYMBOL=B1G8KX&amp;VAR:INDEX=0"}</definedName>
    <definedName name="_259__FDSAUDITLINK__" localSheetId="7" hidden="1">{"fdsup://directions/FAT Viewer?action=UPDATE&amp;creator=factset&amp;DYN_ARGS=TRUE&amp;DOC_NAME=FAT:FQL_AUDITING_CLIENT_TEMPLATE.FAT&amp;display_string=Audit&amp;VAR:KEY=XSHWPWZEPO&amp;VAR:QUERY=RkZfTkVUX0lOQyhMVE0sMCwsLCwsTSk=&amp;WINDOW=FIRST_POPUP&amp;HEIGHT=450&amp;WIDTH=450&amp;START_MAXIMI","ZED=FALSE&amp;VAR:CALENDAR=US&amp;VAR:SYMBOL=B1G8KX&amp;VAR:INDEX=0"}</definedName>
    <definedName name="_259__FDSAUDITLINK__" hidden="1">{"fdsup://directions/FAT Viewer?action=UPDATE&amp;creator=factset&amp;DYN_ARGS=TRUE&amp;DOC_NAME=FAT:FQL_AUDITING_CLIENT_TEMPLATE.FAT&amp;display_string=Audit&amp;VAR:KEY=XSHWPWZEPO&amp;VAR:QUERY=RkZfTkVUX0lOQyhMVE0sMCwsLCwsTSk=&amp;WINDOW=FIRST_POPUP&amp;HEIGHT=450&amp;WIDTH=450&amp;START_MAXIMI","ZED=FALSE&amp;VAR:CALENDAR=US&amp;VAR:SYMBOL=B1G8KX&amp;VAR:INDEX=0"}</definedName>
    <definedName name="_2590__FDSAUDITLINK__" localSheetId="3" hidden="1">{"fdsup://directions/FAT Viewer?action=UPDATE&amp;creator=factset&amp;DYN_ARGS=TRUE&amp;DOC_NAME=FAT:FQL_AUDITING_CLIENT_TEMPLATE.FAT&amp;display_string=Audit&amp;VAR:KEY=FAZMXKHARM&amp;VAR:QUERY=UkdGX1RBWF9SQVRFKEFOTiwwLCwsLCwsTk9BVURJVCk=&amp;WINDOW=FIRST_POPUP&amp;HEIGHT=450&amp;WIDTH=450&amp;","START_MAXIMIZED=FALSE&amp;VAR:CALENDAR=US&amp;VAR:SYMBOL=INTU&amp;VAR:INDEX=0"}</definedName>
    <definedName name="_2590__FDSAUDITLINK__" localSheetId="7" hidden="1">{"fdsup://directions/FAT Viewer?action=UPDATE&amp;creator=factset&amp;DYN_ARGS=TRUE&amp;DOC_NAME=FAT:FQL_AUDITING_CLIENT_TEMPLATE.FAT&amp;display_string=Audit&amp;VAR:KEY=FAZMXKHARM&amp;VAR:QUERY=UkdGX1RBWF9SQVRFKEFOTiwwLCwsLCwsTk9BVURJVCk=&amp;WINDOW=FIRST_POPUP&amp;HEIGHT=450&amp;WIDTH=450&amp;","START_MAXIMIZED=FALSE&amp;VAR:CALENDAR=US&amp;VAR:SYMBOL=INTU&amp;VAR:INDEX=0"}</definedName>
    <definedName name="_2590__FDSAUDITLINK__" hidden="1">{"fdsup://directions/FAT Viewer?action=UPDATE&amp;creator=factset&amp;DYN_ARGS=TRUE&amp;DOC_NAME=FAT:FQL_AUDITING_CLIENT_TEMPLATE.FAT&amp;display_string=Audit&amp;VAR:KEY=FAZMXKHARM&amp;VAR:QUERY=UkdGX1RBWF9SQVRFKEFOTiwwLCwsLCwsTk9BVURJVCk=&amp;WINDOW=FIRST_POPUP&amp;HEIGHT=450&amp;WIDTH=450&amp;","START_MAXIMIZED=FALSE&amp;VAR:CALENDAR=US&amp;VAR:SYMBOL=INTU&amp;VAR:INDEX=0"}</definedName>
    <definedName name="_2591__FDSAUDITLINK__" localSheetId="3" hidden="1">{"fdsup://directions/FAT Viewer?action=UPDATE&amp;creator=factset&amp;DYN_ARGS=TRUE&amp;DOC_NAME=FAT:FQL_AUDITING_CLIENT_TEMPLATE.FAT&amp;display_string=Audit&amp;VAR:KEY=LSJOLSFOZQ&amp;VAR:QUERY=UkdGX1RBWF9SQVRFKEFOTiwwLCwsLCwsTk9BVURJVCk=&amp;WINDOW=FIRST_POPUP&amp;HEIGHT=450&amp;WIDTH=450&amp;","START_MAXIMIZED=FALSE&amp;VAR:CALENDAR=US&amp;VAR:SYMBOL=IL&amp;VAR:INDEX=0"}</definedName>
    <definedName name="_2591__FDSAUDITLINK__" localSheetId="7" hidden="1">{"fdsup://directions/FAT Viewer?action=UPDATE&amp;creator=factset&amp;DYN_ARGS=TRUE&amp;DOC_NAME=FAT:FQL_AUDITING_CLIENT_TEMPLATE.FAT&amp;display_string=Audit&amp;VAR:KEY=LSJOLSFOZQ&amp;VAR:QUERY=UkdGX1RBWF9SQVRFKEFOTiwwLCwsLCwsTk9BVURJVCk=&amp;WINDOW=FIRST_POPUP&amp;HEIGHT=450&amp;WIDTH=450&amp;","START_MAXIMIZED=FALSE&amp;VAR:CALENDAR=US&amp;VAR:SYMBOL=IL&amp;VAR:INDEX=0"}</definedName>
    <definedName name="_2591__FDSAUDITLINK__" hidden="1">{"fdsup://directions/FAT Viewer?action=UPDATE&amp;creator=factset&amp;DYN_ARGS=TRUE&amp;DOC_NAME=FAT:FQL_AUDITING_CLIENT_TEMPLATE.FAT&amp;display_string=Audit&amp;VAR:KEY=LSJOLSFOZQ&amp;VAR:QUERY=UkdGX1RBWF9SQVRFKEFOTiwwLCwsLCwsTk9BVURJVCk=&amp;WINDOW=FIRST_POPUP&amp;HEIGHT=450&amp;WIDTH=450&amp;","START_MAXIMIZED=FALSE&amp;VAR:CALENDAR=US&amp;VAR:SYMBOL=IL&amp;VAR:INDEX=0"}</definedName>
    <definedName name="_2592__FDSAUDITLINK__" localSheetId="3" hidden="1">{"fdsup://directions/FAT Viewer?action=UPDATE&amp;creator=factset&amp;DYN_ARGS=TRUE&amp;DOC_NAME=FAT:FQL_AUDITING_CLIENT_TEMPLATE.FAT&amp;display_string=Audit&amp;VAR:KEY=HEXYBOZULO&amp;VAR:QUERY=UkdGX1RBWF9SQVRFKEFOTiwwLCwsLCwsTk9BVURJVCk=&amp;WINDOW=FIRST_POPUP&amp;HEIGHT=450&amp;WIDTH=450&amp;","START_MAXIMIZED=FALSE&amp;VAR:CALENDAR=US&amp;VAR:SYMBOL=IBM&amp;VAR:INDEX=0"}</definedName>
    <definedName name="_2592__FDSAUDITLINK__" localSheetId="7" hidden="1">{"fdsup://directions/FAT Viewer?action=UPDATE&amp;creator=factset&amp;DYN_ARGS=TRUE&amp;DOC_NAME=FAT:FQL_AUDITING_CLIENT_TEMPLATE.FAT&amp;display_string=Audit&amp;VAR:KEY=HEXYBOZULO&amp;VAR:QUERY=UkdGX1RBWF9SQVRFKEFOTiwwLCwsLCwsTk9BVURJVCk=&amp;WINDOW=FIRST_POPUP&amp;HEIGHT=450&amp;WIDTH=450&amp;","START_MAXIMIZED=FALSE&amp;VAR:CALENDAR=US&amp;VAR:SYMBOL=IBM&amp;VAR:INDEX=0"}</definedName>
    <definedName name="_2592__FDSAUDITLINK__" hidden="1">{"fdsup://directions/FAT Viewer?action=UPDATE&amp;creator=factset&amp;DYN_ARGS=TRUE&amp;DOC_NAME=FAT:FQL_AUDITING_CLIENT_TEMPLATE.FAT&amp;display_string=Audit&amp;VAR:KEY=HEXYBOZULO&amp;VAR:QUERY=UkdGX1RBWF9SQVRFKEFOTiwwLCwsLCwsTk9BVURJVCk=&amp;WINDOW=FIRST_POPUP&amp;HEIGHT=450&amp;WIDTH=450&amp;","START_MAXIMIZED=FALSE&amp;VAR:CALENDAR=US&amp;VAR:SYMBOL=IBM&amp;VAR:INDEX=0"}</definedName>
    <definedName name="_2593__FDSAUDITLINK__" localSheetId="3" hidden="1">{"fdsup://directions/FAT Viewer?action=UPDATE&amp;creator=factset&amp;DYN_ARGS=TRUE&amp;DOC_NAME=FAT:FQL_AUDITING_CLIENT_TEMPLATE.FAT&amp;display_string=Audit&amp;VAR:KEY=HEXYBOZULO&amp;VAR:QUERY=UkdGX1RBWF9SQVRFKEFOTiwwLCwsLCwsTk9BVURJVCk=&amp;WINDOW=FIRST_POPUP&amp;HEIGHT=450&amp;WIDTH=450&amp;","START_MAXIMIZED=FALSE&amp;VAR:CALENDAR=US&amp;VAR:SYMBOL=IBM&amp;VAR:INDEX=0"}</definedName>
    <definedName name="_2593__FDSAUDITLINK__" localSheetId="7" hidden="1">{"fdsup://directions/FAT Viewer?action=UPDATE&amp;creator=factset&amp;DYN_ARGS=TRUE&amp;DOC_NAME=FAT:FQL_AUDITING_CLIENT_TEMPLATE.FAT&amp;display_string=Audit&amp;VAR:KEY=HEXYBOZULO&amp;VAR:QUERY=UkdGX1RBWF9SQVRFKEFOTiwwLCwsLCwsTk9BVURJVCk=&amp;WINDOW=FIRST_POPUP&amp;HEIGHT=450&amp;WIDTH=450&amp;","START_MAXIMIZED=FALSE&amp;VAR:CALENDAR=US&amp;VAR:SYMBOL=IBM&amp;VAR:INDEX=0"}</definedName>
    <definedName name="_2593__FDSAUDITLINK__" hidden="1">{"fdsup://directions/FAT Viewer?action=UPDATE&amp;creator=factset&amp;DYN_ARGS=TRUE&amp;DOC_NAME=FAT:FQL_AUDITING_CLIENT_TEMPLATE.FAT&amp;display_string=Audit&amp;VAR:KEY=HEXYBOZULO&amp;VAR:QUERY=UkdGX1RBWF9SQVRFKEFOTiwwLCwsLCwsTk9BVURJVCk=&amp;WINDOW=FIRST_POPUP&amp;HEIGHT=450&amp;WIDTH=450&amp;","START_MAXIMIZED=FALSE&amp;VAR:CALENDAR=US&amp;VAR:SYMBOL=IBM&amp;VAR:INDEX=0"}</definedName>
    <definedName name="_2594__FDSAUDITLINK__" localSheetId="3" hidden="1">{"fdsup://directions/FAT Viewer?action=UPDATE&amp;creator=factset&amp;DYN_ARGS=TRUE&amp;DOC_NAME=FAT:FQL_AUDITING_CLIENT_TEMPLATE.FAT&amp;display_string=Audit&amp;VAR:KEY=XCFMPYZQPU&amp;VAR:QUERY=UkdGX1RBWF9SQVRFKEFOTiwwLCwsLCwsTk9BVURJVCk=&amp;WINDOW=FIRST_POPUP&amp;HEIGHT=450&amp;WIDTH=450&amp;","START_MAXIMIZED=FALSE&amp;VAR:CALENDAR=US&amp;VAR:SYMBOL=INAP&amp;VAR:INDEX=0"}</definedName>
    <definedName name="_2594__FDSAUDITLINK__" localSheetId="7" hidden="1">{"fdsup://directions/FAT Viewer?action=UPDATE&amp;creator=factset&amp;DYN_ARGS=TRUE&amp;DOC_NAME=FAT:FQL_AUDITING_CLIENT_TEMPLATE.FAT&amp;display_string=Audit&amp;VAR:KEY=XCFMPYZQPU&amp;VAR:QUERY=UkdGX1RBWF9SQVRFKEFOTiwwLCwsLCwsTk9BVURJVCk=&amp;WINDOW=FIRST_POPUP&amp;HEIGHT=450&amp;WIDTH=450&amp;","START_MAXIMIZED=FALSE&amp;VAR:CALENDAR=US&amp;VAR:SYMBOL=INAP&amp;VAR:INDEX=0"}</definedName>
    <definedName name="_2594__FDSAUDITLINK__" hidden="1">{"fdsup://directions/FAT Viewer?action=UPDATE&amp;creator=factset&amp;DYN_ARGS=TRUE&amp;DOC_NAME=FAT:FQL_AUDITING_CLIENT_TEMPLATE.FAT&amp;display_string=Audit&amp;VAR:KEY=XCFMPYZQPU&amp;VAR:QUERY=UkdGX1RBWF9SQVRFKEFOTiwwLCwsLCwsTk9BVURJVCk=&amp;WINDOW=FIRST_POPUP&amp;HEIGHT=450&amp;WIDTH=450&amp;","START_MAXIMIZED=FALSE&amp;VAR:CALENDAR=US&amp;VAR:SYMBOL=INAP&amp;VAR:INDEX=0"}</definedName>
    <definedName name="_2595__FDSAUDITLINK__" localSheetId="3" hidden="1">{"fdsup://directions/FAT Viewer?action=UPDATE&amp;creator=factset&amp;DYN_ARGS=TRUE&amp;DOC_NAME=FAT:FQL_AUDITING_CLIENT_TEMPLATE.FAT&amp;display_string=Audit&amp;VAR:KEY=TQBODQZYHE&amp;VAR:QUERY=UkdGX1RBWF9SQVRFKEFOTiwwLCwsLCwsTk9BVURJVCk=&amp;WINDOW=FIRST_POPUP&amp;HEIGHT=450&amp;WIDTH=450&amp;","START_MAXIMIZED=FALSE&amp;VAR:CALENDAR=US&amp;VAR:SYMBOL=ININ&amp;VAR:INDEX=0"}</definedName>
    <definedName name="_2595__FDSAUDITLINK__" localSheetId="7" hidden="1">{"fdsup://directions/FAT Viewer?action=UPDATE&amp;creator=factset&amp;DYN_ARGS=TRUE&amp;DOC_NAME=FAT:FQL_AUDITING_CLIENT_TEMPLATE.FAT&amp;display_string=Audit&amp;VAR:KEY=TQBODQZYHE&amp;VAR:QUERY=UkdGX1RBWF9SQVRFKEFOTiwwLCwsLCwsTk9BVURJVCk=&amp;WINDOW=FIRST_POPUP&amp;HEIGHT=450&amp;WIDTH=450&amp;","START_MAXIMIZED=FALSE&amp;VAR:CALENDAR=US&amp;VAR:SYMBOL=ININ&amp;VAR:INDEX=0"}</definedName>
    <definedName name="_2595__FDSAUDITLINK__" hidden="1">{"fdsup://directions/FAT Viewer?action=UPDATE&amp;creator=factset&amp;DYN_ARGS=TRUE&amp;DOC_NAME=FAT:FQL_AUDITING_CLIENT_TEMPLATE.FAT&amp;display_string=Audit&amp;VAR:KEY=TQBODQZYHE&amp;VAR:QUERY=UkdGX1RBWF9SQVRFKEFOTiwwLCwsLCwsTk9BVURJVCk=&amp;WINDOW=FIRST_POPUP&amp;HEIGHT=450&amp;WIDTH=450&amp;","START_MAXIMIZED=FALSE&amp;VAR:CALENDAR=US&amp;VAR:SYMBOL=ININ&amp;VAR:INDEX=0"}</definedName>
    <definedName name="_2596__FDSAUDITLINK__" localSheetId="3" hidden="1">{"fdsup://directions/FAT Viewer?action=UPDATE&amp;creator=factset&amp;DYN_ARGS=TRUE&amp;DOC_NAME=FAT:FQL_AUDITING_CLIENT_TEMPLATE.FAT&amp;display_string=Audit&amp;VAR:KEY=TQBODQZYHE&amp;VAR:QUERY=UkdGX1RBWF9SQVRFKEFOTiwwLCwsLCwsTk9BVURJVCk=&amp;WINDOW=FIRST_POPUP&amp;HEIGHT=450&amp;WIDTH=450&amp;","START_MAXIMIZED=FALSE&amp;VAR:CALENDAR=US&amp;VAR:SYMBOL=ININ&amp;VAR:INDEX=0"}</definedName>
    <definedName name="_2596__FDSAUDITLINK__" localSheetId="7" hidden="1">{"fdsup://directions/FAT Viewer?action=UPDATE&amp;creator=factset&amp;DYN_ARGS=TRUE&amp;DOC_NAME=FAT:FQL_AUDITING_CLIENT_TEMPLATE.FAT&amp;display_string=Audit&amp;VAR:KEY=TQBODQZYHE&amp;VAR:QUERY=UkdGX1RBWF9SQVRFKEFOTiwwLCwsLCwsTk9BVURJVCk=&amp;WINDOW=FIRST_POPUP&amp;HEIGHT=450&amp;WIDTH=450&amp;","START_MAXIMIZED=FALSE&amp;VAR:CALENDAR=US&amp;VAR:SYMBOL=ININ&amp;VAR:INDEX=0"}</definedName>
    <definedName name="_2596__FDSAUDITLINK__" hidden="1">{"fdsup://directions/FAT Viewer?action=UPDATE&amp;creator=factset&amp;DYN_ARGS=TRUE&amp;DOC_NAME=FAT:FQL_AUDITING_CLIENT_TEMPLATE.FAT&amp;display_string=Audit&amp;VAR:KEY=TQBODQZYHE&amp;VAR:QUERY=UkdGX1RBWF9SQVRFKEFOTiwwLCwsLCwsTk9BVURJVCk=&amp;WINDOW=FIRST_POPUP&amp;HEIGHT=450&amp;WIDTH=450&amp;","START_MAXIMIZED=FALSE&amp;VAR:CALENDAR=US&amp;VAR:SYMBOL=ININ&amp;VAR:INDEX=0"}</definedName>
    <definedName name="_2597__FDSAUDITLINK__" localSheetId="3" hidden="1">{"fdsup://directions/FAT Viewer?action=UPDATE&amp;creator=factset&amp;DYN_ARGS=TRUE&amp;DOC_NAME=FAT:FQL_AUDITING_CLIENT_TEMPLATE.FAT&amp;display_string=Audit&amp;VAR:KEY=RCZEBGRMLS&amp;VAR:QUERY=UkdGX1RBWF9SQVRFKEFOTiwwLCwsLCwsTk9BVURJVCk=&amp;WINDOW=FIRST_POPUP&amp;HEIGHT=450&amp;WIDTH=450&amp;","START_MAXIMIZED=FALSE&amp;VAR:CALENDAR=US&amp;VAR:SYMBOL=401870&amp;VAR:INDEX=0"}</definedName>
    <definedName name="_2597__FDSAUDITLINK__" localSheetId="7" hidden="1">{"fdsup://directions/FAT Viewer?action=UPDATE&amp;creator=factset&amp;DYN_ARGS=TRUE&amp;DOC_NAME=FAT:FQL_AUDITING_CLIENT_TEMPLATE.FAT&amp;display_string=Audit&amp;VAR:KEY=RCZEBGRMLS&amp;VAR:QUERY=UkdGX1RBWF9SQVRFKEFOTiwwLCwsLCwsTk9BVURJVCk=&amp;WINDOW=FIRST_POPUP&amp;HEIGHT=450&amp;WIDTH=450&amp;","START_MAXIMIZED=FALSE&amp;VAR:CALENDAR=US&amp;VAR:SYMBOL=401870&amp;VAR:INDEX=0"}</definedName>
    <definedName name="_2597__FDSAUDITLINK__" hidden="1">{"fdsup://directions/FAT Viewer?action=UPDATE&amp;creator=factset&amp;DYN_ARGS=TRUE&amp;DOC_NAME=FAT:FQL_AUDITING_CLIENT_TEMPLATE.FAT&amp;display_string=Audit&amp;VAR:KEY=RCZEBGRMLS&amp;VAR:QUERY=UkdGX1RBWF9SQVRFKEFOTiwwLCwsLCwsTk9BVURJVCk=&amp;WINDOW=FIRST_POPUP&amp;HEIGHT=450&amp;WIDTH=450&amp;","START_MAXIMIZED=FALSE&amp;VAR:CALENDAR=US&amp;VAR:SYMBOL=401870&amp;VAR:INDEX=0"}</definedName>
    <definedName name="_2598__FDSAUDITLINK__" localSheetId="3" hidden="1">{"fdsup://directions/FAT Viewer?action=UPDATE&amp;creator=factset&amp;DYN_ARGS=TRUE&amp;DOC_NAME=FAT:FQL_AUDITING_CLIENT_TEMPLATE.FAT&amp;display_string=Audit&amp;VAR:KEY=RCZEBGRMLS&amp;VAR:QUERY=UkdGX1RBWF9SQVRFKEFOTiwwLCwsLCwsTk9BVURJVCk=&amp;WINDOW=FIRST_POPUP&amp;HEIGHT=450&amp;WIDTH=450&amp;","START_MAXIMIZED=FALSE&amp;VAR:CALENDAR=US&amp;VAR:SYMBOL=401870&amp;VAR:INDEX=0"}</definedName>
    <definedName name="_2598__FDSAUDITLINK__" localSheetId="7" hidden="1">{"fdsup://directions/FAT Viewer?action=UPDATE&amp;creator=factset&amp;DYN_ARGS=TRUE&amp;DOC_NAME=FAT:FQL_AUDITING_CLIENT_TEMPLATE.FAT&amp;display_string=Audit&amp;VAR:KEY=RCZEBGRMLS&amp;VAR:QUERY=UkdGX1RBWF9SQVRFKEFOTiwwLCwsLCwsTk9BVURJVCk=&amp;WINDOW=FIRST_POPUP&amp;HEIGHT=450&amp;WIDTH=450&amp;","START_MAXIMIZED=FALSE&amp;VAR:CALENDAR=US&amp;VAR:SYMBOL=401870&amp;VAR:INDEX=0"}</definedName>
    <definedName name="_2598__FDSAUDITLINK__" hidden="1">{"fdsup://directions/FAT Viewer?action=UPDATE&amp;creator=factset&amp;DYN_ARGS=TRUE&amp;DOC_NAME=FAT:FQL_AUDITING_CLIENT_TEMPLATE.FAT&amp;display_string=Audit&amp;VAR:KEY=RCZEBGRMLS&amp;VAR:QUERY=UkdGX1RBWF9SQVRFKEFOTiwwLCwsLCwsTk9BVURJVCk=&amp;WINDOW=FIRST_POPUP&amp;HEIGHT=450&amp;WIDTH=450&amp;","START_MAXIMIZED=FALSE&amp;VAR:CALENDAR=US&amp;VAR:SYMBOL=401870&amp;VAR:INDEX=0"}</definedName>
    <definedName name="_2599__FDSAUDITLINK__" localSheetId="3" hidden="1">{"fdsup://directions/FAT Viewer?action=UPDATE&amp;creator=factset&amp;DYN_ARGS=TRUE&amp;DOC_NAME=FAT:FQL_AUDITING_CLIENT_TEMPLATE.FAT&amp;display_string=Audit&amp;VAR:KEY=FQZWBGXGFW&amp;VAR:QUERY=UkdGX1RBWF9SQVRFKEFOTiwwLCwsLCwsTk9BVURJVCk=&amp;WINDOW=FIRST_POPUP&amp;HEIGHT=450&amp;WIDTH=450&amp;","START_MAXIMIZED=FALSE&amp;VAR:CALENDAR=US&amp;VAR:SYMBOL=INTC&amp;VAR:INDEX=0"}</definedName>
    <definedName name="_2599__FDSAUDITLINK__" localSheetId="7" hidden="1">{"fdsup://directions/FAT Viewer?action=UPDATE&amp;creator=factset&amp;DYN_ARGS=TRUE&amp;DOC_NAME=FAT:FQL_AUDITING_CLIENT_TEMPLATE.FAT&amp;display_string=Audit&amp;VAR:KEY=FQZWBGXGFW&amp;VAR:QUERY=UkdGX1RBWF9SQVRFKEFOTiwwLCwsLCwsTk9BVURJVCk=&amp;WINDOW=FIRST_POPUP&amp;HEIGHT=450&amp;WIDTH=450&amp;","START_MAXIMIZED=FALSE&amp;VAR:CALENDAR=US&amp;VAR:SYMBOL=INTC&amp;VAR:INDEX=0"}</definedName>
    <definedName name="_2599__FDSAUDITLINK__" hidden="1">{"fdsup://directions/FAT Viewer?action=UPDATE&amp;creator=factset&amp;DYN_ARGS=TRUE&amp;DOC_NAME=FAT:FQL_AUDITING_CLIENT_TEMPLATE.FAT&amp;display_string=Audit&amp;VAR:KEY=FQZWBGXGFW&amp;VAR:QUERY=UkdGX1RBWF9SQVRFKEFOTiwwLCwsLCwsTk9BVURJVCk=&amp;WINDOW=FIRST_POPUP&amp;HEIGHT=450&amp;WIDTH=450&amp;","START_MAXIMIZED=FALSE&amp;VAR:CALENDAR=US&amp;VAR:SYMBOL=INTC&amp;VAR:INDEX=0"}</definedName>
    <definedName name="_26__FDSAUDITLINK__" localSheetId="3" hidden="1">{"fdsup://directions/FAT Viewer?action=UPDATE&amp;creator=factset&amp;DYN_ARGS=TRUE&amp;DOC_NAME=FAT:FQL_AUDITING_CLIENT_TEMPLATE.FAT&amp;display_string=Audit&amp;VAR:KEY=QXQHONONIH&amp;VAR:QUERY=RkZfRUJJVERBX09QRVIoQU5OLC0xQVkp&amp;WINDOW=FIRST_POPUP&amp;HEIGHT=450&amp;WIDTH=450&amp;START_MAXIMI","ZED=FALSE&amp;VAR:CALENDAR=US&amp;VAR:SYMBOL=268453&amp;VAR:INDEX=0"}</definedName>
    <definedName name="_26__FDSAUDITLINK__" localSheetId="7" hidden="1">{"fdsup://directions/FAT Viewer?action=UPDATE&amp;creator=factset&amp;DYN_ARGS=TRUE&amp;DOC_NAME=FAT:FQL_AUDITING_CLIENT_TEMPLATE.FAT&amp;display_string=Audit&amp;VAR:KEY=QXQHONONIH&amp;VAR:QUERY=RkZfRUJJVERBX09QRVIoQU5OLC0xQVkp&amp;WINDOW=FIRST_POPUP&amp;HEIGHT=450&amp;WIDTH=450&amp;START_MAXIMI","ZED=FALSE&amp;VAR:CALENDAR=US&amp;VAR:SYMBOL=268453&amp;VAR:INDEX=0"}</definedName>
    <definedName name="_26__FDSAUDITLINK__" hidden="1">{"fdsup://directions/FAT Viewer?action=UPDATE&amp;creator=factset&amp;DYN_ARGS=TRUE&amp;DOC_NAME=FAT:FQL_AUDITING_CLIENT_TEMPLATE.FAT&amp;display_string=Audit&amp;VAR:KEY=QXQHONONIH&amp;VAR:QUERY=RkZfRUJJVERBX09QRVIoQU5OLC0xQVkp&amp;WINDOW=FIRST_POPUP&amp;HEIGHT=450&amp;WIDTH=450&amp;START_MAXIMI","ZED=FALSE&amp;VAR:CALENDAR=US&amp;VAR:SYMBOL=268453&amp;VAR:INDEX=0"}</definedName>
    <definedName name="_260__FDSAUDITLINK__" localSheetId="3" hidden="1">{"fdsup://directions/FAT Viewer?action=UPDATE&amp;creator=factset&amp;DYN_ARGS=TRUE&amp;DOC_NAME=FAT:FQL_AUDITING_CLIENT_TEMPLATE.FAT&amp;display_string=Audit&amp;VAR:KEY=NUJUHILOVM&amp;VAR:QUERY=RkZfRkNGX1lMRChBTk4sMCwtOSxZLFJQLExPQ0FMLE0p&amp;WINDOW=FIRST_POPUP&amp;HEIGHT=450&amp;WIDTH=450&amp;","START_MAXIMIZED=FALSE&amp;VAR:CALENDAR=US&amp;VAR:SYMBOL=B10LQP&amp;VAR:INDEX=5"}</definedName>
    <definedName name="_260__FDSAUDITLINK__" localSheetId="7" hidden="1">{"fdsup://directions/FAT Viewer?action=UPDATE&amp;creator=factset&amp;DYN_ARGS=TRUE&amp;DOC_NAME=FAT:FQL_AUDITING_CLIENT_TEMPLATE.FAT&amp;display_string=Audit&amp;VAR:KEY=NUJUHILOVM&amp;VAR:QUERY=RkZfRkNGX1lMRChBTk4sMCwtOSxZLFJQLExPQ0FMLE0p&amp;WINDOW=FIRST_POPUP&amp;HEIGHT=450&amp;WIDTH=450&amp;","START_MAXIMIZED=FALSE&amp;VAR:CALENDAR=US&amp;VAR:SYMBOL=B10LQP&amp;VAR:INDEX=5"}</definedName>
    <definedName name="_260__FDSAUDITLINK__" hidden="1">{"fdsup://directions/FAT Viewer?action=UPDATE&amp;creator=factset&amp;DYN_ARGS=TRUE&amp;DOC_NAME=FAT:FQL_AUDITING_CLIENT_TEMPLATE.FAT&amp;display_string=Audit&amp;VAR:KEY=NUJUHILOVM&amp;VAR:QUERY=RkZfRkNGX1lMRChBTk4sMCwtOSxZLFJQLExPQ0FMLE0p&amp;WINDOW=FIRST_POPUP&amp;HEIGHT=450&amp;WIDTH=450&amp;","START_MAXIMIZED=FALSE&amp;VAR:CALENDAR=US&amp;VAR:SYMBOL=B10LQP&amp;VAR:INDEX=5"}</definedName>
    <definedName name="_2600__FDSAUDITLINK__" localSheetId="3" hidden="1">{"fdsup://directions/FAT Viewer?action=UPDATE&amp;creator=factset&amp;DYN_ARGS=TRUE&amp;DOC_NAME=FAT:FQL_AUDITING_CLIENT_TEMPLATE.FAT&amp;display_string=Audit&amp;VAR:KEY=FQZWBGXGFW&amp;VAR:QUERY=UkdGX1RBWF9SQVRFKEFOTiwwLCwsLCwsTk9BVURJVCk=&amp;WINDOW=FIRST_POPUP&amp;HEIGHT=450&amp;WIDTH=450&amp;","START_MAXIMIZED=FALSE&amp;VAR:CALENDAR=US&amp;VAR:SYMBOL=INTC&amp;VAR:INDEX=0"}</definedName>
    <definedName name="_2600__FDSAUDITLINK__" localSheetId="7" hidden="1">{"fdsup://directions/FAT Viewer?action=UPDATE&amp;creator=factset&amp;DYN_ARGS=TRUE&amp;DOC_NAME=FAT:FQL_AUDITING_CLIENT_TEMPLATE.FAT&amp;display_string=Audit&amp;VAR:KEY=FQZWBGXGFW&amp;VAR:QUERY=UkdGX1RBWF9SQVRFKEFOTiwwLCwsLCwsTk9BVURJVCk=&amp;WINDOW=FIRST_POPUP&amp;HEIGHT=450&amp;WIDTH=450&amp;","START_MAXIMIZED=FALSE&amp;VAR:CALENDAR=US&amp;VAR:SYMBOL=INTC&amp;VAR:INDEX=0"}</definedName>
    <definedName name="_2600__FDSAUDITLINK__" hidden="1">{"fdsup://directions/FAT Viewer?action=UPDATE&amp;creator=factset&amp;DYN_ARGS=TRUE&amp;DOC_NAME=FAT:FQL_AUDITING_CLIENT_TEMPLATE.FAT&amp;display_string=Audit&amp;VAR:KEY=FQZWBGXGFW&amp;VAR:QUERY=UkdGX1RBWF9SQVRFKEFOTiwwLCwsLCwsTk9BVURJVCk=&amp;WINDOW=FIRST_POPUP&amp;HEIGHT=450&amp;WIDTH=450&amp;","START_MAXIMIZED=FALSE&amp;VAR:CALENDAR=US&amp;VAR:SYMBOL=INTC&amp;VAR:INDEX=0"}</definedName>
    <definedName name="_2601__FDSAUDITLINK__" localSheetId="3" hidden="1">{"fdsup://directions/FAT Viewer?action=UPDATE&amp;creator=factset&amp;DYN_ARGS=TRUE&amp;DOC_NAME=FAT:FQL_AUDITING_CLIENT_TEMPLATE.FAT&amp;display_string=Audit&amp;VAR:KEY=LKDEXEBOJU&amp;VAR:QUERY=UkdGX1RBWF9SQVRFKEFOTiwwLCwsLCwsTk9BVURJVCk=&amp;WINDOW=FIRST_POPUP&amp;HEIGHT=450&amp;WIDTH=450&amp;","START_MAXIMIZED=FALSE&amp;VAR:CALENDAR=US&amp;VAR:SYMBOL=INFA&amp;VAR:INDEX=0"}</definedName>
    <definedName name="_2601__FDSAUDITLINK__" localSheetId="7" hidden="1">{"fdsup://directions/FAT Viewer?action=UPDATE&amp;creator=factset&amp;DYN_ARGS=TRUE&amp;DOC_NAME=FAT:FQL_AUDITING_CLIENT_TEMPLATE.FAT&amp;display_string=Audit&amp;VAR:KEY=LKDEXEBOJU&amp;VAR:QUERY=UkdGX1RBWF9SQVRFKEFOTiwwLCwsLCwsTk9BVURJVCk=&amp;WINDOW=FIRST_POPUP&amp;HEIGHT=450&amp;WIDTH=450&amp;","START_MAXIMIZED=FALSE&amp;VAR:CALENDAR=US&amp;VAR:SYMBOL=INFA&amp;VAR:INDEX=0"}</definedName>
    <definedName name="_2601__FDSAUDITLINK__" hidden="1">{"fdsup://directions/FAT Viewer?action=UPDATE&amp;creator=factset&amp;DYN_ARGS=TRUE&amp;DOC_NAME=FAT:FQL_AUDITING_CLIENT_TEMPLATE.FAT&amp;display_string=Audit&amp;VAR:KEY=LKDEXEBOJU&amp;VAR:QUERY=UkdGX1RBWF9SQVRFKEFOTiwwLCwsLCwsTk9BVURJVCk=&amp;WINDOW=FIRST_POPUP&amp;HEIGHT=450&amp;WIDTH=450&amp;","START_MAXIMIZED=FALSE&amp;VAR:CALENDAR=US&amp;VAR:SYMBOL=INFA&amp;VAR:INDEX=0"}</definedName>
    <definedName name="_2602__FDSAUDITLINK__" localSheetId="3" hidden="1">{"fdsup://directions/FAT Viewer?action=UPDATE&amp;creator=factset&amp;DYN_ARGS=TRUE&amp;DOC_NAME=FAT:FQL_AUDITING_CLIENT_TEMPLATE.FAT&amp;display_string=Audit&amp;VAR:KEY=LKDEXEBOJU&amp;VAR:QUERY=UkdGX1RBWF9SQVRFKEFOTiwwLCwsLCwsTk9BVURJVCk=&amp;WINDOW=FIRST_POPUP&amp;HEIGHT=450&amp;WIDTH=450&amp;","START_MAXIMIZED=FALSE&amp;VAR:CALENDAR=US&amp;VAR:SYMBOL=INFA&amp;VAR:INDEX=0"}</definedName>
    <definedName name="_2602__FDSAUDITLINK__" localSheetId="7" hidden="1">{"fdsup://directions/FAT Viewer?action=UPDATE&amp;creator=factset&amp;DYN_ARGS=TRUE&amp;DOC_NAME=FAT:FQL_AUDITING_CLIENT_TEMPLATE.FAT&amp;display_string=Audit&amp;VAR:KEY=LKDEXEBOJU&amp;VAR:QUERY=UkdGX1RBWF9SQVRFKEFOTiwwLCwsLCwsTk9BVURJVCk=&amp;WINDOW=FIRST_POPUP&amp;HEIGHT=450&amp;WIDTH=450&amp;","START_MAXIMIZED=FALSE&amp;VAR:CALENDAR=US&amp;VAR:SYMBOL=INFA&amp;VAR:INDEX=0"}</definedName>
    <definedName name="_2602__FDSAUDITLINK__" hidden="1">{"fdsup://directions/FAT Viewer?action=UPDATE&amp;creator=factset&amp;DYN_ARGS=TRUE&amp;DOC_NAME=FAT:FQL_AUDITING_CLIENT_TEMPLATE.FAT&amp;display_string=Audit&amp;VAR:KEY=LKDEXEBOJU&amp;VAR:QUERY=UkdGX1RBWF9SQVRFKEFOTiwwLCwsLCwsTk9BVURJVCk=&amp;WINDOW=FIRST_POPUP&amp;HEIGHT=450&amp;WIDTH=450&amp;","START_MAXIMIZED=FALSE&amp;VAR:CALENDAR=US&amp;VAR:SYMBOL=INFA&amp;VAR:INDEX=0"}</definedName>
    <definedName name="_2603__FDSAUDITLINK__" localSheetId="3" hidden="1">{"fdsup://directions/FAT Viewer?action=UPDATE&amp;creator=factset&amp;DYN_ARGS=TRUE&amp;DOC_NAME=FAT:FQL_AUDITING_CLIENT_TEMPLATE.FAT&amp;display_string=Audit&amp;VAR:KEY=BINGZKXYBG&amp;VAR:QUERY=UkdGX1RBWF9SQVRFKEFOTiwwLCwsLCwsTk9BVURJVCk=&amp;WINDOW=FIRST_POPUP&amp;HEIGHT=450&amp;WIDTH=450&amp;","START_MAXIMIZED=FALSE&amp;VAR:CALENDAR=US&amp;VAR:SYMBOL=567075&amp;VAR:INDEX=0"}</definedName>
    <definedName name="_2603__FDSAUDITLINK__" localSheetId="7" hidden="1">{"fdsup://directions/FAT Viewer?action=UPDATE&amp;creator=factset&amp;DYN_ARGS=TRUE&amp;DOC_NAME=FAT:FQL_AUDITING_CLIENT_TEMPLATE.FAT&amp;display_string=Audit&amp;VAR:KEY=BINGZKXYBG&amp;VAR:QUERY=UkdGX1RBWF9SQVRFKEFOTiwwLCwsLCwsTk9BVURJVCk=&amp;WINDOW=FIRST_POPUP&amp;HEIGHT=450&amp;WIDTH=450&amp;","START_MAXIMIZED=FALSE&amp;VAR:CALENDAR=US&amp;VAR:SYMBOL=567075&amp;VAR:INDEX=0"}</definedName>
    <definedName name="_2603__FDSAUDITLINK__" hidden="1">{"fdsup://directions/FAT Viewer?action=UPDATE&amp;creator=factset&amp;DYN_ARGS=TRUE&amp;DOC_NAME=FAT:FQL_AUDITING_CLIENT_TEMPLATE.FAT&amp;display_string=Audit&amp;VAR:KEY=BINGZKXYBG&amp;VAR:QUERY=UkdGX1RBWF9SQVRFKEFOTiwwLCwsLCwsTk9BVURJVCk=&amp;WINDOW=FIRST_POPUP&amp;HEIGHT=450&amp;WIDTH=450&amp;","START_MAXIMIZED=FALSE&amp;VAR:CALENDAR=US&amp;VAR:SYMBOL=567075&amp;VAR:INDEX=0"}</definedName>
    <definedName name="_2604__FDSAUDITLINK__" localSheetId="3" hidden="1">{"fdsup://directions/FAT Viewer?action=UPDATE&amp;creator=factset&amp;DYN_ARGS=TRUE&amp;DOC_NAME=FAT:FQL_AUDITING_CLIENT_TEMPLATE.FAT&amp;display_string=Audit&amp;VAR:KEY=BINGZKXYBG&amp;VAR:QUERY=UkdGX1RBWF9SQVRFKEFOTiwwLCwsLCwsTk9BVURJVCk=&amp;WINDOW=FIRST_POPUP&amp;HEIGHT=450&amp;WIDTH=450&amp;","START_MAXIMIZED=FALSE&amp;VAR:CALENDAR=US&amp;VAR:SYMBOL=567075&amp;VAR:INDEX=0"}</definedName>
    <definedName name="_2604__FDSAUDITLINK__" localSheetId="7" hidden="1">{"fdsup://directions/FAT Viewer?action=UPDATE&amp;creator=factset&amp;DYN_ARGS=TRUE&amp;DOC_NAME=FAT:FQL_AUDITING_CLIENT_TEMPLATE.FAT&amp;display_string=Audit&amp;VAR:KEY=BINGZKXYBG&amp;VAR:QUERY=UkdGX1RBWF9SQVRFKEFOTiwwLCwsLCwsTk9BVURJVCk=&amp;WINDOW=FIRST_POPUP&amp;HEIGHT=450&amp;WIDTH=450&amp;","START_MAXIMIZED=FALSE&amp;VAR:CALENDAR=US&amp;VAR:SYMBOL=567075&amp;VAR:INDEX=0"}</definedName>
    <definedName name="_2604__FDSAUDITLINK__" hidden="1">{"fdsup://directions/FAT Viewer?action=UPDATE&amp;creator=factset&amp;DYN_ARGS=TRUE&amp;DOC_NAME=FAT:FQL_AUDITING_CLIENT_TEMPLATE.FAT&amp;display_string=Audit&amp;VAR:KEY=BINGZKXYBG&amp;VAR:QUERY=UkdGX1RBWF9SQVRFKEFOTiwwLCwsLCwsTk9BVURJVCk=&amp;WINDOW=FIRST_POPUP&amp;HEIGHT=450&amp;WIDTH=450&amp;","START_MAXIMIZED=FALSE&amp;VAR:CALENDAR=US&amp;VAR:SYMBOL=567075&amp;VAR:INDEX=0"}</definedName>
    <definedName name="_2605__FDSAUDITLINK__" localSheetId="3" hidden="1">{"fdsup://directions/FAT Viewer?action=UPDATE&amp;creator=factset&amp;DYN_ARGS=TRUE&amp;DOC_NAME=FAT:FQL_AUDITING_CLIENT_TEMPLATE.FAT&amp;display_string=Audit&amp;VAR:KEY=FILUHMTOTK&amp;VAR:QUERY=UkdGX1RBWF9SQVRFKEFOTiwwLCwsLCwsTk9BVURJVCk=&amp;WINDOW=FIRST_POPUP&amp;HEIGHT=450&amp;WIDTH=450&amp;","START_MAXIMIZED=FALSE&amp;VAR:CALENDAR=US&amp;VAR:SYMBOL=IRM&amp;VAR:INDEX=0"}</definedName>
    <definedName name="_2605__FDSAUDITLINK__" localSheetId="7" hidden="1">{"fdsup://directions/FAT Viewer?action=UPDATE&amp;creator=factset&amp;DYN_ARGS=TRUE&amp;DOC_NAME=FAT:FQL_AUDITING_CLIENT_TEMPLATE.FAT&amp;display_string=Audit&amp;VAR:KEY=FILUHMTOTK&amp;VAR:QUERY=UkdGX1RBWF9SQVRFKEFOTiwwLCwsLCwsTk9BVURJVCk=&amp;WINDOW=FIRST_POPUP&amp;HEIGHT=450&amp;WIDTH=450&amp;","START_MAXIMIZED=FALSE&amp;VAR:CALENDAR=US&amp;VAR:SYMBOL=IRM&amp;VAR:INDEX=0"}</definedName>
    <definedName name="_2605__FDSAUDITLINK__" hidden="1">{"fdsup://directions/FAT Viewer?action=UPDATE&amp;creator=factset&amp;DYN_ARGS=TRUE&amp;DOC_NAME=FAT:FQL_AUDITING_CLIENT_TEMPLATE.FAT&amp;display_string=Audit&amp;VAR:KEY=FILUHMTOTK&amp;VAR:QUERY=UkdGX1RBWF9SQVRFKEFOTiwwLCwsLCwsTk9BVURJVCk=&amp;WINDOW=FIRST_POPUP&amp;HEIGHT=450&amp;WIDTH=450&amp;","START_MAXIMIZED=FALSE&amp;VAR:CALENDAR=US&amp;VAR:SYMBOL=IRM&amp;VAR:INDEX=0"}</definedName>
    <definedName name="_2606__FDSAUDITLINK__" localSheetId="3" hidden="1">{"fdsup://directions/FAT Viewer?action=UPDATE&amp;creator=factset&amp;DYN_ARGS=TRUE&amp;DOC_NAME=FAT:FQL_AUDITING_CLIENT_TEMPLATE.FAT&amp;display_string=Audit&amp;VAR:KEY=FILUHMTOTK&amp;VAR:QUERY=UkdGX1RBWF9SQVRFKEFOTiwwLCwsLCwsTk9BVURJVCk=&amp;WINDOW=FIRST_POPUP&amp;HEIGHT=450&amp;WIDTH=450&amp;","START_MAXIMIZED=FALSE&amp;VAR:CALENDAR=US&amp;VAR:SYMBOL=IRM&amp;VAR:INDEX=0"}</definedName>
    <definedName name="_2606__FDSAUDITLINK__" localSheetId="7" hidden="1">{"fdsup://directions/FAT Viewer?action=UPDATE&amp;creator=factset&amp;DYN_ARGS=TRUE&amp;DOC_NAME=FAT:FQL_AUDITING_CLIENT_TEMPLATE.FAT&amp;display_string=Audit&amp;VAR:KEY=FILUHMTOTK&amp;VAR:QUERY=UkdGX1RBWF9SQVRFKEFOTiwwLCwsLCwsTk9BVURJVCk=&amp;WINDOW=FIRST_POPUP&amp;HEIGHT=450&amp;WIDTH=450&amp;","START_MAXIMIZED=FALSE&amp;VAR:CALENDAR=US&amp;VAR:SYMBOL=IRM&amp;VAR:INDEX=0"}</definedName>
    <definedName name="_2606__FDSAUDITLINK__" hidden="1">{"fdsup://directions/FAT Viewer?action=UPDATE&amp;creator=factset&amp;DYN_ARGS=TRUE&amp;DOC_NAME=FAT:FQL_AUDITING_CLIENT_TEMPLATE.FAT&amp;display_string=Audit&amp;VAR:KEY=FILUHMTOTK&amp;VAR:QUERY=UkdGX1RBWF9SQVRFKEFOTiwwLCwsLCwsTk9BVURJVCk=&amp;WINDOW=FIRST_POPUP&amp;HEIGHT=450&amp;WIDTH=450&amp;","START_MAXIMIZED=FALSE&amp;VAR:CALENDAR=US&amp;VAR:SYMBOL=IRM&amp;VAR:INDEX=0"}</definedName>
    <definedName name="_2607__FDSAUDITLINK__" localSheetId="3" hidden="1">{"fdsup://directions/FAT Viewer?action=UPDATE&amp;creator=factset&amp;DYN_ARGS=TRUE&amp;DOC_NAME=FAT:FQL_AUDITING_CLIENT_TEMPLATE.FAT&amp;display_string=Audit&amp;VAR:KEY=TYZAXQFKXW&amp;VAR:QUERY=UkdGX1RBWF9SQVRFKEFOTiwwLCwsLCwsTk9BVURJVCk=&amp;WINDOW=FIRST_POPUP&amp;HEIGHT=450&amp;WIDTH=450&amp;","START_MAXIMIZED=FALSE&amp;VAR:CALENDAR=US&amp;VAR:SYMBOL=HPQ&amp;VAR:INDEX=0"}</definedName>
    <definedName name="_2607__FDSAUDITLINK__" localSheetId="7" hidden="1">{"fdsup://directions/FAT Viewer?action=UPDATE&amp;creator=factset&amp;DYN_ARGS=TRUE&amp;DOC_NAME=FAT:FQL_AUDITING_CLIENT_TEMPLATE.FAT&amp;display_string=Audit&amp;VAR:KEY=TYZAXQFKXW&amp;VAR:QUERY=UkdGX1RBWF9SQVRFKEFOTiwwLCwsLCwsTk9BVURJVCk=&amp;WINDOW=FIRST_POPUP&amp;HEIGHT=450&amp;WIDTH=450&amp;","START_MAXIMIZED=FALSE&amp;VAR:CALENDAR=US&amp;VAR:SYMBOL=HPQ&amp;VAR:INDEX=0"}</definedName>
    <definedName name="_2607__FDSAUDITLINK__" hidden="1">{"fdsup://directions/FAT Viewer?action=UPDATE&amp;creator=factset&amp;DYN_ARGS=TRUE&amp;DOC_NAME=FAT:FQL_AUDITING_CLIENT_TEMPLATE.FAT&amp;display_string=Audit&amp;VAR:KEY=TYZAXQFKXW&amp;VAR:QUERY=UkdGX1RBWF9SQVRFKEFOTiwwLCwsLCwsTk9BVURJVCk=&amp;WINDOW=FIRST_POPUP&amp;HEIGHT=450&amp;WIDTH=450&amp;","START_MAXIMIZED=FALSE&amp;VAR:CALENDAR=US&amp;VAR:SYMBOL=HPQ&amp;VAR:INDEX=0"}</definedName>
    <definedName name="_2608__FDSAUDITLINK__" localSheetId="3" hidden="1">{"fdsup://directions/FAT Viewer?action=UPDATE&amp;creator=factset&amp;DYN_ARGS=TRUE&amp;DOC_NAME=FAT:FQL_AUDITING_CLIENT_TEMPLATE.FAT&amp;display_string=Audit&amp;VAR:KEY=TYZAXQFKXW&amp;VAR:QUERY=UkdGX1RBWF9SQVRFKEFOTiwwLCwsLCwsTk9BVURJVCk=&amp;WINDOW=FIRST_POPUP&amp;HEIGHT=450&amp;WIDTH=450&amp;","START_MAXIMIZED=FALSE&amp;VAR:CALENDAR=US&amp;VAR:SYMBOL=HPQ&amp;VAR:INDEX=0"}</definedName>
    <definedName name="_2608__FDSAUDITLINK__" localSheetId="7" hidden="1">{"fdsup://directions/FAT Viewer?action=UPDATE&amp;creator=factset&amp;DYN_ARGS=TRUE&amp;DOC_NAME=FAT:FQL_AUDITING_CLIENT_TEMPLATE.FAT&amp;display_string=Audit&amp;VAR:KEY=TYZAXQFKXW&amp;VAR:QUERY=UkdGX1RBWF9SQVRFKEFOTiwwLCwsLCwsTk9BVURJVCk=&amp;WINDOW=FIRST_POPUP&amp;HEIGHT=450&amp;WIDTH=450&amp;","START_MAXIMIZED=FALSE&amp;VAR:CALENDAR=US&amp;VAR:SYMBOL=HPQ&amp;VAR:INDEX=0"}</definedName>
    <definedName name="_2608__FDSAUDITLINK__" hidden="1">{"fdsup://directions/FAT Viewer?action=UPDATE&amp;creator=factset&amp;DYN_ARGS=TRUE&amp;DOC_NAME=FAT:FQL_AUDITING_CLIENT_TEMPLATE.FAT&amp;display_string=Audit&amp;VAR:KEY=TYZAXQFKXW&amp;VAR:QUERY=UkdGX1RBWF9SQVRFKEFOTiwwLCwsLCwsTk9BVURJVCk=&amp;WINDOW=FIRST_POPUP&amp;HEIGHT=450&amp;WIDTH=450&amp;","START_MAXIMIZED=FALSE&amp;VAR:CALENDAR=US&amp;VAR:SYMBOL=HPQ&amp;VAR:INDEX=0"}</definedName>
    <definedName name="_2609__FDSAUDITLINK__" localSheetId="3" hidden="1">{"fdsup://directions/FAT Viewer?action=UPDATE&amp;creator=factset&amp;DYN_ARGS=TRUE&amp;DOC_NAME=FAT:FQL_AUDITING_CLIENT_TEMPLATE.FAT&amp;display_string=Audit&amp;VAR:KEY=JUJYLOROZA&amp;VAR:QUERY=UkdGX1RBWF9SQVRFKEFOTiwwLCwsLCwsTk9BVURJVCk=&amp;WINDOW=FIRST_POPUP&amp;HEIGHT=450&amp;WIDTH=450&amp;","START_MAXIMIZED=FALSE&amp;VAR:CALENDAR=US&amp;VAR:SYMBOL=HPOL&amp;VAR:INDEX=0"}</definedName>
    <definedName name="_2609__FDSAUDITLINK__" localSheetId="7" hidden="1">{"fdsup://directions/FAT Viewer?action=UPDATE&amp;creator=factset&amp;DYN_ARGS=TRUE&amp;DOC_NAME=FAT:FQL_AUDITING_CLIENT_TEMPLATE.FAT&amp;display_string=Audit&amp;VAR:KEY=JUJYLOROZA&amp;VAR:QUERY=UkdGX1RBWF9SQVRFKEFOTiwwLCwsLCwsTk9BVURJVCk=&amp;WINDOW=FIRST_POPUP&amp;HEIGHT=450&amp;WIDTH=450&amp;","START_MAXIMIZED=FALSE&amp;VAR:CALENDAR=US&amp;VAR:SYMBOL=HPOL&amp;VAR:INDEX=0"}</definedName>
    <definedName name="_2609__FDSAUDITLINK__" hidden="1">{"fdsup://directions/FAT Viewer?action=UPDATE&amp;creator=factset&amp;DYN_ARGS=TRUE&amp;DOC_NAME=FAT:FQL_AUDITING_CLIENT_TEMPLATE.FAT&amp;display_string=Audit&amp;VAR:KEY=JUJYLOROZA&amp;VAR:QUERY=UkdGX1RBWF9SQVRFKEFOTiwwLCwsLCwsTk9BVURJVCk=&amp;WINDOW=FIRST_POPUP&amp;HEIGHT=450&amp;WIDTH=450&amp;","START_MAXIMIZED=FALSE&amp;VAR:CALENDAR=US&amp;VAR:SYMBOL=HPOL&amp;VAR:INDEX=0"}</definedName>
    <definedName name="_261__FDSAUDITLINK__" localSheetId="3" hidden="1">{"fdsup://directions/FAT Viewer?action=UPDATE&amp;creator=factset&amp;DYN_ARGS=TRUE&amp;DOC_NAME=FAT:FQL_AUDITING_CLIENT_TEMPLATE.FAT&amp;display_string=Audit&amp;VAR:KEY=NUJUHILOVM&amp;VAR:QUERY=RkZfRkNGX1lMRChBTk4sMCwtOSxZLFJQLExPQ0FMLE0p&amp;WINDOW=FIRST_POPUP&amp;HEIGHT=450&amp;WIDTH=450&amp;","START_MAXIMIZED=FALSE&amp;VAR:CALENDAR=US&amp;VAR:SYMBOL=B10LQP&amp;VAR:INDEX=4"}</definedName>
    <definedName name="_261__FDSAUDITLINK__" localSheetId="7" hidden="1">{"fdsup://directions/FAT Viewer?action=UPDATE&amp;creator=factset&amp;DYN_ARGS=TRUE&amp;DOC_NAME=FAT:FQL_AUDITING_CLIENT_TEMPLATE.FAT&amp;display_string=Audit&amp;VAR:KEY=NUJUHILOVM&amp;VAR:QUERY=RkZfRkNGX1lMRChBTk4sMCwtOSxZLFJQLExPQ0FMLE0p&amp;WINDOW=FIRST_POPUP&amp;HEIGHT=450&amp;WIDTH=450&amp;","START_MAXIMIZED=FALSE&amp;VAR:CALENDAR=US&amp;VAR:SYMBOL=B10LQP&amp;VAR:INDEX=4"}</definedName>
    <definedName name="_261__FDSAUDITLINK__" hidden="1">{"fdsup://directions/FAT Viewer?action=UPDATE&amp;creator=factset&amp;DYN_ARGS=TRUE&amp;DOC_NAME=FAT:FQL_AUDITING_CLIENT_TEMPLATE.FAT&amp;display_string=Audit&amp;VAR:KEY=NUJUHILOVM&amp;VAR:QUERY=RkZfRkNGX1lMRChBTk4sMCwtOSxZLFJQLExPQ0FMLE0p&amp;WINDOW=FIRST_POPUP&amp;HEIGHT=450&amp;WIDTH=450&amp;","START_MAXIMIZED=FALSE&amp;VAR:CALENDAR=US&amp;VAR:SYMBOL=B10LQP&amp;VAR:INDEX=4"}</definedName>
    <definedName name="_2610__FDSAUDITLINK__" localSheetId="3" hidden="1">{"fdsup://directions/FAT Viewer?action=UPDATE&amp;creator=factset&amp;DYN_ARGS=TRUE&amp;DOC_NAME=FAT:FQL_AUDITING_CLIENT_TEMPLATE.FAT&amp;display_string=Audit&amp;VAR:KEY=LOVIBWHCFC&amp;VAR:QUERY=UkdGX1RBWF9SQVRFKEFOTiwwLCwsLCwsTk9BVURJVCk=&amp;WINDOW=FIRST_POPUP&amp;HEIGHT=450&amp;WIDTH=450&amp;","START_MAXIMIZED=FALSE&amp;VAR:CALENDAR=US&amp;VAR:SYMBOL=GUID&amp;VAR:INDEX=0"}</definedName>
    <definedName name="_2610__FDSAUDITLINK__" localSheetId="7" hidden="1">{"fdsup://directions/FAT Viewer?action=UPDATE&amp;creator=factset&amp;DYN_ARGS=TRUE&amp;DOC_NAME=FAT:FQL_AUDITING_CLIENT_TEMPLATE.FAT&amp;display_string=Audit&amp;VAR:KEY=LOVIBWHCFC&amp;VAR:QUERY=UkdGX1RBWF9SQVRFKEFOTiwwLCwsLCwsTk9BVURJVCk=&amp;WINDOW=FIRST_POPUP&amp;HEIGHT=450&amp;WIDTH=450&amp;","START_MAXIMIZED=FALSE&amp;VAR:CALENDAR=US&amp;VAR:SYMBOL=GUID&amp;VAR:INDEX=0"}</definedName>
    <definedName name="_2610__FDSAUDITLINK__" hidden="1">{"fdsup://directions/FAT Viewer?action=UPDATE&amp;creator=factset&amp;DYN_ARGS=TRUE&amp;DOC_NAME=FAT:FQL_AUDITING_CLIENT_TEMPLATE.FAT&amp;display_string=Audit&amp;VAR:KEY=LOVIBWHCFC&amp;VAR:QUERY=UkdGX1RBWF9SQVRFKEFOTiwwLCwsLCwsTk9BVURJVCk=&amp;WINDOW=FIRST_POPUP&amp;HEIGHT=450&amp;WIDTH=450&amp;","START_MAXIMIZED=FALSE&amp;VAR:CALENDAR=US&amp;VAR:SYMBOL=GUID&amp;VAR:INDEX=0"}</definedName>
    <definedName name="_2611__FDSAUDITLINK__" localSheetId="3" hidden="1">{"fdsup://directions/FAT Viewer?action=UPDATE&amp;creator=factset&amp;DYN_ARGS=TRUE&amp;DOC_NAME=FAT:FQL_AUDITING_CLIENT_TEMPLATE.FAT&amp;display_string=Audit&amp;VAR:KEY=ZKLGVKJWJQ&amp;VAR:QUERY=UkdGX1RBWF9SQVRFKEFOTiwwLCwsLCwsTk9BVURJVCk=&amp;WINDOW=FIRST_POPUP&amp;HEIGHT=450&amp;WIDTH=450&amp;","START_MAXIMIZED=FALSE&amp;VAR:CALENDAR=US&amp;VAR:SYMBOL=GOOG&amp;VAR:INDEX=0"}</definedName>
    <definedName name="_2611__FDSAUDITLINK__" localSheetId="7" hidden="1">{"fdsup://directions/FAT Viewer?action=UPDATE&amp;creator=factset&amp;DYN_ARGS=TRUE&amp;DOC_NAME=FAT:FQL_AUDITING_CLIENT_TEMPLATE.FAT&amp;display_string=Audit&amp;VAR:KEY=ZKLGVKJWJQ&amp;VAR:QUERY=UkdGX1RBWF9SQVRFKEFOTiwwLCwsLCwsTk9BVURJVCk=&amp;WINDOW=FIRST_POPUP&amp;HEIGHT=450&amp;WIDTH=450&amp;","START_MAXIMIZED=FALSE&amp;VAR:CALENDAR=US&amp;VAR:SYMBOL=GOOG&amp;VAR:INDEX=0"}</definedName>
    <definedName name="_2611__FDSAUDITLINK__" hidden="1">{"fdsup://directions/FAT Viewer?action=UPDATE&amp;creator=factset&amp;DYN_ARGS=TRUE&amp;DOC_NAME=FAT:FQL_AUDITING_CLIENT_TEMPLATE.FAT&amp;display_string=Audit&amp;VAR:KEY=ZKLGVKJWJQ&amp;VAR:QUERY=UkdGX1RBWF9SQVRFKEFOTiwwLCwsLCwsTk9BVURJVCk=&amp;WINDOW=FIRST_POPUP&amp;HEIGHT=450&amp;WIDTH=450&amp;","START_MAXIMIZED=FALSE&amp;VAR:CALENDAR=US&amp;VAR:SYMBOL=GOOG&amp;VAR:INDEX=0"}</definedName>
    <definedName name="_2612__FDSAUDITLINK__" localSheetId="3" hidden="1">{"fdsup://directions/FAT Viewer?action=UPDATE&amp;creator=factset&amp;DYN_ARGS=TRUE&amp;DOC_NAME=FAT:FQL_AUDITING_CLIENT_TEMPLATE.FAT&amp;display_string=Audit&amp;VAR:KEY=ZKLGVKJWJQ&amp;VAR:QUERY=UkdGX1RBWF9SQVRFKEFOTiwwLCwsLCwsTk9BVURJVCk=&amp;WINDOW=FIRST_POPUP&amp;HEIGHT=450&amp;WIDTH=450&amp;","START_MAXIMIZED=FALSE&amp;VAR:CALENDAR=US&amp;VAR:SYMBOL=GOOG&amp;VAR:INDEX=0"}</definedName>
    <definedName name="_2612__FDSAUDITLINK__" localSheetId="7" hidden="1">{"fdsup://directions/FAT Viewer?action=UPDATE&amp;creator=factset&amp;DYN_ARGS=TRUE&amp;DOC_NAME=FAT:FQL_AUDITING_CLIENT_TEMPLATE.FAT&amp;display_string=Audit&amp;VAR:KEY=ZKLGVKJWJQ&amp;VAR:QUERY=UkdGX1RBWF9SQVRFKEFOTiwwLCwsLCwsTk9BVURJVCk=&amp;WINDOW=FIRST_POPUP&amp;HEIGHT=450&amp;WIDTH=450&amp;","START_MAXIMIZED=FALSE&amp;VAR:CALENDAR=US&amp;VAR:SYMBOL=GOOG&amp;VAR:INDEX=0"}</definedName>
    <definedName name="_2612__FDSAUDITLINK__" hidden="1">{"fdsup://directions/FAT Viewer?action=UPDATE&amp;creator=factset&amp;DYN_ARGS=TRUE&amp;DOC_NAME=FAT:FQL_AUDITING_CLIENT_TEMPLATE.FAT&amp;display_string=Audit&amp;VAR:KEY=ZKLGVKJWJQ&amp;VAR:QUERY=UkdGX1RBWF9SQVRFKEFOTiwwLCwsLCwsTk9BVURJVCk=&amp;WINDOW=FIRST_POPUP&amp;HEIGHT=450&amp;WIDTH=450&amp;","START_MAXIMIZED=FALSE&amp;VAR:CALENDAR=US&amp;VAR:SYMBOL=GOOG&amp;VAR:INDEX=0"}</definedName>
    <definedName name="_2613__FDSAUDITLINK__" localSheetId="3" hidden="1">{"fdsup://directions/FAT Viewer?action=UPDATE&amp;creator=factset&amp;DYN_ARGS=TRUE&amp;DOC_NAME=FAT:FQL_AUDITING_CLIENT_TEMPLATE.FAT&amp;display_string=Audit&amp;VAR:KEY=VUZMNYNKLQ&amp;VAR:QUERY=UkdGX1RBWF9SQVRFKEFOTiwwLCwsLCwsTk9BVURJVCk=&amp;WINDOW=FIRST_POPUP&amp;HEIGHT=450&amp;WIDTH=450&amp;","START_MAXIMIZED=FALSE&amp;VAR:CALENDAR=US&amp;VAR:SYMBOL=IT&amp;VAR:INDEX=0"}</definedName>
    <definedName name="_2613__FDSAUDITLINK__" localSheetId="7" hidden="1">{"fdsup://directions/FAT Viewer?action=UPDATE&amp;creator=factset&amp;DYN_ARGS=TRUE&amp;DOC_NAME=FAT:FQL_AUDITING_CLIENT_TEMPLATE.FAT&amp;display_string=Audit&amp;VAR:KEY=VUZMNYNKLQ&amp;VAR:QUERY=UkdGX1RBWF9SQVRFKEFOTiwwLCwsLCwsTk9BVURJVCk=&amp;WINDOW=FIRST_POPUP&amp;HEIGHT=450&amp;WIDTH=450&amp;","START_MAXIMIZED=FALSE&amp;VAR:CALENDAR=US&amp;VAR:SYMBOL=IT&amp;VAR:INDEX=0"}</definedName>
    <definedName name="_2613__FDSAUDITLINK__" hidden="1">{"fdsup://directions/FAT Viewer?action=UPDATE&amp;creator=factset&amp;DYN_ARGS=TRUE&amp;DOC_NAME=FAT:FQL_AUDITING_CLIENT_TEMPLATE.FAT&amp;display_string=Audit&amp;VAR:KEY=VUZMNYNKLQ&amp;VAR:QUERY=UkdGX1RBWF9SQVRFKEFOTiwwLCwsLCwsTk9BVURJVCk=&amp;WINDOW=FIRST_POPUP&amp;HEIGHT=450&amp;WIDTH=450&amp;","START_MAXIMIZED=FALSE&amp;VAR:CALENDAR=US&amp;VAR:SYMBOL=IT&amp;VAR:INDEX=0"}</definedName>
    <definedName name="_2614__FDSAUDITLINK__" localSheetId="3" hidden="1">{"fdsup://directions/FAT Viewer?action=UPDATE&amp;creator=factset&amp;DYN_ARGS=TRUE&amp;DOC_NAME=FAT:FQL_AUDITING_CLIENT_TEMPLATE.FAT&amp;display_string=Audit&amp;VAR:KEY=VUZMNYNKLQ&amp;VAR:QUERY=UkdGX1RBWF9SQVRFKEFOTiwwLCwsLCwsTk9BVURJVCk=&amp;WINDOW=FIRST_POPUP&amp;HEIGHT=450&amp;WIDTH=450&amp;","START_MAXIMIZED=FALSE&amp;VAR:CALENDAR=US&amp;VAR:SYMBOL=IT&amp;VAR:INDEX=0"}</definedName>
    <definedName name="_2614__FDSAUDITLINK__" localSheetId="7" hidden="1">{"fdsup://directions/FAT Viewer?action=UPDATE&amp;creator=factset&amp;DYN_ARGS=TRUE&amp;DOC_NAME=FAT:FQL_AUDITING_CLIENT_TEMPLATE.FAT&amp;display_string=Audit&amp;VAR:KEY=VUZMNYNKLQ&amp;VAR:QUERY=UkdGX1RBWF9SQVRFKEFOTiwwLCwsLCwsTk9BVURJVCk=&amp;WINDOW=FIRST_POPUP&amp;HEIGHT=450&amp;WIDTH=450&amp;","START_MAXIMIZED=FALSE&amp;VAR:CALENDAR=US&amp;VAR:SYMBOL=IT&amp;VAR:INDEX=0"}</definedName>
    <definedName name="_2614__FDSAUDITLINK__" hidden="1">{"fdsup://directions/FAT Viewer?action=UPDATE&amp;creator=factset&amp;DYN_ARGS=TRUE&amp;DOC_NAME=FAT:FQL_AUDITING_CLIENT_TEMPLATE.FAT&amp;display_string=Audit&amp;VAR:KEY=VUZMNYNKLQ&amp;VAR:QUERY=UkdGX1RBWF9SQVRFKEFOTiwwLCwsLCwsTk9BVURJVCk=&amp;WINDOW=FIRST_POPUP&amp;HEIGHT=450&amp;WIDTH=450&amp;","START_MAXIMIZED=FALSE&amp;VAR:CALENDAR=US&amp;VAR:SYMBOL=IT&amp;VAR:INDEX=0"}</definedName>
    <definedName name="_2615__FDSAUDITLINK__" localSheetId="3" hidden="1">{"fdsup://directions/FAT Viewer?action=UPDATE&amp;creator=factset&amp;DYN_ARGS=TRUE&amp;DOC_NAME=FAT:FQL_AUDITING_CLIENT_TEMPLATE.FAT&amp;display_string=Audit&amp;VAR:KEY=BIXYTMDCXE&amp;VAR:QUERY=UkdGX1RBWF9SQVRFKEFOTiwwLCwsLCwsTk9BVURJVCk=&amp;WINDOW=FIRST_POPUP&amp;HEIGHT=450&amp;WIDTH=450&amp;","START_MAXIMIZED=FALSE&amp;VAR:CALENDAR=US&amp;VAR:SYMBOL=FTNT&amp;VAR:INDEX=0"}</definedName>
    <definedName name="_2615__FDSAUDITLINK__" localSheetId="7" hidden="1">{"fdsup://directions/FAT Viewer?action=UPDATE&amp;creator=factset&amp;DYN_ARGS=TRUE&amp;DOC_NAME=FAT:FQL_AUDITING_CLIENT_TEMPLATE.FAT&amp;display_string=Audit&amp;VAR:KEY=BIXYTMDCXE&amp;VAR:QUERY=UkdGX1RBWF9SQVRFKEFOTiwwLCwsLCwsTk9BVURJVCk=&amp;WINDOW=FIRST_POPUP&amp;HEIGHT=450&amp;WIDTH=450&amp;","START_MAXIMIZED=FALSE&amp;VAR:CALENDAR=US&amp;VAR:SYMBOL=FTNT&amp;VAR:INDEX=0"}</definedName>
    <definedName name="_2615__FDSAUDITLINK__" hidden="1">{"fdsup://directions/FAT Viewer?action=UPDATE&amp;creator=factset&amp;DYN_ARGS=TRUE&amp;DOC_NAME=FAT:FQL_AUDITING_CLIENT_TEMPLATE.FAT&amp;display_string=Audit&amp;VAR:KEY=BIXYTMDCXE&amp;VAR:QUERY=UkdGX1RBWF9SQVRFKEFOTiwwLCwsLCwsTk9BVURJVCk=&amp;WINDOW=FIRST_POPUP&amp;HEIGHT=450&amp;WIDTH=450&amp;","START_MAXIMIZED=FALSE&amp;VAR:CALENDAR=US&amp;VAR:SYMBOL=FTNT&amp;VAR:INDEX=0"}</definedName>
    <definedName name="_2616__FDSAUDITLINK__" localSheetId="3" hidden="1">{"fdsup://directions/FAT Viewer?action=UPDATE&amp;creator=factset&amp;DYN_ARGS=TRUE&amp;DOC_NAME=FAT:FQL_AUDITING_CLIENT_TEMPLATE.FAT&amp;display_string=Audit&amp;VAR:KEY=BIXYTMDCXE&amp;VAR:QUERY=UkdGX1RBWF9SQVRFKEFOTiwwLCwsLCwsTk9BVURJVCk=&amp;WINDOW=FIRST_POPUP&amp;HEIGHT=450&amp;WIDTH=450&amp;","START_MAXIMIZED=FALSE&amp;VAR:CALENDAR=US&amp;VAR:SYMBOL=FTNT&amp;VAR:INDEX=0"}</definedName>
    <definedName name="_2616__FDSAUDITLINK__" localSheetId="7" hidden="1">{"fdsup://directions/FAT Viewer?action=UPDATE&amp;creator=factset&amp;DYN_ARGS=TRUE&amp;DOC_NAME=FAT:FQL_AUDITING_CLIENT_TEMPLATE.FAT&amp;display_string=Audit&amp;VAR:KEY=BIXYTMDCXE&amp;VAR:QUERY=UkdGX1RBWF9SQVRFKEFOTiwwLCwsLCwsTk9BVURJVCk=&amp;WINDOW=FIRST_POPUP&amp;HEIGHT=450&amp;WIDTH=450&amp;","START_MAXIMIZED=FALSE&amp;VAR:CALENDAR=US&amp;VAR:SYMBOL=FTNT&amp;VAR:INDEX=0"}</definedName>
    <definedName name="_2616__FDSAUDITLINK__" hidden="1">{"fdsup://directions/FAT Viewer?action=UPDATE&amp;creator=factset&amp;DYN_ARGS=TRUE&amp;DOC_NAME=FAT:FQL_AUDITING_CLIENT_TEMPLATE.FAT&amp;display_string=Audit&amp;VAR:KEY=BIXYTMDCXE&amp;VAR:QUERY=UkdGX1RBWF9SQVRFKEFOTiwwLCwsLCwsTk9BVURJVCk=&amp;WINDOW=FIRST_POPUP&amp;HEIGHT=450&amp;WIDTH=450&amp;","START_MAXIMIZED=FALSE&amp;VAR:CALENDAR=US&amp;VAR:SYMBOL=FTNT&amp;VAR:INDEX=0"}</definedName>
    <definedName name="_2617__FDSAUDITLINK__" localSheetId="3" hidden="1">{"fdsup://directions/FAT Viewer?action=UPDATE&amp;creator=factset&amp;DYN_ARGS=TRUE&amp;DOC_NAME=FAT:FQL_AUDITING_CLIENT_TEMPLATE.FAT&amp;display_string=Audit&amp;VAR:KEY=JYXKNIHILE&amp;VAR:QUERY=UkdGX1RBWF9SQVRFKEFOTiwwLCwsLCwsTk9BVURJVCk=&amp;WINDOW=FIRST_POPUP&amp;HEIGHT=450&amp;WIDTH=450&amp;","START_MAXIMIZED=FALSE&amp;VAR:CALENDAR=US&amp;VAR:SYMBOL=580685&amp;VAR:INDEX=0"}</definedName>
    <definedName name="_2617__FDSAUDITLINK__" localSheetId="7" hidden="1">{"fdsup://directions/FAT Viewer?action=UPDATE&amp;creator=factset&amp;DYN_ARGS=TRUE&amp;DOC_NAME=FAT:FQL_AUDITING_CLIENT_TEMPLATE.FAT&amp;display_string=Audit&amp;VAR:KEY=JYXKNIHILE&amp;VAR:QUERY=UkdGX1RBWF9SQVRFKEFOTiwwLCwsLCwsTk9BVURJVCk=&amp;WINDOW=FIRST_POPUP&amp;HEIGHT=450&amp;WIDTH=450&amp;","START_MAXIMIZED=FALSE&amp;VAR:CALENDAR=US&amp;VAR:SYMBOL=580685&amp;VAR:INDEX=0"}</definedName>
    <definedName name="_2617__FDSAUDITLINK__" hidden="1">{"fdsup://directions/FAT Viewer?action=UPDATE&amp;creator=factset&amp;DYN_ARGS=TRUE&amp;DOC_NAME=FAT:FQL_AUDITING_CLIENT_TEMPLATE.FAT&amp;display_string=Audit&amp;VAR:KEY=JYXKNIHILE&amp;VAR:QUERY=UkdGX1RBWF9SQVRFKEFOTiwwLCwsLCwsTk9BVURJVCk=&amp;WINDOW=FIRST_POPUP&amp;HEIGHT=450&amp;WIDTH=450&amp;","START_MAXIMIZED=FALSE&amp;VAR:CALENDAR=US&amp;VAR:SYMBOL=580685&amp;VAR:INDEX=0"}</definedName>
    <definedName name="_2618__FDSAUDITLINK__" localSheetId="3" hidden="1">{"fdsup://directions/FAT Viewer?action=UPDATE&amp;creator=factset&amp;DYN_ARGS=TRUE&amp;DOC_NAME=FAT:FQL_AUDITING_CLIENT_TEMPLATE.FAT&amp;display_string=Audit&amp;VAR:KEY=JYXKNIHILE&amp;VAR:QUERY=UkdGX1RBWF9SQVRFKEFOTiwwLCwsLCwsTk9BVURJVCk=&amp;WINDOW=FIRST_POPUP&amp;HEIGHT=450&amp;WIDTH=450&amp;","START_MAXIMIZED=FALSE&amp;VAR:CALENDAR=US&amp;VAR:SYMBOL=580685&amp;VAR:INDEX=0"}</definedName>
    <definedName name="_2618__FDSAUDITLINK__" localSheetId="7" hidden="1">{"fdsup://directions/FAT Viewer?action=UPDATE&amp;creator=factset&amp;DYN_ARGS=TRUE&amp;DOC_NAME=FAT:FQL_AUDITING_CLIENT_TEMPLATE.FAT&amp;display_string=Audit&amp;VAR:KEY=JYXKNIHILE&amp;VAR:QUERY=UkdGX1RBWF9SQVRFKEFOTiwwLCwsLCwsTk9BVURJVCk=&amp;WINDOW=FIRST_POPUP&amp;HEIGHT=450&amp;WIDTH=450&amp;","START_MAXIMIZED=FALSE&amp;VAR:CALENDAR=US&amp;VAR:SYMBOL=580685&amp;VAR:INDEX=0"}</definedName>
    <definedName name="_2618__FDSAUDITLINK__" hidden="1">{"fdsup://directions/FAT Viewer?action=UPDATE&amp;creator=factset&amp;DYN_ARGS=TRUE&amp;DOC_NAME=FAT:FQL_AUDITING_CLIENT_TEMPLATE.FAT&amp;display_string=Audit&amp;VAR:KEY=JYXKNIHILE&amp;VAR:QUERY=UkdGX1RBWF9SQVRFKEFOTiwwLCwsLCwsTk9BVURJVCk=&amp;WINDOW=FIRST_POPUP&amp;HEIGHT=450&amp;WIDTH=450&amp;","START_MAXIMIZED=FALSE&amp;VAR:CALENDAR=US&amp;VAR:SYMBOL=580685&amp;VAR:INDEX=0"}</definedName>
    <definedName name="_2619__FDSAUDITLINK__" localSheetId="3" hidden="1">{"fdsup://directions/FAT Viewer?action=UPDATE&amp;creator=factset&amp;DYN_ARGS=TRUE&amp;DOC_NAME=FAT:FQL_AUDITING_CLIENT_TEMPLATE.FAT&amp;display_string=Audit&amp;VAR:KEY=DSXWLKXYVM&amp;VAR:QUERY=UkdGX1RBWF9SQVRFKEFOTiwwLCwsLCwsTk9BVURJVCk=&amp;WINDOW=FIRST_POPUP&amp;HEIGHT=450&amp;WIDTH=450&amp;","START_MAXIMIZED=FALSE&amp;VAR:CALENDAR=US&amp;VAR:SYMBOL=FORR&amp;VAR:INDEX=0"}</definedName>
    <definedName name="_2619__FDSAUDITLINK__" localSheetId="7" hidden="1">{"fdsup://directions/FAT Viewer?action=UPDATE&amp;creator=factset&amp;DYN_ARGS=TRUE&amp;DOC_NAME=FAT:FQL_AUDITING_CLIENT_TEMPLATE.FAT&amp;display_string=Audit&amp;VAR:KEY=DSXWLKXYVM&amp;VAR:QUERY=UkdGX1RBWF9SQVRFKEFOTiwwLCwsLCwsTk9BVURJVCk=&amp;WINDOW=FIRST_POPUP&amp;HEIGHT=450&amp;WIDTH=450&amp;","START_MAXIMIZED=FALSE&amp;VAR:CALENDAR=US&amp;VAR:SYMBOL=FORR&amp;VAR:INDEX=0"}</definedName>
    <definedName name="_2619__FDSAUDITLINK__" hidden="1">{"fdsup://directions/FAT Viewer?action=UPDATE&amp;creator=factset&amp;DYN_ARGS=TRUE&amp;DOC_NAME=FAT:FQL_AUDITING_CLIENT_TEMPLATE.FAT&amp;display_string=Audit&amp;VAR:KEY=DSXWLKXYVM&amp;VAR:QUERY=UkdGX1RBWF9SQVRFKEFOTiwwLCwsLCwsTk9BVURJVCk=&amp;WINDOW=FIRST_POPUP&amp;HEIGHT=450&amp;WIDTH=450&amp;","START_MAXIMIZED=FALSE&amp;VAR:CALENDAR=US&amp;VAR:SYMBOL=FORR&amp;VAR:INDEX=0"}</definedName>
    <definedName name="_262__FDSAUDITLINK__" localSheetId="3" hidden="1">{"fdsup://directions/FAT Viewer?action=UPDATE&amp;creator=factset&amp;DYN_ARGS=TRUE&amp;DOC_NAME=FAT:FQL_AUDITING_CLIENT_TEMPLATE.FAT&amp;display_string=Audit&amp;VAR:KEY=GDAXAPELKN&amp;VAR:QUERY=RkZfRUJJVERBX09QRVIoTFRNLDAsLCwsLE0p&amp;WINDOW=FIRST_POPUP&amp;HEIGHT=450&amp;WIDTH=450&amp;START_MA","XIMIZED=FALSE&amp;VAR:CALENDAR=US&amp;VAR:SYMBOL=B07C76&amp;VAR:INDEX=0"}</definedName>
    <definedName name="_262__FDSAUDITLINK__" localSheetId="7" hidden="1">{"fdsup://directions/FAT Viewer?action=UPDATE&amp;creator=factset&amp;DYN_ARGS=TRUE&amp;DOC_NAME=FAT:FQL_AUDITING_CLIENT_TEMPLATE.FAT&amp;display_string=Audit&amp;VAR:KEY=GDAXAPELKN&amp;VAR:QUERY=RkZfRUJJVERBX09QRVIoTFRNLDAsLCwsLE0p&amp;WINDOW=FIRST_POPUP&amp;HEIGHT=450&amp;WIDTH=450&amp;START_MA","XIMIZED=FALSE&amp;VAR:CALENDAR=US&amp;VAR:SYMBOL=B07C76&amp;VAR:INDEX=0"}</definedName>
    <definedName name="_262__FDSAUDITLINK__" hidden="1">{"fdsup://directions/FAT Viewer?action=UPDATE&amp;creator=factset&amp;DYN_ARGS=TRUE&amp;DOC_NAME=FAT:FQL_AUDITING_CLIENT_TEMPLATE.FAT&amp;display_string=Audit&amp;VAR:KEY=GDAXAPELKN&amp;VAR:QUERY=RkZfRUJJVERBX09QRVIoTFRNLDAsLCwsLE0p&amp;WINDOW=FIRST_POPUP&amp;HEIGHT=450&amp;WIDTH=450&amp;START_MA","XIMIZED=FALSE&amp;VAR:CALENDAR=US&amp;VAR:SYMBOL=B07C76&amp;VAR:INDEX=0"}</definedName>
    <definedName name="_2620__FDSAUDITLINK__" localSheetId="3" hidden="1">{"fdsup://directions/FAT Viewer?action=UPDATE&amp;creator=factset&amp;DYN_ARGS=TRUE&amp;DOC_NAME=FAT:FQL_AUDITING_CLIENT_TEMPLATE.FAT&amp;display_string=Audit&amp;VAR:KEY=DSXWLKXYVM&amp;VAR:QUERY=UkdGX1RBWF9SQVRFKEFOTiwwLCwsLCwsTk9BVURJVCk=&amp;WINDOW=FIRST_POPUP&amp;HEIGHT=450&amp;WIDTH=450&amp;","START_MAXIMIZED=FALSE&amp;VAR:CALENDAR=US&amp;VAR:SYMBOL=FORR&amp;VAR:INDEX=0"}</definedName>
    <definedName name="_2620__FDSAUDITLINK__" localSheetId="7" hidden="1">{"fdsup://directions/FAT Viewer?action=UPDATE&amp;creator=factset&amp;DYN_ARGS=TRUE&amp;DOC_NAME=FAT:FQL_AUDITING_CLIENT_TEMPLATE.FAT&amp;display_string=Audit&amp;VAR:KEY=DSXWLKXYVM&amp;VAR:QUERY=UkdGX1RBWF9SQVRFKEFOTiwwLCwsLCwsTk9BVURJVCk=&amp;WINDOW=FIRST_POPUP&amp;HEIGHT=450&amp;WIDTH=450&amp;","START_MAXIMIZED=FALSE&amp;VAR:CALENDAR=US&amp;VAR:SYMBOL=FORR&amp;VAR:INDEX=0"}</definedName>
    <definedName name="_2620__FDSAUDITLINK__" hidden="1">{"fdsup://directions/FAT Viewer?action=UPDATE&amp;creator=factset&amp;DYN_ARGS=TRUE&amp;DOC_NAME=FAT:FQL_AUDITING_CLIENT_TEMPLATE.FAT&amp;display_string=Audit&amp;VAR:KEY=DSXWLKXYVM&amp;VAR:QUERY=UkdGX1RBWF9SQVRFKEFOTiwwLCwsLCwsTk9BVURJVCk=&amp;WINDOW=FIRST_POPUP&amp;HEIGHT=450&amp;WIDTH=450&amp;","START_MAXIMIZED=FALSE&amp;VAR:CALENDAR=US&amp;VAR:SYMBOL=FORR&amp;VAR:INDEX=0"}</definedName>
    <definedName name="_2621__FDSAUDITLINK__" localSheetId="3" hidden="1">{"fdsup://directions/FAT Viewer?action=UPDATE&amp;creator=factset&amp;DYN_ARGS=TRUE&amp;DOC_NAME=FAT:FQL_AUDITING_CLIENT_TEMPLATE.FAT&amp;display_string=Audit&amp;VAR:KEY=JGBSDCNWVQ&amp;VAR:QUERY=UkdGX1RBWF9SQVRFKEFOTiwwLCwsLCwsTk9BVURJVCk=&amp;WINDOW=FIRST_POPUP&amp;HEIGHT=450&amp;WIDTH=450&amp;","START_MAXIMIZED=FALSE&amp;VAR:CALENDAR=US&amp;VAR:SYMBOL=FISV&amp;VAR:INDEX=0"}</definedName>
    <definedName name="_2621__FDSAUDITLINK__" localSheetId="7" hidden="1">{"fdsup://directions/FAT Viewer?action=UPDATE&amp;creator=factset&amp;DYN_ARGS=TRUE&amp;DOC_NAME=FAT:FQL_AUDITING_CLIENT_TEMPLATE.FAT&amp;display_string=Audit&amp;VAR:KEY=JGBSDCNWVQ&amp;VAR:QUERY=UkdGX1RBWF9SQVRFKEFOTiwwLCwsLCwsTk9BVURJVCk=&amp;WINDOW=FIRST_POPUP&amp;HEIGHT=450&amp;WIDTH=450&amp;","START_MAXIMIZED=FALSE&amp;VAR:CALENDAR=US&amp;VAR:SYMBOL=FISV&amp;VAR:INDEX=0"}</definedName>
    <definedName name="_2621__FDSAUDITLINK__" hidden="1">{"fdsup://directions/FAT Viewer?action=UPDATE&amp;creator=factset&amp;DYN_ARGS=TRUE&amp;DOC_NAME=FAT:FQL_AUDITING_CLIENT_TEMPLATE.FAT&amp;display_string=Audit&amp;VAR:KEY=JGBSDCNWVQ&amp;VAR:QUERY=UkdGX1RBWF9SQVRFKEFOTiwwLCwsLCwsTk9BVURJVCk=&amp;WINDOW=FIRST_POPUP&amp;HEIGHT=450&amp;WIDTH=450&amp;","START_MAXIMIZED=FALSE&amp;VAR:CALENDAR=US&amp;VAR:SYMBOL=FISV&amp;VAR:INDEX=0"}</definedName>
    <definedName name="_2622__FDSAUDITLINK__" localSheetId="3" hidden="1">{"fdsup://directions/FAT Viewer?action=UPDATE&amp;creator=factset&amp;DYN_ARGS=TRUE&amp;DOC_NAME=FAT:FQL_AUDITING_CLIENT_TEMPLATE.FAT&amp;display_string=Audit&amp;VAR:KEY=JGBSDCNWVQ&amp;VAR:QUERY=UkdGX1RBWF9SQVRFKEFOTiwwLCwsLCwsTk9BVURJVCk=&amp;WINDOW=FIRST_POPUP&amp;HEIGHT=450&amp;WIDTH=450&amp;","START_MAXIMIZED=FALSE&amp;VAR:CALENDAR=US&amp;VAR:SYMBOL=FISV&amp;VAR:INDEX=0"}</definedName>
    <definedName name="_2622__FDSAUDITLINK__" localSheetId="7" hidden="1">{"fdsup://directions/FAT Viewer?action=UPDATE&amp;creator=factset&amp;DYN_ARGS=TRUE&amp;DOC_NAME=FAT:FQL_AUDITING_CLIENT_TEMPLATE.FAT&amp;display_string=Audit&amp;VAR:KEY=JGBSDCNWVQ&amp;VAR:QUERY=UkdGX1RBWF9SQVRFKEFOTiwwLCwsLCwsTk9BVURJVCk=&amp;WINDOW=FIRST_POPUP&amp;HEIGHT=450&amp;WIDTH=450&amp;","START_MAXIMIZED=FALSE&amp;VAR:CALENDAR=US&amp;VAR:SYMBOL=FISV&amp;VAR:INDEX=0"}</definedName>
    <definedName name="_2622__FDSAUDITLINK__" hidden="1">{"fdsup://directions/FAT Viewer?action=UPDATE&amp;creator=factset&amp;DYN_ARGS=TRUE&amp;DOC_NAME=FAT:FQL_AUDITING_CLIENT_TEMPLATE.FAT&amp;display_string=Audit&amp;VAR:KEY=JGBSDCNWVQ&amp;VAR:QUERY=UkdGX1RBWF9SQVRFKEFOTiwwLCwsLCwsTk9BVURJVCk=&amp;WINDOW=FIRST_POPUP&amp;HEIGHT=450&amp;WIDTH=450&amp;","START_MAXIMIZED=FALSE&amp;VAR:CALENDAR=US&amp;VAR:SYMBOL=FISV&amp;VAR:INDEX=0"}</definedName>
    <definedName name="_2623__FDSAUDITLINK__" localSheetId="3" hidden="1">{"fdsup://directions/FAT Viewer?action=UPDATE&amp;creator=factset&amp;DYN_ARGS=TRUE&amp;DOC_NAME=FAT:FQL_AUDITING_CLIENT_TEMPLATE.FAT&amp;display_string=Audit&amp;VAR:KEY=JQFOHGZCNO&amp;VAR:QUERY=UkdGX1RBWF9SQVRFKEFOTiwwLCwsLCwsTk9BVURJVCk=&amp;WINDOW=FIRST_POPUP&amp;HEIGHT=450&amp;WIDTH=450&amp;","START_MAXIMIZED=FALSE&amp;VAR:CALENDAR=US&amp;VAR:SYMBOL=FALC&amp;VAR:INDEX=0"}</definedName>
    <definedName name="_2623__FDSAUDITLINK__" localSheetId="7" hidden="1">{"fdsup://directions/FAT Viewer?action=UPDATE&amp;creator=factset&amp;DYN_ARGS=TRUE&amp;DOC_NAME=FAT:FQL_AUDITING_CLIENT_TEMPLATE.FAT&amp;display_string=Audit&amp;VAR:KEY=JQFOHGZCNO&amp;VAR:QUERY=UkdGX1RBWF9SQVRFKEFOTiwwLCwsLCwsTk9BVURJVCk=&amp;WINDOW=FIRST_POPUP&amp;HEIGHT=450&amp;WIDTH=450&amp;","START_MAXIMIZED=FALSE&amp;VAR:CALENDAR=US&amp;VAR:SYMBOL=FALC&amp;VAR:INDEX=0"}</definedName>
    <definedName name="_2623__FDSAUDITLINK__" hidden="1">{"fdsup://directions/FAT Viewer?action=UPDATE&amp;creator=factset&amp;DYN_ARGS=TRUE&amp;DOC_NAME=FAT:FQL_AUDITING_CLIENT_TEMPLATE.FAT&amp;display_string=Audit&amp;VAR:KEY=JQFOHGZCNO&amp;VAR:QUERY=UkdGX1RBWF9SQVRFKEFOTiwwLCwsLCwsTk9BVURJVCk=&amp;WINDOW=FIRST_POPUP&amp;HEIGHT=450&amp;WIDTH=450&amp;","START_MAXIMIZED=FALSE&amp;VAR:CALENDAR=US&amp;VAR:SYMBOL=FALC&amp;VAR:INDEX=0"}</definedName>
    <definedName name="_2624__FDSAUDITLINK__" localSheetId="3" hidden="1">{"fdsup://directions/FAT Viewer?action=UPDATE&amp;creator=factset&amp;DYN_ARGS=TRUE&amp;DOC_NAME=FAT:FQL_AUDITING_CLIENT_TEMPLATE.FAT&amp;display_string=Audit&amp;VAR:KEY=LWZINKLIPS&amp;VAR:QUERY=UkdGX1RBWF9SQVRFKEFOTiwwLCwsLCwsTk9BVURJVCk=&amp;WINDOW=FIRST_POPUP&amp;HEIGHT=450&amp;WIDTH=450&amp;","START_MAXIMIZED=FALSE&amp;VAR:CALENDAR=US&amp;VAR:SYMBOL=FICO&amp;VAR:INDEX=0"}</definedName>
    <definedName name="_2624__FDSAUDITLINK__" localSheetId="7" hidden="1">{"fdsup://directions/FAT Viewer?action=UPDATE&amp;creator=factset&amp;DYN_ARGS=TRUE&amp;DOC_NAME=FAT:FQL_AUDITING_CLIENT_TEMPLATE.FAT&amp;display_string=Audit&amp;VAR:KEY=LWZINKLIPS&amp;VAR:QUERY=UkdGX1RBWF9SQVRFKEFOTiwwLCwsLCwsTk9BVURJVCk=&amp;WINDOW=FIRST_POPUP&amp;HEIGHT=450&amp;WIDTH=450&amp;","START_MAXIMIZED=FALSE&amp;VAR:CALENDAR=US&amp;VAR:SYMBOL=FICO&amp;VAR:INDEX=0"}</definedName>
    <definedName name="_2624__FDSAUDITLINK__" hidden="1">{"fdsup://directions/FAT Viewer?action=UPDATE&amp;creator=factset&amp;DYN_ARGS=TRUE&amp;DOC_NAME=FAT:FQL_AUDITING_CLIENT_TEMPLATE.FAT&amp;display_string=Audit&amp;VAR:KEY=LWZINKLIPS&amp;VAR:QUERY=UkdGX1RBWF9SQVRFKEFOTiwwLCwsLCwsTk9BVURJVCk=&amp;WINDOW=FIRST_POPUP&amp;HEIGHT=450&amp;WIDTH=450&amp;","START_MAXIMIZED=FALSE&amp;VAR:CALENDAR=US&amp;VAR:SYMBOL=FICO&amp;VAR:INDEX=0"}</definedName>
    <definedName name="_2625__FDSAUDITLINK__" localSheetId="3" hidden="1">{"fdsup://directions/FAT Viewer?action=UPDATE&amp;creator=factset&amp;DYN_ARGS=TRUE&amp;DOC_NAME=FAT:FQL_AUDITING_CLIENT_TEMPLATE.FAT&amp;display_string=Audit&amp;VAR:KEY=LWZINKLIPS&amp;VAR:QUERY=UkdGX1RBWF9SQVRFKEFOTiwwLCwsLCwsTk9BVURJVCk=&amp;WINDOW=FIRST_POPUP&amp;HEIGHT=450&amp;WIDTH=450&amp;","START_MAXIMIZED=FALSE&amp;VAR:CALENDAR=US&amp;VAR:SYMBOL=FICO&amp;VAR:INDEX=0"}</definedName>
    <definedName name="_2625__FDSAUDITLINK__" localSheetId="7" hidden="1">{"fdsup://directions/FAT Viewer?action=UPDATE&amp;creator=factset&amp;DYN_ARGS=TRUE&amp;DOC_NAME=FAT:FQL_AUDITING_CLIENT_TEMPLATE.FAT&amp;display_string=Audit&amp;VAR:KEY=LWZINKLIPS&amp;VAR:QUERY=UkdGX1RBWF9SQVRFKEFOTiwwLCwsLCwsTk9BVURJVCk=&amp;WINDOW=FIRST_POPUP&amp;HEIGHT=450&amp;WIDTH=450&amp;","START_MAXIMIZED=FALSE&amp;VAR:CALENDAR=US&amp;VAR:SYMBOL=FICO&amp;VAR:INDEX=0"}</definedName>
    <definedName name="_2625__FDSAUDITLINK__" hidden="1">{"fdsup://directions/FAT Viewer?action=UPDATE&amp;creator=factset&amp;DYN_ARGS=TRUE&amp;DOC_NAME=FAT:FQL_AUDITING_CLIENT_TEMPLATE.FAT&amp;display_string=Audit&amp;VAR:KEY=LWZINKLIPS&amp;VAR:QUERY=UkdGX1RBWF9SQVRFKEFOTiwwLCwsLCwsTk9BVURJVCk=&amp;WINDOW=FIRST_POPUP&amp;HEIGHT=450&amp;WIDTH=450&amp;","START_MAXIMIZED=FALSE&amp;VAR:CALENDAR=US&amp;VAR:SYMBOL=FICO&amp;VAR:INDEX=0"}</definedName>
    <definedName name="_2626__FDSAUDITLINK__" localSheetId="3" hidden="1">{"fdsup://directions/FAT Viewer?action=UPDATE&amp;creator=factset&amp;DYN_ARGS=TRUE&amp;DOC_NAME=FAT:FQL_AUDITING_CLIENT_TEMPLATE.FAT&amp;display_string=Audit&amp;VAR:KEY=DUXUTCLCVA&amp;VAR:QUERY=UkdGX1RBWF9SQVRFKEFOTiwwLCwsLCwsTk9BVURJVCk=&amp;WINDOW=FIRST_POPUP&amp;HEIGHT=450&amp;WIDTH=450&amp;","START_MAXIMIZED=FALSE&amp;VAR:CALENDAR=US&amp;VAR:SYMBOL=FFIV&amp;VAR:INDEX=0"}</definedName>
    <definedName name="_2626__FDSAUDITLINK__" localSheetId="7" hidden="1">{"fdsup://directions/FAT Viewer?action=UPDATE&amp;creator=factset&amp;DYN_ARGS=TRUE&amp;DOC_NAME=FAT:FQL_AUDITING_CLIENT_TEMPLATE.FAT&amp;display_string=Audit&amp;VAR:KEY=DUXUTCLCVA&amp;VAR:QUERY=UkdGX1RBWF9SQVRFKEFOTiwwLCwsLCwsTk9BVURJVCk=&amp;WINDOW=FIRST_POPUP&amp;HEIGHT=450&amp;WIDTH=450&amp;","START_MAXIMIZED=FALSE&amp;VAR:CALENDAR=US&amp;VAR:SYMBOL=FFIV&amp;VAR:INDEX=0"}</definedName>
    <definedName name="_2626__FDSAUDITLINK__" hidden="1">{"fdsup://directions/FAT Viewer?action=UPDATE&amp;creator=factset&amp;DYN_ARGS=TRUE&amp;DOC_NAME=FAT:FQL_AUDITING_CLIENT_TEMPLATE.FAT&amp;display_string=Audit&amp;VAR:KEY=DUXUTCLCVA&amp;VAR:QUERY=UkdGX1RBWF9SQVRFKEFOTiwwLCwsLCwsTk9BVURJVCk=&amp;WINDOW=FIRST_POPUP&amp;HEIGHT=450&amp;WIDTH=450&amp;","START_MAXIMIZED=FALSE&amp;VAR:CALENDAR=US&amp;VAR:SYMBOL=FFIV&amp;VAR:INDEX=0"}</definedName>
    <definedName name="_2627__FDSAUDITLINK__" localSheetId="3" hidden="1">{"fdsup://directions/FAT Viewer?action=UPDATE&amp;creator=factset&amp;DYN_ARGS=TRUE&amp;DOC_NAME=FAT:FQL_AUDITING_CLIENT_TEMPLATE.FAT&amp;display_string=Audit&amp;VAR:KEY=DUXUTCLCVA&amp;VAR:QUERY=UkdGX1RBWF9SQVRFKEFOTiwwLCwsLCwsTk9BVURJVCk=&amp;WINDOW=FIRST_POPUP&amp;HEIGHT=450&amp;WIDTH=450&amp;","START_MAXIMIZED=FALSE&amp;VAR:CALENDAR=US&amp;VAR:SYMBOL=FFIV&amp;VAR:INDEX=0"}</definedName>
    <definedName name="_2627__FDSAUDITLINK__" localSheetId="7" hidden="1">{"fdsup://directions/FAT Viewer?action=UPDATE&amp;creator=factset&amp;DYN_ARGS=TRUE&amp;DOC_NAME=FAT:FQL_AUDITING_CLIENT_TEMPLATE.FAT&amp;display_string=Audit&amp;VAR:KEY=DUXUTCLCVA&amp;VAR:QUERY=UkdGX1RBWF9SQVRFKEFOTiwwLCwsLCwsTk9BVURJVCk=&amp;WINDOW=FIRST_POPUP&amp;HEIGHT=450&amp;WIDTH=450&amp;","START_MAXIMIZED=FALSE&amp;VAR:CALENDAR=US&amp;VAR:SYMBOL=FFIV&amp;VAR:INDEX=0"}</definedName>
    <definedName name="_2627__FDSAUDITLINK__" hidden="1">{"fdsup://directions/FAT Viewer?action=UPDATE&amp;creator=factset&amp;DYN_ARGS=TRUE&amp;DOC_NAME=FAT:FQL_AUDITING_CLIENT_TEMPLATE.FAT&amp;display_string=Audit&amp;VAR:KEY=DUXUTCLCVA&amp;VAR:QUERY=UkdGX1RBWF9SQVRFKEFOTiwwLCwsLCwsTk9BVURJVCk=&amp;WINDOW=FIRST_POPUP&amp;HEIGHT=450&amp;WIDTH=450&amp;","START_MAXIMIZED=FALSE&amp;VAR:CALENDAR=US&amp;VAR:SYMBOL=FFIV&amp;VAR:INDEX=0"}</definedName>
    <definedName name="_2628__FDSAUDITLINK__" localSheetId="3" hidden="1">{"fdsup://directions/FAT Viewer?action=UPDATE&amp;creator=factset&amp;DYN_ARGS=TRUE&amp;DOC_NAME=FAT:FQL_AUDITING_CLIENT_TEMPLATE.FAT&amp;display_string=Audit&amp;VAR:KEY=TCFSHYRUHC&amp;VAR:QUERY=UkdGX1RBWF9SQVRFKEFOTiwwLCwsLCwsTk9BVURJVCk=&amp;WINDOW=FIRST_POPUP&amp;HEIGHT=450&amp;WIDTH=450&amp;","START_MAXIMIZED=FALSE&amp;VAR:CALENDAR=US&amp;VAR:SYMBOL=B19NLV&amp;VAR:INDEX=0"}</definedName>
    <definedName name="_2628__FDSAUDITLINK__" localSheetId="7" hidden="1">{"fdsup://directions/FAT Viewer?action=UPDATE&amp;creator=factset&amp;DYN_ARGS=TRUE&amp;DOC_NAME=FAT:FQL_AUDITING_CLIENT_TEMPLATE.FAT&amp;display_string=Audit&amp;VAR:KEY=TCFSHYRUHC&amp;VAR:QUERY=UkdGX1RBWF9SQVRFKEFOTiwwLCwsLCwsTk9BVURJVCk=&amp;WINDOW=FIRST_POPUP&amp;HEIGHT=450&amp;WIDTH=450&amp;","START_MAXIMIZED=FALSE&amp;VAR:CALENDAR=US&amp;VAR:SYMBOL=B19NLV&amp;VAR:INDEX=0"}</definedName>
    <definedName name="_2628__FDSAUDITLINK__" hidden="1">{"fdsup://directions/FAT Viewer?action=UPDATE&amp;creator=factset&amp;DYN_ARGS=TRUE&amp;DOC_NAME=FAT:FQL_AUDITING_CLIENT_TEMPLATE.FAT&amp;display_string=Audit&amp;VAR:KEY=TCFSHYRUHC&amp;VAR:QUERY=UkdGX1RBWF9SQVRFKEFOTiwwLCwsLCwsTk9BVURJVCk=&amp;WINDOW=FIRST_POPUP&amp;HEIGHT=450&amp;WIDTH=450&amp;","START_MAXIMIZED=FALSE&amp;VAR:CALENDAR=US&amp;VAR:SYMBOL=B19NLV&amp;VAR:INDEX=0"}</definedName>
    <definedName name="_2629__FDSAUDITLINK__" localSheetId="3" hidden="1">{"fdsup://directions/FAT Viewer?action=UPDATE&amp;creator=factset&amp;DYN_ARGS=TRUE&amp;DOC_NAME=FAT:FQL_AUDITING_CLIENT_TEMPLATE.FAT&amp;display_string=Audit&amp;VAR:KEY=TCFSHYRUHC&amp;VAR:QUERY=UkdGX1RBWF9SQVRFKEFOTiwwLCwsLCwsTk9BVURJVCk=&amp;WINDOW=FIRST_POPUP&amp;HEIGHT=450&amp;WIDTH=450&amp;","START_MAXIMIZED=FALSE&amp;VAR:CALENDAR=US&amp;VAR:SYMBOL=B19NLV&amp;VAR:INDEX=0"}</definedName>
    <definedName name="_2629__FDSAUDITLINK__" localSheetId="7" hidden="1">{"fdsup://directions/FAT Viewer?action=UPDATE&amp;creator=factset&amp;DYN_ARGS=TRUE&amp;DOC_NAME=FAT:FQL_AUDITING_CLIENT_TEMPLATE.FAT&amp;display_string=Audit&amp;VAR:KEY=TCFSHYRUHC&amp;VAR:QUERY=UkdGX1RBWF9SQVRFKEFOTiwwLCwsLCwsTk9BVURJVCk=&amp;WINDOW=FIRST_POPUP&amp;HEIGHT=450&amp;WIDTH=450&amp;","START_MAXIMIZED=FALSE&amp;VAR:CALENDAR=US&amp;VAR:SYMBOL=B19NLV&amp;VAR:INDEX=0"}</definedName>
    <definedName name="_2629__FDSAUDITLINK__" hidden="1">{"fdsup://directions/FAT Viewer?action=UPDATE&amp;creator=factset&amp;DYN_ARGS=TRUE&amp;DOC_NAME=FAT:FQL_AUDITING_CLIENT_TEMPLATE.FAT&amp;display_string=Audit&amp;VAR:KEY=TCFSHYRUHC&amp;VAR:QUERY=UkdGX1RBWF9SQVRFKEFOTiwwLCwsLCwsTk9BVURJVCk=&amp;WINDOW=FIRST_POPUP&amp;HEIGHT=450&amp;WIDTH=450&amp;","START_MAXIMIZED=FALSE&amp;VAR:CALENDAR=US&amp;VAR:SYMBOL=B19NLV&amp;VAR:INDEX=0"}</definedName>
    <definedName name="_263__FDSAUDITLINK__" localSheetId="3" hidden="1">{"fdsup://Directions/FactSet Auditing Viewer?action=AUDIT_VALUE&amp;DB=129&amp;ID1=B29VWQ&amp;VALUEID=01001&amp;SDATE=2011&amp;PERIODTYPE=ANN_STD&amp;SCFT=3&amp;window=popup_no_bar&amp;width=385&amp;height=120&amp;START_MAXIMIZED=FALSE&amp;creator=factset&amp;display_string=Audit"}</definedName>
    <definedName name="_263__FDSAUDITLINK__" localSheetId="7" hidden="1">{"fdsup://Directions/FactSet Auditing Viewer?action=AUDIT_VALUE&amp;DB=129&amp;ID1=B29VWQ&amp;VALUEID=01001&amp;SDATE=2011&amp;PERIODTYPE=ANN_STD&amp;SCFT=3&amp;window=popup_no_bar&amp;width=385&amp;height=120&amp;START_MAXIMIZED=FALSE&amp;creator=factset&amp;display_string=Audit"}</definedName>
    <definedName name="_263__FDSAUDITLINK__" hidden="1">{"fdsup://Directions/FactSet Auditing Viewer?action=AUDIT_VALUE&amp;DB=129&amp;ID1=B29VWQ&amp;VALUEID=01001&amp;SDATE=2011&amp;PERIODTYPE=ANN_STD&amp;SCFT=3&amp;window=popup_no_bar&amp;width=385&amp;height=120&amp;START_MAXIMIZED=FALSE&amp;creator=factset&amp;display_string=Audit"}</definedName>
    <definedName name="_2630__FDSAUDITLINK__" localSheetId="3" hidden="1">{"fdsup://directions/FAT Viewer?action=UPDATE&amp;creator=factset&amp;DYN_ARGS=TRUE&amp;DOC_NAME=FAT:FQL_AUDITING_CLIENT_TEMPLATE.FAT&amp;display_string=Audit&amp;VAR:KEY=PSDWHOVUNG&amp;VAR:QUERY=UkdGX1RBWF9SQVRFKEFOTiwwLCwsLCwsTk9BVURJVCk=&amp;WINDOW=FIRST_POPUP&amp;HEIGHT=450&amp;WIDTH=450&amp;","START_MAXIMIZED=FALSE&amp;VAR:CALENDAR=US&amp;VAR:SYMBOL=EXPE&amp;VAR:INDEX=0"}</definedName>
    <definedName name="_2630__FDSAUDITLINK__" localSheetId="7" hidden="1">{"fdsup://directions/FAT Viewer?action=UPDATE&amp;creator=factset&amp;DYN_ARGS=TRUE&amp;DOC_NAME=FAT:FQL_AUDITING_CLIENT_TEMPLATE.FAT&amp;display_string=Audit&amp;VAR:KEY=PSDWHOVUNG&amp;VAR:QUERY=UkdGX1RBWF9SQVRFKEFOTiwwLCwsLCwsTk9BVURJVCk=&amp;WINDOW=FIRST_POPUP&amp;HEIGHT=450&amp;WIDTH=450&amp;","START_MAXIMIZED=FALSE&amp;VAR:CALENDAR=US&amp;VAR:SYMBOL=EXPE&amp;VAR:INDEX=0"}</definedName>
    <definedName name="_2630__FDSAUDITLINK__" hidden="1">{"fdsup://directions/FAT Viewer?action=UPDATE&amp;creator=factset&amp;DYN_ARGS=TRUE&amp;DOC_NAME=FAT:FQL_AUDITING_CLIENT_TEMPLATE.FAT&amp;display_string=Audit&amp;VAR:KEY=PSDWHOVUNG&amp;VAR:QUERY=UkdGX1RBWF9SQVRFKEFOTiwwLCwsLCwsTk9BVURJVCk=&amp;WINDOW=FIRST_POPUP&amp;HEIGHT=450&amp;WIDTH=450&amp;","START_MAXIMIZED=FALSE&amp;VAR:CALENDAR=US&amp;VAR:SYMBOL=EXPE&amp;VAR:INDEX=0"}</definedName>
    <definedName name="_2631__FDSAUDITLINK__" localSheetId="3" hidden="1">{"fdsup://directions/FAT Viewer?action=UPDATE&amp;creator=factset&amp;DYN_ARGS=TRUE&amp;DOC_NAME=FAT:FQL_AUDITING_CLIENT_TEMPLATE.FAT&amp;display_string=Audit&amp;VAR:KEY=PSDWHOVUNG&amp;VAR:QUERY=UkdGX1RBWF9SQVRFKEFOTiwwLCwsLCwsTk9BVURJVCk=&amp;WINDOW=FIRST_POPUP&amp;HEIGHT=450&amp;WIDTH=450&amp;","START_MAXIMIZED=FALSE&amp;VAR:CALENDAR=US&amp;VAR:SYMBOL=EXPE&amp;VAR:INDEX=0"}</definedName>
    <definedName name="_2631__FDSAUDITLINK__" localSheetId="7" hidden="1">{"fdsup://directions/FAT Viewer?action=UPDATE&amp;creator=factset&amp;DYN_ARGS=TRUE&amp;DOC_NAME=FAT:FQL_AUDITING_CLIENT_TEMPLATE.FAT&amp;display_string=Audit&amp;VAR:KEY=PSDWHOVUNG&amp;VAR:QUERY=UkdGX1RBWF9SQVRFKEFOTiwwLCwsLCwsTk9BVURJVCk=&amp;WINDOW=FIRST_POPUP&amp;HEIGHT=450&amp;WIDTH=450&amp;","START_MAXIMIZED=FALSE&amp;VAR:CALENDAR=US&amp;VAR:SYMBOL=EXPE&amp;VAR:INDEX=0"}</definedName>
    <definedName name="_2631__FDSAUDITLINK__" hidden="1">{"fdsup://directions/FAT Viewer?action=UPDATE&amp;creator=factset&amp;DYN_ARGS=TRUE&amp;DOC_NAME=FAT:FQL_AUDITING_CLIENT_TEMPLATE.FAT&amp;display_string=Audit&amp;VAR:KEY=PSDWHOVUNG&amp;VAR:QUERY=UkdGX1RBWF9SQVRFKEFOTiwwLCwsLCwsTk9BVURJVCk=&amp;WINDOW=FIRST_POPUP&amp;HEIGHT=450&amp;WIDTH=450&amp;","START_MAXIMIZED=FALSE&amp;VAR:CALENDAR=US&amp;VAR:SYMBOL=EXPE&amp;VAR:INDEX=0"}</definedName>
    <definedName name="_2632__FDSAUDITLINK__" localSheetId="3" hidden="1">{"fdsup://directions/FAT Viewer?action=UPDATE&amp;creator=factset&amp;DYN_ARGS=TRUE&amp;DOC_NAME=FAT:FQL_AUDITING_CLIENT_TEMPLATE.FAT&amp;display_string=Audit&amp;VAR:KEY=FWDKFARMZK&amp;VAR:QUERY=UkdGX1RBWF9SQVRFKEFOTiwwLCwsLCwsTk9BVURJVCk=&amp;WINDOW=FIRST_POPUP&amp;HEIGHT=450&amp;WIDTH=450&amp;","START_MAXIMIZED=FALSE&amp;VAR:CALENDAR=US&amp;VAR:SYMBOL=569496&amp;VAR:INDEX=0"}</definedName>
    <definedName name="_2632__FDSAUDITLINK__" localSheetId="7" hidden="1">{"fdsup://directions/FAT Viewer?action=UPDATE&amp;creator=factset&amp;DYN_ARGS=TRUE&amp;DOC_NAME=FAT:FQL_AUDITING_CLIENT_TEMPLATE.FAT&amp;display_string=Audit&amp;VAR:KEY=FWDKFARMZK&amp;VAR:QUERY=UkdGX1RBWF9SQVRFKEFOTiwwLCwsLCwsTk9BVURJVCk=&amp;WINDOW=FIRST_POPUP&amp;HEIGHT=450&amp;WIDTH=450&amp;","START_MAXIMIZED=FALSE&amp;VAR:CALENDAR=US&amp;VAR:SYMBOL=569496&amp;VAR:INDEX=0"}</definedName>
    <definedName name="_2632__FDSAUDITLINK__" hidden="1">{"fdsup://directions/FAT Viewer?action=UPDATE&amp;creator=factset&amp;DYN_ARGS=TRUE&amp;DOC_NAME=FAT:FQL_AUDITING_CLIENT_TEMPLATE.FAT&amp;display_string=Audit&amp;VAR:KEY=FWDKFARMZK&amp;VAR:QUERY=UkdGX1RBWF9SQVRFKEFOTiwwLCwsLCwsTk9BVURJVCk=&amp;WINDOW=FIRST_POPUP&amp;HEIGHT=450&amp;WIDTH=450&amp;","START_MAXIMIZED=FALSE&amp;VAR:CALENDAR=US&amp;VAR:SYMBOL=569496&amp;VAR:INDEX=0"}</definedName>
    <definedName name="_2633__FDSAUDITLINK__" localSheetId="3" hidden="1">{"fdsup://directions/FAT Viewer?action=UPDATE&amp;creator=factset&amp;DYN_ARGS=TRUE&amp;DOC_NAME=FAT:FQL_AUDITING_CLIENT_TEMPLATE.FAT&amp;display_string=Audit&amp;VAR:KEY=FWDKFARMZK&amp;VAR:QUERY=UkdGX1RBWF9SQVRFKEFOTiwwLCwsLCwsTk9BVURJVCk=&amp;WINDOW=FIRST_POPUP&amp;HEIGHT=450&amp;WIDTH=450&amp;","START_MAXIMIZED=FALSE&amp;VAR:CALENDAR=US&amp;VAR:SYMBOL=569496&amp;VAR:INDEX=0"}</definedName>
    <definedName name="_2633__FDSAUDITLINK__" localSheetId="7" hidden="1">{"fdsup://directions/FAT Viewer?action=UPDATE&amp;creator=factset&amp;DYN_ARGS=TRUE&amp;DOC_NAME=FAT:FQL_AUDITING_CLIENT_TEMPLATE.FAT&amp;display_string=Audit&amp;VAR:KEY=FWDKFARMZK&amp;VAR:QUERY=UkdGX1RBWF9SQVRFKEFOTiwwLCwsLCwsTk9BVURJVCk=&amp;WINDOW=FIRST_POPUP&amp;HEIGHT=450&amp;WIDTH=450&amp;","START_MAXIMIZED=FALSE&amp;VAR:CALENDAR=US&amp;VAR:SYMBOL=569496&amp;VAR:INDEX=0"}</definedName>
    <definedName name="_2633__FDSAUDITLINK__" hidden="1">{"fdsup://directions/FAT Viewer?action=UPDATE&amp;creator=factset&amp;DYN_ARGS=TRUE&amp;DOC_NAME=FAT:FQL_AUDITING_CLIENT_TEMPLATE.FAT&amp;display_string=Audit&amp;VAR:KEY=FWDKFARMZK&amp;VAR:QUERY=UkdGX1RBWF9SQVRFKEFOTiwwLCwsLCwsTk9BVURJVCk=&amp;WINDOW=FIRST_POPUP&amp;HEIGHT=450&amp;WIDTH=450&amp;","START_MAXIMIZED=FALSE&amp;VAR:CALENDAR=US&amp;VAR:SYMBOL=569496&amp;VAR:INDEX=0"}</definedName>
    <definedName name="_2634__FDSAUDITLINK__" localSheetId="3" hidden="1">{"fdsup://directions/FAT Viewer?action=UPDATE&amp;creator=factset&amp;DYN_ARGS=TRUE&amp;DOC_NAME=FAT:FQL_AUDITING_CLIENT_TEMPLATE.FAT&amp;display_string=Audit&amp;VAR:KEY=ZMLSBKFCPI&amp;VAR:QUERY=UkdGX1RBWF9SQVRFKEFOTiwwLCwsLCwsTk9BVURJVCk=&amp;WINDOW=FIRST_POPUP&amp;HEIGHT=450&amp;WIDTH=450&amp;","START_MAXIMIZED=FALSE&amp;VAR:CALENDAR=US&amp;VAR:SYMBOL=EQIX&amp;VAR:INDEX=0"}</definedName>
    <definedName name="_2634__FDSAUDITLINK__" localSheetId="7" hidden="1">{"fdsup://directions/FAT Viewer?action=UPDATE&amp;creator=factset&amp;DYN_ARGS=TRUE&amp;DOC_NAME=FAT:FQL_AUDITING_CLIENT_TEMPLATE.FAT&amp;display_string=Audit&amp;VAR:KEY=ZMLSBKFCPI&amp;VAR:QUERY=UkdGX1RBWF9SQVRFKEFOTiwwLCwsLCwsTk9BVURJVCk=&amp;WINDOW=FIRST_POPUP&amp;HEIGHT=450&amp;WIDTH=450&amp;","START_MAXIMIZED=FALSE&amp;VAR:CALENDAR=US&amp;VAR:SYMBOL=EQIX&amp;VAR:INDEX=0"}</definedName>
    <definedName name="_2634__FDSAUDITLINK__" hidden="1">{"fdsup://directions/FAT Viewer?action=UPDATE&amp;creator=factset&amp;DYN_ARGS=TRUE&amp;DOC_NAME=FAT:FQL_AUDITING_CLIENT_TEMPLATE.FAT&amp;display_string=Audit&amp;VAR:KEY=ZMLSBKFCPI&amp;VAR:QUERY=UkdGX1RBWF9SQVRFKEFOTiwwLCwsLCwsTk9BVURJVCk=&amp;WINDOW=FIRST_POPUP&amp;HEIGHT=450&amp;WIDTH=450&amp;","START_MAXIMIZED=FALSE&amp;VAR:CALENDAR=US&amp;VAR:SYMBOL=EQIX&amp;VAR:INDEX=0"}</definedName>
    <definedName name="_2635__FDSAUDITLINK__" localSheetId="3" hidden="1">{"fdsup://directions/FAT Viewer?action=UPDATE&amp;creator=factset&amp;DYN_ARGS=TRUE&amp;DOC_NAME=FAT:FQL_AUDITING_CLIENT_TEMPLATE.FAT&amp;display_string=Audit&amp;VAR:KEY=ZMLSBKFCPI&amp;VAR:QUERY=UkdGX1RBWF9SQVRFKEFOTiwwLCwsLCwsTk9BVURJVCk=&amp;WINDOW=FIRST_POPUP&amp;HEIGHT=450&amp;WIDTH=450&amp;","START_MAXIMIZED=FALSE&amp;VAR:CALENDAR=US&amp;VAR:SYMBOL=EQIX&amp;VAR:INDEX=0"}</definedName>
    <definedName name="_2635__FDSAUDITLINK__" localSheetId="7" hidden="1">{"fdsup://directions/FAT Viewer?action=UPDATE&amp;creator=factset&amp;DYN_ARGS=TRUE&amp;DOC_NAME=FAT:FQL_AUDITING_CLIENT_TEMPLATE.FAT&amp;display_string=Audit&amp;VAR:KEY=ZMLSBKFCPI&amp;VAR:QUERY=UkdGX1RBWF9SQVRFKEFOTiwwLCwsLCwsTk9BVURJVCk=&amp;WINDOW=FIRST_POPUP&amp;HEIGHT=450&amp;WIDTH=450&amp;","START_MAXIMIZED=FALSE&amp;VAR:CALENDAR=US&amp;VAR:SYMBOL=EQIX&amp;VAR:INDEX=0"}</definedName>
    <definedName name="_2635__FDSAUDITLINK__" hidden="1">{"fdsup://directions/FAT Viewer?action=UPDATE&amp;creator=factset&amp;DYN_ARGS=TRUE&amp;DOC_NAME=FAT:FQL_AUDITING_CLIENT_TEMPLATE.FAT&amp;display_string=Audit&amp;VAR:KEY=ZMLSBKFCPI&amp;VAR:QUERY=UkdGX1RBWF9SQVRFKEFOTiwwLCwsLCwsTk9BVURJVCk=&amp;WINDOW=FIRST_POPUP&amp;HEIGHT=450&amp;WIDTH=450&amp;","START_MAXIMIZED=FALSE&amp;VAR:CALENDAR=US&amp;VAR:SYMBOL=EQIX&amp;VAR:INDEX=0"}</definedName>
    <definedName name="_2636__FDSAUDITLINK__" localSheetId="3" hidden="1">{"fdsup://directions/FAT Viewer?action=UPDATE&amp;creator=factset&amp;DYN_ARGS=TRUE&amp;DOC_NAME=FAT:FQL_AUDITING_CLIENT_TEMPLATE.FAT&amp;display_string=Audit&amp;VAR:KEY=PKHOLUDMBI&amp;VAR:QUERY=UkdGX1RBWF9SQVRFKEFOTiwwLCwsLCwsTk9BVURJVCk=&amp;WINDOW=FIRST_POPUP&amp;HEIGHT=450&amp;WIDTH=450&amp;","START_MAXIMIZED=FALSE&amp;VAR:CALENDAR=US&amp;VAR:SYMBOL=EPIQ&amp;VAR:INDEX=0"}</definedName>
    <definedName name="_2636__FDSAUDITLINK__" localSheetId="7" hidden="1">{"fdsup://directions/FAT Viewer?action=UPDATE&amp;creator=factset&amp;DYN_ARGS=TRUE&amp;DOC_NAME=FAT:FQL_AUDITING_CLIENT_TEMPLATE.FAT&amp;display_string=Audit&amp;VAR:KEY=PKHOLUDMBI&amp;VAR:QUERY=UkdGX1RBWF9SQVRFKEFOTiwwLCwsLCwsTk9BVURJVCk=&amp;WINDOW=FIRST_POPUP&amp;HEIGHT=450&amp;WIDTH=450&amp;","START_MAXIMIZED=FALSE&amp;VAR:CALENDAR=US&amp;VAR:SYMBOL=EPIQ&amp;VAR:INDEX=0"}</definedName>
    <definedName name="_2636__FDSAUDITLINK__" hidden="1">{"fdsup://directions/FAT Viewer?action=UPDATE&amp;creator=factset&amp;DYN_ARGS=TRUE&amp;DOC_NAME=FAT:FQL_AUDITING_CLIENT_TEMPLATE.FAT&amp;display_string=Audit&amp;VAR:KEY=PKHOLUDMBI&amp;VAR:QUERY=UkdGX1RBWF9SQVRFKEFOTiwwLCwsLCwsTk9BVURJVCk=&amp;WINDOW=FIRST_POPUP&amp;HEIGHT=450&amp;WIDTH=450&amp;","START_MAXIMIZED=FALSE&amp;VAR:CALENDAR=US&amp;VAR:SYMBOL=EPIQ&amp;VAR:INDEX=0"}</definedName>
    <definedName name="_2637__FDSAUDITLINK__" localSheetId="3" hidden="1">{"fdsup://directions/FAT Viewer?action=UPDATE&amp;creator=factset&amp;DYN_ARGS=TRUE&amp;DOC_NAME=FAT:FQL_AUDITING_CLIENT_TEMPLATE.FAT&amp;display_string=Audit&amp;VAR:KEY=PKHOLUDMBI&amp;VAR:QUERY=UkdGX1RBWF9SQVRFKEFOTiwwLCwsLCwsTk9BVURJVCk=&amp;WINDOW=FIRST_POPUP&amp;HEIGHT=450&amp;WIDTH=450&amp;","START_MAXIMIZED=FALSE&amp;VAR:CALENDAR=US&amp;VAR:SYMBOL=EPIQ&amp;VAR:INDEX=0"}</definedName>
    <definedName name="_2637__FDSAUDITLINK__" localSheetId="7" hidden="1">{"fdsup://directions/FAT Viewer?action=UPDATE&amp;creator=factset&amp;DYN_ARGS=TRUE&amp;DOC_NAME=FAT:FQL_AUDITING_CLIENT_TEMPLATE.FAT&amp;display_string=Audit&amp;VAR:KEY=PKHOLUDMBI&amp;VAR:QUERY=UkdGX1RBWF9SQVRFKEFOTiwwLCwsLCwsTk9BVURJVCk=&amp;WINDOW=FIRST_POPUP&amp;HEIGHT=450&amp;WIDTH=450&amp;","START_MAXIMIZED=FALSE&amp;VAR:CALENDAR=US&amp;VAR:SYMBOL=EPIQ&amp;VAR:INDEX=0"}</definedName>
    <definedName name="_2637__FDSAUDITLINK__" hidden="1">{"fdsup://directions/FAT Viewer?action=UPDATE&amp;creator=factset&amp;DYN_ARGS=TRUE&amp;DOC_NAME=FAT:FQL_AUDITING_CLIENT_TEMPLATE.FAT&amp;display_string=Audit&amp;VAR:KEY=PKHOLUDMBI&amp;VAR:QUERY=UkdGX1RBWF9SQVRFKEFOTiwwLCwsLCwsTk9BVURJVCk=&amp;WINDOW=FIRST_POPUP&amp;HEIGHT=450&amp;WIDTH=450&amp;","START_MAXIMIZED=FALSE&amp;VAR:CALENDAR=US&amp;VAR:SYMBOL=EPIQ&amp;VAR:INDEX=0"}</definedName>
    <definedName name="_2638__FDSAUDITLINK__" localSheetId="3" hidden="1">{"fdsup://directions/FAT Viewer?action=UPDATE&amp;creator=factset&amp;DYN_ARGS=TRUE&amp;DOC_NAME=FAT:FQL_AUDITING_CLIENT_TEMPLATE.FAT&amp;display_string=Audit&amp;VAR:KEY=PWTABWNSPQ&amp;VAR:QUERY=UkdGX1RBWF9SQVRFKEFOTiwwLCwsLCwsTk9BVURJVCk=&amp;WINDOW=FIRST_POPUP&amp;HEIGHT=450&amp;WIDTH=450&amp;","START_MAXIMIZED=FALSE&amp;VAR:CALENDAR=US&amp;VAR:SYMBOL=EPIC&amp;VAR:INDEX=0"}</definedName>
    <definedName name="_2638__FDSAUDITLINK__" localSheetId="7" hidden="1">{"fdsup://directions/FAT Viewer?action=UPDATE&amp;creator=factset&amp;DYN_ARGS=TRUE&amp;DOC_NAME=FAT:FQL_AUDITING_CLIENT_TEMPLATE.FAT&amp;display_string=Audit&amp;VAR:KEY=PWTABWNSPQ&amp;VAR:QUERY=UkdGX1RBWF9SQVRFKEFOTiwwLCwsLCwsTk9BVURJVCk=&amp;WINDOW=FIRST_POPUP&amp;HEIGHT=450&amp;WIDTH=450&amp;","START_MAXIMIZED=FALSE&amp;VAR:CALENDAR=US&amp;VAR:SYMBOL=EPIC&amp;VAR:INDEX=0"}</definedName>
    <definedName name="_2638__FDSAUDITLINK__" hidden="1">{"fdsup://directions/FAT Viewer?action=UPDATE&amp;creator=factset&amp;DYN_ARGS=TRUE&amp;DOC_NAME=FAT:FQL_AUDITING_CLIENT_TEMPLATE.FAT&amp;display_string=Audit&amp;VAR:KEY=PWTABWNSPQ&amp;VAR:QUERY=UkdGX1RBWF9SQVRFKEFOTiwwLCwsLCwsTk9BVURJVCk=&amp;WINDOW=FIRST_POPUP&amp;HEIGHT=450&amp;WIDTH=450&amp;","START_MAXIMIZED=FALSE&amp;VAR:CALENDAR=US&amp;VAR:SYMBOL=EPIC&amp;VAR:INDEX=0"}</definedName>
    <definedName name="_2639__FDSAUDITLINK__" localSheetId="3" hidden="1">{"fdsup://directions/FAT Viewer?action=UPDATE&amp;creator=factset&amp;DYN_ARGS=TRUE&amp;DOC_NAME=FAT:FQL_AUDITING_CLIENT_TEMPLATE.FAT&amp;display_string=Audit&amp;VAR:KEY=NQDEDIRKRY&amp;VAR:QUERY=UkdGX1RBWF9SQVRFKEFOTiwwLCwsLCwsTk9BVURJVCk=&amp;WINDOW=FIRST_POPUP&amp;HEIGHT=450&amp;WIDTH=450&amp;","START_MAXIMIZED=FALSE&amp;VAR:CALENDAR=US&amp;VAR:SYMBOL=EMC&amp;VAR:INDEX=0"}</definedName>
    <definedName name="_2639__FDSAUDITLINK__" localSheetId="7" hidden="1">{"fdsup://directions/FAT Viewer?action=UPDATE&amp;creator=factset&amp;DYN_ARGS=TRUE&amp;DOC_NAME=FAT:FQL_AUDITING_CLIENT_TEMPLATE.FAT&amp;display_string=Audit&amp;VAR:KEY=NQDEDIRKRY&amp;VAR:QUERY=UkdGX1RBWF9SQVRFKEFOTiwwLCwsLCwsTk9BVURJVCk=&amp;WINDOW=FIRST_POPUP&amp;HEIGHT=450&amp;WIDTH=450&amp;","START_MAXIMIZED=FALSE&amp;VAR:CALENDAR=US&amp;VAR:SYMBOL=EMC&amp;VAR:INDEX=0"}</definedName>
    <definedName name="_2639__FDSAUDITLINK__" hidden="1">{"fdsup://directions/FAT Viewer?action=UPDATE&amp;creator=factset&amp;DYN_ARGS=TRUE&amp;DOC_NAME=FAT:FQL_AUDITING_CLIENT_TEMPLATE.FAT&amp;display_string=Audit&amp;VAR:KEY=NQDEDIRKRY&amp;VAR:QUERY=UkdGX1RBWF9SQVRFKEFOTiwwLCwsLCwsTk9BVURJVCk=&amp;WINDOW=FIRST_POPUP&amp;HEIGHT=450&amp;WIDTH=450&amp;","START_MAXIMIZED=FALSE&amp;VAR:CALENDAR=US&amp;VAR:SYMBOL=EMC&amp;VAR:INDEX=0"}</definedName>
    <definedName name="_264__FDSAUDITLINK__" localSheetId="3" hidden="1">{"fdsup://directions/FAT Viewer?action=UPDATE&amp;creator=factset&amp;DYN_ARGS=TRUE&amp;DOC_NAME=FAT:FQL_AUDITING_CLIENT_TEMPLATE.FAT&amp;display_string=Audit&amp;VAR:KEY=HEJGZQXWJO&amp;VAR:QUERY=RkZfTkVUX0lOQyhMVE0sMCwsLCwsTSk=&amp;WINDOW=FIRST_POPUP&amp;HEIGHT=450&amp;WIDTH=450&amp;START_MAXIMI","ZED=FALSE&amp;VAR:CALENDAR=US&amp;VAR:SYMBOL=244103&amp;VAR:INDEX=0"}</definedName>
    <definedName name="_264__FDSAUDITLINK__" localSheetId="7" hidden="1">{"fdsup://directions/FAT Viewer?action=UPDATE&amp;creator=factset&amp;DYN_ARGS=TRUE&amp;DOC_NAME=FAT:FQL_AUDITING_CLIENT_TEMPLATE.FAT&amp;display_string=Audit&amp;VAR:KEY=HEJGZQXWJO&amp;VAR:QUERY=RkZfTkVUX0lOQyhMVE0sMCwsLCwsTSk=&amp;WINDOW=FIRST_POPUP&amp;HEIGHT=450&amp;WIDTH=450&amp;START_MAXIMI","ZED=FALSE&amp;VAR:CALENDAR=US&amp;VAR:SYMBOL=244103&amp;VAR:INDEX=0"}</definedName>
    <definedName name="_264__FDSAUDITLINK__" hidden="1">{"fdsup://directions/FAT Viewer?action=UPDATE&amp;creator=factset&amp;DYN_ARGS=TRUE&amp;DOC_NAME=FAT:FQL_AUDITING_CLIENT_TEMPLATE.FAT&amp;display_string=Audit&amp;VAR:KEY=HEJGZQXWJO&amp;VAR:QUERY=RkZfTkVUX0lOQyhMVE0sMCwsLCwsTSk=&amp;WINDOW=FIRST_POPUP&amp;HEIGHT=450&amp;WIDTH=450&amp;START_MAXIMI","ZED=FALSE&amp;VAR:CALENDAR=US&amp;VAR:SYMBOL=244103&amp;VAR:INDEX=0"}</definedName>
    <definedName name="_2640__FDSAUDITLINK__" localSheetId="3" hidden="1">{"fdsup://directions/FAT Viewer?action=UPDATE&amp;creator=factset&amp;DYN_ARGS=TRUE&amp;DOC_NAME=FAT:FQL_AUDITING_CLIENT_TEMPLATE.FAT&amp;display_string=Audit&amp;VAR:KEY=NQDEDIRKRY&amp;VAR:QUERY=UkdGX1RBWF9SQVRFKEFOTiwwLCwsLCwsTk9BVURJVCk=&amp;WINDOW=FIRST_POPUP&amp;HEIGHT=450&amp;WIDTH=450&amp;","START_MAXIMIZED=FALSE&amp;VAR:CALENDAR=US&amp;VAR:SYMBOL=EMC&amp;VAR:INDEX=0"}</definedName>
    <definedName name="_2640__FDSAUDITLINK__" localSheetId="7" hidden="1">{"fdsup://directions/FAT Viewer?action=UPDATE&amp;creator=factset&amp;DYN_ARGS=TRUE&amp;DOC_NAME=FAT:FQL_AUDITING_CLIENT_TEMPLATE.FAT&amp;display_string=Audit&amp;VAR:KEY=NQDEDIRKRY&amp;VAR:QUERY=UkdGX1RBWF9SQVRFKEFOTiwwLCwsLCwsTk9BVURJVCk=&amp;WINDOW=FIRST_POPUP&amp;HEIGHT=450&amp;WIDTH=450&amp;","START_MAXIMIZED=FALSE&amp;VAR:CALENDAR=US&amp;VAR:SYMBOL=EMC&amp;VAR:INDEX=0"}</definedName>
    <definedName name="_2640__FDSAUDITLINK__" hidden="1">{"fdsup://directions/FAT Viewer?action=UPDATE&amp;creator=factset&amp;DYN_ARGS=TRUE&amp;DOC_NAME=FAT:FQL_AUDITING_CLIENT_TEMPLATE.FAT&amp;display_string=Audit&amp;VAR:KEY=NQDEDIRKRY&amp;VAR:QUERY=UkdGX1RBWF9SQVRFKEFOTiwwLCwsLCwsTk9BVURJVCk=&amp;WINDOW=FIRST_POPUP&amp;HEIGHT=450&amp;WIDTH=450&amp;","START_MAXIMIZED=FALSE&amp;VAR:CALENDAR=US&amp;VAR:SYMBOL=EMC&amp;VAR:INDEX=0"}</definedName>
    <definedName name="_2641__FDSAUDITLINK__" localSheetId="3" hidden="1">{"fdsup://directions/FAT Viewer?action=UPDATE&amp;creator=factset&amp;DYN_ARGS=TRUE&amp;DOC_NAME=FAT:FQL_AUDITING_CLIENT_TEMPLATE.FAT&amp;display_string=Audit&amp;VAR:KEY=JKXWJCZEPY&amp;VAR:QUERY=UkdGX1RBWF9SQVRFKEFOTiwwLCwsLCwsTk9BVURJVCk=&amp;WINDOW=FIRST_POPUP&amp;HEIGHT=450&amp;WIDTH=450&amp;","START_MAXIMIZED=FALSE&amp;VAR:CALENDAR=US&amp;VAR:SYMBOL=EBAY&amp;VAR:INDEX=0"}</definedName>
    <definedName name="_2641__FDSAUDITLINK__" localSheetId="7" hidden="1">{"fdsup://directions/FAT Viewer?action=UPDATE&amp;creator=factset&amp;DYN_ARGS=TRUE&amp;DOC_NAME=FAT:FQL_AUDITING_CLIENT_TEMPLATE.FAT&amp;display_string=Audit&amp;VAR:KEY=JKXWJCZEPY&amp;VAR:QUERY=UkdGX1RBWF9SQVRFKEFOTiwwLCwsLCwsTk9BVURJVCk=&amp;WINDOW=FIRST_POPUP&amp;HEIGHT=450&amp;WIDTH=450&amp;","START_MAXIMIZED=FALSE&amp;VAR:CALENDAR=US&amp;VAR:SYMBOL=EBAY&amp;VAR:INDEX=0"}</definedName>
    <definedName name="_2641__FDSAUDITLINK__" hidden="1">{"fdsup://directions/FAT Viewer?action=UPDATE&amp;creator=factset&amp;DYN_ARGS=TRUE&amp;DOC_NAME=FAT:FQL_AUDITING_CLIENT_TEMPLATE.FAT&amp;display_string=Audit&amp;VAR:KEY=JKXWJCZEPY&amp;VAR:QUERY=UkdGX1RBWF9SQVRFKEFOTiwwLCwsLCwsTk9BVURJVCk=&amp;WINDOW=FIRST_POPUP&amp;HEIGHT=450&amp;WIDTH=450&amp;","START_MAXIMIZED=FALSE&amp;VAR:CALENDAR=US&amp;VAR:SYMBOL=EBAY&amp;VAR:INDEX=0"}</definedName>
    <definedName name="_2642__FDSAUDITLINK__" localSheetId="3" hidden="1">{"fdsup://directions/FAT Viewer?action=UPDATE&amp;creator=factset&amp;DYN_ARGS=TRUE&amp;DOC_NAME=FAT:FQL_AUDITING_CLIENT_TEMPLATE.FAT&amp;display_string=Audit&amp;VAR:KEY=JKXWJCZEPY&amp;VAR:QUERY=UkdGX1RBWF9SQVRFKEFOTiwwLCwsLCwsTk9BVURJVCk=&amp;WINDOW=FIRST_POPUP&amp;HEIGHT=450&amp;WIDTH=450&amp;","START_MAXIMIZED=FALSE&amp;VAR:CALENDAR=US&amp;VAR:SYMBOL=EBAY&amp;VAR:INDEX=0"}</definedName>
    <definedName name="_2642__FDSAUDITLINK__" localSheetId="7" hidden="1">{"fdsup://directions/FAT Viewer?action=UPDATE&amp;creator=factset&amp;DYN_ARGS=TRUE&amp;DOC_NAME=FAT:FQL_AUDITING_CLIENT_TEMPLATE.FAT&amp;display_string=Audit&amp;VAR:KEY=JKXWJCZEPY&amp;VAR:QUERY=UkdGX1RBWF9SQVRFKEFOTiwwLCwsLCwsTk9BVURJVCk=&amp;WINDOW=FIRST_POPUP&amp;HEIGHT=450&amp;WIDTH=450&amp;","START_MAXIMIZED=FALSE&amp;VAR:CALENDAR=US&amp;VAR:SYMBOL=EBAY&amp;VAR:INDEX=0"}</definedName>
    <definedName name="_2642__FDSAUDITLINK__" hidden="1">{"fdsup://directions/FAT Viewer?action=UPDATE&amp;creator=factset&amp;DYN_ARGS=TRUE&amp;DOC_NAME=FAT:FQL_AUDITING_CLIENT_TEMPLATE.FAT&amp;display_string=Audit&amp;VAR:KEY=JKXWJCZEPY&amp;VAR:QUERY=UkdGX1RBWF9SQVRFKEFOTiwwLCwsLCwsTk9BVURJVCk=&amp;WINDOW=FIRST_POPUP&amp;HEIGHT=450&amp;WIDTH=450&amp;","START_MAXIMIZED=FALSE&amp;VAR:CALENDAR=US&amp;VAR:SYMBOL=EBAY&amp;VAR:INDEX=0"}</definedName>
    <definedName name="_2643__FDSAUDITLINK__" localSheetId="3" hidden="1">{"fdsup://directions/FAT Viewer?action=UPDATE&amp;creator=factset&amp;DYN_ARGS=TRUE&amp;DOC_NAME=FAT:FQL_AUDITING_CLIENT_TEMPLATE.FAT&amp;display_string=Audit&amp;VAR:KEY=PAXABUVSHU&amp;VAR:QUERY=UkdGX1RBWF9SQVRFKEFOTiwwLCwsLCwsTk9BVURJVCk=&amp;WINDOW=FIRST_POPUP&amp;HEIGHT=450&amp;WIDTH=450&amp;","START_MAXIMIZED=FALSE&amp;VAR:CALENDAR=US&amp;VAR:SYMBOL=DTSI&amp;VAR:INDEX=0"}</definedName>
    <definedName name="_2643__FDSAUDITLINK__" localSheetId="7" hidden="1">{"fdsup://directions/FAT Viewer?action=UPDATE&amp;creator=factset&amp;DYN_ARGS=TRUE&amp;DOC_NAME=FAT:FQL_AUDITING_CLIENT_TEMPLATE.FAT&amp;display_string=Audit&amp;VAR:KEY=PAXABUVSHU&amp;VAR:QUERY=UkdGX1RBWF9SQVRFKEFOTiwwLCwsLCwsTk9BVURJVCk=&amp;WINDOW=FIRST_POPUP&amp;HEIGHT=450&amp;WIDTH=450&amp;","START_MAXIMIZED=FALSE&amp;VAR:CALENDAR=US&amp;VAR:SYMBOL=DTSI&amp;VAR:INDEX=0"}</definedName>
    <definedName name="_2643__FDSAUDITLINK__" hidden="1">{"fdsup://directions/FAT Viewer?action=UPDATE&amp;creator=factset&amp;DYN_ARGS=TRUE&amp;DOC_NAME=FAT:FQL_AUDITING_CLIENT_TEMPLATE.FAT&amp;display_string=Audit&amp;VAR:KEY=PAXABUVSHU&amp;VAR:QUERY=UkdGX1RBWF9SQVRFKEFOTiwwLCwsLCwsTk9BVURJVCk=&amp;WINDOW=FIRST_POPUP&amp;HEIGHT=450&amp;WIDTH=450&amp;","START_MAXIMIZED=FALSE&amp;VAR:CALENDAR=US&amp;VAR:SYMBOL=DTSI&amp;VAR:INDEX=0"}</definedName>
    <definedName name="_2644__FDSAUDITLINK__" localSheetId="3" hidden="1">{"fdsup://directions/FAT Viewer?action=UPDATE&amp;creator=factset&amp;DYN_ARGS=TRUE&amp;DOC_NAME=FAT:FQL_AUDITING_CLIENT_TEMPLATE.FAT&amp;display_string=Audit&amp;VAR:KEY=PAXABUVSHU&amp;VAR:QUERY=UkdGX1RBWF9SQVRFKEFOTiwwLCwsLCwsTk9BVURJVCk=&amp;WINDOW=FIRST_POPUP&amp;HEIGHT=450&amp;WIDTH=450&amp;","START_MAXIMIZED=FALSE&amp;VAR:CALENDAR=US&amp;VAR:SYMBOL=DTSI&amp;VAR:INDEX=0"}</definedName>
    <definedName name="_2644__FDSAUDITLINK__" localSheetId="7" hidden="1">{"fdsup://directions/FAT Viewer?action=UPDATE&amp;creator=factset&amp;DYN_ARGS=TRUE&amp;DOC_NAME=FAT:FQL_AUDITING_CLIENT_TEMPLATE.FAT&amp;display_string=Audit&amp;VAR:KEY=PAXABUVSHU&amp;VAR:QUERY=UkdGX1RBWF9SQVRFKEFOTiwwLCwsLCwsTk9BVURJVCk=&amp;WINDOW=FIRST_POPUP&amp;HEIGHT=450&amp;WIDTH=450&amp;","START_MAXIMIZED=FALSE&amp;VAR:CALENDAR=US&amp;VAR:SYMBOL=DTSI&amp;VAR:INDEX=0"}</definedName>
    <definedName name="_2644__FDSAUDITLINK__" hidden="1">{"fdsup://directions/FAT Viewer?action=UPDATE&amp;creator=factset&amp;DYN_ARGS=TRUE&amp;DOC_NAME=FAT:FQL_AUDITING_CLIENT_TEMPLATE.FAT&amp;display_string=Audit&amp;VAR:KEY=PAXABUVSHU&amp;VAR:QUERY=UkdGX1RBWF9SQVRFKEFOTiwwLCwsLCwsTk9BVURJVCk=&amp;WINDOW=FIRST_POPUP&amp;HEIGHT=450&amp;WIDTH=450&amp;","START_MAXIMIZED=FALSE&amp;VAR:CALENDAR=US&amp;VAR:SYMBOL=DTSI&amp;VAR:INDEX=0"}</definedName>
    <definedName name="_2645__FDSAUDITLINK__" localSheetId="3" hidden="1">{"fdsup://directions/FAT Viewer?action=UPDATE&amp;creator=factset&amp;DYN_ARGS=TRUE&amp;DOC_NAME=FAT:FQL_AUDITING_CLIENT_TEMPLATE.FAT&amp;display_string=Audit&amp;VAR:KEY=NYJOVEDIXW&amp;VAR:QUERY=UkdGX1RBWF9SQVRFKEFOTiwwLCwsLCwsTk9BVURJVCk=&amp;WINDOW=FIRST_POPUP&amp;HEIGHT=450&amp;WIDTH=450&amp;","START_MAXIMIZED=FALSE&amp;VAR:CALENDAR=US&amp;VAR:SYMBOL=DST&amp;VAR:INDEX=0"}</definedName>
    <definedName name="_2645__FDSAUDITLINK__" localSheetId="7" hidden="1">{"fdsup://directions/FAT Viewer?action=UPDATE&amp;creator=factset&amp;DYN_ARGS=TRUE&amp;DOC_NAME=FAT:FQL_AUDITING_CLIENT_TEMPLATE.FAT&amp;display_string=Audit&amp;VAR:KEY=NYJOVEDIXW&amp;VAR:QUERY=UkdGX1RBWF9SQVRFKEFOTiwwLCwsLCwsTk9BVURJVCk=&amp;WINDOW=FIRST_POPUP&amp;HEIGHT=450&amp;WIDTH=450&amp;","START_MAXIMIZED=FALSE&amp;VAR:CALENDAR=US&amp;VAR:SYMBOL=DST&amp;VAR:INDEX=0"}</definedName>
    <definedName name="_2645__FDSAUDITLINK__" hidden="1">{"fdsup://directions/FAT Viewer?action=UPDATE&amp;creator=factset&amp;DYN_ARGS=TRUE&amp;DOC_NAME=FAT:FQL_AUDITING_CLIENT_TEMPLATE.FAT&amp;display_string=Audit&amp;VAR:KEY=NYJOVEDIXW&amp;VAR:QUERY=UkdGX1RBWF9SQVRFKEFOTiwwLCwsLCwsTk9BVURJVCk=&amp;WINDOW=FIRST_POPUP&amp;HEIGHT=450&amp;WIDTH=450&amp;","START_MAXIMIZED=FALSE&amp;VAR:CALENDAR=US&amp;VAR:SYMBOL=DST&amp;VAR:INDEX=0"}</definedName>
    <definedName name="_2646__FDSAUDITLINK__" localSheetId="3" hidden="1">{"fdsup://directions/FAT Viewer?action=UPDATE&amp;creator=factset&amp;DYN_ARGS=TRUE&amp;DOC_NAME=FAT:FQL_AUDITING_CLIENT_TEMPLATE.FAT&amp;display_string=Audit&amp;VAR:KEY=NYJOVEDIXW&amp;VAR:QUERY=UkdGX1RBWF9SQVRFKEFOTiwwLCwsLCwsTk9BVURJVCk=&amp;WINDOW=FIRST_POPUP&amp;HEIGHT=450&amp;WIDTH=450&amp;","START_MAXIMIZED=FALSE&amp;VAR:CALENDAR=US&amp;VAR:SYMBOL=DST&amp;VAR:INDEX=0"}</definedName>
    <definedName name="_2646__FDSAUDITLINK__" localSheetId="7" hidden="1">{"fdsup://directions/FAT Viewer?action=UPDATE&amp;creator=factset&amp;DYN_ARGS=TRUE&amp;DOC_NAME=FAT:FQL_AUDITING_CLIENT_TEMPLATE.FAT&amp;display_string=Audit&amp;VAR:KEY=NYJOVEDIXW&amp;VAR:QUERY=UkdGX1RBWF9SQVRFKEFOTiwwLCwsLCwsTk9BVURJVCk=&amp;WINDOW=FIRST_POPUP&amp;HEIGHT=450&amp;WIDTH=450&amp;","START_MAXIMIZED=FALSE&amp;VAR:CALENDAR=US&amp;VAR:SYMBOL=DST&amp;VAR:INDEX=0"}</definedName>
    <definedName name="_2646__FDSAUDITLINK__" hidden="1">{"fdsup://directions/FAT Viewer?action=UPDATE&amp;creator=factset&amp;DYN_ARGS=TRUE&amp;DOC_NAME=FAT:FQL_AUDITING_CLIENT_TEMPLATE.FAT&amp;display_string=Audit&amp;VAR:KEY=NYJOVEDIXW&amp;VAR:QUERY=UkdGX1RBWF9SQVRFKEFOTiwwLCwsLCwsTk9BVURJVCk=&amp;WINDOW=FIRST_POPUP&amp;HEIGHT=450&amp;WIDTH=450&amp;","START_MAXIMIZED=FALSE&amp;VAR:CALENDAR=US&amp;VAR:SYMBOL=DST&amp;VAR:INDEX=0"}</definedName>
    <definedName name="_2647__FDSAUDITLINK__" localSheetId="3" hidden="1">{"fdsup://directions/FAT Viewer?action=UPDATE&amp;creator=factset&amp;DYN_ARGS=TRUE&amp;DOC_NAME=FAT:FQL_AUDITING_CLIENT_TEMPLATE.FAT&amp;display_string=Audit&amp;VAR:KEY=VMZWVYBSLC&amp;VAR:QUERY=UkdGX1RBWF9SQVRFKEFOTiwwLCwsLCwsTk9BVURJVCk=&amp;WINDOW=FIRST_POPUP&amp;HEIGHT=450&amp;WIDTH=450&amp;","START_MAXIMIZED=FALSE&amp;VAR:CALENDAR=US&amp;VAR:SYMBOL=DNB&amp;VAR:INDEX=0"}</definedName>
    <definedName name="_2647__FDSAUDITLINK__" localSheetId="7" hidden="1">{"fdsup://directions/FAT Viewer?action=UPDATE&amp;creator=factset&amp;DYN_ARGS=TRUE&amp;DOC_NAME=FAT:FQL_AUDITING_CLIENT_TEMPLATE.FAT&amp;display_string=Audit&amp;VAR:KEY=VMZWVYBSLC&amp;VAR:QUERY=UkdGX1RBWF9SQVRFKEFOTiwwLCwsLCwsTk9BVURJVCk=&amp;WINDOW=FIRST_POPUP&amp;HEIGHT=450&amp;WIDTH=450&amp;","START_MAXIMIZED=FALSE&amp;VAR:CALENDAR=US&amp;VAR:SYMBOL=DNB&amp;VAR:INDEX=0"}</definedName>
    <definedName name="_2647__FDSAUDITLINK__" hidden="1">{"fdsup://directions/FAT Viewer?action=UPDATE&amp;creator=factset&amp;DYN_ARGS=TRUE&amp;DOC_NAME=FAT:FQL_AUDITING_CLIENT_TEMPLATE.FAT&amp;display_string=Audit&amp;VAR:KEY=VMZWVYBSLC&amp;VAR:QUERY=UkdGX1RBWF9SQVRFKEFOTiwwLCwsLCwsTk9BVURJVCk=&amp;WINDOW=FIRST_POPUP&amp;HEIGHT=450&amp;WIDTH=450&amp;","START_MAXIMIZED=FALSE&amp;VAR:CALENDAR=US&amp;VAR:SYMBOL=DNB&amp;VAR:INDEX=0"}</definedName>
    <definedName name="_2648__FDSAUDITLINK__" localSheetId="3" hidden="1">{"fdsup://directions/FAT Viewer?action=UPDATE&amp;creator=factset&amp;DYN_ARGS=TRUE&amp;DOC_NAME=FAT:FQL_AUDITING_CLIENT_TEMPLATE.FAT&amp;display_string=Audit&amp;VAR:KEY=VMZWVYBSLC&amp;VAR:QUERY=UkdGX1RBWF9SQVRFKEFOTiwwLCwsLCwsTk9BVURJVCk=&amp;WINDOW=FIRST_POPUP&amp;HEIGHT=450&amp;WIDTH=450&amp;","START_MAXIMIZED=FALSE&amp;VAR:CALENDAR=US&amp;VAR:SYMBOL=DNB&amp;VAR:INDEX=0"}</definedName>
    <definedName name="_2648__FDSAUDITLINK__" localSheetId="7" hidden="1">{"fdsup://directions/FAT Viewer?action=UPDATE&amp;creator=factset&amp;DYN_ARGS=TRUE&amp;DOC_NAME=FAT:FQL_AUDITING_CLIENT_TEMPLATE.FAT&amp;display_string=Audit&amp;VAR:KEY=VMZWVYBSLC&amp;VAR:QUERY=UkdGX1RBWF9SQVRFKEFOTiwwLCwsLCwsTk9BVURJVCk=&amp;WINDOW=FIRST_POPUP&amp;HEIGHT=450&amp;WIDTH=450&amp;","START_MAXIMIZED=FALSE&amp;VAR:CALENDAR=US&amp;VAR:SYMBOL=DNB&amp;VAR:INDEX=0"}</definedName>
    <definedName name="_2648__FDSAUDITLINK__" hidden="1">{"fdsup://directions/FAT Viewer?action=UPDATE&amp;creator=factset&amp;DYN_ARGS=TRUE&amp;DOC_NAME=FAT:FQL_AUDITING_CLIENT_TEMPLATE.FAT&amp;display_string=Audit&amp;VAR:KEY=VMZWVYBSLC&amp;VAR:QUERY=UkdGX1RBWF9SQVRFKEFOTiwwLCwsLCwsTk9BVURJVCk=&amp;WINDOW=FIRST_POPUP&amp;HEIGHT=450&amp;WIDTH=450&amp;","START_MAXIMIZED=FALSE&amp;VAR:CALENDAR=US&amp;VAR:SYMBOL=DNB&amp;VAR:INDEX=0"}</definedName>
    <definedName name="_2649__FDSAUDITLINK__" localSheetId="3" hidden="1">{"fdsup://directions/FAT Viewer?action=UPDATE&amp;creator=factset&amp;DYN_ARGS=TRUE&amp;DOC_NAME=FAT:FQL_AUDITING_CLIENT_TEMPLATE.FAT&amp;display_string=Audit&amp;VAR:KEY=TWJSXEDIPE&amp;VAR:QUERY=UkdGX1RBWF9SQVRFKEFOTiwwLCwsLCwsTk9BVURJVCk=&amp;WINDOW=FIRST_POPUP&amp;HEIGHT=450&amp;WIDTH=450&amp;","START_MAXIMIZED=FALSE&amp;VAR:CALENDAR=US&amp;VAR:SYMBOL=DLB&amp;VAR:INDEX=0"}</definedName>
    <definedName name="_2649__FDSAUDITLINK__" localSheetId="7" hidden="1">{"fdsup://directions/FAT Viewer?action=UPDATE&amp;creator=factset&amp;DYN_ARGS=TRUE&amp;DOC_NAME=FAT:FQL_AUDITING_CLIENT_TEMPLATE.FAT&amp;display_string=Audit&amp;VAR:KEY=TWJSXEDIPE&amp;VAR:QUERY=UkdGX1RBWF9SQVRFKEFOTiwwLCwsLCwsTk9BVURJVCk=&amp;WINDOW=FIRST_POPUP&amp;HEIGHT=450&amp;WIDTH=450&amp;","START_MAXIMIZED=FALSE&amp;VAR:CALENDAR=US&amp;VAR:SYMBOL=DLB&amp;VAR:INDEX=0"}</definedName>
    <definedName name="_2649__FDSAUDITLINK__" hidden="1">{"fdsup://directions/FAT Viewer?action=UPDATE&amp;creator=factset&amp;DYN_ARGS=TRUE&amp;DOC_NAME=FAT:FQL_AUDITING_CLIENT_TEMPLATE.FAT&amp;display_string=Audit&amp;VAR:KEY=TWJSXEDIPE&amp;VAR:QUERY=UkdGX1RBWF9SQVRFKEFOTiwwLCwsLCwsTk9BVURJVCk=&amp;WINDOW=FIRST_POPUP&amp;HEIGHT=450&amp;WIDTH=450&amp;","START_MAXIMIZED=FALSE&amp;VAR:CALENDAR=US&amp;VAR:SYMBOL=DLB&amp;VAR:INDEX=0"}</definedName>
    <definedName name="_265__FDSAUDITLINK__" localSheetId="3" hidden="1">{"fdsup://directions/FAT Viewer?action=UPDATE&amp;creator=factset&amp;DYN_ARGS=TRUE&amp;DOC_NAME=FAT:FQL_AUDITING_CLIENT_TEMPLATE.FAT&amp;display_string=Audit&amp;VAR:KEY=SFQVUXOJYT&amp;VAR:QUERY=RkZfTkVUX0lOQyhMVE0sMCwsLCwsTSk=&amp;WINDOW=FIRST_POPUP&amp;HEIGHT=450&amp;WIDTH=450&amp;START_MAXIMI","ZED=FALSE&amp;VAR:CALENDAR=US&amp;VAR:SYMBOL=B17MHG&amp;VAR:INDEX=0"}</definedName>
    <definedName name="_265__FDSAUDITLINK__" localSheetId="7" hidden="1">{"fdsup://directions/FAT Viewer?action=UPDATE&amp;creator=factset&amp;DYN_ARGS=TRUE&amp;DOC_NAME=FAT:FQL_AUDITING_CLIENT_TEMPLATE.FAT&amp;display_string=Audit&amp;VAR:KEY=SFQVUXOJYT&amp;VAR:QUERY=RkZfTkVUX0lOQyhMVE0sMCwsLCwsTSk=&amp;WINDOW=FIRST_POPUP&amp;HEIGHT=450&amp;WIDTH=450&amp;START_MAXIMI","ZED=FALSE&amp;VAR:CALENDAR=US&amp;VAR:SYMBOL=B17MHG&amp;VAR:INDEX=0"}</definedName>
    <definedName name="_265__FDSAUDITLINK__" hidden="1">{"fdsup://directions/FAT Viewer?action=UPDATE&amp;creator=factset&amp;DYN_ARGS=TRUE&amp;DOC_NAME=FAT:FQL_AUDITING_CLIENT_TEMPLATE.FAT&amp;display_string=Audit&amp;VAR:KEY=SFQVUXOJYT&amp;VAR:QUERY=RkZfTkVUX0lOQyhMVE0sMCwsLCwsTSk=&amp;WINDOW=FIRST_POPUP&amp;HEIGHT=450&amp;WIDTH=450&amp;START_MAXIMI","ZED=FALSE&amp;VAR:CALENDAR=US&amp;VAR:SYMBOL=B17MHG&amp;VAR:INDEX=0"}</definedName>
    <definedName name="_2650__FDSAUDITLINK__" localSheetId="3" hidden="1">{"fdsup://directions/FAT Viewer?action=UPDATE&amp;creator=factset&amp;DYN_ARGS=TRUE&amp;DOC_NAME=FAT:FQL_AUDITING_CLIENT_TEMPLATE.FAT&amp;display_string=Audit&amp;VAR:KEY=TWJSXEDIPE&amp;VAR:QUERY=UkdGX1RBWF9SQVRFKEFOTiwwLCwsLCwsTk9BVURJVCk=&amp;WINDOW=FIRST_POPUP&amp;HEIGHT=450&amp;WIDTH=450&amp;","START_MAXIMIZED=FALSE&amp;VAR:CALENDAR=US&amp;VAR:SYMBOL=DLB&amp;VAR:INDEX=0"}</definedName>
    <definedName name="_2650__FDSAUDITLINK__" localSheetId="7" hidden="1">{"fdsup://directions/FAT Viewer?action=UPDATE&amp;creator=factset&amp;DYN_ARGS=TRUE&amp;DOC_NAME=FAT:FQL_AUDITING_CLIENT_TEMPLATE.FAT&amp;display_string=Audit&amp;VAR:KEY=TWJSXEDIPE&amp;VAR:QUERY=UkdGX1RBWF9SQVRFKEFOTiwwLCwsLCwsTk9BVURJVCk=&amp;WINDOW=FIRST_POPUP&amp;HEIGHT=450&amp;WIDTH=450&amp;","START_MAXIMIZED=FALSE&amp;VAR:CALENDAR=US&amp;VAR:SYMBOL=DLB&amp;VAR:INDEX=0"}</definedName>
    <definedName name="_2650__FDSAUDITLINK__" hidden="1">{"fdsup://directions/FAT Viewer?action=UPDATE&amp;creator=factset&amp;DYN_ARGS=TRUE&amp;DOC_NAME=FAT:FQL_AUDITING_CLIENT_TEMPLATE.FAT&amp;display_string=Audit&amp;VAR:KEY=TWJSXEDIPE&amp;VAR:QUERY=UkdGX1RBWF9SQVRFKEFOTiwwLCwsLCwsTk9BVURJVCk=&amp;WINDOW=FIRST_POPUP&amp;HEIGHT=450&amp;WIDTH=450&amp;","START_MAXIMIZED=FALSE&amp;VAR:CALENDAR=US&amp;VAR:SYMBOL=DLB&amp;VAR:INDEX=0"}</definedName>
    <definedName name="_2651__FDSAUDITLINK__" localSheetId="3" hidden="1">{"fdsup://directions/FAT Viewer?action=UPDATE&amp;creator=factset&amp;DYN_ARGS=TRUE&amp;DOC_NAME=FAT:FQL_AUDITING_CLIENT_TEMPLATE.FAT&amp;display_string=Audit&amp;VAR:KEY=NQZMFWXSLO&amp;VAR:QUERY=UkdGX1RBWF9SQVRFKEFOTiwwLCwsLCwsTk9BVURJVCk=&amp;WINDOW=FIRST_POPUP&amp;HEIGHT=450&amp;WIDTH=450&amp;","START_MAXIMIZED=FALSE&amp;VAR:CALENDAR=US&amp;VAR:SYMBOL=DRIV&amp;VAR:INDEX=0"}</definedName>
    <definedName name="_2651__FDSAUDITLINK__" localSheetId="7" hidden="1">{"fdsup://directions/FAT Viewer?action=UPDATE&amp;creator=factset&amp;DYN_ARGS=TRUE&amp;DOC_NAME=FAT:FQL_AUDITING_CLIENT_TEMPLATE.FAT&amp;display_string=Audit&amp;VAR:KEY=NQZMFWXSLO&amp;VAR:QUERY=UkdGX1RBWF9SQVRFKEFOTiwwLCwsLCwsTk9BVURJVCk=&amp;WINDOW=FIRST_POPUP&amp;HEIGHT=450&amp;WIDTH=450&amp;","START_MAXIMIZED=FALSE&amp;VAR:CALENDAR=US&amp;VAR:SYMBOL=DRIV&amp;VAR:INDEX=0"}</definedName>
    <definedName name="_2651__FDSAUDITLINK__" hidden="1">{"fdsup://directions/FAT Viewer?action=UPDATE&amp;creator=factset&amp;DYN_ARGS=TRUE&amp;DOC_NAME=FAT:FQL_AUDITING_CLIENT_TEMPLATE.FAT&amp;display_string=Audit&amp;VAR:KEY=NQZMFWXSLO&amp;VAR:QUERY=UkdGX1RBWF9SQVRFKEFOTiwwLCwsLCwsTk9BVURJVCk=&amp;WINDOW=FIRST_POPUP&amp;HEIGHT=450&amp;WIDTH=450&amp;","START_MAXIMIZED=FALSE&amp;VAR:CALENDAR=US&amp;VAR:SYMBOL=DRIV&amp;VAR:INDEX=0"}</definedName>
    <definedName name="_2652__FDSAUDITLINK__" localSheetId="3" hidden="1">{"fdsup://directions/FAT Viewer?action=UPDATE&amp;creator=factset&amp;DYN_ARGS=TRUE&amp;DOC_NAME=FAT:FQL_AUDITING_CLIENT_TEMPLATE.FAT&amp;display_string=Audit&amp;VAR:KEY=NQZMFWXSLO&amp;VAR:QUERY=UkdGX1RBWF9SQVRFKEFOTiwwLCwsLCwsTk9BVURJVCk=&amp;WINDOW=FIRST_POPUP&amp;HEIGHT=450&amp;WIDTH=450&amp;","START_MAXIMIZED=FALSE&amp;VAR:CALENDAR=US&amp;VAR:SYMBOL=DRIV&amp;VAR:INDEX=0"}</definedName>
    <definedName name="_2652__FDSAUDITLINK__" localSheetId="7" hidden="1">{"fdsup://directions/FAT Viewer?action=UPDATE&amp;creator=factset&amp;DYN_ARGS=TRUE&amp;DOC_NAME=FAT:FQL_AUDITING_CLIENT_TEMPLATE.FAT&amp;display_string=Audit&amp;VAR:KEY=NQZMFWXSLO&amp;VAR:QUERY=UkdGX1RBWF9SQVRFKEFOTiwwLCwsLCwsTk9BVURJVCk=&amp;WINDOW=FIRST_POPUP&amp;HEIGHT=450&amp;WIDTH=450&amp;","START_MAXIMIZED=FALSE&amp;VAR:CALENDAR=US&amp;VAR:SYMBOL=DRIV&amp;VAR:INDEX=0"}</definedName>
    <definedName name="_2652__FDSAUDITLINK__" hidden="1">{"fdsup://directions/FAT Viewer?action=UPDATE&amp;creator=factset&amp;DYN_ARGS=TRUE&amp;DOC_NAME=FAT:FQL_AUDITING_CLIENT_TEMPLATE.FAT&amp;display_string=Audit&amp;VAR:KEY=NQZMFWXSLO&amp;VAR:QUERY=UkdGX1RBWF9SQVRFKEFOTiwwLCwsLCwsTk9BVURJVCk=&amp;WINDOW=FIRST_POPUP&amp;HEIGHT=450&amp;WIDTH=450&amp;","START_MAXIMIZED=FALSE&amp;VAR:CALENDAR=US&amp;VAR:SYMBOL=DRIV&amp;VAR:INDEX=0"}</definedName>
    <definedName name="_2653__FDSAUDITLINK__" localSheetId="3" hidden="1">{"fdsup://directions/FAT Viewer?action=UPDATE&amp;creator=factset&amp;DYN_ARGS=TRUE&amp;DOC_NAME=FAT:FQL_AUDITING_CLIENT_TEMPLATE.FAT&amp;display_string=Audit&amp;VAR:KEY=HQBQZIVMXM&amp;VAR:QUERY=UkdGX1RBWF9SQVRFKEFOTiwwLCwsLCwsTk9BVURJVCk=&amp;WINDOW=FIRST_POPUP&amp;HEIGHT=450&amp;WIDTH=450&amp;","START_MAXIMIZED=FALSE&amp;VAR:CALENDAR=US&amp;VAR:SYMBOL=DGI&amp;VAR:INDEX=0"}</definedName>
    <definedName name="_2653__FDSAUDITLINK__" localSheetId="7" hidden="1">{"fdsup://directions/FAT Viewer?action=UPDATE&amp;creator=factset&amp;DYN_ARGS=TRUE&amp;DOC_NAME=FAT:FQL_AUDITING_CLIENT_TEMPLATE.FAT&amp;display_string=Audit&amp;VAR:KEY=HQBQZIVMXM&amp;VAR:QUERY=UkdGX1RBWF9SQVRFKEFOTiwwLCwsLCwsTk9BVURJVCk=&amp;WINDOW=FIRST_POPUP&amp;HEIGHT=450&amp;WIDTH=450&amp;","START_MAXIMIZED=FALSE&amp;VAR:CALENDAR=US&amp;VAR:SYMBOL=DGI&amp;VAR:INDEX=0"}</definedName>
    <definedName name="_2653__FDSAUDITLINK__" hidden="1">{"fdsup://directions/FAT Viewer?action=UPDATE&amp;creator=factset&amp;DYN_ARGS=TRUE&amp;DOC_NAME=FAT:FQL_AUDITING_CLIENT_TEMPLATE.FAT&amp;display_string=Audit&amp;VAR:KEY=HQBQZIVMXM&amp;VAR:QUERY=UkdGX1RBWF9SQVRFKEFOTiwwLCwsLCwsTk9BVURJVCk=&amp;WINDOW=FIRST_POPUP&amp;HEIGHT=450&amp;WIDTH=450&amp;","START_MAXIMIZED=FALSE&amp;VAR:CALENDAR=US&amp;VAR:SYMBOL=DGI&amp;VAR:INDEX=0"}</definedName>
    <definedName name="_2654__FDSAUDITLINK__" localSheetId="3" hidden="1">{"fdsup://directions/FAT Viewer?action=UPDATE&amp;creator=factset&amp;DYN_ARGS=TRUE&amp;DOC_NAME=FAT:FQL_AUDITING_CLIENT_TEMPLATE.FAT&amp;display_string=Audit&amp;VAR:KEY=HQBQZIVMXM&amp;VAR:QUERY=UkdGX1RBWF9SQVRFKEFOTiwwLCwsLCwsTk9BVURJVCk=&amp;WINDOW=FIRST_POPUP&amp;HEIGHT=450&amp;WIDTH=450&amp;","START_MAXIMIZED=FALSE&amp;VAR:CALENDAR=US&amp;VAR:SYMBOL=DGI&amp;VAR:INDEX=0"}</definedName>
    <definedName name="_2654__FDSAUDITLINK__" localSheetId="7" hidden="1">{"fdsup://directions/FAT Viewer?action=UPDATE&amp;creator=factset&amp;DYN_ARGS=TRUE&amp;DOC_NAME=FAT:FQL_AUDITING_CLIENT_TEMPLATE.FAT&amp;display_string=Audit&amp;VAR:KEY=HQBQZIVMXM&amp;VAR:QUERY=UkdGX1RBWF9SQVRFKEFOTiwwLCwsLCwsTk9BVURJVCk=&amp;WINDOW=FIRST_POPUP&amp;HEIGHT=450&amp;WIDTH=450&amp;","START_MAXIMIZED=FALSE&amp;VAR:CALENDAR=US&amp;VAR:SYMBOL=DGI&amp;VAR:INDEX=0"}</definedName>
    <definedName name="_2654__FDSAUDITLINK__" hidden="1">{"fdsup://directions/FAT Viewer?action=UPDATE&amp;creator=factset&amp;DYN_ARGS=TRUE&amp;DOC_NAME=FAT:FQL_AUDITING_CLIENT_TEMPLATE.FAT&amp;display_string=Audit&amp;VAR:KEY=HQBQZIVMXM&amp;VAR:QUERY=UkdGX1RBWF9SQVRFKEFOTiwwLCwsLCwsTk9BVURJVCk=&amp;WINDOW=FIRST_POPUP&amp;HEIGHT=450&amp;WIDTH=450&amp;","START_MAXIMIZED=FALSE&amp;VAR:CALENDAR=US&amp;VAR:SYMBOL=DGI&amp;VAR:INDEX=0"}</definedName>
    <definedName name="_2655__FDSAUDITLINK__" localSheetId="3" hidden="1">{"fdsup://directions/FAT Viewer?action=UPDATE&amp;creator=factset&amp;DYN_ARGS=TRUE&amp;DOC_NAME=FAT:FQL_AUDITING_CLIENT_TEMPLATE.FAT&amp;display_string=Audit&amp;VAR:KEY=BEZCBIPGHW&amp;VAR:QUERY=UkdGX1RBWF9SQVRFKEFOTiwwLCwsLCwsTk9BVURJVCk=&amp;WINDOW=FIRST_POPUP&amp;HEIGHT=450&amp;WIDTH=450&amp;","START_MAXIMIZED=FALSE&amp;VAR:CALENDAR=US&amp;VAR:SYMBOL=DMAN&amp;VAR:INDEX=0"}</definedName>
    <definedName name="_2655__FDSAUDITLINK__" localSheetId="7" hidden="1">{"fdsup://directions/FAT Viewer?action=UPDATE&amp;creator=factset&amp;DYN_ARGS=TRUE&amp;DOC_NAME=FAT:FQL_AUDITING_CLIENT_TEMPLATE.FAT&amp;display_string=Audit&amp;VAR:KEY=BEZCBIPGHW&amp;VAR:QUERY=UkdGX1RBWF9SQVRFKEFOTiwwLCwsLCwsTk9BVURJVCk=&amp;WINDOW=FIRST_POPUP&amp;HEIGHT=450&amp;WIDTH=450&amp;","START_MAXIMIZED=FALSE&amp;VAR:CALENDAR=US&amp;VAR:SYMBOL=DMAN&amp;VAR:INDEX=0"}</definedName>
    <definedName name="_2655__FDSAUDITLINK__" hidden="1">{"fdsup://directions/FAT Viewer?action=UPDATE&amp;creator=factset&amp;DYN_ARGS=TRUE&amp;DOC_NAME=FAT:FQL_AUDITING_CLIENT_TEMPLATE.FAT&amp;display_string=Audit&amp;VAR:KEY=BEZCBIPGHW&amp;VAR:QUERY=UkdGX1RBWF9SQVRFKEFOTiwwLCwsLCwsTk9BVURJVCk=&amp;WINDOW=FIRST_POPUP&amp;HEIGHT=450&amp;WIDTH=450&amp;","START_MAXIMIZED=FALSE&amp;VAR:CALENDAR=US&amp;VAR:SYMBOL=DMAN&amp;VAR:INDEX=0"}</definedName>
    <definedName name="_2656__FDSAUDITLINK__" localSheetId="3" hidden="1">{"fdsup://directions/FAT Viewer?action=UPDATE&amp;creator=factset&amp;DYN_ARGS=TRUE&amp;DOC_NAME=FAT:FQL_AUDITING_CLIENT_TEMPLATE.FAT&amp;display_string=Audit&amp;VAR:KEY=ZAJOTOJMHA&amp;VAR:QUERY=UkdGX1RBWF9SQVRFKEFOTiwwLCwsLCwsTk9BVURJVCk=&amp;WINDOW=FIRST_POPUP&amp;HEIGHT=450&amp;WIDTH=450&amp;","START_MAXIMIZED=FALSE&amp;VAR:CALENDAR=US&amp;VAR:SYMBOL=PROJ&amp;VAR:INDEX=0"}</definedName>
    <definedName name="_2656__FDSAUDITLINK__" localSheetId="7" hidden="1">{"fdsup://directions/FAT Viewer?action=UPDATE&amp;creator=factset&amp;DYN_ARGS=TRUE&amp;DOC_NAME=FAT:FQL_AUDITING_CLIENT_TEMPLATE.FAT&amp;display_string=Audit&amp;VAR:KEY=ZAJOTOJMHA&amp;VAR:QUERY=UkdGX1RBWF9SQVRFKEFOTiwwLCwsLCwsTk9BVURJVCk=&amp;WINDOW=FIRST_POPUP&amp;HEIGHT=450&amp;WIDTH=450&amp;","START_MAXIMIZED=FALSE&amp;VAR:CALENDAR=US&amp;VAR:SYMBOL=PROJ&amp;VAR:INDEX=0"}</definedName>
    <definedName name="_2656__FDSAUDITLINK__" hidden="1">{"fdsup://directions/FAT Viewer?action=UPDATE&amp;creator=factset&amp;DYN_ARGS=TRUE&amp;DOC_NAME=FAT:FQL_AUDITING_CLIENT_TEMPLATE.FAT&amp;display_string=Audit&amp;VAR:KEY=ZAJOTOJMHA&amp;VAR:QUERY=UkdGX1RBWF9SQVRFKEFOTiwwLCwsLCwsTk9BVURJVCk=&amp;WINDOW=FIRST_POPUP&amp;HEIGHT=450&amp;WIDTH=450&amp;","START_MAXIMIZED=FALSE&amp;VAR:CALENDAR=US&amp;VAR:SYMBOL=PROJ&amp;VAR:INDEX=0"}</definedName>
    <definedName name="_2657__FDSAUDITLINK__" localSheetId="3" hidden="1">{"fdsup://directions/FAT Viewer?action=UPDATE&amp;creator=factset&amp;DYN_ARGS=TRUE&amp;DOC_NAME=FAT:FQL_AUDITING_CLIENT_TEMPLATE.FAT&amp;display_string=Audit&amp;VAR:KEY=XUFCXYFCHW&amp;VAR:QUERY=UkdGX1RBWF9SQVRFKEFOTiwwLCwsLCwsTk9BVURJVCk=&amp;WINDOW=FIRST_POPUP&amp;HEIGHT=450&amp;WIDTH=450&amp;","START_MAXIMIZED=FALSE&amp;VAR:CALENDAR=US&amp;VAR:SYMBOL=DELL&amp;VAR:INDEX=0"}</definedName>
    <definedName name="_2657__FDSAUDITLINK__" localSheetId="7" hidden="1">{"fdsup://directions/FAT Viewer?action=UPDATE&amp;creator=factset&amp;DYN_ARGS=TRUE&amp;DOC_NAME=FAT:FQL_AUDITING_CLIENT_TEMPLATE.FAT&amp;display_string=Audit&amp;VAR:KEY=XUFCXYFCHW&amp;VAR:QUERY=UkdGX1RBWF9SQVRFKEFOTiwwLCwsLCwsTk9BVURJVCk=&amp;WINDOW=FIRST_POPUP&amp;HEIGHT=450&amp;WIDTH=450&amp;","START_MAXIMIZED=FALSE&amp;VAR:CALENDAR=US&amp;VAR:SYMBOL=DELL&amp;VAR:INDEX=0"}</definedName>
    <definedName name="_2657__FDSAUDITLINK__" hidden="1">{"fdsup://directions/FAT Viewer?action=UPDATE&amp;creator=factset&amp;DYN_ARGS=TRUE&amp;DOC_NAME=FAT:FQL_AUDITING_CLIENT_TEMPLATE.FAT&amp;display_string=Audit&amp;VAR:KEY=XUFCXYFCHW&amp;VAR:QUERY=UkdGX1RBWF9SQVRFKEFOTiwwLCwsLCwsTk9BVURJVCk=&amp;WINDOW=FIRST_POPUP&amp;HEIGHT=450&amp;WIDTH=450&amp;","START_MAXIMIZED=FALSE&amp;VAR:CALENDAR=US&amp;VAR:SYMBOL=DELL&amp;VAR:INDEX=0"}</definedName>
    <definedName name="_2658__FDSAUDITLINK__" localSheetId="3" hidden="1">{"fdsup://directions/FAT Viewer?action=UPDATE&amp;creator=factset&amp;DYN_ARGS=TRUE&amp;DOC_NAME=FAT:FQL_AUDITING_CLIENT_TEMPLATE.FAT&amp;display_string=Audit&amp;VAR:KEY=XUFCXYFCHW&amp;VAR:QUERY=UkdGX1RBWF9SQVRFKEFOTiwwLCwsLCwsTk9BVURJVCk=&amp;WINDOW=FIRST_POPUP&amp;HEIGHT=450&amp;WIDTH=450&amp;","START_MAXIMIZED=FALSE&amp;VAR:CALENDAR=US&amp;VAR:SYMBOL=DELL&amp;VAR:INDEX=0"}</definedName>
    <definedName name="_2658__FDSAUDITLINK__" localSheetId="7" hidden="1">{"fdsup://directions/FAT Viewer?action=UPDATE&amp;creator=factset&amp;DYN_ARGS=TRUE&amp;DOC_NAME=FAT:FQL_AUDITING_CLIENT_TEMPLATE.FAT&amp;display_string=Audit&amp;VAR:KEY=XUFCXYFCHW&amp;VAR:QUERY=UkdGX1RBWF9SQVRFKEFOTiwwLCwsLCwsTk9BVURJVCk=&amp;WINDOW=FIRST_POPUP&amp;HEIGHT=450&amp;WIDTH=450&amp;","START_MAXIMIZED=FALSE&amp;VAR:CALENDAR=US&amp;VAR:SYMBOL=DELL&amp;VAR:INDEX=0"}</definedName>
    <definedName name="_2658__FDSAUDITLINK__" hidden="1">{"fdsup://directions/FAT Viewer?action=UPDATE&amp;creator=factset&amp;DYN_ARGS=TRUE&amp;DOC_NAME=FAT:FQL_AUDITING_CLIENT_TEMPLATE.FAT&amp;display_string=Audit&amp;VAR:KEY=XUFCXYFCHW&amp;VAR:QUERY=UkdGX1RBWF9SQVRFKEFOTiwwLCwsLCwsTk9BVURJVCk=&amp;WINDOW=FIRST_POPUP&amp;HEIGHT=450&amp;WIDTH=450&amp;","START_MAXIMIZED=FALSE&amp;VAR:CALENDAR=US&amp;VAR:SYMBOL=DELL&amp;VAR:INDEX=0"}</definedName>
    <definedName name="_2659__FDSAUDITLINK__" localSheetId="3" hidden="1">{"fdsup://directions/FAT Viewer?action=UPDATE&amp;creator=factset&amp;DYN_ARGS=TRUE&amp;DOC_NAME=FAT:FQL_AUDITING_CLIENT_TEMPLATE.FAT&amp;display_string=Audit&amp;VAR:KEY=LAZWDYLGNO&amp;VAR:QUERY=UkdGX1RBWF9SQVRFKEFOTiwwLCwsLCwsTk9BVURJVCk=&amp;WINDOW=FIRST_POPUP&amp;HEIGHT=450&amp;WIDTH=450&amp;","START_MAXIMIZED=FALSE&amp;VAR:CALENDAR=US&amp;VAR:SYMBOL=TRAK&amp;VAR:INDEX=0"}</definedName>
    <definedName name="_2659__FDSAUDITLINK__" localSheetId="7" hidden="1">{"fdsup://directions/FAT Viewer?action=UPDATE&amp;creator=factset&amp;DYN_ARGS=TRUE&amp;DOC_NAME=FAT:FQL_AUDITING_CLIENT_TEMPLATE.FAT&amp;display_string=Audit&amp;VAR:KEY=LAZWDYLGNO&amp;VAR:QUERY=UkdGX1RBWF9SQVRFKEFOTiwwLCwsLCwsTk9BVURJVCk=&amp;WINDOW=FIRST_POPUP&amp;HEIGHT=450&amp;WIDTH=450&amp;","START_MAXIMIZED=FALSE&amp;VAR:CALENDAR=US&amp;VAR:SYMBOL=TRAK&amp;VAR:INDEX=0"}</definedName>
    <definedName name="_2659__FDSAUDITLINK__" hidden="1">{"fdsup://directions/FAT Viewer?action=UPDATE&amp;creator=factset&amp;DYN_ARGS=TRUE&amp;DOC_NAME=FAT:FQL_AUDITING_CLIENT_TEMPLATE.FAT&amp;display_string=Audit&amp;VAR:KEY=LAZWDYLGNO&amp;VAR:QUERY=UkdGX1RBWF9SQVRFKEFOTiwwLCwsLCwsTk9BVURJVCk=&amp;WINDOW=FIRST_POPUP&amp;HEIGHT=450&amp;WIDTH=450&amp;","START_MAXIMIZED=FALSE&amp;VAR:CALENDAR=US&amp;VAR:SYMBOL=TRAK&amp;VAR:INDEX=0"}</definedName>
    <definedName name="_266__FDSAUDITLINK__" localSheetId="3" hidden="1">{"fdsup://directions/FAT Viewer?action=UPDATE&amp;creator=factset&amp;DYN_ARGS=TRUE&amp;DOC_NAME=FAT:FQL_AUDITING_CLIENT_TEMPLATE.FAT&amp;display_string=Audit&amp;VAR:KEY=LWPUBODWTG&amp;VAR:QUERY=RkZfTkVUX0lOQyhMVE0sMCwsLCwsTSk=&amp;WINDOW=FIRST_POPUP&amp;HEIGHT=450&amp;WIDTH=450&amp;START_MAXIMI","ZED=FALSE&amp;VAR:CALENDAR=US&amp;VAR:SYMBOL=B29VWQ&amp;VAR:INDEX=0"}</definedName>
    <definedName name="_266__FDSAUDITLINK__" localSheetId="7" hidden="1">{"fdsup://directions/FAT Viewer?action=UPDATE&amp;creator=factset&amp;DYN_ARGS=TRUE&amp;DOC_NAME=FAT:FQL_AUDITING_CLIENT_TEMPLATE.FAT&amp;display_string=Audit&amp;VAR:KEY=LWPUBODWTG&amp;VAR:QUERY=RkZfTkVUX0lOQyhMVE0sMCwsLCwsTSk=&amp;WINDOW=FIRST_POPUP&amp;HEIGHT=450&amp;WIDTH=450&amp;START_MAXIMI","ZED=FALSE&amp;VAR:CALENDAR=US&amp;VAR:SYMBOL=B29VWQ&amp;VAR:INDEX=0"}</definedName>
    <definedName name="_266__FDSAUDITLINK__" hidden="1">{"fdsup://directions/FAT Viewer?action=UPDATE&amp;creator=factset&amp;DYN_ARGS=TRUE&amp;DOC_NAME=FAT:FQL_AUDITING_CLIENT_TEMPLATE.FAT&amp;display_string=Audit&amp;VAR:KEY=LWPUBODWTG&amp;VAR:QUERY=RkZfTkVUX0lOQyhMVE0sMCwsLCwsTSk=&amp;WINDOW=FIRST_POPUP&amp;HEIGHT=450&amp;WIDTH=450&amp;START_MAXIMI","ZED=FALSE&amp;VAR:CALENDAR=US&amp;VAR:SYMBOL=B29VWQ&amp;VAR:INDEX=0"}</definedName>
    <definedName name="_2660__FDSAUDITLINK__" localSheetId="3" hidden="1">{"fdsup://directions/FAT Viewer?action=UPDATE&amp;creator=factset&amp;DYN_ARGS=TRUE&amp;DOC_NAME=FAT:FQL_AUDITING_CLIENT_TEMPLATE.FAT&amp;display_string=Audit&amp;VAR:KEY=LAZWDYLGNO&amp;VAR:QUERY=UkdGX1RBWF9SQVRFKEFOTiwwLCwsLCwsTk9BVURJVCk=&amp;WINDOW=FIRST_POPUP&amp;HEIGHT=450&amp;WIDTH=450&amp;","START_MAXIMIZED=FALSE&amp;VAR:CALENDAR=US&amp;VAR:SYMBOL=TRAK&amp;VAR:INDEX=0"}</definedName>
    <definedName name="_2660__FDSAUDITLINK__" localSheetId="7" hidden="1">{"fdsup://directions/FAT Viewer?action=UPDATE&amp;creator=factset&amp;DYN_ARGS=TRUE&amp;DOC_NAME=FAT:FQL_AUDITING_CLIENT_TEMPLATE.FAT&amp;display_string=Audit&amp;VAR:KEY=LAZWDYLGNO&amp;VAR:QUERY=UkdGX1RBWF9SQVRFKEFOTiwwLCwsLCwsTk9BVURJVCk=&amp;WINDOW=FIRST_POPUP&amp;HEIGHT=450&amp;WIDTH=450&amp;","START_MAXIMIZED=FALSE&amp;VAR:CALENDAR=US&amp;VAR:SYMBOL=TRAK&amp;VAR:INDEX=0"}</definedName>
    <definedName name="_2660__FDSAUDITLINK__" hidden="1">{"fdsup://directions/FAT Viewer?action=UPDATE&amp;creator=factset&amp;DYN_ARGS=TRUE&amp;DOC_NAME=FAT:FQL_AUDITING_CLIENT_TEMPLATE.FAT&amp;display_string=Audit&amp;VAR:KEY=LAZWDYLGNO&amp;VAR:QUERY=UkdGX1RBWF9SQVRFKEFOTiwwLCwsLCwsTk9BVURJVCk=&amp;WINDOW=FIRST_POPUP&amp;HEIGHT=450&amp;WIDTH=450&amp;","START_MAXIMIZED=FALSE&amp;VAR:CALENDAR=US&amp;VAR:SYMBOL=TRAK&amp;VAR:INDEX=0"}</definedName>
    <definedName name="_2661__FDSAUDITLINK__" localSheetId="3" hidden="1">{"fdsup://directions/FAT Viewer?action=UPDATE&amp;creator=factset&amp;DYN_ARGS=TRUE&amp;DOC_NAME=FAT:FQL_AUDITING_CLIENT_TEMPLATE.FAT&amp;display_string=Audit&amp;VAR:KEY=DKBYZORMPC&amp;VAR:QUERY=UkdGX1RBWF9SQVRFKEFOTiwwLCwsLCwsTk9BVURJVCk=&amp;WINDOW=FIRST_POPUP&amp;HEIGHT=450&amp;WIDTH=450&amp;","START_MAXIMIZED=FALSE&amp;VAR:CALENDAR=US&amp;VAR:SYMBOL=DWSN&amp;VAR:INDEX=0"}</definedName>
    <definedName name="_2661__FDSAUDITLINK__" localSheetId="7" hidden="1">{"fdsup://directions/FAT Viewer?action=UPDATE&amp;creator=factset&amp;DYN_ARGS=TRUE&amp;DOC_NAME=FAT:FQL_AUDITING_CLIENT_TEMPLATE.FAT&amp;display_string=Audit&amp;VAR:KEY=DKBYZORMPC&amp;VAR:QUERY=UkdGX1RBWF9SQVRFKEFOTiwwLCwsLCwsTk9BVURJVCk=&amp;WINDOW=FIRST_POPUP&amp;HEIGHT=450&amp;WIDTH=450&amp;","START_MAXIMIZED=FALSE&amp;VAR:CALENDAR=US&amp;VAR:SYMBOL=DWSN&amp;VAR:INDEX=0"}</definedName>
    <definedName name="_2661__FDSAUDITLINK__" hidden="1">{"fdsup://directions/FAT Viewer?action=UPDATE&amp;creator=factset&amp;DYN_ARGS=TRUE&amp;DOC_NAME=FAT:FQL_AUDITING_CLIENT_TEMPLATE.FAT&amp;display_string=Audit&amp;VAR:KEY=DKBYZORMPC&amp;VAR:QUERY=UkdGX1RBWF9SQVRFKEFOTiwwLCwsLCwsTk9BVURJVCk=&amp;WINDOW=FIRST_POPUP&amp;HEIGHT=450&amp;WIDTH=450&amp;","START_MAXIMIZED=FALSE&amp;VAR:CALENDAR=US&amp;VAR:SYMBOL=DWSN&amp;VAR:INDEX=0"}</definedName>
    <definedName name="_2662__FDSAUDITLINK__" localSheetId="3" hidden="1">{"fdsup://directions/FAT Viewer?action=UPDATE&amp;creator=factset&amp;DYN_ARGS=TRUE&amp;DOC_NAME=FAT:FQL_AUDITING_CLIENT_TEMPLATE.FAT&amp;display_string=Audit&amp;VAR:KEY=DSRAHIDATU&amp;VAR:QUERY=UkdGX1RBWF9SQVRFKEFOTiwwLCwsLCwsTk9BVURJVCk=&amp;WINDOW=FIRST_POPUP&amp;HEIGHT=450&amp;WIDTH=450&amp;","START_MAXIMIZED=FALSE&amp;VAR:CALENDAR=US&amp;VAR:SYMBOL=DTLK&amp;VAR:INDEX=0"}</definedName>
    <definedName name="_2662__FDSAUDITLINK__" localSheetId="7" hidden="1">{"fdsup://directions/FAT Viewer?action=UPDATE&amp;creator=factset&amp;DYN_ARGS=TRUE&amp;DOC_NAME=FAT:FQL_AUDITING_CLIENT_TEMPLATE.FAT&amp;display_string=Audit&amp;VAR:KEY=DSRAHIDATU&amp;VAR:QUERY=UkdGX1RBWF9SQVRFKEFOTiwwLCwsLCwsTk9BVURJVCk=&amp;WINDOW=FIRST_POPUP&amp;HEIGHT=450&amp;WIDTH=450&amp;","START_MAXIMIZED=FALSE&amp;VAR:CALENDAR=US&amp;VAR:SYMBOL=DTLK&amp;VAR:INDEX=0"}</definedName>
    <definedName name="_2662__FDSAUDITLINK__" hidden="1">{"fdsup://directions/FAT Viewer?action=UPDATE&amp;creator=factset&amp;DYN_ARGS=TRUE&amp;DOC_NAME=FAT:FQL_AUDITING_CLIENT_TEMPLATE.FAT&amp;display_string=Audit&amp;VAR:KEY=DSRAHIDATU&amp;VAR:QUERY=UkdGX1RBWF9SQVRFKEFOTiwwLCwsLCwsTk9BVURJVCk=&amp;WINDOW=FIRST_POPUP&amp;HEIGHT=450&amp;WIDTH=450&amp;","START_MAXIMIZED=FALSE&amp;VAR:CALENDAR=US&amp;VAR:SYMBOL=DTLK&amp;VAR:INDEX=0"}</definedName>
    <definedName name="_2663__FDSAUDITLINK__" localSheetId="3" hidden="1">{"fdsup://directions/FAT Viewer?action=UPDATE&amp;creator=factset&amp;DYN_ARGS=TRUE&amp;DOC_NAME=FAT:FQL_AUDITING_CLIENT_TEMPLATE.FAT&amp;display_string=Audit&amp;VAR:KEY=DSRAHIDATU&amp;VAR:QUERY=UkdGX1RBWF9SQVRFKEFOTiwwLCwsLCwsTk9BVURJVCk=&amp;WINDOW=FIRST_POPUP&amp;HEIGHT=450&amp;WIDTH=450&amp;","START_MAXIMIZED=FALSE&amp;VAR:CALENDAR=US&amp;VAR:SYMBOL=DTLK&amp;VAR:INDEX=0"}</definedName>
    <definedName name="_2663__FDSAUDITLINK__" localSheetId="7" hidden="1">{"fdsup://directions/FAT Viewer?action=UPDATE&amp;creator=factset&amp;DYN_ARGS=TRUE&amp;DOC_NAME=FAT:FQL_AUDITING_CLIENT_TEMPLATE.FAT&amp;display_string=Audit&amp;VAR:KEY=DSRAHIDATU&amp;VAR:QUERY=UkdGX1RBWF9SQVRFKEFOTiwwLCwsLCwsTk9BVURJVCk=&amp;WINDOW=FIRST_POPUP&amp;HEIGHT=450&amp;WIDTH=450&amp;","START_MAXIMIZED=FALSE&amp;VAR:CALENDAR=US&amp;VAR:SYMBOL=DTLK&amp;VAR:INDEX=0"}</definedName>
    <definedName name="_2663__FDSAUDITLINK__" hidden="1">{"fdsup://directions/FAT Viewer?action=UPDATE&amp;creator=factset&amp;DYN_ARGS=TRUE&amp;DOC_NAME=FAT:FQL_AUDITING_CLIENT_TEMPLATE.FAT&amp;display_string=Audit&amp;VAR:KEY=DSRAHIDATU&amp;VAR:QUERY=UkdGX1RBWF9SQVRFKEFOTiwwLCwsLCwsTk9BVURJVCk=&amp;WINDOW=FIRST_POPUP&amp;HEIGHT=450&amp;WIDTH=450&amp;","START_MAXIMIZED=FALSE&amp;VAR:CALENDAR=US&amp;VAR:SYMBOL=DTLK&amp;VAR:INDEX=0"}</definedName>
    <definedName name="_2664__FDSAUDITLINK__" localSheetId="3" hidden="1">{"fdsup://directions/FAT Viewer?action=UPDATE&amp;creator=factset&amp;DYN_ARGS=TRUE&amp;DOC_NAME=FAT:FQL_AUDITING_CLIENT_TEMPLATE.FAT&amp;display_string=Audit&amp;VAR:KEY=DYTENQBOTI&amp;VAR:QUERY=UkdGX1RBWF9SQVRFKEFOTiwwLCwsLCwsTk9BVURJVCk=&amp;WINDOW=FIRST_POPUP&amp;HEIGHT=450&amp;WIDTH=450&amp;","START_MAXIMIZED=FALSE&amp;VAR:CALENDAR=US&amp;VAR:SYMBOL=533004&amp;VAR:INDEX=0"}</definedName>
    <definedName name="_2664__FDSAUDITLINK__" localSheetId="7" hidden="1">{"fdsup://directions/FAT Viewer?action=UPDATE&amp;creator=factset&amp;DYN_ARGS=TRUE&amp;DOC_NAME=FAT:FQL_AUDITING_CLIENT_TEMPLATE.FAT&amp;display_string=Audit&amp;VAR:KEY=DYTENQBOTI&amp;VAR:QUERY=UkdGX1RBWF9SQVRFKEFOTiwwLCwsLCwsTk9BVURJVCk=&amp;WINDOW=FIRST_POPUP&amp;HEIGHT=450&amp;WIDTH=450&amp;","START_MAXIMIZED=FALSE&amp;VAR:CALENDAR=US&amp;VAR:SYMBOL=533004&amp;VAR:INDEX=0"}</definedName>
    <definedName name="_2664__FDSAUDITLINK__" hidden="1">{"fdsup://directions/FAT Viewer?action=UPDATE&amp;creator=factset&amp;DYN_ARGS=TRUE&amp;DOC_NAME=FAT:FQL_AUDITING_CLIENT_TEMPLATE.FAT&amp;display_string=Audit&amp;VAR:KEY=DYTENQBOTI&amp;VAR:QUERY=UkdGX1RBWF9SQVRFKEFOTiwwLCwsLCwsTk9BVURJVCk=&amp;WINDOW=FIRST_POPUP&amp;HEIGHT=450&amp;WIDTH=450&amp;","START_MAXIMIZED=FALSE&amp;VAR:CALENDAR=US&amp;VAR:SYMBOL=533004&amp;VAR:INDEX=0"}</definedName>
    <definedName name="_2665__FDSAUDITLINK__" localSheetId="3" hidden="1">{"fdsup://directions/FAT Viewer?action=UPDATE&amp;creator=factset&amp;DYN_ARGS=TRUE&amp;DOC_NAME=FAT:FQL_AUDITING_CLIENT_TEMPLATE.FAT&amp;display_string=Audit&amp;VAR:KEY=DYTENQBOTI&amp;VAR:QUERY=UkdGX1RBWF9SQVRFKEFOTiwwLCwsLCwsTk9BVURJVCk=&amp;WINDOW=FIRST_POPUP&amp;HEIGHT=450&amp;WIDTH=450&amp;","START_MAXIMIZED=FALSE&amp;VAR:CALENDAR=US&amp;VAR:SYMBOL=533004&amp;VAR:INDEX=0"}</definedName>
    <definedName name="_2665__FDSAUDITLINK__" localSheetId="7" hidden="1">{"fdsup://directions/FAT Viewer?action=UPDATE&amp;creator=factset&amp;DYN_ARGS=TRUE&amp;DOC_NAME=FAT:FQL_AUDITING_CLIENT_TEMPLATE.FAT&amp;display_string=Audit&amp;VAR:KEY=DYTENQBOTI&amp;VAR:QUERY=UkdGX1RBWF9SQVRFKEFOTiwwLCwsLCwsTk9BVURJVCk=&amp;WINDOW=FIRST_POPUP&amp;HEIGHT=450&amp;WIDTH=450&amp;","START_MAXIMIZED=FALSE&amp;VAR:CALENDAR=US&amp;VAR:SYMBOL=533004&amp;VAR:INDEX=0"}</definedName>
    <definedName name="_2665__FDSAUDITLINK__" hidden="1">{"fdsup://directions/FAT Viewer?action=UPDATE&amp;creator=factset&amp;DYN_ARGS=TRUE&amp;DOC_NAME=FAT:FQL_AUDITING_CLIENT_TEMPLATE.FAT&amp;display_string=Audit&amp;VAR:KEY=DYTENQBOTI&amp;VAR:QUERY=UkdGX1RBWF9SQVRFKEFOTiwwLCwsLCwsTk9BVURJVCk=&amp;WINDOW=FIRST_POPUP&amp;HEIGHT=450&amp;WIDTH=450&amp;","START_MAXIMIZED=FALSE&amp;VAR:CALENDAR=US&amp;VAR:SYMBOL=533004&amp;VAR:INDEX=0"}</definedName>
    <definedName name="_2666__FDSAUDITLINK__" localSheetId="3" hidden="1">{"fdsup://directions/FAT Viewer?action=UPDATE&amp;creator=factset&amp;DYN_ARGS=TRUE&amp;DOC_NAME=FAT:FQL_AUDITING_CLIENT_TEMPLATE.FAT&amp;display_string=Audit&amp;VAR:KEY=HWBIJUDWPA&amp;VAR:QUERY=UkdGX1RBWF9SQVRFKEFOTiwwLCwsLCwsTk9BVURJVCk=&amp;WINDOW=FIRST_POPUP&amp;HEIGHT=450&amp;WIDTH=450&amp;","START_MAXIMIZED=FALSE&amp;VAR:CALENDAR=US&amp;VAR:SYMBOL=629247&amp;VAR:INDEX=0"}</definedName>
    <definedName name="_2666__FDSAUDITLINK__" localSheetId="7" hidden="1">{"fdsup://directions/FAT Viewer?action=UPDATE&amp;creator=factset&amp;DYN_ARGS=TRUE&amp;DOC_NAME=FAT:FQL_AUDITING_CLIENT_TEMPLATE.FAT&amp;display_string=Audit&amp;VAR:KEY=HWBIJUDWPA&amp;VAR:QUERY=UkdGX1RBWF9SQVRFKEFOTiwwLCwsLCwsTk9BVURJVCk=&amp;WINDOW=FIRST_POPUP&amp;HEIGHT=450&amp;WIDTH=450&amp;","START_MAXIMIZED=FALSE&amp;VAR:CALENDAR=US&amp;VAR:SYMBOL=629247&amp;VAR:INDEX=0"}</definedName>
    <definedName name="_2666__FDSAUDITLINK__" hidden="1">{"fdsup://directions/FAT Viewer?action=UPDATE&amp;creator=factset&amp;DYN_ARGS=TRUE&amp;DOC_NAME=FAT:FQL_AUDITING_CLIENT_TEMPLATE.FAT&amp;display_string=Audit&amp;VAR:KEY=HWBIJUDWPA&amp;VAR:QUERY=UkdGX1RBWF9SQVRFKEFOTiwwLCwsLCwsTk9BVURJVCk=&amp;WINDOW=FIRST_POPUP&amp;HEIGHT=450&amp;WIDTH=450&amp;","START_MAXIMIZED=FALSE&amp;VAR:CALENDAR=US&amp;VAR:SYMBOL=629247&amp;VAR:INDEX=0"}</definedName>
    <definedName name="_2667__FDSAUDITLINK__" localSheetId="3" hidden="1">{"fdsup://directions/FAT Viewer?action=UPDATE&amp;creator=factset&amp;DYN_ARGS=TRUE&amp;DOC_NAME=FAT:FQL_AUDITING_CLIENT_TEMPLATE.FAT&amp;display_string=Audit&amp;VAR:KEY=HWBIJUDWPA&amp;VAR:QUERY=UkdGX1RBWF9SQVRFKEFOTiwwLCwsLCwsTk9BVURJVCk=&amp;WINDOW=FIRST_POPUP&amp;HEIGHT=450&amp;WIDTH=450&amp;","START_MAXIMIZED=FALSE&amp;VAR:CALENDAR=US&amp;VAR:SYMBOL=629247&amp;VAR:INDEX=0"}</definedName>
    <definedName name="_2667__FDSAUDITLINK__" localSheetId="7" hidden="1">{"fdsup://directions/FAT Viewer?action=UPDATE&amp;creator=factset&amp;DYN_ARGS=TRUE&amp;DOC_NAME=FAT:FQL_AUDITING_CLIENT_TEMPLATE.FAT&amp;display_string=Audit&amp;VAR:KEY=HWBIJUDWPA&amp;VAR:QUERY=UkdGX1RBWF9SQVRFKEFOTiwwLCwsLCwsTk9BVURJVCk=&amp;WINDOW=FIRST_POPUP&amp;HEIGHT=450&amp;WIDTH=450&amp;","START_MAXIMIZED=FALSE&amp;VAR:CALENDAR=US&amp;VAR:SYMBOL=629247&amp;VAR:INDEX=0"}</definedName>
    <definedName name="_2667__FDSAUDITLINK__" hidden="1">{"fdsup://directions/FAT Viewer?action=UPDATE&amp;creator=factset&amp;DYN_ARGS=TRUE&amp;DOC_NAME=FAT:FQL_AUDITING_CLIENT_TEMPLATE.FAT&amp;display_string=Audit&amp;VAR:KEY=HWBIJUDWPA&amp;VAR:QUERY=UkdGX1RBWF9SQVRFKEFOTiwwLCwsLCwsTk9BVURJVCk=&amp;WINDOW=FIRST_POPUP&amp;HEIGHT=450&amp;WIDTH=450&amp;","START_MAXIMIZED=FALSE&amp;VAR:CALENDAR=US&amp;VAR:SYMBOL=629247&amp;VAR:INDEX=0"}</definedName>
    <definedName name="_2668__FDSAUDITLINK__" localSheetId="3" hidden="1">{"fdsup://directions/FAT Viewer?action=UPDATE&amp;creator=factset&amp;DYN_ARGS=TRUE&amp;DOC_NAME=FAT:FQL_AUDITING_CLIENT_TEMPLATE.FAT&amp;display_string=Audit&amp;VAR:KEY=JGBOFAPUNS&amp;VAR:QUERY=UkdGX1RBWF9SQVRFKEFOTiwwLCwsLCwsTk9BVURJVCk=&amp;WINDOW=FIRST_POPUP&amp;HEIGHT=450&amp;WIDTH=450&amp;","START_MAXIMIZED=FALSE&amp;VAR:CALENDAR=US&amp;VAR:SYMBOL=CSGS&amp;VAR:INDEX=0"}</definedName>
    <definedName name="_2668__FDSAUDITLINK__" localSheetId="7" hidden="1">{"fdsup://directions/FAT Viewer?action=UPDATE&amp;creator=factset&amp;DYN_ARGS=TRUE&amp;DOC_NAME=FAT:FQL_AUDITING_CLIENT_TEMPLATE.FAT&amp;display_string=Audit&amp;VAR:KEY=JGBOFAPUNS&amp;VAR:QUERY=UkdGX1RBWF9SQVRFKEFOTiwwLCwsLCwsTk9BVURJVCk=&amp;WINDOW=FIRST_POPUP&amp;HEIGHT=450&amp;WIDTH=450&amp;","START_MAXIMIZED=FALSE&amp;VAR:CALENDAR=US&amp;VAR:SYMBOL=CSGS&amp;VAR:INDEX=0"}</definedName>
    <definedName name="_2668__FDSAUDITLINK__" hidden="1">{"fdsup://directions/FAT Viewer?action=UPDATE&amp;creator=factset&amp;DYN_ARGS=TRUE&amp;DOC_NAME=FAT:FQL_AUDITING_CLIENT_TEMPLATE.FAT&amp;display_string=Audit&amp;VAR:KEY=JGBOFAPUNS&amp;VAR:QUERY=UkdGX1RBWF9SQVRFKEFOTiwwLCwsLCwsTk9BVURJVCk=&amp;WINDOW=FIRST_POPUP&amp;HEIGHT=450&amp;WIDTH=450&amp;","START_MAXIMIZED=FALSE&amp;VAR:CALENDAR=US&amp;VAR:SYMBOL=CSGS&amp;VAR:INDEX=0"}</definedName>
    <definedName name="_2669__FDSAUDITLINK__" localSheetId="3" hidden="1">{"fdsup://directions/FAT Viewer?action=UPDATE&amp;creator=factset&amp;DYN_ARGS=TRUE&amp;DOC_NAME=FAT:FQL_AUDITING_CLIENT_TEMPLATE.FAT&amp;display_string=Audit&amp;VAR:KEY=JGBOFAPUNS&amp;VAR:QUERY=UkdGX1RBWF9SQVRFKEFOTiwwLCwsLCwsTk9BVURJVCk=&amp;WINDOW=FIRST_POPUP&amp;HEIGHT=450&amp;WIDTH=450&amp;","START_MAXIMIZED=FALSE&amp;VAR:CALENDAR=US&amp;VAR:SYMBOL=CSGS&amp;VAR:INDEX=0"}</definedName>
    <definedName name="_2669__FDSAUDITLINK__" localSheetId="7" hidden="1">{"fdsup://directions/FAT Viewer?action=UPDATE&amp;creator=factset&amp;DYN_ARGS=TRUE&amp;DOC_NAME=FAT:FQL_AUDITING_CLIENT_TEMPLATE.FAT&amp;display_string=Audit&amp;VAR:KEY=JGBOFAPUNS&amp;VAR:QUERY=UkdGX1RBWF9SQVRFKEFOTiwwLCwsLCwsTk9BVURJVCk=&amp;WINDOW=FIRST_POPUP&amp;HEIGHT=450&amp;WIDTH=450&amp;","START_MAXIMIZED=FALSE&amp;VAR:CALENDAR=US&amp;VAR:SYMBOL=CSGS&amp;VAR:INDEX=0"}</definedName>
    <definedName name="_2669__FDSAUDITLINK__" hidden="1">{"fdsup://directions/FAT Viewer?action=UPDATE&amp;creator=factset&amp;DYN_ARGS=TRUE&amp;DOC_NAME=FAT:FQL_AUDITING_CLIENT_TEMPLATE.FAT&amp;display_string=Audit&amp;VAR:KEY=JGBOFAPUNS&amp;VAR:QUERY=UkdGX1RBWF9SQVRFKEFOTiwwLCwsLCwsTk9BVURJVCk=&amp;WINDOW=FIRST_POPUP&amp;HEIGHT=450&amp;WIDTH=450&amp;","START_MAXIMIZED=FALSE&amp;VAR:CALENDAR=US&amp;VAR:SYMBOL=CSGS&amp;VAR:INDEX=0"}</definedName>
    <definedName name="_267__FDSAUDITLINK__" localSheetId="3" hidden="1">{"fdsup://directions/FAT Viewer?action=UPDATE&amp;creator=factset&amp;DYN_ARGS=TRUE&amp;DOC_NAME=FAT:FQL_AUDITING_CLIENT_TEMPLATE.FAT&amp;display_string=Audit&amp;VAR:KEY=NCVUTIJWDM&amp;VAR:QUERY=RkZfRUJJVERBX09QRVIoTFRNLDAsLCwsLE0p&amp;WINDOW=FIRST_POPUP&amp;HEIGHT=450&amp;WIDTH=450&amp;START_MA","XIMIZED=FALSE&amp;VAR:CALENDAR=US&amp;VAR:SYMBOL=B128R9&amp;VAR:INDEX=0"}</definedName>
    <definedName name="_267__FDSAUDITLINK__" localSheetId="7" hidden="1">{"fdsup://directions/FAT Viewer?action=UPDATE&amp;creator=factset&amp;DYN_ARGS=TRUE&amp;DOC_NAME=FAT:FQL_AUDITING_CLIENT_TEMPLATE.FAT&amp;display_string=Audit&amp;VAR:KEY=NCVUTIJWDM&amp;VAR:QUERY=RkZfRUJJVERBX09QRVIoTFRNLDAsLCwsLE0p&amp;WINDOW=FIRST_POPUP&amp;HEIGHT=450&amp;WIDTH=450&amp;START_MA","XIMIZED=FALSE&amp;VAR:CALENDAR=US&amp;VAR:SYMBOL=B128R9&amp;VAR:INDEX=0"}</definedName>
    <definedName name="_267__FDSAUDITLINK__" hidden="1">{"fdsup://directions/FAT Viewer?action=UPDATE&amp;creator=factset&amp;DYN_ARGS=TRUE&amp;DOC_NAME=FAT:FQL_AUDITING_CLIENT_TEMPLATE.FAT&amp;display_string=Audit&amp;VAR:KEY=NCVUTIJWDM&amp;VAR:QUERY=RkZfRUJJVERBX09QRVIoTFRNLDAsLCwsLE0p&amp;WINDOW=FIRST_POPUP&amp;HEIGHT=450&amp;WIDTH=450&amp;START_MA","XIMIZED=FALSE&amp;VAR:CALENDAR=US&amp;VAR:SYMBOL=B128R9&amp;VAR:INDEX=0"}</definedName>
    <definedName name="_2670__FDSAUDITLINK__" localSheetId="3" hidden="1">{"fdsup://directions/FAT Viewer?action=UPDATE&amp;creator=factset&amp;DYN_ARGS=TRUE&amp;DOC_NAME=FAT:FQL_AUDITING_CLIENT_TEMPLATE.FAT&amp;display_string=Audit&amp;VAR:KEY=JCNCDWZYHQ&amp;VAR:QUERY=UkdGX1RBWF9SQVRFKEFOTiwwLCwsLCwsTk9BVURJVCk=&amp;WINDOW=FIRST_POPUP&amp;HEIGHT=450&amp;WIDTH=450&amp;","START_MAXIMIZED=FALSE&amp;VAR:CALENDAR=US&amp;VAR:SYMBOL=CSGP&amp;VAR:INDEX=0"}</definedName>
    <definedName name="_2670__FDSAUDITLINK__" localSheetId="7" hidden="1">{"fdsup://directions/FAT Viewer?action=UPDATE&amp;creator=factset&amp;DYN_ARGS=TRUE&amp;DOC_NAME=FAT:FQL_AUDITING_CLIENT_TEMPLATE.FAT&amp;display_string=Audit&amp;VAR:KEY=JCNCDWZYHQ&amp;VAR:QUERY=UkdGX1RBWF9SQVRFKEFOTiwwLCwsLCwsTk9BVURJVCk=&amp;WINDOW=FIRST_POPUP&amp;HEIGHT=450&amp;WIDTH=450&amp;","START_MAXIMIZED=FALSE&amp;VAR:CALENDAR=US&amp;VAR:SYMBOL=CSGP&amp;VAR:INDEX=0"}</definedName>
    <definedName name="_2670__FDSAUDITLINK__" hidden="1">{"fdsup://directions/FAT Viewer?action=UPDATE&amp;creator=factset&amp;DYN_ARGS=TRUE&amp;DOC_NAME=FAT:FQL_AUDITING_CLIENT_TEMPLATE.FAT&amp;display_string=Audit&amp;VAR:KEY=JCNCDWZYHQ&amp;VAR:QUERY=UkdGX1RBWF9SQVRFKEFOTiwwLCwsLCwsTk9BVURJVCk=&amp;WINDOW=FIRST_POPUP&amp;HEIGHT=450&amp;WIDTH=450&amp;","START_MAXIMIZED=FALSE&amp;VAR:CALENDAR=US&amp;VAR:SYMBOL=CSGP&amp;VAR:INDEX=0"}</definedName>
    <definedName name="_2671__FDSAUDITLINK__" localSheetId="3" hidden="1">{"fdsup://directions/FAT Viewer?action=UPDATE&amp;creator=factset&amp;DYN_ARGS=TRUE&amp;DOC_NAME=FAT:FQL_AUDITING_CLIENT_TEMPLATE.FAT&amp;display_string=Audit&amp;VAR:KEY=JCNCDWZYHQ&amp;VAR:QUERY=UkdGX1RBWF9SQVRFKEFOTiwwLCwsLCwsTk9BVURJVCk=&amp;WINDOW=FIRST_POPUP&amp;HEIGHT=450&amp;WIDTH=450&amp;","START_MAXIMIZED=FALSE&amp;VAR:CALENDAR=US&amp;VAR:SYMBOL=CSGP&amp;VAR:INDEX=0"}</definedName>
    <definedName name="_2671__FDSAUDITLINK__" localSheetId="7" hidden="1">{"fdsup://directions/FAT Viewer?action=UPDATE&amp;creator=factset&amp;DYN_ARGS=TRUE&amp;DOC_NAME=FAT:FQL_AUDITING_CLIENT_TEMPLATE.FAT&amp;display_string=Audit&amp;VAR:KEY=JCNCDWZYHQ&amp;VAR:QUERY=UkdGX1RBWF9SQVRFKEFOTiwwLCwsLCwsTk9BVURJVCk=&amp;WINDOW=FIRST_POPUP&amp;HEIGHT=450&amp;WIDTH=450&amp;","START_MAXIMIZED=FALSE&amp;VAR:CALENDAR=US&amp;VAR:SYMBOL=CSGP&amp;VAR:INDEX=0"}</definedName>
    <definedName name="_2671__FDSAUDITLINK__" hidden="1">{"fdsup://directions/FAT Viewer?action=UPDATE&amp;creator=factset&amp;DYN_ARGS=TRUE&amp;DOC_NAME=FAT:FQL_AUDITING_CLIENT_TEMPLATE.FAT&amp;display_string=Audit&amp;VAR:KEY=JCNCDWZYHQ&amp;VAR:QUERY=UkdGX1RBWF9SQVRFKEFOTiwwLCwsLCwsTk9BVURJVCk=&amp;WINDOW=FIRST_POPUP&amp;HEIGHT=450&amp;WIDTH=450&amp;","START_MAXIMIZED=FALSE&amp;VAR:CALENDAR=US&amp;VAR:SYMBOL=CSGP&amp;VAR:INDEX=0"}</definedName>
    <definedName name="_2672__FDSAUDITLINK__" localSheetId="3" hidden="1">{"fdsup://directions/FAT Viewer?action=UPDATE&amp;creator=factset&amp;DYN_ARGS=TRUE&amp;DOC_NAME=FAT:FQL_AUDITING_CLIENT_TEMPLATE.FAT&amp;display_string=Audit&amp;VAR:KEY=LILIHILQPE&amp;VAR:QUERY=UkdGX1RBWF9SQVRFKEFOTiwwLCwsLCwsTk9BVURJVCk=&amp;WINDOW=FIRST_POPUP&amp;HEIGHT=450&amp;WIDTH=450&amp;","START_MAXIMIZED=FALSE&amp;VAR:CALENDAR=US&amp;VAR:SYMBOL=EXBD&amp;VAR:INDEX=0"}</definedName>
    <definedName name="_2672__FDSAUDITLINK__" localSheetId="7" hidden="1">{"fdsup://directions/FAT Viewer?action=UPDATE&amp;creator=factset&amp;DYN_ARGS=TRUE&amp;DOC_NAME=FAT:FQL_AUDITING_CLIENT_TEMPLATE.FAT&amp;display_string=Audit&amp;VAR:KEY=LILIHILQPE&amp;VAR:QUERY=UkdGX1RBWF9SQVRFKEFOTiwwLCwsLCwsTk9BVURJVCk=&amp;WINDOW=FIRST_POPUP&amp;HEIGHT=450&amp;WIDTH=450&amp;","START_MAXIMIZED=FALSE&amp;VAR:CALENDAR=US&amp;VAR:SYMBOL=EXBD&amp;VAR:INDEX=0"}</definedName>
    <definedName name="_2672__FDSAUDITLINK__" hidden="1">{"fdsup://directions/FAT Viewer?action=UPDATE&amp;creator=factset&amp;DYN_ARGS=TRUE&amp;DOC_NAME=FAT:FQL_AUDITING_CLIENT_TEMPLATE.FAT&amp;display_string=Audit&amp;VAR:KEY=LILIHILQPE&amp;VAR:QUERY=UkdGX1RBWF9SQVRFKEFOTiwwLCwsLCwsTk9BVURJVCk=&amp;WINDOW=FIRST_POPUP&amp;HEIGHT=450&amp;WIDTH=450&amp;","START_MAXIMIZED=FALSE&amp;VAR:CALENDAR=US&amp;VAR:SYMBOL=EXBD&amp;VAR:INDEX=0"}</definedName>
    <definedName name="_2673__FDSAUDITLINK__" localSheetId="3" hidden="1">{"fdsup://directions/FAT Viewer?action=UPDATE&amp;creator=factset&amp;DYN_ARGS=TRUE&amp;DOC_NAME=FAT:FQL_AUDITING_CLIENT_TEMPLATE.FAT&amp;display_string=Audit&amp;VAR:KEY=LILIHILQPE&amp;VAR:QUERY=UkdGX1RBWF9SQVRFKEFOTiwwLCwsLCwsTk9BVURJVCk=&amp;WINDOW=FIRST_POPUP&amp;HEIGHT=450&amp;WIDTH=450&amp;","START_MAXIMIZED=FALSE&amp;VAR:CALENDAR=US&amp;VAR:SYMBOL=EXBD&amp;VAR:INDEX=0"}</definedName>
    <definedName name="_2673__FDSAUDITLINK__" localSheetId="7" hidden="1">{"fdsup://directions/FAT Viewer?action=UPDATE&amp;creator=factset&amp;DYN_ARGS=TRUE&amp;DOC_NAME=FAT:FQL_AUDITING_CLIENT_TEMPLATE.FAT&amp;display_string=Audit&amp;VAR:KEY=LILIHILQPE&amp;VAR:QUERY=UkdGX1RBWF9SQVRFKEFOTiwwLCwsLCwsTk9BVURJVCk=&amp;WINDOW=FIRST_POPUP&amp;HEIGHT=450&amp;WIDTH=450&amp;","START_MAXIMIZED=FALSE&amp;VAR:CALENDAR=US&amp;VAR:SYMBOL=EXBD&amp;VAR:INDEX=0"}</definedName>
    <definedName name="_2673__FDSAUDITLINK__" hidden="1">{"fdsup://directions/FAT Viewer?action=UPDATE&amp;creator=factset&amp;DYN_ARGS=TRUE&amp;DOC_NAME=FAT:FQL_AUDITING_CLIENT_TEMPLATE.FAT&amp;display_string=Audit&amp;VAR:KEY=LILIHILQPE&amp;VAR:QUERY=UkdGX1RBWF9SQVRFKEFOTiwwLCwsLCwsTk9BVURJVCk=&amp;WINDOW=FIRST_POPUP&amp;HEIGHT=450&amp;WIDTH=450&amp;","START_MAXIMIZED=FALSE&amp;VAR:CALENDAR=US&amp;VAR:SYMBOL=EXBD&amp;VAR:INDEX=0"}</definedName>
    <definedName name="_2674__FDSAUDITLINK__" localSheetId="3" hidden="1">{"fdsup://directions/FAT Viewer?action=UPDATE&amp;creator=factset&amp;DYN_ARGS=TRUE&amp;DOC_NAME=FAT:FQL_AUDITING_CLIENT_TEMPLATE.FAT&amp;display_string=Audit&amp;VAR:KEY=LWBKHSXEZQ&amp;VAR:QUERY=UkdGX1RBWF9SQVRFKEFOTiwwLCwsLCwsTk9BVURJVCk=&amp;WINDOW=FIRST_POPUP&amp;HEIGHT=450&amp;WIDTH=450&amp;","START_MAXIMIZED=FALSE&amp;VAR:CALENDAR=US&amp;VAR:SYMBOL=CNVO&amp;VAR:INDEX=0"}</definedName>
    <definedName name="_2674__FDSAUDITLINK__" localSheetId="7" hidden="1">{"fdsup://directions/FAT Viewer?action=UPDATE&amp;creator=factset&amp;DYN_ARGS=TRUE&amp;DOC_NAME=FAT:FQL_AUDITING_CLIENT_TEMPLATE.FAT&amp;display_string=Audit&amp;VAR:KEY=LWBKHSXEZQ&amp;VAR:QUERY=UkdGX1RBWF9SQVRFKEFOTiwwLCwsLCwsTk9BVURJVCk=&amp;WINDOW=FIRST_POPUP&amp;HEIGHT=450&amp;WIDTH=450&amp;","START_MAXIMIZED=FALSE&amp;VAR:CALENDAR=US&amp;VAR:SYMBOL=CNVO&amp;VAR:INDEX=0"}</definedName>
    <definedName name="_2674__FDSAUDITLINK__" hidden="1">{"fdsup://directions/FAT Viewer?action=UPDATE&amp;creator=factset&amp;DYN_ARGS=TRUE&amp;DOC_NAME=FAT:FQL_AUDITING_CLIENT_TEMPLATE.FAT&amp;display_string=Audit&amp;VAR:KEY=LWBKHSXEZQ&amp;VAR:QUERY=UkdGX1RBWF9SQVRFKEFOTiwwLCwsLCwsTk9BVURJVCk=&amp;WINDOW=FIRST_POPUP&amp;HEIGHT=450&amp;WIDTH=450&amp;","START_MAXIMIZED=FALSE&amp;VAR:CALENDAR=US&amp;VAR:SYMBOL=CNVO&amp;VAR:INDEX=0"}</definedName>
    <definedName name="_2675__FDSAUDITLINK__" localSheetId="3" hidden="1">{"fdsup://directions/FAT Viewer?action=UPDATE&amp;creator=factset&amp;DYN_ARGS=TRUE&amp;DOC_NAME=FAT:FQL_AUDITING_CLIENT_TEMPLATE.FAT&amp;display_string=Audit&amp;VAR:KEY=LWBKHSXEZQ&amp;VAR:QUERY=UkdGX1RBWF9SQVRFKEFOTiwwLCwsLCwsTk9BVURJVCk=&amp;WINDOW=FIRST_POPUP&amp;HEIGHT=450&amp;WIDTH=450&amp;","START_MAXIMIZED=FALSE&amp;VAR:CALENDAR=US&amp;VAR:SYMBOL=CNVO&amp;VAR:INDEX=0"}</definedName>
    <definedName name="_2675__FDSAUDITLINK__" localSheetId="7" hidden="1">{"fdsup://directions/FAT Viewer?action=UPDATE&amp;creator=factset&amp;DYN_ARGS=TRUE&amp;DOC_NAME=FAT:FQL_AUDITING_CLIENT_TEMPLATE.FAT&amp;display_string=Audit&amp;VAR:KEY=LWBKHSXEZQ&amp;VAR:QUERY=UkdGX1RBWF9SQVRFKEFOTiwwLCwsLCwsTk9BVURJVCk=&amp;WINDOW=FIRST_POPUP&amp;HEIGHT=450&amp;WIDTH=450&amp;","START_MAXIMIZED=FALSE&amp;VAR:CALENDAR=US&amp;VAR:SYMBOL=CNVO&amp;VAR:INDEX=0"}</definedName>
    <definedName name="_2675__FDSAUDITLINK__" hidden="1">{"fdsup://directions/FAT Viewer?action=UPDATE&amp;creator=factset&amp;DYN_ARGS=TRUE&amp;DOC_NAME=FAT:FQL_AUDITING_CLIENT_TEMPLATE.FAT&amp;display_string=Audit&amp;VAR:KEY=LWBKHSXEZQ&amp;VAR:QUERY=UkdGX1RBWF9SQVRFKEFOTiwwLCwsLCwsTk9BVURJVCk=&amp;WINDOW=FIRST_POPUP&amp;HEIGHT=450&amp;WIDTH=450&amp;","START_MAXIMIZED=FALSE&amp;VAR:CALENDAR=US&amp;VAR:SYMBOL=CNVO&amp;VAR:INDEX=0"}</definedName>
    <definedName name="_2676__FDSAUDITLINK__" localSheetId="3" hidden="1">{"fdsup://directions/FAT Viewer?action=UPDATE&amp;creator=factset&amp;DYN_ARGS=TRUE&amp;DOC_NAME=FAT:FQL_AUDITING_CLIENT_TEMPLATE.FAT&amp;display_string=Audit&amp;VAR:KEY=JKNYZOXGHU&amp;VAR:QUERY=UkdGX1RBWF9SQVRFKEFOTiwwLCwsLCwsTk9BVURJVCk=&amp;WINDOW=FIRST_POPUP&amp;HEIGHT=450&amp;WIDTH=450&amp;","START_MAXIMIZED=FALSE&amp;VAR:CALENDAR=US&amp;VAR:SYMBOL=CTCT&amp;VAR:INDEX=0"}</definedName>
    <definedName name="_2676__FDSAUDITLINK__" localSheetId="7" hidden="1">{"fdsup://directions/FAT Viewer?action=UPDATE&amp;creator=factset&amp;DYN_ARGS=TRUE&amp;DOC_NAME=FAT:FQL_AUDITING_CLIENT_TEMPLATE.FAT&amp;display_string=Audit&amp;VAR:KEY=JKNYZOXGHU&amp;VAR:QUERY=UkdGX1RBWF9SQVRFKEFOTiwwLCwsLCwsTk9BVURJVCk=&amp;WINDOW=FIRST_POPUP&amp;HEIGHT=450&amp;WIDTH=450&amp;","START_MAXIMIZED=FALSE&amp;VAR:CALENDAR=US&amp;VAR:SYMBOL=CTCT&amp;VAR:INDEX=0"}</definedName>
    <definedName name="_2676__FDSAUDITLINK__" hidden="1">{"fdsup://directions/FAT Viewer?action=UPDATE&amp;creator=factset&amp;DYN_ARGS=TRUE&amp;DOC_NAME=FAT:FQL_AUDITING_CLIENT_TEMPLATE.FAT&amp;display_string=Audit&amp;VAR:KEY=JKNYZOXGHU&amp;VAR:QUERY=UkdGX1RBWF9SQVRFKEFOTiwwLCwsLCwsTk9BVURJVCk=&amp;WINDOW=FIRST_POPUP&amp;HEIGHT=450&amp;WIDTH=450&amp;","START_MAXIMIZED=FALSE&amp;VAR:CALENDAR=US&amp;VAR:SYMBOL=CTCT&amp;VAR:INDEX=0"}</definedName>
    <definedName name="_2677__FDSAUDITLINK__" localSheetId="3" hidden="1">{"fdsup://directions/FAT Viewer?action=UPDATE&amp;creator=factset&amp;DYN_ARGS=TRUE&amp;DOC_NAME=FAT:FQL_AUDITING_CLIENT_TEMPLATE.FAT&amp;display_string=Audit&amp;VAR:KEY=JKNYZOXGHU&amp;VAR:QUERY=UkdGX1RBWF9SQVRFKEFOTiwwLCwsLCwsTk9BVURJVCk=&amp;WINDOW=FIRST_POPUP&amp;HEIGHT=450&amp;WIDTH=450&amp;","START_MAXIMIZED=FALSE&amp;VAR:CALENDAR=US&amp;VAR:SYMBOL=CTCT&amp;VAR:INDEX=0"}</definedName>
    <definedName name="_2677__FDSAUDITLINK__" localSheetId="7" hidden="1">{"fdsup://directions/FAT Viewer?action=UPDATE&amp;creator=factset&amp;DYN_ARGS=TRUE&amp;DOC_NAME=FAT:FQL_AUDITING_CLIENT_TEMPLATE.FAT&amp;display_string=Audit&amp;VAR:KEY=JKNYZOXGHU&amp;VAR:QUERY=UkdGX1RBWF9SQVRFKEFOTiwwLCwsLCwsTk9BVURJVCk=&amp;WINDOW=FIRST_POPUP&amp;HEIGHT=450&amp;WIDTH=450&amp;","START_MAXIMIZED=FALSE&amp;VAR:CALENDAR=US&amp;VAR:SYMBOL=CTCT&amp;VAR:INDEX=0"}</definedName>
    <definedName name="_2677__FDSAUDITLINK__" hidden="1">{"fdsup://directions/FAT Viewer?action=UPDATE&amp;creator=factset&amp;DYN_ARGS=TRUE&amp;DOC_NAME=FAT:FQL_AUDITING_CLIENT_TEMPLATE.FAT&amp;display_string=Audit&amp;VAR:KEY=JKNYZOXGHU&amp;VAR:QUERY=UkdGX1RBWF9SQVRFKEFOTiwwLCwsLCwsTk9BVURJVCk=&amp;WINDOW=FIRST_POPUP&amp;HEIGHT=450&amp;WIDTH=450&amp;","START_MAXIMIZED=FALSE&amp;VAR:CALENDAR=US&amp;VAR:SYMBOL=CTCT&amp;VAR:INDEX=0"}</definedName>
    <definedName name="_2678__FDSAUDITLINK__" localSheetId="3" hidden="1">{"fdsup://directions/FAT Viewer?action=UPDATE&amp;creator=factset&amp;DYN_ARGS=TRUE&amp;DOC_NAME=FAT:FQL_AUDITING_CLIENT_TEMPLATE.FAT&amp;display_string=Audit&amp;VAR:KEY=ZINYXYJIPE&amp;VAR:QUERY=UkdGX1RBWF9SQVRFKEFOTiwwLCwsLCwsTk9BVURJVCk=&amp;WINDOW=FIRST_POPUP&amp;HEIGHT=450&amp;WIDTH=450&amp;","START_MAXIMIZED=FALSE&amp;VAR:CALENDAR=US&amp;VAR:SYMBOL=CNQR&amp;VAR:INDEX=0"}</definedName>
    <definedName name="_2678__FDSAUDITLINK__" localSheetId="7" hidden="1">{"fdsup://directions/FAT Viewer?action=UPDATE&amp;creator=factset&amp;DYN_ARGS=TRUE&amp;DOC_NAME=FAT:FQL_AUDITING_CLIENT_TEMPLATE.FAT&amp;display_string=Audit&amp;VAR:KEY=ZINYXYJIPE&amp;VAR:QUERY=UkdGX1RBWF9SQVRFKEFOTiwwLCwsLCwsTk9BVURJVCk=&amp;WINDOW=FIRST_POPUP&amp;HEIGHT=450&amp;WIDTH=450&amp;","START_MAXIMIZED=FALSE&amp;VAR:CALENDAR=US&amp;VAR:SYMBOL=CNQR&amp;VAR:INDEX=0"}</definedName>
    <definedName name="_2678__FDSAUDITLINK__" hidden="1">{"fdsup://directions/FAT Viewer?action=UPDATE&amp;creator=factset&amp;DYN_ARGS=TRUE&amp;DOC_NAME=FAT:FQL_AUDITING_CLIENT_TEMPLATE.FAT&amp;display_string=Audit&amp;VAR:KEY=ZINYXYJIPE&amp;VAR:QUERY=UkdGX1RBWF9SQVRFKEFOTiwwLCwsLCwsTk9BVURJVCk=&amp;WINDOW=FIRST_POPUP&amp;HEIGHT=450&amp;WIDTH=450&amp;","START_MAXIMIZED=FALSE&amp;VAR:CALENDAR=US&amp;VAR:SYMBOL=CNQR&amp;VAR:INDEX=0"}</definedName>
    <definedName name="_2679__FDSAUDITLINK__" localSheetId="3" hidden="1">{"fdsup://directions/FAT Viewer?action=UPDATE&amp;creator=factset&amp;DYN_ARGS=TRUE&amp;DOC_NAME=FAT:FQL_AUDITING_CLIENT_TEMPLATE.FAT&amp;display_string=Audit&amp;VAR:KEY=ZINYXYJIPE&amp;VAR:QUERY=UkdGX1RBWF9SQVRFKEFOTiwwLCwsLCwsTk9BVURJVCk=&amp;WINDOW=FIRST_POPUP&amp;HEIGHT=450&amp;WIDTH=450&amp;","START_MAXIMIZED=FALSE&amp;VAR:CALENDAR=US&amp;VAR:SYMBOL=CNQR&amp;VAR:INDEX=0"}</definedName>
    <definedName name="_2679__FDSAUDITLINK__" localSheetId="7" hidden="1">{"fdsup://directions/FAT Viewer?action=UPDATE&amp;creator=factset&amp;DYN_ARGS=TRUE&amp;DOC_NAME=FAT:FQL_AUDITING_CLIENT_TEMPLATE.FAT&amp;display_string=Audit&amp;VAR:KEY=ZINYXYJIPE&amp;VAR:QUERY=UkdGX1RBWF9SQVRFKEFOTiwwLCwsLCwsTk9BVURJVCk=&amp;WINDOW=FIRST_POPUP&amp;HEIGHT=450&amp;WIDTH=450&amp;","START_MAXIMIZED=FALSE&amp;VAR:CALENDAR=US&amp;VAR:SYMBOL=CNQR&amp;VAR:INDEX=0"}</definedName>
    <definedName name="_2679__FDSAUDITLINK__" hidden="1">{"fdsup://directions/FAT Viewer?action=UPDATE&amp;creator=factset&amp;DYN_ARGS=TRUE&amp;DOC_NAME=FAT:FQL_AUDITING_CLIENT_TEMPLATE.FAT&amp;display_string=Audit&amp;VAR:KEY=ZINYXYJIPE&amp;VAR:QUERY=UkdGX1RBWF9SQVRFKEFOTiwwLCwsLCwsTk9BVURJVCk=&amp;WINDOW=FIRST_POPUP&amp;HEIGHT=450&amp;WIDTH=450&amp;","START_MAXIMIZED=FALSE&amp;VAR:CALENDAR=US&amp;VAR:SYMBOL=CNQR&amp;VAR:INDEX=0"}</definedName>
    <definedName name="_268__FDSAUDITLINK__" localSheetId="3" hidden="1">{"fdsup://directions/FAT Viewer?action=UPDATE&amp;creator=factset&amp;DYN_ARGS=TRUE&amp;DOC_NAME=FAT:FQL_AUDITING_CLIENT_TEMPLATE.FAT&amp;display_string=Audit&amp;VAR:KEY=VWNAXQVSDQ&amp;VAR:QUERY=RkZfRUJJVERBX09QRVIoTFRNLDAsLCwsLE0p&amp;WINDOW=FIRST_POPUP&amp;HEIGHT=450&amp;WIDTH=450&amp;START_MA","XIMIZED=FALSE&amp;VAR:CALENDAR=US&amp;VAR:SYMBOL=B031NN&amp;VAR:INDEX=0"}</definedName>
    <definedName name="_268__FDSAUDITLINK__" localSheetId="7" hidden="1">{"fdsup://directions/FAT Viewer?action=UPDATE&amp;creator=factset&amp;DYN_ARGS=TRUE&amp;DOC_NAME=FAT:FQL_AUDITING_CLIENT_TEMPLATE.FAT&amp;display_string=Audit&amp;VAR:KEY=VWNAXQVSDQ&amp;VAR:QUERY=RkZfRUJJVERBX09QRVIoTFRNLDAsLCwsLE0p&amp;WINDOW=FIRST_POPUP&amp;HEIGHT=450&amp;WIDTH=450&amp;START_MA","XIMIZED=FALSE&amp;VAR:CALENDAR=US&amp;VAR:SYMBOL=B031NN&amp;VAR:INDEX=0"}</definedName>
    <definedName name="_268__FDSAUDITLINK__" hidden="1">{"fdsup://directions/FAT Viewer?action=UPDATE&amp;creator=factset&amp;DYN_ARGS=TRUE&amp;DOC_NAME=FAT:FQL_AUDITING_CLIENT_TEMPLATE.FAT&amp;display_string=Audit&amp;VAR:KEY=VWNAXQVSDQ&amp;VAR:QUERY=RkZfRUJJVERBX09QRVIoTFRNLDAsLCwsLE0p&amp;WINDOW=FIRST_POPUP&amp;HEIGHT=450&amp;WIDTH=450&amp;START_MA","XIMIZED=FALSE&amp;VAR:CALENDAR=US&amp;VAR:SYMBOL=B031NN&amp;VAR:INDEX=0"}</definedName>
    <definedName name="_2680__FDSAUDITLINK__" localSheetId="3" hidden="1">{"fdsup://directions/FAT Viewer?action=UPDATE&amp;creator=factset&amp;DYN_ARGS=TRUE&amp;DOC_NAME=FAT:FQL_AUDITING_CLIENT_TEMPLATE.FAT&amp;display_string=Audit&amp;VAR:KEY=BUNSBMVWPM&amp;VAR:QUERY=UkdGX1RBWF9SQVRFKEFOTiwwLCwsLCwsTk9BVURJVCk=&amp;WINDOW=FIRST_POPUP&amp;HEIGHT=450&amp;WIDTH=450&amp;","START_MAXIMIZED=FALSE&amp;VAR:CALENDAR=US&amp;VAR:SYMBOL=SCOR&amp;VAR:INDEX=0"}</definedName>
    <definedName name="_2680__FDSAUDITLINK__" localSheetId="7" hidden="1">{"fdsup://directions/FAT Viewer?action=UPDATE&amp;creator=factset&amp;DYN_ARGS=TRUE&amp;DOC_NAME=FAT:FQL_AUDITING_CLIENT_TEMPLATE.FAT&amp;display_string=Audit&amp;VAR:KEY=BUNSBMVWPM&amp;VAR:QUERY=UkdGX1RBWF9SQVRFKEFOTiwwLCwsLCwsTk9BVURJVCk=&amp;WINDOW=FIRST_POPUP&amp;HEIGHT=450&amp;WIDTH=450&amp;","START_MAXIMIZED=FALSE&amp;VAR:CALENDAR=US&amp;VAR:SYMBOL=SCOR&amp;VAR:INDEX=0"}</definedName>
    <definedName name="_2680__FDSAUDITLINK__" hidden="1">{"fdsup://directions/FAT Viewer?action=UPDATE&amp;creator=factset&amp;DYN_ARGS=TRUE&amp;DOC_NAME=FAT:FQL_AUDITING_CLIENT_TEMPLATE.FAT&amp;display_string=Audit&amp;VAR:KEY=BUNSBMVWPM&amp;VAR:QUERY=UkdGX1RBWF9SQVRFKEFOTiwwLCwsLCwsTk9BVURJVCk=&amp;WINDOW=FIRST_POPUP&amp;HEIGHT=450&amp;WIDTH=450&amp;","START_MAXIMIZED=FALSE&amp;VAR:CALENDAR=US&amp;VAR:SYMBOL=SCOR&amp;VAR:INDEX=0"}</definedName>
    <definedName name="_2681__FDSAUDITLINK__" localSheetId="3" hidden="1">{"fdsup://directions/FAT Viewer?action=UPDATE&amp;creator=factset&amp;DYN_ARGS=TRUE&amp;DOC_NAME=FAT:FQL_AUDITING_CLIENT_TEMPLATE.FAT&amp;display_string=Audit&amp;VAR:KEY=TIRGRCNQPW&amp;VAR:QUERY=UkdGX1RBWF9SQVRFKEFOTiwwLCwsLCwsTk9BVURJVCk=&amp;WINDOW=FIRST_POPUP&amp;HEIGHT=450&amp;WIDTH=450&amp;","START_MAXIMIZED=FALSE&amp;VAR:CALENDAR=US&amp;VAR:SYMBOL=CPWR&amp;VAR:INDEX=0"}</definedName>
    <definedName name="_2681__FDSAUDITLINK__" localSheetId="7" hidden="1">{"fdsup://directions/FAT Viewer?action=UPDATE&amp;creator=factset&amp;DYN_ARGS=TRUE&amp;DOC_NAME=FAT:FQL_AUDITING_CLIENT_TEMPLATE.FAT&amp;display_string=Audit&amp;VAR:KEY=TIRGRCNQPW&amp;VAR:QUERY=UkdGX1RBWF9SQVRFKEFOTiwwLCwsLCwsTk9BVURJVCk=&amp;WINDOW=FIRST_POPUP&amp;HEIGHT=450&amp;WIDTH=450&amp;","START_MAXIMIZED=FALSE&amp;VAR:CALENDAR=US&amp;VAR:SYMBOL=CPWR&amp;VAR:INDEX=0"}</definedName>
    <definedName name="_2681__FDSAUDITLINK__" hidden="1">{"fdsup://directions/FAT Viewer?action=UPDATE&amp;creator=factset&amp;DYN_ARGS=TRUE&amp;DOC_NAME=FAT:FQL_AUDITING_CLIENT_TEMPLATE.FAT&amp;display_string=Audit&amp;VAR:KEY=TIRGRCNQPW&amp;VAR:QUERY=UkdGX1RBWF9SQVRFKEFOTiwwLCwsLCwsTk9BVURJVCk=&amp;WINDOW=FIRST_POPUP&amp;HEIGHT=450&amp;WIDTH=450&amp;","START_MAXIMIZED=FALSE&amp;VAR:CALENDAR=US&amp;VAR:SYMBOL=CPWR&amp;VAR:INDEX=0"}</definedName>
    <definedName name="_2682__FDSAUDITLINK__" localSheetId="3" hidden="1">{"fdsup://directions/FAT Viewer?action=UPDATE&amp;creator=factset&amp;DYN_ARGS=TRUE&amp;DOC_NAME=FAT:FQL_AUDITING_CLIENT_TEMPLATE.FAT&amp;display_string=Audit&amp;VAR:KEY=TIRGRCNQPW&amp;VAR:QUERY=UkdGX1RBWF9SQVRFKEFOTiwwLCwsLCwsTk9BVURJVCk=&amp;WINDOW=FIRST_POPUP&amp;HEIGHT=450&amp;WIDTH=450&amp;","START_MAXIMIZED=FALSE&amp;VAR:CALENDAR=US&amp;VAR:SYMBOL=CPWR&amp;VAR:INDEX=0"}</definedName>
    <definedName name="_2682__FDSAUDITLINK__" localSheetId="7" hidden="1">{"fdsup://directions/FAT Viewer?action=UPDATE&amp;creator=factset&amp;DYN_ARGS=TRUE&amp;DOC_NAME=FAT:FQL_AUDITING_CLIENT_TEMPLATE.FAT&amp;display_string=Audit&amp;VAR:KEY=TIRGRCNQPW&amp;VAR:QUERY=UkdGX1RBWF9SQVRFKEFOTiwwLCwsLCwsTk9BVURJVCk=&amp;WINDOW=FIRST_POPUP&amp;HEIGHT=450&amp;WIDTH=450&amp;","START_MAXIMIZED=FALSE&amp;VAR:CALENDAR=US&amp;VAR:SYMBOL=CPWR&amp;VAR:INDEX=0"}</definedName>
    <definedName name="_2682__FDSAUDITLINK__" hidden="1">{"fdsup://directions/FAT Viewer?action=UPDATE&amp;creator=factset&amp;DYN_ARGS=TRUE&amp;DOC_NAME=FAT:FQL_AUDITING_CLIENT_TEMPLATE.FAT&amp;display_string=Audit&amp;VAR:KEY=TIRGRCNQPW&amp;VAR:QUERY=UkdGX1RBWF9SQVRFKEFOTiwwLCwsLCwsTk9BVURJVCk=&amp;WINDOW=FIRST_POPUP&amp;HEIGHT=450&amp;WIDTH=450&amp;","START_MAXIMIZED=FALSE&amp;VAR:CALENDAR=US&amp;VAR:SYMBOL=CPWR&amp;VAR:INDEX=0"}</definedName>
    <definedName name="_2683__FDSAUDITLINK__" localSheetId="3" hidden="1">{"fdsup://directions/FAT Viewer?action=UPDATE&amp;creator=factset&amp;DYN_ARGS=TRUE&amp;DOC_NAME=FAT:FQL_AUDITING_CLIENT_TEMPLATE.FAT&amp;display_string=Audit&amp;VAR:KEY=VGNCPODUVU&amp;VAR:QUERY=UkdGX1RBWF9SQVRFKEFOTiwwLCwsLCwsTk9BVURJVCk=&amp;WINDOW=FIRST_POPUP&amp;HEIGHT=450&amp;WIDTH=450&amp;","START_MAXIMIZED=FALSE&amp;VAR:CALENDAR=US&amp;VAR:SYMBOL=509453&amp;VAR:INDEX=0"}</definedName>
    <definedName name="_2683__FDSAUDITLINK__" localSheetId="7" hidden="1">{"fdsup://directions/FAT Viewer?action=UPDATE&amp;creator=factset&amp;DYN_ARGS=TRUE&amp;DOC_NAME=FAT:FQL_AUDITING_CLIENT_TEMPLATE.FAT&amp;display_string=Audit&amp;VAR:KEY=VGNCPODUVU&amp;VAR:QUERY=UkdGX1RBWF9SQVRFKEFOTiwwLCwsLCwsTk9BVURJVCk=&amp;WINDOW=FIRST_POPUP&amp;HEIGHT=450&amp;WIDTH=450&amp;","START_MAXIMIZED=FALSE&amp;VAR:CALENDAR=US&amp;VAR:SYMBOL=509453&amp;VAR:INDEX=0"}</definedName>
    <definedName name="_2683__FDSAUDITLINK__" hidden="1">{"fdsup://directions/FAT Viewer?action=UPDATE&amp;creator=factset&amp;DYN_ARGS=TRUE&amp;DOC_NAME=FAT:FQL_AUDITING_CLIENT_TEMPLATE.FAT&amp;display_string=Audit&amp;VAR:KEY=VGNCPODUVU&amp;VAR:QUERY=UkdGX1RBWF9SQVRFKEFOTiwwLCwsLCwsTk9BVURJVCk=&amp;WINDOW=FIRST_POPUP&amp;HEIGHT=450&amp;WIDTH=450&amp;","START_MAXIMIZED=FALSE&amp;VAR:CALENDAR=US&amp;VAR:SYMBOL=509453&amp;VAR:INDEX=0"}</definedName>
    <definedName name="_2684__FDSAUDITLINK__" localSheetId="3" hidden="1">{"fdsup://directions/FAT Viewer?action=UPDATE&amp;creator=factset&amp;DYN_ARGS=TRUE&amp;DOC_NAME=FAT:FQL_AUDITING_CLIENT_TEMPLATE.FAT&amp;display_string=Audit&amp;VAR:KEY=VGNCPODUVU&amp;VAR:QUERY=UkdGX1RBWF9SQVRFKEFOTiwwLCwsLCwsTk9BVURJVCk=&amp;WINDOW=FIRST_POPUP&amp;HEIGHT=450&amp;WIDTH=450&amp;","START_MAXIMIZED=FALSE&amp;VAR:CALENDAR=US&amp;VAR:SYMBOL=509453&amp;VAR:INDEX=0"}</definedName>
    <definedName name="_2684__FDSAUDITLINK__" localSheetId="7" hidden="1">{"fdsup://directions/FAT Viewer?action=UPDATE&amp;creator=factset&amp;DYN_ARGS=TRUE&amp;DOC_NAME=FAT:FQL_AUDITING_CLIENT_TEMPLATE.FAT&amp;display_string=Audit&amp;VAR:KEY=VGNCPODUVU&amp;VAR:QUERY=UkdGX1RBWF9SQVRFKEFOTiwwLCwsLCwsTk9BVURJVCk=&amp;WINDOW=FIRST_POPUP&amp;HEIGHT=450&amp;WIDTH=450&amp;","START_MAXIMIZED=FALSE&amp;VAR:CALENDAR=US&amp;VAR:SYMBOL=509453&amp;VAR:INDEX=0"}</definedName>
    <definedName name="_2684__FDSAUDITLINK__" hidden="1">{"fdsup://directions/FAT Viewer?action=UPDATE&amp;creator=factset&amp;DYN_ARGS=TRUE&amp;DOC_NAME=FAT:FQL_AUDITING_CLIENT_TEMPLATE.FAT&amp;display_string=Audit&amp;VAR:KEY=VGNCPODUVU&amp;VAR:QUERY=UkdGX1RBWF9SQVRFKEFOTiwwLCwsLCwsTk9BVURJVCk=&amp;WINDOW=FIRST_POPUP&amp;HEIGHT=450&amp;WIDTH=450&amp;","START_MAXIMIZED=FALSE&amp;VAR:CALENDAR=US&amp;VAR:SYMBOL=509453&amp;VAR:INDEX=0"}</definedName>
    <definedName name="_2685__FDSAUDITLINK__" localSheetId="3" hidden="1">{"fdsup://directions/FAT Viewer?action=UPDATE&amp;creator=factset&amp;DYN_ARGS=TRUE&amp;DOC_NAME=FAT:FQL_AUDITING_CLIENT_TEMPLATE.FAT&amp;display_string=Audit&amp;VAR:KEY=XGRIVODUVA&amp;VAR:QUERY=UkdGX1RBWF9SQVRFKEFOTiwwLCwsLCwsTk9BVURJVCk=&amp;WINDOW=FIRST_POPUP&amp;HEIGHT=450&amp;WIDTH=450&amp;","START_MAXIMIZED=FALSE&amp;VAR:CALENDAR=US&amp;VAR:SYMBOL=CVLT&amp;VAR:INDEX=0"}</definedName>
    <definedName name="_2685__FDSAUDITLINK__" localSheetId="7" hidden="1">{"fdsup://directions/FAT Viewer?action=UPDATE&amp;creator=factset&amp;DYN_ARGS=TRUE&amp;DOC_NAME=FAT:FQL_AUDITING_CLIENT_TEMPLATE.FAT&amp;display_string=Audit&amp;VAR:KEY=XGRIVODUVA&amp;VAR:QUERY=UkdGX1RBWF9SQVRFKEFOTiwwLCwsLCwsTk9BVURJVCk=&amp;WINDOW=FIRST_POPUP&amp;HEIGHT=450&amp;WIDTH=450&amp;","START_MAXIMIZED=FALSE&amp;VAR:CALENDAR=US&amp;VAR:SYMBOL=CVLT&amp;VAR:INDEX=0"}</definedName>
    <definedName name="_2685__FDSAUDITLINK__" hidden="1">{"fdsup://directions/FAT Viewer?action=UPDATE&amp;creator=factset&amp;DYN_ARGS=TRUE&amp;DOC_NAME=FAT:FQL_AUDITING_CLIENT_TEMPLATE.FAT&amp;display_string=Audit&amp;VAR:KEY=XGRIVODUVA&amp;VAR:QUERY=UkdGX1RBWF9SQVRFKEFOTiwwLCwsLCwsTk9BVURJVCk=&amp;WINDOW=FIRST_POPUP&amp;HEIGHT=450&amp;WIDTH=450&amp;","START_MAXIMIZED=FALSE&amp;VAR:CALENDAR=US&amp;VAR:SYMBOL=CVLT&amp;VAR:INDEX=0"}</definedName>
    <definedName name="_2686__FDSAUDITLINK__" localSheetId="3" hidden="1">{"fdsup://directions/FAT Viewer?action=UPDATE&amp;creator=factset&amp;DYN_ARGS=TRUE&amp;DOC_NAME=FAT:FQL_AUDITING_CLIENT_TEMPLATE.FAT&amp;display_string=Audit&amp;VAR:KEY=XGRIVODUVA&amp;VAR:QUERY=UkdGX1RBWF9SQVRFKEFOTiwwLCwsLCwsTk9BVURJVCk=&amp;WINDOW=FIRST_POPUP&amp;HEIGHT=450&amp;WIDTH=450&amp;","START_MAXIMIZED=FALSE&amp;VAR:CALENDAR=US&amp;VAR:SYMBOL=CVLT&amp;VAR:INDEX=0"}</definedName>
    <definedName name="_2686__FDSAUDITLINK__" localSheetId="7" hidden="1">{"fdsup://directions/FAT Viewer?action=UPDATE&amp;creator=factset&amp;DYN_ARGS=TRUE&amp;DOC_NAME=FAT:FQL_AUDITING_CLIENT_TEMPLATE.FAT&amp;display_string=Audit&amp;VAR:KEY=XGRIVODUVA&amp;VAR:QUERY=UkdGX1RBWF9SQVRFKEFOTiwwLCwsLCwsTk9BVURJVCk=&amp;WINDOW=FIRST_POPUP&amp;HEIGHT=450&amp;WIDTH=450&amp;","START_MAXIMIZED=FALSE&amp;VAR:CALENDAR=US&amp;VAR:SYMBOL=CVLT&amp;VAR:INDEX=0"}</definedName>
    <definedName name="_2686__FDSAUDITLINK__" hidden="1">{"fdsup://directions/FAT Viewer?action=UPDATE&amp;creator=factset&amp;DYN_ARGS=TRUE&amp;DOC_NAME=FAT:FQL_AUDITING_CLIENT_TEMPLATE.FAT&amp;display_string=Audit&amp;VAR:KEY=XGRIVODUVA&amp;VAR:QUERY=UkdGX1RBWF9SQVRFKEFOTiwwLCwsLCwsTk9BVURJVCk=&amp;WINDOW=FIRST_POPUP&amp;HEIGHT=450&amp;WIDTH=450&amp;","START_MAXIMIZED=FALSE&amp;VAR:CALENDAR=US&amp;VAR:SYMBOL=CVLT&amp;VAR:INDEX=0"}</definedName>
    <definedName name="_2687__FDSAUDITLINK__" localSheetId="3" hidden="1">{"fdsup://directions/FAT Viewer?action=UPDATE&amp;creator=factset&amp;DYN_ARGS=TRUE&amp;DOC_NAME=FAT:FQL_AUDITING_CLIENT_TEMPLATE.FAT&amp;display_string=Audit&amp;VAR:KEY=RANOROXQDY&amp;VAR:QUERY=UkdGX1RBWF9SQVRFKEFOTiwwLCwsLCwsTk9BVURJVCk=&amp;WINDOW=FIRST_POPUP&amp;HEIGHT=450&amp;WIDTH=450&amp;","START_MAXIMIZED=FALSE&amp;VAR:CALENDAR=US&amp;VAR:SYMBOL=CTXS&amp;VAR:INDEX=0"}</definedName>
    <definedName name="_2687__FDSAUDITLINK__" localSheetId="7" hidden="1">{"fdsup://directions/FAT Viewer?action=UPDATE&amp;creator=factset&amp;DYN_ARGS=TRUE&amp;DOC_NAME=FAT:FQL_AUDITING_CLIENT_TEMPLATE.FAT&amp;display_string=Audit&amp;VAR:KEY=RANOROXQDY&amp;VAR:QUERY=UkdGX1RBWF9SQVRFKEFOTiwwLCwsLCwsTk9BVURJVCk=&amp;WINDOW=FIRST_POPUP&amp;HEIGHT=450&amp;WIDTH=450&amp;","START_MAXIMIZED=FALSE&amp;VAR:CALENDAR=US&amp;VAR:SYMBOL=CTXS&amp;VAR:INDEX=0"}</definedName>
    <definedName name="_2687__FDSAUDITLINK__" hidden="1">{"fdsup://directions/FAT Viewer?action=UPDATE&amp;creator=factset&amp;DYN_ARGS=TRUE&amp;DOC_NAME=FAT:FQL_AUDITING_CLIENT_TEMPLATE.FAT&amp;display_string=Audit&amp;VAR:KEY=RANOROXQDY&amp;VAR:QUERY=UkdGX1RBWF9SQVRFKEFOTiwwLCwsLCwsTk9BVURJVCk=&amp;WINDOW=FIRST_POPUP&amp;HEIGHT=450&amp;WIDTH=450&amp;","START_MAXIMIZED=FALSE&amp;VAR:CALENDAR=US&amp;VAR:SYMBOL=CTXS&amp;VAR:INDEX=0"}</definedName>
    <definedName name="_2688__FDSAUDITLINK__" localSheetId="3" hidden="1">{"fdsup://directions/FAT Viewer?action=UPDATE&amp;creator=factset&amp;DYN_ARGS=TRUE&amp;DOC_NAME=FAT:FQL_AUDITING_CLIENT_TEMPLATE.FAT&amp;display_string=Audit&amp;VAR:KEY=RANOROXQDY&amp;VAR:QUERY=UkdGX1RBWF9SQVRFKEFOTiwwLCwsLCwsTk9BVURJVCk=&amp;WINDOW=FIRST_POPUP&amp;HEIGHT=450&amp;WIDTH=450&amp;","START_MAXIMIZED=FALSE&amp;VAR:CALENDAR=US&amp;VAR:SYMBOL=CTXS&amp;VAR:INDEX=0"}</definedName>
    <definedName name="_2688__FDSAUDITLINK__" localSheetId="7" hidden="1">{"fdsup://directions/FAT Viewer?action=UPDATE&amp;creator=factset&amp;DYN_ARGS=TRUE&amp;DOC_NAME=FAT:FQL_AUDITING_CLIENT_TEMPLATE.FAT&amp;display_string=Audit&amp;VAR:KEY=RANOROXQDY&amp;VAR:QUERY=UkdGX1RBWF9SQVRFKEFOTiwwLCwsLCwsTk9BVURJVCk=&amp;WINDOW=FIRST_POPUP&amp;HEIGHT=450&amp;WIDTH=450&amp;","START_MAXIMIZED=FALSE&amp;VAR:CALENDAR=US&amp;VAR:SYMBOL=CTXS&amp;VAR:INDEX=0"}</definedName>
    <definedName name="_2688__FDSAUDITLINK__" hidden="1">{"fdsup://directions/FAT Viewer?action=UPDATE&amp;creator=factset&amp;DYN_ARGS=TRUE&amp;DOC_NAME=FAT:FQL_AUDITING_CLIENT_TEMPLATE.FAT&amp;display_string=Audit&amp;VAR:KEY=RANOROXQDY&amp;VAR:QUERY=UkdGX1RBWF9SQVRFKEFOTiwwLCwsLCwsTk9BVURJVCk=&amp;WINDOW=FIRST_POPUP&amp;HEIGHT=450&amp;WIDTH=450&amp;","START_MAXIMIZED=FALSE&amp;VAR:CALENDAR=US&amp;VAR:SYMBOL=CTXS&amp;VAR:INDEX=0"}</definedName>
    <definedName name="_2689__FDSAUDITLINK__" localSheetId="3" hidden="1">{"fdsup://directions/FAT Viewer?action=UPDATE&amp;creator=factset&amp;DYN_ARGS=TRUE&amp;DOC_NAME=FAT:FQL_AUDITING_CLIENT_TEMPLATE.FAT&amp;display_string=Audit&amp;VAR:KEY=LUTQLCLGJU&amp;VAR:QUERY=UkdGX1RBWF9SQVRFKEFOTiwwLCwsLCwsTk9BVURJVCk=&amp;WINDOW=FIRST_POPUP&amp;HEIGHT=450&amp;WIDTH=450&amp;","START_MAXIMIZED=FALSE&amp;VAR:CALENDAR=US&amp;VAR:SYMBOL=CSCO&amp;VAR:INDEX=0"}</definedName>
    <definedName name="_2689__FDSAUDITLINK__" localSheetId="7" hidden="1">{"fdsup://directions/FAT Viewer?action=UPDATE&amp;creator=factset&amp;DYN_ARGS=TRUE&amp;DOC_NAME=FAT:FQL_AUDITING_CLIENT_TEMPLATE.FAT&amp;display_string=Audit&amp;VAR:KEY=LUTQLCLGJU&amp;VAR:QUERY=UkdGX1RBWF9SQVRFKEFOTiwwLCwsLCwsTk9BVURJVCk=&amp;WINDOW=FIRST_POPUP&amp;HEIGHT=450&amp;WIDTH=450&amp;","START_MAXIMIZED=FALSE&amp;VAR:CALENDAR=US&amp;VAR:SYMBOL=CSCO&amp;VAR:INDEX=0"}</definedName>
    <definedName name="_2689__FDSAUDITLINK__" hidden="1">{"fdsup://directions/FAT Viewer?action=UPDATE&amp;creator=factset&amp;DYN_ARGS=TRUE&amp;DOC_NAME=FAT:FQL_AUDITING_CLIENT_TEMPLATE.FAT&amp;display_string=Audit&amp;VAR:KEY=LUTQLCLGJU&amp;VAR:QUERY=UkdGX1RBWF9SQVRFKEFOTiwwLCwsLCwsTk9BVURJVCk=&amp;WINDOW=FIRST_POPUP&amp;HEIGHT=450&amp;WIDTH=450&amp;","START_MAXIMIZED=FALSE&amp;VAR:CALENDAR=US&amp;VAR:SYMBOL=CSCO&amp;VAR:INDEX=0"}</definedName>
    <definedName name="_269__FDSAUDITLINK__" localSheetId="3" hidden="1">{"fdsup://directions/FAT Viewer?action=UPDATE&amp;creator=factset&amp;DYN_ARGS=TRUE&amp;DOC_NAME=FAT:FQL_AUDITING_CLIENT_TEMPLATE.FAT&amp;display_string=Audit&amp;VAR:KEY=NAFWPOBUBA&amp;VAR:QUERY=RkZfTkVUX0lOQyhMVE0sMCwsLCwsTSk=&amp;WINDOW=FIRST_POPUP&amp;HEIGHT=450&amp;WIDTH=450&amp;START_MAXIMI","ZED=FALSE&amp;VAR:CALENDAR=US&amp;VAR:SYMBOL=B1YCJ3&amp;VAR:INDEX=0"}</definedName>
    <definedName name="_269__FDSAUDITLINK__" localSheetId="7" hidden="1">{"fdsup://directions/FAT Viewer?action=UPDATE&amp;creator=factset&amp;DYN_ARGS=TRUE&amp;DOC_NAME=FAT:FQL_AUDITING_CLIENT_TEMPLATE.FAT&amp;display_string=Audit&amp;VAR:KEY=NAFWPOBUBA&amp;VAR:QUERY=RkZfTkVUX0lOQyhMVE0sMCwsLCwsTSk=&amp;WINDOW=FIRST_POPUP&amp;HEIGHT=450&amp;WIDTH=450&amp;START_MAXIMI","ZED=FALSE&amp;VAR:CALENDAR=US&amp;VAR:SYMBOL=B1YCJ3&amp;VAR:INDEX=0"}</definedName>
    <definedName name="_269__FDSAUDITLINK__" hidden="1">{"fdsup://directions/FAT Viewer?action=UPDATE&amp;creator=factset&amp;DYN_ARGS=TRUE&amp;DOC_NAME=FAT:FQL_AUDITING_CLIENT_TEMPLATE.FAT&amp;display_string=Audit&amp;VAR:KEY=NAFWPOBUBA&amp;VAR:QUERY=RkZfTkVUX0lOQyhMVE0sMCwsLCwsTSk=&amp;WINDOW=FIRST_POPUP&amp;HEIGHT=450&amp;WIDTH=450&amp;START_MAXIMI","ZED=FALSE&amp;VAR:CALENDAR=US&amp;VAR:SYMBOL=B1YCJ3&amp;VAR:INDEX=0"}</definedName>
    <definedName name="_2690__FDSAUDITLINK__" localSheetId="3" hidden="1">{"fdsup://directions/FAT Viewer?action=UPDATE&amp;creator=factset&amp;DYN_ARGS=TRUE&amp;DOC_NAME=FAT:FQL_AUDITING_CLIENT_TEMPLATE.FAT&amp;display_string=Audit&amp;VAR:KEY=LUTQLCLGJU&amp;VAR:QUERY=UkdGX1RBWF9SQVRFKEFOTiwwLCwsLCwsTk9BVURJVCk=&amp;WINDOW=FIRST_POPUP&amp;HEIGHT=450&amp;WIDTH=450&amp;","START_MAXIMIZED=FALSE&amp;VAR:CALENDAR=US&amp;VAR:SYMBOL=CSCO&amp;VAR:INDEX=0"}</definedName>
    <definedName name="_2690__FDSAUDITLINK__" localSheetId="7" hidden="1">{"fdsup://directions/FAT Viewer?action=UPDATE&amp;creator=factset&amp;DYN_ARGS=TRUE&amp;DOC_NAME=FAT:FQL_AUDITING_CLIENT_TEMPLATE.FAT&amp;display_string=Audit&amp;VAR:KEY=LUTQLCLGJU&amp;VAR:QUERY=UkdGX1RBWF9SQVRFKEFOTiwwLCwsLCwsTk9BVURJVCk=&amp;WINDOW=FIRST_POPUP&amp;HEIGHT=450&amp;WIDTH=450&amp;","START_MAXIMIZED=FALSE&amp;VAR:CALENDAR=US&amp;VAR:SYMBOL=CSCO&amp;VAR:INDEX=0"}</definedName>
    <definedName name="_2690__FDSAUDITLINK__" hidden="1">{"fdsup://directions/FAT Viewer?action=UPDATE&amp;creator=factset&amp;DYN_ARGS=TRUE&amp;DOC_NAME=FAT:FQL_AUDITING_CLIENT_TEMPLATE.FAT&amp;display_string=Audit&amp;VAR:KEY=LUTQLCLGJU&amp;VAR:QUERY=UkdGX1RBWF9SQVRFKEFOTiwwLCwsLCwsTk9BVURJVCk=&amp;WINDOW=FIRST_POPUP&amp;HEIGHT=450&amp;WIDTH=450&amp;","START_MAXIMIZED=FALSE&amp;VAR:CALENDAR=US&amp;VAR:SYMBOL=CSCO&amp;VAR:INDEX=0"}</definedName>
    <definedName name="_2691__FDSAUDITLINK__" localSheetId="3" hidden="1">{"fdsup://directions/FAT Viewer?action=UPDATE&amp;creator=factset&amp;DYN_ARGS=TRUE&amp;DOC_NAME=FAT:FQL_AUDITING_CLIENT_TEMPLATE.FAT&amp;display_string=Audit&amp;VAR:KEY=ZGTCLSBADE&amp;VAR:QUERY=UkdGX1RBWF9SQVRFKEFOTiwwLCwsLCwsTk9BVURJVCk=&amp;WINDOW=FIRST_POPUP&amp;HEIGHT=450&amp;WIDTH=450&amp;","START_MAXIMIZED=FALSE&amp;VAR:CALENDAR=US&amp;VAR:SYMBOL=CSC&amp;VAR:INDEX=0"}</definedName>
    <definedName name="_2691__FDSAUDITLINK__" localSheetId="7" hidden="1">{"fdsup://directions/FAT Viewer?action=UPDATE&amp;creator=factset&amp;DYN_ARGS=TRUE&amp;DOC_NAME=FAT:FQL_AUDITING_CLIENT_TEMPLATE.FAT&amp;display_string=Audit&amp;VAR:KEY=ZGTCLSBADE&amp;VAR:QUERY=UkdGX1RBWF9SQVRFKEFOTiwwLCwsLCwsTk9BVURJVCk=&amp;WINDOW=FIRST_POPUP&amp;HEIGHT=450&amp;WIDTH=450&amp;","START_MAXIMIZED=FALSE&amp;VAR:CALENDAR=US&amp;VAR:SYMBOL=CSC&amp;VAR:INDEX=0"}</definedName>
    <definedName name="_2691__FDSAUDITLINK__" hidden="1">{"fdsup://directions/FAT Viewer?action=UPDATE&amp;creator=factset&amp;DYN_ARGS=TRUE&amp;DOC_NAME=FAT:FQL_AUDITING_CLIENT_TEMPLATE.FAT&amp;display_string=Audit&amp;VAR:KEY=ZGTCLSBADE&amp;VAR:QUERY=UkdGX1RBWF9SQVRFKEFOTiwwLCwsLCwsTk9BVURJVCk=&amp;WINDOW=FIRST_POPUP&amp;HEIGHT=450&amp;WIDTH=450&amp;","START_MAXIMIZED=FALSE&amp;VAR:CALENDAR=US&amp;VAR:SYMBOL=CSC&amp;VAR:INDEX=0"}</definedName>
    <definedName name="_2692__FDSAUDITLINK__" localSheetId="3" hidden="1">{"fdsup://directions/FAT Viewer?action=UPDATE&amp;creator=factset&amp;DYN_ARGS=TRUE&amp;DOC_NAME=FAT:FQL_AUDITING_CLIENT_TEMPLATE.FAT&amp;display_string=Audit&amp;VAR:KEY=ZGTCLSBADE&amp;VAR:QUERY=UkdGX1RBWF9SQVRFKEFOTiwwLCwsLCwsTk9BVURJVCk=&amp;WINDOW=FIRST_POPUP&amp;HEIGHT=450&amp;WIDTH=450&amp;","START_MAXIMIZED=FALSE&amp;VAR:CALENDAR=US&amp;VAR:SYMBOL=CSC&amp;VAR:INDEX=0"}</definedName>
    <definedName name="_2692__FDSAUDITLINK__" localSheetId="7" hidden="1">{"fdsup://directions/FAT Viewer?action=UPDATE&amp;creator=factset&amp;DYN_ARGS=TRUE&amp;DOC_NAME=FAT:FQL_AUDITING_CLIENT_TEMPLATE.FAT&amp;display_string=Audit&amp;VAR:KEY=ZGTCLSBADE&amp;VAR:QUERY=UkdGX1RBWF9SQVRFKEFOTiwwLCwsLCwsTk9BVURJVCk=&amp;WINDOW=FIRST_POPUP&amp;HEIGHT=450&amp;WIDTH=450&amp;","START_MAXIMIZED=FALSE&amp;VAR:CALENDAR=US&amp;VAR:SYMBOL=CSC&amp;VAR:INDEX=0"}</definedName>
    <definedName name="_2692__FDSAUDITLINK__" hidden="1">{"fdsup://directions/FAT Viewer?action=UPDATE&amp;creator=factset&amp;DYN_ARGS=TRUE&amp;DOC_NAME=FAT:FQL_AUDITING_CLIENT_TEMPLATE.FAT&amp;display_string=Audit&amp;VAR:KEY=ZGTCLSBADE&amp;VAR:QUERY=UkdGX1RBWF9SQVRFKEFOTiwwLCwsLCwsTk9BVURJVCk=&amp;WINDOW=FIRST_POPUP&amp;HEIGHT=450&amp;WIDTH=450&amp;","START_MAXIMIZED=FALSE&amp;VAR:CALENDAR=US&amp;VAR:SYMBOL=CSC&amp;VAR:INDEX=0"}</definedName>
    <definedName name="_2693__FDSAUDITLINK__" localSheetId="3" hidden="1">{"fdsup://directions/FAT Viewer?action=UPDATE&amp;creator=factset&amp;DYN_ARGS=TRUE&amp;DOC_NAME=FAT:FQL_AUDITING_CLIENT_TEMPLATE.FAT&amp;display_string=Audit&amp;VAR:KEY=JKTCVWVCXS&amp;VAR:QUERY=UkdGX1RBWF9SQVRFKEFOTiwwLCwsLCwsTk9BVURJVCk=&amp;WINDOW=FIRST_POPUP&amp;HEIGHT=450&amp;WIDTH=450&amp;","START_MAXIMIZED=FALSE&amp;VAR:CALENDAR=US&amp;VAR:SYMBOL=CHKP&amp;VAR:INDEX=0"}</definedName>
    <definedName name="_2693__FDSAUDITLINK__" localSheetId="7" hidden="1">{"fdsup://directions/FAT Viewer?action=UPDATE&amp;creator=factset&amp;DYN_ARGS=TRUE&amp;DOC_NAME=FAT:FQL_AUDITING_CLIENT_TEMPLATE.FAT&amp;display_string=Audit&amp;VAR:KEY=JKTCVWVCXS&amp;VAR:QUERY=UkdGX1RBWF9SQVRFKEFOTiwwLCwsLCwsTk9BVURJVCk=&amp;WINDOW=FIRST_POPUP&amp;HEIGHT=450&amp;WIDTH=450&amp;","START_MAXIMIZED=FALSE&amp;VAR:CALENDAR=US&amp;VAR:SYMBOL=CHKP&amp;VAR:INDEX=0"}</definedName>
    <definedName name="_2693__FDSAUDITLINK__" hidden="1">{"fdsup://directions/FAT Viewer?action=UPDATE&amp;creator=factset&amp;DYN_ARGS=TRUE&amp;DOC_NAME=FAT:FQL_AUDITING_CLIENT_TEMPLATE.FAT&amp;display_string=Audit&amp;VAR:KEY=JKTCVWVCXS&amp;VAR:QUERY=UkdGX1RBWF9SQVRFKEFOTiwwLCwsLCwsTk9BVURJVCk=&amp;WINDOW=FIRST_POPUP&amp;HEIGHT=450&amp;WIDTH=450&amp;","START_MAXIMIZED=FALSE&amp;VAR:CALENDAR=US&amp;VAR:SYMBOL=CHKP&amp;VAR:INDEX=0"}</definedName>
    <definedName name="_2694__FDSAUDITLINK__" localSheetId="3" hidden="1">{"fdsup://directions/FAT Viewer?action=UPDATE&amp;creator=factset&amp;DYN_ARGS=TRUE&amp;DOC_NAME=FAT:FQL_AUDITING_CLIENT_TEMPLATE.FAT&amp;display_string=Audit&amp;VAR:KEY=JKTCVWVCXS&amp;VAR:QUERY=UkdGX1RBWF9SQVRFKEFOTiwwLCwsLCwsTk9BVURJVCk=&amp;WINDOW=FIRST_POPUP&amp;HEIGHT=450&amp;WIDTH=450&amp;","START_MAXIMIZED=FALSE&amp;VAR:CALENDAR=US&amp;VAR:SYMBOL=CHKP&amp;VAR:INDEX=0"}</definedName>
    <definedName name="_2694__FDSAUDITLINK__" localSheetId="7" hidden="1">{"fdsup://directions/FAT Viewer?action=UPDATE&amp;creator=factset&amp;DYN_ARGS=TRUE&amp;DOC_NAME=FAT:FQL_AUDITING_CLIENT_TEMPLATE.FAT&amp;display_string=Audit&amp;VAR:KEY=JKTCVWVCXS&amp;VAR:QUERY=UkdGX1RBWF9SQVRFKEFOTiwwLCwsLCwsTk9BVURJVCk=&amp;WINDOW=FIRST_POPUP&amp;HEIGHT=450&amp;WIDTH=450&amp;","START_MAXIMIZED=FALSE&amp;VAR:CALENDAR=US&amp;VAR:SYMBOL=CHKP&amp;VAR:INDEX=0"}</definedName>
    <definedName name="_2694__FDSAUDITLINK__" hidden="1">{"fdsup://directions/FAT Viewer?action=UPDATE&amp;creator=factset&amp;DYN_ARGS=TRUE&amp;DOC_NAME=FAT:FQL_AUDITING_CLIENT_TEMPLATE.FAT&amp;display_string=Audit&amp;VAR:KEY=JKTCVWVCXS&amp;VAR:QUERY=UkdGX1RBWF9SQVRFKEFOTiwwLCwsLCwsTk9BVURJVCk=&amp;WINDOW=FIRST_POPUP&amp;HEIGHT=450&amp;WIDTH=450&amp;","START_MAXIMIZED=FALSE&amp;VAR:CALENDAR=US&amp;VAR:SYMBOL=CHKP&amp;VAR:INDEX=0"}</definedName>
    <definedName name="_2695__FDSAUDITLINK__" localSheetId="3" hidden="1">{"fdsup://directions/FAT Viewer?action=UPDATE&amp;creator=factset&amp;DYN_ARGS=TRUE&amp;DOC_NAME=FAT:FQL_AUDITING_CLIENT_TEMPLATE.FAT&amp;display_string=Audit&amp;VAR:KEY=NIFKRWBWPY&amp;VAR:QUERY=UkdGX1RBWF9SQVRFKEFOTiwwLCwsLCwsTk9BVURJVCk=&amp;WINDOW=FIRST_POPUP&amp;HEIGHT=450&amp;WIDTH=450&amp;","START_MAXIMIZED=FALSE&amp;VAR:CALENDAR=US&amp;VAR:SYMBOL=CERN&amp;VAR:INDEX=0"}</definedName>
    <definedName name="_2695__FDSAUDITLINK__" localSheetId="7" hidden="1">{"fdsup://directions/FAT Viewer?action=UPDATE&amp;creator=factset&amp;DYN_ARGS=TRUE&amp;DOC_NAME=FAT:FQL_AUDITING_CLIENT_TEMPLATE.FAT&amp;display_string=Audit&amp;VAR:KEY=NIFKRWBWPY&amp;VAR:QUERY=UkdGX1RBWF9SQVRFKEFOTiwwLCwsLCwsTk9BVURJVCk=&amp;WINDOW=FIRST_POPUP&amp;HEIGHT=450&amp;WIDTH=450&amp;","START_MAXIMIZED=FALSE&amp;VAR:CALENDAR=US&amp;VAR:SYMBOL=CERN&amp;VAR:INDEX=0"}</definedName>
    <definedName name="_2695__FDSAUDITLINK__" hidden="1">{"fdsup://directions/FAT Viewer?action=UPDATE&amp;creator=factset&amp;DYN_ARGS=TRUE&amp;DOC_NAME=FAT:FQL_AUDITING_CLIENT_TEMPLATE.FAT&amp;display_string=Audit&amp;VAR:KEY=NIFKRWBWPY&amp;VAR:QUERY=UkdGX1RBWF9SQVRFKEFOTiwwLCwsLCwsTk9BVURJVCk=&amp;WINDOW=FIRST_POPUP&amp;HEIGHT=450&amp;WIDTH=450&amp;","START_MAXIMIZED=FALSE&amp;VAR:CALENDAR=US&amp;VAR:SYMBOL=CERN&amp;VAR:INDEX=0"}</definedName>
    <definedName name="_2696__FDSAUDITLINK__" localSheetId="3" hidden="1">{"fdsup://directions/FAT Viewer?action=UPDATE&amp;creator=factset&amp;DYN_ARGS=TRUE&amp;DOC_NAME=FAT:FQL_AUDITING_CLIENT_TEMPLATE.FAT&amp;display_string=Audit&amp;VAR:KEY=NIFKRWBWPY&amp;VAR:QUERY=UkdGX1RBWF9SQVRFKEFOTiwwLCwsLCwsTk9BVURJVCk=&amp;WINDOW=FIRST_POPUP&amp;HEIGHT=450&amp;WIDTH=450&amp;","START_MAXIMIZED=FALSE&amp;VAR:CALENDAR=US&amp;VAR:SYMBOL=CERN&amp;VAR:INDEX=0"}</definedName>
    <definedName name="_2696__FDSAUDITLINK__" localSheetId="7" hidden="1">{"fdsup://directions/FAT Viewer?action=UPDATE&amp;creator=factset&amp;DYN_ARGS=TRUE&amp;DOC_NAME=FAT:FQL_AUDITING_CLIENT_TEMPLATE.FAT&amp;display_string=Audit&amp;VAR:KEY=NIFKRWBWPY&amp;VAR:QUERY=UkdGX1RBWF9SQVRFKEFOTiwwLCwsLCwsTk9BVURJVCk=&amp;WINDOW=FIRST_POPUP&amp;HEIGHT=450&amp;WIDTH=450&amp;","START_MAXIMIZED=FALSE&amp;VAR:CALENDAR=US&amp;VAR:SYMBOL=CERN&amp;VAR:INDEX=0"}</definedName>
    <definedName name="_2696__FDSAUDITLINK__" hidden="1">{"fdsup://directions/FAT Viewer?action=UPDATE&amp;creator=factset&amp;DYN_ARGS=TRUE&amp;DOC_NAME=FAT:FQL_AUDITING_CLIENT_TEMPLATE.FAT&amp;display_string=Audit&amp;VAR:KEY=NIFKRWBWPY&amp;VAR:QUERY=UkdGX1RBWF9SQVRFKEFOTiwwLCwsLCwsTk9BVURJVCk=&amp;WINDOW=FIRST_POPUP&amp;HEIGHT=450&amp;WIDTH=450&amp;","START_MAXIMIZED=FALSE&amp;VAR:CALENDAR=US&amp;VAR:SYMBOL=CERN&amp;VAR:INDEX=0"}</definedName>
    <definedName name="_2697__FDSAUDITLINK__" localSheetId="3" hidden="1">{"fdsup://directions/FAT Viewer?action=UPDATE&amp;creator=factset&amp;DYN_ARGS=TRUE&amp;DOC_NAME=FAT:FQL_AUDITING_CLIENT_TEMPLATE.FAT&amp;display_string=Audit&amp;VAR:KEY=DCBWBYDQBY&amp;VAR:QUERY=UkdGX1RBWF9SQVRFKEFOTiwwLCwsLCwsTk9BVURJVCk=&amp;WINDOW=FIRST_POPUP&amp;HEIGHT=450&amp;WIDTH=450&amp;","START_MAXIMIZED=FALSE&amp;VAR:CALENDAR=US&amp;VAR:SYMBOL=CHINA&amp;VAR:INDEX=0"}</definedName>
    <definedName name="_2697__FDSAUDITLINK__" localSheetId="7" hidden="1">{"fdsup://directions/FAT Viewer?action=UPDATE&amp;creator=factset&amp;DYN_ARGS=TRUE&amp;DOC_NAME=FAT:FQL_AUDITING_CLIENT_TEMPLATE.FAT&amp;display_string=Audit&amp;VAR:KEY=DCBWBYDQBY&amp;VAR:QUERY=UkdGX1RBWF9SQVRFKEFOTiwwLCwsLCwsTk9BVURJVCk=&amp;WINDOW=FIRST_POPUP&amp;HEIGHT=450&amp;WIDTH=450&amp;","START_MAXIMIZED=FALSE&amp;VAR:CALENDAR=US&amp;VAR:SYMBOL=CHINA&amp;VAR:INDEX=0"}</definedName>
    <definedName name="_2697__FDSAUDITLINK__" hidden="1">{"fdsup://directions/FAT Viewer?action=UPDATE&amp;creator=factset&amp;DYN_ARGS=TRUE&amp;DOC_NAME=FAT:FQL_AUDITING_CLIENT_TEMPLATE.FAT&amp;display_string=Audit&amp;VAR:KEY=DCBWBYDQBY&amp;VAR:QUERY=UkdGX1RBWF9SQVRFKEFOTiwwLCwsLCwsTk9BVURJVCk=&amp;WINDOW=FIRST_POPUP&amp;HEIGHT=450&amp;WIDTH=450&amp;","START_MAXIMIZED=FALSE&amp;VAR:CALENDAR=US&amp;VAR:SYMBOL=CHINA&amp;VAR:INDEX=0"}</definedName>
    <definedName name="_2698__FDSAUDITLINK__" localSheetId="3" hidden="1">{"fdsup://directions/FAT Viewer?action=UPDATE&amp;creator=factset&amp;DYN_ARGS=TRUE&amp;DOC_NAME=FAT:FQL_AUDITING_CLIENT_TEMPLATE.FAT&amp;display_string=Audit&amp;VAR:KEY=DCBWBYDQBY&amp;VAR:QUERY=UkdGX1RBWF9SQVRFKEFOTiwwLCwsLCwsTk9BVURJVCk=&amp;WINDOW=FIRST_POPUP&amp;HEIGHT=450&amp;WIDTH=450&amp;","START_MAXIMIZED=FALSE&amp;VAR:CALENDAR=US&amp;VAR:SYMBOL=CHINA&amp;VAR:INDEX=0"}</definedName>
    <definedName name="_2698__FDSAUDITLINK__" localSheetId="7" hidden="1">{"fdsup://directions/FAT Viewer?action=UPDATE&amp;creator=factset&amp;DYN_ARGS=TRUE&amp;DOC_NAME=FAT:FQL_AUDITING_CLIENT_TEMPLATE.FAT&amp;display_string=Audit&amp;VAR:KEY=DCBWBYDQBY&amp;VAR:QUERY=UkdGX1RBWF9SQVRFKEFOTiwwLCwsLCwsTk9BVURJVCk=&amp;WINDOW=FIRST_POPUP&amp;HEIGHT=450&amp;WIDTH=450&amp;","START_MAXIMIZED=FALSE&amp;VAR:CALENDAR=US&amp;VAR:SYMBOL=CHINA&amp;VAR:INDEX=0"}</definedName>
    <definedName name="_2698__FDSAUDITLINK__" hidden="1">{"fdsup://directions/FAT Viewer?action=UPDATE&amp;creator=factset&amp;DYN_ARGS=TRUE&amp;DOC_NAME=FAT:FQL_AUDITING_CLIENT_TEMPLATE.FAT&amp;display_string=Audit&amp;VAR:KEY=DCBWBYDQBY&amp;VAR:QUERY=UkdGX1RBWF9SQVRFKEFOTiwwLCwsLCwsTk9BVURJVCk=&amp;WINDOW=FIRST_POPUP&amp;HEIGHT=450&amp;WIDTH=450&amp;","START_MAXIMIZED=FALSE&amp;VAR:CALENDAR=US&amp;VAR:SYMBOL=CHINA&amp;VAR:INDEX=0"}</definedName>
    <definedName name="_2699__FDSAUDITLINK__" localSheetId="3" hidden="1">{"fdsup://directions/FAT Viewer?action=UPDATE&amp;creator=factset&amp;DYN_ARGS=TRUE&amp;DOC_NAME=FAT:FQL_AUDITING_CLIENT_TEMPLATE.FAT&amp;display_string=Audit&amp;VAR:KEY=RELINIDUNI&amp;VAR:QUERY=UkdGX1RBWF9SQVRFKEFOTiwwLCwsLCwsTk9BVURJVCk=&amp;WINDOW=FIRST_POPUP&amp;HEIGHT=450&amp;WIDTH=450&amp;","START_MAXIMIZED=FALSE&amp;VAR:CALENDAR=US&amp;VAR:SYMBOL=CALD&amp;VAR:INDEX=0"}</definedName>
    <definedName name="_2699__FDSAUDITLINK__" localSheetId="7" hidden="1">{"fdsup://directions/FAT Viewer?action=UPDATE&amp;creator=factset&amp;DYN_ARGS=TRUE&amp;DOC_NAME=FAT:FQL_AUDITING_CLIENT_TEMPLATE.FAT&amp;display_string=Audit&amp;VAR:KEY=RELINIDUNI&amp;VAR:QUERY=UkdGX1RBWF9SQVRFKEFOTiwwLCwsLCwsTk9BVURJVCk=&amp;WINDOW=FIRST_POPUP&amp;HEIGHT=450&amp;WIDTH=450&amp;","START_MAXIMIZED=FALSE&amp;VAR:CALENDAR=US&amp;VAR:SYMBOL=CALD&amp;VAR:INDEX=0"}</definedName>
    <definedName name="_2699__FDSAUDITLINK__" hidden="1">{"fdsup://directions/FAT Viewer?action=UPDATE&amp;creator=factset&amp;DYN_ARGS=TRUE&amp;DOC_NAME=FAT:FQL_AUDITING_CLIENT_TEMPLATE.FAT&amp;display_string=Audit&amp;VAR:KEY=RELINIDUNI&amp;VAR:QUERY=UkdGX1RBWF9SQVRFKEFOTiwwLCwsLCwsTk9BVURJVCk=&amp;WINDOW=FIRST_POPUP&amp;HEIGHT=450&amp;WIDTH=450&amp;","START_MAXIMIZED=FALSE&amp;VAR:CALENDAR=US&amp;VAR:SYMBOL=CALD&amp;VAR:INDEX=0"}</definedName>
    <definedName name="_27__FDSAUDITLINK__" localSheetId="3" hidden="1">{"fdsup://Directions/FactSet Auditing Viewer?action=AUDIT_VALUE&amp;DB=129&amp;ID1=268453&amp;VALUEID=01001&amp;SDATE=2010&amp;PERIODTYPE=ANN_STD&amp;SCFT=3&amp;window=popup_no_bar&amp;width=385&amp;height=120&amp;START_MAXIMIZED=FALSE&amp;creator=factset&amp;display_string=Audit"}</definedName>
    <definedName name="_27__FDSAUDITLINK__" localSheetId="7" hidden="1">{"fdsup://Directions/FactSet Auditing Viewer?action=AUDIT_VALUE&amp;DB=129&amp;ID1=268453&amp;VALUEID=01001&amp;SDATE=2010&amp;PERIODTYPE=ANN_STD&amp;SCFT=3&amp;window=popup_no_bar&amp;width=385&amp;height=120&amp;START_MAXIMIZED=FALSE&amp;creator=factset&amp;display_string=Audit"}</definedName>
    <definedName name="_27__FDSAUDITLINK__" hidden="1">{"fdsup://Directions/FactSet Auditing Viewer?action=AUDIT_VALUE&amp;DB=129&amp;ID1=268453&amp;VALUEID=01001&amp;SDATE=2010&amp;PERIODTYPE=ANN_STD&amp;SCFT=3&amp;window=popup_no_bar&amp;width=385&amp;height=120&amp;START_MAXIMIZED=FALSE&amp;creator=factset&amp;display_string=Audit"}</definedName>
    <definedName name="_270__FDSAUDITLINK__" localSheetId="3" hidden="1">{"fdsup://directions/FAT Viewer?action=UPDATE&amp;creator=factset&amp;DYN_ARGS=TRUE&amp;DOC_NAME=FAT:FQL_AUDITING_CLIENT_TEMPLATE.FAT&amp;display_string=Audit&amp;VAR:KEY=NCRCRUNAJY&amp;VAR:QUERY=RkZfRUJJVERBX09QRVIoTFRNLDAsLCwsLE0p&amp;WINDOW=FIRST_POPUP&amp;HEIGHT=450&amp;WIDTH=450&amp;START_MA","XIMIZED=FALSE&amp;VAR:CALENDAR=US&amp;VAR:SYMBOL=B17MHG&amp;VAR:INDEX=0"}</definedName>
    <definedName name="_270__FDSAUDITLINK__" localSheetId="7" hidden="1">{"fdsup://directions/FAT Viewer?action=UPDATE&amp;creator=factset&amp;DYN_ARGS=TRUE&amp;DOC_NAME=FAT:FQL_AUDITING_CLIENT_TEMPLATE.FAT&amp;display_string=Audit&amp;VAR:KEY=NCRCRUNAJY&amp;VAR:QUERY=RkZfRUJJVERBX09QRVIoTFRNLDAsLCwsLE0p&amp;WINDOW=FIRST_POPUP&amp;HEIGHT=450&amp;WIDTH=450&amp;START_MA","XIMIZED=FALSE&amp;VAR:CALENDAR=US&amp;VAR:SYMBOL=B17MHG&amp;VAR:INDEX=0"}</definedName>
    <definedName name="_270__FDSAUDITLINK__" hidden="1">{"fdsup://directions/FAT Viewer?action=UPDATE&amp;creator=factset&amp;DYN_ARGS=TRUE&amp;DOC_NAME=FAT:FQL_AUDITING_CLIENT_TEMPLATE.FAT&amp;display_string=Audit&amp;VAR:KEY=NCRCRUNAJY&amp;VAR:QUERY=RkZfRUJJVERBX09QRVIoTFRNLDAsLCwsLE0p&amp;WINDOW=FIRST_POPUP&amp;HEIGHT=450&amp;WIDTH=450&amp;START_MA","XIMIZED=FALSE&amp;VAR:CALENDAR=US&amp;VAR:SYMBOL=B17MHG&amp;VAR:INDEX=0"}</definedName>
    <definedName name="_2700__FDSAUDITLINK__" localSheetId="3" hidden="1">{"fdsup://directions/FAT Viewer?action=UPDATE&amp;creator=factset&amp;DYN_ARGS=TRUE&amp;DOC_NAME=FAT:FQL_AUDITING_CLIENT_TEMPLATE.FAT&amp;display_string=Audit&amp;VAR:KEY=FODUDADIPC&amp;VAR:QUERY=UkdGX1RBWF9SQVRFKEFOTiwwLCwsLCwsTk9BVURJVCk=&amp;WINDOW=FIRST_POPUP&amp;HEIGHT=450&amp;WIDTH=450&amp;","START_MAXIMIZED=FALSE&amp;VAR:CALENDAR=US&amp;VAR:SYMBOL=CDNS&amp;VAR:INDEX=0"}</definedName>
    <definedName name="_2700__FDSAUDITLINK__" localSheetId="7" hidden="1">{"fdsup://directions/FAT Viewer?action=UPDATE&amp;creator=factset&amp;DYN_ARGS=TRUE&amp;DOC_NAME=FAT:FQL_AUDITING_CLIENT_TEMPLATE.FAT&amp;display_string=Audit&amp;VAR:KEY=FODUDADIPC&amp;VAR:QUERY=UkdGX1RBWF9SQVRFKEFOTiwwLCwsLCwsTk9BVURJVCk=&amp;WINDOW=FIRST_POPUP&amp;HEIGHT=450&amp;WIDTH=450&amp;","START_MAXIMIZED=FALSE&amp;VAR:CALENDAR=US&amp;VAR:SYMBOL=CDNS&amp;VAR:INDEX=0"}</definedName>
    <definedName name="_2700__FDSAUDITLINK__" hidden="1">{"fdsup://directions/FAT Viewer?action=UPDATE&amp;creator=factset&amp;DYN_ARGS=TRUE&amp;DOC_NAME=FAT:FQL_AUDITING_CLIENT_TEMPLATE.FAT&amp;display_string=Audit&amp;VAR:KEY=FODUDADIPC&amp;VAR:QUERY=UkdGX1RBWF9SQVRFKEFOTiwwLCwsLCwsTk9BVURJVCk=&amp;WINDOW=FIRST_POPUP&amp;HEIGHT=450&amp;WIDTH=450&amp;","START_MAXIMIZED=FALSE&amp;VAR:CALENDAR=US&amp;VAR:SYMBOL=CDNS&amp;VAR:INDEX=0"}</definedName>
    <definedName name="_2701__FDSAUDITLINK__" localSheetId="3" hidden="1">{"fdsup://directions/FAT Viewer?action=UPDATE&amp;creator=factset&amp;DYN_ARGS=TRUE&amp;DOC_NAME=FAT:FQL_AUDITING_CLIENT_TEMPLATE.FAT&amp;display_string=Audit&amp;VAR:KEY=VYHOZMZUDY&amp;VAR:QUERY=UkdGX1RBWF9SQVRFKEFOTiwwLCwsLCwsTk9BVURJVCk=&amp;WINDOW=FIRST_POPUP&amp;HEIGHT=450&amp;WIDTH=450&amp;","START_MAXIMIZED=FALSE&amp;VAR:CALENDAR=US&amp;VAR:SYMBOL=CA&amp;VAR:INDEX=0"}</definedName>
    <definedName name="_2701__FDSAUDITLINK__" localSheetId="7" hidden="1">{"fdsup://directions/FAT Viewer?action=UPDATE&amp;creator=factset&amp;DYN_ARGS=TRUE&amp;DOC_NAME=FAT:FQL_AUDITING_CLIENT_TEMPLATE.FAT&amp;display_string=Audit&amp;VAR:KEY=VYHOZMZUDY&amp;VAR:QUERY=UkdGX1RBWF9SQVRFKEFOTiwwLCwsLCwsTk9BVURJVCk=&amp;WINDOW=FIRST_POPUP&amp;HEIGHT=450&amp;WIDTH=450&amp;","START_MAXIMIZED=FALSE&amp;VAR:CALENDAR=US&amp;VAR:SYMBOL=CA&amp;VAR:INDEX=0"}</definedName>
    <definedName name="_2701__FDSAUDITLINK__" hidden="1">{"fdsup://directions/FAT Viewer?action=UPDATE&amp;creator=factset&amp;DYN_ARGS=TRUE&amp;DOC_NAME=FAT:FQL_AUDITING_CLIENT_TEMPLATE.FAT&amp;display_string=Audit&amp;VAR:KEY=VYHOZMZUDY&amp;VAR:QUERY=UkdGX1RBWF9SQVRFKEFOTiwwLCwsLCwsTk9BVURJVCk=&amp;WINDOW=FIRST_POPUP&amp;HEIGHT=450&amp;WIDTH=450&amp;","START_MAXIMIZED=FALSE&amp;VAR:CALENDAR=US&amp;VAR:SYMBOL=CA&amp;VAR:INDEX=0"}</definedName>
    <definedName name="_2702__FDSAUDITLINK__" localSheetId="3" hidden="1">{"fdsup://directions/FAT Viewer?action=UPDATE&amp;creator=factset&amp;DYN_ARGS=TRUE&amp;DOC_NAME=FAT:FQL_AUDITING_CLIENT_TEMPLATE.FAT&amp;display_string=Audit&amp;VAR:KEY=VYHOZMZUDY&amp;VAR:QUERY=UkdGX1RBWF9SQVRFKEFOTiwwLCwsLCwsTk9BVURJVCk=&amp;WINDOW=FIRST_POPUP&amp;HEIGHT=450&amp;WIDTH=450&amp;","START_MAXIMIZED=FALSE&amp;VAR:CALENDAR=US&amp;VAR:SYMBOL=CA&amp;VAR:INDEX=0"}</definedName>
    <definedName name="_2702__FDSAUDITLINK__" localSheetId="7" hidden="1">{"fdsup://directions/FAT Viewer?action=UPDATE&amp;creator=factset&amp;DYN_ARGS=TRUE&amp;DOC_NAME=FAT:FQL_AUDITING_CLIENT_TEMPLATE.FAT&amp;display_string=Audit&amp;VAR:KEY=VYHOZMZUDY&amp;VAR:QUERY=UkdGX1RBWF9SQVRFKEFOTiwwLCwsLCwsTk9BVURJVCk=&amp;WINDOW=FIRST_POPUP&amp;HEIGHT=450&amp;WIDTH=450&amp;","START_MAXIMIZED=FALSE&amp;VAR:CALENDAR=US&amp;VAR:SYMBOL=CA&amp;VAR:INDEX=0"}</definedName>
    <definedName name="_2702__FDSAUDITLINK__" hidden="1">{"fdsup://directions/FAT Viewer?action=UPDATE&amp;creator=factset&amp;DYN_ARGS=TRUE&amp;DOC_NAME=FAT:FQL_AUDITING_CLIENT_TEMPLATE.FAT&amp;display_string=Audit&amp;VAR:KEY=VYHOZMZUDY&amp;VAR:QUERY=UkdGX1RBWF9SQVRFKEFOTiwwLCwsLCwsTk9BVURJVCk=&amp;WINDOW=FIRST_POPUP&amp;HEIGHT=450&amp;WIDTH=450&amp;","START_MAXIMIZED=FALSE&amp;VAR:CALENDAR=US&amp;VAR:SYMBOL=CA&amp;VAR:INDEX=0"}</definedName>
    <definedName name="_2703__FDSAUDITLINK__" localSheetId="3" hidden="1">{"fdsup://directions/FAT Viewer?action=UPDATE&amp;creator=factset&amp;DYN_ARGS=TRUE&amp;DOC_NAME=FAT:FQL_AUDITING_CLIENT_TEMPLATE.FAT&amp;display_string=Audit&amp;VAR:KEY=PUZOZGRKXK&amp;VAR:QUERY=UkdGX1RBWF9SQVRFKEFOTiwwLCwsLCwsTk9BVURJVCk=&amp;WINDOW=FIRST_POPUP&amp;HEIGHT=450&amp;WIDTH=450&amp;","START_MAXIMIZED=FALSE&amp;VAR:CALENDAR=US&amp;VAR:SYMBOL=BVSN&amp;VAR:INDEX=0"}</definedName>
    <definedName name="_2703__FDSAUDITLINK__" localSheetId="7" hidden="1">{"fdsup://directions/FAT Viewer?action=UPDATE&amp;creator=factset&amp;DYN_ARGS=TRUE&amp;DOC_NAME=FAT:FQL_AUDITING_CLIENT_TEMPLATE.FAT&amp;display_string=Audit&amp;VAR:KEY=PUZOZGRKXK&amp;VAR:QUERY=UkdGX1RBWF9SQVRFKEFOTiwwLCwsLCwsTk9BVURJVCk=&amp;WINDOW=FIRST_POPUP&amp;HEIGHT=450&amp;WIDTH=450&amp;","START_MAXIMIZED=FALSE&amp;VAR:CALENDAR=US&amp;VAR:SYMBOL=BVSN&amp;VAR:INDEX=0"}</definedName>
    <definedName name="_2703__FDSAUDITLINK__" hidden="1">{"fdsup://directions/FAT Viewer?action=UPDATE&amp;creator=factset&amp;DYN_ARGS=TRUE&amp;DOC_NAME=FAT:FQL_AUDITING_CLIENT_TEMPLATE.FAT&amp;display_string=Audit&amp;VAR:KEY=PUZOZGRKXK&amp;VAR:QUERY=UkdGX1RBWF9SQVRFKEFOTiwwLCwsLCwsTk9BVURJVCk=&amp;WINDOW=FIRST_POPUP&amp;HEIGHT=450&amp;WIDTH=450&amp;","START_MAXIMIZED=FALSE&amp;VAR:CALENDAR=US&amp;VAR:SYMBOL=BVSN&amp;VAR:INDEX=0"}</definedName>
    <definedName name="_2704__FDSAUDITLINK__" localSheetId="3" hidden="1">{"fdsup://directions/FAT Viewer?action=UPDATE&amp;creator=factset&amp;DYN_ARGS=TRUE&amp;DOC_NAME=FAT:FQL_AUDITING_CLIENT_TEMPLATE.FAT&amp;display_string=Audit&amp;VAR:KEY=HQTSVONSRI&amp;VAR:QUERY=UkdGX1RBWF9SQVRFKEFOTiwwLCwsLCwsTk9BVURJVCk=&amp;WINDOW=FIRST_POPUP&amp;HEIGHT=450&amp;WIDTH=450&amp;","START_MAXIMIZED=FALSE&amp;VAR:CALENDAR=US&amp;VAR:SYMBOL=BSFT&amp;VAR:INDEX=0"}</definedName>
    <definedName name="_2704__FDSAUDITLINK__" localSheetId="7" hidden="1">{"fdsup://directions/FAT Viewer?action=UPDATE&amp;creator=factset&amp;DYN_ARGS=TRUE&amp;DOC_NAME=FAT:FQL_AUDITING_CLIENT_TEMPLATE.FAT&amp;display_string=Audit&amp;VAR:KEY=HQTSVONSRI&amp;VAR:QUERY=UkdGX1RBWF9SQVRFKEFOTiwwLCwsLCwsTk9BVURJVCk=&amp;WINDOW=FIRST_POPUP&amp;HEIGHT=450&amp;WIDTH=450&amp;","START_MAXIMIZED=FALSE&amp;VAR:CALENDAR=US&amp;VAR:SYMBOL=BSFT&amp;VAR:INDEX=0"}</definedName>
    <definedName name="_2704__FDSAUDITLINK__" hidden="1">{"fdsup://directions/FAT Viewer?action=UPDATE&amp;creator=factset&amp;DYN_ARGS=TRUE&amp;DOC_NAME=FAT:FQL_AUDITING_CLIENT_TEMPLATE.FAT&amp;display_string=Audit&amp;VAR:KEY=HQTSVONSRI&amp;VAR:QUERY=UkdGX1RBWF9SQVRFKEFOTiwwLCwsLCwsTk9BVURJVCk=&amp;WINDOW=FIRST_POPUP&amp;HEIGHT=450&amp;WIDTH=450&amp;","START_MAXIMIZED=FALSE&amp;VAR:CALENDAR=US&amp;VAR:SYMBOL=BSFT&amp;VAR:INDEX=0"}</definedName>
    <definedName name="_2705__FDSAUDITLINK__" localSheetId="3" hidden="1">{"fdsup://directions/FAT Viewer?action=UPDATE&amp;creator=factset&amp;DYN_ARGS=TRUE&amp;DOC_NAME=FAT:FQL_AUDITING_CLIENT_TEMPLATE.FAT&amp;display_string=Audit&amp;VAR:KEY=HQTSVONSRI&amp;VAR:QUERY=UkdGX1RBWF9SQVRFKEFOTiwwLCwsLCwsTk9BVURJVCk=&amp;WINDOW=FIRST_POPUP&amp;HEIGHT=450&amp;WIDTH=450&amp;","START_MAXIMIZED=FALSE&amp;VAR:CALENDAR=US&amp;VAR:SYMBOL=BSFT&amp;VAR:INDEX=0"}</definedName>
    <definedName name="_2705__FDSAUDITLINK__" localSheetId="7" hidden="1">{"fdsup://directions/FAT Viewer?action=UPDATE&amp;creator=factset&amp;DYN_ARGS=TRUE&amp;DOC_NAME=FAT:FQL_AUDITING_CLIENT_TEMPLATE.FAT&amp;display_string=Audit&amp;VAR:KEY=HQTSVONSRI&amp;VAR:QUERY=UkdGX1RBWF9SQVRFKEFOTiwwLCwsLCwsTk9BVURJVCk=&amp;WINDOW=FIRST_POPUP&amp;HEIGHT=450&amp;WIDTH=450&amp;","START_MAXIMIZED=FALSE&amp;VAR:CALENDAR=US&amp;VAR:SYMBOL=BSFT&amp;VAR:INDEX=0"}</definedName>
    <definedName name="_2705__FDSAUDITLINK__" hidden="1">{"fdsup://directions/FAT Viewer?action=UPDATE&amp;creator=factset&amp;DYN_ARGS=TRUE&amp;DOC_NAME=FAT:FQL_AUDITING_CLIENT_TEMPLATE.FAT&amp;display_string=Audit&amp;VAR:KEY=HQTSVONSRI&amp;VAR:QUERY=UkdGX1RBWF9SQVRFKEFOTiwwLCwsLCwsTk9BVURJVCk=&amp;WINDOW=FIRST_POPUP&amp;HEIGHT=450&amp;WIDTH=450&amp;","START_MAXIMIZED=FALSE&amp;VAR:CALENDAR=US&amp;VAR:SYMBOL=BSFT&amp;VAR:INDEX=0"}</definedName>
    <definedName name="_2706__FDSAUDITLINK__" localSheetId="3" hidden="1">{"fdsup://directions/FAT Viewer?action=UPDATE&amp;creator=factset&amp;DYN_ARGS=TRUE&amp;DOC_NAME=FAT:FQL_AUDITING_CLIENT_TEMPLATE.FAT&amp;display_string=Audit&amp;VAR:KEY=LSZKFETWBY&amp;VAR:QUERY=UkdGX1RBWF9SQVRFKEFOTiwwLCwsLCwsTk9BVURJVCk=&amp;WINDOW=FIRST_POPUP&amp;HEIGHT=450&amp;WIDTH=450&amp;","START_MAXIMIZED=FALSE&amp;VAR:CALENDAR=US&amp;VAR:SYMBOL=BMC&amp;VAR:INDEX=0"}</definedName>
    <definedName name="_2706__FDSAUDITLINK__" localSheetId="7" hidden="1">{"fdsup://directions/FAT Viewer?action=UPDATE&amp;creator=factset&amp;DYN_ARGS=TRUE&amp;DOC_NAME=FAT:FQL_AUDITING_CLIENT_TEMPLATE.FAT&amp;display_string=Audit&amp;VAR:KEY=LSZKFETWBY&amp;VAR:QUERY=UkdGX1RBWF9SQVRFKEFOTiwwLCwsLCwsTk9BVURJVCk=&amp;WINDOW=FIRST_POPUP&amp;HEIGHT=450&amp;WIDTH=450&amp;","START_MAXIMIZED=FALSE&amp;VAR:CALENDAR=US&amp;VAR:SYMBOL=BMC&amp;VAR:INDEX=0"}</definedName>
    <definedName name="_2706__FDSAUDITLINK__" hidden="1">{"fdsup://directions/FAT Viewer?action=UPDATE&amp;creator=factset&amp;DYN_ARGS=TRUE&amp;DOC_NAME=FAT:FQL_AUDITING_CLIENT_TEMPLATE.FAT&amp;display_string=Audit&amp;VAR:KEY=LSZKFETWBY&amp;VAR:QUERY=UkdGX1RBWF9SQVRFKEFOTiwwLCwsLCwsTk9BVURJVCk=&amp;WINDOW=FIRST_POPUP&amp;HEIGHT=450&amp;WIDTH=450&amp;","START_MAXIMIZED=FALSE&amp;VAR:CALENDAR=US&amp;VAR:SYMBOL=BMC&amp;VAR:INDEX=0"}</definedName>
    <definedName name="_2707__FDSAUDITLINK__" localSheetId="3" hidden="1">{"fdsup://directions/FAT Viewer?action=UPDATE&amp;creator=factset&amp;DYN_ARGS=TRUE&amp;DOC_NAME=FAT:FQL_AUDITING_CLIENT_TEMPLATE.FAT&amp;display_string=Audit&amp;VAR:KEY=LSZKFETWBY&amp;VAR:QUERY=UkdGX1RBWF9SQVRFKEFOTiwwLCwsLCwsTk9BVURJVCk=&amp;WINDOW=FIRST_POPUP&amp;HEIGHT=450&amp;WIDTH=450&amp;","START_MAXIMIZED=FALSE&amp;VAR:CALENDAR=US&amp;VAR:SYMBOL=BMC&amp;VAR:INDEX=0"}</definedName>
    <definedName name="_2707__FDSAUDITLINK__" localSheetId="7" hidden="1">{"fdsup://directions/FAT Viewer?action=UPDATE&amp;creator=factset&amp;DYN_ARGS=TRUE&amp;DOC_NAME=FAT:FQL_AUDITING_CLIENT_TEMPLATE.FAT&amp;display_string=Audit&amp;VAR:KEY=LSZKFETWBY&amp;VAR:QUERY=UkdGX1RBWF9SQVRFKEFOTiwwLCwsLCwsTk9BVURJVCk=&amp;WINDOW=FIRST_POPUP&amp;HEIGHT=450&amp;WIDTH=450&amp;","START_MAXIMIZED=FALSE&amp;VAR:CALENDAR=US&amp;VAR:SYMBOL=BMC&amp;VAR:INDEX=0"}</definedName>
    <definedName name="_2707__FDSAUDITLINK__" hidden="1">{"fdsup://directions/FAT Viewer?action=UPDATE&amp;creator=factset&amp;DYN_ARGS=TRUE&amp;DOC_NAME=FAT:FQL_AUDITING_CLIENT_TEMPLATE.FAT&amp;display_string=Audit&amp;VAR:KEY=LSZKFETWBY&amp;VAR:QUERY=UkdGX1RBWF9SQVRFKEFOTiwwLCwsLCwsTk9BVURJVCk=&amp;WINDOW=FIRST_POPUP&amp;HEIGHT=450&amp;WIDTH=450&amp;","START_MAXIMIZED=FALSE&amp;VAR:CALENDAR=US&amp;VAR:SYMBOL=BMC&amp;VAR:INDEX=0"}</definedName>
    <definedName name="_2708__FDSAUDITLINK__" localSheetId="3" hidden="1">{"fdsup://directions/FAT Viewer?action=UPDATE&amp;creator=factset&amp;DYN_ARGS=TRUE&amp;DOC_NAME=FAT:FQL_AUDITING_CLIENT_TEMPLATE.FAT&amp;display_string=Audit&amp;VAR:KEY=FALUTYBGPK&amp;VAR:QUERY=UkdGX1RBWF9SQVRFKEFOTiwwLCwsLCwsTk9BVURJVCk=&amp;WINDOW=FIRST_POPUP&amp;HEIGHT=450&amp;WIDTH=450&amp;","START_MAXIMIZED=FALSE&amp;VAR:CALENDAR=US&amp;VAR:SYMBOL=BCSI&amp;VAR:INDEX=0"}</definedName>
    <definedName name="_2708__FDSAUDITLINK__" localSheetId="7" hidden="1">{"fdsup://directions/FAT Viewer?action=UPDATE&amp;creator=factset&amp;DYN_ARGS=TRUE&amp;DOC_NAME=FAT:FQL_AUDITING_CLIENT_TEMPLATE.FAT&amp;display_string=Audit&amp;VAR:KEY=FALUTYBGPK&amp;VAR:QUERY=UkdGX1RBWF9SQVRFKEFOTiwwLCwsLCwsTk9BVURJVCk=&amp;WINDOW=FIRST_POPUP&amp;HEIGHT=450&amp;WIDTH=450&amp;","START_MAXIMIZED=FALSE&amp;VAR:CALENDAR=US&amp;VAR:SYMBOL=BCSI&amp;VAR:INDEX=0"}</definedName>
    <definedName name="_2708__FDSAUDITLINK__" hidden="1">{"fdsup://directions/FAT Viewer?action=UPDATE&amp;creator=factset&amp;DYN_ARGS=TRUE&amp;DOC_NAME=FAT:FQL_AUDITING_CLIENT_TEMPLATE.FAT&amp;display_string=Audit&amp;VAR:KEY=FALUTYBGPK&amp;VAR:QUERY=UkdGX1RBWF9SQVRFKEFOTiwwLCwsLCwsTk9BVURJVCk=&amp;WINDOW=FIRST_POPUP&amp;HEIGHT=450&amp;WIDTH=450&amp;","START_MAXIMIZED=FALSE&amp;VAR:CALENDAR=US&amp;VAR:SYMBOL=BCSI&amp;VAR:INDEX=0"}</definedName>
    <definedName name="_2709__FDSAUDITLINK__" localSheetId="3" hidden="1">{"fdsup://directions/FAT Viewer?action=UPDATE&amp;creator=factset&amp;DYN_ARGS=TRUE&amp;DOC_NAME=FAT:FQL_AUDITING_CLIENT_TEMPLATE.FAT&amp;display_string=Audit&amp;VAR:KEY=FALUTYBGPK&amp;VAR:QUERY=UkdGX1RBWF9SQVRFKEFOTiwwLCwsLCwsTk9BVURJVCk=&amp;WINDOW=FIRST_POPUP&amp;HEIGHT=450&amp;WIDTH=450&amp;","START_MAXIMIZED=FALSE&amp;VAR:CALENDAR=US&amp;VAR:SYMBOL=BCSI&amp;VAR:INDEX=0"}</definedName>
    <definedName name="_2709__FDSAUDITLINK__" localSheetId="7" hidden="1">{"fdsup://directions/FAT Viewer?action=UPDATE&amp;creator=factset&amp;DYN_ARGS=TRUE&amp;DOC_NAME=FAT:FQL_AUDITING_CLIENT_TEMPLATE.FAT&amp;display_string=Audit&amp;VAR:KEY=FALUTYBGPK&amp;VAR:QUERY=UkdGX1RBWF9SQVRFKEFOTiwwLCwsLCwsTk9BVURJVCk=&amp;WINDOW=FIRST_POPUP&amp;HEIGHT=450&amp;WIDTH=450&amp;","START_MAXIMIZED=FALSE&amp;VAR:CALENDAR=US&amp;VAR:SYMBOL=BCSI&amp;VAR:INDEX=0"}</definedName>
    <definedName name="_2709__FDSAUDITLINK__" hidden="1">{"fdsup://directions/FAT Viewer?action=UPDATE&amp;creator=factset&amp;DYN_ARGS=TRUE&amp;DOC_NAME=FAT:FQL_AUDITING_CLIENT_TEMPLATE.FAT&amp;display_string=Audit&amp;VAR:KEY=FALUTYBGPK&amp;VAR:QUERY=UkdGX1RBWF9SQVRFKEFOTiwwLCwsLCwsTk9BVURJVCk=&amp;WINDOW=FIRST_POPUP&amp;HEIGHT=450&amp;WIDTH=450&amp;","START_MAXIMIZED=FALSE&amp;VAR:CALENDAR=US&amp;VAR:SYMBOL=BCSI&amp;VAR:INDEX=0"}</definedName>
    <definedName name="_271__FDSAUDITLINK__" localSheetId="3" hidden="1">{"fdsup://directions/FAT Viewer?action=UPDATE&amp;creator=factset&amp;DYN_ARGS=TRUE&amp;DOC_NAME=FAT:FQL_AUDITING_CLIENT_TEMPLATE.FAT&amp;display_string=Audit&amp;VAR:KEY=DYDCRYBWTK&amp;VAR:QUERY=RkZfTkVUX0lOQyhMVE0sMCwsLCwsTSk=&amp;WINDOW=FIRST_POPUP&amp;HEIGHT=450&amp;WIDTH=450&amp;START_MAXIMI","ZED=FALSE&amp;VAR:CALENDAR=US&amp;VAR:SYMBOL=B07C76&amp;VAR:INDEX=0"}</definedName>
    <definedName name="_271__FDSAUDITLINK__" localSheetId="7" hidden="1">{"fdsup://directions/FAT Viewer?action=UPDATE&amp;creator=factset&amp;DYN_ARGS=TRUE&amp;DOC_NAME=FAT:FQL_AUDITING_CLIENT_TEMPLATE.FAT&amp;display_string=Audit&amp;VAR:KEY=DYDCRYBWTK&amp;VAR:QUERY=RkZfTkVUX0lOQyhMVE0sMCwsLCwsTSk=&amp;WINDOW=FIRST_POPUP&amp;HEIGHT=450&amp;WIDTH=450&amp;START_MAXIMI","ZED=FALSE&amp;VAR:CALENDAR=US&amp;VAR:SYMBOL=B07C76&amp;VAR:INDEX=0"}</definedName>
    <definedName name="_271__FDSAUDITLINK__" hidden="1">{"fdsup://directions/FAT Viewer?action=UPDATE&amp;creator=factset&amp;DYN_ARGS=TRUE&amp;DOC_NAME=FAT:FQL_AUDITING_CLIENT_TEMPLATE.FAT&amp;display_string=Audit&amp;VAR:KEY=DYDCRYBWTK&amp;VAR:QUERY=RkZfTkVUX0lOQyhMVE0sMCwsLCwsTSk=&amp;WINDOW=FIRST_POPUP&amp;HEIGHT=450&amp;WIDTH=450&amp;START_MAXIMI","ZED=FALSE&amp;VAR:CALENDAR=US&amp;VAR:SYMBOL=B07C76&amp;VAR:INDEX=0"}</definedName>
    <definedName name="_2710__FDSAUDITLINK__" localSheetId="3" hidden="1">{"fdsup://directions/FAT Viewer?action=UPDATE&amp;creator=factset&amp;DYN_ARGS=TRUE&amp;DOC_NAME=FAT:FQL_AUDITING_CLIENT_TEMPLATE.FAT&amp;display_string=Audit&amp;VAR:KEY=DYHONQXAZS&amp;VAR:QUERY=UkdGX1RBWF9SQVRFKEFOTiwwLCwsLCwsTk9BVURJVCk=&amp;WINDOW=FIRST_POPUP&amp;HEIGHT=450&amp;WIDTH=450&amp;","START_MAXIMIZED=FALSE&amp;VAR:CALENDAR=US&amp;VAR:SYMBOL=BBBB&amp;VAR:INDEX=0"}</definedName>
    <definedName name="_2710__FDSAUDITLINK__" localSheetId="7" hidden="1">{"fdsup://directions/FAT Viewer?action=UPDATE&amp;creator=factset&amp;DYN_ARGS=TRUE&amp;DOC_NAME=FAT:FQL_AUDITING_CLIENT_TEMPLATE.FAT&amp;display_string=Audit&amp;VAR:KEY=DYHONQXAZS&amp;VAR:QUERY=UkdGX1RBWF9SQVRFKEFOTiwwLCwsLCwsTk9BVURJVCk=&amp;WINDOW=FIRST_POPUP&amp;HEIGHT=450&amp;WIDTH=450&amp;","START_MAXIMIZED=FALSE&amp;VAR:CALENDAR=US&amp;VAR:SYMBOL=BBBB&amp;VAR:INDEX=0"}</definedName>
    <definedName name="_2710__FDSAUDITLINK__" hidden="1">{"fdsup://directions/FAT Viewer?action=UPDATE&amp;creator=factset&amp;DYN_ARGS=TRUE&amp;DOC_NAME=FAT:FQL_AUDITING_CLIENT_TEMPLATE.FAT&amp;display_string=Audit&amp;VAR:KEY=DYHONQXAZS&amp;VAR:QUERY=UkdGX1RBWF9SQVRFKEFOTiwwLCwsLCwsTk9BVURJVCk=&amp;WINDOW=FIRST_POPUP&amp;HEIGHT=450&amp;WIDTH=450&amp;","START_MAXIMIZED=FALSE&amp;VAR:CALENDAR=US&amp;VAR:SYMBOL=BBBB&amp;VAR:INDEX=0"}</definedName>
    <definedName name="_2711__FDSAUDITLINK__" localSheetId="3" hidden="1">{"fdsup://directions/FAT Viewer?action=UPDATE&amp;creator=factset&amp;DYN_ARGS=TRUE&amp;DOC_NAME=FAT:FQL_AUDITING_CLIENT_TEMPLATE.FAT&amp;display_string=Audit&amp;VAR:KEY=DYHONQXAZS&amp;VAR:QUERY=UkdGX1RBWF9SQVRFKEFOTiwwLCwsLCwsTk9BVURJVCk=&amp;WINDOW=FIRST_POPUP&amp;HEIGHT=450&amp;WIDTH=450&amp;","START_MAXIMIZED=FALSE&amp;VAR:CALENDAR=US&amp;VAR:SYMBOL=BBBB&amp;VAR:INDEX=0"}</definedName>
    <definedName name="_2711__FDSAUDITLINK__" localSheetId="7" hidden="1">{"fdsup://directions/FAT Viewer?action=UPDATE&amp;creator=factset&amp;DYN_ARGS=TRUE&amp;DOC_NAME=FAT:FQL_AUDITING_CLIENT_TEMPLATE.FAT&amp;display_string=Audit&amp;VAR:KEY=DYHONQXAZS&amp;VAR:QUERY=UkdGX1RBWF9SQVRFKEFOTiwwLCwsLCwsTk9BVURJVCk=&amp;WINDOW=FIRST_POPUP&amp;HEIGHT=450&amp;WIDTH=450&amp;","START_MAXIMIZED=FALSE&amp;VAR:CALENDAR=US&amp;VAR:SYMBOL=BBBB&amp;VAR:INDEX=0"}</definedName>
    <definedName name="_2711__FDSAUDITLINK__" hidden="1">{"fdsup://directions/FAT Viewer?action=UPDATE&amp;creator=factset&amp;DYN_ARGS=TRUE&amp;DOC_NAME=FAT:FQL_AUDITING_CLIENT_TEMPLATE.FAT&amp;display_string=Audit&amp;VAR:KEY=DYHONQXAZS&amp;VAR:QUERY=UkdGX1RBWF9SQVRFKEFOTiwwLCwsLCwsTk9BVURJVCk=&amp;WINDOW=FIRST_POPUP&amp;HEIGHT=450&amp;WIDTH=450&amp;","START_MAXIMIZED=FALSE&amp;VAR:CALENDAR=US&amp;VAR:SYMBOL=BBBB&amp;VAR:INDEX=0"}</definedName>
    <definedName name="_2712__FDSAUDITLINK__" localSheetId="3" hidden="1">{"fdsup://directions/FAT Viewer?action=UPDATE&amp;creator=factset&amp;DYN_ARGS=TRUE&amp;DOC_NAME=FAT:FQL_AUDITING_CLIENT_TEMPLATE.FAT&amp;display_string=Audit&amp;VAR:KEY=DGFSNGJUZG&amp;VAR:QUERY=UkdGX1RBWF9SQVRFKEFOTiwwLCwsLCwsTk9BVURJVCk=&amp;WINDOW=FIRST_POPUP&amp;HEIGHT=450&amp;WIDTH=450&amp;","START_MAXIMIZED=FALSE&amp;VAR:CALENDAR=US&amp;VAR:SYMBOL=BLKB&amp;VAR:INDEX=0"}</definedName>
    <definedName name="_2712__FDSAUDITLINK__" localSheetId="7" hidden="1">{"fdsup://directions/FAT Viewer?action=UPDATE&amp;creator=factset&amp;DYN_ARGS=TRUE&amp;DOC_NAME=FAT:FQL_AUDITING_CLIENT_TEMPLATE.FAT&amp;display_string=Audit&amp;VAR:KEY=DGFSNGJUZG&amp;VAR:QUERY=UkdGX1RBWF9SQVRFKEFOTiwwLCwsLCwsTk9BVURJVCk=&amp;WINDOW=FIRST_POPUP&amp;HEIGHT=450&amp;WIDTH=450&amp;","START_MAXIMIZED=FALSE&amp;VAR:CALENDAR=US&amp;VAR:SYMBOL=BLKB&amp;VAR:INDEX=0"}</definedName>
    <definedName name="_2712__FDSAUDITLINK__" hidden="1">{"fdsup://directions/FAT Viewer?action=UPDATE&amp;creator=factset&amp;DYN_ARGS=TRUE&amp;DOC_NAME=FAT:FQL_AUDITING_CLIENT_TEMPLATE.FAT&amp;display_string=Audit&amp;VAR:KEY=DGFSNGJUZG&amp;VAR:QUERY=UkdGX1RBWF9SQVRFKEFOTiwwLCwsLCwsTk9BVURJVCk=&amp;WINDOW=FIRST_POPUP&amp;HEIGHT=450&amp;WIDTH=450&amp;","START_MAXIMIZED=FALSE&amp;VAR:CALENDAR=US&amp;VAR:SYMBOL=BLKB&amp;VAR:INDEX=0"}</definedName>
    <definedName name="_2713__FDSAUDITLINK__" localSheetId="3" hidden="1">{"fdsup://directions/FAT Viewer?action=UPDATE&amp;creator=factset&amp;DYN_ARGS=TRUE&amp;DOC_NAME=FAT:FQL_AUDITING_CLIENT_TEMPLATE.FAT&amp;display_string=Audit&amp;VAR:KEY=DGFSNGJUZG&amp;VAR:QUERY=UkdGX1RBWF9SQVRFKEFOTiwwLCwsLCwsTk9BVURJVCk=&amp;WINDOW=FIRST_POPUP&amp;HEIGHT=450&amp;WIDTH=450&amp;","START_MAXIMIZED=FALSE&amp;VAR:CALENDAR=US&amp;VAR:SYMBOL=BLKB&amp;VAR:INDEX=0"}</definedName>
    <definedName name="_2713__FDSAUDITLINK__" localSheetId="7" hidden="1">{"fdsup://directions/FAT Viewer?action=UPDATE&amp;creator=factset&amp;DYN_ARGS=TRUE&amp;DOC_NAME=FAT:FQL_AUDITING_CLIENT_TEMPLATE.FAT&amp;display_string=Audit&amp;VAR:KEY=DGFSNGJUZG&amp;VAR:QUERY=UkdGX1RBWF9SQVRFKEFOTiwwLCwsLCwsTk9BVURJVCk=&amp;WINDOW=FIRST_POPUP&amp;HEIGHT=450&amp;WIDTH=450&amp;","START_MAXIMIZED=FALSE&amp;VAR:CALENDAR=US&amp;VAR:SYMBOL=BLKB&amp;VAR:INDEX=0"}</definedName>
    <definedName name="_2713__FDSAUDITLINK__" hidden="1">{"fdsup://directions/FAT Viewer?action=UPDATE&amp;creator=factset&amp;DYN_ARGS=TRUE&amp;DOC_NAME=FAT:FQL_AUDITING_CLIENT_TEMPLATE.FAT&amp;display_string=Audit&amp;VAR:KEY=DGFSNGJUZG&amp;VAR:QUERY=UkdGX1RBWF9SQVRFKEFOTiwwLCwsLCwsTk9BVURJVCk=&amp;WINDOW=FIRST_POPUP&amp;HEIGHT=450&amp;WIDTH=450&amp;","START_MAXIMIZED=FALSE&amp;VAR:CALENDAR=US&amp;VAR:SYMBOL=BLKB&amp;VAR:INDEX=0"}</definedName>
    <definedName name="_2714__FDSAUDITLINK__" localSheetId="3" hidden="1">{"fdsup://directions/FAT Viewer?action=UPDATE&amp;creator=factset&amp;DYN_ARGS=TRUE&amp;DOC_NAME=FAT:FQL_AUDITING_CLIENT_TEMPLATE.FAT&amp;display_string=Audit&amp;VAR:KEY=BCBUFQRWTM&amp;VAR:QUERY=UkdGX1RBWF9SQVRFKEFOTiwwLCwsLCwsTk9BVURJVCk=&amp;WINDOW=FIRST_POPUP&amp;HEIGHT=450&amp;WIDTH=450&amp;","START_MAXIMIZED=FALSE&amp;VAR:CALENDAR=US&amp;VAR:SYMBOL=586161&amp;VAR:INDEX=0"}</definedName>
    <definedName name="_2714__FDSAUDITLINK__" localSheetId="7" hidden="1">{"fdsup://directions/FAT Viewer?action=UPDATE&amp;creator=factset&amp;DYN_ARGS=TRUE&amp;DOC_NAME=FAT:FQL_AUDITING_CLIENT_TEMPLATE.FAT&amp;display_string=Audit&amp;VAR:KEY=BCBUFQRWTM&amp;VAR:QUERY=UkdGX1RBWF9SQVRFKEFOTiwwLCwsLCwsTk9BVURJVCk=&amp;WINDOW=FIRST_POPUP&amp;HEIGHT=450&amp;WIDTH=450&amp;","START_MAXIMIZED=FALSE&amp;VAR:CALENDAR=US&amp;VAR:SYMBOL=586161&amp;VAR:INDEX=0"}</definedName>
    <definedName name="_2714__FDSAUDITLINK__" hidden="1">{"fdsup://directions/FAT Viewer?action=UPDATE&amp;creator=factset&amp;DYN_ARGS=TRUE&amp;DOC_NAME=FAT:FQL_AUDITING_CLIENT_TEMPLATE.FAT&amp;display_string=Audit&amp;VAR:KEY=BCBUFQRWTM&amp;VAR:QUERY=UkdGX1RBWF9SQVRFKEFOTiwwLCwsLCwsTk9BVURJVCk=&amp;WINDOW=FIRST_POPUP&amp;HEIGHT=450&amp;WIDTH=450&amp;","START_MAXIMIZED=FALSE&amp;VAR:CALENDAR=US&amp;VAR:SYMBOL=586161&amp;VAR:INDEX=0"}</definedName>
    <definedName name="_2715__FDSAUDITLINK__" localSheetId="3" hidden="1">{"fdsup://directions/FAT Viewer?action=UPDATE&amp;creator=factset&amp;DYN_ARGS=TRUE&amp;DOC_NAME=FAT:FQL_AUDITING_CLIENT_TEMPLATE.FAT&amp;display_string=Audit&amp;VAR:KEY=VCFMTMNEHC&amp;VAR:QUERY=UkdGX1RBWF9SQVRFKEFOTiwwLCwsLCwsTk9BVURJVCk=&amp;WINDOW=FIRST_POPUP&amp;HEIGHT=450&amp;WIDTH=450&amp;","START_MAXIMIZED=FALSE&amp;VAR:CALENDAR=US&amp;VAR:SYMBOL=AVID&amp;VAR:INDEX=0"}</definedName>
    <definedName name="_2715__FDSAUDITLINK__" localSheetId="7" hidden="1">{"fdsup://directions/FAT Viewer?action=UPDATE&amp;creator=factset&amp;DYN_ARGS=TRUE&amp;DOC_NAME=FAT:FQL_AUDITING_CLIENT_TEMPLATE.FAT&amp;display_string=Audit&amp;VAR:KEY=VCFMTMNEHC&amp;VAR:QUERY=UkdGX1RBWF9SQVRFKEFOTiwwLCwsLCwsTk9BVURJVCk=&amp;WINDOW=FIRST_POPUP&amp;HEIGHT=450&amp;WIDTH=450&amp;","START_MAXIMIZED=FALSE&amp;VAR:CALENDAR=US&amp;VAR:SYMBOL=AVID&amp;VAR:INDEX=0"}</definedName>
    <definedName name="_2715__FDSAUDITLINK__" hidden="1">{"fdsup://directions/FAT Viewer?action=UPDATE&amp;creator=factset&amp;DYN_ARGS=TRUE&amp;DOC_NAME=FAT:FQL_AUDITING_CLIENT_TEMPLATE.FAT&amp;display_string=Audit&amp;VAR:KEY=VCFMTMNEHC&amp;VAR:QUERY=UkdGX1RBWF9SQVRFKEFOTiwwLCwsLCwsTk9BVURJVCk=&amp;WINDOW=FIRST_POPUP&amp;HEIGHT=450&amp;WIDTH=450&amp;","START_MAXIMIZED=FALSE&amp;VAR:CALENDAR=US&amp;VAR:SYMBOL=AVID&amp;VAR:INDEX=0"}</definedName>
    <definedName name="_2716__FDSAUDITLINK__" localSheetId="3" hidden="1">{"fdsup://directions/FAT Viewer?action=UPDATE&amp;creator=factset&amp;DYN_ARGS=TRUE&amp;DOC_NAME=FAT:FQL_AUDITING_CLIENT_TEMPLATE.FAT&amp;display_string=Audit&amp;VAR:KEY=PEPWDAVAVW&amp;VAR:QUERY=UkdGX1RBWF9SQVRFKEFOTiwwLCwsLCwsTk9BVURJVCk=&amp;WINDOW=FIRST_POPUP&amp;HEIGHT=450&amp;WIDTH=450&amp;","START_MAXIMIZED=FALSE&amp;VAR:CALENDAR=US&amp;VAR:SYMBOL=B15CMQ&amp;VAR:INDEX=0"}</definedName>
    <definedName name="_2716__FDSAUDITLINK__" localSheetId="7" hidden="1">{"fdsup://directions/FAT Viewer?action=UPDATE&amp;creator=factset&amp;DYN_ARGS=TRUE&amp;DOC_NAME=FAT:FQL_AUDITING_CLIENT_TEMPLATE.FAT&amp;display_string=Audit&amp;VAR:KEY=PEPWDAVAVW&amp;VAR:QUERY=UkdGX1RBWF9SQVRFKEFOTiwwLCwsLCwsTk9BVURJVCk=&amp;WINDOW=FIRST_POPUP&amp;HEIGHT=450&amp;WIDTH=450&amp;","START_MAXIMIZED=FALSE&amp;VAR:CALENDAR=US&amp;VAR:SYMBOL=B15CMQ&amp;VAR:INDEX=0"}</definedName>
    <definedName name="_2716__FDSAUDITLINK__" hidden="1">{"fdsup://directions/FAT Viewer?action=UPDATE&amp;creator=factset&amp;DYN_ARGS=TRUE&amp;DOC_NAME=FAT:FQL_AUDITING_CLIENT_TEMPLATE.FAT&amp;display_string=Audit&amp;VAR:KEY=PEPWDAVAVW&amp;VAR:QUERY=UkdGX1RBWF9SQVRFKEFOTiwwLCwsLCwsTk9BVURJVCk=&amp;WINDOW=FIRST_POPUP&amp;HEIGHT=450&amp;WIDTH=450&amp;","START_MAXIMIZED=FALSE&amp;VAR:CALENDAR=US&amp;VAR:SYMBOL=B15CMQ&amp;VAR:INDEX=0"}</definedName>
    <definedName name="_2717__FDSAUDITLINK__" localSheetId="3" hidden="1">{"fdsup://directions/FAT Viewer?action=UPDATE&amp;creator=factset&amp;DYN_ARGS=TRUE&amp;DOC_NAME=FAT:FQL_AUDITING_CLIENT_TEMPLATE.FAT&amp;display_string=Audit&amp;VAR:KEY=PEPWDAVAVW&amp;VAR:QUERY=UkdGX1RBWF9SQVRFKEFOTiwwLCwsLCwsTk9BVURJVCk=&amp;WINDOW=FIRST_POPUP&amp;HEIGHT=450&amp;WIDTH=450&amp;","START_MAXIMIZED=FALSE&amp;VAR:CALENDAR=US&amp;VAR:SYMBOL=B15CMQ&amp;VAR:INDEX=0"}</definedName>
    <definedName name="_2717__FDSAUDITLINK__" localSheetId="7" hidden="1">{"fdsup://directions/FAT Viewer?action=UPDATE&amp;creator=factset&amp;DYN_ARGS=TRUE&amp;DOC_NAME=FAT:FQL_AUDITING_CLIENT_TEMPLATE.FAT&amp;display_string=Audit&amp;VAR:KEY=PEPWDAVAVW&amp;VAR:QUERY=UkdGX1RBWF9SQVRFKEFOTiwwLCwsLCwsTk9BVURJVCk=&amp;WINDOW=FIRST_POPUP&amp;HEIGHT=450&amp;WIDTH=450&amp;","START_MAXIMIZED=FALSE&amp;VAR:CALENDAR=US&amp;VAR:SYMBOL=B15CMQ&amp;VAR:INDEX=0"}</definedName>
    <definedName name="_2717__FDSAUDITLINK__" hidden="1">{"fdsup://directions/FAT Viewer?action=UPDATE&amp;creator=factset&amp;DYN_ARGS=TRUE&amp;DOC_NAME=FAT:FQL_AUDITING_CLIENT_TEMPLATE.FAT&amp;display_string=Audit&amp;VAR:KEY=PEPWDAVAVW&amp;VAR:QUERY=UkdGX1RBWF9SQVRFKEFOTiwwLCwsLCwsTk9BVURJVCk=&amp;WINDOW=FIRST_POPUP&amp;HEIGHT=450&amp;WIDTH=450&amp;","START_MAXIMIZED=FALSE&amp;VAR:CALENDAR=US&amp;VAR:SYMBOL=B15CMQ&amp;VAR:INDEX=0"}</definedName>
    <definedName name="_2718__FDSAUDITLINK__" localSheetId="3" hidden="1">{"fdsup://directions/FAT Viewer?action=UPDATE&amp;creator=factset&amp;DYN_ARGS=TRUE&amp;DOC_NAME=FAT:FQL_AUDITING_CLIENT_TEMPLATE.FAT&amp;display_string=Audit&amp;VAR:KEY=ZENALIHQZU&amp;VAR:QUERY=UkdGX1RBWF9SQVRFKEFOTiwwLCwsLCwsTk9BVURJVCk=&amp;WINDOW=FIRST_POPUP&amp;HEIGHT=450&amp;WIDTH=450&amp;","START_MAXIMIZED=FALSE&amp;VAR:CALENDAR=US&amp;VAR:SYMBOL=011827&amp;VAR:INDEX=0"}</definedName>
    <definedName name="_2718__FDSAUDITLINK__" localSheetId="7" hidden="1">{"fdsup://directions/FAT Viewer?action=UPDATE&amp;creator=factset&amp;DYN_ARGS=TRUE&amp;DOC_NAME=FAT:FQL_AUDITING_CLIENT_TEMPLATE.FAT&amp;display_string=Audit&amp;VAR:KEY=ZENALIHQZU&amp;VAR:QUERY=UkdGX1RBWF9SQVRFKEFOTiwwLCwsLCwsTk9BVURJVCk=&amp;WINDOW=FIRST_POPUP&amp;HEIGHT=450&amp;WIDTH=450&amp;","START_MAXIMIZED=FALSE&amp;VAR:CALENDAR=US&amp;VAR:SYMBOL=011827&amp;VAR:INDEX=0"}</definedName>
    <definedName name="_2718__FDSAUDITLINK__" hidden="1">{"fdsup://directions/FAT Viewer?action=UPDATE&amp;creator=factset&amp;DYN_ARGS=TRUE&amp;DOC_NAME=FAT:FQL_AUDITING_CLIENT_TEMPLATE.FAT&amp;display_string=Audit&amp;VAR:KEY=ZENALIHQZU&amp;VAR:QUERY=UkdGX1RBWF9SQVRFKEFOTiwwLCwsLCwsTk9BVURJVCk=&amp;WINDOW=FIRST_POPUP&amp;HEIGHT=450&amp;WIDTH=450&amp;","START_MAXIMIZED=FALSE&amp;VAR:CALENDAR=US&amp;VAR:SYMBOL=011827&amp;VAR:INDEX=0"}</definedName>
    <definedName name="_2719__FDSAUDITLINK__" localSheetId="3" hidden="1">{"fdsup://directions/FAT Viewer?action=UPDATE&amp;creator=factset&amp;DYN_ARGS=TRUE&amp;DOC_NAME=FAT:FQL_AUDITING_CLIENT_TEMPLATE.FAT&amp;display_string=Audit&amp;VAR:KEY=ZENALIHQZU&amp;VAR:QUERY=UkdGX1RBWF9SQVRFKEFOTiwwLCwsLCwsTk9BVURJVCk=&amp;WINDOW=FIRST_POPUP&amp;HEIGHT=450&amp;WIDTH=450&amp;","START_MAXIMIZED=FALSE&amp;VAR:CALENDAR=US&amp;VAR:SYMBOL=011827&amp;VAR:INDEX=0"}</definedName>
    <definedName name="_2719__FDSAUDITLINK__" localSheetId="7" hidden="1">{"fdsup://directions/FAT Viewer?action=UPDATE&amp;creator=factset&amp;DYN_ARGS=TRUE&amp;DOC_NAME=FAT:FQL_AUDITING_CLIENT_TEMPLATE.FAT&amp;display_string=Audit&amp;VAR:KEY=ZENALIHQZU&amp;VAR:QUERY=UkdGX1RBWF9SQVRFKEFOTiwwLCwsLCwsTk9BVURJVCk=&amp;WINDOW=FIRST_POPUP&amp;HEIGHT=450&amp;WIDTH=450&amp;","START_MAXIMIZED=FALSE&amp;VAR:CALENDAR=US&amp;VAR:SYMBOL=011827&amp;VAR:INDEX=0"}</definedName>
    <definedName name="_2719__FDSAUDITLINK__" hidden="1">{"fdsup://directions/FAT Viewer?action=UPDATE&amp;creator=factset&amp;DYN_ARGS=TRUE&amp;DOC_NAME=FAT:FQL_AUDITING_CLIENT_TEMPLATE.FAT&amp;display_string=Audit&amp;VAR:KEY=ZENALIHQZU&amp;VAR:QUERY=UkdGX1RBWF9SQVRFKEFOTiwwLCwsLCwsTk9BVURJVCk=&amp;WINDOW=FIRST_POPUP&amp;HEIGHT=450&amp;WIDTH=450&amp;","START_MAXIMIZED=FALSE&amp;VAR:CALENDAR=US&amp;VAR:SYMBOL=011827&amp;VAR:INDEX=0"}</definedName>
    <definedName name="_272__FDSAUDITLINK__" localSheetId="3" hidden="1">{"fdsup://directions/FAT Viewer?action=UPDATE&amp;creator=factset&amp;DYN_ARGS=TRUE&amp;DOC_NAME=FAT:FQL_AUDITING_CLIENT_TEMPLATE.FAT&amp;display_string=Audit&amp;VAR:KEY=KHSLCPUNCV&amp;VAR:QUERY=UENUQ0hHKEZGX0ZSRUVfQ0YoQU5OLDAsLTksWSxSUCxMT0NBTCxNKSxGRl9GUkVFX0NGKEFOTiwtMSwtOSAtI","DEsWSxSUCxMT0NBTCxNKSk=&amp;WINDOW=FIRST_POPUP&amp;HEIGHT=450&amp;WIDTH=450&amp;START_MAXIMIZED=FALSE&amp;VAR:CALENDAR=US&amp;VAR:SYMBOL=B10LQP&amp;VAR:INDEX=1"}</definedName>
    <definedName name="_272__FDSAUDITLINK__" localSheetId="7" hidden="1">{"fdsup://directions/FAT Viewer?action=UPDATE&amp;creator=factset&amp;DYN_ARGS=TRUE&amp;DOC_NAME=FAT:FQL_AUDITING_CLIENT_TEMPLATE.FAT&amp;display_string=Audit&amp;VAR:KEY=KHSLCPUNCV&amp;VAR:QUERY=UENUQ0hHKEZGX0ZSRUVfQ0YoQU5OLDAsLTksWSxSUCxMT0NBTCxNKSxGRl9GUkVFX0NGKEFOTiwtMSwtOSAtI","DEsWSxSUCxMT0NBTCxNKSk=&amp;WINDOW=FIRST_POPUP&amp;HEIGHT=450&amp;WIDTH=450&amp;START_MAXIMIZED=FALSE&amp;VAR:CALENDAR=US&amp;VAR:SYMBOL=B10LQP&amp;VAR:INDEX=1"}</definedName>
    <definedName name="_272__FDSAUDITLINK__" hidden="1">{"fdsup://directions/FAT Viewer?action=UPDATE&amp;creator=factset&amp;DYN_ARGS=TRUE&amp;DOC_NAME=FAT:FQL_AUDITING_CLIENT_TEMPLATE.FAT&amp;display_string=Audit&amp;VAR:KEY=KHSLCPUNCV&amp;VAR:QUERY=UENUQ0hHKEZGX0ZSRUVfQ0YoQU5OLDAsLTksWSxSUCxMT0NBTCxNKSxGRl9GUkVFX0NGKEFOTiwtMSwtOSAtI","DEsWSxSUCxMT0NBTCxNKSk=&amp;WINDOW=FIRST_POPUP&amp;HEIGHT=450&amp;WIDTH=450&amp;START_MAXIMIZED=FALSE&amp;VAR:CALENDAR=US&amp;VAR:SYMBOL=B10LQP&amp;VAR:INDEX=1"}</definedName>
    <definedName name="_2720__FDSAUDITLINK__" localSheetId="3" hidden="1">{"fdsup://directions/FAT Viewer?action=UPDATE&amp;creator=factset&amp;DYN_ARGS=TRUE&amp;DOC_NAME=FAT:FQL_AUDITING_CLIENT_TEMPLATE.FAT&amp;display_string=Audit&amp;VAR:KEY=NEFKFOZQBK&amp;VAR:QUERY=UkdGX1RBWF9SQVRFKEFOTiwwLCwsLCwsTk9BVURJVCk=&amp;WINDOW=FIRST_POPUP&amp;HEIGHT=450&amp;WIDTH=450&amp;","START_MAXIMIZED=FALSE&amp;VAR:CALENDAR=US&amp;VAR:SYMBOL=ADSK&amp;VAR:INDEX=0"}</definedName>
    <definedName name="_2720__FDSAUDITLINK__" localSheetId="7" hidden="1">{"fdsup://directions/FAT Viewer?action=UPDATE&amp;creator=factset&amp;DYN_ARGS=TRUE&amp;DOC_NAME=FAT:FQL_AUDITING_CLIENT_TEMPLATE.FAT&amp;display_string=Audit&amp;VAR:KEY=NEFKFOZQBK&amp;VAR:QUERY=UkdGX1RBWF9SQVRFKEFOTiwwLCwsLCwsTk9BVURJVCk=&amp;WINDOW=FIRST_POPUP&amp;HEIGHT=450&amp;WIDTH=450&amp;","START_MAXIMIZED=FALSE&amp;VAR:CALENDAR=US&amp;VAR:SYMBOL=ADSK&amp;VAR:INDEX=0"}</definedName>
    <definedName name="_2720__FDSAUDITLINK__" hidden="1">{"fdsup://directions/FAT Viewer?action=UPDATE&amp;creator=factset&amp;DYN_ARGS=TRUE&amp;DOC_NAME=FAT:FQL_AUDITING_CLIENT_TEMPLATE.FAT&amp;display_string=Audit&amp;VAR:KEY=NEFKFOZQBK&amp;VAR:QUERY=UkdGX1RBWF9SQVRFKEFOTiwwLCwsLCwsTk9BVURJVCk=&amp;WINDOW=FIRST_POPUP&amp;HEIGHT=450&amp;WIDTH=450&amp;","START_MAXIMIZED=FALSE&amp;VAR:CALENDAR=US&amp;VAR:SYMBOL=ADSK&amp;VAR:INDEX=0"}</definedName>
    <definedName name="_2721__FDSAUDITLINK__" localSheetId="3" hidden="1">{"fdsup://directions/FAT Viewer?action=UPDATE&amp;creator=factset&amp;DYN_ARGS=TRUE&amp;DOC_NAME=FAT:FQL_AUDITING_CLIENT_TEMPLATE.FAT&amp;display_string=Audit&amp;VAR:KEY=NEFKFOZQBK&amp;VAR:QUERY=UkdGX1RBWF9SQVRFKEFOTiwwLCwsLCwsTk9BVURJVCk=&amp;WINDOW=FIRST_POPUP&amp;HEIGHT=450&amp;WIDTH=450&amp;","START_MAXIMIZED=FALSE&amp;VAR:CALENDAR=US&amp;VAR:SYMBOL=ADSK&amp;VAR:INDEX=0"}</definedName>
    <definedName name="_2721__FDSAUDITLINK__" localSheetId="7" hidden="1">{"fdsup://directions/FAT Viewer?action=UPDATE&amp;creator=factset&amp;DYN_ARGS=TRUE&amp;DOC_NAME=FAT:FQL_AUDITING_CLIENT_TEMPLATE.FAT&amp;display_string=Audit&amp;VAR:KEY=NEFKFOZQBK&amp;VAR:QUERY=UkdGX1RBWF9SQVRFKEFOTiwwLCwsLCwsTk9BVURJVCk=&amp;WINDOW=FIRST_POPUP&amp;HEIGHT=450&amp;WIDTH=450&amp;","START_MAXIMIZED=FALSE&amp;VAR:CALENDAR=US&amp;VAR:SYMBOL=ADSK&amp;VAR:INDEX=0"}</definedName>
    <definedName name="_2721__FDSAUDITLINK__" hidden="1">{"fdsup://directions/FAT Viewer?action=UPDATE&amp;creator=factset&amp;DYN_ARGS=TRUE&amp;DOC_NAME=FAT:FQL_AUDITING_CLIENT_TEMPLATE.FAT&amp;display_string=Audit&amp;VAR:KEY=NEFKFOZQBK&amp;VAR:QUERY=UkdGX1RBWF9SQVRFKEFOTiwwLCwsLCwsTk9BVURJVCk=&amp;WINDOW=FIRST_POPUP&amp;HEIGHT=450&amp;WIDTH=450&amp;","START_MAXIMIZED=FALSE&amp;VAR:CALENDAR=US&amp;VAR:SYMBOL=ADSK&amp;VAR:INDEX=0"}</definedName>
    <definedName name="_2722__FDSAUDITLINK__" localSheetId="3" hidden="1">{"fdsup://directions/FAT Viewer?action=UPDATE&amp;creator=factset&amp;DYN_ARGS=TRUE&amp;DOC_NAME=FAT:FQL_AUDITING_CLIENT_TEMPLATE.FAT&amp;display_string=Audit&amp;VAR:KEY=BOZKRUNWHI&amp;VAR:QUERY=UkdGX1RBWF9SQVRFKEFOTiwwLCwsLCwsTk9BVURJVCk=&amp;WINDOW=FIRST_POPUP&amp;HEIGHT=450&amp;WIDTH=450&amp;","START_MAXIMIZED=FALSE&amp;VAR:CALENDAR=US&amp;VAR:SYMBOL=ATHN&amp;VAR:INDEX=0"}</definedName>
    <definedName name="_2722__FDSAUDITLINK__" localSheetId="7" hidden="1">{"fdsup://directions/FAT Viewer?action=UPDATE&amp;creator=factset&amp;DYN_ARGS=TRUE&amp;DOC_NAME=FAT:FQL_AUDITING_CLIENT_TEMPLATE.FAT&amp;display_string=Audit&amp;VAR:KEY=BOZKRUNWHI&amp;VAR:QUERY=UkdGX1RBWF9SQVRFKEFOTiwwLCwsLCwsTk9BVURJVCk=&amp;WINDOW=FIRST_POPUP&amp;HEIGHT=450&amp;WIDTH=450&amp;","START_MAXIMIZED=FALSE&amp;VAR:CALENDAR=US&amp;VAR:SYMBOL=ATHN&amp;VAR:INDEX=0"}</definedName>
    <definedName name="_2722__FDSAUDITLINK__" hidden="1">{"fdsup://directions/FAT Viewer?action=UPDATE&amp;creator=factset&amp;DYN_ARGS=TRUE&amp;DOC_NAME=FAT:FQL_AUDITING_CLIENT_TEMPLATE.FAT&amp;display_string=Audit&amp;VAR:KEY=BOZKRUNWHI&amp;VAR:QUERY=UkdGX1RBWF9SQVRFKEFOTiwwLCwsLCwsTk9BVURJVCk=&amp;WINDOW=FIRST_POPUP&amp;HEIGHT=450&amp;WIDTH=450&amp;","START_MAXIMIZED=FALSE&amp;VAR:CALENDAR=US&amp;VAR:SYMBOL=ATHN&amp;VAR:INDEX=0"}</definedName>
    <definedName name="_2723__FDSAUDITLINK__" localSheetId="3" hidden="1">{"fdsup://directions/FAT Viewer?action=UPDATE&amp;creator=factset&amp;DYN_ARGS=TRUE&amp;DOC_NAME=FAT:FQL_AUDITING_CLIENT_TEMPLATE.FAT&amp;display_string=Audit&amp;VAR:KEY=BOZKRUNWHI&amp;VAR:QUERY=UkdGX1RBWF9SQVRFKEFOTiwwLCwsLCwsTk9BVURJVCk=&amp;WINDOW=FIRST_POPUP&amp;HEIGHT=450&amp;WIDTH=450&amp;","START_MAXIMIZED=FALSE&amp;VAR:CALENDAR=US&amp;VAR:SYMBOL=ATHN&amp;VAR:INDEX=0"}</definedName>
    <definedName name="_2723__FDSAUDITLINK__" localSheetId="7" hidden="1">{"fdsup://directions/FAT Viewer?action=UPDATE&amp;creator=factset&amp;DYN_ARGS=TRUE&amp;DOC_NAME=FAT:FQL_AUDITING_CLIENT_TEMPLATE.FAT&amp;display_string=Audit&amp;VAR:KEY=BOZKRUNWHI&amp;VAR:QUERY=UkdGX1RBWF9SQVRFKEFOTiwwLCwsLCwsTk9BVURJVCk=&amp;WINDOW=FIRST_POPUP&amp;HEIGHT=450&amp;WIDTH=450&amp;","START_MAXIMIZED=FALSE&amp;VAR:CALENDAR=US&amp;VAR:SYMBOL=ATHN&amp;VAR:INDEX=0"}</definedName>
    <definedName name="_2723__FDSAUDITLINK__" hidden="1">{"fdsup://directions/FAT Viewer?action=UPDATE&amp;creator=factset&amp;DYN_ARGS=TRUE&amp;DOC_NAME=FAT:FQL_AUDITING_CLIENT_TEMPLATE.FAT&amp;display_string=Audit&amp;VAR:KEY=BOZKRUNWHI&amp;VAR:QUERY=UkdGX1RBWF9SQVRFKEFOTiwwLCwsLCwsTk9BVURJVCk=&amp;WINDOW=FIRST_POPUP&amp;HEIGHT=450&amp;WIDTH=450&amp;","START_MAXIMIZED=FALSE&amp;VAR:CALENDAR=US&amp;VAR:SYMBOL=ATHN&amp;VAR:INDEX=0"}</definedName>
    <definedName name="_2724__FDSAUDITLINK__" localSheetId="3" hidden="1">{"fdsup://directions/FAT Viewer?action=UPDATE&amp;creator=factset&amp;DYN_ARGS=TRUE&amp;DOC_NAME=FAT:FQL_AUDITING_CLIENT_TEMPLATE.FAT&amp;display_string=Audit&amp;VAR:KEY=NQPUPARQXU&amp;VAR:QUERY=UkdGX1RBWF9SQVRFKEFOTiwwLCwsLCwsTk9BVURJVCk=&amp;WINDOW=FIRST_POPUP&amp;HEIGHT=450&amp;WIDTH=450&amp;","START_MAXIMIZED=FALSE&amp;VAR:CALENDAR=US&amp;VAR:SYMBOL=AZPN&amp;VAR:INDEX=0"}</definedName>
    <definedName name="_2724__FDSAUDITLINK__" localSheetId="7" hidden="1">{"fdsup://directions/FAT Viewer?action=UPDATE&amp;creator=factset&amp;DYN_ARGS=TRUE&amp;DOC_NAME=FAT:FQL_AUDITING_CLIENT_TEMPLATE.FAT&amp;display_string=Audit&amp;VAR:KEY=NQPUPARQXU&amp;VAR:QUERY=UkdGX1RBWF9SQVRFKEFOTiwwLCwsLCwsTk9BVURJVCk=&amp;WINDOW=FIRST_POPUP&amp;HEIGHT=450&amp;WIDTH=450&amp;","START_MAXIMIZED=FALSE&amp;VAR:CALENDAR=US&amp;VAR:SYMBOL=AZPN&amp;VAR:INDEX=0"}</definedName>
    <definedName name="_2724__FDSAUDITLINK__" hidden="1">{"fdsup://directions/FAT Viewer?action=UPDATE&amp;creator=factset&amp;DYN_ARGS=TRUE&amp;DOC_NAME=FAT:FQL_AUDITING_CLIENT_TEMPLATE.FAT&amp;display_string=Audit&amp;VAR:KEY=NQPUPARQXU&amp;VAR:QUERY=UkdGX1RBWF9SQVRFKEFOTiwwLCwsLCwsTk9BVURJVCk=&amp;WINDOW=FIRST_POPUP&amp;HEIGHT=450&amp;WIDTH=450&amp;","START_MAXIMIZED=FALSE&amp;VAR:CALENDAR=US&amp;VAR:SYMBOL=AZPN&amp;VAR:INDEX=0"}</definedName>
    <definedName name="_2725__FDSAUDITLINK__" localSheetId="3" hidden="1">{"fdsup://directions/FAT Viewer?action=UPDATE&amp;creator=factset&amp;DYN_ARGS=TRUE&amp;DOC_NAME=FAT:FQL_AUDITING_CLIENT_TEMPLATE.FAT&amp;display_string=Audit&amp;VAR:KEY=RUNOBIVMNG&amp;VAR:QUERY=UkdGX1RBWF9SQVRFKEFOTiwwLCwsLCwsTk9BVURJVCk=&amp;WINDOW=FIRST_POPUP&amp;HEIGHT=450&amp;WIDTH=450&amp;","START_MAXIMIZED=FALSE&amp;VAR:CALENDAR=US&amp;VAR:SYMBOL=ARTG&amp;VAR:INDEX=0"}</definedName>
    <definedName name="_2725__FDSAUDITLINK__" localSheetId="7" hidden="1">{"fdsup://directions/FAT Viewer?action=UPDATE&amp;creator=factset&amp;DYN_ARGS=TRUE&amp;DOC_NAME=FAT:FQL_AUDITING_CLIENT_TEMPLATE.FAT&amp;display_string=Audit&amp;VAR:KEY=RUNOBIVMNG&amp;VAR:QUERY=UkdGX1RBWF9SQVRFKEFOTiwwLCwsLCwsTk9BVURJVCk=&amp;WINDOW=FIRST_POPUP&amp;HEIGHT=450&amp;WIDTH=450&amp;","START_MAXIMIZED=FALSE&amp;VAR:CALENDAR=US&amp;VAR:SYMBOL=ARTG&amp;VAR:INDEX=0"}</definedName>
    <definedName name="_2725__FDSAUDITLINK__" hidden="1">{"fdsup://directions/FAT Viewer?action=UPDATE&amp;creator=factset&amp;DYN_ARGS=TRUE&amp;DOC_NAME=FAT:FQL_AUDITING_CLIENT_TEMPLATE.FAT&amp;display_string=Audit&amp;VAR:KEY=RUNOBIVMNG&amp;VAR:QUERY=UkdGX1RBWF9SQVRFKEFOTiwwLCwsLCwsTk9BVURJVCk=&amp;WINDOW=FIRST_POPUP&amp;HEIGHT=450&amp;WIDTH=450&amp;","START_MAXIMIZED=FALSE&amp;VAR:CALENDAR=US&amp;VAR:SYMBOL=ARTG&amp;VAR:INDEX=0"}</definedName>
    <definedName name="_2726__FDSAUDITLINK__" localSheetId="3" hidden="1">{"fdsup://directions/FAT Viewer?action=UPDATE&amp;creator=factset&amp;DYN_ARGS=TRUE&amp;DOC_NAME=FAT:FQL_AUDITING_CLIENT_TEMPLATE.FAT&amp;display_string=Audit&amp;VAR:KEY=RUNOBIVMNG&amp;VAR:QUERY=UkdGX1RBWF9SQVRFKEFOTiwwLCwsLCwsTk9BVURJVCk=&amp;WINDOW=FIRST_POPUP&amp;HEIGHT=450&amp;WIDTH=450&amp;","START_MAXIMIZED=FALSE&amp;VAR:CALENDAR=US&amp;VAR:SYMBOL=ARTG&amp;VAR:INDEX=0"}</definedName>
    <definedName name="_2726__FDSAUDITLINK__" localSheetId="7" hidden="1">{"fdsup://directions/FAT Viewer?action=UPDATE&amp;creator=factset&amp;DYN_ARGS=TRUE&amp;DOC_NAME=FAT:FQL_AUDITING_CLIENT_TEMPLATE.FAT&amp;display_string=Audit&amp;VAR:KEY=RUNOBIVMNG&amp;VAR:QUERY=UkdGX1RBWF9SQVRFKEFOTiwwLCwsLCwsTk9BVURJVCk=&amp;WINDOW=FIRST_POPUP&amp;HEIGHT=450&amp;WIDTH=450&amp;","START_MAXIMIZED=FALSE&amp;VAR:CALENDAR=US&amp;VAR:SYMBOL=ARTG&amp;VAR:INDEX=0"}</definedName>
    <definedName name="_2726__FDSAUDITLINK__" hidden="1">{"fdsup://directions/FAT Viewer?action=UPDATE&amp;creator=factset&amp;DYN_ARGS=TRUE&amp;DOC_NAME=FAT:FQL_AUDITING_CLIENT_TEMPLATE.FAT&amp;display_string=Audit&amp;VAR:KEY=RUNOBIVMNG&amp;VAR:QUERY=UkdGX1RBWF9SQVRFKEFOTiwwLCwsLCwsTk9BVURJVCk=&amp;WINDOW=FIRST_POPUP&amp;HEIGHT=450&amp;WIDTH=450&amp;","START_MAXIMIZED=FALSE&amp;VAR:CALENDAR=US&amp;VAR:SYMBOL=ARTG&amp;VAR:INDEX=0"}</definedName>
    <definedName name="_2727__FDSAUDITLINK__" localSheetId="3" hidden="1">{"fdsup://directions/FAT Viewer?action=UPDATE&amp;creator=factset&amp;DYN_ARGS=TRUE&amp;DOC_NAME=FAT:FQL_AUDITING_CLIENT_TEMPLATE.FAT&amp;display_string=Audit&amp;VAR:KEY=LCHSVMLSVY&amp;VAR:QUERY=UkdGX1RBWF9SQVRFKEFOTiwwLCwsLCwsTk9BVURJVCk=&amp;WINDOW=FIRST_POPUP&amp;HEIGHT=450&amp;WIDTH=450&amp;","START_MAXIMIZED=FALSE&amp;VAR:CALENDAR=US&amp;VAR:SYMBOL=005958&amp;VAR:INDEX=0"}</definedName>
    <definedName name="_2727__FDSAUDITLINK__" localSheetId="7" hidden="1">{"fdsup://directions/FAT Viewer?action=UPDATE&amp;creator=factset&amp;DYN_ARGS=TRUE&amp;DOC_NAME=FAT:FQL_AUDITING_CLIENT_TEMPLATE.FAT&amp;display_string=Audit&amp;VAR:KEY=LCHSVMLSVY&amp;VAR:QUERY=UkdGX1RBWF9SQVRFKEFOTiwwLCwsLCwsTk9BVURJVCk=&amp;WINDOW=FIRST_POPUP&amp;HEIGHT=450&amp;WIDTH=450&amp;","START_MAXIMIZED=FALSE&amp;VAR:CALENDAR=US&amp;VAR:SYMBOL=005958&amp;VAR:INDEX=0"}</definedName>
    <definedName name="_2727__FDSAUDITLINK__" hidden="1">{"fdsup://directions/FAT Viewer?action=UPDATE&amp;creator=factset&amp;DYN_ARGS=TRUE&amp;DOC_NAME=FAT:FQL_AUDITING_CLIENT_TEMPLATE.FAT&amp;display_string=Audit&amp;VAR:KEY=LCHSVMLSVY&amp;VAR:QUERY=UkdGX1RBWF9SQVRFKEFOTiwwLCwsLCwsTk9BVURJVCk=&amp;WINDOW=FIRST_POPUP&amp;HEIGHT=450&amp;WIDTH=450&amp;","START_MAXIMIZED=FALSE&amp;VAR:CALENDAR=US&amp;VAR:SYMBOL=005958&amp;VAR:INDEX=0"}</definedName>
    <definedName name="_2728__FDSAUDITLINK__" localSheetId="3" hidden="1">{"fdsup://directions/FAT Viewer?action=UPDATE&amp;creator=factset&amp;DYN_ARGS=TRUE&amp;DOC_NAME=FAT:FQL_AUDITING_CLIENT_TEMPLATE.FAT&amp;display_string=Audit&amp;VAR:KEY=LCHSVMLSVY&amp;VAR:QUERY=UkdGX1RBWF9SQVRFKEFOTiwwLCwsLCwsTk9BVURJVCk=&amp;WINDOW=FIRST_POPUP&amp;HEIGHT=450&amp;WIDTH=450&amp;","START_MAXIMIZED=FALSE&amp;VAR:CALENDAR=US&amp;VAR:SYMBOL=005958&amp;VAR:INDEX=0"}</definedName>
    <definedName name="_2728__FDSAUDITLINK__" localSheetId="7" hidden="1">{"fdsup://directions/FAT Viewer?action=UPDATE&amp;creator=factset&amp;DYN_ARGS=TRUE&amp;DOC_NAME=FAT:FQL_AUDITING_CLIENT_TEMPLATE.FAT&amp;display_string=Audit&amp;VAR:KEY=LCHSVMLSVY&amp;VAR:QUERY=UkdGX1RBWF9SQVRFKEFOTiwwLCwsLCwsTk9BVURJVCk=&amp;WINDOW=FIRST_POPUP&amp;HEIGHT=450&amp;WIDTH=450&amp;","START_MAXIMIZED=FALSE&amp;VAR:CALENDAR=US&amp;VAR:SYMBOL=005958&amp;VAR:INDEX=0"}</definedName>
    <definedName name="_2728__FDSAUDITLINK__" hidden="1">{"fdsup://directions/FAT Viewer?action=UPDATE&amp;creator=factset&amp;DYN_ARGS=TRUE&amp;DOC_NAME=FAT:FQL_AUDITING_CLIENT_TEMPLATE.FAT&amp;display_string=Audit&amp;VAR:KEY=LCHSVMLSVY&amp;VAR:QUERY=UkdGX1RBWF9SQVRFKEFOTiwwLCwsLCwsTk9BVURJVCk=&amp;WINDOW=FIRST_POPUP&amp;HEIGHT=450&amp;WIDTH=450&amp;","START_MAXIMIZED=FALSE&amp;VAR:CALENDAR=US&amp;VAR:SYMBOL=005958&amp;VAR:INDEX=0"}</definedName>
    <definedName name="_2729__FDSAUDITLINK__" localSheetId="3" hidden="1">{"fdsup://directions/FAT Viewer?action=UPDATE&amp;creator=factset&amp;DYN_ARGS=TRUE&amp;DOC_NAME=FAT:FQL_AUDITING_CLIENT_TEMPLATE.FAT&amp;display_string=Audit&amp;VAR:KEY=DCBKNWDAHK&amp;VAR:QUERY=UkdGX1RBWF9SQVRFKEFOTiwwLCwsLCwsTk9BVURJVCk=&amp;WINDOW=FIRST_POPUP&amp;HEIGHT=450&amp;WIDTH=450&amp;","START_MAXIMIZED=FALSE&amp;VAR:CALENDAR=US&amp;VAR:SYMBOL=ARBA&amp;VAR:INDEX=0"}</definedName>
    <definedName name="_2729__FDSAUDITLINK__" localSheetId="7" hidden="1">{"fdsup://directions/FAT Viewer?action=UPDATE&amp;creator=factset&amp;DYN_ARGS=TRUE&amp;DOC_NAME=FAT:FQL_AUDITING_CLIENT_TEMPLATE.FAT&amp;display_string=Audit&amp;VAR:KEY=DCBKNWDAHK&amp;VAR:QUERY=UkdGX1RBWF9SQVRFKEFOTiwwLCwsLCwsTk9BVURJVCk=&amp;WINDOW=FIRST_POPUP&amp;HEIGHT=450&amp;WIDTH=450&amp;","START_MAXIMIZED=FALSE&amp;VAR:CALENDAR=US&amp;VAR:SYMBOL=ARBA&amp;VAR:INDEX=0"}</definedName>
    <definedName name="_2729__FDSAUDITLINK__" hidden="1">{"fdsup://directions/FAT Viewer?action=UPDATE&amp;creator=factset&amp;DYN_ARGS=TRUE&amp;DOC_NAME=FAT:FQL_AUDITING_CLIENT_TEMPLATE.FAT&amp;display_string=Audit&amp;VAR:KEY=DCBKNWDAHK&amp;VAR:QUERY=UkdGX1RBWF9SQVRFKEFOTiwwLCwsLCwsTk9BVURJVCk=&amp;WINDOW=FIRST_POPUP&amp;HEIGHT=450&amp;WIDTH=450&amp;","START_MAXIMIZED=FALSE&amp;VAR:CALENDAR=US&amp;VAR:SYMBOL=ARBA&amp;VAR:INDEX=0"}</definedName>
    <definedName name="_273__FDSAUDITLINK__" localSheetId="3" hidden="1">{"fdsup://directions/FAT Viewer?action=UPDATE&amp;creator=factset&amp;DYN_ARGS=TRUE&amp;DOC_NAME=FAT:FQL_AUDITING_CLIENT_TEMPLATE.FAT&amp;display_string=Audit&amp;VAR:KEY=MBMLOFKRIV&amp;VAR:QUERY=RkZfRUJJVERBX09QRVIoTFRNLDAsLCwsLE0p&amp;WINDOW=FIRST_POPUP&amp;HEIGHT=450&amp;WIDTH=450&amp;START_MA","XIMIZED=FALSE&amp;VAR:CALENDAR=US&amp;VAR:SYMBOL=B0W1X3&amp;VAR:INDEX=0"}</definedName>
    <definedName name="_273__FDSAUDITLINK__" localSheetId="7" hidden="1">{"fdsup://directions/FAT Viewer?action=UPDATE&amp;creator=factset&amp;DYN_ARGS=TRUE&amp;DOC_NAME=FAT:FQL_AUDITING_CLIENT_TEMPLATE.FAT&amp;display_string=Audit&amp;VAR:KEY=MBMLOFKRIV&amp;VAR:QUERY=RkZfRUJJVERBX09QRVIoTFRNLDAsLCwsLE0p&amp;WINDOW=FIRST_POPUP&amp;HEIGHT=450&amp;WIDTH=450&amp;START_MA","XIMIZED=FALSE&amp;VAR:CALENDAR=US&amp;VAR:SYMBOL=B0W1X3&amp;VAR:INDEX=0"}</definedName>
    <definedName name="_273__FDSAUDITLINK__" hidden="1">{"fdsup://directions/FAT Viewer?action=UPDATE&amp;creator=factset&amp;DYN_ARGS=TRUE&amp;DOC_NAME=FAT:FQL_AUDITING_CLIENT_TEMPLATE.FAT&amp;display_string=Audit&amp;VAR:KEY=MBMLOFKRIV&amp;VAR:QUERY=RkZfRUJJVERBX09QRVIoTFRNLDAsLCwsLE0p&amp;WINDOW=FIRST_POPUP&amp;HEIGHT=450&amp;WIDTH=450&amp;START_MA","XIMIZED=FALSE&amp;VAR:CALENDAR=US&amp;VAR:SYMBOL=B0W1X3&amp;VAR:INDEX=0"}</definedName>
    <definedName name="_2730__FDSAUDITLINK__" localSheetId="3" hidden="1">{"fdsup://directions/FAT Viewer?action=UPDATE&amp;creator=factset&amp;DYN_ARGS=TRUE&amp;DOC_NAME=FAT:FQL_AUDITING_CLIENT_TEMPLATE.FAT&amp;display_string=Audit&amp;VAR:KEY=DCBKNWDAHK&amp;VAR:QUERY=UkdGX1RBWF9SQVRFKEFOTiwwLCwsLCwsTk9BVURJVCk=&amp;WINDOW=FIRST_POPUP&amp;HEIGHT=450&amp;WIDTH=450&amp;","START_MAXIMIZED=FALSE&amp;VAR:CALENDAR=US&amp;VAR:SYMBOL=ARBA&amp;VAR:INDEX=0"}</definedName>
    <definedName name="_2730__FDSAUDITLINK__" localSheetId="7" hidden="1">{"fdsup://directions/FAT Viewer?action=UPDATE&amp;creator=factset&amp;DYN_ARGS=TRUE&amp;DOC_NAME=FAT:FQL_AUDITING_CLIENT_TEMPLATE.FAT&amp;display_string=Audit&amp;VAR:KEY=DCBKNWDAHK&amp;VAR:QUERY=UkdGX1RBWF9SQVRFKEFOTiwwLCwsLCwsTk9BVURJVCk=&amp;WINDOW=FIRST_POPUP&amp;HEIGHT=450&amp;WIDTH=450&amp;","START_MAXIMIZED=FALSE&amp;VAR:CALENDAR=US&amp;VAR:SYMBOL=ARBA&amp;VAR:INDEX=0"}</definedName>
    <definedName name="_2730__FDSAUDITLINK__" hidden="1">{"fdsup://directions/FAT Viewer?action=UPDATE&amp;creator=factset&amp;DYN_ARGS=TRUE&amp;DOC_NAME=FAT:FQL_AUDITING_CLIENT_TEMPLATE.FAT&amp;display_string=Audit&amp;VAR:KEY=DCBKNWDAHK&amp;VAR:QUERY=UkdGX1RBWF9SQVRFKEFOTiwwLCwsLCwsTk9BVURJVCk=&amp;WINDOW=FIRST_POPUP&amp;HEIGHT=450&amp;WIDTH=450&amp;","START_MAXIMIZED=FALSE&amp;VAR:CALENDAR=US&amp;VAR:SYMBOL=ARBA&amp;VAR:INDEX=0"}</definedName>
    <definedName name="_2731__FDSAUDITLINK__" localSheetId="3" hidden="1">{"fdsup://directions/FAT Viewer?action=UPDATE&amp;creator=factset&amp;DYN_ARGS=TRUE&amp;DOC_NAME=FAT:FQL_AUDITING_CLIENT_TEMPLATE.FAT&amp;display_string=Audit&amp;VAR:KEY=HKPODUPWHY&amp;VAR:QUERY=UkdGX1RBWF9SQVRFKEFOTiwwLCwsLCwsTk9BVURJVCk=&amp;WINDOW=FIRST_POPUP&amp;HEIGHT=450&amp;WIDTH=450&amp;","START_MAXIMIZED=FALSE&amp;VAR:CALENDAR=US&amp;VAR:SYMBOL=ARB&amp;VAR:INDEX=0"}</definedName>
    <definedName name="_2731__FDSAUDITLINK__" localSheetId="7" hidden="1">{"fdsup://directions/FAT Viewer?action=UPDATE&amp;creator=factset&amp;DYN_ARGS=TRUE&amp;DOC_NAME=FAT:FQL_AUDITING_CLIENT_TEMPLATE.FAT&amp;display_string=Audit&amp;VAR:KEY=HKPODUPWHY&amp;VAR:QUERY=UkdGX1RBWF9SQVRFKEFOTiwwLCwsLCwsTk9BVURJVCk=&amp;WINDOW=FIRST_POPUP&amp;HEIGHT=450&amp;WIDTH=450&amp;","START_MAXIMIZED=FALSE&amp;VAR:CALENDAR=US&amp;VAR:SYMBOL=ARB&amp;VAR:INDEX=0"}</definedName>
    <definedName name="_2731__FDSAUDITLINK__" hidden="1">{"fdsup://directions/FAT Viewer?action=UPDATE&amp;creator=factset&amp;DYN_ARGS=TRUE&amp;DOC_NAME=FAT:FQL_AUDITING_CLIENT_TEMPLATE.FAT&amp;display_string=Audit&amp;VAR:KEY=HKPODUPWHY&amp;VAR:QUERY=UkdGX1RBWF9SQVRFKEFOTiwwLCwsLCwsTk9BVURJVCk=&amp;WINDOW=FIRST_POPUP&amp;HEIGHT=450&amp;WIDTH=450&amp;","START_MAXIMIZED=FALSE&amp;VAR:CALENDAR=US&amp;VAR:SYMBOL=ARB&amp;VAR:INDEX=0"}</definedName>
    <definedName name="_2732__FDSAUDITLINK__" localSheetId="3" hidden="1">{"fdsup://directions/FAT Viewer?action=UPDATE&amp;creator=factset&amp;DYN_ARGS=TRUE&amp;DOC_NAME=FAT:FQL_AUDITING_CLIENT_TEMPLATE.FAT&amp;display_string=Audit&amp;VAR:KEY=HKPODUPWHY&amp;VAR:QUERY=UkdGX1RBWF9SQVRFKEFOTiwwLCwsLCwsTk9BVURJVCk=&amp;WINDOW=FIRST_POPUP&amp;HEIGHT=450&amp;WIDTH=450&amp;","START_MAXIMIZED=FALSE&amp;VAR:CALENDAR=US&amp;VAR:SYMBOL=ARB&amp;VAR:INDEX=0"}</definedName>
    <definedName name="_2732__FDSAUDITLINK__" localSheetId="7" hidden="1">{"fdsup://directions/FAT Viewer?action=UPDATE&amp;creator=factset&amp;DYN_ARGS=TRUE&amp;DOC_NAME=FAT:FQL_AUDITING_CLIENT_TEMPLATE.FAT&amp;display_string=Audit&amp;VAR:KEY=HKPODUPWHY&amp;VAR:QUERY=UkdGX1RBWF9SQVRFKEFOTiwwLCwsLCwsTk9BVURJVCk=&amp;WINDOW=FIRST_POPUP&amp;HEIGHT=450&amp;WIDTH=450&amp;","START_MAXIMIZED=FALSE&amp;VAR:CALENDAR=US&amp;VAR:SYMBOL=ARB&amp;VAR:INDEX=0"}</definedName>
    <definedName name="_2732__FDSAUDITLINK__" hidden="1">{"fdsup://directions/FAT Viewer?action=UPDATE&amp;creator=factset&amp;DYN_ARGS=TRUE&amp;DOC_NAME=FAT:FQL_AUDITING_CLIENT_TEMPLATE.FAT&amp;display_string=Audit&amp;VAR:KEY=HKPODUPWHY&amp;VAR:QUERY=UkdGX1RBWF9SQVRFKEFOTiwwLCwsLCwsTk9BVURJVCk=&amp;WINDOW=FIRST_POPUP&amp;HEIGHT=450&amp;WIDTH=450&amp;","START_MAXIMIZED=FALSE&amp;VAR:CALENDAR=US&amp;VAR:SYMBOL=ARB&amp;VAR:INDEX=0"}</definedName>
    <definedName name="_2733__FDSAUDITLINK__" localSheetId="3" hidden="1">{"fdsup://directions/FAT Viewer?action=UPDATE&amp;creator=factset&amp;DYN_ARGS=TRUE&amp;DOC_NAME=FAT:FQL_AUDITING_CLIENT_TEMPLATE.FAT&amp;display_string=Audit&amp;VAR:KEY=DWHUFCHOVA&amp;VAR:QUERY=UkdGX1RBWF9SQVRFKEFOTiwwLCwsLCwsTk9BVURJVCk=&amp;WINDOW=FIRST_POPUP&amp;HEIGHT=450&amp;WIDTH=450&amp;","START_MAXIMIZED=FALSE&amp;VAR:CALENDAR=US&amp;VAR:SYMBOL=ANSS&amp;VAR:INDEX=0"}</definedName>
    <definedName name="_2733__FDSAUDITLINK__" localSheetId="7" hidden="1">{"fdsup://directions/FAT Viewer?action=UPDATE&amp;creator=factset&amp;DYN_ARGS=TRUE&amp;DOC_NAME=FAT:FQL_AUDITING_CLIENT_TEMPLATE.FAT&amp;display_string=Audit&amp;VAR:KEY=DWHUFCHOVA&amp;VAR:QUERY=UkdGX1RBWF9SQVRFKEFOTiwwLCwsLCwsTk9BVURJVCk=&amp;WINDOW=FIRST_POPUP&amp;HEIGHT=450&amp;WIDTH=450&amp;","START_MAXIMIZED=FALSE&amp;VAR:CALENDAR=US&amp;VAR:SYMBOL=ANSS&amp;VAR:INDEX=0"}</definedName>
    <definedName name="_2733__FDSAUDITLINK__" hidden="1">{"fdsup://directions/FAT Viewer?action=UPDATE&amp;creator=factset&amp;DYN_ARGS=TRUE&amp;DOC_NAME=FAT:FQL_AUDITING_CLIENT_TEMPLATE.FAT&amp;display_string=Audit&amp;VAR:KEY=DWHUFCHOVA&amp;VAR:QUERY=UkdGX1RBWF9SQVRFKEFOTiwwLCwsLCwsTk9BVURJVCk=&amp;WINDOW=FIRST_POPUP&amp;HEIGHT=450&amp;WIDTH=450&amp;","START_MAXIMIZED=FALSE&amp;VAR:CALENDAR=US&amp;VAR:SYMBOL=ANSS&amp;VAR:INDEX=0"}</definedName>
    <definedName name="_2734__FDSAUDITLINK__" localSheetId="3" hidden="1">{"fdsup://directions/FAT Viewer?action=UPDATE&amp;creator=factset&amp;DYN_ARGS=TRUE&amp;DOC_NAME=FAT:FQL_AUDITING_CLIENT_TEMPLATE.FAT&amp;display_string=Audit&amp;VAR:KEY=DWHUFCHOVA&amp;VAR:QUERY=UkdGX1RBWF9SQVRFKEFOTiwwLCwsLCwsTk9BVURJVCk=&amp;WINDOW=FIRST_POPUP&amp;HEIGHT=450&amp;WIDTH=450&amp;","START_MAXIMIZED=FALSE&amp;VAR:CALENDAR=US&amp;VAR:SYMBOL=ANSS&amp;VAR:INDEX=0"}</definedName>
    <definedName name="_2734__FDSAUDITLINK__" localSheetId="7" hidden="1">{"fdsup://directions/FAT Viewer?action=UPDATE&amp;creator=factset&amp;DYN_ARGS=TRUE&amp;DOC_NAME=FAT:FQL_AUDITING_CLIENT_TEMPLATE.FAT&amp;display_string=Audit&amp;VAR:KEY=DWHUFCHOVA&amp;VAR:QUERY=UkdGX1RBWF9SQVRFKEFOTiwwLCwsLCwsTk9BVURJVCk=&amp;WINDOW=FIRST_POPUP&amp;HEIGHT=450&amp;WIDTH=450&amp;","START_MAXIMIZED=FALSE&amp;VAR:CALENDAR=US&amp;VAR:SYMBOL=ANSS&amp;VAR:INDEX=0"}</definedName>
    <definedName name="_2734__FDSAUDITLINK__" hidden="1">{"fdsup://directions/FAT Viewer?action=UPDATE&amp;creator=factset&amp;DYN_ARGS=TRUE&amp;DOC_NAME=FAT:FQL_AUDITING_CLIENT_TEMPLATE.FAT&amp;display_string=Audit&amp;VAR:KEY=DWHUFCHOVA&amp;VAR:QUERY=UkdGX1RBWF9SQVRFKEFOTiwwLCwsLCwsTk9BVURJVCk=&amp;WINDOW=FIRST_POPUP&amp;HEIGHT=450&amp;WIDTH=450&amp;","START_MAXIMIZED=FALSE&amp;VAR:CALENDAR=US&amp;VAR:SYMBOL=ANSS&amp;VAR:INDEX=0"}</definedName>
    <definedName name="_2735__FDSAUDITLINK__" localSheetId="3" hidden="1">{"fdsup://directions/FAT Viewer?action=UPDATE&amp;creator=factset&amp;DYN_ARGS=TRUE&amp;DOC_NAME=FAT:FQL_AUDITING_CLIENT_TEMPLATE.FAT&amp;display_string=Audit&amp;VAR:KEY=HQDWBINOJI&amp;VAR:QUERY=UkdGX1RBWF9SQVRFKEFOTiwwLCwsLCwsTk9BVURJVCk=&amp;WINDOW=FIRST_POPUP&amp;HEIGHT=450&amp;WIDTH=450&amp;","START_MAXIMIZED=FALSE&amp;VAR:CALENDAR=US&amp;VAR:SYMBOL=DOX&amp;VAR:INDEX=0"}</definedName>
    <definedName name="_2735__FDSAUDITLINK__" localSheetId="7" hidden="1">{"fdsup://directions/FAT Viewer?action=UPDATE&amp;creator=factset&amp;DYN_ARGS=TRUE&amp;DOC_NAME=FAT:FQL_AUDITING_CLIENT_TEMPLATE.FAT&amp;display_string=Audit&amp;VAR:KEY=HQDWBINOJI&amp;VAR:QUERY=UkdGX1RBWF9SQVRFKEFOTiwwLCwsLCwsTk9BVURJVCk=&amp;WINDOW=FIRST_POPUP&amp;HEIGHT=450&amp;WIDTH=450&amp;","START_MAXIMIZED=FALSE&amp;VAR:CALENDAR=US&amp;VAR:SYMBOL=DOX&amp;VAR:INDEX=0"}</definedName>
    <definedName name="_2735__FDSAUDITLINK__" hidden="1">{"fdsup://directions/FAT Viewer?action=UPDATE&amp;creator=factset&amp;DYN_ARGS=TRUE&amp;DOC_NAME=FAT:FQL_AUDITING_CLIENT_TEMPLATE.FAT&amp;display_string=Audit&amp;VAR:KEY=HQDWBINOJI&amp;VAR:QUERY=UkdGX1RBWF9SQVRFKEFOTiwwLCwsLCwsTk9BVURJVCk=&amp;WINDOW=FIRST_POPUP&amp;HEIGHT=450&amp;WIDTH=450&amp;","START_MAXIMIZED=FALSE&amp;VAR:CALENDAR=US&amp;VAR:SYMBOL=DOX&amp;VAR:INDEX=0"}</definedName>
    <definedName name="_2736__FDSAUDITLINK__" localSheetId="3" hidden="1">{"fdsup://directions/FAT Viewer?action=UPDATE&amp;creator=factset&amp;DYN_ARGS=TRUE&amp;DOC_NAME=FAT:FQL_AUDITING_CLIENT_TEMPLATE.FAT&amp;display_string=Audit&amp;VAR:KEY=HQDWBINOJI&amp;VAR:QUERY=UkdGX1RBWF9SQVRFKEFOTiwwLCwsLCwsTk9BVURJVCk=&amp;WINDOW=FIRST_POPUP&amp;HEIGHT=450&amp;WIDTH=450&amp;","START_MAXIMIZED=FALSE&amp;VAR:CALENDAR=US&amp;VAR:SYMBOL=DOX&amp;VAR:INDEX=0"}</definedName>
    <definedName name="_2736__FDSAUDITLINK__" localSheetId="7" hidden="1">{"fdsup://directions/FAT Viewer?action=UPDATE&amp;creator=factset&amp;DYN_ARGS=TRUE&amp;DOC_NAME=FAT:FQL_AUDITING_CLIENT_TEMPLATE.FAT&amp;display_string=Audit&amp;VAR:KEY=HQDWBINOJI&amp;VAR:QUERY=UkdGX1RBWF9SQVRFKEFOTiwwLCwsLCwsTk9BVURJVCk=&amp;WINDOW=FIRST_POPUP&amp;HEIGHT=450&amp;WIDTH=450&amp;","START_MAXIMIZED=FALSE&amp;VAR:CALENDAR=US&amp;VAR:SYMBOL=DOX&amp;VAR:INDEX=0"}</definedName>
    <definedName name="_2736__FDSAUDITLINK__" hidden="1">{"fdsup://directions/FAT Viewer?action=UPDATE&amp;creator=factset&amp;DYN_ARGS=TRUE&amp;DOC_NAME=FAT:FQL_AUDITING_CLIENT_TEMPLATE.FAT&amp;display_string=Audit&amp;VAR:KEY=HQDWBINOJI&amp;VAR:QUERY=UkdGX1RBWF9SQVRFKEFOTiwwLCwsLCwsTk9BVURJVCk=&amp;WINDOW=FIRST_POPUP&amp;HEIGHT=450&amp;WIDTH=450&amp;","START_MAXIMIZED=FALSE&amp;VAR:CALENDAR=US&amp;VAR:SYMBOL=DOX&amp;VAR:INDEX=0"}</definedName>
    <definedName name="_2737__FDSAUDITLINK__" localSheetId="3" hidden="1">{"fdsup://directions/FAT Viewer?action=UPDATE&amp;creator=factset&amp;DYN_ARGS=TRUE&amp;DOC_NAME=FAT:FQL_AUDITING_CLIENT_TEMPLATE.FAT&amp;display_string=Audit&amp;VAR:KEY=FUXUVUJWNO&amp;VAR:QUERY=UkdGX1RBWF9SQVRFKEFOTiwwLCwsLCwsTk9BVURJVCk=&amp;WINDOW=FIRST_POPUP&amp;HEIGHT=450&amp;WIDTH=450&amp;","START_MAXIMIZED=FALSE&amp;VAR:CALENDAR=US&amp;VAR:SYMBOL=AMZN&amp;VAR:INDEX=0"}</definedName>
    <definedName name="_2737__FDSAUDITLINK__" localSheetId="7" hidden="1">{"fdsup://directions/FAT Viewer?action=UPDATE&amp;creator=factset&amp;DYN_ARGS=TRUE&amp;DOC_NAME=FAT:FQL_AUDITING_CLIENT_TEMPLATE.FAT&amp;display_string=Audit&amp;VAR:KEY=FUXUVUJWNO&amp;VAR:QUERY=UkdGX1RBWF9SQVRFKEFOTiwwLCwsLCwsTk9BVURJVCk=&amp;WINDOW=FIRST_POPUP&amp;HEIGHT=450&amp;WIDTH=450&amp;","START_MAXIMIZED=FALSE&amp;VAR:CALENDAR=US&amp;VAR:SYMBOL=AMZN&amp;VAR:INDEX=0"}</definedName>
    <definedName name="_2737__FDSAUDITLINK__" hidden="1">{"fdsup://directions/FAT Viewer?action=UPDATE&amp;creator=factset&amp;DYN_ARGS=TRUE&amp;DOC_NAME=FAT:FQL_AUDITING_CLIENT_TEMPLATE.FAT&amp;display_string=Audit&amp;VAR:KEY=FUXUVUJWNO&amp;VAR:QUERY=UkdGX1RBWF9SQVRFKEFOTiwwLCwsLCwsTk9BVURJVCk=&amp;WINDOW=FIRST_POPUP&amp;HEIGHT=450&amp;WIDTH=450&amp;","START_MAXIMIZED=FALSE&amp;VAR:CALENDAR=US&amp;VAR:SYMBOL=AMZN&amp;VAR:INDEX=0"}</definedName>
    <definedName name="_2738__FDSAUDITLINK__" localSheetId="3" hidden="1">{"fdsup://directions/FAT Viewer?action=UPDATE&amp;creator=factset&amp;DYN_ARGS=TRUE&amp;DOC_NAME=FAT:FQL_AUDITING_CLIENT_TEMPLATE.FAT&amp;display_string=Audit&amp;VAR:KEY=FUXUVUJWNO&amp;VAR:QUERY=UkdGX1RBWF9SQVRFKEFOTiwwLCwsLCwsTk9BVURJVCk=&amp;WINDOW=FIRST_POPUP&amp;HEIGHT=450&amp;WIDTH=450&amp;","START_MAXIMIZED=FALSE&amp;VAR:CALENDAR=US&amp;VAR:SYMBOL=AMZN&amp;VAR:INDEX=0"}</definedName>
    <definedName name="_2738__FDSAUDITLINK__" localSheetId="7" hidden="1">{"fdsup://directions/FAT Viewer?action=UPDATE&amp;creator=factset&amp;DYN_ARGS=TRUE&amp;DOC_NAME=FAT:FQL_AUDITING_CLIENT_TEMPLATE.FAT&amp;display_string=Audit&amp;VAR:KEY=FUXUVUJWNO&amp;VAR:QUERY=UkdGX1RBWF9SQVRFKEFOTiwwLCwsLCwsTk9BVURJVCk=&amp;WINDOW=FIRST_POPUP&amp;HEIGHT=450&amp;WIDTH=450&amp;","START_MAXIMIZED=FALSE&amp;VAR:CALENDAR=US&amp;VAR:SYMBOL=AMZN&amp;VAR:INDEX=0"}</definedName>
    <definedName name="_2738__FDSAUDITLINK__" hidden="1">{"fdsup://directions/FAT Viewer?action=UPDATE&amp;creator=factset&amp;DYN_ARGS=TRUE&amp;DOC_NAME=FAT:FQL_AUDITING_CLIENT_TEMPLATE.FAT&amp;display_string=Audit&amp;VAR:KEY=FUXUVUJWNO&amp;VAR:QUERY=UkdGX1RBWF9SQVRFKEFOTiwwLCwsLCwsTk9BVURJVCk=&amp;WINDOW=FIRST_POPUP&amp;HEIGHT=450&amp;WIDTH=450&amp;","START_MAXIMIZED=FALSE&amp;VAR:CALENDAR=US&amp;VAR:SYMBOL=AMZN&amp;VAR:INDEX=0"}</definedName>
    <definedName name="_2739__FDSAUDITLINK__" localSheetId="3" hidden="1">{"fdsup://directions/FAT Viewer?action=UPDATE&amp;creator=factset&amp;DYN_ARGS=TRUE&amp;DOC_NAME=FAT:FQL_AUDITING_CLIENT_TEMPLATE.FAT&amp;display_string=Audit&amp;VAR:KEY=RGPYRITKBW&amp;VAR:QUERY=UkdGX1RBWF9SQVRFKEFOTiwwLCwsLCwsTk9BVURJVCk=&amp;WINDOW=FIRST_POPUP&amp;HEIGHT=450&amp;WIDTH=450&amp;","START_MAXIMIZED=FALSE&amp;VAR:CALENDAR=US&amp;VAR:SYMBOL=AKAM&amp;VAR:INDEX=0"}</definedName>
    <definedName name="_2739__FDSAUDITLINK__" localSheetId="7" hidden="1">{"fdsup://directions/FAT Viewer?action=UPDATE&amp;creator=factset&amp;DYN_ARGS=TRUE&amp;DOC_NAME=FAT:FQL_AUDITING_CLIENT_TEMPLATE.FAT&amp;display_string=Audit&amp;VAR:KEY=RGPYRITKBW&amp;VAR:QUERY=UkdGX1RBWF9SQVRFKEFOTiwwLCwsLCwsTk9BVURJVCk=&amp;WINDOW=FIRST_POPUP&amp;HEIGHT=450&amp;WIDTH=450&amp;","START_MAXIMIZED=FALSE&amp;VAR:CALENDAR=US&amp;VAR:SYMBOL=AKAM&amp;VAR:INDEX=0"}</definedName>
    <definedName name="_2739__FDSAUDITLINK__" hidden="1">{"fdsup://directions/FAT Viewer?action=UPDATE&amp;creator=factset&amp;DYN_ARGS=TRUE&amp;DOC_NAME=FAT:FQL_AUDITING_CLIENT_TEMPLATE.FAT&amp;display_string=Audit&amp;VAR:KEY=RGPYRITKBW&amp;VAR:QUERY=UkdGX1RBWF9SQVRFKEFOTiwwLCwsLCwsTk9BVURJVCk=&amp;WINDOW=FIRST_POPUP&amp;HEIGHT=450&amp;WIDTH=450&amp;","START_MAXIMIZED=FALSE&amp;VAR:CALENDAR=US&amp;VAR:SYMBOL=AKAM&amp;VAR:INDEX=0"}</definedName>
    <definedName name="_274__FDSAUDITLINK__" localSheetId="3" hidden="1">{"fdsup://directions/FAT Viewer?action=UPDATE&amp;creator=factset&amp;DYN_ARGS=TRUE&amp;DOC_NAME=FAT:FQL_AUDITING_CLIENT_TEMPLATE.FAT&amp;display_string=Audit&amp;VAR:KEY=VSNIPYTSNQ&amp;VAR:QUERY=RkZfRlJFRV9DRihBTk4sMCwtOSxZLFJQLFVTRCxNKQ==&amp;WINDOW=FIRST_POPUP&amp;HEIGHT=450&amp;WIDTH=450&amp;","START_MAXIMIZED=FALSE&amp;VAR:CALENDAR=US&amp;VAR:SYMBOL=B10LQP&amp;VAR:INDEX=7"}</definedName>
    <definedName name="_274__FDSAUDITLINK__" localSheetId="7" hidden="1">{"fdsup://directions/FAT Viewer?action=UPDATE&amp;creator=factset&amp;DYN_ARGS=TRUE&amp;DOC_NAME=FAT:FQL_AUDITING_CLIENT_TEMPLATE.FAT&amp;display_string=Audit&amp;VAR:KEY=VSNIPYTSNQ&amp;VAR:QUERY=RkZfRlJFRV9DRihBTk4sMCwtOSxZLFJQLFVTRCxNKQ==&amp;WINDOW=FIRST_POPUP&amp;HEIGHT=450&amp;WIDTH=450&amp;","START_MAXIMIZED=FALSE&amp;VAR:CALENDAR=US&amp;VAR:SYMBOL=B10LQP&amp;VAR:INDEX=7"}</definedName>
    <definedName name="_274__FDSAUDITLINK__" hidden="1">{"fdsup://directions/FAT Viewer?action=UPDATE&amp;creator=factset&amp;DYN_ARGS=TRUE&amp;DOC_NAME=FAT:FQL_AUDITING_CLIENT_TEMPLATE.FAT&amp;display_string=Audit&amp;VAR:KEY=VSNIPYTSNQ&amp;VAR:QUERY=RkZfRlJFRV9DRihBTk4sMCwtOSxZLFJQLFVTRCxNKQ==&amp;WINDOW=FIRST_POPUP&amp;HEIGHT=450&amp;WIDTH=450&amp;","START_MAXIMIZED=FALSE&amp;VAR:CALENDAR=US&amp;VAR:SYMBOL=B10LQP&amp;VAR:INDEX=7"}</definedName>
    <definedName name="_2740__FDSAUDITLINK__" localSheetId="3" hidden="1">{"fdsup://directions/FAT Viewer?action=UPDATE&amp;creator=factset&amp;DYN_ARGS=TRUE&amp;DOC_NAME=FAT:FQL_AUDITING_CLIENT_TEMPLATE.FAT&amp;display_string=Audit&amp;VAR:KEY=RGPYRITKBW&amp;VAR:QUERY=UkdGX1RBWF9SQVRFKEFOTiwwLCwsLCwsTk9BVURJVCk=&amp;WINDOW=FIRST_POPUP&amp;HEIGHT=450&amp;WIDTH=450&amp;","START_MAXIMIZED=FALSE&amp;VAR:CALENDAR=US&amp;VAR:SYMBOL=AKAM&amp;VAR:INDEX=0"}</definedName>
    <definedName name="_2740__FDSAUDITLINK__" localSheetId="7" hidden="1">{"fdsup://directions/FAT Viewer?action=UPDATE&amp;creator=factset&amp;DYN_ARGS=TRUE&amp;DOC_NAME=FAT:FQL_AUDITING_CLIENT_TEMPLATE.FAT&amp;display_string=Audit&amp;VAR:KEY=RGPYRITKBW&amp;VAR:QUERY=UkdGX1RBWF9SQVRFKEFOTiwwLCwsLCwsTk9BVURJVCk=&amp;WINDOW=FIRST_POPUP&amp;HEIGHT=450&amp;WIDTH=450&amp;","START_MAXIMIZED=FALSE&amp;VAR:CALENDAR=US&amp;VAR:SYMBOL=AKAM&amp;VAR:INDEX=0"}</definedName>
    <definedName name="_2740__FDSAUDITLINK__" hidden="1">{"fdsup://directions/FAT Viewer?action=UPDATE&amp;creator=factset&amp;DYN_ARGS=TRUE&amp;DOC_NAME=FAT:FQL_AUDITING_CLIENT_TEMPLATE.FAT&amp;display_string=Audit&amp;VAR:KEY=RGPYRITKBW&amp;VAR:QUERY=UkdGX1RBWF9SQVRFKEFOTiwwLCwsLCwsTk9BVURJVCk=&amp;WINDOW=FIRST_POPUP&amp;HEIGHT=450&amp;WIDTH=450&amp;","START_MAXIMIZED=FALSE&amp;VAR:CALENDAR=US&amp;VAR:SYMBOL=AKAM&amp;VAR:INDEX=0"}</definedName>
    <definedName name="_2741__FDSAUDITLINK__" localSheetId="3" hidden="1">{"fdsup://directions/FAT Viewer?action=UPDATE&amp;creator=factset&amp;DYN_ARGS=TRUE&amp;DOC_NAME=FAT:FQL_AUDITING_CLIENT_TEMPLATE.FAT&amp;display_string=Audit&amp;VAR:KEY=TONQHQDUZK&amp;VAR:QUERY=UkdGX1RBWF9SQVRFKEFOTiwwLCwsLCwsTk9BVURJVCk=&amp;WINDOW=FIRST_POPUP&amp;HEIGHT=450&amp;WIDTH=450&amp;","START_MAXIMIZED=FALSE&amp;VAR:CALENDAR=US&amp;VAR:SYMBOL=ADVS&amp;VAR:INDEX=0"}</definedName>
    <definedName name="_2741__FDSAUDITLINK__" localSheetId="7" hidden="1">{"fdsup://directions/FAT Viewer?action=UPDATE&amp;creator=factset&amp;DYN_ARGS=TRUE&amp;DOC_NAME=FAT:FQL_AUDITING_CLIENT_TEMPLATE.FAT&amp;display_string=Audit&amp;VAR:KEY=TONQHQDUZK&amp;VAR:QUERY=UkdGX1RBWF9SQVRFKEFOTiwwLCwsLCwsTk9BVURJVCk=&amp;WINDOW=FIRST_POPUP&amp;HEIGHT=450&amp;WIDTH=450&amp;","START_MAXIMIZED=FALSE&amp;VAR:CALENDAR=US&amp;VAR:SYMBOL=ADVS&amp;VAR:INDEX=0"}</definedName>
    <definedName name="_2741__FDSAUDITLINK__" hidden="1">{"fdsup://directions/FAT Viewer?action=UPDATE&amp;creator=factset&amp;DYN_ARGS=TRUE&amp;DOC_NAME=FAT:FQL_AUDITING_CLIENT_TEMPLATE.FAT&amp;display_string=Audit&amp;VAR:KEY=TONQHQDUZK&amp;VAR:QUERY=UkdGX1RBWF9SQVRFKEFOTiwwLCwsLCwsTk9BVURJVCk=&amp;WINDOW=FIRST_POPUP&amp;HEIGHT=450&amp;WIDTH=450&amp;","START_MAXIMIZED=FALSE&amp;VAR:CALENDAR=US&amp;VAR:SYMBOL=ADVS&amp;VAR:INDEX=0"}</definedName>
    <definedName name="_2742__FDSAUDITLINK__" localSheetId="3" hidden="1">{"fdsup://directions/FAT Viewer?action=UPDATE&amp;creator=factset&amp;DYN_ARGS=TRUE&amp;DOC_NAME=FAT:FQL_AUDITING_CLIENT_TEMPLATE.FAT&amp;display_string=Audit&amp;VAR:KEY=TONQHQDUZK&amp;VAR:QUERY=UkdGX1RBWF9SQVRFKEFOTiwwLCwsLCwsTk9BVURJVCk=&amp;WINDOW=FIRST_POPUP&amp;HEIGHT=450&amp;WIDTH=450&amp;","START_MAXIMIZED=FALSE&amp;VAR:CALENDAR=US&amp;VAR:SYMBOL=ADVS&amp;VAR:INDEX=0"}</definedName>
    <definedName name="_2742__FDSAUDITLINK__" localSheetId="7" hidden="1">{"fdsup://directions/FAT Viewer?action=UPDATE&amp;creator=factset&amp;DYN_ARGS=TRUE&amp;DOC_NAME=FAT:FQL_AUDITING_CLIENT_TEMPLATE.FAT&amp;display_string=Audit&amp;VAR:KEY=TONQHQDUZK&amp;VAR:QUERY=UkdGX1RBWF9SQVRFKEFOTiwwLCwsLCwsTk9BVURJVCk=&amp;WINDOW=FIRST_POPUP&amp;HEIGHT=450&amp;WIDTH=450&amp;","START_MAXIMIZED=FALSE&amp;VAR:CALENDAR=US&amp;VAR:SYMBOL=ADVS&amp;VAR:INDEX=0"}</definedName>
    <definedName name="_2742__FDSAUDITLINK__" hidden="1">{"fdsup://directions/FAT Viewer?action=UPDATE&amp;creator=factset&amp;DYN_ARGS=TRUE&amp;DOC_NAME=FAT:FQL_AUDITING_CLIENT_TEMPLATE.FAT&amp;display_string=Audit&amp;VAR:KEY=TONQHQDUZK&amp;VAR:QUERY=UkdGX1RBWF9SQVRFKEFOTiwwLCwsLCwsTk9BVURJVCk=&amp;WINDOW=FIRST_POPUP&amp;HEIGHT=450&amp;WIDTH=450&amp;","START_MAXIMIZED=FALSE&amp;VAR:CALENDAR=US&amp;VAR:SYMBOL=ADVS&amp;VAR:INDEX=0"}</definedName>
    <definedName name="_2743__FDSAUDITLINK__" localSheetId="3" hidden="1">{"fdsup://directions/FAT Viewer?action=UPDATE&amp;creator=factset&amp;DYN_ARGS=TRUE&amp;DOC_NAME=FAT:FQL_AUDITING_CLIENT_TEMPLATE.FAT&amp;display_string=Audit&amp;VAR:KEY=JOLOPGHWHA&amp;VAR:QUERY=UkdGX1RBWF9SQVRFKEFOTiwwLCwsLCwsTk9BVURJVCk=&amp;WINDOW=FIRST_POPUP&amp;HEIGHT=450&amp;WIDTH=450&amp;","START_MAXIMIZED=FALSE&amp;VAR:CALENDAR=US&amp;VAR:SYMBOL=ADBE&amp;VAR:INDEX=0"}</definedName>
    <definedName name="_2743__FDSAUDITLINK__" localSheetId="7" hidden="1">{"fdsup://directions/FAT Viewer?action=UPDATE&amp;creator=factset&amp;DYN_ARGS=TRUE&amp;DOC_NAME=FAT:FQL_AUDITING_CLIENT_TEMPLATE.FAT&amp;display_string=Audit&amp;VAR:KEY=JOLOPGHWHA&amp;VAR:QUERY=UkdGX1RBWF9SQVRFKEFOTiwwLCwsLCwsTk9BVURJVCk=&amp;WINDOW=FIRST_POPUP&amp;HEIGHT=450&amp;WIDTH=450&amp;","START_MAXIMIZED=FALSE&amp;VAR:CALENDAR=US&amp;VAR:SYMBOL=ADBE&amp;VAR:INDEX=0"}</definedName>
    <definedName name="_2743__FDSAUDITLINK__" hidden="1">{"fdsup://directions/FAT Viewer?action=UPDATE&amp;creator=factset&amp;DYN_ARGS=TRUE&amp;DOC_NAME=FAT:FQL_AUDITING_CLIENT_TEMPLATE.FAT&amp;display_string=Audit&amp;VAR:KEY=JOLOPGHWHA&amp;VAR:QUERY=UkdGX1RBWF9SQVRFKEFOTiwwLCwsLCwsTk9BVURJVCk=&amp;WINDOW=FIRST_POPUP&amp;HEIGHT=450&amp;WIDTH=450&amp;","START_MAXIMIZED=FALSE&amp;VAR:CALENDAR=US&amp;VAR:SYMBOL=ADBE&amp;VAR:INDEX=0"}</definedName>
    <definedName name="_2744__FDSAUDITLINK__" localSheetId="3" hidden="1">{"fdsup://directions/FAT Viewer?action=UPDATE&amp;creator=factset&amp;DYN_ARGS=TRUE&amp;DOC_NAME=FAT:FQL_AUDITING_CLIENT_TEMPLATE.FAT&amp;display_string=Audit&amp;VAR:KEY=JOLOPGHWHA&amp;VAR:QUERY=UkdGX1RBWF9SQVRFKEFOTiwwLCwsLCwsTk9BVURJVCk=&amp;WINDOW=FIRST_POPUP&amp;HEIGHT=450&amp;WIDTH=450&amp;","START_MAXIMIZED=FALSE&amp;VAR:CALENDAR=US&amp;VAR:SYMBOL=ADBE&amp;VAR:INDEX=0"}</definedName>
    <definedName name="_2744__FDSAUDITLINK__" localSheetId="7" hidden="1">{"fdsup://directions/FAT Viewer?action=UPDATE&amp;creator=factset&amp;DYN_ARGS=TRUE&amp;DOC_NAME=FAT:FQL_AUDITING_CLIENT_TEMPLATE.FAT&amp;display_string=Audit&amp;VAR:KEY=JOLOPGHWHA&amp;VAR:QUERY=UkdGX1RBWF9SQVRFKEFOTiwwLCwsLCwsTk9BVURJVCk=&amp;WINDOW=FIRST_POPUP&amp;HEIGHT=450&amp;WIDTH=450&amp;","START_MAXIMIZED=FALSE&amp;VAR:CALENDAR=US&amp;VAR:SYMBOL=ADBE&amp;VAR:INDEX=0"}</definedName>
    <definedName name="_2744__FDSAUDITLINK__" hidden="1">{"fdsup://directions/FAT Viewer?action=UPDATE&amp;creator=factset&amp;DYN_ARGS=TRUE&amp;DOC_NAME=FAT:FQL_AUDITING_CLIENT_TEMPLATE.FAT&amp;display_string=Audit&amp;VAR:KEY=JOLOPGHWHA&amp;VAR:QUERY=UkdGX1RBWF9SQVRFKEFOTiwwLCwsLCwsTk9BVURJVCk=&amp;WINDOW=FIRST_POPUP&amp;HEIGHT=450&amp;WIDTH=450&amp;","START_MAXIMIZED=FALSE&amp;VAR:CALENDAR=US&amp;VAR:SYMBOL=ADBE&amp;VAR:INDEX=0"}</definedName>
    <definedName name="_2745__FDSAUDITLINK__" localSheetId="3" hidden="1">{"fdsup://directions/FAT Viewer?action=UPDATE&amp;creator=factset&amp;DYN_ARGS=TRUE&amp;DOC_NAME=FAT:FQL_AUDITING_CLIENT_TEMPLATE.FAT&amp;display_string=Audit&amp;VAR:KEY=FEZCLCRSDA&amp;VAR:QUERY=UkdGX1RBWF9SQVRFKEFOTiwwLCwsLCwsTk9BVURJVCk=&amp;WINDOW=FIRST_POPUP&amp;HEIGHT=450&amp;WIDTH=450&amp;","START_MAXIMIZED=FALSE&amp;VAR:CALENDAR=US&amp;VAR:SYMBOL=ACTU&amp;VAR:INDEX=0"}</definedName>
    <definedName name="_2745__FDSAUDITLINK__" localSheetId="7" hidden="1">{"fdsup://directions/FAT Viewer?action=UPDATE&amp;creator=factset&amp;DYN_ARGS=TRUE&amp;DOC_NAME=FAT:FQL_AUDITING_CLIENT_TEMPLATE.FAT&amp;display_string=Audit&amp;VAR:KEY=FEZCLCRSDA&amp;VAR:QUERY=UkdGX1RBWF9SQVRFKEFOTiwwLCwsLCwsTk9BVURJVCk=&amp;WINDOW=FIRST_POPUP&amp;HEIGHT=450&amp;WIDTH=450&amp;","START_MAXIMIZED=FALSE&amp;VAR:CALENDAR=US&amp;VAR:SYMBOL=ACTU&amp;VAR:INDEX=0"}</definedName>
    <definedName name="_2745__FDSAUDITLINK__" hidden="1">{"fdsup://directions/FAT Viewer?action=UPDATE&amp;creator=factset&amp;DYN_ARGS=TRUE&amp;DOC_NAME=FAT:FQL_AUDITING_CLIENT_TEMPLATE.FAT&amp;display_string=Audit&amp;VAR:KEY=FEZCLCRSDA&amp;VAR:QUERY=UkdGX1RBWF9SQVRFKEFOTiwwLCwsLCwsTk9BVURJVCk=&amp;WINDOW=FIRST_POPUP&amp;HEIGHT=450&amp;WIDTH=450&amp;","START_MAXIMIZED=FALSE&amp;VAR:CALENDAR=US&amp;VAR:SYMBOL=ACTU&amp;VAR:INDEX=0"}</definedName>
    <definedName name="_2746__FDSAUDITLINK__" localSheetId="3" hidden="1">{"fdsup://directions/FAT Viewer?action=UPDATE&amp;creator=factset&amp;DYN_ARGS=TRUE&amp;DOC_NAME=FAT:FQL_AUDITING_CLIENT_TEMPLATE.FAT&amp;display_string=Audit&amp;VAR:KEY=FEZCLCRSDA&amp;VAR:QUERY=UkdGX1RBWF9SQVRFKEFOTiwwLCwsLCwsTk9BVURJVCk=&amp;WINDOW=FIRST_POPUP&amp;HEIGHT=450&amp;WIDTH=450&amp;","START_MAXIMIZED=FALSE&amp;VAR:CALENDAR=US&amp;VAR:SYMBOL=ACTU&amp;VAR:INDEX=0"}</definedName>
    <definedName name="_2746__FDSAUDITLINK__" localSheetId="7" hidden="1">{"fdsup://directions/FAT Viewer?action=UPDATE&amp;creator=factset&amp;DYN_ARGS=TRUE&amp;DOC_NAME=FAT:FQL_AUDITING_CLIENT_TEMPLATE.FAT&amp;display_string=Audit&amp;VAR:KEY=FEZCLCRSDA&amp;VAR:QUERY=UkdGX1RBWF9SQVRFKEFOTiwwLCwsLCwsTk9BVURJVCk=&amp;WINDOW=FIRST_POPUP&amp;HEIGHT=450&amp;WIDTH=450&amp;","START_MAXIMIZED=FALSE&amp;VAR:CALENDAR=US&amp;VAR:SYMBOL=ACTU&amp;VAR:INDEX=0"}</definedName>
    <definedName name="_2746__FDSAUDITLINK__" hidden="1">{"fdsup://directions/FAT Viewer?action=UPDATE&amp;creator=factset&amp;DYN_ARGS=TRUE&amp;DOC_NAME=FAT:FQL_AUDITING_CLIENT_TEMPLATE.FAT&amp;display_string=Audit&amp;VAR:KEY=FEZCLCRSDA&amp;VAR:QUERY=UkdGX1RBWF9SQVRFKEFOTiwwLCwsLCwsTk9BVURJVCk=&amp;WINDOW=FIRST_POPUP&amp;HEIGHT=450&amp;WIDTH=450&amp;","START_MAXIMIZED=FALSE&amp;VAR:CALENDAR=US&amp;VAR:SYMBOL=ACTU&amp;VAR:INDEX=0"}</definedName>
    <definedName name="_2747__FDSAUDITLINK__" localSheetId="3" hidden="1">{"fdsup://directions/FAT Viewer?action=UPDATE&amp;creator=factset&amp;DYN_ARGS=TRUE&amp;DOC_NAME=FAT:FQL_AUDITING_CLIENT_TEMPLATE.FAT&amp;display_string=Audit&amp;VAR:KEY=PCBYLCVWFI&amp;VAR:QUERY=UkdGX1RBWF9SQVRFKEFOTiwwLCwsLCwsTk9BVURJVCk=&amp;WINDOW=FIRST_POPUP&amp;HEIGHT=450&amp;WIDTH=450&amp;","START_MAXIMIZED=FALSE&amp;VAR:CALENDAR=US&amp;VAR:SYMBOL=ACTI&amp;VAR:INDEX=0"}</definedName>
    <definedName name="_2747__FDSAUDITLINK__" localSheetId="7" hidden="1">{"fdsup://directions/FAT Viewer?action=UPDATE&amp;creator=factset&amp;DYN_ARGS=TRUE&amp;DOC_NAME=FAT:FQL_AUDITING_CLIENT_TEMPLATE.FAT&amp;display_string=Audit&amp;VAR:KEY=PCBYLCVWFI&amp;VAR:QUERY=UkdGX1RBWF9SQVRFKEFOTiwwLCwsLCwsTk9BVURJVCk=&amp;WINDOW=FIRST_POPUP&amp;HEIGHT=450&amp;WIDTH=450&amp;","START_MAXIMIZED=FALSE&amp;VAR:CALENDAR=US&amp;VAR:SYMBOL=ACTI&amp;VAR:INDEX=0"}</definedName>
    <definedName name="_2747__FDSAUDITLINK__" hidden="1">{"fdsup://directions/FAT Viewer?action=UPDATE&amp;creator=factset&amp;DYN_ARGS=TRUE&amp;DOC_NAME=FAT:FQL_AUDITING_CLIENT_TEMPLATE.FAT&amp;display_string=Audit&amp;VAR:KEY=PCBYLCVWFI&amp;VAR:QUERY=UkdGX1RBWF9SQVRFKEFOTiwwLCwsLCwsTk9BVURJVCk=&amp;WINDOW=FIRST_POPUP&amp;HEIGHT=450&amp;WIDTH=450&amp;","START_MAXIMIZED=FALSE&amp;VAR:CALENDAR=US&amp;VAR:SYMBOL=ACTI&amp;VAR:INDEX=0"}</definedName>
    <definedName name="_2748__FDSAUDITLINK__" localSheetId="3" hidden="1">{"fdsup://directions/FAT Viewer?action=UPDATE&amp;creator=factset&amp;DYN_ARGS=TRUE&amp;DOC_NAME=FAT:FQL_AUDITING_CLIENT_TEMPLATE.FAT&amp;display_string=Audit&amp;VAR:KEY=ZMZIRGRQDQ&amp;VAR:QUERY=UkdGX1RBWF9SQVRFKEFOTiwwLCwsLCwsTk9BVURJVCk=&amp;WINDOW=FIRST_POPUP&amp;HEIGHT=450&amp;WIDTH=450&amp;","START_MAXIMIZED=FALSE&amp;VAR:CALENDAR=US&amp;VAR:SYMBOL=632430&amp;VAR:INDEX=0"}</definedName>
    <definedName name="_2748__FDSAUDITLINK__" localSheetId="7" hidden="1">{"fdsup://directions/FAT Viewer?action=UPDATE&amp;creator=factset&amp;DYN_ARGS=TRUE&amp;DOC_NAME=FAT:FQL_AUDITING_CLIENT_TEMPLATE.FAT&amp;display_string=Audit&amp;VAR:KEY=ZMZIRGRQDQ&amp;VAR:QUERY=UkdGX1RBWF9SQVRFKEFOTiwwLCwsLCwsTk9BVURJVCk=&amp;WINDOW=FIRST_POPUP&amp;HEIGHT=450&amp;WIDTH=450&amp;","START_MAXIMIZED=FALSE&amp;VAR:CALENDAR=US&amp;VAR:SYMBOL=632430&amp;VAR:INDEX=0"}</definedName>
    <definedName name="_2748__FDSAUDITLINK__" hidden="1">{"fdsup://directions/FAT Viewer?action=UPDATE&amp;creator=factset&amp;DYN_ARGS=TRUE&amp;DOC_NAME=FAT:FQL_AUDITING_CLIENT_TEMPLATE.FAT&amp;display_string=Audit&amp;VAR:KEY=ZMZIRGRQDQ&amp;VAR:QUERY=UkdGX1RBWF9SQVRFKEFOTiwwLCwsLCwsTk9BVURJVCk=&amp;WINDOW=FIRST_POPUP&amp;HEIGHT=450&amp;WIDTH=450&amp;","START_MAXIMIZED=FALSE&amp;VAR:CALENDAR=US&amp;VAR:SYMBOL=632430&amp;VAR:INDEX=0"}</definedName>
    <definedName name="_2749__FDSAUDITLINK__" localSheetId="3" hidden="1">{"fdsup://directions/FAT Viewer?action=UPDATE&amp;creator=factset&amp;DYN_ARGS=TRUE&amp;DOC_NAME=FAT:FQL_AUDITING_CLIENT_TEMPLATE.FAT&amp;display_string=Audit&amp;VAR:KEY=ZMZIRGRQDQ&amp;VAR:QUERY=UkdGX1RBWF9SQVRFKEFOTiwwLCwsLCwsTk9BVURJVCk=&amp;WINDOW=FIRST_POPUP&amp;HEIGHT=450&amp;WIDTH=450&amp;","START_MAXIMIZED=FALSE&amp;VAR:CALENDAR=US&amp;VAR:SYMBOL=632430&amp;VAR:INDEX=0"}</definedName>
    <definedName name="_2749__FDSAUDITLINK__" localSheetId="7" hidden="1">{"fdsup://directions/FAT Viewer?action=UPDATE&amp;creator=factset&amp;DYN_ARGS=TRUE&amp;DOC_NAME=FAT:FQL_AUDITING_CLIENT_TEMPLATE.FAT&amp;display_string=Audit&amp;VAR:KEY=ZMZIRGRQDQ&amp;VAR:QUERY=UkdGX1RBWF9SQVRFKEFOTiwwLCwsLCwsTk9BVURJVCk=&amp;WINDOW=FIRST_POPUP&amp;HEIGHT=450&amp;WIDTH=450&amp;","START_MAXIMIZED=FALSE&amp;VAR:CALENDAR=US&amp;VAR:SYMBOL=632430&amp;VAR:INDEX=0"}</definedName>
    <definedName name="_2749__FDSAUDITLINK__" hidden="1">{"fdsup://directions/FAT Viewer?action=UPDATE&amp;creator=factset&amp;DYN_ARGS=TRUE&amp;DOC_NAME=FAT:FQL_AUDITING_CLIENT_TEMPLATE.FAT&amp;display_string=Audit&amp;VAR:KEY=ZMZIRGRQDQ&amp;VAR:QUERY=UkdGX1RBWF9SQVRFKEFOTiwwLCwsLCwsTk9BVURJVCk=&amp;WINDOW=FIRST_POPUP&amp;HEIGHT=450&amp;WIDTH=450&amp;","START_MAXIMIZED=FALSE&amp;VAR:CALENDAR=US&amp;VAR:SYMBOL=632430&amp;VAR:INDEX=0"}</definedName>
    <definedName name="_275__FDSAUDITLINK__" localSheetId="3" hidden="1">{"fdsup://directions/FAT Viewer?action=UPDATE&amp;creator=factset&amp;DYN_ARGS=TRUE&amp;DOC_NAME=FAT:FQL_AUDITING_CLIENT_TEMPLATE.FAT&amp;display_string=Audit&amp;VAR:KEY=VSNIPYTSNQ&amp;VAR:QUERY=RkZfRlJFRV9DRihBTk4sMCwtOSxZLFJQLFVTRCxNKQ==&amp;WINDOW=FIRST_POPUP&amp;HEIGHT=450&amp;WIDTH=450&amp;","START_MAXIMIZED=FALSE&amp;VAR:CALENDAR=US&amp;VAR:SYMBOL=B10LQP&amp;VAR:INDEX=6"}</definedName>
    <definedName name="_275__FDSAUDITLINK__" localSheetId="7" hidden="1">{"fdsup://directions/FAT Viewer?action=UPDATE&amp;creator=factset&amp;DYN_ARGS=TRUE&amp;DOC_NAME=FAT:FQL_AUDITING_CLIENT_TEMPLATE.FAT&amp;display_string=Audit&amp;VAR:KEY=VSNIPYTSNQ&amp;VAR:QUERY=RkZfRlJFRV9DRihBTk4sMCwtOSxZLFJQLFVTRCxNKQ==&amp;WINDOW=FIRST_POPUP&amp;HEIGHT=450&amp;WIDTH=450&amp;","START_MAXIMIZED=FALSE&amp;VAR:CALENDAR=US&amp;VAR:SYMBOL=B10LQP&amp;VAR:INDEX=6"}</definedName>
    <definedName name="_275__FDSAUDITLINK__" hidden="1">{"fdsup://directions/FAT Viewer?action=UPDATE&amp;creator=factset&amp;DYN_ARGS=TRUE&amp;DOC_NAME=FAT:FQL_AUDITING_CLIENT_TEMPLATE.FAT&amp;display_string=Audit&amp;VAR:KEY=VSNIPYTSNQ&amp;VAR:QUERY=RkZfRlJFRV9DRihBTk4sMCwtOSxZLFJQLFVTRCxNKQ==&amp;WINDOW=FIRST_POPUP&amp;HEIGHT=450&amp;WIDTH=450&amp;","START_MAXIMIZED=FALSE&amp;VAR:CALENDAR=US&amp;VAR:SYMBOL=B10LQP&amp;VAR:INDEX=6"}</definedName>
    <definedName name="_2750__FDSAUDITLINK__" localSheetId="3" hidden="1">{"fdsup://directions/FAT Viewer?action=UPDATE&amp;creator=factset&amp;DYN_ARGS=TRUE&amp;DOC_NAME=FAT:FQL_AUDITING_CLIENT_TEMPLATE.FAT&amp;display_string=Audit&amp;VAR:KEY=LWNEPKPEBA&amp;VAR:QUERY=UkdGX1RBWF9SQVRFKEFOTiwwLCwsLCwsTk9BVURJVCk=&amp;WINDOW=FIRST_POPUP&amp;HEIGHT=450&amp;WIDTH=450&amp;","START_MAXIMIZED=FALSE&amp;VAR:CALENDAR=US&amp;VAR:SYMBOL=ACCL&amp;VAR:INDEX=0"}</definedName>
    <definedName name="_2750__FDSAUDITLINK__" localSheetId="7" hidden="1">{"fdsup://directions/FAT Viewer?action=UPDATE&amp;creator=factset&amp;DYN_ARGS=TRUE&amp;DOC_NAME=FAT:FQL_AUDITING_CLIENT_TEMPLATE.FAT&amp;display_string=Audit&amp;VAR:KEY=LWNEPKPEBA&amp;VAR:QUERY=UkdGX1RBWF9SQVRFKEFOTiwwLCwsLCwsTk9BVURJVCk=&amp;WINDOW=FIRST_POPUP&amp;HEIGHT=450&amp;WIDTH=450&amp;","START_MAXIMIZED=FALSE&amp;VAR:CALENDAR=US&amp;VAR:SYMBOL=ACCL&amp;VAR:INDEX=0"}</definedName>
    <definedName name="_2750__FDSAUDITLINK__" hidden="1">{"fdsup://directions/FAT Viewer?action=UPDATE&amp;creator=factset&amp;DYN_ARGS=TRUE&amp;DOC_NAME=FAT:FQL_AUDITING_CLIENT_TEMPLATE.FAT&amp;display_string=Audit&amp;VAR:KEY=LWNEPKPEBA&amp;VAR:QUERY=UkdGX1RBWF9SQVRFKEFOTiwwLCwsLCwsTk9BVURJVCk=&amp;WINDOW=FIRST_POPUP&amp;HEIGHT=450&amp;WIDTH=450&amp;","START_MAXIMIZED=FALSE&amp;VAR:CALENDAR=US&amp;VAR:SYMBOL=ACCL&amp;VAR:INDEX=0"}</definedName>
    <definedName name="_2751__FDSAUDITLINK__" localSheetId="3" hidden="1">{"fdsup://directions/FAT Viewer?action=UPDATE&amp;creator=factset&amp;DYN_ARGS=TRUE&amp;DOC_NAME=FAT:FQL_AUDITING_CLIENT_TEMPLATE.FAT&amp;display_string=Audit&amp;VAR:KEY=LWNEPKPEBA&amp;VAR:QUERY=UkdGX1RBWF9SQVRFKEFOTiwwLCwsLCwsTk9BVURJVCk=&amp;WINDOW=FIRST_POPUP&amp;HEIGHT=450&amp;WIDTH=450&amp;","START_MAXIMIZED=FALSE&amp;VAR:CALENDAR=US&amp;VAR:SYMBOL=ACCL&amp;VAR:INDEX=0"}</definedName>
    <definedName name="_2751__FDSAUDITLINK__" localSheetId="7" hidden="1">{"fdsup://directions/FAT Viewer?action=UPDATE&amp;creator=factset&amp;DYN_ARGS=TRUE&amp;DOC_NAME=FAT:FQL_AUDITING_CLIENT_TEMPLATE.FAT&amp;display_string=Audit&amp;VAR:KEY=LWNEPKPEBA&amp;VAR:QUERY=UkdGX1RBWF9SQVRFKEFOTiwwLCwsLCwsTk9BVURJVCk=&amp;WINDOW=FIRST_POPUP&amp;HEIGHT=450&amp;WIDTH=450&amp;","START_MAXIMIZED=FALSE&amp;VAR:CALENDAR=US&amp;VAR:SYMBOL=ACCL&amp;VAR:INDEX=0"}</definedName>
    <definedName name="_2751__FDSAUDITLINK__" hidden="1">{"fdsup://directions/FAT Viewer?action=UPDATE&amp;creator=factset&amp;DYN_ARGS=TRUE&amp;DOC_NAME=FAT:FQL_AUDITING_CLIENT_TEMPLATE.FAT&amp;display_string=Audit&amp;VAR:KEY=LWNEPKPEBA&amp;VAR:QUERY=UkdGX1RBWF9SQVRFKEFOTiwwLCwsLCwsTk9BVURJVCk=&amp;WINDOW=FIRST_POPUP&amp;HEIGHT=450&amp;WIDTH=450&amp;","START_MAXIMIZED=FALSE&amp;VAR:CALENDAR=US&amp;VAR:SYMBOL=ACCL&amp;VAR:INDEX=0"}</definedName>
    <definedName name="_2752__FDSAUDITLINK__" localSheetId="3" hidden="1">{"fdsup://directions/FAT Viewer?action=UPDATE&amp;creator=factset&amp;DYN_ARGS=TRUE&amp;DOC_NAME=FAT:FQL_AUDITING_CLIENT_TEMPLATE.FAT&amp;display_string=Audit&amp;VAR:KEY=TKDCPCRGJO&amp;VAR:QUERY=UkdGX1RBWF9SQVRFKEFOTiwwLCwsLCwsTk9BVURJVCk=&amp;WINDOW=FIRST_POPUP&amp;HEIGHT=450&amp;WIDTH=450&amp;","START_MAXIMIZED=FALSE&amp;VAR:CALENDAR=US&amp;VAR:SYMBOL=257076&amp;VAR:INDEX=0"}</definedName>
    <definedName name="_2752__FDSAUDITLINK__" localSheetId="7" hidden="1">{"fdsup://directions/FAT Viewer?action=UPDATE&amp;creator=factset&amp;DYN_ARGS=TRUE&amp;DOC_NAME=FAT:FQL_AUDITING_CLIENT_TEMPLATE.FAT&amp;display_string=Audit&amp;VAR:KEY=TKDCPCRGJO&amp;VAR:QUERY=UkdGX1RBWF9SQVRFKEFOTiwwLCwsLCwsTk9BVURJVCk=&amp;WINDOW=FIRST_POPUP&amp;HEIGHT=450&amp;WIDTH=450&amp;","START_MAXIMIZED=FALSE&amp;VAR:CALENDAR=US&amp;VAR:SYMBOL=257076&amp;VAR:INDEX=0"}</definedName>
    <definedName name="_2752__FDSAUDITLINK__" hidden="1">{"fdsup://directions/FAT Viewer?action=UPDATE&amp;creator=factset&amp;DYN_ARGS=TRUE&amp;DOC_NAME=FAT:FQL_AUDITING_CLIENT_TEMPLATE.FAT&amp;display_string=Audit&amp;VAR:KEY=TKDCPCRGJO&amp;VAR:QUERY=UkdGX1RBWF9SQVRFKEFOTiwwLCwsLCwsTk9BVURJVCk=&amp;WINDOW=FIRST_POPUP&amp;HEIGHT=450&amp;WIDTH=450&amp;","START_MAXIMIZED=FALSE&amp;VAR:CALENDAR=US&amp;VAR:SYMBOL=257076&amp;VAR:INDEX=0"}</definedName>
    <definedName name="_2753__FDSAUDITLINK__" localSheetId="3" hidden="1">{"fdsup://directions/FAT Viewer?action=UPDATE&amp;creator=factset&amp;DYN_ARGS=TRUE&amp;DOC_NAME=FAT:FQL_AUDITING_CLIENT_TEMPLATE.FAT&amp;display_string=Audit&amp;VAR:KEY=FAZYZAZOHS&amp;VAR:QUERY=UkdGX1RBWF9SQVRFKEFOTiwwLCwsLCwsTk9BVURJVCk=&amp;WINDOW=FIRST_POPUP&amp;HEIGHT=450&amp;WIDTH=450&amp;","START_MAXIMIZED=FALSE&amp;VAR:CALENDAR=US&amp;VAR:SYMBOL=AAPL&amp;VAR:INDEX=0"}</definedName>
    <definedName name="_2753__FDSAUDITLINK__" localSheetId="7" hidden="1">{"fdsup://directions/FAT Viewer?action=UPDATE&amp;creator=factset&amp;DYN_ARGS=TRUE&amp;DOC_NAME=FAT:FQL_AUDITING_CLIENT_TEMPLATE.FAT&amp;display_string=Audit&amp;VAR:KEY=FAZYZAZOHS&amp;VAR:QUERY=UkdGX1RBWF9SQVRFKEFOTiwwLCwsLCwsTk9BVURJVCk=&amp;WINDOW=FIRST_POPUP&amp;HEIGHT=450&amp;WIDTH=450&amp;","START_MAXIMIZED=FALSE&amp;VAR:CALENDAR=US&amp;VAR:SYMBOL=AAPL&amp;VAR:INDEX=0"}</definedName>
    <definedName name="_2753__FDSAUDITLINK__" hidden="1">{"fdsup://directions/FAT Viewer?action=UPDATE&amp;creator=factset&amp;DYN_ARGS=TRUE&amp;DOC_NAME=FAT:FQL_AUDITING_CLIENT_TEMPLATE.FAT&amp;display_string=Audit&amp;VAR:KEY=FAZYZAZOHS&amp;VAR:QUERY=UkdGX1RBWF9SQVRFKEFOTiwwLCwsLCwsTk9BVURJVCk=&amp;WINDOW=FIRST_POPUP&amp;HEIGHT=450&amp;WIDTH=450&amp;","START_MAXIMIZED=FALSE&amp;VAR:CALENDAR=US&amp;VAR:SYMBOL=AAPL&amp;VAR:INDEX=0"}</definedName>
    <definedName name="_2754__FDSAUDITLINK__" localSheetId="3" hidden="1">{"fdsup://directions/FAT Viewer?action=UPDATE&amp;creator=factset&amp;DYN_ARGS=TRUE&amp;DOC_NAME=FAT:FQL_AUDITING_CLIENT_TEMPLATE.FAT&amp;display_string=Audit&amp;VAR:KEY=FAZYZAZOHS&amp;VAR:QUERY=UkdGX1RBWF9SQVRFKEFOTiwwLCwsLCwsTk9BVURJVCk=&amp;WINDOW=FIRST_POPUP&amp;HEIGHT=450&amp;WIDTH=450&amp;","START_MAXIMIZED=FALSE&amp;VAR:CALENDAR=US&amp;VAR:SYMBOL=AAPL&amp;VAR:INDEX=0"}</definedName>
    <definedName name="_2754__FDSAUDITLINK__" localSheetId="7" hidden="1">{"fdsup://directions/FAT Viewer?action=UPDATE&amp;creator=factset&amp;DYN_ARGS=TRUE&amp;DOC_NAME=FAT:FQL_AUDITING_CLIENT_TEMPLATE.FAT&amp;display_string=Audit&amp;VAR:KEY=FAZYZAZOHS&amp;VAR:QUERY=UkdGX1RBWF9SQVRFKEFOTiwwLCwsLCwsTk9BVURJVCk=&amp;WINDOW=FIRST_POPUP&amp;HEIGHT=450&amp;WIDTH=450&amp;","START_MAXIMIZED=FALSE&amp;VAR:CALENDAR=US&amp;VAR:SYMBOL=AAPL&amp;VAR:INDEX=0"}</definedName>
    <definedName name="_2754__FDSAUDITLINK__" hidden="1">{"fdsup://directions/FAT Viewer?action=UPDATE&amp;creator=factset&amp;DYN_ARGS=TRUE&amp;DOC_NAME=FAT:FQL_AUDITING_CLIENT_TEMPLATE.FAT&amp;display_string=Audit&amp;VAR:KEY=FAZYZAZOHS&amp;VAR:QUERY=UkdGX1RBWF9SQVRFKEFOTiwwLCwsLCwsTk9BVURJVCk=&amp;WINDOW=FIRST_POPUP&amp;HEIGHT=450&amp;WIDTH=450&amp;","START_MAXIMIZED=FALSE&amp;VAR:CALENDAR=US&amp;VAR:SYMBOL=AAPL&amp;VAR:INDEX=0"}</definedName>
    <definedName name="_2755__FDSAUDITLINK__" localSheetId="3" hidden="1">{"fdsup://directions/FAT Viewer?action=UPDATE&amp;creator=factset&amp;DYN_ARGS=TRUE&amp;DOC_NAME=FAT:FQL_AUDITING_CLIENT_TEMPLATE.FAT&amp;display_string=Audit&amp;VAR:KEY=XOBSZQFQVS&amp;VAR:QUERY=UkdGX1RBWF9SQVRFKEFOTiwwLCwsLCwsTk9BVURJVCk=&amp;WINDOW=FIRST_POPUP&amp;HEIGHT=450&amp;WIDTH=450&amp;","START_MAXIMIZED=FALSE&amp;VAR:CALENDAR=US&amp;VAR:SYMBOL=GDOT&amp;VAR:INDEX=0"}</definedName>
    <definedName name="_2755__FDSAUDITLINK__" localSheetId="7" hidden="1">{"fdsup://directions/FAT Viewer?action=UPDATE&amp;creator=factset&amp;DYN_ARGS=TRUE&amp;DOC_NAME=FAT:FQL_AUDITING_CLIENT_TEMPLATE.FAT&amp;display_string=Audit&amp;VAR:KEY=XOBSZQFQVS&amp;VAR:QUERY=UkdGX1RBWF9SQVRFKEFOTiwwLCwsLCwsTk9BVURJVCk=&amp;WINDOW=FIRST_POPUP&amp;HEIGHT=450&amp;WIDTH=450&amp;","START_MAXIMIZED=FALSE&amp;VAR:CALENDAR=US&amp;VAR:SYMBOL=GDOT&amp;VAR:INDEX=0"}</definedName>
    <definedName name="_2755__FDSAUDITLINK__" hidden="1">{"fdsup://directions/FAT Viewer?action=UPDATE&amp;creator=factset&amp;DYN_ARGS=TRUE&amp;DOC_NAME=FAT:FQL_AUDITING_CLIENT_TEMPLATE.FAT&amp;display_string=Audit&amp;VAR:KEY=XOBSZQFQVS&amp;VAR:QUERY=UkdGX1RBWF9SQVRFKEFOTiwwLCwsLCwsTk9BVURJVCk=&amp;WINDOW=FIRST_POPUP&amp;HEIGHT=450&amp;WIDTH=450&amp;","START_MAXIMIZED=FALSE&amp;VAR:CALENDAR=US&amp;VAR:SYMBOL=GDOT&amp;VAR:INDEX=0"}</definedName>
    <definedName name="_2756__FDSAUDITLINK__" localSheetId="3" hidden="1">{"fdsup://directions/FAT Viewer?action=UPDATE&amp;creator=factset&amp;DYN_ARGS=TRUE&amp;DOC_NAME=FAT:FQL_AUDITING_CLIENT_TEMPLATE.FAT&amp;display_string=Audit&amp;VAR:KEY=XOBSZQFQVS&amp;VAR:QUERY=UkdGX1RBWF9SQVRFKEFOTiwwLCwsLCwsTk9BVURJVCk=&amp;WINDOW=FIRST_POPUP&amp;HEIGHT=450&amp;WIDTH=450&amp;","START_MAXIMIZED=FALSE&amp;VAR:CALENDAR=US&amp;VAR:SYMBOL=GDOT&amp;VAR:INDEX=0"}</definedName>
    <definedName name="_2756__FDSAUDITLINK__" localSheetId="7" hidden="1">{"fdsup://directions/FAT Viewer?action=UPDATE&amp;creator=factset&amp;DYN_ARGS=TRUE&amp;DOC_NAME=FAT:FQL_AUDITING_CLIENT_TEMPLATE.FAT&amp;display_string=Audit&amp;VAR:KEY=XOBSZQFQVS&amp;VAR:QUERY=UkdGX1RBWF9SQVRFKEFOTiwwLCwsLCwsTk9BVURJVCk=&amp;WINDOW=FIRST_POPUP&amp;HEIGHT=450&amp;WIDTH=450&amp;","START_MAXIMIZED=FALSE&amp;VAR:CALENDAR=US&amp;VAR:SYMBOL=GDOT&amp;VAR:INDEX=0"}</definedName>
    <definedName name="_2756__FDSAUDITLINK__" hidden="1">{"fdsup://directions/FAT Viewer?action=UPDATE&amp;creator=factset&amp;DYN_ARGS=TRUE&amp;DOC_NAME=FAT:FQL_AUDITING_CLIENT_TEMPLATE.FAT&amp;display_string=Audit&amp;VAR:KEY=XOBSZQFQVS&amp;VAR:QUERY=UkdGX1RBWF9SQVRFKEFOTiwwLCwsLCwsTk9BVURJVCk=&amp;WINDOW=FIRST_POPUP&amp;HEIGHT=450&amp;WIDTH=450&amp;","START_MAXIMIZED=FALSE&amp;VAR:CALENDAR=US&amp;VAR:SYMBOL=GDOT&amp;VAR:INDEX=0"}</definedName>
    <definedName name="_2757__FDSAUDITLINK__" localSheetId="3" hidden="1">{"fdsup://directions/FAT Viewer?action=UPDATE&amp;creator=factset&amp;DYN_ARGS=TRUE&amp;DOC_NAME=FAT:FQL_AUDITING_CLIENT_TEMPLATE.FAT&amp;display_string=Audit&amp;VAR:KEY=WXMDSPKFWB&amp;VAR:QUERY=UkdGX1RBWF9SQVRFKEFOTiwwLCwsLCwsTk9BVURJVCk=&amp;WINDOW=FIRST_POPUP&amp;HEIGHT=450&amp;WIDTH=450&amp;","START_MAXIMIZED=FALSE&amp;VAR:CALENDAR=US&amp;VAR:SYMBOL=RLD&amp;VAR:INDEX=0"}</definedName>
    <definedName name="_2757__FDSAUDITLINK__" localSheetId="7" hidden="1">{"fdsup://directions/FAT Viewer?action=UPDATE&amp;creator=factset&amp;DYN_ARGS=TRUE&amp;DOC_NAME=FAT:FQL_AUDITING_CLIENT_TEMPLATE.FAT&amp;display_string=Audit&amp;VAR:KEY=WXMDSPKFWB&amp;VAR:QUERY=UkdGX1RBWF9SQVRFKEFOTiwwLCwsLCwsTk9BVURJVCk=&amp;WINDOW=FIRST_POPUP&amp;HEIGHT=450&amp;WIDTH=450&amp;","START_MAXIMIZED=FALSE&amp;VAR:CALENDAR=US&amp;VAR:SYMBOL=RLD&amp;VAR:INDEX=0"}</definedName>
    <definedName name="_2757__FDSAUDITLINK__" hidden="1">{"fdsup://directions/FAT Viewer?action=UPDATE&amp;creator=factset&amp;DYN_ARGS=TRUE&amp;DOC_NAME=FAT:FQL_AUDITING_CLIENT_TEMPLATE.FAT&amp;display_string=Audit&amp;VAR:KEY=WXMDSPKFWB&amp;VAR:QUERY=UkdGX1RBWF9SQVRFKEFOTiwwLCwsLCwsTk9BVURJVCk=&amp;WINDOW=FIRST_POPUP&amp;HEIGHT=450&amp;WIDTH=450&amp;","START_MAXIMIZED=FALSE&amp;VAR:CALENDAR=US&amp;VAR:SYMBOL=RLD&amp;VAR:INDEX=0"}</definedName>
    <definedName name="_2758__FDSAUDITLINK__" localSheetId="3" hidden="1">{"fdsup://directions/FAT Viewer?action=UPDATE&amp;creator=factset&amp;DYN_ARGS=TRUE&amp;DOC_NAME=FAT:FQL_AUDITING_CLIENT_TEMPLATE.FAT&amp;display_string=Audit&amp;VAR:KEY=FUXUVUJWNO&amp;VAR:QUERY=UkdGX1RBWF9SQVRFKEFOTiwwLCwsLCwsTk9BVURJVCk=&amp;WINDOW=FIRST_POPUP&amp;HEIGHT=450&amp;WIDTH=450&amp;","START_MAXIMIZED=FALSE&amp;VAR:CALENDAR=US&amp;VAR:SYMBOL=AMZN&amp;VAR:INDEX=0"}</definedName>
    <definedName name="_2758__FDSAUDITLINK__" localSheetId="7" hidden="1">{"fdsup://directions/FAT Viewer?action=UPDATE&amp;creator=factset&amp;DYN_ARGS=TRUE&amp;DOC_NAME=FAT:FQL_AUDITING_CLIENT_TEMPLATE.FAT&amp;display_string=Audit&amp;VAR:KEY=FUXUVUJWNO&amp;VAR:QUERY=UkdGX1RBWF9SQVRFKEFOTiwwLCwsLCwsTk9BVURJVCk=&amp;WINDOW=FIRST_POPUP&amp;HEIGHT=450&amp;WIDTH=450&amp;","START_MAXIMIZED=FALSE&amp;VAR:CALENDAR=US&amp;VAR:SYMBOL=AMZN&amp;VAR:INDEX=0"}</definedName>
    <definedName name="_2758__FDSAUDITLINK__" hidden="1">{"fdsup://directions/FAT Viewer?action=UPDATE&amp;creator=factset&amp;DYN_ARGS=TRUE&amp;DOC_NAME=FAT:FQL_AUDITING_CLIENT_TEMPLATE.FAT&amp;display_string=Audit&amp;VAR:KEY=FUXUVUJWNO&amp;VAR:QUERY=UkdGX1RBWF9SQVRFKEFOTiwwLCwsLCwsTk9BVURJVCk=&amp;WINDOW=FIRST_POPUP&amp;HEIGHT=450&amp;WIDTH=450&amp;","START_MAXIMIZED=FALSE&amp;VAR:CALENDAR=US&amp;VAR:SYMBOL=AMZN&amp;VAR:INDEX=0"}</definedName>
    <definedName name="_2759__FDSAUDITLINK__" localSheetId="3" hidden="1">{"fdsup://directions/FAT Viewer?action=UPDATE&amp;creator=factset&amp;DYN_ARGS=TRUE&amp;DOC_NAME=FAT:FQL_AUDITING_CLIENT_TEMPLATE.FAT&amp;display_string=Audit&amp;VAR:KEY=FUXUVUJWNO&amp;VAR:QUERY=UkdGX1RBWF9SQVRFKEFOTiwwLCwsLCwsTk9BVURJVCk=&amp;WINDOW=FIRST_POPUP&amp;HEIGHT=450&amp;WIDTH=450&amp;","START_MAXIMIZED=FALSE&amp;VAR:CALENDAR=US&amp;VAR:SYMBOL=AMZN&amp;VAR:INDEX=0"}</definedName>
    <definedName name="_2759__FDSAUDITLINK__" localSheetId="7" hidden="1">{"fdsup://directions/FAT Viewer?action=UPDATE&amp;creator=factset&amp;DYN_ARGS=TRUE&amp;DOC_NAME=FAT:FQL_AUDITING_CLIENT_TEMPLATE.FAT&amp;display_string=Audit&amp;VAR:KEY=FUXUVUJWNO&amp;VAR:QUERY=UkdGX1RBWF9SQVRFKEFOTiwwLCwsLCwsTk9BVURJVCk=&amp;WINDOW=FIRST_POPUP&amp;HEIGHT=450&amp;WIDTH=450&amp;","START_MAXIMIZED=FALSE&amp;VAR:CALENDAR=US&amp;VAR:SYMBOL=AMZN&amp;VAR:INDEX=0"}</definedName>
    <definedName name="_2759__FDSAUDITLINK__" hidden="1">{"fdsup://directions/FAT Viewer?action=UPDATE&amp;creator=factset&amp;DYN_ARGS=TRUE&amp;DOC_NAME=FAT:FQL_AUDITING_CLIENT_TEMPLATE.FAT&amp;display_string=Audit&amp;VAR:KEY=FUXUVUJWNO&amp;VAR:QUERY=UkdGX1RBWF9SQVRFKEFOTiwwLCwsLCwsTk9BVURJVCk=&amp;WINDOW=FIRST_POPUP&amp;HEIGHT=450&amp;WIDTH=450&amp;","START_MAXIMIZED=FALSE&amp;VAR:CALENDAR=US&amp;VAR:SYMBOL=AMZN&amp;VAR:INDEX=0"}</definedName>
    <definedName name="_276__FDSAUDITLINK__" localSheetId="3" hidden="1">{"fdsup://directions/FAT Viewer?action=UPDATE&amp;creator=factset&amp;DYN_ARGS=TRUE&amp;DOC_NAME=FAT:FQL_AUDITING_CLIENT_TEMPLATE.FAT&amp;display_string=Audit&amp;VAR:KEY=VSNIPYTSNQ&amp;VAR:QUERY=RkZfRlJFRV9DRihBTk4sMCwtOSxZLFJQLFVTRCxNKQ==&amp;WINDOW=FIRST_POPUP&amp;HEIGHT=450&amp;WIDTH=450&amp;","START_MAXIMIZED=FALSE&amp;VAR:CALENDAR=US&amp;VAR:SYMBOL=B10LQP&amp;VAR:INDEX=5"}</definedName>
    <definedName name="_276__FDSAUDITLINK__" localSheetId="7" hidden="1">{"fdsup://directions/FAT Viewer?action=UPDATE&amp;creator=factset&amp;DYN_ARGS=TRUE&amp;DOC_NAME=FAT:FQL_AUDITING_CLIENT_TEMPLATE.FAT&amp;display_string=Audit&amp;VAR:KEY=VSNIPYTSNQ&amp;VAR:QUERY=RkZfRlJFRV9DRihBTk4sMCwtOSxZLFJQLFVTRCxNKQ==&amp;WINDOW=FIRST_POPUP&amp;HEIGHT=450&amp;WIDTH=450&amp;","START_MAXIMIZED=FALSE&amp;VAR:CALENDAR=US&amp;VAR:SYMBOL=B10LQP&amp;VAR:INDEX=5"}</definedName>
    <definedName name="_276__FDSAUDITLINK__" hidden="1">{"fdsup://directions/FAT Viewer?action=UPDATE&amp;creator=factset&amp;DYN_ARGS=TRUE&amp;DOC_NAME=FAT:FQL_AUDITING_CLIENT_TEMPLATE.FAT&amp;display_string=Audit&amp;VAR:KEY=VSNIPYTSNQ&amp;VAR:QUERY=RkZfRlJFRV9DRihBTk4sMCwtOSxZLFJQLFVTRCxNKQ==&amp;WINDOW=FIRST_POPUP&amp;HEIGHT=450&amp;WIDTH=450&amp;","START_MAXIMIZED=FALSE&amp;VAR:CALENDAR=US&amp;VAR:SYMBOL=B10LQP&amp;VAR:INDEX=5"}</definedName>
    <definedName name="_2760__FDSAUDITLINK__" localSheetId="3" hidden="1">{"fdsup://directions/FAT Viewer?action=UPDATE&amp;creator=factset&amp;DYN_ARGS=TRUE&amp;DOC_NAME=FAT:FQL_AUDITING_CLIENT_TEMPLATE.FAT&amp;display_string=Audit&amp;VAR:KEY=ZKLGVKJWJQ&amp;VAR:QUERY=UkdGX1RBWF9SQVRFKEFOTiwwLCwsLCwsTk9BVURJVCk=&amp;WINDOW=FIRST_POPUP&amp;HEIGHT=450&amp;WIDTH=450&amp;","START_MAXIMIZED=FALSE&amp;VAR:CALENDAR=US&amp;VAR:SYMBOL=GOOG&amp;VAR:INDEX=0"}</definedName>
    <definedName name="_2760__FDSAUDITLINK__" localSheetId="7" hidden="1">{"fdsup://directions/FAT Viewer?action=UPDATE&amp;creator=factset&amp;DYN_ARGS=TRUE&amp;DOC_NAME=FAT:FQL_AUDITING_CLIENT_TEMPLATE.FAT&amp;display_string=Audit&amp;VAR:KEY=ZKLGVKJWJQ&amp;VAR:QUERY=UkdGX1RBWF9SQVRFKEFOTiwwLCwsLCwsTk9BVURJVCk=&amp;WINDOW=FIRST_POPUP&amp;HEIGHT=450&amp;WIDTH=450&amp;","START_MAXIMIZED=FALSE&amp;VAR:CALENDAR=US&amp;VAR:SYMBOL=GOOG&amp;VAR:INDEX=0"}</definedName>
    <definedName name="_2760__FDSAUDITLINK__" hidden="1">{"fdsup://directions/FAT Viewer?action=UPDATE&amp;creator=factset&amp;DYN_ARGS=TRUE&amp;DOC_NAME=FAT:FQL_AUDITING_CLIENT_TEMPLATE.FAT&amp;display_string=Audit&amp;VAR:KEY=ZKLGVKJWJQ&amp;VAR:QUERY=UkdGX1RBWF9SQVRFKEFOTiwwLCwsLCwsTk9BVURJVCk=&amp;WINDOW=FIRST_POPUP&amp;HEIGHT=450&amp;WIDTH=450&amp;","START_MAXIMIZED=FALSE&amp;VAR:CALENDAR=US&amp;VAR:SYMBOL=GOOG&amp;VAR:INDEX=0"}</definedName>
    <definedName name="_2761__FDSAUDITLINK__" localSheetId="3" hidden="1">{"fdsup://directions/FAT Viewer?action=UPDATE&amp;creator=factset&amp;DYN_ARGS=TRUE&amp;DOC_NAME=FAT:FQL_AUDITING_CLIENT_TEMPLATE.FAT&amp;display_string=Audit&amp;VAR:KEY=ZKLGVKJWJQ&amp;VAR:QUERY=UkdGX1RBWF9SQVRFKEFOTiwwLCwsLCwsTk9BVURJVCk=&amp;WINDOW=FIRST_POPUP&amp;HEIGHT=450&amp;WIDTH=450&amp;","START_MAXIMIZED=FALSE&amp;VAR:CALENDAR=US&amp;VAR:SYMBOL=GOOG&amp;VAR:INDEX=0"}</definedName>
    <definedName name="_2761__FDSAUDITLINK__" localSheetId="7" hidden="1">{"fdsup://directions/FAT Viewer?action=UPDATE&amp;creator=factset&amp;DYN_ARGS=TRUE&amp;DOC_NAME=FAT:FQL_AUDITING_CLIENT_TEMPLATE.FAT&amp;display_string=Audit&amp;VAR:KEY=ZKLGVKJWJQ&amp;VAR:QUERY=UkdGX1RBWF9SQVRFKEFOTiwwLCwsLCwsTk9BVURJVCk=&amp;WINDOW=FIRST_POPUP&amp;HEIGHT=450&amp;WIDTH=450&amp;","START_MAXIMIZED=FALSE&amp;VAR:CALENDAR=US&amp;VAR:SYMBOL=GOOG&amp;VAR:INDEX=0"}</definedName>
    <definedName name="_2761__FDSAUDITLINK__" hidden="1">{"fdsup://directions/FAT Viewer?action=UPDATE&amp;creator=factset&amp;DYN_ARGS=TRUE&amp;DOC_NAME=FAT:FQL_AUDITING_CLIENT_TEMPLATE.FAT&amp;display_string=Audit&amp;VAR:KEY=ZKLGVKJWJQ&amp;VAR:QUERY=UkdGX1RBWF9SQVRFKEFOTiwwLCwsLCwsTk9BVURJVCk=&amp;WINDOW=FIRST_POPUP&amp;HEIGHT=450&amp;WIDTH=450&amp;","START_MAXIMIZED=FALSE&amp;VAR:CALENDAR=US&amp;VAR:SYMBOL=GOOG&amp;VAR:INDEX=0"}</definedName>
    <definedName name="_2762__FDSAUDITLINK__" localSheetId="3" hidden="1">{"fdsup://directions/FAT Viewer?action=UPDATE&amp;creator=factset&amp;DYN_ARGS=TRUE&amp;DOC_NAME=FAT:FQL_AUDITING_CLIENT_TEMPLATE.FAT&amp;display_string=Audit&amp;VAR:KEY=KPKFOBSLYT&amp;VAR:QUERY=UkdGX1RBWF9SQVRFKEFOTiwwLCwsLCwsTk9BVURJVCk=&amp;WINDOW=FIRST_POPUP&amp;HEIGHT=450&amp;WIDTH=450&amp;","START_MAXIMIZED=FALSE&amp;VAR:CALENDAR=US&amp;VAR:SYMBOL=VPRT&amp;VAR:INDEX=0"}</definedName>
    <definedName name="_2762__FDSAUDITLINK__" localSheetId="7" hidden="1">{"fdsup://directions/FAT Viewer?action=UPDATE&amp;creator=factset&amp;DYN_ARGS=TRUE&amp;DOC_NAME=FAT:FQL_AUDITING_CLIENT_TEMPLATE.FAT&amp;display_string=Audit&amp;VAR:KEY=KPKFOBSLYT&amp;VAR:QUERY=UkdGX1RBWF9SQVRFKEFOTiwwLCwsLCwsTk9BVURJVCk=&amp;WINDOW=FIRST_POPUP&amp;HEIGHT=450&amp;WIDTH=450&amp;","START_MAXIMIZED=FALSE&amp;VAR:CALENDAR=US&amp;VAR:SYMBOL=VPRT&amp;VAR:INDEX=0"}</definedName>
    <definedName name="_2762__FDSAUDITLINK__" hidden="1">{"fdsup://directions/FAT Viewer?action=UPDATE&amp;creator=factset&amp;DYN_ARGS=TRUE&amp;DOC_NAME=FAT:FQL_AUDITING_CLIENT_TEMPLATE.FAT&amp;display_string=Audit&amp;VAR:KEY=KPKFOBSLYT&amp;VAR:QUERY=UkdGX1RBWF9SQVRFKEFOTiwwLCwsLCwsTk9BVURJVCk=&amp;WINDOW=FIRST_POPUP&amp;HEIGHT=450&amp;WIDTH=450&amp;","START_MAXIMIZED=FALSE&amp;VAR:CALENDAR=US&amp;VAR:SYMBOL=VPRT&amp;VAR:INDEX=0"}</definedName>
    <definedName name="_2763__FDSAUDITLINK__" localSheetId="3" hidden="1">{"fdsup://directions/FAT Viewer?action=UPDATE&amp;creator=factset&amp;DYN_ARGS=TRUE&amp;DOC_NAME=FAT:FQL_AUDITING_CLIENT_TEMPLATE.FAT&amp;display_string=Audit&amp;VAR:KEY=KPKFOBSLYT&amp;VAR:QUERY=UkdGX1RBWF9SQVRFKEFOTiwwLCwsLCwsTk9BVURJVCk=&amp;WINDOW=FIRST_POPUP&amp;HEIGHT=450&amp;WIDTH=450&amp;","START_MAXIMIZED=FALSE&amp;VAR:CALENDAR=US&amp;VAR:SYMBOL=VPRT&amp;VAR:INDEX=0"}</definedName>
    <definedName name="_2763__FDSAUDITLINK__" localSheetId="7" hidden="1">{"fdsup://directions/FAT Viewer?action=UPDATE&amp;creator=factset&amp;DYN_ARGS=TRUE&amp;DOC_NAME=FAT:FQL_AUDITING_CLIENT_TEMPLATE.FAT&amp;display_string=Audit&amp;VAR:KEY=KPKFOBSLYT&amp;VAR:QUERY=UkdGX1RBWF9SQVRFKEFOTiwwLCwsLCwsTk9BVURJVCk=&amp;WINDOW=FIRST_POPUP&amp;HEIGHT=450&amp;WIDTH=450&amp;","START_MAXIMIZED=FALSE&amp;VAR:CALENDAR=US&amp;VAR:SYMBOL=VPRT&amp;VAR:INDEX=0"}</definedName>
    <definedName name="_2763__FDSAUDITLINK__" hidden="1">{"fdsup://directions/FAT Viewer?action=UPDATE&amp;creator=factset&amp;DYN_ARGS=TRUE&amp;DOC_NAME=FAT:FQL_AUDITING_CLIENT_TEMPLATE.FAT&amp;display_string=Audit&amp;VAR:KEY=KPKFOBSLYT&amp;VAR:QUERY=UkdGX1RBWF9SQVRFKEFOTiwwLCwsLCwsTk9BVURJVCk=&amp;WINDOW=FIRST_POPUP&amp;HEIGHT=450&amp;WIDTH=450&amp;","START_MAXIMIZED=FALSE&amp;VAR:CALENDAR=US&amp;VAR:SYMBOL=VPRT&amp;VAR:INDEX=0"}</definedName>
    <definedName name="_2764__FDSAUDITLINK__" localSheetId="3" hidden="1">{"fdsup://directions/FAT Viewer?action=UPDATE&amp;creator=factset&amp;DYN_ARGS=TRUE&amp;DOC_NAME=FAT:FQL_AUDITING_CLIENT_TEMPLATE.FAT&amp;display_string=Audit&amp;VAR:KEY=HOXQHMDEDK&amp;VAR:QUERY=UkdGX1RBWF9SQVRFKEFOTiwwLCwsLCwsTk9BVURJVCk=&amp;WINDOW=FIRST_POPUP&amp;HEIGHT=450&amp;WIDTH=450&amp;","START_MAXIMIZED=FALSE&amp;VAR:CALENDAR=US&amp;VAR:SYMBOL=OWW&amp;VAR:INDEX=0"}</definedName>
    <definedName name="_2764__FDSAUDITLINK__" localSheetId="7" hidden="1">{"fdsup://directions/FAT Viewer?action=UPDATE&amp;creator=factset&amp;DYN_ARGS=TRUE&amp;DOC_NAME=FAT:FQL_AUDITING_CLIENT_TEMPLATE.FAT&amp;display_string=Audit&amp;VAR:KEY=HOXQHMDEDK&amp;VAR:QUERY=UkdGX1RBWF9SQVRFKEFOTiwwLCwsLCwsTk9BVURJVCk=&amp;WINDOW=FIRST_POPUP&amp;HEIGHT=450&amp;WIDTH=450&amp;","START_MAXIMIZED=FALSE&amp;VAR:CALENDAR=US&amp;VAR:SYMBOL=OWW&amp;VAR:INDEX=0"}</definedName>
    <definedName name="_2764__FDSAUDITLINK__" hidden="1">{"fdsup://directions/FAT Viewer?action=UPDATE&amp;creator=factset&amp;DYN_ARGS=TRUE&amp;DOC_NAME=FAT:FQL_AUDITING_CLIENT_TEMPLATE.FAT&amp;display_string=Audit&amp;VAR:KEY=HOXQHMDEDK&amp;VAR:QUERY=UkdGX1RBWF9SQVRFKEFOTiwwLCwsLCwsTk9BVURJVCk=&amp;WINDOW=FIRST_POPUP&amp;HEIGHT=450&amp;WIDTH=450&amp;","START_MAXIMIZED=FALSE&amp;VAR:CALENDAR=US&amp;VAR:SYMBOL=OWW&amp;VAR:INDEX=0"}</definedName>
    <definedName name="_2765__FDSAUDITLINK__" localSheetId="3" hidden="1">{"fdsup://directions/FAT Viewer?action=UPDATE&amp;creator=factset&amp;DYN_ARGS=TRUE&amp;DOC_NAME=FAT:FQL_AUDITING_CLIENT_TEMPLATE.FAT&amp;display_string=Audit&amp;VAR:KEY=CTGPMJSJAZ&amp;VAR:QUERY=UkdGX1RBWF9SQVRFKEFOTiwwLCwsLCwsTk9BVURJVCk=&amp;WINDOW=FIRST_POPUP&amp;HEIGHT=450&amp;WIDTH=450&amp;","START_MAXIMIZED=FALSE&amp;VAR:CALENDAR=US&amp;VAR:SYMBOL=LULU&amp;VAR:INDEX=0"}</definedName>
    <definedName name="_2765__FDSAUDITLINK__" localSheetId="7" hidden="1">{"fdsup://directions/FAT Viewer?action=UPDATE&amp;creator=factset&amp;DYN_ARGS=TRUE&amp;DOC_NAME=FAT:FQL_AUDITING_CLIENT_TEMPLATE.FAT&amp;display_string=Audit&amp;VAR:KEY=CTGPMJSJAZ&amp;VAR:QUERY=UkdGX1RBWF9SQVRFKEFOTiwwLCwsLCwsTk9BVURJVCk=&amp;WINDOW=FIRST_POPUP&amp;HEIGHT=450&amp;WIDTH=450&amp;","START_MAXIMIZED=FALSE&amp;VAR:CALENDAR=US&amp;VAR:SYMBOL=LULU&amp;VAR:INDEX=0"}</definedName>
    <definedName name="_2765__FDSAUDITLINK__" hidden="1">{"fdsup://directions/FAT Viewer?action=UPDATE&amp;creator=factset&amp;DYN_ARGS=TRUE&amp;DOC_NAME=FAT:FQL_AUDITING_CLIENT_TEMPLATE.FAT&amp;display_string=Audit&amp;VAR:KEY=CTGPMJSJAZ&amp;VAR:QUERY=UkdGX1RBWF9SQVRFKEFOTiwwLCwsLCwsTk9BVURJVCk=&amp;WINDOW=FIRST_POPUP&amp;HEIGHT=450&amp;WIDTH=450&amp;","START_MAXIMIZED=FALSE&amp;VAR:CALENDAR=US&amp;VAR:SYMBOL=LULU&amp;VAR:INDEX=0"}</definedName>
    <definedName name="_2766__FDSAUDITLINK__" localSheetId="3" hidden="1">{"fdsup://directions/FAT Viewer?action=UPDATE&amp;creator=factset&amp;DYN_ARGS=TRUE&amp;DOC_NAME=FAT:FQL_AUDITING_CLIENT_TEMPLATE.FAT&amp;display_string=Audit&amp;VAR:KEY=CTGPMJSJAZ&amp;VAR:QUERY=UkdGX1RBWF9SQVRFKEFOTiwwLCwsLCwsTk9BVURJVCk=&amp;WINDOW=FIRST_POPUP&amp;HEIGHT=450&amp;WIDTH=450&amp;","START_MAXIMIZED=FALSE&amp;VAR:CALENDAR=US&amp;VAR:SYMBOL=LULU&amp;VAR:INDEX=0"}</definedName>
    <definedName name="_2766__FDSAUDITLINK__" localSheetId="7" hidden="1">{"fdsup://directions/FAT Viewer?action=UPDATE&amp;creator=factset&amp;DYN_ARGS=TRUE&amp;DOC_NAME=FAT:FQL_AUDITING_CLIENT_TEMPLATE.FAT&amp;display_string=Audit&amp;VAR:KEY=CTGPMJSJAZ&amp;VAR:QUERY=UkdGX1RBWF9SQVRFKEFOTiwwLCwsLCwsTk9BVURJVCk=&amp;WINDOW=FIRST_POPUP&amp;HEIGHT=450&amp;WIDTH=450&amp;","START_MAXIMIZED=FALSE&amp;VAR:CALENDAR=US&amp;VAR:SYMBOL=LULU&amp;VAR:INDEX=0"}</definedName>
    <definedName name="_2766__FDSAUDITLINK__" hidden="1">{"fdsup://directions/FAT Viewer?action=UPDATE&amp;creator=factset&amp;DYN_ARGS=TRUE&amp;DOC_NAME=FAT:FQL_AUDITING_CLIENT_TEMPLATE.FAT&amp;display_string=Audit&amp;VAR:KEY=CTGPMJSJAZ&amp;VAR:QUERY=UkdGX1RBWF9SQVRFKEFOTiwwLCwsLCwsTk9BVURJVCk=&amp;WINDOW=FIRST_POPUP&amp;HEIGHT=450&amp;WIDTH=450&amp;","START_MAXIMIZED=FALSE&amp;VAR:CALENDAR=US&amp;VAR:SYMBOL=LULU&amp;VAR:INDEX=0"}</definedName>
    <definedName name="_2767__FDSAUDITLINK__" localSheetId="3" hidden="1">{"fdsup://directions/FAT Viewer?action=UPDATE&amp;creator=factset&amp;DYN_ARGS=TRUE&amp;DOC_NAME=FAT:FQL_AUDITING_CLIENT_TEMPLATE.FAT&amp;display_string=Audit&amp;VAR:KEY=YNEFARYROV&amp;VAR:QUERY=UkdGX1RBWF9SQVRFKEFOTiwwLCwsLCwsTk9BVURJVCk=&amp;WINDOW=FIRST_POPUP&amp;HEIGHT=450&amp;WIDTH=450&amp;","START_MAXIMIZED=FALSE&amp;VAR:CALENDAR=US&amp;VAR:SYMBOL=WFMI&amp;VAR:INDEX=0"}</definedName>
    <definedName name="_2767__FDSAUDITLINK__" localSheetId="7" hidden="1">{"fdsup://directions/FAT Viewer?action=UPDATE&amp;creator=factset&amp;DYN_ARGS=TRUE&amp;DOC_NAME=FAT:FQL_AUDITING_CLIENT_TEMPLATE.FAT&amp;display_string=Audit&amp;VAR:KEY=YNEFARYROV&amp;VAR:QUERY=UkdGX1RBWF9SQVRFKEFOTiwwLCwsLCwsTk9BVURJVCk=&amp;WINDOW=FIRST_POPUP&amp;HEIGHT=450&amp;WIDTH=450&amp;","START_MAXIMIZED=FALSE&amp;VAR:CALENDAR=US&amp;VAR:SYMBOL=WFMI&amp;VAR:INDEX=0"}</definedName>
    <definedName name="_2767__FDSAUDITLINK__" hidden="1">{"fdsup://directions/FAT Viewer?action=UPDATE&amp;creator=factset&amp;DYN_ARGS=TRUE&amp;DOC_NAME=FAT:FQL_AUDITING_CLIENT_TEMPLATE.FAT&amp;display_string=Audit&amp;VAR:KEY=YNEFARYROV&amp;VAR:QUERY=UkdGX1RBWF9SQVRFKEFOTiwwLCwsLCwsTk9BVURJVCk=&amp;WINDOW=FIRST_POPUP&amp;HEIGHT=450&amp;WIDTH=450&amp;","START_MAXIMIZED=FALSE&amp;VAR:CALENDAR=US&amp;VAR:SYMBOL=WFMI&amp;VAR:INDEX=0"}</definedName>
    <definedName name="_2768__FDSAUDITLINK__" localSheetId="3" hidden="1">{"fdsup://directions/FAT Viewer?action=UPDATE&amp;creator=factset&amp;DYN_ARGS=TRUE&amp;DOC_NAME=FAT:FQL_AUDITING_CLIENT_TEMPLATE.FAT&amp;display_string=Audit&amp;VAR:KEY=YNEFARYROV&amp;VAR:QUERY=UkdGX1RBWF9SQVRFKEFOTiwwLCwsLCwsTk9BVURJVCk=&amp;WINDOW=FIRST_POPUP&amp;HEIGHT=450&amp;WIDTH=450&amp;","START_MAXIMIZED=FALSE&amp;VAR:CALENDAR=US&amp;VAR:SYMBOL=WFMI&amp;VAR:INDEX=0"}</definedName>
    <definedName name="_2768__FDSAUDITLINK__" localSheetId="7" hidden="1">{"fdsup://directions/FAT Viewer?action=UPDATE&amp;creator=factset&amp;DYN_ARGS=TRUE&amp;DOC_NAME=FAT:FQL_AUDITING_CLIENT_TEMPLATE.FAT&amp;display_string=Audit&amp;VAR:KEY=YNEFARYROV&amp;VAR:QUERY=UkdGX1RBWF9SQVRFKEFOTiwwLCwsLCwsTk9BVURJVCk=&amp;WINDOW=FIRST_POPUP&amp;HEIGHT=450&amp;WIDTH=450&amp;","START_MAXIMIZED=FALSE&amp;VAR:CALENDAR=US&amp;VAR:SYMBOL=WFMI&amp;VAR:INDEX=0"}</definedName>
    <definedName name="_2768__FDSAUDITLINK__" hidden="1">{"fdsup://directions/FAT Viewer?action=UPDATE&amp;creator=factset&amp;DYN_ARGS=TRUE&amp;DOC_NAME=FAT:FQL_AUDITING_CLIENT_TEMPLATE.FAT&amp;display_string=Audit&amp;VAR:KEY=YNEFARYROV&amp;VAR:QUERY=UkdGX1RBWF9SQVRFKEFOTiwwLCwsLCwsTk9BVURJVCk=&amp;WINDOW=FIRST_POPUP&amp;HEIGHT=450&amp;WIDTH=450&amp;","START_MAXIMIZED=FALSE&amp;VAR:CALENDAR=US&amp;VAR:SYMBOL=WFMI&amp;VAR:INDEX=0"}</definedName>
    <definedName name="_2769__FDSAUDITLINK__" localSheetId="3" hidden="1">{"fdsup://directions/FAT Viewer?action=UPDATE&amp;creator=factset&amp;DYN_ARGS=TRUE&amp;DOC_NAME=FAT:FQL_AUDITING_CLIENT_TEMPLATE.FAT&amp;display_string=Audit&amp;VAR:KEY=POZADEDQZA&amp;VAR:QUERY=UkdGX1RBWF9SQVRFKEFOTiwwLCwsLCwsTk9BVURJVCk=&amp;WINDOW=FIRST_POPUP&amp;HEIGHT=450&amp;WIDTH=450&amp;","START_MAXIMIZED=FALSE&amp;VAR:CALENDAR=US&amp;VAR:SYMBOL=UA&amp;VAR:INDEX=0"}</definedName>
    <definedName name="_2769__FDSAUDITLINK__" localSheetId="7" hidden="1">{"fdsup://directions/FAT Viewer?action=UPDATE&amp;creator=factset&amp;DYN_ARGS=TRUE&amp;DOC_NAME=FAT:FQL_AUDITING_CLIENT_TEMPLATE.FAT&amp;display_string=Audit&amp;VAR:KEY=POZADEDQZA&amp;VAR:QUERY=UkdGX1RBWF9SQVRFKEFOTiwwLCwsLCwsTk9BVURJVCk=&amp;WINDOW=FIRST_POPUP&amp;HEIGHT=450&amp;WIDTH=450&amp;","START_MAXIMIZED=FALSE&amp;VAR:CALENDAR=US&amp;VAR:SYMBOL=UA&amp;VAR:INDEX=0"}</definedName>
    <definedName name="_2769__FDSAUDITLINK__" hidden="1">{"fdsup://directions/FAT Viewer?action=UPDATE&amp;creator=factset&amp;DYN_ARGS=TRUE&amp;DOC_NAME=FAT:FQL_AUDITING_CLIENT_TEMPLATE.FAT&amp;display_string=Audit&amp;VAR:KEY=POZADEDQZA&amp;VAR:QUERY=UkdGX1RBWF9SQVRFKEFOTiwwLCwsLCwsTk9BVURJVCk=&amp;WINDOW=FIRST_POPUP&amp;HEIGHT=450&amp;WIDTH=450&amp;","START_MAXIMIZED=FALSE&amp;VAR:CALENDAR=US&amp;VAR:SYMBOL=UA&amp;VAR:INDEX=0"}</definedName>
    <definedName name="_277__FDSAUDITLINK__" localSheetId="3" hidden="1">{"fdsup://directions/FAT Viewer?action=UPDATE&amp;creator=factset&amp;DYN_ARGS=TRUE&amp;DOC_NAME=FAT:FQL_AUDITING_CLIENT_TEMPLATE.FAT&amp;display_string=Audit&amp;VAR:KEY=ZWFEVOFQVM&amp;VAR:QUERY=RkZfU0FMRVMoTFRNLDAsLCwsLE0p&amp;WINDOW=FIRST_POPUP&amp;HEIGHT=450&amp;WIDTH=450&amp;START_MAXIMIZED=","FALSE&amp;VAR:CALENDAR=US&amp;VAR:SYMBOL=B1YBRG&amp;VAR:INDEX=0"}</definedName>
    <definedName name="_277__FDSAUDITLINK__" localSheetId="7" hidden="1">{"fdsup://directions/FAT Viewer?action=UPDATE&amp;creator=factset&amp;DYN_ARGS=TRUE&amp;DOC_NAME=FAT:FQL_AUDITING_CLIENT_TEMPLATE.FAT&amp;display_string=Audit&amp;VAR:KEY=ZWFEVOFQVM&amp;VAR:QUERY=RkZfU0FMRVMoTFRNLDAsLCwsLE0p&amp;WINDOW=FIRST_POPUP&amp;HEIGHT=450&amp;WIDTH=450&amp;START_MAXIMIZED=","FALSE&amp;VAR:CALENDAR=US&amp;VAR:SYMBOL=B1YBRG&amp;VAR:INDEX=0"}</definedName>
    <definedName name="_277__FDSAUDITLINK__" hidden="1">{"fdsup://directions/FAT Viewer?action=UPDATE&amp;creator=factset&amp;DYN_ARGS=TRUE&amp;DOC_NAME=FAT:FQL_AUDITING_CLIENT_TEMPLATE.FAT&amp;display_string=Audit&amp;VAR:KEY=ZWFEVOFQVM&amp;VAR:QUERY=RkZfU0FMRVMoTFRNLDAsLCwsLE0p&amp;WINDOW=FIRST_POPUP&amp;HEIGHT=450&amp;WIDTH=450&amp;START_MAXIMIZED=","FALSE&amp;VAR:CALENDAR=US&amp;VAR:SYMBOL=B1YBRG&amp;VAR:INDEX=0"}</definedName>
    <definedName name="_2770__FDSAUDITLINK__" localSheetId="3" hidden="1">{"fdsup://directions/FAT Viewer?action=UPDATE&amp;creator=factset&amp;DYN_ARGS=TRUE&amp;DOC_NAME=FAT:FQL_AUDITING_CLIENT_TEMPLATE.FAT&amp;display_string=Audit&amp;VAR:KEY=POZADEDQZA&amp;VAR:QUERY=UkdGX1RBWF9SQVRFKEFOTiwwLCwsLCwsTk9BVURJVCk=&amp;WINDOW=FIRST_POPUP&amp;HEIGHT=450&amp;WIDTH=450&amp;","START_MAXIMIZED=FALSE&amp;VAR:CALENDAR=US&amp;VAR:SYMBOL=UA&amp;VAR:INDEX=0"}</definedName>
    <definedName name="_2770__FDSAUDITLINK__" localSheetId="7" hidden="1">{"fdsup://directions/FAT Viewer?action=UPDATE&amp;creator=factset&amp;DYN_ARGS=TRUE&amp;DOC_NAME=FAT:FQL_AUDITING_CLIENT_TEMPLATE.FAT&amp;display_string=Audit&amp;VAR:KEY=POZADEDQZA&amp;VAR:QUERY=UkdGX1RBWF9SQVRFKEFOTiwwLCwsLCwsTk9BVURJVCk=&amp;WINDOW=FIRST_POPUP&amp;HEIGHT=450&amp;WIDTH=450&amp;","START_MAXIMIZED=FALSE&amp;VAR:CALENDAR=US&amp;VAR:SYMBOL=UA&amp;VAR:INDEX=0"}</definedName>
    <definedName name="_2770__FDSAUDITLINK__" hidden="1">{"fdsup://directions/FAT Viewer?action=UPDATE&amp;creator=factset&amp;DYN_ARGS=TRUE&amp;DOC_NAME=FAT:FQL_AUDITING_CLIENT_TEMPLATE.FAT&amp;display_string=Audit&amp;VAR:KEY=POZADEDQZA&amp;VAR:QUERY=UkdGX1RBWF9SQVRFKEFOTiwwLCwsLCwsTk9BVURJVCk=&amp;WINDOW=FIRST_POPUP&amp;HEIGHT=450&amp;WIDTH=450&amp;","START_MAXIMIZED=FALSE&amp;VAR:CALENDAR=US&amp;VAR:SYMBOL=UA&amp;VAR:INDEX=0"}</definedName>
    <definedName name="_2771__FDSAUDITLINK__" localSheetId="3" hidden="1">{"fdsup://directions/FAT Viewer?action=UPDATE&amp;creator=factset&amp;DYN_ARGS=TRUE&amp;DOC_NAME=FAT:FQL_AUDITING_CLIENT_TEMPLATE.FAT&amp;display_string=Audit&amp;VAR:KEY=RURKHCJADM&amp;VAR:QUERY=UkdGX1RBWF9SQVRFKEFOTiwwLCwsLCwsTk9BVURJVCk=&amp;WINDOW=FIRST_POPUP&amp;HEIGHT=450&amp;WIDTH=450&amp;","START_MAXIMIZED=FALSE&amp;VAR:CALENDAR=US&amp;VAR:SYMBOL=CMG&amp;VAR:INDEX=0"}</definedName>
    <definedName name="_2771__FDSAUDITLINK__" localSheetId="7" hidden="1">{"fdsup://directions/FAT Viewer?action=UPDATE&amp;creator=factset&amp;DYN_ARGS=TRUE&amp;DOC_NAME=FAT:FQL_AUDITING_CLIENT_TEMPLATE.FAT&amp;display_string=Audit&amp;VAR:KEY=RURKHCJADM&amp;VAR:QUERY=UkdGX1RBWF9SQVRFKEFOTiwwLCwsLCwsTk9BVURJVCk=&amp;WINDOW=FIRST_POPUP&amp;HEIGHT=450&amp;WIDTH=450&amp;","START_MAXIMIZED=FALSE&amp;VAR:CALENDAR=US&amp;VAR:SYMBOL=CMG&amp;VAR:INDEX=0"}</definedName>
    <definedName name="_2771__FDSAUDITLINK__" hidden="1">{"fdsup://directions/FAT Viewer?action=UPDATE&amp;creator=factset&amp;DYN_ARGS=TRUE&amp;DOC_NAME=FAT:FQL_AUDITING_CLIENT_TEMPLATE.FAT&amp;display_string=Audit&amp;VAR:KEY=RURKHCJADM&amp;VAR:QUERY=UkdGX1RBWF9SQVRFKEFOTiwwLCwsLCwsTk9BVURJVCk=&amp;WINDOW=FIRST_POPUP&amp;HEIGHT=450&amp;WIDTH=450&amp;","START_MAXIMIZED=FALSE&amp;VAR:CALENDAR=US&amp;VAR:SYMBOL=CMG&amp;VAR:INDEX=0"}</definedName>
    <definedName name="_2772__FDSAUDITLINK__" localSheetId="3" hidden="1">{"fdsup://directions/FAT Viewer?action=UPDATE&amp;creator=factset&amp;DYN_ARGS=TRUE&amp;DOC_NAME=FAT:FQL_AUDITING_CLIENT_TEMPLATE.FAT&amp;display_string=Audit&amp;VAR:KEY=RURKHCJADM&amp;VAR:QUERY=UkdGX1RBWF9SQVRFKEFOTiwwLCwsLCwsTk9BVURJVCk=&amp;WINDOW=FIRST_POPUP&amp;HEIGHT=450&amp;WIDTH=450&amp;","START_MAXIMIZED=FALSE&amp;VAR:CALENDAR=US&amp;VAR:SYMBOL=CMG&amp;VAR:INDEX=0"}</definedName>
    <definedName name="_2772__FDSAUDITLINK__" localSheetId="7" hidden="1">{"fdsup://directions/FAT Viewer?action=UPDATE&amp;creator=factset&amp;DYN_ARGS=TRUE&amp;DOC_NAME=FAT:FQL_AUDITING_CLIENT_TEMPLATE.FAT&amp;display_string=Audit&amp;VAR:KEY=RURKHCJADM&amp;VAR:QUERY=UkdGX1RBWF9SQVRFKEFOTiwwLCwsLCwsTk9BVURJVCk=&amp;WINDOW=FIRST_POPUP&amp;HEIGHT=450&amp;WIDTH=450&amp;","START_MAXIMIZED=FALSE&amp;VAR:CALENDAR=US&amp;VAR:SYMBOL=CMG&amp;VAR:INDEX=0"}</definedName>
    <definedName name="_2772__FDSAUDITLINK__" hidden="1">{"fdsup://directions/FAT Viewer?action=UPDATE&amp;creator=factset&amp;DYN_ARGS=TRUE&amp;DOC_NAME=FAT:FQL_AUDITING_CLIENT_TEMPLATE.FAT&amp;display_string=Audit&amp;VAR:KEY=RURKHCJADM&amp;VAR:QUERY=UkdGX1RBWF9SQVRFKEFOTiwwLCwsLCwsTk9BVURJVCk=&amp;WINDOW=FIRST_POPUP&amp;HEIGHT=450&amp;WIDTH=450&amp;","START_MAXIMIZED=FALSE&amp;VAR:CALENDAR=US&amp;VAR:SYMBOL=CMG&amp;VAR:INDEX=0"}</definedName>
    <definedName name="_2773__FDSAUDITLINK__" localSheetId="3" hidden="1">{"fdsup://directions/FAT Viewer?action=UPDATE&amp;creator=factset&amp;DYN_ARGS=TRUE&amp;DOC_NAME=FAT:FQL_AUDITING_CLIENT_TEMPLATE.FAT&amp;display_string=Audit&amp;VAR:KEY=CTYFIBQLSV&amp;VAR:QUERY=UkdGX1RBWF9SQVRFKEFOTiwwLCwsLCwsTk9BVURJVCk=&amp;WINDOW=FIRST_POPUP&amp;HEIGHT=450&amp;WIDTH=450&amp;","START_MAXIMIZED=FALSE&amp;VAR:CALENDAR=US&amp;VAR:SYMBOL=FDS&amp;VAR:INDEX=0"}</definedName>
    <definedName name="_2773__FDSAUDITLINK__" localSheetId="7" hidden="1">{"fdsup://directions/FAT Viewer?action=UPDATE&amp;creator=factset&amp;DYN_ARGS=TRUE&amp;DOC_NAME=FAT:FQL_AUDITING_CLIENT_TEMPLATE.FAT&amp;display_string=Audit&amp;VAR:KEY=CTYFIBQLSV&amp;VAR:QUERY=UkdGX1RBWF9SQVRFKEFOTiwwLCwsLCwsTk9BVURJVCk=&amp;WINDOW=FIRST_POPUP&amp;HEIGHT=450&amp;WIDTH=450&amp;","START_MAXIMIZED=FALSE&amp;VAR:CALENDAR=US&amp;VAR:SYMBOL=FDS&amp;VAR:INDEX=0"}</definedName>
    <definedName name="_2773__FDSAUDITLINK__" hidden="1">{"fdsup://directions/FAT Viewer?action=UPDATE&amp;creator=factset&amp;DYN_ARGS=TRUE&amp;DOC_NAME=FAT:FQL_AUDITING_CLIENT_TEMPLATE.FAT&amp;display_string=Audit&amp;VAR:KEY=CTYFIBQLSV&amp;VAR:QUERY=UkdGX1RBWF9SQVRFKEFOTiwwLCwsLCwsTk9BVURJVCk=&amp;WINDOW=FIRST_POPUP&amp;HEIGHT=450&amp;WIDTH=450&amp;","START_MAXIMIZED=FALSE&amp;VAR:CALENDAR=US&amp;VAR:SYMBOL=FDS&amp;VAR:INDEX=0"}</definedName>
    <definedName name="_2774__FDSAUDITLINK__" localSheetId="3" hidden="1">{"fdsup://directions/FAT Viewer?action=UPDATE&amp;creator=factset&amp;DYN_ARGS=TRUE&amp;DOC_NAME=FAT:FQL_AUDITING_CLIENT_TEMPLATE.FAT&amp;display_string=Audit&amp;VAR:KEY=CTYFIBQLSV&amp;VAR:QUERY=UkdGX1RBWF9SQVRFKEFOTiwwLCwsLCwsTk9BVURJVCk=&amp;WINDOW=FIRST_POPUP&amp;HEIGHT=450&amp;WIDTH=450&amp;","START_MAXIMIZED=FALSE&amp;VAR:CALENDAR=US&amp;VAR:SYMBOL=FDS&amp;VAR:INDEX=0"}</definedName>
    <definedName name="_2774__FDSAUDITLINK__" localSheetId="7" hidden="1">{"fdsup://directions/FAT Viewer?action=UPDATE&amp;creator=factset&amp;DYN_ARGS=TRUE&amp;DOC_NAME=FAT:FQL_AUDITING_CLIENT_TEMPLATE.FAT&amp;display_string=Audit&amp;VAR:KEY=CTYFIBQLSV&amp;VAR:QUERY=UkdGX1RBWF9SQVRFKEFOTiwwLCwsLCwsTk9BVURJVCk=&amp;WINDOW=FIRST_POPUP&amp;HEIGHT=450&amp;WIDTH=450&amp;","START_MAXIMIZED=FALSE&amp;VAR:CALENDAR=US&amp;VAR:SYMBOL=FDS&amp;VAR:INDEX=0"}</definedName>
    <definedName name="_2774__FDSAUDITLINK__" hidden="1">{"fdsup://directions/FAT Viewer?action=UPDATE&amp;creator=factset&amp;DYN_ARGS=TRUE&amp;DOC_NAME=FAT:FQL_AUDITING_CLIENT_TEMPLATE.FAT&amp;display_string=Audit&amp;VAR:KEY=CTYFIBQLSV&amp;VAR:QUERY=UkdGX1RBWF9SQVRFKEFOTiwwLCwsLCwsTk9BVURJVCk=&amp;WINDOW=FIRST_POPUP&amp;HEIGHT=450&amp;WIDTH=450&amp;","START_MAXIMIZED=FALSE&amp;VAR:CALENDAR=US&amp;VAR:SYMBOL=FDS&amp;VAR:INDEX=0"}</definedName>
    <definedName name="_2775__FDSAUDITLINK__" localSheetId="3" hidden="1">{"fdsup://directions/FAT Viewer?action=UPDATE&amp;creator=factset&amp;DYN_ARGS=TRUE&amp;DOC_NAME=FAT:FQL_AUDITING_CLIENT_TEMPLATE.FAT&amp;display_string=Audit&amp;VAR:KEY=UDYRUPGTWX&amp;VAR:QUERY=UkdGX1RBWF9SQVRFKEFOTiwwLCwsLCwsTk9BVURJVCk=&amp;WINDOW=FIRST_POPUP&amp;HEIGHT=450&amp;WIDTH=450&amp;","START_MAXIMIZED=FALSE&amp;VAR:CALENDAR=US&amp;VAR:SYMBOL=BLANK&amp;VAR:INDEX=0"}</definedName>
    <definedName name="_2775__FDSAUDITLINK__" localSheetId="7" hidden="1">{"fdsup://directions/FAT Viewer?action=UPDATE&amp;creator=factset&amp;DYN_ARGS=TRUE&amp;DOC_NAME=FAT:FQL_AUDITING_CLIENT_TEMPLATE.FAT&amp;display_string=Audit&amp;VAR:KEY=UDYRUPGTWX&amp;VAR:QUERY=UkdGX1RBWF9SQVRFKEFOTiwwLCwsLCwsTk9BVURJVCk=&amp;WINDOW=FIRST_POPUP&amp;HEIGHT=450&amp;WIDTH=450&amp;","START_MAXIMIZED=FALSE&amp;VAR:CALENDAR=US&amp;VAR:SYMBOL=BLANK&amp;VAR:INDEX=0"}</definedName>
    <definedName name="_2775__FDSAUDITLINK__" hidden="1">{"fdsup://directions/FAT Viewer?action=UPDATE&amp;creator=factset&amp;DYN_ARGS=TRUE&amp;DOC_NAME=FAT:FQL_AUDITING_CLIENT_TEMPLATE.FAT&amp;display_string=Audit&amp;VAR:KEY=UDYRUPGTWX&amp;VAR:QUERY=UkdGX1RBWF9SQVRFKEFOTiwwLCwsLCwsTk9BVURJVCk=&amp;WINDOW=FIRST_POPUP&amp;HEIGHT=450&amp;WIDTH=450&amp;","START_MAXIMIZED=FALSE&amp;VAR:CALENDAR=US&amp;VAR:SYMBOL=BLANK&amp;VAR:INDEX=0"}</definedName>
    <definedName name="_2776__FDSAUDITLINK__" localSheetId="3" hidden="1">{"fdsup://directions/FAT Viewer?action=UPDATE&amp;creator=factset&amp;DYN_ARGS=TRUE&amp;DOC_NAME=FAT:FQL_AUDITING_CLIENT_TEMPLATE.FAT&amp;display_string=Audit&amp;VAR:KEY=SFQPYFERED&amp;VAR:QUERY=UkdGX1RBWF9SQVRFKEFOTiwwLCwsLCwsTk9BVURJVCk=&amp;WINDOW=FIRST_POPUP&amp;HEIGHT=450&amp;WIDTH=450&amp;","START_MAXIMIZED=FALSE&amp;VAR:CALENDAR=US&amp;VAR:SYMBOL=CMG&amp;VAR:INDEX=0"}</definedName>
    <definedName name="_2776__FDSAUDITLINK__" localSheetId="7" hidden="1">{"fdsup://directions/FAT Viewer?action=UPDATE&amp;creator=factset&amp;DYN_ARGS=TRUE&amp;DOC_NAME=FAT:FQL_AUDITING_CLIENT_TEMPLATE.FAT&amp;display_string=Audit&amp;VAR:KEY=SFQPYFERED&amp;VAR:QUERY=UkdGX1RBWF9SQVRFKEFOTiwwLCwsLCwsTk9BVURJVCk=&amp;WINDOW=FIRST_POPUP&amp;HEIGHT=450&amp;WIDTH=450&amp;","START_MAXIMIZED=FALSE&amp;VAR:CALENDAR=US&amp;VAR:SYMBOL=CMG&amp;VAR:INDEX=0"}</definedName>
    <definedName name="_2776__FDSAUDITLINK__" hidden="1">{"fdsup://directions/FAT Viewer?action=UPDATE&amp;creator=factset&amp;DYN_ARGS=TRUE&amp;DOC_NAME=FAT:FQL_AUDITING_CLIENT_TEMPLATE.FAT&amp;display_string=Audit&amp;VAR:KEY=SFQPYFERED&amp;VAR:QUERY=UkdGX1RBWF9SQVRFKEFOTiwwLCwsLCwsTk9BVURJVCk=&amp;WINDOW=FIRST_POPUP&amp;HEIGHT=450&amp;WIDTH=450&amp;","START_MAXIMIZED=FALSE&amp;VAR:CALENDAR=US&amp;VAR:SYMBOL=CMG&amp;VAR:INDEX=0"}</definedName>
    <definedName name="_2777__FDSAUDITLINK__" localSheetId="3" hidden="1">{"fdsup://directions/FAT Viewer?action=UPDATE&amp;creator=factset&amp;DYN_ARGS=TRUE&amp;DOC_NAME=FAT:FQL_AUDITING_CLIENT_TEMPLATE.FAT&amp;display_string=Audit&amp;VAR:KEY=SFQPYFERED&amp;VAR:QUERY=UkdGX1RBWF9SQVRFKEFOTiwwLCwsLCwsTk9BVURJVCk=&amp;WINDOW=FIRST_POPUP&amp;HEIGHT=450&amp;WIDTH=450&amp;","START_MAXIMIZED=FALSE&amp;VAR:CALENDAR=US&amp;VAR:SYMBOL=CMG&amp;VAR:INDEX=0"}</definedName>
    <definedName name="_2777__FDSAUDITLINK__" localSheetId="7" hidden="1">{"fdsup://directions/FAT Viewer?action=UPDATE&amp;creator=factset&amp;DYN_ARGS=TRUE&amp;DOC_NAME=FAT:FQL_AUDITING_CLIENT_TEMPLATE.FAT&amp;display_string=Audit&amp;VAR:KEY=SFQPYFERED&amp;VAR:QUERY=UkdGX1RBWF9SQVRFKEFOTiwwLCwsLCwsTk9BVURJVCk=&amp;WINDOW=FIRST_POPUP&amp;HEIGHT=450&amp;WIDTH=450&amp;","START_MAXIMIZED=FALSE&amp;VAR:CALENDAR=US&amp;VAR:SYMBOL=CMG&amp;VAR:INDEX=0"}</definedName>
    <definedName name="_2777__FDSAUDITLINK__" hidden="1">{"fdsup://directions/FAT Viewer?action=UPDATE&amp;creator=factset&amp;DYN_ARGS=TRUE&amp;DOC_NAME=FAT:FQL_AUDITING_CLIENT_TEMPLATE.FAT&amp;display_string=Audit&amp;VAR:KEY=SFQPYFERED&amp;VAR:QUERY=UkdGX1RBWF9SQVRFKEFOTiwwLCwsLCwsTk9BVURJVCk=&amp;WINDOW=FIRST_POPUP&amp;HEIGHT=450&amp;WIDTH=450&amp;","START_MAXIMIZED=FALSE&amp;VAR:CALENDAR=US&amp;VAR:SYMBOL=CMG&amp;VAR:INDEX=0"}</definedName>
    <definedName name="_2778__FDSAUDITLINK__" localSheetId="3" hidden="1">{"fdsup://directions/FAT Viewer?action=UPDATE&amp;creator=factset&amp;DYN_ARGS=TRUE&amp;DOC_NAME=FAT:FQL_AUDITING_CLIENT_TEMPLATE.FAT&amp;display_string=Audit&amp;VAR:KEY=CNIPWXQXQD&amp;VAR:QUERY=UkdGX1RBWF9SQVRFKEFOTiwwLCwsLCwsTk9BVURJVCk=&amp;WINDOW=FIRST_POPUP&amp;HEIGHT=450&amp;WIDTH=450&amp;","START_MAXIMIZED=FALSE&amp;VAR:CALENDAR=US&amp;VAR:SYMBOL=UA&amp;VAR:INDEX=0"}</definedName>
    <definedName name="_2778__FDSAUDITLINK__" localSheetId="7" hidden="1">{"fdsup://directions/FAT Viewer?action=UPDATE&amp;creator=factset&amp;DYN_ARGS=TRUE&amp;DOC_NAME=FAT:FQL_AUDITING_CLIENT_TEMPLATE.FAT&amp;display_string=Audit&amp;VAR:KEY=CNIPWXQXQD&amp;VAR:QUERY=UkdGX1RBWF9SQVRFKEFOTiwwLCwsLCwsTk9BVURJVCk=&amp;WINDOW=FIRST_POPUP&amp;HEIGHT=450&amp;WIDTH=450&amp;","START_MAXIMIZED=FALSE&amp;VAR:CALENDAR=US&amp;VAR:SYMBOL=UA&amp;VAR:INDEX=0"}</definedName>
    <definedName name="_2778__FDSAUDITLINK__" hidden="1">{"fdsup://directions/FAT Viewer?action=UPDATE&amp;creator=factset&amp;DYN_ARGS=TRUE&amp;DOC_NAME=FAT:FQL_AUDITING_CLIENT_TEMPLATE.FAT&amp;display_string=Audit&amp;VAR:KEY=CNIPWXQXQD&amp;VAR:QUERY=UkdGX1RBWF9SQVRFKEFOTiwwLCwsLCwsTk9BVURJVCk=&amp;WINDOW=FIRST_POPUP&amp;HEIGHT=450&amp;WIDTH=450&amp;","START_MAXIMIZED=FALSE&amp;VAR:CALENDAR=US&amp;VAR:SYMBOL=UA&amp;VAR:INDEX=0"}</definedName>
    <definedName name="_2779__FDSAUDITLINK__" localSheetId="3" hidden="1">{"fdsup://directions/FAT Viewer?action=UPDATE&amp;creator=factset&amp;DYN_ARGS=TRUE&amp;DOC_NAME=FAT:FQL_AUDITING_CLIENT_TEMPLATE.FAT&amp;display_string=Audit&amp;VAR:KEY=CNIPWXQXQD&amp;VAR:QUERY=UkdGX1RBWF9SQVRFKEFOTiwwLCwsLCwsTk9BVURJVCk=&amp;WINDOW=FIRST_POPUP&amp;HEIGHT=450&amp;WIDTH=450&amp;","START_MAXIMIZED=FALSE&amp;VAR:CALENDAR=US&amp;VAR:SYMBOL=UA&amp;VAR:INDEX=0"}</definedName>
    <definedName name="_2779__FDSAUDITLINK__" localSheetId="7" hidden="1">{"fdsup://directions/FAT Viewer?action=UPDATE&amp;creator=factset&amp;DYN_ARGS=TRUE&amp;DOC_NAME=FAT:FQL_AUDITING_CLIENT_TEMPLATE.FAT&amp;display_string=Audit&amp;VAR:KEY=CNIPWXQXQD&amp;VAR:QUERY=UkdGX1RBWF9SQVRFKEFOTiwwLCwsLCwsTk9BVURJVCk=&amp;WINDOW=FIRST_POPUP&amp;HEIGHT=450&amp;WIDTH=450&amp;","START_MAXIMIZED=FALSE&amp;VAR:CALENDAR=US&amp;VAR:SYMBOL=UA&amp;VAR:INDEX=0"}</definedName>
    <definedName name="_2779__FDSAUDITLINK__" hidden="1">{"fdsup://directions/FAT Viewer?action=UPDATE&amp;creator=factset&amp;DYN_ARGS=TRUE&amp;DOC_NAME=FAT:FQL_AUDITING_CLIENT_TEMPLATE.FAT&amp;display_string=Audit&amp;VAR:KEY=CNIPWXQXQD&amp;VAR:QUERY=UkdGX1RBWF9SQVRFKEFOTiwwLCwsLCwsTk9BVURJVCk=&amp;WINDOW=FIRST_POPUP&amp;HEIGHT=450&amp;WIDTH=450&amp;","START_MAXIMIZED=FALSE&amp;VAR:CALENDAR=US&amp;VAR:SYMBOL=UA&amp;VAR:INDEX=0"}</definedName>
    <definedName name="_278__FDSAUDITLINK__" localSheetId="3" hidden="1">{"fdsup://directions/FAT Viewer?action=UPDATE&amp;creator=factset&amp;DYN_ARGS=TRUE&amp;DOC_NAME=FAT:FQL_AUDITING_CLIENT_TEMPLATE.FAT&amp;display_string=Audit&amp;VAR:KEY=WXQFYRMFGN&amp;VAR:QUERY=RkZfTkVUX0lOQyhMVE0sMCwsLCwsTSk=&amp;WINDOW=FIRST_POPUP&amp;HEIGHT=450&amp;WIDTH=450&amp;START_MAXIMI","ZED=FALSE&amp;VAR:CALENDAR=US&amp;VAR:SYMBOL=CLSC6-BR&amp;VAR:INDEX=0"}</definedName>
    <definedName name="_278__FDSAUDITLINK__" localSheetId="7" hidden="1">{"fdsup://directions/FAT Viewer?action=UPDATE&amp;creator=factset&amp;DYN_ARGS=TRUE&amp;DOC_NAME=FAT:FQL_AUDITING_CLIENT_TEMPLATE.FAT&amp;display_string=Audit&amp;VAR:KEY=WXQFYRMFGN&amp;VAR:QUERY=RkZfTkVUX0lOQyhMVE0sMCwsLCwsTSk=&amp;WINDOW=FIRST_POPUP&amp;HEIGHT=450&amp;WIDTH=450&amp;START_MAXIMI","ZED=FALSE&amp;VAR:CALENDAR=US&amp;VAR:SYMBOL=CLSC6-BR&amp;VAR:INDEX=0"}</definedName>
    <definedName name="_278__FDSAUDITLINK__" hidden="1">{"fdsup://directions/FAT Viewer?action=UPDATE&amp;creator=factset&amp;DYN_ARGS=TRUE&amp;DOC_NAME=FAT:FQL_AUDITING_CLIENT_TEMPLATE.FAT&amp;display_string=Audit&amp;VAR:KEY=WXQFYRMFGN&amp;VAR:QUERY=RkZfTkVUX0lOQyhMVE0sMCwsLCwsTSk=&amp;WINDOW=FIRST_POPUP&amp;HEIGHT=450&amp;WIDTH=450&amp;START_MAXIMI","ZED=FALSE&amp;VAR:CALENDAR=US&amp;VAR:SYMBOL=CLSC6-BR&amp;VAR:INDEX=0"}</definedName>
    <definedName name="_2780__FDSAUDITLINK__" localSheetId="3" hidden="1">{"fdsup://directions/FAT Viewer?action=UPDATE&amp;creator=factset&amp;DYN_ARGS=TRUE&amp;DOC_NAME=FAT:FQL_AUDITING_CLIENT_TEMPLATE.FAT&amp;display_string=Audit&amp;VAR:KEY=STQJYBUHMD&amp;VAR:QUERY=UkdGX1RBWF9SQVRFKEFOTiwwLCwsLCwsTk9BVURJVCk=&amp;WINDOW=FIRST_POPUP&amp;HEIGHT=450&amp;WIDTH=450&amp;","START_MAXIMIZED=FALSE&amp;VAR:CALENDAR=US&amp;VAR:SYMBOL=WFMI&amp;VAR:INDEX=0"}</definedName>
    <definedName name="_2780__FDSAUDITLINK__" localSheetId="7" hidden="1">{"fdsup://directions/FAT Viewer?action=UPDATE&amp;creator=factset&amp;DYN_ARGS=TRUE&amp;DOC_NAME=FAT:FQL_AUDITING_CLIENT_TEMPLATE.FAT&amp;display_string=Audit&amp;VAR:KEY=STQJYBUHMD&amp;VAR:QUERY=UkdGX1RBWF9SQVRFKEFOTiwwLCwsLCwsTk9BVURJVCk=&amp;WINDOW=FIRST_POPUP&amp;HEIGHT=450&amp;WIDTH=450&amp;","START_MAXIMIZED=FALSE&amp;VAR:CALENDAR=US&amp;VAR:SYMBOL=WFMI&amp;VAR:INDEX=0"}</definedName>
    <definedName name="_2780__FDSAUDITLINK__" hidden="1">{"fdsup://directions/FAT Viewer?action=UPDATE&amp;creator=factset&amp;DYN_ARGS=TRUE&amp;DOC_NAME=FAT:FQL_AUDITING_CLIENT_TEMPLATE.FAT&amp;display_string=Audit&amp;VAR:KEY=STQJYBUHMD&amp;VAR:QUERY=UkdGX1RBWF9SQVRFKEFOTiwwLCwsLCwsTk9BVURJVCk=&amp;WINDOW=FIRST_POPUP&amp;HEIGHT=450&amp;WIDTH=450&amp;","START_MAXIMIZED=FALSE&amp;VAR:CALENDAR=US&amp;VAR:SYMBOL=WFMI&amp;VAR:INDEX=0"}</definedName>
    <definedName name="_2781__FDSAUDITLINK__" localSheetId="3" hidden="1">{"fdsup://directions/FAT Viewer?action=UPDATE&amp;creator=factset&amp;DYN_ARGS=TRUE&amp;DOC_NAME=FAT:FQL_AUDITING_CLIENT_TEMPLATE.FAT&amp;display_string=Audit&amp;VAR:KEY=STQJYBUHMD&amp;VAR:QUERY=UkdGX1RBWF9SQVRFKEFOTiwwLCwsLCwsTk9BVURJVCk=&amp;WINDOW=FIRST_POPUP&amp;HEIGHT=450&amp;WIDTH=450&amp;","START_MAXIMIZED=FALSE&amp;VAR:CALENDAR=US&amp;VAR:SYMBOL=WFMI&amp;VAR:INDEX=0"}</definedName>
    <definedName name="_2781__FDSAUDITLINK__" localSheetId="7" hidden="1">{"fdsup://directions/FAT Viewer?action=UPDATE&amp;creator=factset&amp;DYN_ARGS=TRUE&amp;DOC_NAME=FAT:FQL_AUDITING_CLIENT_TEMPLATE.FAT&amp;display_string=Audit&amp;VAR:KEY=STQJYBUHMD&amp;VAR:QUERY=UkdGX1RBWF9SQVRFKEFOTiwwLCwsLCwsTk9BVURJVCk=&amp;WINDOW=FIRST_POPUP&amp;HEIGHT=450&amp;WIDTH=450&amp;","START_MAXIMIZED=FALSE&amp;VAR:CALENDAR=US&amp;VAR:SYMBOL=WFMI&amp;VAR:INDEX=0"}</definedName>
    <definedName name="_2781__FDSAUDITLINK__" hidden="1">{"fdsup://directions/FAT Viewer?action=UPDATE&amp;creator=factset&amp;DYN_ARGS=TRUE&amp;DOC_NAME=FAT:FQL_AUDITING_CLIENT_TEMPLATE.FAT&amp;display_string=Audit&amp;VAR:KEY=STQJYBUHMD&amp;VAR:QUERY=UkdGX1RBWF9SQVRFKEFOTiwwLCwsLCwsTk9BVURJVCk=&amp;WINDOW=FIRST_POPUP&amp;HEIGHT=450&amp;WIDTH=450&amp;","START_MAXIMIZED=FALSE&amp;VAR:CALENDAR=US&amp;VAR:SYMBOL=WFMI&amp;VAR:INDEX=0"}</definedName>
    <definedName name="_2782__FDSAUDITLINK__" localSheetId="3" hidden="1">{"fdsup://directions/FAT Viewer?action=UPDATE&amp;creator=factset&amp;DYN_ARGS=TRUE&amp;DOC_NAME=FAT:FQL_AUDITING_CLIENT_TEMPLATE.FAT&amp;display_string=Audit&amp;VAR:KEY=MDUFGPSZEV&amp;VAR:QUERY=UkdGX1RBWF9SQVRFKEFOTiwwLCwsLCwsTk9BVURJVCk=&amp;WINDOW=FIRST_POPUP&amp;HEIGHT=450&amp;WIDTH=450&amp;","START_MAXIMIZED=FALSE&amp;VAR:CALENDAR=US&amp;VAR:SYMBOL=LULU&amp;VAR:INDEX=0"}</definedName>
    <definedName name="_2782__FDSAUDITLINK__" localSheetId="7" hidden="1">{"fdsup://directions/FAT Viewer?action=UPDATE&amp;creator=factset&amp;DYN_ARGS=TRUE&amp;DOC_NAME=FAT:FQL_AUDITING_CLIENT_TEMPLATE.FAT&amp;display_string=Audit&amp;VAR:KEY=MDUFGPSZEV&amp;VAR:QUERY=UkdGX1RBWF9SQVRFKEFOTiwwLCwsLCwsTk9BVURJVCk=&amp;WINDOW=FIRST_POPUP&amp;HEIGHT=450&amp;WIDTH=450&amp;","START_MAXIMIZED=FALSE&amp;VAR:CALENDAR=US&amp;VAR:SYMBOL=LULU&amp;VAR:INDEX=0"}</definedName>
    <definedName name="_2782__FDSAUDITLINK__" hidden="1">{"fdsup://directions/FAT Viewer?action=UPDATE&amp;creator=factset&amp;DYN_ARGS=TRUE&amp;DOC_NAME=FAT:FQL_AUDITING_CLIENT_TEMPLATE.FAT&amp;display_string=Audit&amp;VAR:KEY=MDUFGPSZEV&amp;VAR:QUERY=UkdGX1RBWF9SQVRFKEFOTiwwLCwsLCwsTk9BVURJVCk=&amp;WINDOW=FIRST_POPUP&amp;HEIGHT=450&amp;WIDTH=450&amp;","START_MAXIMIZED=FALSE&amp;VAR:CALENDAR=US&amp;VAR:SYMBOL=LULU&amp;VAR:INDEX=0"}</definedName>
    <definedName name="_2783__FDSAUDITLINK__" localSheetId="3" hidden="1">{"fdsup://directions/FAT Viewer?action=UPDATE&amp;creator=factset&amp;DYN_ARGS=TRUE&amp;DOC_NAME=FAT:FQL_AUDITING_CLIENT_TEMPLATE.FAT&amp;display_string=Audit&amp;VAR:KEY=MDUFGPSZEV&amp;VAR:QUERY=UkdGX1RBWF9SQVRFKEFOTiwwLCwsLCwsTk9BVURJVCk=&amp;WINDOW=FIRST_POPUP&amp;HEIGHT=450&amp;WIDTH=450&amp;","START_MAXIMIZED=FALSE&amp;VAR:CALENDAR=US&amp;VAR:SYMBOL=LULU&amp;VAR:INDEX=0"}</definedName>
    <definedName name="_2783__FDSAUDITLINK__" localSheetId="7" hidden="1">{"fdsup://directions/FAT Viewer?action=UPDATE&amp;creator=factset&amp;DYN_ARGS=TRUE&amp;DOC_NAME=FAT:FQL_AUDITING_CLIENT_TEMPLATE.FAT&amp;display_string=Audit&amp;VAR:KEY=MDUFGPSZEV&amp;VAR:QUERY=UkdGX1RBWF9SQVRFKEFOTiwwLCwsLCwsTk9BVURJVCk=&amp;WINDOW=FIRST_POPUP&amp;HEIGHT=450&amp;WIDTH=450&amp;","START_MAXIMIZED=FALSE&amp;VAR:CALENDAR=US&amp;VAR:SYMBOL=LULU&amp;VAR:INDEX=0"}</definedName>
    <definedName name="_2783__FDSAUDITLINK__" hidden="1">{"fdsup://directions/FAT Viewer?action=UPDATE&amp;creator=factset&amp;DYN_ARGS=TRUE&amp;DOC_NAME=FAT:FQL_AUDITING_CLIENT_TEMPLATE.FAT&amp;display_string=Audit&amp;VAR:KEY=MDUFGPSZEV&amp;VAR:QUERY=UkdGX1RBWF9SQVRFKEFOTiwwLCwsLCwsTk9BVURJVCk=&amp;WINDOW=FIRST_POPUP&amp;HEIGHT=450&amp;WIDTH=450&amp;","START_MAXIMIZED=FALSE&amp;VAR:CALENDAR=US&amp;VAR:SYMBOL=LULU&amp;VAR:INDEX=0"}</definedName>
    <definedName name="_2784__FDSAUDITLINK__" localSheetId="3" hidden="1">{"fdsup://directions/FAT Viewer?action=UPDATE&amp;creator=factset&amp;DYN_ARGS=TRUE&amp;DOC_NAME=FAT:FQL_AUDITING_CLIENT_TEMPLATE.FAT&amp;display_string=Audit&amp;VAR:KEY=EVQRGXELMD&amp;VAR:QUERY=UkdGX1RBWF9SQVRFKEFOTiwwLCwsLCwsTk9BVURJVCk=&amp;WINDOW=FIRST_POPUP&amp;HEIGHT=450&amp;WIDTH=450&amp;","START_MAXIMIZED=FALSE&amp;VAR:CALENDAR=US&amp;VAR:SYMBOL=VPRT&amp;VAR:INDEX=0"}</definedName>
    <definedName name="_2784__FDSAUDITLINK__" localSheetId="7" hidden="1">{"fdsup://directions/FAT Viewer?action=UPDATE&amp;creator=factset&amp;DYN_ARGS=TRUE&amp;DOC_NAME=FAT:FQL_AUDITING_CLIENT_TEMPLATE.FAT&amp;display_string=Audit&amp;VAR:KEY=EVQRGXELMD&amp;VAR:QUERY=UkdGX1RBWF9SQVRFKEFOTiwwLCwsLCwsTk9BVURJVCk=&amp;WINDOW=FIRST_POPUP&amp;HEIGHT=450&amp;WIDTH=450&amp;","START_MAXIMIZED=FALSE&amp;VAR:CALENDAR=US&amp;VAR:SYMBOL=VPRT&amp;VAR:INDEX=0"}</definedName>
    <definedName name="_2784__FDSAUDITLINK__" hidden="1">{"fdsup://directions/FAT Viewer?action=UPDATE&amp;creator=factset&amp;DYN_ARGS=TRUE&amp;DOC_NAME=FAT:FQL_AUDITING_CLIENT_TEMPLATE.FAT&amp;display_string=Audit&amp;VAR:KEY=EVQRGXELMD&amp;VAR:QUERY=UkdGX1RBWF9SQVRFKEFOTiwwLCwsLCwsTk9BVURJVCk=&amp;WINDOW=FIRST_POPUP&amp;HEIGHT=450&amp;WIDTH=450&amp;","START_MAXIMIZED=FALSE&amp;VAR:CALENDAR=US&amp;VAR:SYMBOL=VPRT&amp;VAR:INDEX=0"}</definedName>
    <definedName name="_2785__FDSAUDITLINK__" localSheetId="3" hidden="1">{"fdsup://directions/FAT Viewer?action=UPDATE&amp;creator=factset&amp;DYN_ARGS=TRUE&amp;DOC_NAME=FAT:FQL_AUDITING_CLIENT_TEMPLATE.FAT&amp;display_string=Audit&amp;VAR:KEY=EVQRGXELMD&amp;VAR:QUERY=UkdGX1RBWF9SQVRFKEFOTiwwLCwsLCwsTk9BVURJVCk=&amp;WINDOW=FIRST_POPUP&amp;HEIGHT=450&amp;WIDTH=450&amp;","START_MAXIMIZED=FALSE&amp;VAR:CALENDAR=US&amp;VAR:SYMBOL=VPRT&amp;VAR:INDEX=0"}</definedName>
    <definedName name="_2785__FDSAUDITLINK__" localSheetId="7" hidden="1">{"fdsup://directions/FAT Viewer?action=UPDATE&amp;creator=factset&amp;DYN_ARGS=TRUE&amp;DOC_NAME=FAT:FQL_AUDITING_CLIENT_TEMPLATE.FAT&amp;display_string=Audit&amp;VAR:KEY=EVQRGXELMD&amp;VAR:QUERY=UkdGX1RBWF9SQVRFKEFOTiwwLCwsLCwsTk9BVURJVCk=&amp;WINDOW=FIRST_POPUP&amp;HEIGHT=450&amp;WIDTH=450&amp;","START_MAXIMIZED=FALSE&amp;VAR:CALENDAR=US&amp;VAR:SYMBOL=VPRT&amp;VAR:INDEX=0"}</definedName>
    <definedName name="_2785__FDSAUDITLINK__" hidden="1">{"fdsup://directions/FAT Viewer?action=UPDATE&amp;creator=factset&amp;DYN_ARGS=TRUE&amp;DOC_NAME=FAT:FQL_AUDITING_CLIENT_TEMPLATE.FAT&amp;display_string=Audit&amp;VAR:KEY=EVQRGXELMD&amp;VAR:QUERY=UkdGX1RBWF9SQVRFKEFOTiwwLCwsLCwsTk9BVURJVCk=&amp;WINDOW=FIRST_POPUP&amp;HEIGHT=450&amp;WIDTH=450&amp;","START_MAXIMIZED=FALSE&amp;VAR:CALENDAR=US&amp;VAR:SYMBOL=VPRT&amp;VAR:INDEX=0"}</definedName>
    <definedName name="_2786__FDSAUDITLINK__" localSheetId="3" hidden="1">{"fdsup://directions/FAT Viewer?action=UPDATE&amp;creator=factset&amp;DYN_ARGS=TRUE&amp;DOC_NAME=FAT:FQL_AUDITING_CLIENT_TEMPLATE.FAT&amp;display_string=Audit&amp;VAR:KEY=KVAJCFENQV&amp;VAR:QUERY=UkdGX1RBWF9SQVRFKEFOTiwwLCwsLCwsTk9BVURJVCk=&amp;WINDOW=FIRST_POPUP&amp;HEIGHT=450&amp;WIDTH=450&amp;","START_MAXIMIZED=FALSE&amp;VAR:CALENDAR=US&amp;VAR:SYMBOL=OWW&amp;VAR:INDEX=0"}</definedName>
    <definedName name="_2786__FDSAUDITLINK__" localSheetId="7" hidden="1">{"fdsup://directions/FAT Viewer?action=UPDATE&amp;creator=factset&amp;DYN_ARGS=TRUE&amp;DOC_NAME=FAT:FQL_AUDITING_CLIENT_TEMPLATE.FAT&amp;display_string=Audit&amp;VAR:KEY=KVAJCFENQV&amp;VAR:QUERY=UkdGX1RBWF9SQVRFKEFOTiwwLCwsLCwsTk9BVURJVCk=&amp;WINDOW=FIRST_POPUP&amp;HEIGHT=450&amp;WIDTH=450&amp;","START_MAXIMIZED=FALSE&amp;VAR:CALENDAR=US&amp;VAR:SYMBOL=OWW&amp;VAR:INDEX=0"}</definedName>
    <definedName name="_2786__FDSAUDITLINK__" hidden="1">{"fdsup://directions/FAT Viewer?action=UPDATE&amp;creator=factset&amp;DYN_ARGS=TRUE&amp;DOC_NAME=FAT:FQL_AUDITING_CLIENT_TEMPLATE.FAT&amp;display_string=Audit&amp;VAR:KEY=KVAJCFENQV&amp;VAR:QUERY=UkdGX1RBWF9SQVRFKEFOTiwwLCwsLCwsTk9BVURJVCk=&amp;WINDOW=FIRST_POPUP&amp;HEIGHT=450&amp;WIDTH=450&amp;","START_MAXIMIZED=FALSE&amp;VAR:CALENDAR=US&amp;VAR:SYMBOL=OWW&amp;VAR:INDEX=0"}</definedName>
    <definedName name="_2787__FDSAUDITLINK__" localSheetId="3" hidden="1">{"fdsup://directions/FAT Viewer?action=UPDATE&amp;creator=factset&amp;DYN_ARGS=TRUE&amp;DOC_NAME=FAT:FQL_AUDITING_CLIENT_TEMPLATE.FAT&amp;display_string=Audit&amp;VAR:KEY=OBCZKHGZMH&amp;VAR:QUERY=UkdGX1RBWF9SQVRFKEFOTiwwLCwsLCwsTk9BVURJVCk=&amp;WINDOW=FIRST_POPUP&amp;HEIGHT=450&amp;WIDTH=450&amp;","START_MAXIMIZED=FALSE&amp;VAR:CALENDAR=US&amp;VAR:SYMBOL=NTES&amp;VAR:INDEX=0"}</definedName>
    <definedName name="_2787__FDSAUDITLINK__" localSheetId="7" hidden="1">{"fdsup://directions/FAT Viewer?action=UPDATE&amp;creator=factset&amp;DYN_ARGS=TRUE&amp;DOC_NAME=FAT:FQL_AUDITING_CLIENT_TEMPLATE.FAT&amp;display_string=Audit&amp;VAR:KEY=OBCZKHGZMH&amp;VAR:QUERY=UkdGX1RBWF9SQVRFKEFOTiwwLCwsLCwsTk9BVURJVCk=&amp;WINDOW=FIRST_POPUP&amp;HEIGHT=450&amp;WIDTH=450&amp;","START_MAXIMIZED=FALSE&amp;VAR:CALENDAR=US&amp;VAR:SYMBOL=NTES&amp;VAR:INDEX=0"}</definedName>
    <definedName name="_2787__FDSAUDITLINK__" hidden="1">{"fdsup://directions/FAT Viewer?action=UPDATE&amp;creator=factset&amp;DYN_ARGS=TRUE&amp;DOC_NAME=FAT:FQL_AUDITING_CLIENT_TEMPLATE.FAT&amp;display_string=Audit&amp;VAR:KEY=OBCZKHGZMH&amp;VAR:QUERY=UkdGX1RBWF9SQVRFKEFOTiwwLCwsLCwsTk9BVURJVCk=&amp;WINDOW=FIRST_POPUP&amp;HEIGHT=450&amp;WIDTH=450&amp;","START_MAXIMIZED=FALSE&amp;VAR:CALENDAR=US&amp;VAR:SYMBOL=NTES&amp;VAR:INDEX=0"}</definedName>
    <definedName name="_2788__FDSAUDITLINK__" localSheetId="3" hidden="1">{"fdsup://directions/FAT Viewer?action=UPDATE&amp;creator=factset&amp;DYN_ARGS=TRUE&amp;DOC_NAME=FAT:FQL_AUDITING_CLIENT_TEMPLATE.FAT&amp;display_string=Audit&amp;VAR:KEY=OBCZKHGZMH&amp;VAR:QUERY=UkdGX1RBWF9SQVRFKEFOTiwwLCwsLCwsTk9BVURJVCk=&amp;WINDOW=FIRST_POPUP&amp;HEIGHT=450&amp;WIDTH=450&amp;","START_MAXIMIZED=FALSE&amp;VAR:CALENDAR=US&amp;VAR:SYMBOL=NTES&amp;VAR:INDEX=0"}</definedName>
    <definedName name="_2788__FDSAUDITLINK__" localSheetId="7" hidden="1">{"fdsup://directions/FAT Viewer?action=UPDATE&amp;creator=factset&amp;DYN_ARGS=TRUE&amp;DOC_NAME=FAT:FQL_AUDITING_CLIENT_TEMPLATE.FAT&amp;display_string=Audit&amp;VAR:KEY=OBCZKHGZMH&amp;VAR:QUERY=UkdGX1RBWF9SQVRFKEFOTiwwLCwsLCwsTk9BVURJVCk=&amp;WINDOW=FIRST_POPUP&amp;HEIGHT=450&amp;WIDTH=450&amp;","START_MAXIMIZED=FALSE&amp;VAR:CALENDAR=US&amp;VAR:SYMBOL=NTES&amp;VAR:INDEX=0"}</definedName>
    <definedName name="_2788__FDSAUDITLINK__" hidden="1">{"fdsup://directions/FAT Viewer?action=UPDATE&amp;creator=factset&amp;DYN_ARGS=TRUE&amp;DOC_NAME=FAT:FQL_AUDITING_CLIENT_TEMPLATE.FAT&amp;display_string=Audit&amp;VAR:KEY=OBCZKHGZMH&amp;VAR:QUERY=UkdGX1RBWF9SQVRFKEFOTiwwLCwsLCwsTk9BVURJVCk=&amp;WINDOW=FIRST_POPUP&amp;HEIGHT=450&amp;WIDTH=450&amp;","START_MAXIMIZED=FALSE&amp;VAR:CALENDAR=US&amp;VAR:SYMBOL=NTES&amp;VAR:INDEX=0"}</definedName>
    <definedName name="_2789__FDSAUDITLINK__" localSheetId="3" hidden="1">{"fdsup://directions/FAT Viewer?action=UPDATE&amp;creator=factset&amp;DYN_ARGS=TRUE&amp;DOC_NAME=FAT:FQL_AUDITING_CLIENT_TEMPLATE.FAT&amp;display_string=Audit&amp;VAR:KEY=WRKNWNOJWZ&amp;VAR:QUERY=UkdGX1RBWF9SQVRFKEFOTiwwLCwsLCwsTk9BVURJVCk=&amp;WINDOW=FIRST_POPUP&amp;HEIGHT=450&amp;WIDTH=450&amp;","START_MAXIMIZED=FALSE&amp;VAR:CALENDAR=US&amp;VAR:SYMBOL=YHOO&amp;VAR:INDEX=0"}</definedName>
    <definedName name="_2789__FDSAUDITLINK__" localSheetId="7" hidden="1">{"fdsup://directions/FAT Viewer?action=UPDATE&amp;creator=factset&amp;DYN_ARGS=TRUE&amp;DOC_NAME=FAT:FQL_AUDITING_CLIENT_TEMPLATE.FAT&amp;display_string=Audit&amp;VAR:KEY=WRKNWNOJWZ&amp;VAR:QUERY=UkdGX1RBWF9SQVRFKEFOTiwwLCwsLCwsTk9BVURJVCk=&amp;WINDOW=FIRST_POPUP&amp;HEIGHT=450&amp;WIDTH=450&amp;","START_MAXIMIZED=FALSE&amp;VAR:CALENDAR=US&amp;VAR:SYMBOL=YHOO&amp;VAR:INDEX=0"}</definedName>
    <definedName name="_2789__FDSAUDITLINK__" hidden="1">{"fdsup://directions/FAT Viewer?action=UPDATE&amp;creator=factset&amp;DYN_ARGS=TRUE&amp;DOC_NAME=FAT:FQL_AUDITING_CLIENT_TEMPLATE.FAT&amp;display_string=Audit&amp;VAR:KEY=WRKNWNOJWZ&amp;VAR:QUERY=UkdGX1RBWF9SQVRFKEFOTiwwLCwsLCwsTk9BVURJVCk=&amp;WINDOW=FIRST_POPUP&amp;HEIGHT=450&amp;WIDTH=450&amp;","START_MAXIMIZED=FALSE&amp;VAR:CALENDAR=US&amp;VAR:SYMBOL=YHOO&amp;VAR:INDEX=0"}</definedName>
    <definedName name="_279__FDSAUDITLINK__" localSheetId="3" hidden="1">{"fdsup://directions/FAT Viewer?action=UPDATE&amp;creator=factset&amp;DYN_ARGS=TRUE&amp;DOC_NAME=FAT:FQL_AUDITING_CLIENT_TEMPLATE.FAT&amp;display_string=Audit&amp;VAR:KEY=JUPSTKZUFW&amp;VAR:QUERY=RkZfTkVUX0lOQyhMVE0sMCwsLCwsTSk=&amp;WINDOW=FIRST_POPUP&amp;HEIGHT=450&amp;WIDTH=450&amp;START_MAXIMI","ZED=FALSE&amp;VAR:CALENDAR=US&amp;VAR:SYMBOL=B07C76&amp;VAR:INDEX=0"}</definedName>
    <definedName name="_279__FDSAUDITLINK__" localSheetId="7" hidden="1">{"fdsup://directions/FAT Viewer?action=UPDATE&amp;creator=factset&amp;DYN_ARGS=TRUE&amp;DOC_NAME=FAT:FQL_AUDITING_CLIENT_TEMPLATE.FAT&amp;display_string=Audit&amp;VAR:KEY=JUPSTKZUFW&amp;VAR:QUERY=RkZfTkVUX0lOQyhMVE0sMCwsLCwsTSk=&amp;WINDOW=FIRST_POPUP&amp;HEIGHT=450&amp;WIDTH=450&amp;START_MAXIMI","ZED=FALSE&amp;VAR:CALENDAR=US&amp;VAR:SYMBOL=B07C76&amp;VAR:INDEX=0"}</definedName>
    <definedName name="_279__FDSAUDITLINK__" hidden="1">{"fdsup://directions/FAT Viewer?action=UPDATE&amp;creator=factset&amp;DYN_ARGS=TRUE&amp;DOC_NAME=FAT:FQL_AUDITING_CLIENT_TEMPLATE.FAT&amp;display_string=Audit&amp;VAR:KEY=JUPSTKZUFW&amp;VAR:QUERY=RkZfTkVUX0lOQyhMVE0sMCwsLCwsTSk=&amp;WINDOW=FIRST_POPUP&amp;HEIGHT=450&amp;WIDTH=450&amp;START_MAXIMI","ZED=FALSE&amp;VAR:CALENDAR=US&amp;VAR:SYMBOL=B07C76&amp;VAR:INDEX=0"}</definedName>
    <definedName name="_2790__FDSAUDITLINK__" localSheetId="3" hidden="1">{"fdsup://directions/FAT Viewer?action=UPDATE&amp;creator=factset&amp;DYN_ARGS=TRUE&amp;DOC_NAME=FAT:FQL_AUDITING_CLIENT_TEMPLATE.FAT&amp;display_string=Audit&amp;VAR:KEY=WRKNWNOJWZ&amp;VAR:QUERY=UkdGX1RBWF9SQVRFKEFOTiwwLCwsLCwsTk9BVURJVCk=&amp;WINDOW=FIRST_POPUP&amp;HEIGHT=450&amp;WIDTH=450&amp;","START_MAXIMIZED=FALSE&amp;VAR:CALENDAR=US&amp;VAR:SYMBOL=YHOO&amp;VAR:INDEX=0"}</definedName>
    <definedName name="_2790__FDSAUDITLINK__" localSheetId="7" hidden="1">{"fdsup://directions/FAT Viewer?action=UPDATE&amp;creator=factset&amp;DYN_ARGS=TRUE&amp;DOC_NAME=FAT:FQL_AUDITING_CLIENT_TEMPLATE.FAT&amp;display_string=Audit&amp;VAR:KEY=WRKNWNOJWZ&amp;VAR:QUERY=UkdGX1RBWF9SQVRFKEFOTiwwLCwsLCwsTk9BVURJVCk=&amp;WINDOW=FIRST_POPUP&amp;HEIGHT=450&amp;WIDTH=450&amp;","START_MAXIMIZED=FALSE&amp;VAR:CALENDAR=US&amp;VAR:SYMBOL=YHOO&amp;VAR:INDEX=0"}</definedName>
    <definedName name="_2790__FDSAUDITLINK__" hidden="1">{"fdsup://directions/FAT Viewer?action=UPDATE&amp;creator=factset&amp;DYN_ARGS=TRUE&amp;DOC_NAME=FAT:FQL_AUDITING_CLIENT_TEMPLATE.FAT&amp;display_string=Audit&amp;VAR:KEY=WRKNWNOJWZ&amp;VAR:QUERY=UkdGX1RBWF9SQVRFKEFOTiwwLCwsLCwsTk9BVURJVCk=&amp;WINDOW=FIRST_POPUP&amp;HEIGHT=450&amp;WIDTH=450&amp;","START_MAXIMIZED=FALSE&amp;VAR:CALENDAR=US&amp;VAR:SYMBOL=YHOO&amp;VAR:INDEX=0"}</definedName>
    <definedName name="_2791__FDSAUDITLINK__" localSheetId="3" hidden="1">{"fdsup://directions/FAT Viewer?action=UPDATE&amp;creator=factset&amp;DYN_ARGS=TRUE&amp;DOC_NAME=FAT:FQL_AUDITING_CLIENT_TEMPLATE.FAT&amp;display_string=Audit&amp;VAR:KEY=KHYXEBKNYX&amp;VAR:QUERY=UkdGX1RBWF9SQVRFKEFOTiwwLCwsLCwsTk9BVURJVCk=&amp;WINDOW=FIRST_POPUP&amp;HEIGHT=450&amp;WIDTH=450&amp;","START_MAXIMIZED=FALSE&amp;VAR:CALENDAR=US&amp;VAR:SYMBOL=B3DMTY&amp;VAR:INDEX=0"}</definedName>
    <definedName name="_2791__FDSAUDITLINK__" localSheetId="7" hidden="1">{"fdsup://directions/FAT Viewer?action=UPDATE&amp;creator=factset&amp;DYN_ARGS=TRUE&amp;DOC_NAME=FAT:FQL_AUDITING_CLIENT_TEMPLATE.FAT&amp;display_string=Audit&amp;VAR:KEY=KHYXEBKNYX&amp;VAR:QUERY=UkdGX1RBWF9SQVRFKEFOTiwwLCwsLCwsTk9BVURJVCk=&amp;WINDOW=FIRST_POPUP&amp;HEIGHT=450&amp;WIDTH=450&amp;","START_MAXIMIZED=FALSE&amp;VAR:CALENDAR=US&amp;VAR:SYMBOL=B3DMTY&amp;VAR:INDEX=0"}</definedName>
    <definedName name="_2791__FDSAUDITLINK__" hidden="1">{"fdsup://directions/FAT Viewer?action=UPDATE&amp;creator=factset&amp;DYN_ARGS=TRUE&amp;DOC_NAME=FAT:FQL_AUDITING_CLIENT_TEMPLATE.FAT&amp;display_string=Audit&amp;VAR:KEY=KHYXEBKNYX&amp;VAR:QUERY=UkdGX1RBWF9SQVRFKEFOTiwwLCwsLCwsTk9BVURJVCk=&amp;WINDOW=FIRST_POPUP&amp;HEIGHT=450&amp;WIDTH=450&amp;","START_MAXIMIZED=FALSE&amp;VAR:CALENDAR=US&amp;VAR:SYMBOL=B3DMTY&amp;VAR:INDEX=0"}</definedName>
    <definedName name="_2792__FDSAUDITLINK__" localSheetId="3" hidden="1">{"fdsup://directions/FAT Viewer?action=UPDATE&amp;creator=factset&amp;DYN_ARGS=TRUE&amp;DOC_NAME=FAT:FQL_AUDITING_CLIENT_TEMPLATE.FAT&amp;display_string=Audit&amp;VAR:KEY=KHYXEBKNYX&amp;VAR:QUERY=UkdGX1RBWF9SQVRFKEFOTiwwLCwsLCwsTk9BVURJVCk=&amp;WINDOW=FIRST_POPUP&amp;HEIGHT=450&amp;WIDTH=450&amp;","START_MAXIMIZED=FALSE&amp;VAR:CALENDAR=US&amp;VAR:SYMBOL=B3DMTY&amp;VAR:INDEX=0"}</definedName>
    <definedName name="_2792__FDSAUDITLINK__" localSheetId="7" hidden="1">{"fdsup://directions/FAT Viewer?action=UPDATE&amp;creator=factset&amp;DYN_ARGS=TRUE&amp;DOC_NAME=FAT:FQL_AUDITING_CLIENT_TEMPLATE.FAT&amp;display_string=Audit&amp;VAR:KEY=KHYXEBKNYX&amp;VAR:QUERY=UkdGX1RBWF9SQVRFKEFOTiwwLCwsLCwsTk9BVURJVCk=&amp;WINDOW=FIRST_POPUP&amp;HEIGHT=450&amp;WIDTH=450&amp;","START_MAXIMIZED=FALSE&amp;VAR:CALENDAR=US&amp;VAR:SYMBOL=B3DMTY&amp;VAR:INDEX=0"}</definedName>
    <definedName name="_2792__FDSAUDITLINK__" hidden="1">{"fdsup://directions/FAT Viewer?action=UPDATE&amp;creator=factset&amp;DYN_ARGS=TRUE&amp;DOC_NAME=FAT:FQL_AUDITING_CLIENT_TEMPLATE.FAT&amp;display_string=Audit&amp;VAR:KEY=KHYXEBKNYX&amp;VAR:QUERY=UkdGX1RBWF9SQVRFKEFOTiwwLCwsLCwsTk9BVURJVCk=&amp;WINDOW=FIRST_POPUP&amp;HEIGHT=450&amp;WIDTH=450&amp;","START_MAXIMIZED=FALSE&amp;VAR:CALENDAR=US&amp;VAR:SYMBOL=B3DMTY&amp;VAR:INDEX=0"}</definedName>
    <definedName name="_2793__FDSAUDITLINK__" localSheetId="3" hidden="1">{"fdsup://directions/FAT Viewer?action=UPDATE&amp;creator=factset&amp;DYN_ARGS=TRUE&amp;DOC_NAME=FAT:FQL_AUDITING_CLIENT_TEMPLATE.FAT&amp;display_string=Audit&amp;VAR:KEY=SVSBIJEBMB&amp;VAR:QUERY=UkdGX1RBWF9SQVRFKEFOTiwwLCwsLCwsTk9BVURJVCk=&amp;WINDOW=FIRST_POPUP&amp;HEIGHT=450&amp;WIDTH=450&amp;","START_MAXIMIZED=FALSE&amp;VAR:CALENDAR=US&amp;VAR:SYMBOL=WSTM&amp;VAR:INDEX=0"}</definedName>
    <definedName name="_2793__FDSAUDITLINK__" localSheetId="7" hidden="1">{"fdsup://directions/FAT Viewer?action=UPDATE&amp;creator=factset&amp;DYN_ARGS=TRUE&amp;DOC_NAME=FAT:FQL_AUDITING_CLIENT_TEMPLATE.FAT&amp;display_string=Audit&amp;VAR:KEY=SVSBIJEBMB&amp;VAR:QUERY=UkdGX1RBWF9SQVRFKEFOTiwwLCwsLCwsTk9BVURJVCk=&amp;WINDOW=FIRST_POPUP&amp;HEIGHT=450&amp;WIDTH=450&amp;","START_MAXIMIZED=FALSE&amp;VAR:CALENDAR=US&amp;VAR:SYMBOL=WSTM&amp;VAR:INDEX=0"}</definedName>
    <definedName name="_2793__FDSAUDITLINK__" hidden="1">{"fdsup://directions/FAT Viewer?action=UPDATE&amp;creator=factset&amp;DYN_ARGS=TRUE&amp;DOC_NAME=FAT:FQL_AUDITING_CLIENT_TEMPLATE.FAT&amp;display_string=Audit&amp;VAR:KEY=SVSBIJEBMB&amp;VAR:QUERY=UkdGX1RBWF9SQVRFKEFOTiwwLCwsLCwsTk9BVURJVCk=&amp;WINDOW=FIRST_POPUP&amp;HEIGHT=450&amp;WIDTH=450&amp;","START_MAXIMIZED=FALSE&amp;VAR:CALENDAR=US&amp;VAR:SYMBOL=WSTM&amp;VAR:INDEX=0"}</definedName>
    <definedName name="_2794__FDSAUDITLINK__" localSheetId="3" hidden="1">{"fdsup://directions/FAT Viewer?action=UPDATE&amp;creator=factset&amp;DYN_ARGS=TRUE&amp;DOC_NAME=FAT:FQL_AUDITING_CLIENT_TEMPLATE.FAT&amp;display_string=Audit&amp;VAR:KEY=MFQNKXSXYB&amp;VAR:QUERY=UkdGX1RBWF9SQVRFKEFOTiwwLCwsLCwsTk9BVURJVCk=&amp;WINDOW=FIRST_POPUP&amp;HEIGHT=450&amp;WIDTH=450&amp;","START_MAXIMIZED=FALSE&amp;VAR:CALENDAR=US&amp;VAR:SYMBOL=WSPI&amp;VAR:INDEX=0"}</definedName>
    <definedName name="_2794__FDSAUDITLINK__" localSheetId="7" hidden="1">{"fdsup://directions/FAT Viewer?action=UPDATE&amp;creator=factset&amp;DYN_ARGS=TRUE&amp;DOC_NAME=FAT:FQL_AUDITING_CLIENT_TEMPLATE.FAT&amp;display_string=Audit&amp;VAR:KEY=MFQNKXSXYB&amp;VAR:QUERY=UkdGX1RBWF9SQVRFKEFOTiwwLCwsLCwsTk9BVURJVCk=&amp;WINDOW=FIRST_POPUP&amp;HEIGHT=450&amp;WIDTH=450&amp;","START_MAXIMIZED=FALSE&amp;VAR:CALENDAR=US&amp;VAR:SYMBOL=WSPI&amp;VAR:INDEX=0"}</definedName>
    <definedName name="_2794__FDSAUDITLINK__" hidden="1">{"fdsup://directions/FAT Viewer?action=UPDATE&amp;creator=factset&amp;DYN_ARGS=TRUE&amp;DOC_NAME=FAT:FQL_AUDITING_CLIENT_TEMPLATE.FAT&amp;display_string=Audit&amp;VAR:KEY=MFQNKXSXYB&amp;VAR:QUERY=UkdGX1RBWF9SQVRFKEFOTiwwLCwsLCwsTk9BVURJVCk=&amp;WINDOW=FIRST_POPUP&amp;HEIGHT=450&amp;WIDTH=450&amp;","START_MAXIMIZED=FALSE&amp;VAR:CALENDAR=US&amp;VAR:SYMBOL=WSPI&amp;VAR:INDEX=0"}</definedName>
    <definedName name="_2795__FDSAUDITLINK__" localSheetId="3" hidden="1">{"fdsup://directions/FAT Viewer?action=UPDATE&amp;creator=factset&amp;DYN_ARGS=TRUE&amp;DOC_NAME=FAT:FQL_AUDITING_CLIENT_TEMPLATE.FAT&amp;display_string=Audit&amp;VAR:KEY=YFODGXIVYL&amp;VAR:QUERY=UkdGX1RBWF9SQVRFKEFOTiwwLCwsLCwsTk9BVURJVCk=&amp;WINDOW=FIRST_POPUP&amp;HEIGHT=450&amp;WIDTH=450&amp;","START_MAXIMIZED=FALSE&amp;VAR:CALENDAR=US&amp;VAR:SYMBOL=WBSN&amp;VAR:INDEX=0"}</definedName>
    <definedName name="_2795__FDSAUDITLINK__" localSheetId="7" hidden="1">{"fdsup://directions/FAT Viewer?action=UPDATE&amp;creator=factset&amp;DYN_ARGS=TRUE&amp;DOC_NAME=FAT:FQL_AUDITING_CLIENT_TEMPLATE.FAT&amp;display_string=Audit&amp;VAR:KEY=YFODGXIVYL&amp;VAR:QUERY=UkdGX1RBWF9SQVRFKEFOTiwwLCwsLCwsTk9BVURJVCk=&amp;WINDOW=FIRST_POPUP&amp;HEIGHT=450&amp;WIDTH=450&amp;","START_MAXIMIZED=FALSE&amp;VAR:CALENDAR=US&amp;VAR:SYMBOL=WBSN&amp;VAR:INDEX=0"}</definedName>
    <definedName name="_2795__FDSAUDITLINK__" hidden="1">{"fdsup://directions/FAT Viewer?action=UPDATE&amp;creator=factset&amp;DYN_ARGS=TRUE&amp;DOC_NAME=FAT:FQL_AUDITING_CLIENT_TEMPLATE.FAT&amp;display_string=Audit&amp;VAR:KEY=YFODGXIVYL&amp;VAR:QUERY=UkdGX1RBWF9SQVRFKEFOTiwwLCwsLCwsTk9BVURJVCk=&amp;WINDOW=FIRST_POPUP&amp;HEIGHT=450&amp;WIDTH=450&amp;","START_MAXIMIZED=FALSE&amp;VAR:CALENDAR=US&amp;VAR:SYMBOL=WBSN&amp;VAR:INDEX=0"}</definedName>
    <definedName name="_2796__FDSAUDITLINK__" localSheetId="3" hidden="1">{"fdsup://directions/FAT Viewer?action=UPDATE&amp;creator=factset&amp;DYN_ARGS=TRUE&amp;DOC_NAME=FAT:FQL_AUDITING_CLIENT_TEMPLATE.FAT&amp;display_string=Audit&amp;VAR:KEY=YFODGXIVYL&amp;VAR:QUERY=UkdGX1RBWF9SQVRFKEFOTiwwLCwsLCwsTk9BVURJVCk=&amp;WINDOW=FIRST_POPUP&amp;HEIGHT=450&amp;WIDTH=450&amp;","START_MAXIMIZED=FALSE&amp;VAR:CALENDAR=US&amp;VAR:SYMBOL=WBSN&amp;VAR:INDEX=0"}</definedName>
    <definedName name="_2796__FDSAUDITLINK__" localSheetId="7" hidden="1">{"fdsup://directions/FAT Viewer?action=UPDATE&amp;creator=factset&amp;DYN_ARGS=TRUE&amp;DOC_NAME=FAT:FQL_AUDITING_CLIENT_TEMPLATE.FAT&amp;display_string=Audit&amp;VAR:KEY=YFODGXIVYL&amp;VAR:QUERY=UkdGX1RBWF9SQVRFKEFOTiwwLCwsLCwsTk9BVURJVCk=&amp;WINDOW=FIRST_POPUP&amp;HEIGHT=450&amp;WIDTH=450&amp;","START_MAXIMIZED=FALSE&amp;VAR:CALENDAR=US&amp;VAR:SYMBOL=WBSN&amp;VAR:INDEX=0"}</definedName>
    <definedName name="_2796__FDSAUDITLINK__" hidden="1">{"fdsup://directions/FAT Viewer?action=UPDATE&amp;creator=factset&amp;DYN_ARGS=TRUE&amp;DOC_NAME=FAT:FQL_AUDITING_CLIENT_TEMPLATE.FAT&amp;display_string=Audit&amp;VAR:KEY=YFODGXIVYL&amp;VAR:QUERY=UkdGX1RBWF9SQVRFKEFOTiwwLCwsLCwsTk9BVURJVCk=&amp;WINDOW=FIRST_POPUP&amp;HEIGHT=450&amp;WIDTH=450&amp;","START_MAXIMIZED=FALSE&amp;VAR:CALENDAR=US&amp;VAR:SYMBOL=WBSN&amp;VAR:INDEX=0"}</definedName>
    <definedName name="_2797__FDSAUDITLINK__" localSheetId="3" hidden="1">{"fdsup://directions/FAT Viewer?action=UPDATE&amp;creator=factset&amp;DYN_ARGS=TRUE&amp;DOC_NAME=FAT:FQL_AUDITING_CLIENT_TEMPLATE.FAT&amp;display_string=Audit&amp;VAR:KEY=ORIJKVOLIH&amp;VAR:QUERY=UkdGX1RBWF9SQVRFKEFOTiwwLCwsLCwsTk9BVURJVCk=&amp;WINDOW=FIRST_POPUP&amp;HEIGHT=450&amp;WIDTH=450&amp;","START_MAXIMIZED=FALSE&amp;VAR:CALENDAR=US&amp;VAR:SYMBOL=WBMD&amp;VAR:INDEX=0"}</definedName>
    <definedName name="_2797__FDSAUDITLINK__" localSheetId="7" hidden="1">{"fdsup://directions/FAT Viewer?action=UPDATE&amp;creator=factset&amp;DYN_ARGS=TRUE&amp;DOC_NAME=FAT:FQL_AUDITING_CLIENT_TEMPLATE.FAT&amp;display_string=Audit&amp;VAR:KEY=ORIJKVOLIH&amp;VAR:QUERY=UkdGX1RBWF9SQVRFKEFOTiwwLCwsLCwsTk9BVURJVCk=&amp;WINDOW=FIRST_POPUP&amp;HEIGHT=450&amp;WIDTH=450&amp;","START_MAXIMIZED=FALSE&amp;VAR:CALENDAR=US&amp;VAR:SYMBOL=WBMD&amp;VAR:INDEX=0"}</definedName>
    <definedName name="_2797__FDSAUDITLINK__" hidden="1">{"fdsup://directions/FAT Viewer?action=UPDATE&amp;creator=factset&amp;DYN_ARGS=TRUE&amp;DOC_NAME=FAT:FQL_AUDITING_CLIENT_TEMPLATE.FAT&amp;display_string=Audit&amp;VAR:KEY=ORIJKVOLIH&amp;VAR:QUERY=UkdGX1RBWF9SQVRFKEFOTiwwLCwsLCwsTk9BVURJVCk=&amp;WINDOW=FIRST_POPUP&amp;HEIGHT=450&amp;WIDTH=450&amp;","START_MAXIMIZED=FALSE&amp;VAR:CALENDAR=US&amp;VAR:SYMBOL=WBMD&amp;VAR:INDEX=0"}</definedName>
    <definedName name="_2798__FDSAUDITLINK__" localSheetId="3" hidden="1">{"fdsup://directions/FAT Viewer?action=UPDATE&amp;creator=factset&amp;DYN_ARGS=TRUE&amp;DOC_NAME=FAT:FQL_AUDITING_CLIENT_TEMPLATE.FAT&amp;display_string=Audit&amp;VAR:KEY=ORIJKVOLIH&amp;VAR:QUERY=UkdGX1RBWF9SQVRFKEFOTiwwLCwsLCwsTk9BVURJVCk=&amp;WINDOW=FIRST_POPUP&amp;HEIGHT=450&amp;WIDTH=450&amp;","START_MAXIMIZED=FALSE&amp;VAR:CALENDAR=US&amp;VAR:SYMBOL=WBMD&amp;VAR:INDEX=0"}</definedName>
    <definedName name="_2798__FDSAUDITLINK__" localSheetId="7" hidden="1">{"fdsup://directions/FAT Viewer?action=UPDATE&amp;creator=factset&amp;DYN_ARGS=TRUE&amp;DOC_NAME=FAT:FQL_AUDITING_CLIENT_TEMPLATE.FAT&amp;display_string=Audit&amp;VAR:KEY=ORIJKVOLIH&amp;VAR:QUERY=UkdGX1RBWF9SQVRFKEFOTiwwLCwsLCwsTk9BVURJVCk=&amp;WINDOW=FIRST_POPUP&amp;HEIGHT=450&amp;WIDTH=450&amp;","START_MAXIMIZED=FALSE&amp;VAR:CALENDAR=US&amp;VAR:SYMBOL=WBMD&amp;VAR:INDEX=0"}</definedName>
    <definedName name="_2798__FDSAUDITLINK__" hidden="1">{"fdsup://directions/FAT Viewer?action=UPDATE&amp;creator=factset&amp;DYN_ARGS=TRUE&amp;DOC_NAME=FAT:FQL_AUDITING_CLIENT_TEMPLATE.FAT&amp;display_string=Audit&amp;VAR:KEY=ORIJKVOLIH&amp;VAR:QUERY=UkdGX1RBWF9SQVRFKEFOTiwwLCwsLCwsTk9BVURJVCk=&amp;WINDOW=FIRST_POPUP&amp;HEIGHT=450&amp;WIDTH=450&amp;","START_MAXIMIZED=FALSE&amp;VAR:CALENDAR=US&amp;VAR:SYMBOL=WBMD&amp;VAR:INDEX=0"}</definedName>
    <definedName name="_2799__FDSAUDITLINK__" localSheetId="3" hidden="1">{"fdsup://directions/FAT Viewer?action=UPDATE&amp;creator=factset&amp;DYN_ARGS=TRUE&amp;DOC_NAME=FAT:FQL_AUDITING_CLIENT_TEMPLATE.FAT&amp;display_string=Audit&amp;VAR:KEY=IXMDKVWDYR&amp;VAR:QUERY=UkdGX1RBWF9SQVRFKEFOTiwwLCwsLCwsTk9BVURJVCk=&amp;WINDOW=FIRST_POPUP&amp;HEIGHT=450&amp;WIDTH=450&amp;","START_MAXIMIZED=FALSE&amp;VAR:CALENDAR=US&amp;VAR:SYMBOL=VOLT&amp;VAR:INDEX=0"}</definedName>
    <definedName name="_2799__FDSAUDITLINK__" localSheetId="7" hidden="1">{"fdsup://directions/FAT Viewer?action=UPDATE&amp;creator=factset&amp;DYN_ARGS=TRUE&amp;DOC_NAME=FAT:FQL_AUDITING_CLIENT_TEMPLATE.FAT&amp;display_string=Audit&amp;VAR:KEY=IXMDKVWDYR&amp;VAR:QUERY=UkdGX1RBWF9SQVRFKEFOTiwwLCwsLCwsTk9BVURJVCk=&amp;WINDOW=FIRST_POPUP&amp;HEIGHT=450&amp;WIDTH=450&amp;","START_MAXIMIZED=FALSE&amp;VAR:CALENDAR=US&amp;VAR:SYMBOL=VOLT&amp;VAR:INDEX=0"}</definedName>
    <definedName name="_2799__FDSAUDITLINK__" hidden="1">{"fdsup://directions/FAT Viewer?action=UPDATE&amp;creator=factset&amp;DYN_ARGS=TRUE&amp;DOC_NAME=FAT:FQL_AUDITING_CLIENT_TEMPLATE.FAT&amp;display_string=Audit&amp;VAR:KEY=IXMDKVWDYR&amp;VAR:QUERY=UkdGX1RBWF9SQVRFKEFOTiwwLCwsLCwsTk9BVURJVCk=&amp;WINDOW=FIRST_POPUP&amp;HEIGHT=450&amp;WIDTH=450&amp;","START_MAXIMIZED=FALSE&amp;VAR:CALENDAR=US&amp;VAR:SYMBOL=VOLT&amp;VAR:INDEX=0"}</definedName>
    <definedName name="_28__FDSAUDITLINK__" localSheetId="3" hidden="1">{"fdsup://Directions/FactSet Auditing Viewer?action=AUDIT_VALUE&amp;DB=129&amp;ID1=268453&amp;VALUEID=03426&amp;SDATE=2010&amp;PERIODTYPE=ANN_STD&amp;SCFT=3&amp;window=popup_no_bar&amp;width=385&amp;height=120&amp;START_MAXIMIZED=FALSE&amp;creator=factset&amp;display_string=Audit"}</definedName>
    <definedName name="_28__FDSAUDITLINK__" localSheetId="7" hidden="1">{"fdsup://Directions/FactSet Auditing Viewer?action=AUDIT_VALUE&amp;DB=129&amp;ID1=268453&amp;VALUEID=03426&amp;SDATE=2010&amp;PERIODTYPE=ANN_STD&amp;SCFT=3&amp;window=popup_no_bar&amp;width=385&amp;height=120&amp;START_MAXIMIZED=FALSE&amp;creator=factset&amp;display_string=Audit"}</definedName>
    <definedName name="_28__FDSAUDITLINK__" hidden="1">{"fdsup://Directions/FactSet Auditing Viewer?action=AUDIT_VALUE&amp;DB=129&amp;ID1=268453&amp;VALUEID=03426&amp;SDATE=2010&amp;PERIODTYPE=ANN_STD&amp;SCFT=3&amp;window=popup_no_bar&amp;width=385&amp;height=120&amp;START_MAXIMIZED=FALSE&amp;creator=factset&amp;display_string=Audit"}</definedName>
    <definedName name="_280__FDSAUDITLINK__" localSheetId="3" hidden="1">{"fdsup://directions/FAT Viewer?action=UPDATE&amp;creator=factset&amp;DYN_ARGS=TRUE&amp;DOC_NAME=FAT:FQL_AUDITING_CLIENT_TEMPLATE.FAT&amp;display_string=Audit&amp;VAR:KEY=VSNIPYTSNQ&amp;VAR:QUERY=RkZfRlJFRV9DRihBTk4sMCwtOSxZLFJQLFVTRCxNKQ==&amp;WINDOW=FIRST_POPUP&amp;HEIGHT=450&amp;WIDTH=450&amp;","START_MAXIMIZED=FALSE&amp;VAR:CALENDAR=US&amp;VAR:SYMBOL=B10LQP&amp;VAR:INDEX=1"}</definedName>
    <definedName name="_280__FDSAUDITLINK__" localSheetId="7" hidden="1">{"fdsup://directions/FAT Viewer?action=UPDATE&amp;creator=factset&amp;DYN_ARGS=TRUE&amp;DOC_NAME=FAT:FQL_AUDITING_CLIENT_TEMPLATE.FAT&amp;display_string=Audit&amp;VAR:KEY=VSNIPYTSNQ&amp;VAR:QUERY=RkZfRlJFRV9DRihBTk4sMCwtOSxZLFJQLFVTRCxNKQ==&amp;WINDOW=FIRST_POPUP&amp;HEIGHT=450&amp;WIDTH=450&amp;","START_MAXIMIZED=FALSE&amp;VAR:CALENDAR=US&amp;VAR:SYMBOL=B10LQP&amp;VAR:INDEX=1"}</definedName>
    <definedName name="_280__FDSAUDITLINK__" hidden="1">{"fdsup://directions/FAT Viewer?action=UPDATE&amp;creator=factset&amp;DYN_ARGS=TRUE&amp;DOC_NAME=FAT:FQL_AUDITING_CLIENT_TEMPLATE.FAT&amp;display_string=Audit&amp;VAR:KEY=VSNIPYTSNQ&amp;VAR:QUERY=RkZfRlJFRV9DRihBTk4sMCwtOSxZLFJQLFVTRCxNKQ==&amp;WINDOW=FIRST_POPUP&amp;HEIGHT=450&amp;WIDTH=450&amp;","START_MAXIMIZED=FALSE&amp;VAR:CALENDAR=US&amp;VAR:SYMBOL=B10LQP&amp;VAR:INDEX=1"}</definedName>
    <definedName name="_2800__FDSAUDITLINK__" localSheetId="3" hidden="1">{"fdsup://directions/FAT Viewer?action=UPDATE&amp;creator=factset&amp;DYN_ARGS=TRUE&amp;DOC_NAME=FAT:FQL_AUDITING_CLIENT_TEMPLATE.FAT&amp;display_string=Audit&amp;VAR:KEY=OBMFOFAVKR&amp;VAR:QUERY=UkdGX1RBWF9SQVRFKEFOTiwwLCwsLCwsTk9BVURJVCk=&amp;WINDOW=FIRST_POPUP&amp;HEIGHT=450&amp;WIDTH=450&amp;","START_MAXIMIZED=FALSE&amp;VAR:CALENDAR=US&amp;VAR:SYMBOL=VOCS&amp;VAR:INDEX=0"}</definedName>
    <definedName name="_2800__FDSAUDITLINK__" localSheetId="7" hidden="1">{"fdsup://directions/FAT Viewer?action=UPDATE&amp;creator=factset&amp;DYN_ARGS=TRUE&amp;DOC_NAME=FAT:FQL_AUDITING_CLIENT_TEMPLATE.FAT&amp;display_string=Audit&amp;VAR:KEY=OBMFOFAVKR&amp;VAR:QUERY=UkdGX1RBWF9SQVRFKEFOTiwwLCwsLCwsTk9BVURJVCk=&amp;WINDOW=FIRST_POPUP&amp;HEIGHT=450&amp;WIDTH=450&amp;","START_MAXIMIZED=FALSE&amp;VAR:CALENDAR=US&amp;VAR:SYMBOL=VOCS&amp;VAR:INDEX=0"}</definedName>
    <definedName name="_2800__FDSAUDITLINK__" hidden="1">{"fdsup://directions/FAT Viewer?action=UPDATE&amp;creator=factset&amp;DYN_ARGS=TRUE&amp;DOC_NAME=FAT:FQL_AUDITING_CLIENT_TEMPLATE.FAT&amp;display_string=Audit&amp;VAR:KEY=OBMFOFAVKR&amp;VAR:QUERY=UkdGX1RBWF9SQVRFKEFOTiwwLCwsLCwsTk9BVURJVCk=&amp;WINDOW=FIRST_POPUP&amp;HEIGHT=450&amp;WIDTH=450&amp;","START_MAXIMIZED=FALSE&amp;VAR:CALENDAR=US&amp;VAR:SYMBOL=VOCS&amp;VAR:INDEX=0"}</definedName>
    <definedName name="_2801__FDSAUDITLINK__" localSheetId="3" hidden="1">{"fdsup://directions/FAT Viewer?action=UPDATE&amp;creator=factset&amp;DYN_ARGS=TRUE&amp;DOC_NAME=FAT:FQL_AUDITING_CLIENT_TEMPLATE.FAT&amp;display_string=Audit&amp;VAR:KEY=SFEJKHCHWJ&amp;VAR:QUERY=UkdGX1RBWF9SQVRFKEFOTiwwLCwsLCwsTk9BVURJVCk=&amp;WINDOW=FIRST_POPUP&amp;HEIGHT=450&amp;WIDTH=450&amp;","START_MAXIMIZED=FALSE&amp;VAR:CALENDAR=US&amp;VAR:SYMBOL=VMW&amp;VAR:INDEX=0"}</definedName>
    <definedName name="_2801__FDSAUDITLINK__" localSheetId="7" hidden="1">{"fdsup://directions/FAT Viewer?action=UPDATE&amp;creator=factset&amp;DYN_ARGS=TRUE&amp;DOC_NAME=FAT:FQL_AUDITING_CLIENT_TEMPLATE.FAT&amp;display_string=Audit&amp;VAR:KEY=SFEJKHCHWJ&amp;VAR:QUERY=UkdGX1RBWF9SQVRFKEFOTiwwLCwsLCwsTk9BVURJVCk=&amp;WINDOW=FIRST_POPUP&amp;HEIGHT=450&amp;WIDTH=450&amp;","START_MAXIMIZED=FALSE&amp;VAR:CALENDAR=US&amp;VAR:SYMBOL=VMW&amp;VAR:INDEX=0"}</definedName>
    <definedName name="_2801__FDSAUDITLINK__" hidden="1">{"fdsup://directions/FAT Viewer?action=UPDATE&amp;creator=factset&amp;DYN_ARGS=TRUE&amp;DOC_NAME=FAT:FQL_AUDITING_CLIENT_TEMPLATE.FAT&amp;display_string=Audit&amp;VAR:KEY=SFEJKHCHWJ&amp;VAR:QUERY=UkdGX1RBWF9SQVRFKEFOTiwwLCwsLCwsTk9BVURJVCk=&amp;WINDOW=FIRST_POPUP&amp;HEIGHT=450&amp;WIDTH=450&amp;","START_MAXIMIZED=FALSE&amp;VAR:CALENDAR=US&amp;VAR:SYMBOL=VMW&amp;VAR:INDEX=0"}</definedName>
    <definedName name="_2802__FDSAUDITLINK__" localSheetId="3" hidden="1">{"fdsup://directions/FAT Viewer?action=UPDATE&amp;creator=factset&amp;DYN_ARGS=TRUE&amp;DOC_NAME=FAT:FQL_AUDITING_CLIENT_TEMPLATE.FAT&amp;display_string=Audit&amp;VAR:KEY=SFEJKHCHWJ&amp;VAR:QUERY=UkdGX1RBWF9SQVRFKEFOTiwwLCwsLCwsTk9BVURJVCk=&amp;WINDOW=FIRST_POPUP&amp;HEIGHT=450&amp;WIDTH=450&amp;","START_MAXIMIZED=FALSE&amp;VAR:CALENDAR=US&amp;VAR:SYMBOL=VMW&amp;VAR:INDEX=0"}</definedName>
    <definedName name="_2802__FDSAUDITLINK__" localSheetId="7" hidden="1">{"fdsup://directions/FAT Viewer?action=UPDATE&amp;creator=factset&amp;DYN_ARGS=TRUE&amp;DOC_NAME=FAT:FQL_AUDITING_CLIENT_TEMPLATE.FAT&amp;display_string=Audit&amp;VAR:KEY=SFEJKHCHWJ&amp;VAR:QUERY=UkdGX1RBWF9SQVRFKEFOTiwwLCwsLCwsTk9BVURJVCk=&amp;WINDOW=FIRST_POPUP&amp;HEIGHT=450&amp;WIDTH=450&amp;","START_MAXIMIZED=FALSE&amp;VAR:CALENDAR=US&amp;VAR:SYMBOL=VMW&amp;VAR:INDEX=0"}</definedName>
    <definedName name="_2802__FDSAUDITLINK__" hidden="1">{"fdsup://directions/FAT Viewer?action=UPDATE&amp;creator=factset&amp;DYN_ARGS=TRUE&amp;DOC_NAME=FAT:FQL_AUDITING_CLIENT_TEMPLATE.FAT&amp;display_string=Audit&amp;VAR:KEY=SFEJKHCHWJ&amp;VAR:QUERY=UkdGX1RBWF9SQVRFKEFOTiwwLCwsLCwsTk9BVURJVCk=&amp;WINDOW=FIRST_POPUP&amp;HEIGHT=450&amp;WIDTH=450&amp;","START_MAXIMIZED=FALSE&amp;VAR:CALENDAR=US&amp;VAR:SYMBOL=VMW&amp;VAR:INDEX=0"}</definedName>
    <definedName name="_2803__FDSAUDITLINK__" localSheetId="3" hidden="1">{"fdsup://directions/FAT Viewer?action=UPDATE&amp;creator=factset&amp;DYN_ARGS=TRUE&amp;DOC_NAME=FAT:FQL_AUDITING_CLIENT_TEMPLATE.FAT&amp;display_string=Audit&amp;VAR:KEY=UNSDSFMRQL&amp;VAR:QUERY=UkdGX1RBWF9SQVRFKEFOTiwwLCwsLCwsTk9BVURJVCk=&amp;WINDOW=FIRST_POPUP&amp;HEIGHT=450&amp;WIDTH=450&amp;","START_MAXIMIZED=FALSE&amp;VAR:CALENDAR=US&amp;VAR:SYMBOL=VRSN&amp;VAR:INDEX=0"}</definedName>
    <definedName name="_2803__FDSAUDITLINK__" localSheetId="7" hidden="1">{"fdsup://directions/FAT Viewer?action=UPDATE&amp;creator=factset&amp;DYN_ARGS=TRUE&amp;DOC_NAME=FAT:FQL_AUDITING_CLIENT_TEMPLATE.FAT&amp;display_string=Audit&amp;VAR:KEY=UNSDSFMRQL&amp;VAR:QUERY=UkdGX1RBWF9SQVRFKEFOTiwwLCwsLCwsTk9BVURJVCk=&amp;WINDOW=FIRST_POPUP&amp;HEIGHT=450&amp;WIDTH=450&amp;","START_MAXIMIZED=FALSE&amp;VAR:CALENDAR=US&amp;VAR:SYMBOL=VRSN&amp;VAR:INDEX=0"}</definedName>
    <definedName name="_2803__FDSAUDITLINK__" hidden="1">{"fdsup://directions/FAT Viewer?action=UPDATE&amp;creator=factset&amp;DYN_ARGS=TRUE&amp;DOC_NAME=FAT:FQL_AUDITING_CLIENT_TEMPLATE.FAT&amp;display_string=Audit&amp;VAR:KEY=UNSDSFMRQL&amp;VAR:QUERY=UkdGX1RBWF9SQVRFKEFOTiwwLCwsLCwsTk9BVURJVCk=&amp;WINDOW=FIRST_POPUP&amp;HEIGHT=450&amp;WIDTH=450&amp;","START_MAXIMIZED=FALSE&amp;VAR:CALENDAR=US&amp;VAR:SYMBOL=VRSN&amp;VAR:INDEX=0"}</definedName>
    <definedName name="_2804__FDSAUDITLINK__" localSheetId="3" hidden="1">{"fdsup://directions/FAT Viewer?action=UPDATE&amp;creator=factset&amp;DYN_ARGS=TRUE&amp;DOC_NAME=FAT:FQL_AUDITING_CLIENT_TEMPLATE.FAT&amp;display_string=Audit&amp;VAR:KEY=UNSDSFMRQL&amp;VAR:QUERY=UkdGX1RBWF9SQVRFKEFOTiwwLCwsLCwsTk9BVURJVCk=&amp;WINDOW=FIRST_POPUP&amp;HEIGHT=450&amp;WIDTH=450&amp;","START_MAXIMIZED=FALSE&amp;VAR:CALENDAR=US&amp;VAR:SYMBOL=VRSN&amp;VAR:INDEX=0"}</definedName>
    <definedName name="_2804__FDSAUDITLINK__" localSheetId="7" hidden="1">{"fdsup://directions/FAT Viewer?action=UPDATE&amp;creator=factset&amp;DYN_ARGS=TRUE&amp;DOC_NAME=FAT:FQL_AUDITING_CLIENT_TEMPLATE.FAT&amp;display_string=Audit&amp;VAR:KEY=UNSDSFMRQL&amp;VAR:QUERY=UkdGX1RBWF9SQVRFKEFOTiwwLCwsLCwsTk9BVURJVCk=&amp;WINDOW=FIRST_POPUP&amp;HEIGHT=450&amp;WIDTH=450&amp;","START_MAXIMIZED=FALSE&amp;VAR:CALENDAR=US&amp;VAR:SYMBOL=VRSN&amp;VAR:INDEX=0"}</definedName>
    <definedName name="_2804__FDSAUDITLINK__" hidden="1">{"fdsup://directions/FAT Viewer?action=UPDATE&amp;creator=factset&amp;DYN_ARGS=TRUE&amp;DOC_NAME=FAT:FQL_AUDITING_CLIENT_TEMPLATE.FAT&amp;display_string=Audit&amp;VAR:KEY=UNSDSFMRQL&amp;VAR:QUERY=UkdGX1RBWF9SQVRFKEFOTiwwLCwsLCwsTk9BVURJVCk=&amp;WINDOW=FIRST_POPUP&amp;HEIGHT=450&amp;WIDTH=450&amp;","START_MAXIMIZED=FALSE&amp;VAR:CALENDAR=US&amp;VAR:SYMBOL=VRSN&amp;VAR:INDEX=0"}</definedName>
    <definedName name="_2805__FDSAUDITLINK__" localSheetId="3" hidden="1">{"fdsup://directions/FAT Viewer?action=UPDATE&amp;creator=factset&amp;DYN_ARGS=TRUE&amp;DOC_NAME=FAT:FQL_AUDITING_CLIENT_TEMPLATE.FAT&amp;display_string=Audit&amp;VAR:KEY=MJKZAJYPAN&amp;VAR:QUERY=UkdGX1RBWF9SQVRFKEFOTiwwLCwsLCwsTk9BVURJVCk=&amp;WINDOW=FIRST_POPUP&amp;HEIGHT=450&amp;WIDTH=450&amp;","START_MAXIMIZED=FALSE&amp;VAR:CALENDAR=US&amp;VAR:SYMBOL=VDSI&amp;VAR:INDEX=0"}</definedName>
    <definedName name="_2805__FDSAUDITLINK__" localSheetId="7" hidden="1">{"fdsup://directions/FAT Viewer?action=UPDATE&amp;creator=factset&amp;DYN_ARGS=TRUE&amp;DOC_NAME=FAT:FQL_AUDITING_CLIENT_TEMPLATE.FAT&amp;display_string=Audit&amp;VAR:KEY=MJKZAJYPAN&amp;VAR:QUERY=UkdGX1RBWF9SQVRFKEFOTiwwLCwsLCwsTk9BVURJVCk=&amp;WINDOW=FIRST_POPUP&amp;HEIGHT=450&amp;WIDTH=450&amp;","START_MAXIMIZED=FALSE&amp;VAR:CALENDAR=US&amp;VAR:SYMBOL=VDSI&amp;VAR:INDEX=0"}</definedName>
    <definedName name="_2805__FDSAUDITLINK__" hidden="1">{"fdsup://directions/FAT Viewer?action=UPDATE&amp;creator=factset&amp;DYN_ARGS=TRUE&amp;DOC_NAME=FAT:FQL_AUDITING_CLIENT_TEMPLATE.FAT&amp;display_string=Audit&amp;VAR:KEY=MJKZAJYPAN&amp;VAR:QUERY=UkdGX1RBWF9SQVRFKEFOTiwwLCwsLCwsTk9BVURJVCk=&amp;WINDOW=FIRST_POPUP&amp;HEIGHT=450&amp;WIDTH=450&amp;","START_MAXIMIZED=FALSE&amp;VAR:CALENDAR=US&amp;VAR:SYMBOL=VDSI&amp;VAR:INDEX=0"}</definedName>
    <definedName name="_2806__FDSAUDITLINK__" localSheetId="3" hidden="1">{"fdsup://directions/FAT Viewer?action=UPDATE&amp;creator=factset&amp;DYN_ARGS=TRUE&amp;DOC_NAME=FAT:FQL_AUDITING_CLIENT_TEMPLATE.FAT&amp;display_string=Audit&amp;VAR:KEY=MJKZAJYPAN&amp;VAR:QUERY=UkdGX1RBWF9SQVRFKEFOTiwwLCwsLCwsTk9BVURJVCk=&amp;WINDOW=FIRST_POPUP&amp;HEIGHT=450&amp;WIDTH=450&amp;","START_MAXIMIZED=FALSE&amp;VAR:CALENDAR=US&amp;VAR:SYMBOL=VDSI&amp;VAR:INDEX=0"}</definedName>
    <definedName name="_2806__FDSAUDITLINK__" localSheetId="7" hidden="1">{"fdsup://directions/FAT Viewer?action=UPDATE&amp;creator=factset&amp;DYN_ARGS=TRUE&amp;DOC_NAME=FAT:FQL_AUDITING_CLIENT_TEMPLATE.FAT&amp;display_string=Audit&amp;VAR:KEY=MJKZAJYPAN&amp;VAR:QUERY=UkdGX1RBWF9SQVRFKEFOTiwwLCwsLCwsTk9BVURJVCk=&amp;WINDOW=FIRST_POPUP&amp;HEIGHT=450&amp;WIDTH=450&amp;","START_MAXIMIZED=FALSE&amp;VAR:CALENDAR=US&amp;VAR:SYMBOL=VDSI&amp;VAR:INDEX=0"}</definedName>
    <definedName name="_2806__FDSAUDITLINK__" hidden="1">{"fdsup://directions/FAT Viewer?action=UPDATE&amp;creator=factset&amp;DYN_ARGS=TRUE&amp;DOC_NAME=FAT:FQL_AUDITING_CLIENT_TEMPLATE.FAT&amp;display_string=Audit&amp;VAR:KEY=MJKZAJYPAN&amp;VAR:QUERY=UkdGX1RBWF9SQVRFKEFOTiwwLCwsLCwsTk9BVURJVCk=&amp;WINDOW=FIRST_POPUP&amp;HEIGHT=450&amp;WIDTH=450&amp;","START_MAXIMIZED=FALSE&amp;VAR:CALENDAR=US&amp;VAR:SYMBOL=VDSI&amp;VAR:INDEX=0"}</definedName>
    <definedName name="_2807__FDSAUDITLINK__" localSheetId="3" hidden="1">{"fdsup://directions/FAT Viewer?action=UPDATE&amp;creator=factset&amp;DYN_ARGS=TRUE&amp;DOC_NAME=FAT:FQL_AUDITING_CLIENT_TEMPLATE.FAT&amp;display_string=Audit&amp;VAR:KEY=KPWPIHGHSV&amp;VAR:QUERY=UkdGX1RBWF9SQVRFKEFOTiwwLCwsLCwsTk9BVURJVCk=&amp;WINDOW=FIRST_POPUP&amp;HEIGHT=450&amp;WIDTH=450&amp;","START_MAXIMIZED=FALSE&amp;VAR:CALENDAR=US&amp;VAR:SYMBOL=ULTI&amp;VAR:INDEX=0"}</definedName>
    <definedName name="_2807__FDSAUDITLINK__" localSheetId="7" hidden="1">{"fdsup://directions/FAT Viewer?action=UPDATE&amp;creator=factset&amp;DYN_ARGS=TRUE&amp;DOC_NAME=FAT:FQL_AUDITING_CLIENT_TEMPLATE.FAT&amp;display_string=Audit&amp;VAR:KEY=KPWPIHGHSV&amp;VAR:QUERY=UkdGX1RBWF9SQVRFKEFOTiwwLCwsLCwsTk9BVURJVCk=&amp;WINDOW=FIRST_POPUP&amp;HEIGHT=450&amp;WIDTH=450&amp;","START_MAXIMIZED=FALSE&amp;VAR:CALENDAR=US&amp;VAR:SYMBOL=ULTI&amp;VAR:INDEX=0"}</definedName>
    <definedName name="_2807__FDSAUDITLINK__" hidden="1">{"fdsup://directions/FAT Viewer?action=UPDATE&amp;creator=factset&amp;DYN_ARGS=TRUE&amp;DOC_NAME=FAT:FQL_AUDITING_CLIENT_TEMPLATE.FAT&amp;display_string=Audit&amp;VAR:KEY=KPWPIHGHSV&amp;VAR:QUERY=UkdGX1RBWF9SQVRFKEFOTiwwLCwsLCwsTk9BVURJVCk=&amp;WINDOW=FIRST_POPUP&amp;HEIGHT=450&amp;WIDTH=450&amp;","START_MAXIMIZED=FALSE&amp;VAR:CALENDAR=US&amp;VAR:SYMBOL=ULTI&amp;VAR:INDEX=0"}</definedName>
    <definedName name="_2808__FDSAUDITLINK__" localSheetId="3" hidden="1">{"fdsup://directions/FAT Viewer?action=UPDATE&amp;creator=factset&amp;DYN_ARGS=TRUE&amp;DOC_NAME=FAT:FQL_AUDITING_CLIENT_TEMPLATE.FAT&amp;display_string=Audit&amp;VAR:KEY=KPWPIHGHSV&amp;VAR:QUERY=UkdGX1RBWF9SQVRFKEFOTiwwLCwsLCwsTk9BVURJVCk=&amp;WINDOW=FIRST_POPUP&amp;HEIGHT=450&amp;WIDTH=450&amp;","START_MAXIMIZED=FALSE&amp;VAR:CALENDAR=US&amp;VAR:SYMBOL=ULTI&amp;VAR:INDEX=0"}</definedName>
    <definedName name="_2808__FDSAUDITLINK__" localSheetId="7" hidden="1">{"fdsup://directions/FAT Viewer?action=UPDATE&amp;creator=factset&amp;DYN_ARGS=TRUE&amp;DOC_NAME=FAT:FQL_AUDITING_CLIENT_TEMPLATE.FAT&amp;display_string=Audit&amp;VAR:KEY=KPWPIHGHSV&amp;VAR:QUERY=UkdGX1RBWF9SQVRFKEFOTiwwLCwsLCwsTk9BVURJVCk=&amp;WINDOW=FIRST_POPUP&amp;HEIGHT=450&amp;WIDTH=450&amp;","START_MAXIMIZED=FALSE&amp;VAR:CALENDAR=US&amp;VAR:SYMBOL=ULTI&amp;VAR:INDEX=0"}</definedName>
    <definedName name="_2808__FDSAUDITLINK__" hidden="1">{"fdsup://directions/FAT Viewer?action=UPDATE&amp;creator=factset&amp;DYN_ARGS=TRUE&amp;DOC_NAME=FAT:FQL_AUDITING_CLIENT_TEMPLATE.FAT&amp;display_string=Audit&amp;VAR:KEY=KPWPIHGHSV&amp;VAR:QUERY=UkdGX1RBWF9SQVRFKEFOTiwwLCwsLCwsTk9BVURJVCk=&amp;WINDOW=FIRST_POPUP&amp;HEIGHT=450&amp;WIDTH=450&amp;","START_MAXIMIZED=FALSE&amp;VAR:CALENDAR=US&amp;VAR:SYMBOL=ULTI&amp;VAR:INDEX=0"}</definedName>
    <definedName name="_2809__FDSAUDITLINK__" localSheetId="3" hidden="1">{"fdsup://directions/FAT Viewer?action=UPDATE&amp;creator=factset&amp;DYN_ARGS=TRUE&amp;DOC_NAME=FAT:FQL_AUDITING_CLIENT_TEMPLATE.FAT&amp;display_string=Audit&amp;VAR:KEY=EXQPEDEFWL&amp;VAR:QUERY=UkdGX1RBWF9SQVRFKEFOTiwwLCwsLCwsTk9BVURJVCk=&amp;WINDOW=FIRST_POPUP&amp;HEIGHT=450&amp;WIDTH=450&amp;","START_MAXIMIZED=FALSE&amp;VAR:CALENDAR=US&amp;VAR:SYMBOL=TYPE&amp;VAR:INDEX=0"}</definedName>
    <definedName name="_2809__FDSAUDITLINK__" localSheetId="7" hidden="1">{"fdsup://directions/FAT Viewer?action=UPDATE&amp;creator=factset&amp;DYN_ARGS=TRUE&amp;DOC_NAME=FAT:FQL_AUDITING_CLIENT_TEMPLATE.FAT&amp;display_string=Audit&amp;VAR:KEY=EXQPEDEFWL&amp;VAR:QUERY=UkdGX1RBWF9SQVRFKEFOTiwwLCwsLCwsTk9BVURJVCk=&amp;WINDOW=FIRST_POPUP&amp;HEIGHT=450&amp;WIDTH=450&amp;","START_MAXIMIZED=FALSE&amp;VAR:CALENDAR=US&amp;VAR:SYMBOL=TYPE&amp;VAR:INDEX=0"}</definedName>
    <definedName name="_2809__FDSAUDITLINK__" hidden="1">{"fdsup://directions/FAT Viewer?action=UPDATE&amp;creator=factset&amp;DYN_ARGS=TRUE&amp;DOC_NAME=FAT:FQL_AUDITING_CLIENT_TEMPLATE.FAT&amp;display_string=Audit&amp;VAR:KEY=EXQPEDEFWL&amp;VAR:QUERY=UkdGX1RBWF9SQVRFKEFOTiwwLCwsLCwsTk9BVURJVCk=&amp;WINDOW=FIRST_POPUP&amp;HEIGHT=450&amp;WIDTH=450&amp;","START_MAXIMIZED=FALSE&amp;VAR:CALENDAR=US&amp;VAR:SYMBOL=TYPE&amp;VAR:INDEX=0"}</definedName>
    <definedName name="_281__FDSAUDITLINK__" localSheetId="3" hidden="1">{"fdsup://directions/FAT Viewer?action=UPDATE&amp;creator=factset&amp;DYN_ARGS=TRUE&amp;DOC_NAME=FAT:FQL_AUDITING_CLIENT_TEMPLATE.FAT&amp;display_string=Audit&amp;VAR:KEY=SNCJWNKFQX&amp;VAR:QUERY=KEZGX1BUWF9JTkMoQU5OLDAsLTksWSxSUCkgLyBGRl9PUEVSX0lOQyhBTk4sMCwtOSxZLFJQKSk=&amp;WINDOW=F","IRST_POPUP&amp;HEIGHT=450&amp;WIDTH=450&amp;START_MAXIMIZED=FALSE&amp;VAR:CALENDAR=US&amp;VAR:SYMBOL=B10LQP&amp;VAR:INDEX=6"}</definedName>
    <definedName name="_281__FDSAUDITLINK__" localSheetId="7" hidden="1">{"fdsup://directions/FAT Viewer?action=UPDATE&amp;creator=factset&amp;DYN_ARGS=TRUE&amp;DOC_NAME=FAT:FQL_AUDITING_CLIENT_TEMPLATE.FAT&amp;display_string=Audit&amp;VAR:KEY=SNCJWNKFQX&amp;VAR:QUERY=KEZGX1BUWF9JTkMoQU5OLDAsLTksWSxSUCkgLyBGRl9PUEVSX0lOQyhBTk4sMCwtOSxZLFJQKSk=&amp;WINDOW=F","IRST_POPUP&amp;HEIGHT=450&amp;WIDTH=450&amp;START_MAXIMIZED=FALSE&amp;VAR:CALENDAR=US&amp;VAR:SYMBOL=B10LQP&amp;VAR:INDEX=6"}</definedName>
    <definedName name="_281__FDSAUDITLINK__" hidden="1">{"fdsup://directions/FAT Viewer?action=UPDATE&amp;creator=factset&amp;DYN_ARGS=TRUE&amp;DOC_NAME=FAT:FQL_AUDITING_CLIENT_TEMPLATE.FAT&amp;display_string=Audit&amp;VAR:KEY=SNCJWNKFQX&amp;VAR:QUERY=KEZGX1BUWF9JTkMoQU5OLDAsLTksWSxSUCkgLyBGRl9PUEVSX0lOQyhBTk4sMCwtOSxZLFJQKSk=&amp;WINDOW=F","IRST_POPUP&amp;HEIGHT=450&amp;WIDTH=450&amp;START_MAXIMIZED=FALSE&amp;VAR:CALENDAR=US&amp;VAR:SYMBOL=B10LQP&amp;VAR:INDEX=6"}</definedName>
    <definedName name="_2810__FDSAUDITLINK__" localSheetId="3" hidden="1">{"fdsup://directions/FAT Viewer?action=UPDATE&amp;creator=factset&amp;DYN_ARGS=TRUE&amp;DOC_NAME=FAT:FQL_AUDITING_CLIENT_TEMPLATE.FAT&amp;display_string=Audit&amp;VAR:KEY=EXQPEDEFWL&amp;VAR:QUERY=UkdGX1RBWF9SQVRFKEFOTiwwLCwsLCwsTk9BVURJVCk=&amp;WINDOW=FIRST_POPUP&amp;HEIGHT=450&amp;WIDTH=450&amp;","START_MAXIMIZED=FALSE&amp;VAR:CALENDAR=US&amp;VAR:SYMBOL=TYPE&amp;VAR:INDEX=0"}</definedName>
    <definedName name="_2810__FDSAUDITLINK__" localSheetId="7" hidden="1">{"fdsup://directions/FAT Viewer?action=UPDATE&amp;creator=factset&amp;DYN_ARGS=TRUE&amp;DOC_NAME=FAT:FQL_AUDITING_CLIENT_TEMPLATE.FAT&amp;display_string=Audit&amp;VAR:KEY=EXQPEDEFWL&amp;VAR:QUERY=UkdGX1RBWF9SQVRFKEFOTiwwLCwsLCwsTk9BVURJVCk=&amp;WINDOW=FIRST_POPUP&amp;HEIGHT=450&amp;WIDTH=450&amp;","START_MAXIMIZED=FALSE&amp;VAR:CALENDAR=US&amp;VAR:SYMBOL=TYPE&amp;VAR:INDEX=0"}</definedName>
    <definedName name="_2810__FDSAUDITLINK__" hidden="1">{"fdsup://directions/FAT Viewer?action=UPDATE&amp;creator=factset&amp;DYN_ARGS=TRUE&amp;DOC_NAME=FAT:FQL_AUDITING_CLIENT_TEMPLATE.FAT&amp;display_string=Audit&amp;VAR:KEY=EXQPEDEFWL&amp;VAR:QUERY=UkdGX1RBWF9SQVRFKEFOTiwwLCwsLCwsTk9BVURJVCk=&amp;WINDOW=FIRST_POPUP&amp;HEIGHT=450&amp;WIDTH=450&amp;","START_MAXIMIZED=FALSE&amp;VAR:CALENDAR=US&amp;VAR:SYMBOL=TYPE&amp;VAR:INDEX=0"}</definedName>
    <definedName name="_2811__FDSAUDITLINK__" localSheetId="3" hidden="1">{"fdsup://directions/FAT Viewer?action=UPDATE&amp;creator=factset&amp;DYN_ARGS=TRUE&amp;DOC_NAME=FAT:FQL_AUDITING_CLIENT_TEMPLATE.FAT&amp;display_string=Audit&amp;VAR:KEY=CRWPMDKBGX&amp;VAR:QUERY=UkdGX1RBWF9SQVRFKEFOTiwwLCwsLCwsTk9BVURJVCk=&amp;WINDOW=FIRST_POPUP&amp;HEIGHT=450&amp;WIDTH=450&amp;","START_MAXIMIZED=FALSE&amp;VAR:CALENDAR=US&amp;VAR:SYMBOL=TYL&amp;VAR:INDEX=0"}</definedName>
    <definedName name="_2811__FDSAUDITLINK__" localSheetId="7" hidden="1">{"fdsup://directions/FAT Viewer?action=UPDATE&amp;creator=factset&amp;DYN_ARGS=TRUE&amp;DOC_NAME=FAT:FQL_AUDITING_CLIENT_TEMPLATE.FAT&amp;display_string=Audit&amp;VAR:KEY=CRWPMDKBGX&amp;VAR:QUERY=UkdGX1RBWF9SQVRFKEFOTiwwLCwsLCwsTk9BVURJVCk=&amp;WINDOW=FIRST_POPUP&amp;HEIGHT=450&amp;WIDTH=450&amp;","START_MAXIMIZED=FALSE&amp;VAR:CALENDAR=US&amp;VAR:SYMBOL=TYL&amp;VAR:INDEX=0"}</definedName>
    <definedName name="_2811__FDSAUDITLINK__" hidden="1">{"fdsup://directions/FAT Viewer?action=UPDATE&amp;creator=factset&amp;DYN_ARGS=TRUE&amp;DOC_NAME=FAT:FQL_AUDITING_CLIENT_TEMPLATE.FAT&amp;display_string=Audit&amp;VAR:KEY=CRWPMDKBGX&amp;VAR:QUERY=UkdGX1RBWF9SQVRFKEFOTiwwLCwsLCwsTk9BVURJVCk=&amp;WINDOW=FIRST_POPUP&amp;HEIGHT=450&amp;WIDTH=450&amp;","START_MAXIMIZED=FALSE&amp;VAR:CALENDAR=US&amp;VAR:SYMBOL=TYL&amp;VAR:INDEX=0"}</definedName>
    <definedName name="_2812__FDSAUDITLINK__" localSheetId="3" hidden="1">{"fdsup://directions/FAT Viewer?action=UPDATE&amp;creator=factset&amp;DYN_ARGS=TRUE&amp;DOC_NAME=FAT:FQL_AUDITING_CLIENT_TEMPLATE.FAT&amp;display_string=Audit&amp;VAR:KEY=CRWPMDKBGX&amp;VAR:QUERY=UkdGX1RBWF9SQVRFKEFOTiwwLCwsLCwsTk9BVURJVCk=&amp;WINDOW=FIRST_POPUP&amp;HEIGHT=450&amp;WIDTH=450&amp;","START_MAXIMIZED=FALSE&amp;VAR:CALENDAR=US&amp;VAR:SYMBOL=TYL&amp;VAR:INDEX=0"}</definedName>
    <definedName name="_2812__FDSAUDITLINK__" localSheetId="7" hidden="1">{"fdsup://directions/FAT Viewer?action=UPDATE&amp;creator=factset&amp;DYN_ARGS=TRUE&amp;DOC_NAME=FAT:FQL_AUDITING_CLIENT_TEMPLATE.FAT&amp;display_string=Audit&amp;VAR:KEY=CRWPMDKBGX&amp;VAR:QUERY=UkdGX1RBWF9SQVRFKEFOTiwwLCwsLCwsTk9BVURJVCk=&amp;WINDOW=FIRST_POPUP&amp;HEIGHT=450&amp;WIDTH=450&amp;","START_MAXIMIZED=FALSE&amp;VAR:CALENDAR=US&amp;VAR:SYMBOL=TYL&amp;VAR:INDEX=0"}</definedName>
    <definedName name="_2812__FDSAUDITLINK__" hidden="1">{"fdsup://directions/FAT Viewer?action=UPDATE&amp;creator=factset&amp;DYN_ARGS=TRUE&amp;DOC_NAME=FAT:FQL_AUDITING_CLIENT_TEMPLATE.FAT&amp;display_string=Audit&amp;VAR:KEY=CRWPMDKBGX&amp;VAR:QUERY=UkdGX1RBWF9SQVRFKEFOTiwwLCwsLCwsTk9BVURJVCk=&amp;WINDOW=FIRST_POPUP&amp;HEIGHT=450&amp;WIDTH=450&amp;","START_MAXIMIZED=FALSE&amp;VAR:CALENDAR=US&amp;VAR:SYMBOL=TYL&amp;VAR:INDEX=0"}</definedName>
    <definedName name="_2813__FDSAUDITLINK__" localSheetId="3" hidden="1">{"fdsup://directions/FAT Viewer?action=UPDATE&amp;creator=factset&amp;DYN_ARGS=TRUE&amp;DOC_NAME=FAT:FQL_AUDITING_CLIENT_TEMPLATE.FAT&amp;display_string=Audit&amp;VAR:KEY=MXIHSHARCB&amp;VAR:QUERY=UkdGX1RBWF9SQVRFKEFOTiwwLCwsLCwsTk9BVURJVCk=&amp;WINDOW=FIRST_POPUP&amp;HEIGHT=450&amp;WIDTH=450&amp;","START_MAXIMIZED=FALSE&amp;VAR:CALENDAR=US&amp;VAR:SYMBOL=612528&amp;VAR:INDEX=0"}</definedName>
    <definedName name="_2813__FDSAUDITLINK__" localSheetId="7" hidden="1">{"fdsup://directions/FAT Viewer?action=UPDATE&amp;creator=factset&amp;DYN_ARGS=TRUE&amp;DOC_NAME=FAT:FQL_AUDITING_CLIENT_TEMPLATE.FAT&amp;display_string=Audit&amp;VAR:KEY=MXIHSHARCB&amp;VAR:QUERY=UkdGX1RBWF9SQVRFKEFOTiwwLCwsLCwsTk9BVURJVCk=&amp;WINDOW=FIRST_POPUP&amp;HEIGHT=450&amp;WIDTH=450&amp;","START_MAXIMIZED=FALSE&amp;VAR:CALENDAR=US&amp;VAR:SYMBOL=612528&amp;VAR:INDEX=0"}</definedName>
    <definedName name="_2813__FDSAUDITLINK__" hidden="1">{"fdsup://directions/FAT Viewer?action=UPDATE&amp;creator=factset&amp;DYN_ARGS=TRUE&amp;DOC_NAME=FAT:FQL_AUDITING_CLIENT_TEMPLATE.FAT&amp;display_string=Audit&amp;VAR:KEY=MXIHSHARCB&amp;VAR:QUERY=UkdGX1RBWF9SQVRFKEFOTiwwLCwsLCwsTk9BVURJVCk=&amp;WINDOW=FIRST_POPUP&amp;HEIGHT=450&amp;WIDTH=450&amp;","START_MAXIMIZED=FALSE&amp;VAR:CALENDAR=US&amp;VAR:SYMBOL=612528&amp;VAR:INDEX=0"}</definedName>
    <definedName name="_2814__FDSAUDITLINK__" localSheetId="3" hidden="1">{"fdsup://directions/FAT Viewer?action=UPDATE&amp;creator=factset&amp;DYN_ARGS=TRUE&amp;DOC_NAME=FAT:FQL_AUDITING_CLIENT_TEMPLATE.FAT&amp;display_string=Audit&amp;VAR:KEY=MXIHSHARCB&amp;VAR:QUERY=UkdGX1RBWF9SQVRFKEFOTiwwLCwsLCwsTk9BVURJVCk=&amp;WINDOW=FIRST_POPUP&amp;HEIGHT=450&amp;WIDTH=450&amp;","START_MAXIMIZED=FALSE&amp;VAR:CALENDAR=US&amp;VAR:SYMBOL=612528&amp;VAR:INDEX=0"}</definedName>
    <definedName name="_2814__FDSAUDITLINK__" localSheetId="7" hidden="1">{"fdsup://directions/FAT Viewer?action=UPDATE&amp;creator=factset&amp;DYN_ARGS=TRUE&amp;DOC_NAME=FAT:FQL_AUDITING_CLIENT_TEMPLATE.FAT&amp;display_string=Audit&amp;VAR:KEY=MXIHSHARCB&amp;VAR:QUERY=UkdGX1RBWF9SQVRFKEFOTiwwLCwsLCwsTk9BVURJVCk=&amp;WINDOW=FIRST_POPUP&amp;HEIGHT=450&amp;WIDTH=450&amp;","START_MAXIMIZED=FALSE&amp;VAR:CALENDAR=US&amp;VAR:SYMBOL=612528&amp;VAR:INDEX=0"}</definedName>
    <definedName name="_2814__FDSAUDITLINK__" hidden="1">{"fdsup://directions/FAT Viewer?action=UPDATE&amp;creator=factset&amp;DYN_ARGS=TRUE&amp;DOC_NAME=FAT:FQL_AUDITING_CLIENT_TEMPLATE.FAT&amp;display_string=Audit&amp;VAR:KEY=MXIHSHARCB&amp;VAR:QUERY=UkdGX1RBWF9SQVRFKEFOTiwwLCwsLCwsTk9BVURJVCk=&amp;WINDOW=FIRST_POPUP&amp;HEIGHT=450&amp;WIDTH=450&amp;","START_MAXIMIZED=FALSE&amp;VAR:CALENDAR=US&amp;VAR:SYMBOL=612528&amp;VAR:INDEX=0"}</definedName>
    <definedName name="_2815__FDSAUDITLINK__" localSheetId="3" hidden="1">{"fdsup://directions/FAT Viewer?action=UPDATE&amp;creator=factset&amp;DYN_ARGS=TRUE&amp;DOC_NAME=FAT:FQL_AUDITING_CLIENT_TEMPLATE.FAT&amp;display_string=Audit&amp;VAR:KEY=YLYNEZOXQN&amp;VAR:QUERY=UkdGX1RBWF9SQVRFKEFOTiwwLCwsLCwsTk9BVURJVCk=&amp;WINDOW=FIRST_POPUP&amp;HEIGHT=450&amp;WIDTH=450&amp;","START_MAXIMIZED=FALSE&amp;VAR:CALENDAR=US&amp;VAR:SYMBOL=B10LQP&amp;VAR:INDEX=0"}</definedName>
    <definedName name="_2815__FDSAUDITLINK__" localSheetId="7" hidden="1">{"fdsup://directions/FAT Viewer?action=UPDATE&amp;creator=factset&amp;DYN_ARGS=TRUE&amp;DOC_NAME=FAT:FQL_AUDITING_CLIENT_TEMPLATE.FAT&amp;display_string=Audit&amp;VAR:KEY=YLYNEZOXQN&amp;VAR:QUERY=UkdGX1RBWF9SQVRFKEFOTiwwLCwsLCwsTk9BVURJVCk=&amp;WINDOW=FIRST_POPUP&amp;HEIGHT=450&amp;WIDTH=450&amp;","START_MAXIMIZED=FALSE&amp;VAR:CALENDAR=US&amp;VAR:SYMBOL=B10LQP&amp;VAR:INDEX=0"}</definedName>
    <definedName name="_2815__FDSAUDITLINK__" hidden="1">{"fdsup://directions/FAT Viewer?action=UPDATE&amp;creator=factset&amp;DYN_ARGS=TRUE&amp;DOC_NAME=FAT:FQL_AUDITING_CLIENT_TEMPLATE.FAT&amp;display_string=Audit&amp;VAR:KEY=YLYNEZOXQN&amp;VAR:QUERY=UkdGX1RBWF9SQVRFKEFOTiwwLCwsLCwsTk9BVURJVCk=&amp;WINDOW=FIRST_POPUP&amp;HEIGHT=450&amp;WIDTH=450&amp;","START_MAXIMIZED=FALSE&amp;VAR:CALENDAR=US&amp;VAR:SYMBOL=B10LQP&amp;VAR:INDEX=0"}</definedName>
    <definedName name="_2816__FDSAUDITLINK__" localSheetId="3" hidden="1">{"fdsup://directions/FAT Viewer?action=UPDATE&amp;creator=factset&amp;DYN_ARGS=TRUE&amp;DOC_NAME=FAT:FQL_AUDITING_CLIENT_TEMPLATE.FAT&amp;display_string=Audit&amp;VAR:KEY=YLYNEZOXQN&amp;VAR:QUERY=UkdGX1RBWF9SQVRFKEFOTiwwLCwsLCwsTk9BVURJVCk=&amp;WINDOW=FIRST_POPUP&amp;HEIGHT=450&amp;WIDTH=450&amp;","START_MAXIMIZED=FALSE&amp;VAR:CALENDAR=US&amp;VAR:SYMBOL=B10LQP&amp;VAR:INDEX=0"}</definedName>
    <definedName name="_2816__FDSAUDITLINK__" localSheetId="7" hidden="1">{"fdsup://directions/FAT Viewer?action=UPDATE&amp;creator=factset&amp;DYN_ARGS=TRUE&amp;DOC_NAME=FAT:FQL_AUDITING_CLIENT_TEMPLATE.FAT&amp;display_string=Audit&amp;VAR:KEY=YLYNEZOXQN&amp;VAR:QUERY=UkdGX1RBWF9SQVRFKEFOTiwwLCwsLCwsTk9BVURJVCk=&amp;WINDOW=FIRST_POPUP&amp;HEIGHT=450&amp;WIDTH=450&amp;","START_MAXIMIZED=FALSE&amp;VAR:CALENDAR=US&amp;VAR:SYMBOL=B10LQP&amp;VAR:INDEX=0"}</definedName>
    <definedName name="_2816__FDSAUDITLINK__" hidden="1">{"fdsup://directions/FAT Viewer?action=UPDATE&amp;creator=factset&amp;DYN_ARGS=TRUE&amp;DOC_NAME=FAT:FQL_AUDITING_CLIENT_TEMPLATE.FAT&amp;display_string=Audit&amp;VAR:KEY=YLYNEZOXQN&amp;VAR:QUERY=UkdGX1RBWF9SQVRFKEFOTiwwLCwsLCwsTk9BVURJVCk=&amp;WINDOW=FIRST_POPUP&amp;HEIGHT=450&amp;WIDTH=450&amp;","START_MAXIMIZED=FALSE&amp;VAR:CALENDAR=US&amp;VAR:SYMBOL=B10LQP&amp;VAR:INDEX=0"}</definedName>
    <definedName name="_2817__FDSAUDITLINK__" localSheetId="3" hidden="1">{"fdsup://directions/FAT Viewer?action=UPDATE&amp;creator=factset&amp;DYN_ARGS=TRUE&amp;DOC_NAME=FAT:FQL_AUDITING_CLIENT_TEMPLATE.FAT&amp;display_string=Audit&amp;VAR:KEY=WDCNWFARMV&amp;VAR:QUERY=UkdGX1RBWF9SQVRFKEFOTiwwLCwsLCwsTk9BVURJVCk=&amp;WINDOW=FIRST_POPUP&amp;HEIGHT=450&amp;WIDTH=450&amp;","START_MAXIMIZED=FALSE&amp;VAR:CALENDAR=US&amp;VAR:SYMBOL=TNS&amp;VAR:INDEX=0"}</definedName>
    <definedName name="_2817__FDSAUDITLINK__" localSheetId="7" hidden="1">{"fdsup://directions/FAT Viewer?action=UPDATE&amp;creator=factset&amp;DYN_ARGS=TRUE&amp;DOC_NAME=FAT:FQL_AUDITING_CLIENT_TEMPLATE.FAT&amp;display_string=Audit&amp;VAR:KEY=WDCNWFARMV&amp;VAR:QUERY=UkdGX1RBWF9SQVRFKEFOTiwwLCwsLCwsTk9BVURJVCk=&amp;WINDOW=FIRST_POPUP&amp;HEIGHT=450&amp;WIDTH=450&amp;","START_MAXIMIZED=FALSE&amp;VAR:CALENDAR=US&amp;VAR:SYMBOL=TNS&amp;VAR:INDEX=0"}</definedName>
    <definedName name="_2817__FDSAUDITLINK__" hidden="1">{"fdsup://directions/FAT Viewer?action=UPDATE&amp;creator=factset&amp;DYN_ARGS=TRUE&amp;DOC_NAME=FAT:FQL_AUDITING_CLIENT_TEMPLATE.FAT&amp;display_string=Audit&amp;VAR:KEY=WDCNWFARMV&amp;VAR:QUERY=UkdGX1RBWF9SQVRFKEFOTiwwLCwsLCwsTk9BVURJVCk=&amp;WINDOW=FIRST_POPUP&amp;HEIGHT=450&amp;WIDTH=450&amp;","START_MAXIMIZED=FALSE&amp;VAR:CALENDAR=US&amp;VAR:SYMBOL=TNS&amp;VAR:INDEX=0"}</definedName>
    <definedName name="_2818__FDSAUDITLINK__" localSheetId="3" hidden="1">{"fdsup://directions/FAT Viewer?action=UPDATE&amp;creator=factset&amp;DYN_ARGS=TRUE&amp;DOC_NAME=FAT:FQL_AUDITING_CLIENT_TEMPLATE.FAT&amp;display_string=Audit&amp;VAR:KEY=WDCNWFARMV&amp;VAR:QUERY=UkdGX1RBWF9SQVRFKEFOTiwwLCwsLCwsTk9BVURJVCk=&amp;WINDOW=FIRST_POPUP&amp;HEIGHT=450&amp;WIDTH=450&amp;","START_MAXIMIZED=FALSE&amp;VAR:CALENDAR=US&amp;VAR:SYMBOL=TNS&amp;VAR:INDEX=0"}</definedName>
    <definedName name="_2818__FDSAUDITLINK__" localSheetId="7" hidden="1">{"fdsup://directions/FAT Viewer?action=UPDATE&amp;creator=factset&amp;DYN_ARGS=TRUE&amp;DOC_NAME=FAT:FQL_AUDITING_CLIENT_TEMPLATE.FAT&amp;display_string=Audit&amp;VAR:KEY=WDCNWFARMV&amp;VAR:QUERY=UkdGX1RBWF9SQVRFKEFOTiwwLCwsLCwsTk9BVURJVCk=&amp;WINDOW=FIRST_POPUP&amp;HEIGHT=450&amp;WIDTH=450&amp;","START_MAXIMIZED=FALSE&amp;VAR:CALENDAR=US&amp;VAR:SYMBOL=TNS&amp;VAR:INDEX=0"}</definedName>
    <definedName name="_2818__FDSAUDITLINK__" hidden="1">{"fdsup://directions/FAT Viewer?action=UPDATE&amp;creator=factset&amp;DYN_ARGS=TRUE&amp;DOC_NAME=FAT:FQL_AUDITING_CLIENT_TEMPLATE.FAT&amp;display_string=Audit&amp;VAR:KEY=WDCNWFARMV&amp;VAR:QUERY=UkdGX1RBWF9SQVRFKEFOTiwwLCwsLCwsTk9BVURJVCk=&amp;WINDOW=FIRST_POPUP&amp;HEIGHT=450&amp;WIDTH=450&amp;","START_MAXIMIZED=FALSE&amp;VAR:CALENDAR=US&amp;VAR:SYMBOL=TNS&amp;VAR:INDEX=0"}</definedName>
    <definedName name="_2819__FDSAUDITLINK__" localSheetId="3" hidden="1">{"fdsup://directions/FAT Viewer?action=UPDATE&amp;creator=factset&amp;DYN_ARGS=TRUE&amp;DOC_NAME=FAT:FQL_AUDITING_CLIENT_TEMPLATE.FAT&amp;display_string=Audit&amp;VAR:KEY=MXWBYLMRMR&amp;VAR:QUERY=UkdGX1RBWF9SQVRFKEFOTiwwLCwsLCwsTk9BVURJVCk=&amp;WINDOW=FIRST_POPUP&amp;HEIGHT=450&amp;WIDTH=450&amp;","START_MAXIMIZED=FALSE&amp;VAR:CALENDAR=US&amp;VAR:SYMBOL=TIBX&amp;VAR:INDEX=0"}</definedName>
    <definedName name="_2819__FDSAUDITLINK__" localSheetId="7" hidden="1">{"fdsup://directions/FAT Viewer?action=UPDATE&amp;creator=factset&amp;DYN_ARGS=TRUE&amp;DOC_NAME=FAT:FQL_AUDITING_CLIENT_TEMPLATE.FAT&amp;display_string=Audit&amp;VAR:KEY=MXWBYLMRMR&amp;VAR:QUERY=UkdGX1RBWF9SQVRFKEFOTiwwLCwsLCwsTk9BVURJVCk=&amp;WINDOW=FIRST_POPUP&amp;HEIGHT=450&amp;WIDTH=450&amp;","START_MAXIMIZED=FALSE&amp;VAR:CALENDAR=US&amp;VAR:SYMBOL=TIBX&amp;VAR:INDEX=0"}</definedName>
    <definedName name="_2819__FDSAUDITLINK__" hidden="1">{"fdsup://directions/FAT Viewer?action=UPDATE&amp;creator=factset&amp;DYN_ARGS=TRUE&amp;DOC_NAME=FAT:FQL_AUDITING_CLIENT_TEMPLATE.FAT&amp;display_string=Audit&amp;VAR:KEY=MXWBYLMRMR&amp;VAR:QUERY=UkdGX1RBWF9SQVRFKEFOTiwwLCwsLCwsTk9BVURJVCk=&amp;WINDOW=FIRST_POPUP&amp;HEIGHT=450&amp;WIDTH=450&amp;","START_MAXIMIZED=FALSE&amp;VAR:CALENDAR=US&amp;VAR:SYMBOL=TIBX&amp;VAR:INDEX=0"}</definedName>
    <definedName name="_282__FDSAUDITLINK__" localSheetId="3" hidden="1">{"fdsup://Directions/FactSet Auditing Viewer?action=AUDIT_VALUE&amp;DB=129&amp;ID1=B10LQP&amp;VALUEID=04890&amp;SDATE=2010&amp;PERIODTYPE=ANN_STD&amp;SCFT=3&amp;window=popup_no_bar&amp;width=385&amp;height=120&amp;START_MAXIMIZED=FALSE&amp;creator=factset&amp;display_string=Audit"}</definedName>
    <definedName name="_282__FDSAUDITLINK__" localSheetId="7" hidden="1">{"fdsup://Directions/FactSet Auditing Viewer?action=AUDIT_VALUE&amp;DB=129&amp;ID1=B10LQP&amp;VALUEID=04890&amp;SDATE=2010&amp;PERIODTYPE=ANN_STD&amp;SCFT=3&amp;window=popup_no_bar&amp;width=385&amp;height=120&amp;START_MAXIMIZED=FALSE&amp;creator=factset&amp;display_string=Audit"}</definedName>
    <definedName name="_282__FDSAUDITLINK__" hidden="1">{"fdsup://Directions/FactSet Auditing Viewer?action=AUDIT_VALUE&amp;DB=129&amp;ID1=B10LQP&amp;VALUEID=04890&amp;SDATE=2010&amp;PERIODTYPE=ANN_STD&amp;SCFT=3&amp;window=popup_no_bar&amp;width=385&amp;height=120&amp;START_MAXIMIZED=FALSE&amp;creator=factset&amp;display_string=Audit"}</definedName>
    <definedName name="_2820__FDSAUDITLINK__" localSheetId="3" hidden="1">{"fdsup://directions/FAT Viewer?action=UPDATE&amp;creator=factset&amp;DYN_ARGS=TRUE&amp;DOC_NAME=FAT:FQL_AUDITING_CLIENT_TEMPLATE.FAT&amp;display_string=Audit&amp;VAR:KEY=MXWBYLMRMR&amp;VAR:QUERY=UkdGX1RBWF9SQVRFKEFOTiwwLCwsLCwsTk9BVURJVCk=&amp;WINDOW=FIRST_POPUP&amp;HEIGHT=450&amp;WIDTH=450&amp;","START_MAXIMIZED=FALSE&amp;VAR:CALENDAR=US&amp;VAR:SYMBOL=TIBX&amp;VAR:INDEX=0"}</definedName>
    <definedName name="_2820__FDSAUDITLINK__" localSheetId="7" hidden="1">{"fdsup://directions/FAT Viewer?action=UPDATE&amp;creator=factset&amp;DYN_ARGS=TRUE&amp;DOC_NAME=FAT:FQL_AUDITING_CLIENT_TEMPLATE.FAT&amp;display_string=Audit&amp;VAR:KEY=MXWBYLMRMR&amp;VAR:QUERY=UkdGX1RBWF9SQVRFKEFOTiwwLCwsLCwsTk9BVURJVCk=&amp;WINDOW=FIRST_POPUP&amp;HEIGHT=450&amp;WIDTH=450&amp;","START_MAXIMIZED=FALSE&amp;VAR:CALENDAR=US&amp;VAR:SYMBOL=TIBX&amp;VAR:INDEX=0"}</definedName>
    <definedName name="_2820__FDSAUDITLINK__" hidden="1">{"fdsup://directions/FAT Viewer?action=UPDATE&amp;creator=factset&amp;DYN_ARGS=TRUE&amp;DOC_NAME=FAT:FQL_AUDITING_CLIENT_TEMPLATE.FAT&amp;display_string=Audit&amp;VAR:KEY=MXWBYLMRMR&amp;VAR:QUERY=UkdGX1RBWF9SQVRFKEFOTiwwLCwsLCwsTk9BVURJVCk=&amp;WINDOW=FIRST_POPUP&amp;HEIGHT=450&amp;WIDTH=450&amp;","START_MAXIMIZED=FALSE&amp;VAR:CALENDAR=US&amp;VAR:SYMBOL=TIBX&amp;VAR:INDEX=0"}</definedName>
    <definedName name="_2821__FDSAUDITLINK__" localSheetId="3" hidden="1">{"fdsup://directions/FAT Viewer?action=UPDATE&amp;creator=factset&amp;DYN_ARGS=TRUE&amp;DOC_NAME=FAT:FQL_AUDITING_CLIENT_TEMPLATE.FAT&amp;display_string=Audit&amp;VAR:KEY=IHSNYTQBSV&amp;VAR:QUERY=UkdGX1RBWF9SQVRFKEFOTiwwLCwsLCwsTk9BVURJVCk=&amp;WINDOW=FIRST_POPUP&amp;HEIGHT=450&amp;WIDTH=450&amp;","START_MAXIMIZED=FALSE&amp;VAR:CALENDAR=US&amp;VAR:SYMBOL=TDC&amp;VAR:INDEX=0"}</definedName>
    <definedName name="_2821__FDSAUDITLINK__" localSheetId="7" hidden="1">{"fdsup://directions/FAT Viewer?action=UPDATE&amp;creator=factset&amp;DYN_ARGS=TRUE&amp;DOC_NAME=FAT:FQL_AUDITING_CLIENT_TEMPLATE.FAT&amp;display_string=Audit&amp;VAR:KEY=IHSNYTQBSV&amp;VAR:QUERY=UkdGX1RBWF9SQVRFKEFOTiwwLCwsLCwsTk9BVURJVCk=&amp;WINDOW=FIRST_POPUP&amp;HEIGHT=450&amp;WIDTH=450&amp;","START_MAXIMIZED=FALSE&amp;VAR:CALENDAR=US&amp;VAR:SYMBOL=TDC&amp;VAR:INDEX=0"}</definedName>
    <definedName name="_2821__FDSAUDITLINK__" hidden="1">{"fdsup://directions/FAT Viewer?action=UPDATE&amp;creator=factset&amp;DYN_ARGS=TRUE&amp;DOC_NAME=FAT:FQL_AUDITING_CLIENT_TEMPLATE.FAT&amp;display_string=Audit&amp;VAR:KEY=IHSNYTQBSV&amp;VAR:QUERY=UkdGX1RBWF9SQVRFKEFOTiwwLCwsLCwsTk9BVURJVCk=&amp;WINDOW=FIRST_POPUP&amp;HEIGHT=450&amp;WIDTH=450&amp;","START_MAXIMIZED=FALSE&amp;VAR:CALENDAR=US&amp;VAR:SYMBOL=TDC&amp;VAR:INDEX=0"}</definedName>
    <definedName name="_2822__FDSAUDITLINK__" localSheetId="3" hidden="1">{"fdsup://directions/FAT Viewer?action=UPDATE&amp;creator=factset&amp;DYN_ARGS=TRUE&amp;DOC_NAME=FAT:FQL_AUDITING_CLIENT_TEMPLATE.FAT&amp;display_string=Audit&amp;VAR:KEY=IHSNYTQBSV&amp;VAR:QUERY=UkdGX1RBWF9SQVRFKEFOTiwwLCwsLCwsTk9BVURJVCk=&amp;WINDOW=FIRST_POPUP&amp;HEIGHT=450&amp;WIDTH=450&amp;","START_MAXIMIZED=FALSE&amp;VAR:CALENDAR=US&amp;VAR:SYMBOL=TDC&amp;VAR:INDEX=0"}</definedName>
    <definedName name="_2822__FDSAUDITLINK__" localSheetId="7" hidden="1">{"fdsup://directions/FAT Viewer?action=UPDATE&amp;creator=factset&amp;DYN_ARGS=TRUE&amp;DOC_NAME=FAT:FQL_AUDITING_CLIENT_TEMPLATE.FAT&amp;display_string=Audit&amp;VAR:KEY=IHSNYTQBSV&amp;VAR:QUERY=UkdGX1RBWF9SQVRFKEFOTiwwLCwsLCwsTk9BVURJVCk=&amp;WINDOW=FIRST_POPUP&amp;HEIGHT=450&amp;WIDTH=450&amp;","START_MAXIMIZED=FALSE&amp;VAR:CALENDAR=US&amp;VAR:SYMBOL=TDC&amp;VAR:INDEX=0"}</definedName>
    <definedName name="_2822__FDSAUDITLINK__" hidden="1">{"fdsup://directions/FAT Viewer?action=UPDATE&amp;creator=factset&amp;DYN_ARGS=TRUE&amp;DOC_NAME=FAT:FQL_AUDITING_CLIENT_TEMPLATE.FAT&amp;display_string=Audit&amp;VAR:KEY=IHSNYTQBSV&amp;VAR:QUERY=UkdGX1RBWF9SQVRFKEFOTiwwLCwsLCwsTk9BVURJVCk=&amp;WINDOW=FIRST_POPUP&amp;HEIGHT=450&amp;WIDTH=450&amp;","START_MAXIMIZED=FALSE&amp;VAR:CALENDAR=US&amp;VAR:SYMBOL=TDC&amp;VAR:INDEX=0"}</definedName>
    <definedName name="_2823__FDSAUDITLINK__" localSheetId="3" hidden="1">{"fdsup://directions/FAT Viewer?action=UPDATE&amp;creator=factset&amp;DYN_ARGS=TRUE&amp;DOC_NAME=FAT:FQL_AUDITING_CLIENT_TEMPLATE.FAT&amp;display_string=Audit&amp;VAR:KEY=GBWNEBMTYH&amp;VAR:QUERY=UkdGX1RBWF9SQVRFKEFOTiwwLCwsLCwsTk9BVURJVCk=&amp;WINDOW=FIRST_POPUP&amp;HEIGHT=450&amp;WIDTH=450&amp;","START_MAXIMIZED=FALSE&amp;VAR:CALENDAR=US&amp;VAR:SYMBOL=597791&amp;VAR:INDEX=0"}</definedName>
    <definedName name="_2823__FDSAUDITLINK__" localSheetId="7" hidden="1">{"fdsup://directions/FAT Viewer?action=UPDATE&amp;creator=factset&amp;DYN_ARGS=TRUE&amp;DOC_NAME=FAT:FQL_AUDITING_CLIENT_TEMPLATE.FAT&amp;display_string=Audit&amp;VAR:KEY=GBWNEBMTYH&amp;VAR:QUERY=UkdGX1RBWF9SQVRFKEFOTiwwLCwsLCwsTk9BVURJVCk=&amp;WINDOW=FIRST_POPUP&amp;HEIGHT=450&amp;WIDTH=450&amp;","START_MAXIMIZED=FALSE&amp;VAR:CALENDAR=US&amp;VAR:SYMBOL=597791&amp;VAR:INDEX=0"}</definedName>
    <definedName name="_2823__FDSAUDITLINK__" hidden="1">{"fdsup://directions/FAT Viewer?action=UPDATE&amp;creator=factset&amp;DYN_ARGS=TRUE&amp;DOC_NAME=FAT:FQL_AUDITING_CLIENT_TEMPLATE.FAT&amp;display_string=Audit&amp;VAR:KEY=GBWNEBMTYH&amp;VAR:QUERY=UkdGX1RBWF9SQVRFKEFOTiwwLCwsLCwsTk9BVURJVCk=&amp;WINDOW=FIRST_POPUP&amp;HEIGHT=450&amp;WIDTH=450&amp;","START_MAXIMIZED=FALSE&amp;VAR:CALENDAR=US&amp;VAR:SYMBOL=597791&amp;VAR:INDEX=0"}</definedName>
    <definedName name="_2824__FDSAUDITLINK__" localSheetId="3" hidden="1">{"fdsup://directions/FAT Viewer?action=UPDATE&amp;creator=factset&amp;DYN_ARGS=TRUE&amp;DOC_NAME=FAT:FQL_AUDITING_CLIENT_TEMPLATE.FAT&amp;display_string=Audit&amp;VAR:KEY=GBWNEBMTYH&amp;VAR:QUERY=UkdGX1RBWF9SQVRFKEFOTiwwLCwsLCwsTk9BVURJVCk=&amp;WINDOW=FIRST_POPUP&amp;HEIGHT=450&amp;WIDTH=450&amp;","START_MAXIMIZED=FALSE&amp;VAR:CALENDAR=US&amp;VAR:SYMBOL=597791&amp;VAR:INDEX=0"}</definedName>
    <definedName name="_2824__FDSAUDITLINK__" localSheetId="7" hidden="1">{"fdsup://directions/FAT Viewer?action=UPDATE&amp;creator=factset&amp;DYN_ARGS=TRUE&amp;DOC_NAME=FAT:FQL_AUDITING_CLIENT_TEMPLATE.FAT&amp;display_string=Audit&amp;VAR:KEY=GBWNEBMTYH&amp;VAR:QUERY=UkdGX1RBWF9SQVRFKEFOTiwwLCwsLCwsTk9BVURJVCk=&amp;WINDOW=FIRST_POPUP&amp;HEIGHT=450&amp;WIDTH=450&amp;","START_MAXIMIZED=FALSE&amp;VAR:CALENDAR=US&amp;VAR:SYMBOL=597791&amp;VAR:INDEX=0"}</definedName>
    <definedName name="_2824__FDSAUDITLINK__" hidden="1">{"fdsup://directions/FAT Viewer?action=UPDATE&amp;creator=factset&amp;DYN_ARGS=TRUE&amp;DOC_NAME=FAT:FQL_AUDITING_CLIENT_TEMPLATE.FAT&amp;display_string=Audit&amp;VAR:KEY=GBWNEBMTYH&amp;VAR:QUERY=UkdGX1RBWF9SQVRFKEFOTiwwLCwsLCwsTk9BVURJVCk=&amp;WINDOW=FIRST_POPUP&amp;HEIGHT=450&amp;WIDTH=450&amp;","START_MAXIMIZED=FALSE&amp;VAR:CALENDAR=US&amp;VAR:SYMBOL=597791&amp;VAR:INDEX=0"}</definedName>
    <definedName name="_2825__FDSAUDITLINK__" localSheetId="3" hidden="1">{"fdsup://directions/FAT Viewer?action=UPDATE&amp;creator=factset&amp;DYN_ARGS=TRUE&amp;DOC_NAME=FAT:FQL_AUDITING_CLIENT_TEMPLATE.FAT&amp;display_string=Audit&amp;VAR:KEY=WPABITQDUJ&amp;VAR:QUERY=UkdGX1RBWF9SQVRFKEFOTiwwLCwsLCwsTk9BVURJVCk=&amp;WINDOW=FIRST_POPUP&amp;HEIGHT=450&amp;WIDTH=450&amp;","START_MAXIMIZED=FALSE&amp;VAR:CALENDAR=US&amp;VAR:SYMBOL=B01CT3&amp;VAR:INDEX=0"}</definedName>
    <definedName name="_2825__FDSAUDITLINK__" localSheetId="7" hidden="1">{"fdsup://directions/FAT Viewer?action=UPDATE&amp;creator=factset&amp;DYN_ARGS=TRUE&amp;DOC_NAME=FAT:FQL_AUDITING_CLIENT_TEMPLATE.FAT&amp;display_string=Audit&amp;VAR:KEY=WPABITQDUJ&amp;VAR:QUERY=UkdGX1RBWF9SQVRFKEFOTiwwLCwsLCwsTk9BVURJVCk=&amp;WINDOW=FIRST_POPUP&amp;HEIGHT=450&amp;WIDTH=450&amp;","START_MAXIMIZED=FALSE&amp;VAR:CALENDAR=US&amp;VAR:SYMBOL=B01CT3&amp;VAR:INDEX=0"}</definedName>
    <definedName name="_2825__FDSAUDITLINK__" hidden="1">{"fdsup://directions/FAT Viewer?action=UPDATE&amp;creator=factset&amp;DYN_ARGS=TRUE&amp;DOC_NAME=FAT:FQL_AUDITING_CLIENT_TEMPLATE.FAT&amp;display_string=Audit&amp;VAR:KEY=WPABITQDUJ&amp;VAR:QUERY=UkdGX1RBWF9SQVRFKEFOTiwwLCwsLCwsTk9BVURJVCk=&amp;WINDOW=FIRST_POPUP&amp;HEIGHT=450&amp;WIDTH=450&amp;","START_MAXIMIZED=FALSE&amp;VAR:CALENDAR=US&amp;VAR:SYMBOL=B01CT3&amp;VAR:INDEX=0"}</definedName>
    <definedName name="_2826__FDSAUDITLINK__" localSheetId="3" hidden="1">{"fdsup://directions/FAT Viewer?action=UPDATE&amp;creator=factset&amp;DYN_ARGS=TRUE&amp;DOC_NAME=FAT:FQL_AUDITING_CLIENT_TEMPLATE.FAT&amp;display_string=Audit&amp;VAR:KEY=WPABITQDUJ&amp;VAR:QUERY=UkdGX1RBWF9SQVRFKEFOTiwwLCwsLCwsTk9BVURJVCk=&amp;WINDOW=FIRST_POPUP&amp;HEIGHT=450&amp;WIDTH=450&amp;","START_MAXIMIZED=FALSE&amp;VAR:CALENDAR=US&amp;VAR:SYMBOL=B01CT3&amp;VAR:INDEX=0"}</definedName>
    <definedName name="_2826__FDSAUDITLINK__" localSheetId="7" hidden="1">{"fdsup://directions/FAT Viewer?action=UPDATE&amp;creator=factset&amp;DYN_ARGS=TRUE&amp;DOC_NAME=FAT:FQL_AUDITING_CLIENT_TEMPLATE.FAT&amp;display_string=Audit&amp;VAR:KEY=WPABITQDUJ&amp;VAR:QUERY=UkdGX1RBWF9SQVRFKEFOTiwwLCwsLCwsTk9BVURJVCk=&amp;WINDOW=FIRST_POPUP&amp;HEIGHT=450&amp;WIDTH=450&amp;","START_MAXIMIZED=FALSE&amp;VAR:CALENDAR=US&amp;VAR:SYMBOL=B01CT3&amp;VAR:INDEX=0"}</definedName>
    <definedName name="_2826__FDSAUDITLINK__" hidden="1">{"fdsup://directions/FAT Viewer?action=UPDATE&amp;creator=factset&amp;DYN_ARGS=TRUE&amp;DOC_NAME=FAT:FQL_AUDITING_CLIENT_TEMPLATE.FAT&amp;display_string=Audit&amp;VAR:KEY=WPABITQDUJ&amp;VAR:QUERY=UkdGX1RBWF9SQVRFKEFOTiwwLCwsLCwsTk9BVURJVCk=&amp;WINDOW=FIRST_POPUP&amp;HEIGHT=450&amp;WIDTH=450&amp;","START_MAXIMIZED=FALSE&amp;VAR:CALENDAR=US&amp;VAR:SYMBOL=B01CT3&amp;VAR:INDEX=0"}</definedName>
    <definedName name="_2827__FDSAUDITLINK__" localSheetId="3" hidden="1">{"fdsup://directions/FAT Viewer?action=UPDATE&amp;creator=factset&amp;DYN_ARGS=TRUE&amp;DOC_NAME=FAT:FQL_AUDITING_CLIENT_TEMPLATE.FAT&amp;display_string=Audit&amp;VAR:KEY=MPCRKLCFOF&amp;VAR:QUERY=UkdGX1RBWF9SQVRFKEFOTiwwLCwsLCwsTk9BVURJVCk=&amp;WINDOW=FIRST_POPUP&amp;HEIGHT=450&amp;WIDTH=450&amp;","START_MAXIMIZED=FALSE&amp;VAR:CALENDAR=US&amp;VAR:SYMBOL=TNAV&amp;VAR:INDEX=0"}</definedName>
    <definedName name="_2827__FDSAUDITLINK__" localSheetId="7" hidden="1">{"fdsup://directions/FAT Viewer?action=UPDATE&amp;creator=factset&amp;DYN_ARGS=TRUE&amp;DOC_NAME=FAT:FQL_AUDITING_CLIENT_TEMPLATE.FAT&amp;display_string=Audit&amp;VAR:KEY=MPCRKLCFOF&amp;VAR:QUERY=UkdGX1RBWF9SQVRFKEFOTiwwLCwsLCwsTk9BVURJVCk=&amp;WINDOW=FIRST_POPUP&amp;HEIGHT=450&amp;WIDTH=450&amp;","START_MAXIMIZED=FALSE&amp;VAR:CALENDAR=US&amp;VAR:SYMBOL=TNAV&amp;VAR:INDEX=0"}</definedName>
    <definedName name="_2827__FDSAUDITLINK__" hidden="1">{"fdsup://directions/FAT Viewer?action=UPDATE&amp;creator=factset&amp;DYN_ARGS=TRUE&amp;DOC_NAME=FAT:FQL_AUDITING_CLIENT_TEMPLATE.FAT&amp;display_string=Audit&amp;VAR:KEY=MPCRKLCFOF&amp;VAR:QUERY=UkdGX1RBWF9SQVRFKEFOTiwwLCwsLCwsTk9BVURJVCk=&amp;WINDOW=FIRST_POPUP&amp;HEIGHT=450&amp;WIDTH=450&amp;","START_MAXIMIZED=FALSE&amp;VAR:CALENDAR=US&amp;VAR:SYMBOL=TNAV&amp;VAR:INDEX=0"}</definedName>
    <definedName name="_2828__FDSAUDITLINK__" localSheetId="3" hidden="1">{"fdsup://directions/FAT Viewer?action=UPDATE&amp;creator=factset&amp;DYN_ARGS=TRUE&amp;DOC_NAME=FAT:FQL_AUDITING_CLIENT_TEMPLATE.FAT&amp;display_string=Audit&amp;VAR:KEY=MPCRKLCFOF&amp;VAR:QUERY=UkdGX1RBWF9SQVRFKEFOTiwwLCwsLCwsTk9BVURJVCk=&amp;WINDOW=FIRST_POPUP&amp;HEIGHT=450&amp;WIDTH=450&amp;","START_MAXIMIZED=FALSE&amp;VAR:CALENDAR=US&amp;VAR:SYMBOL=TNAV&amp;VAR:INDEX=0"}</definedName>
    <definedName name="_2828__FDSAUDITLINK__" localSheetId="7" hidden="1">{"fdsup://directions/FAT Viewer?action=UPDATE&amp;creator=factset&amp;DYN_ARGS=TRUE&amp;DOC_NAME=FAT:FQL_AUDITING_CLIENT_TEMPLATE.FAT&amp;display_string=Audit&amp;VAR:KEY=MPCRKLCFOF&amp;VAR:QUERY=UkdGX1RBWF9SQVRFKEFOTiwwLCwsLCwsTk9BVURJVCk=&amp;WINDOW=FIRST_POPUP&amp;HEIGHT=450&amp;WIDTH=450&amp;","START_MAXIMIZED=FALSE&amp;VAR:CALENDAR=US&amp;VAR:SYMBOL=TNAV&amp;VAR:INDEX=0"}</definedName>
    <definedName name="_2828__FDSAUDITLINK__" hidden="1">{"fdsup://directions/FAT Viewer?action=UPDATE&amp;creator=factset&amp;DYN_ARGS=TRUE&amp;DOC_NAME=FAT:FQL_AUDITING_CLIENT_TEMPLATE.FAT&amp;display_string=Audit&amp;VAR:KEY=MPCRKLCFOF&amp;VAR:QUERY=UkdGX1RBWF9SQVRFKEFOTiwwLCwsLCwsTk9BVURJVCk=&amp;WINDOW=FIRST_POPUP&amp;HEIGHT=450&amp;WIDTH=450&amp;","START_MAXIMIZED=FALSE&amp;VAR:CALENDAR=US&amp;VAR:SYMBOL=TNAV&amp;VAR:INDEX=0"}</definedName>
    <definedName name="_2829__FDSAUDITLINK__" localSheetId="3" hidden="1">{"fdsup://directions/FAT Viewer?action=UPDATE&amp;creator=factset&amp;DYN_ARGS=TRUE&amp;DOC_NAME=FAT:FQL_AUDITING_CLIENT_TEMPLATE.FAT&amp;display_string=Audit&amp;VAR:KEY=UHGHQRQTGD&amp;VAR:QUERY=UkdGX1RBWF9SQVRFKEFOTiwwLCwsLCwsTk9BVURJVCk=&amp;WINDOW=FIRST_POPUP&amp;HEIGHT=450&amp;WIDTH=450&amp;","START_MAXIMIZED=FALSE&amp;VAR:CALENDAR=US&amp;VAR:SYMBOL=TTGT&amp;VAR:INDEX=0"}</definedName>
    <definedName name="_2829__FDSAUDITLINK__" localSheetId="7" hidden="1">{"fdsup://directions/FAT Viewer?action=UPDATE&amp;creator=factset&amp;DYN_ARGS=TRUE&amp;DOC_NAME=FAT:FQL_AUDITING_CLIENT_TEMPLATE.FAT&amp;display_string=Audit&amp;VAR:KEY=UHGHQRQTGD&amp;VAR:QUERY=UkdGX1RBWF9SQVRFKEFOTiwwLCwsLCwsTk9BVURJVCk=&amp;WINDOW=FIRST_POPUP&amp;HEIGHT=450&amp;WIDTH=450&amp;","START_MAXIMIZED=FALSE&amp;VAR:CALENDAR=US&amp;VAR:SYMBOL=TTGT&amp;VAR:INDEX=0"}</definedName>
    <definedName name="_2829__FDSAUDITLINK__" hidden="1">{"fdsup://directions/FAT Viewer?action=UPDATE&amp;creator=factset&amp;DYN_ARGS=TRUE&amp;DOC_NAME=FAT:FQL_AUDITING_CLIENT_TEMPLATE.FAT&amp;display_string=Audit&amp;VAR:KEY=UHGHQRQTGD&amp;VAR:QUERY=UkdGX1RBWF9SQVRFKEFOTiwwLCwsLCwsTk9BVURJVCk=&amp;WINDOW=FIRST_POPUP&amp;HEIGHT=450&amp;WIDTH=450&amp;","START_MAXIMIZED=FALSE&amp;VAR:CALENDAR=US&amp;VAR:SYMBOL=TTGT&amp;VAR:INDEX=0"}</definedName>
    <definedName name="_283__FDSAUDITLINK__" localSheetId="3" hidden="1">{"fdsup://directions/FAT Viewer?action=UPDATE&amp;creator=factset&amp;DYN_ARGS=TRUE&amp;DOC_NAME=FAT:FQL_AUDITING_CLIENT_TEMPLATE.FAT&amp;display_string=Audit&amp;VAR:KEY=SNCJWNKFQX&amp;VAR:QUERY=KEZGX1BUWF9JTkMoQU5OLDAsLTksWSxSUCkgLyBGRl9PUEVSX0lOQyhBTk4sMCwtOSxZLFJQKSk=&amp;WINDOW=F","IRST_POPUP&amp;HEIGHT=450&amp;WIDTH=450&amp;START_MAXIMIZED=FALSE&amp;VAR:CALENDAR=US&amp;VAR:SYMBOL=B10LQP&amp;VAR:INDEX=4"}</definedName>
    <definedName name="_283__FDSAUDITLINK__" localSheetId="7" hidden="1">{"fdsup://directions/FAT Viewer?action=UPDATE&amp;creator=factset&amp;DYN_ARGS=TRUE&amp;DOC_NAME=FAT:FQL_AUDITING_CLIENT_TEMPLATE.FAT&amp;display_string=Audit&amp;VAR:KEY=SNCJWNKFQX&amp;VAR:QUERY=KEZGX1BUWF9JTkMoQU5OLDAsLTksWSxSUCkgLyBGRl9PUEVSX0lOQyhBTk4sMCwtOSxZLFJQKSk=&amp;WINDOW=F","IRST_POPUP&amp;HEIGHT=450&amp;WIDTH=450&amp;START_MAXIMIZED=FALSE&amp;VAR:CALENDAR=US&amp;VAR:SYMBOL=B10LQP&amp;VAR:INDEX=4"}</definedName>
    <definedName name="_283__FDSAUDITLINK__" hidden="1">{"fdsup://directions/FAT Viewer?action=UPDATE&amp;creator=factset&amp;DYN_ARGS=TRUE&amp;DOC_NAME=FAT:FQL_AUDITING_CLIENT_TEMPLATE.FAT&amp;display_string=Audit&amp;VAR:KEY=SNCJWNKFQX&amp;VAR:QUERY=KEZGX1BUWF9JTkMoQU5OLDAsLTksWSxSUCkgLyBGRl9PUEVSX0lOQyhBTk4sMCwtOSxZLFJQKSk=&amp;WINDOW=F","IRST_POPUP&amp;HEIGHT=450&amp;WIDTH=450&amp;START_MAXIMIZED=FALSE&amp;VAR:CALENDAR=US&amp;VAR:SYMBOL=B10LQP&amp;VAR:INDEX=4"}</definedName>
    <definedName name="_2830__FDSAUDITLINK__" localSheetId="3" hidden="1">{"fdsup://directions/FAT Viewer?action=UPDATE&amp;creator=factset&amp;DYN_ARGS=TRUE&amp;DOC_NAME=FAT:FQL_AUDITING_CLIENT_TEMPLATE.FAT&amp;display_string=Audit&amp;VAR:KEY=UHGHQRQTGD&amp;VAR:QUERY=UkdGX1RBWF9SQVRFKEFOTiwwLCwsLCwsTk9BVURJVCk=&amp;WINDOW=FIRST_POPUP&amp;HEIGHT=450&amp;WIDTH=450&amp;","START_MAXIMIZED=FALSE&amp;VAR:CALENDAR=US&amp;VAR:SYMBOL=TTGT&amp;VAR:INDEX=0"}</definedName>
    <definedName name="_2830__FDSAUDITLINK__" localSheetId="7" hidden="1">{"fdsup://directions/FAT Viewer?action=UPDATE&amp;creator=factset&amp;DYN_ARGS=TRUE&amp;DOC_NAME=FAT:FQL_AUDITING_CLIENT_TEMPLATE.FAT&amp;display_string=Audit&amp;VAR:KEY=UHGHQRQTGD&amp;VAR:QUERY=UkdGX1RBWF9SQVRFKEFOTiwwLCwsLCwsTk9BVURJVCk=&amp;WINDOW=FIRST_POPUP&amp;HEIGHT=450&amp;WIDTH=450&amp;","START_MAXIMIZED=FALSE&amp;VAR:CALENDAR=US&amp;VAR:SYMBOL=TTGT&amp;VAR:INDEX=0"}</definedName>
    <definedName name="_2830__FDSAUDITLINK__" hidden="1">{"fdsup://directions/FAT Viewer?action=UPDATE&amp;creator=factset&amp;DYN_ARGS=TRUE&amp;DOC_NAME=FAT:FQL_AUDITING_CLIENT_TEMPLATE.FAT&amp;display_string=Audit&amp;VAR:KEY=UHGHQRQTGD&amp;VAR:QUERY=UkdGX1RBWF9SQVRFKEFOTiwwLCwsLCwsTk9BVURJVCk=&amp;WINDOW=FIRST_POPUP&amp;HEIGHT=450&amp;WIDTH=450&amp;","START_MAXIMIZED=FALSE&amp;VAR:CALENDAR=US&amp;VAR:SYMBOL=TTGT&amp;VAR:INDEX=0"}</definedName>
    <definedName name="_2831__FDSAUDITLINK__" localSheetId="3" hidden="1">{"fdsup://directions/FAT Viewer?action=UPDATE&amp;creator=factset&amp;DYN_ARGS=TRUE&amp;DOC_NAME=FAT:FQL_AUDITING_CLIENT_TEMPLATE.FAT&amp;display_string=Audit&amp;VAR:KEY=AHOPKBWRQZ&amp;VAR:QUERY=UkdGX1RBWF9SQVRFKEFOTiwwLCwsLCwsTk9BVURJVCk=&amp;WINDOW=FIRST_POPUP&amp;HEIGHT=450&amp;WIDTH=450&amp;","START_MAXIMIZED=FALSE&amp;VAR:CALENDAR=US&amp;VAR:SYMBOL=TLEO&amp;VAR:INDEX=0"}</definedName>
    <definedName name="_2831__FDSAUDITLINK__" localSheetId="7" hidden="1">{"fdsup://directions/FAT Viewer?action=UPDATE&amp;creator=factset&amp;DYN_ARGS=TRUE&amp;DOC_NAME=FAT:FQL_AUDITING_CLIENT_TEMPLATE.FAT&amp;display_string=Audit&amp;VAR:KEY=AHOPKBWRQZ&amp;VAR:QUERY=UkdGX1RBWF9SQVRFKEFOTiwwLCwsLCwsTk9BVURJVCk=&amp;WINDOW=FIRST_POPUP&amp;HEIGHT=450&amp;WIDTH=450&amp;","START_MAXIMIZED=FALSE&amp;VAR:CALENDAR=US&amp;VAR:SYMBOL=TLEO&amp;VAR:INDEX=0"}</definedName>
    <definedName name="_2831__FDSAUDITLINK__" hidden="1">{"fdsup://directions/FAT Viewer?action=UPDATE&amp;creator=factset&amp;DYN_ARGS=TRUE&amp;DOC_NAME=FAT:FQL_AUDITING_CLIENT_TEMPLATE.FAT&amp;display_string=Audit&amp;VAR:KEY=AHOPKBWRQZ&amp;VAR:QUERY=UkdGX1RBWF9SQVRFKEFOTiwwLCwsLCwsTk9BVURJVCk=&amp;WINDOW=FIRST_POPUP&amp;HEIGHT=450&amp;WIDTH=450&amp;","START_MAXIMIZED=FALSE&amp;VAR:CALENDAR=US&amp;VAR:SYMBOL=TLEO&amp;VAR:INDEX=0"}</definedName>
    <definedName name="_2832__FDSAUDITLINK__" localSheetId="3" hidden="1">{"fdsup://directions/FAT Viewer?action=UPDATE&amp;creator=factset&amp;DYN_ARGS=TRUE&amp;DOC_NAME=FAT:FQL_AUDITING_CLIENT_TEMPLATE.FAT&amp;display_string=Audit&amp;VAR:KEY=SBSTKPSDMB&amp;VAR:QUERY=UkdGX1RBWF9SQVRFKEFOTiwwLCwsLCwsTk9BVURJVCk=&amp;WINDOW=FIRST_POPUP&amp;HEIGHT=450&amp;WIDTH=450&amp;","START_MAXIMIZED=FALSE&amp;VAR:CALENDAR=US&amp;VAR:SYMBOL=SNPS&amp;VAR:INDEX=0"}</definedName>
    <definedName name="_2832__FDSAUDITLINK__" localSheetId="7" hidden="1">{"fdsup://directions/FAT Viewer?action=UPDATE&amp;creator=factset&amp;DYN_ARGS=TRUE&amp;DOC_NAME=FAT:FQL_AUDITING_CLIENT_TEMPLATE.FAT&amp;display_string=Audit&amp;VAR:KEY=SBSTKPSDMB&amp;VAR:QUERY=UkdGX1RBWF9SQVRFKEFOTiwwLCwsLCwsTk9BVURJVCk=&amp;WINDOW=FIRST_POPUP&amp;HEIGHT=450&amp;WIDTH=450&amp;","START_MAXIMIZED=FALSE&amp;VAR:CALENDAR=US&amp;VAR:SYMBOL=SNPS&amp;VAR:INDEX=0"}</definedName>
    <definedName name="_2832__FDSAUDITLINK__" hidden="1">{"fdsup://directions/FAT Viewer?action=UPDATE&amp;creator=factset&amp;DYN_ARGS=TRUE&amp;DOC_NAME=FAT:FQL_AUDITING_CLIENT_TEMPLATE.FAT&amp;display_string=Audit&amp;VAR:KEY=SBSTKPSDMB&amp;VAR:QUERY=UkdGX1RBWF9SQVRFKEFOTiwwLCwsLCwsTk9BVURJVCk=&amp;WINDOW=FIRST_POPUP&amp;HEIGHT=450&amp;WIDTH=450&amp;","START_MAXIMIZED=FALSE&amp;VAR:CALENDAR=US&amp;VAR:SYMBOL=SNPS&amp;VAR:INDEX=0"}</definedName>
    <definedName name="_2833__FDSAUDITLINK__" localSheetId="3" hidden="1">{"fdsup://directions/FAT Viewer?action=UPDATE&amp;creator=factset&amp;DYN_ARGS=TRUE&amp;DOC_NAME=FAT:FQL_AUDITING_CLIENT_TEMPLATE.FAT&amp;display_string=Audit&amp;VAR:KEY=SBSTKPSDMB&amp;VAR:QUERY=UkdGX1RBWF9SQVRFKEFOTiwwLCwsLCwsTk9BVURJVCk=&amp;WINDOW=FIRST_POPUP&amp;HEIGHT=450&amp;WIDTH=450&amp;","START_MAXIMIZED=FALSE&amp;VAR:CALENDAR=US&amp;VAR:SYMBOL=SNPS&amp;VAR:INDEX=0"}</definedName>
    <definedName name="_2833__FDSAUDITLINK__" localSheetId="7" hidden="1">{"fdsup://directions/FAT Viewer?action=UPDATE&amp;creator=factset&amp;DYN_ARGS=TRUE&amp;DOC_NAME=FAT:FQL_AUDITING_CLIENT_TEMPLATE.FAT&amp;display_string=Audit&amp;VAR:KEY=SBSTKPSDMB&amp;VAR:QUERY=UkdGX1RBWF9SQVRFKEFOTiwwLCwsLCwsTk9BVURJVCk=&amp;WINDOW=FIRST_POPUP&amp;HEIGHT=450&amp;WIDTH=450&amp;","START_MAXIMIZED=FALSE&amp;VAR:CALENDAR=US&amp;VAR:SYMBOL=SNPS&amp;VAR:INDEX=0"}</definedName>
    <definedName name="_2833__FDSAUDITLINK__" hidden="1">{"fdsup://directions/FAT Viewer?action=UPDATE&amp;creator=factset&amp;DYN_ARGS=TRUE&amp;DOC_NAME=FAT:FQL_AUDITING_CLIENT_TEMPLATE.FAT&amp;display_string=Audit&amp;VAR:KEY=SBSTKPSDMB&amp;VAR:QUERY=UkdGX1RBWF9SQVRFKEFOTiwwLCwsLCwsTk9BVURJVCk=&amp;WINDOW=FIRST_POPUP&amp;HEIGHT=450&amp;WIDTH=450&amp;","START_MAXIMIZED=FALSE&amp;VAR:CALENDAR=US&amp;VAR:SYMBOL=SNPS&amp;VAR:INDEX=0"}</definedName>
    <definedName name="_2834__FDSAUDITLINK__" localSheetId="3" hidden="1">{"fdsup://directions/FAT Viewer?action=UPDATE&amp;creator=factset&amp;DYN_ARGS=TRUE&amp;DOC_NAME=FAT:FQL_AUDITING_CLIENT_TEMPLATE.FAT&amp;display_string=Audit&amp;VAR:KEY=ADEFARYLOJ&amp;VAR:QUERY=UkdGX1RBWF9SQVRFKEFOTiwwLCwsLCwsTk9BVURJVCk=&amp;WINDOW=FIRST_POPUP&amp;HEIGHT=450&amp;WIDTH=450&amp;","START_MAXIMIZED=FALSE&amp;VAR:CALENDAR=US&amp;VAR:SYMBOL=SVR&amp;VAR:INDEX=0"}</definedName>
    <definedName name="_2834__FDSAUDITLINK__" localSheetId="7" hidden="1">{"fdsup://directions/FAT Viewer?action=UPDATE&amp;creator=factset&amp;DYN_ARGS=TRUE&amp;DOC_NAME=FAT:FQL_AUDITING_CLIENT_TEMPLATE.FAT&amp;display_string=Audit&amp;VAR:KEY=ADEFARYLOJ&amp;VAR:QUERY=UkdGX1RBWF9SQVRFKEFOTiwwLCwsLCwsTk9BVURJVCk=&amp;WINDOW=FIRST_POPUP&amp;HEIGHT=450&amp;WIDTH=450&amp;","START_MAXIMIZED=FALSE&amp;VAR:CALENDAR=US&amp;VAR:SYMBOL=SVR&amp;VAR:INDEX=0"}</definedName>
    <definedName name="_2834__FDSAUDITLINK__" hidden="1">{"fdsup://directions/FAT Viewer?action=UPDATE&amp;creator=factset&amp;DYN_ARGS=TRUE&amp;DOC_NAME=FAT:FQL_AUDITING_CLIENT_TEMPLATE.FAT&amp;display_string=Audit&amp;VAR:KEY=ADEFARYLOJ&amp;VAR:QUERY=UkdGX1RBWF9SQVRFKEFOTiwwLCwsLCwsTk9BVURJVCk=&amp;WINDOW=FIRST_POPUP&amp;HEIGHT=450&amp;WIDTH=450&amp;","START_MAXIMIZED=FALSE&amp;VAR:CALENDAR=US&amp;VAR:SYMBOL=SVR&amp;VAR:INDEX=0"}</definedName>
    <definedName name="_2835__FDSAUDITLINK__" localSheetId="3" hidden="1">{"fdsup://directions/FAT Viewer?action=UPDATE&amp;creator=factset&amp;DYN_ARGS=TRUE&amp;DOC_NAME=FAT:FQL_AUDITING_CLIENT_TEMPLATE.FAT&amp;display_string=Audit&amp;VAR:KEY=ADEFARYLOJ&amp;VAR:QUERY=UkdGX1RBWF9SQVRFKEFOTiwwLCwsLCwsTk9BVURJVCk=&amp;WINDOW=FIRST_POPUP&amp;HEIGHT=450&amp;WIDTH=450&amp;","START_MAXIMIZED=FALSE&amp;VAR:CALENDAR=US&amp;VAR:SYMBOL=SVR&amp;VAR:INDEX=0"}</definedName>
    <definedName name="_2835__FDSAUDITLINK__" localSheetId="7" hidden="1">{"fdsup://directions/FAT Viewer?action=UPDATE&amp;creator=factset&amp;DYN_ARGS=TRUE&amp;DOC_NAME=FAT:FQL_AUDITING_CLIENT_TEMPLATE.FAT&amp;display_string=Audit&amp;VAR:KEY=ADEFARYLOJ&amp;VAR:QUERY=UkdGX1RBWF9SQVRFKEFOTiwwLCwsLCwsTk9BVURJVCk=&amp;WINDOW=FIRST_POPUP&amp;HEIGHT=450&amp;WIDTH=450&amp;","START_MAXIMIZED=FALSE&amp;VAR:CALENDAR=US&amp;VAR:SYMBOL=SVR&amp;VAR:INDEX=0"}</definedName>
    <definedName name="_2835__FDSAUDITLINK__" hidden="1">{"fdsup://directions/FAT Viewer?action=UPDATE&amp;creator=factset&amp;DYN_ARGS=TRUE&amp;DOC_NAME=FAT:FQL_AUDITING_CLIENT_TEMPLATE.FAT&amp;display_string=Audit&amp;VAR:KEY=ADEFARYLOJ&amp;VAR:QUERY=UkdGX1RBWF9SQVRFKEFOTiwwLCwsLCwsTk9BVURJVCk=&amp;WINDOW=FIRST_POPUP&amp;HEIGHT=450&amp;WIDTH=450&amp;","START_MAXIMIZED=FALSE&amp;VAR:CALENDAR=US&amp;VAR:SYMBOL=SVR&amp;VAR:INDEX=0"}</definedName>
    <definedName name="_2836__FDSAUDITLINK__" localSheetId="3" hidden="1">{"fdsup://directions/FAT Viewer?action=UPDATE&amp;creator=factset&amp;DYN_ARGS=TRUE&amp;DOC_NAME=FAT:FQL_AUDITING_CLIENT_TEMPLATE.FAT&amp;display_string=Audit&amp;VAR:KEY=EDSHYFAFSP&amp;VAR:QUERY=UkdGX1RBWF9SQVRFKEFOTiwwLCwsLCwsTk9BVURJVCk=&amp;WINDOW=FIRST_POPUP&amp;HEIGHT=450&amp;WIDTH=450&amp;","START_MAXIMIZED=FALSE&amp;VAR:CALENDAR=US&amp;VAR:SYMBOL=SNCR&amp;VAR:INDEX=0"}</definedName>
    <definedName name="_2836__FDSAUDITLINK__" localSheetId="7" hidden="1">{"fdsup://directions/FAT Viewer?action=UPDATE&amp;creator=factset&amp;DYN_ARGS=TRUE&amp;DOC_NAME=FAT:FQL_AUDITING_CLIENT_TEMPLATE.FAT&amp;display_string=Audit&amp;VAR:KEY=EDSHYFAFSP&amp;VAR:QUERY=UkdGX1RBWF9SQVRFKEFOTiwwLCwsLCwsTk9BVURJVCk=&amp;WINDOW=FIRST_POPUP&amp;HEIGHT=450&amp;WIDTH=450&amp;","START_MAXIMIZED=FALSE&amp;VAR:CALENDAR=US&amp;VAR:SYMBOL=SNCR&amp;VAR:INDEX=0"}</definedName>
    <definedName name="_2836__FDSAUDITLINK__" hidden="1">{"fdsup://directions/FAT Viewer?action=UPDATE&amp;creator=factset&amp;DYN_ARGS=TRUE&amp;DOC_NAME=FAT:FQL_AUDITING_CLIENT_TEMPLATE.FAT&amp;display_string=Audit&amp;VAR:KEY=EDSHYFAFSP&amp;VAR:QUERY=UkdGX1RBWF9SQVRFKEFOTiwwLCwsLCwsTk9BVURJVCk=&amp;WINDOW=FIRST_POPUP&amp;HEIGHT=450&amp;WIDTH=450&amp;","START_MAXIMIZED=FALSE&amp;VAR:CALENDAR=US&amp;VAR:SYMBOL=SNCR&amp;VAR:INDEX=0"}</definedName>
    <definedName name="_2837__FDSAUDITLINK__" localSheetId="3" hidden="1">{"fdsup://directions/FAT Viewer?action=UPDATE&amp;creator=factset&amp;DYN_ARGS=TRUE&amp;DOC_NAME=FAT:FQL_AUDITING_CLIENT_TEMPLATE.FAT&amp;display_string=Audit&amp;VAR:KEY=EDSHYFAFSP&amp;VAR:QUERY=UkdGX1RBWF9SQVRFKEFOTiwwLCwsLCwsTk9BVURJVCk=&amp;WINDOW=FIRST_POPUP&amp;HEIGHT=450&amp;WIDTH=450&amp;","START_MAXIMIZED=FALSE&amp;VAR:CALENDAR=US&amp;VAR:SYMBOL=SNCR&amp;VAR:INDEX=0"}</definedName>
    <definedName name="_2837__FDSAUDITLINK__" localSheetId="7" hidden="1">{"fdsup://directions/FAT Viewer?action=UPDATE&amp;creator=factset&amp;DYN_ARGS=TRUE&amp;DOC_NAME=FAT:FQL_AUDITING_CLIENT_TEMPLATE.FAT&amp;display_string=Audit&amp;VAR:KEY=EDSHYFAFSP&amp;VAR:QUERY=UkdGX1RBWF9SQVRFKEFOTiwwLCwsLCwsTk9BVURJVCk=&amp;WINDOW=FIRST_POPUP&amp;HEIGHT=450&amp;WIDTH=450&amp;","START_MAXIMIZED=FALSE&amp;VAR:CALENDAR=US&amp;VAR:SYMBOL=SNCR&amp;VAR:INDEX=0"}</definedName>
    <definedName name="_2837__FDSAUDITLINK__" hidden="1">{"fdsup://directions/FAT Viewer?action=UPDATE&amp;creator=factset&amp;DYN_ARGS=TRUE&amp;DOC_NAME=FAT:FQL_AUDITING_CLIENT_TEMPLATE.FAT&amp;display_string=Audit&amp;VAR:KEY=EDSHYFAFSP&amp;VAR:QUERY=UkdGX1RBWF9SQVRFKEFOTiwwLCwsLCwsTk9BVURJVCk=&amp;WINDOW=FIRST_POPUP&amp;HEIGHT=450&amp;WIDTH=450&amp;","START_MAXIMIZED=FALSE&amp;VAR:CALENDAR=US&amp;VAR:SYMBOL=SNCR&amp;VAR:INDEX=0"}</definedName>
    <definedName name="_2838__FDSAUDITLINK__" localSheetId="3" hidden="1">{"fdsup://directions/FAT Viewer?action=UPDATE&amp;creator=factset&amp;DYN_ARGS=TRUE&amp;DOC_NAME=FAT:FQL_AUDITING_CLIENT_TEMPLATE.FAT&amp;display_string=Audit&amp;VAR:KEY=QFGBUJIVGF&amp;VAR:QUERY=UkdGX1RBWF9SQVRFKEFOTiwwLCwsLCwsTk9BVURJVCk=&amp;WINDOW=FIRST_POPUP&amp;HEIGHT=450&amp;WIDTH=450&amp;","START_MAXIMIZED=FALSE&amp;VAR:CALENDAR=US&amp;VAR:SYMBOL=SYMC&amp;VAR:INDEX=0"}</definedName>
    <definedName name="_2838__FDSAUDITLINK__" localSheetId="7" hidden="1">{"fdsup://directions/FAT Viewer?action=UPDATE&amp;creator=factset&amp;DYN_ARGS=TRUE&amp;DOC_NAME=FAT:FQL_AUDITING_CLIENT_TEMPLATE.FAT&amp;display_string=Audit&amp;VAR:KEY=QFGBUJIVGF&amp;VAR:QUERY=UkdGX1RBWF9SQVRFKEFOTiwwLCwsLCwsTk9BVURJVCk=&amp;WINDOW=FIRST_POPUP&amp;HEIGHT=450&amp;WIDTH=450&amp;","START_MAXIMIZED=FALSE&amp;VAR:CALENDAR=US&amp;VAR:SYMBOL=SYMC&amp;VAR:INDEX=0"}</definedName>
    <definedName name="_2838__FDSAUDITLINK__" hidden="1">{"fdsup://directions/FAT Viewer?action=UPDATE&amp;creator=factset&amp;DYN_ARGS=TRUE&amp;DOC_NAME=FAT:FQL_AUDITING_CLIENT_TEMPLATE.FAT&amp;display_string=Audit&amp;VAR:KEY=QFGBUJIVGF&amp;VAR:QUERY=UkdGX1RBWF9SQVRFKEFOTiwwLCwsLCwsTk9BVURJVCk=&amp;WINDOW=FIRST_POPUP&amp;HEIGHT=450&amp;WIDTH=450&amp;","START_MAXIMIZED=FALSE&amp;VAR:CALENDAR=US&amp;VAR:SYMBOL=SYMC&amp;VAR:INDEX=0"}</definedName>
    <definedName name="_2839__FDSAUDITLINK__" localSheetId="3" hidden="1">{"fdsup://directions/FAT Viewer?action=UPDATE&amp;creator=factset&amp;DYN_ARGS=TRUE&amp;DOC_NAME=FAT:FQL_AUDITING_CLIENT_TEMPLATE.FAT&amp;display_string=Audit&amp;VAR:KEY=QFGBUJIVGF&amp;VAR:QUERY=UkdGX1RBWF9SQVRFKEFOTiwwLCwsLCwsTk9BVURJVCk=&amp;WINDOW=FIRST_POPUP&amp;HEIGHT=450&amp;WIDTH=450&amp;","START_MAXIMIZED=FALSE&amp;VAR:CALENDAR=US&amp;VAR:SYMBOL=SYMC&amp;VAR:INDEX=0"}</definedName>
    <definedName name="_2839__FDSAUDITLINK__" localSheetId="7" hidden="1">{"fdsup://directions/FAT Viewer?action=UPDATE&amp;creator=factset&amp;DYN_ARGS=TRUE&amp;DOC_NAME=FAT:FQL_AUDITING_CLIENT_TEMPLATE.FAT&amp;display_string=Audit&amp;VAR:KEY=QFGBUJIVGF&amp;VAR:QUERY=UkdGX1RBWF9SQVRFKEFOTiwwLCwsLCwsTk9BVURJVCk=&amp;WINDOW=FIRST_POPUP&amp;HEIGHT=450&amp;WIDTH=450&amp;","START_MAXIMIZED=FALSE&amp;VAR:CALENDAR=US&amp;VAR:SYMBOL=SYMC&amp;VAR:INDEX=0"}</definedName>
    <definedName name="_2839__FDSAUDITLINK__" hidden="1">{"fdsup://directions/FAT Viewer?action=UPDATE&amp;creator=factset&amp;DYN_ARGS=TRUE&amp;DOC_NAME=FAT:FQL_AUDITING_CLIENT_TEMPLATE.FAT&amp;display_string=Audit&amp;VAR:KEY=QFGBUJIVGF&amp;VAR:QUERY=UkdGX1RBWF9SQVRFKEFOTiwwLCwsLCwsTk9BVURJVCk=&amp;WINDOW=FIRST_POPUP&amp;HEIGHT=450&amp;WIDTH=450&amp;","START_MAXIMIZED=FALSE&amp;VAR:CALENDAR=US&amp;VAR:SYMBOL=SYMC&amp;VAR:INDEX=0"}</definedName>
    <definedName name="_284__FDSAUDITLINK__" localSheetId="3" hidden="1">{"fdsup://directions/FAT Viewer?action=UPDATE&amp;creator=factset&amp;DYN_ARGS=TRUE&amp;DOC_NAME=FAT:FQL_AUDITING_CLIENT_TEMPLATE.FAT&amp;display_string=Audit&amp;VAR:KEY=NMJKNYVWNU&amp;VAR:QUERY=RkZfTkVUX0lOQyhMVE0sMCwsLCwsTSk=&amp;WINDOW=FIRST_POPUP&amp;HEIGHT=450&amp;WIDTH=450&amp;START_MAXIMI","ZED=FALSE&amp;VAR:CALENDAR=US&amp;VAR:SYMBOL=220015&amp;VAR:INDEX=0"}</definedName>
    <definedName name="_284__FDSAUDITLINK__" localSheetId="7" hidden="1">{"fdsup://directions/FAT Viewer?action=UPDATE&amp;creator=factset&amp;DYN_ARGS=TRUE&amp;DOC_NAME=FAT:FQL_AUDITING_CLIENT_TEMPLATE.FAT&amp;display_string=Audit&amp;VAR:KEY=NMJKNYVWNU&amp;VAR:QUERY=RkZfTkVUX0lOQyhMVE0sMCwsLCwsTSk=&amp;WINDOW=FIRST_POPUP&amp;HEIGHT=450&amp;WIDTH=450&amp;START_MAXIMI","ZED=FALSE&amp;VAR:CALENDAR=US&amp;VAR:SYMBOL=220015&amp;VAR:INDEX=0"}</definedName>
    <definedName name="_284__FDSAUDITLINK__" hidden="1">{"fdsup://directions/FAT Viewer?action=UPDATE&amp;creator=factset&amp;DYN_ARGS=TRUE&amp;DOC_NAME=FAT:FQL_AUDITING_CLIENT_TEMPLATE.FAT&amp;display_string=Audit&amp;VAR:KEY=NMJKNYVWNU&amp;VAR:QUERY=RkZfTkVUX0lOQyhMVE0sMCwsLCwsTSk=&amp;WINDOW=FIRST_POPUP&amp;HEIGHT=450&amp;WIDTH=450&amp;START_MAXIMI","ZED=FALSE&amp;VAR:CALENDAR=US&amp;VAR:SYMBOL=220015&amp;VAR:INDEX=0"}</definedName>
    <definedName name="_2840__FDSAUDITLINK__" localSheetId="3" hidden="1">{"fdsup://directions/FAT Viewer?action=UPDATE&amp;creator=factset&amp;DYN_ARGS=TRUE&amp;DOC_NAME=FAT:FQL_AUDITING_CLIENT_TEMPLATE.FAT&amp;display_string=Audit&amp;VAR:KEY=URETWRIPCF&amp;VAR:QUERY=UkdGX1RBWF9SQVRFKEFOTiwwLCwsLCwsTk9BVURJVCk=&amp;WINDOW=FIRST_POPUP&amp;HEIGHT=450&amp;WIDTH=450&amp;","START_MAXIMIZED=FALSE&amp;VAR:CALENDAR=US&amp;VAR:SYMBOL=SPRT&amp;VAR:INDEX=0"}</definedName>
    <definedName name="_2840__FDSAUDITLINK__" localSheetId="7" hidden="1">{"fdsup://directions/FAT Viewer?action=UPDATE&amp;creator=factset&amp;DYN_ARGS=TRUE&amp;DOC_NAME=FAT:FQL_AUDITING_CLIENT_TEMPLATE.FAT&amp;display_string=Audit&amp;VAR:KEY=URETWRIPCF&amp;VAR:QUERY=UkdGX1RBWF9SQVRFKEFOTiwwLCwsLCwsTk9BVURJVCk=&amp;WINDOW=FIRST_POPUP&amp;HEIGHT=450&amp;WIDTH=450&amp;","START_MAXIMIZED=FALSE&amp;VAR:CALENDAR=US&amp;VAR:SYMBOL=SPRT&amp;VAR:INDEX=0"}</definedName>
    <definedName name="_2840__FDSAUDITLINK__" hidden="1">{"fdsup://directions/FAT Viewer?action=UPDATE&amp;creator=factset&amp;DYN_ARGS=TRUE&amp;DOC_NAME=FAT:FQL_AUDITING_CLIENT_TEMPLATE.FAT&amp;display_string=Audit&amp;VAR:KEY=URETWRIPCF&amp;VAR:QUERY=UkdGX1RBWF9SQVRFKEFOTiwwLCwsLCwsTk9BVURJVCk=&amp;WINDOW=FIRST_POPUP&amp;HEIGHT=450&amp;WIDTH=450&amp;","START_MAXIMIZED=FALSE&amp;VAR:CALENDAR=US&amp;VAR:SYMBOL=SPRT&amp;VAR:INDEX=0"}</definedName>
    <definedName name="_2841__FDSAUDITLINK__" localSheetId="3" hidden="1">{"fdsup://directions/FAT Viewer?action=UPDATE&amp;creator=factset&amp;DYN_ARGS=TRUE&amp;DOC_NAME=FAT:FQL_AUDITING_CLIENT_TEMPLATE.FAT&amp;display_string=Audit&amp;VAR:KEY=OBENIJWBMR&amp;VAR:QUERY=UkdGX1RBWF9SQVRFKEFOTiwwLCwsLCwsTk9BVURJVCk=&amp;WINDOW=FIRST_POPUP&amp;HEIGHT=450&amp;WIDTH=450&amp;","START_MAXIMIZED=FALSE&amp;VAR:CALENDAR=US&amp;VAR:SYMBOL=SFSF&amp;VAR:INDEX=0"}</definedName>
    <definedName name="_2841__FDSAUDITLINK__" localSheetId="7" hidden="1">{"fdsup://directions/FAT Viewer?action=UPDATE&amp;creator=factset&amp;DYN_ARGS=TRUE&amp;DOC_NAME=FAT:FQL_AUDITING_CLIENT_TEMPLATE.FAT&amp;display_string=Audit&amp;VAR:KEY=OBENIJWBMR&amp;VAR:QUERY=UkdGX1RBWF9SQVRFKEFOTiwwLCwsLCwsTk9BVURJVCk=&amp;WINDOW=FIRST_POPUP&amp;HEIGHT=450&amp;WIDTH=450&amp;","START_MAXIMIZED=FALSE&amp;VAR:CALENDAR=US&amp;VAR:SYMBOL=SFSF&amp;VAR:INDEX=0"}</definedName>
    <definedName name="_2841__FDSAUDITLINK__" hidden="1">{"fdsup://directions/FAT Viewer?action=UPDATE&amp;creator=factset&amp;DYN_ARGS=TRUE&amp;DOC_NAME=FAT:FQL_AUDITING_CLIENT_TEMPLATE.FAT&amp;display_string=Audit&amp;VAR:KEY=OBENIJWBMR&amp;VAR:QUERY=UkdGX1RBWF9SQVRFKEFOTiwwLCwsLCwsTk9BVURJVCk=&amp;WINDOW=FIRST_POPUP&amp;HEIGHT=450&amp;WIDTH=450&amp;","START_MAXIMIZED=FALSE&amp;VAR:CALENDAR=US&amp;VAR:SYMBOL=SFSF&amp;VAR:INDEX=0"}</definedName>
    <definedName name="_2842__FDSAUDITLINK__" localSheetId="3" hidden="1">{"fdsup://directions/FAT Viewer?action=UPDATE&amp;creator=factset&amp;DYN_ARGS=TRUE&amp;DOC_NAME=FAT:FQL_AUDITING_CLIENT_TEMPLATE.FAT&amp;display_string=Audit&amp;VAR:KEY=QLWHUFSJUR&amp;VAR:QUERY=UkdGX1RBWF9SQVRFKEFOTiwwLCwsLCwsTk9BVURJVCk=&amp;WINDOW=FIRST_POPUP&amp;HEIGHT=450&amp;WIDTH=450&amp;","START_MAXIMIZED=FALSE&amp;VAR:CALENDAR=US&amp;VAR:SYMBOL=SSNC&amp;VAR:INDEX=0"}</definedName>
    <definedName name="_2842__FDSAUDITLINK__" localSheetId="7" hidden="1">{"fdsup://directions/FAT Viewer?action=UPDATE&amp;creator=factset&amp;DYN_ARGS=TRUE&amp;DOC_NAME=FAT:FQL_AUDITING_CLIENT_TEMPLATE.FAT&amp;display_string=Audit&amp;VAR:KEY=QLWHUFSJUR&amp;VAR:QUERY=UkdGX1RBWF9SQVRFKEFOTiwwLCwsLCwsTk9BVURJVCk=&amp;WINDOW=FIRST_POPUP&amp;HEIGHT=450&amp;WIDTH=450&amp;","START_MAXIMIZED=FALSE&amp;VAR:CALENDAR=US&amp;VAR:SYMBOL=SSNC&amp;VAR:INDEX=0"}</definedName>
    <definedName name="_2842__FDSAUDITLINK__" hidden="1">{"fdsup://directions/FAT Viewer?action=UPDATE&amp;creator=factset&amp;DYN_ARGS=TRUE&amp;DOC_NAME=FAT:FQL_AUDITING_CLIENT_TEMPLATE.FAT&amp;display_string=Audit&amp;VAR:KEY=QLWHUFSJUR&amp;VAR:QUERY=UkdGX1RBWF9SQVRFKEFOTiwwLCwsLCwsTk9BVURJVCk=&amp;WINDOW=FIRST_POPUP&amp;HEIGHT=450&amp;WIDTH=450&amp;","START_MAXIMIZED=FALSE&amp;VAR:CALENDAR=US&amp;VAR:SYMBOL=SSNC&amp;VAR:INDEX=0"}</definedName>
    <definedName name="_2843__FDSAUDITLINK__" localSheetId="3" hidden="1">{"fdsup://directions/FAT Viewer?action=UPDATE&amp;creator=factset&amp;DYN_ARGS=TRUE&amp;DOC_NAME=FAT:FQL_AUDITING_CLIENT_TEMPLATE.FAT&amp;display_string=Audit&amp;VAR:KEY=QLWHUFSJUR&amp;VAR:QUERY=UkdGX1RBWF9SQVRFKEFOTiwwLCwsLCwsTk9BVURJVCk=&amp;WINDOW=FIRST_POPUP&amp;HEIGHT=450&amp;WIDTH=450&amp;","START_MAXIMIZED=FALSE&amp;VAR:CALENDAR=US&amp;VAR:SYMBOL=SSNC&amp;VAR:INDEX=0"}</definedName>
    <definedName name="_2843__FDSAUDITLINK__" localSheetId="7" hidden="1">{"fdsup://directions/FAT Viewer?action=UPDATE&amp;creator=factset&amp;DYN_ARGS=TRUE&amp;DOC_NAME=FAT:FQL_AUDITING_CLIENT_TEMPLATE.FAT&amp;display_string=Audit&amp;VAR:KEY=QLWHUFSJUR&amp;VAR:QUERY=UkdGX1RBWF9SQVRFKEFOTiwwLCwsLCwsTk9BVURJVCk=&amp;WINDOW=FIRST_POPUP&amp;HEIGHT=450&amp;WIDTH=450&amp;","START_MAXIMIZED=FALSE&amp;VAR:CALENDAR=US&amp;VAR:SYMBOL=SSNC&amp;VAR:INDEX=0"}</definedName>
    <definedName name="_2843__FDSAUDITLINK__" hidden="1">{"fdsup://directions/FAT Viewer?action=UPDATE&amp;creator=factset&amp;DYN_ARGS=TRUE&amp;DOC_NAME=FAT:FQL_AUDITING_CLIENT_TEMPLATE.FAT&amp;display_string=Audit&amp;VAR:KEY=QLWHUFSJUR&amp;VAR:QUERY=UkdGX1RBWF9SQVRFKEFOTiwwLCwsLCwsTk9BVURJVCk=&amp;WINDOW=FIRST_POPUP&amp;HEIGHT=450&amp;WIDTH=450&amp;","START_MAXIMIZED=FALSE&amp;VAR:CALENDAR=US&amp;VAR:SYMBOL=SSNC&amp;VAR:INDEX=0"}</definedName>
    <definedName name="_2844__FDSAUDITLINK__" localSheetId="3" hidden="1">{"fdsup://directions/FAT Viewer?action=UPDATE&amp;creator=factset&amp;DYN_ARGS=TRUE&amp;DOC_NAME=FAT:FQL_AUDITING_CLIENT_TEMPLATE.FAT&amp;display_string=Audit&amp;VAR:KEY=AJYJKNYNSZ&amp;VAR:QUERY=UkdGX1RBWF9SQVRFKEFOTiwwLCwsLCwsTk9BVURJVCk=&amp;WINDOW=FIRST_POPUP&amp;HEIGHT=450&amp;WIDTH=450&amp;","START_MAXIMIZED=FALSE&amp;VAR:CALENDAR=US&amp;VAR:SYMBOL=SPSC&amp;VAR:INDEX=0"}</definedName>
    <definedName name="_2844__FDSAUDITLINK__" localSheetId="7" hidden="1">{"fdsup://directions/FAT Viewer?action=UPDATE&amp;creator=factset&amp;DYN_ARGS=TRUE&amp;DOC_NAME=FAT:FQL_AUDITING_CLIENT_TEMPLATE.FAT&amp;display_string=Audit&amp;VAR:KEY=AJYJKNYNSZ&amp;VAR:QUERY=UkdGX1RBWF9SQVRFKEFOTiwwLCwsLCwsTk9BVURJVCk=&amp;WINDOW=FIRST_POPUP&amp;HEIGHT=450&amp;WIDTH=450&amp;","START_MAXIMIZED=FALSE&amp;VAR:CALENDAR=US&amp;VAR:SYMBOL=SPSC&amp;VAR:INDEX=0"}</definedName>
    <definedName name="_2844__FDSAUDITLINK__" hidden="1">{"fdsup://directions/FAT Viewer?action=UPDATE&amp;creator=factset&amp;DYN_ARGS=TRUE&amp;DOC_NAME=FAT:FQL_AUDITING_CLIENT_TEMPLATE.FAT&amp;display_string=Audit&amp;VAR:KEY=AJYJKNYNSZ&amp;VAR:QUERY=UkdGX1RBWF9SQVRFKEFOTiwwLCwsLCwsTk9BVURJVCk=&amp;WINDOW=FIRST_POPUP&amp;HEIGHT=450&amp;WIDTH=450&amp;","START_MAXIMIZED=FALSE&amp;VAR:CALENDAR=US&amp;VAR:SYMBOL=SPSC&amp;VAR:INDEX=0"}</definedName>
    <definedName name="_2845__FDSAUDITLINK__" localSheetId="3" hidden="1">{"fdsup://directions/FAT Viewer?action=UPDATE&amp;creator=factset&amp;DYN_ARGS=TRUE&amp;DOC_NAME=FAT:FQL_AUDITING_CLIENT_TEMPLATE.FAT&amp;display_string=Audit&amp;VAR:KEY=AJYJKNYNSZ&amp;VAR:QUERY=UkdGX1RBWF9SQVRFKEFOTiwwLCwsLCwsTk9BVURJVCk=&amp;WINDOW=FIRST_POPUP&amp;HEIGHT=450&amp;WIDTH=450&amp;","START_MAXIMIZED=FALSE&amp;VAR:CALENDAR=US&amp;VAR:SYMBOL=SPSC&amp;VAR:INDEX=0"}</definedName>
    <definedName name="_2845__FDSAUDITLINK__" localSheetId="7" hidden="1">{"fdsup://directions/FAT Viewer?action=UPDATE&amp;creator=factset&amp;DYN_ARGS=TRUE&amp;DOC_NAME=FAT:FQL_AUDITING_CLIENT_TEMPLATE.FAT&amp;display_string=Audit&amp;VAR:KEY=AJYJKNYNSZ&amp;VAR:QUERY=UkdGX1RBWF9SQVRFKEFOTiwwLCwsLCwsTk9BVURJVCk=&amp;WINDOW=FIRST_POPUP&amp;HEIGHT=450&amp;WIDTH=450&amp;","START_MAXIMIZED=FALSE&amp;VAR:CALENDAR=US&amp;VAR:SYMBOL=SPSC&amp;VAR:INDEX=0"}</definedName>
    <definedName name="_2845__FDSAUDITLINK__" hidden="1">{"fdsup://directions/FAT Viewer?action=UPDATE&amp;creator=factset&amp;DYN_ARGS=TRUE&amp;DOC_NAME=FAT:FQL_AUDITING_CLIENT_TEMPLATE.FAT&amp;display_string=Audit&amp;VAR:KEY=AJYJKNYNSZ&amp;VAR:QUERY=UkdGX1RBWF9SQVRFKEFOTiwwLCwsLCwsTk9BVURJVCk=&amp;WINDOW=FIRST_POPUP&amp;HEIGHT=450&amp;WIDTH=450&amp;","START_MAXIMIZED=FALSE&amp;VAR:CALENDAR=US&amp;VAR:SYMBOL=SPSC&amp;VAR:INDEX=0"}</definedName>
    <definedName name="_2846__FDSAUDITLINK__" localSheetId="3" hidden="1">{"fdsup://directions/FAT Viewer?action=UPDATE&amp;creator=factset&amp;DYN_ARGS=TRUE&amp;DOC_NAME=FAT:FQL_AUDITING_CLIENT_TEMPLATE.FAT&amp;display_string=Audit&amp;VAR:KEY=CLCNQDYPOZ&amp;VAR:QUERY=UkdGX1RBWF9SQVRFKEFOTiwwLCwsLCwsTk9BVURJVCk=&amp;WINDOW=FIRST_POPUP&amp;HEIGHT=450&amp;WIDTH=450&amp;","START_MAXIMIZED=FALSE&amp;VAR:CALENDAR=US&amp;VAR:SYMBOL=LNUX&amp;VAR:INDEX=0"}</definedName>
    <definedName name="_2846__FDSAUDITLINK__" localSheetId="7" hidden="1">{"fdsup://directions/FAT Viewer?action=UPDATE&amp;creator=factset&amp;DYN_ARGS=TRUE&amp;DOC_NAME=FAT:FQL_AUDITING_CLIENT_TEMPLATE.FAT&amp;display_string=Audit&amp;VAR:KEY=CLCNQDYPOZ&amp;VAR:QUERY=UkdGX1RBWF9SQVRFKEFOTiwwLCwsLCwsTk9BVURJVCk=&amp;WINDOW=FIRST_POPUP&amp;HEIGHT=450&amp;WIDTH=450&amp;","START_MAXIMIZED=FALSE&amp;VAR:CALENDAR=US&amp;VAR:SYMBOL=LNUX&amp;VAR:INDEX=0"}</definedName>
    <definedName name="_2846__FDSAUDITLINK__" hidden="1">{"fdsup://directions/FAT Viewer?action=UPDATE&amp;creator=factset&amp;DYN_ARGS=TRUE&amp;DOC_NAME=FAT:FQL_AUDITING_CLIENT_TEMPLATE.FAT&amp;display_string=Audit&amp;VAR:KEY=CLCNQDYPOZ&amp;VAR:QUERY=UkdGX1RBWF9SQVRFKEFOTiwwLCwsLCwsTk9BVURJVCk=&amp;WINDOW=FIRST_POPUP&amp;HEIGHT=450&amp;WIDTH=450&amp;","START_MAXIMIZED=FALSE&amp;VAR:CALENDAR=US&amp;VAR:SYMBOL=LNUX&amp;VAR:INDEX=0"}</definedName>
    <definedName name="_2847__FDSAUDITLINK__" localSheetId="3" hidden="1">{"fdsup://directions/FAT Viewer?action=UPDATE&amp;creator=factset&amp;DYN_ARGS=TRUE&amp;DOC_NAME=FAT:FQL_AUDITING_CLIENT_TEMPLATE.FAT&amp;display_string=Audit&amp;VAR:KEY=URGVMBKJSL&amp;VAR:QUERY=UkdGX1RBWF9SQVRFKEFOTiwwLCwsLCwsTk9BVURJVCk=&amp;WINDOW=FIRST_POPUP&amp;HEIGHT=450&amp;WIDTH=450&amp;","START_MAXIMIZED=FALSE&amp;VAR:CALENDAR=US&amp;VAR:SYMBOL=FIRE&amp;VAR:INDEX=0"}</definedName>
    <definedName name="_2847__FDSAUDITLINK__" localSheetId="7" hidden="1">{"fdsup://directions/FAT Viewer?action=UPDATE&amp;creator=factset&amp;DYN_ARGS=TRUE&amp;DOC_NAME=FAT:FQL_AUDITING_CLIENT_TEMPLATE.FAT&amp;display_string=Audit&amp;VAR:KEY=URGVMBKJSL&amp;VAR:QUERY=UkdGX1RBWF9SQVRFKEFOTiwwLCwsLCwsTk9BVURJVCk=&amp;WINDOW=FIRST_POPUP&amp;HEIGHT=450&amp;WIDTH=450&amp;","START_MAXIMIZED=FALSE&amp;VAR:CALENDAR=US&amp;VAR:SYMBOL=FIRE&amp;VAR:INDEX=0"}</definedName>
    <definedName name="_2847__FDSAUDITLINK__" hidden="1">{"fdsup://directions/FAT Viewer?action=UPDATE&amp;creator=factset&amp;DYN_ARGS=TRUE&amp;DOC_NAME=FAT:FQL_AUDITING_CLIENT_TEMPLATE.FAT&amp;display_string=Audit&amp;VAR:KEY=URGVMBKJSL&amp;VAR:QUERY=UkdGX1RBWF9SQVRFKEFOTiwwLCwsLCwsTk9BVURJVCk=&amp;WINDOW=FIRST_POPUP&amp;HEIGHT=450&amp;WIDTH=450&amp;","START_MAXIMIZED=FALSE&amp;VAR:CALENDAR=US&amp;VAR:SYMBOL=FIRE&amp;VAR:INDEX=0"}</definedName>
    <definedName name="_2848__FDSAUDITLINK__" localSheetId="3" hidden="1">{"fdsup://directions/FAT Viewer?action=UPDATE&amp;creator=factset&amp;DYN_ARGS=TRUE&amp;DOC_NAME=FAT:FQL_AUDITING_CLIENT_TEMPLATE.FAT&amp;display_string=Audit&amp;VAR:KEY=URGVMBKJSL&amp;VAR:QUERY=UkdGX1RBWF9SQVRFKEFOTiwwLCwsLCwsTk9BVURJVCk=&amp;WINDOW=FIRST_POPUP&amp;HEIGHT=450&amp;WIDTH=450&amp;","START_MAXIMIZED=FALSE&amp;VAR:CALENDAR=US&amp;VAR:SYMBOL=FIRE&amp;VAR:INDEX=0"}</definedName>
    <definedName name="_2848__FDSAUDITLINK__" localSheetId="7" hidden="1">{"fdsup://directions/FAT Viewer?action=UPDATE&amp;creator=factset&amp;DYN_ARGS=TRUE&amp;DOC_NAME=FAT:FQL_AUDITING_CLIENT_TEMPLATE.FAT&amp;display_string=Audit&amp;VAR:KEY=URGVMBKJSL&amp;VAR:QUERY=UkdGX1RBWF9SQVRFKEFOTiwwLCwsLCwsTk9BVURJVCk=&amp;WINDOW=FIRST_POPUP&amp;HEIGHT=450&amp;WIDTH=450&amp;","START_MAXIMIZED=FALSE&amp;VAR:CALENDAR=US&amp;VAR:SYMBOL=FIRE&amp;VAR:INDEX=0"}</definedName>
    <definedName name="_2848__FDSAUDITLINK__" hidden="1">{"fdsup://directions/FAT Viewer?action=UPDATE&amp;creator=factset&amp;DYN_ARGS=TRUE&amp;DOC_NAME=FAT:FQL_AUDITING_CLIENT_TEMPLATE.FAT&amp;display_string=Audit&amp;VAR:KEY=URGVMBKJSL&amp;VAR:QUERY=UkdGX1RBWF9SQVRFKEFOTiwwLCwsLCwsTk9BVURJVCk=&amp;WINDOW=FIRST_POPUP&amp;HEIGHT=450&amp;WIDTH=450&amp;","START_MAXIMIZED=FALSE&amp;VAR:CALENDAR=US&amp;VAR:SYMBOL=FIRE&amp;VAR:INDEX=0"}</definedName>
    <definedName name="_2849__FDSAUDITLINK__" localSheetId="3" hidden="1">{"fdsup://directions/FAT Viewer?action=UPDATE&amp;creator=factset&amp;DYN_ARGS=TRUE&amp;DOC_NAME=FAT:FQL_AUDITING_CLIENT_TEMPLATE.FAT&amp;display_string=Audit&amp;VAR:KEY=CFKHEBSDQX&amp;VAR:QUERY=UkdGX1RBWF9SQVRFKEFOTiwwLCwsLCwsTk9BVURJVCk=&amp;WINDOW=FIRST_POPUP&amp;HEIGHT=450&amp;WIDTH=450&amp;","START_MAXIMIZED=FALSE&amp;VAR:CALENDAR=US&amp;VAR:SYMBOL=SNIC&amp;VAR:INDEX=0"}</definedName>
    <definedName name="_2849__FDSAUDITLINK__" localSheetId="7" hidden="1">{"fdsup://directions/FAT Viewer?action=UPDATE&amp;creator=factset&amp;DYN_ARGS=TRUE&amp;DOC_NAME=FAT:FQL_AUDITING_CLIENT_TEMPLATE.FAT&amp;display_string=Audit&amp;VAR:KEY=CFKHEBSDQX&amp;VAR:QUERY=UkdGX1RBWF9SQVRFKEFOTiwwLCwsLCwsTk9BVURJVCk=&amp;WINDOW=FIRST_POPUP&amp;HEIGHT=450&amp;WIDTH=450&amp;","START_MAXIMIZED=FALSE&amp;VAR:CALENDAR=US&amp;VAR:SYMBOL=SNIC&amp;VAR:INDEX=0"}</definedName>
    <definedName name="_2849__FDSAUDITLINK__" hidden="1">{"fdsup://directions/FAT Viewer?action=UPDATE&amp;creator=factset&amp;DYN_ARGS=TRUE&amp;DOC_NAME=FAT:FQL_AUDITING_CLIENT_TEMPLATE.FAT&amp;display_string=Audit&amp;VAR:KEY=CFKHEBSDQX&amp;VAR:QUERY=UkdGX1RBWF9SQVRFKEFOTiwwLCwsLCwsTk9BVURJVCk=&amp;WINDOW=FIRST_POPUP&amp;HEIGHT=450&amp;WIDTH=450&amp;","START_MAXIMIZED=FALSE&amp;VAR:CALENDAR=US&amp;VAR:SYMBOL=SNIC&amp;VAR:INDEX=0"}</definedName>
    <definedName name="_285__FDSAUDITLINK__" localSheetId="3" hidden="1">{"fdsup://directions/FAT Viewer?action=UPDATE&amp;creator=factset&amp;DYN_ARGS=TRUE&amp;DOC_NAME=FAT:FQL_AUDITING_CLIENT_TEMPLATE.FAT&amp;display_string=Audit&amp;VAR:KEY=WZGLUFSBSX&amp;VAR:QUERY=RkZfRUJJVERBX09QRVIoTFRNLDAsLCwsLE0p&amp;WINDOW=FIRST_POPUP&amp;HEIGHT=450&amp;WIDTH=450&amp;START_MA","XIMIZED=FALSE&amp;VAR:CALENDAR=US&amp;VAR:SYMBOL=220015&amp;VAR:INDEX=0"}</definedName>
    <definedName name="_285__FDSAUDITLINK__" localSheetId="7" hidden="1">{"fdsup://directions/FAT Viewer?action=UPDATE&amp;creator=factset&amp;DYN_ARGS=TRUE&amp;DOC_NAME=FAT:FQL_AUDITING_CLIENT_TEMPLATE.FAT&amp;display_string=Audit&amp;VAR:KEY=WZGLUFSBSX&amp;VAR:QUERY=RkZfRUJJVERBX09QRVIoTFRNLDAsLCwsLE0p&amp;WINDOW=FIRST_POPUP&amp;HEIGHT=450&amp;WIDTH=450&amp;START_MA","XIMIZED=FALSE&amp;VAR:CALENDAR=US&amp;VAR:SYMBOL=220015&amp;VAR:INDEX=0"}</definedName>
    <definedName name="_285__FDSAUDITLINK__" hidden="1">{"fdsup://directions/FAT Viewer?action=UPDATE&amp;creator=factset&amp;DYN_ARGS=TRUE&amp;DOC_NAME=FAT:FQL_AUDITING_CLIENT_TEMPLATE.FAT&amp;display_string=Audit&amp;VAR:KEY=WZGLUFSBSX&amp;VAR:QUERY=RkZfRUJJVERBX09QRVIoTFRNLDAsLCwsLE0p&amp;WINDOW=FIRST_POPUP&amp;HEIGHT=450&amp;WIDTH=450&amp;START_MA","XIMIZED=FALSE&amp;VAR:CALENDAR=US&amp;VAR:SYMBOL=220015&amp;VAR:INDEX=0"}</definedName>
    <definedName name="_2850__FDSAUDITLINK__" localSheetId="3" hidden="1">{"fdsup://directions/FAT Viewer?action=UPDATE&amp;creator=factset&amp;DYN_ARGS=TRUE&amp;DOC_NAME=FAT:FQL_AUDITING_CLIENT_TEMPLATE.FAT&amp;display_string=Audit&amp;VAR:KEY=KPCXKDKVYL&amp;VAR:QUERY=UkdGX1RBWF9SQVRFKEFOTiwwLCwsLCwsTk9BVURJVCk=&amp;WINDOW=FIRST_POPUP&amp;HEIGHT=450&amp;WIDTH=450&amp;","START_MAXIMIZED=FALSE&amp;VAR:CALENDAR=US&amp;VAR:SYMBOL=SLH&amp;VAR:INDEX=0"}</definedName>
    <definedName name="_2850__FDSAUDITLINK__" localSheetId="7" hidden="1">{"fdsup://directions/FAT Viewer?action=UPDATE&amp;creator=factset&amp;DYN_ARGS=TRUE&amp;DOC_NAME=FAT:FQL_AUDITING_CLIENT_TEMPLATE.FAT&amp;display_string=Audit&amp;VAR:KEY=KPCXKDKVYL&amp;VAR:QUERY=UkdGX1RBWF9SQVRFKEFOTiwwLCwsLCwsTk9BVURJVCk=&amp;WINDOW=FIRST_POPUP&amp;HEIGHT=450&amp;WIDTH=450&amp;","START_MAXIMIZED=FALSE&amp;VAR:CALENDAR=US&amp;VAR:SYMBOL=SLH&amp;VAR:INDEX=0"}</definedName>
    <definedName name="_2850__FDSAUDITLINK__" hidden="1">{"fdsup://directions/FAT Viewer?action=UPDATE&amp;creator=factset&amp;DYN_ARGS=TRUE&amp;DOC_NAME=FAT:FQL_AUDITING_CLIENT_TEMPLATE.FAT&amp;display_string=Audit&amp;VAR:KEY=KPCXKDKVYL&amp;VAR:QUERY=UkdGX1RBWF9SQVRFKEFOTiwwLCwsLCwsTk9BVURJVCk=&amp;WINDOW=FIRST_POPUP&amp;HEIGHT=450&amp;WIDTH=450&amp;","START_MAXIMIZED=FALSE&amp;VAR:CALENDAR=US&amp;VAR:SYMBOL=SLH&amp;VAR:INDEX=0"}</definedName>
    <definedName name="_2851__FDSAUDITLINK__" localSheetId="3" hidden="1">{"fdsup://directions/FAT Viewer?action=UPDATE&amp;creator=factset&amp;DYN_ARGS=TRUE&amp;DOC_NAME=FAT:FQL_AUDITING_CLIENT_TEMPLATE.FAT&amp;display_string=Audit&amp;VAR:KEY=KPCXKDKVYL&amp;VAR:QUERY=UkdGX1RBWF9SQVRFKEFOTiwwLCwsLCwsTk9BVURJVCk=&amp;WINDOW=FIRST_POPUP&amp;HEIGHT=450&amp;WIDTH=450&amp;","START_MAXIMIZED=FALSE&amp;VAR:CALENDAR=US&amp;VAR:SYMBOL=SLH&amp;VAR:INDEX=0"}</definedName>
    <definedName name="_2851__FDSAUDITLINK__" localSheetId="7" hidden="1">{"fdsup://directions/FAT Viewer?action=UPDATE&amp;creator=factset&amp;DYN_ARGS=TRUE&amp;DOC_NAME=FAT:FQL_AUDITING_CLIENT_TEMPLATE.FAT&amp;display_string=Audit&amp;VAR:KEY=KPCXKDKVYL&amp;VAR:QUERY=UkdGX1RBWF9SQVRFKEFOTiwwLCwsLCwsTk9BVURJVCk=&amp;WINDOW=FIRST_POPUP&amp;HEIGHT=450&amp;WIDTH=450&amp;","START_MAXIMIZED=FALSE&amp;VAR:CALENDAR=US&amp;VAR:SYMBOL=SLH&amp;VAR:INDEX=0"}</definedName>
    <definedName name="_2851__FDSAUDITLINK__" hidden="1">{"fdsup://directions/FAT Viewer?action=UPDATE&amp;creator=factset&amp;DYN_ARGS=TRUE&amp;DOC_NAME=FAT:FQL_AUDITING_CLIENT_TEMPLATE.FAT&amp;display_string=Audit&amp;VAR:KEY=KPCXKDKVYL&amp;VAR:QUERY=UkdGX1RBWF9SQVRFKEFOTiwwLCwsLCwsTk9BVURJVCk=&amp;WINDOW=FIRST_POPUP&amp;HEIGHT=450&amp;WIDTH=450&amp;","START_MAXIMIZED=FALSE&amp;VAR:CALENDAR=US&amp;VAR:SYMBOL=SLH&amp;VAR:INDEX=0"}</definedName>
    <definedName name="_2852__FDSAUDITLINK__" localSheetId="3" hidden="1">{"fdsup://directions/FAT Viewer?action=UPDATE&amp;creator=factset&amp;DYN_ARGS=TRUE&amp;DOC_NAME=FAT:FQL_AUDITING_CLIENT_TEMPLATE.FAT&amp;display_string=Audit&amp;VAR:KEY=OXGREZAZML&amp;VAR:QUERY=UkdGX1RBWF9SQVRFKEFOTiwwLCwsLCwsTk9BVURJVCk=&amp;WINDOW=FIRST_POPUP&amp;HEIGHT=450&amp;WIDTH=450&amp;","START_MAXIMIZED=FALSE&amp;VAR:CALENDAR=US&amp;VAR:SYMBOL=SWI&amp;VAR:INDEX=0"}</definedName>
    <definedName name="_2852__FDSAUDITLINK__" localSheetId="7" hidden="1">{"fdsup://directions/FAT Viewer?action=UPDATE&amp;creator=factset&amp;DYN_ARGS=TRUE&amp;DOC_NAME=FAT:FQL_AUDITING_CLIENT_TEMPLATE.FAT&amp;display_string=Audit&amp;VAR:KEY=OXGREZAZML&amp;VAR:QUERY=UkdGX1RBWF9SQVRFKEFOTiwwLCwsLCwsTk9BVURJVCk=&amp;WINDOW=FIRST_POPUP&amp;HEIGHT=450&amp;WIDTH=450&amp;","START_MAXIMIZED=FALSE&amp;VAR:CALENDAR=US&amp;VAR:SYMBOL=SWI&amp;VAR:INDEX=0"}</definedName>
    <definedName name="_2852__FDSAUDITLINK__" hidden="1">{"fdsup://directions/FAT Viewer?action=UPDATE&amp;creator=factset&amp;DYN_ARGS=TRUE&amp;DOC_NAME=FAT:FQL_AUDITING_CLIENT_TEMPLATE.FAT&amp;display_string=Audit&amp;VAR:KEY=OXGREZAZML&amp;VAR:QUERY=UkdGX1RBWF9SQVRFKEFOTiwwLCwsLCwsTk9BVURJVCk=&amp;WINDOW=FIRST_POPUP&amp;HEIGHT=450&amp;WIDTH=450&amp;","START_MAXIMIZED=FALSE&amp;VAR:CALENDAR=US&amp;VAR:SYMBOL=SWI&amp;VAR:INDEX=0"}</definedName>
    <definedName name="_2853__FDSAUDITLINK__" localSheetId="3" hidden="1">{"fdsup://directions/FAT Viewer?action=UPDATE&amp;creator=factset&amp;DYN_ARGS=TRUE&amp;DOC_NAME=FAT:FQL_AUDITING_CLIENT_TEMPLATE.FAT&amp;display_string=Audit&amp;VAR:KEY=OXGREZAZML&amp;VAR:QUERY=UkdGX1RBWF9SQVRFKEFOTiwwLCwsLCwsTk9BVURJVCk=&amp;WINDOW=FIRST_POPUP&amp;HEIGHT=450&amp;WIDTH=450&amp;","START_MAXIMIZED=FALSE&amp;VAR:CALENDAR=US&amp;VAR:SYMBOL=SWI&amp;VAR:INDEX=0"}</definedName>
    <definedName name="_2853__FDSAUDITLINK__" localSheetId="7" hidden="1">{"fdsup://directions/FAT Viewer?action=UPDATE&amp;creator=factset&amp;DYN_ARGS=TRUE&amp;DOC_NAME=FAT:FQL_AUDITING_CLIENT_TEMPLATE.FAT&amp;display_string=Audit&amp;VAR:KEY=OXGREZAZML&amp;VAR:QUERY=UkdGX1RBWF9SQVRFKEFOTiwwLCwsLCwsTk9BVURJVCk=&amp;WINDOW=FIRST_POPUP&amp;HEIGHT=450&amp;WIDTH=450&amp;","START_MAXIMIZED=FALSE&amp;VAR:CALENDAR=US&amp;VAR:SYMBOL=SWI&amp;VAR:INDEX=0"}</definedName>
    <definedName name="_2853__FDSAUDITLINK__" hidden="1">{"fdsup://directions/FAT Viewer?action=UPDATE&amp;creator=factset&amp;DYN_ARGS=TRUE&amp;DOC_NAME=FAT:FQL_AUDITING_CLIENT_TEMPLATE.FAT&amp;display_string=Audit&amp;VAR:KEY=OXGREZAZML&amp;VAR:QUERY=UkdGX1RBWF9SQVRFKEFOTiwwLCwsLCwsTk9BVURJVCk=&amp;WINDOW=FIRST_POPUP&amp;HEIGHT=450&amp;WIDTH=450&amp;","START_MAXIMIZED=FALSE&amp;VAR:CALENDAR=US&amp;VAR:SYMBOL=SWI&amp;VAR:INDEX=0"}</definedName>
    <definedName name="_2854__FDSAUDITLINK__" localSheetId="3" hidden="1">{"fdsup://directions/FAT Viewer?action=UPDATE&amp;creator=factset&amp;DYN_ARGS=TRUE&amp;DOC_NAME=FAT:FQL_AUDITING_CLIENT_TEMPLATE.FAT&amp;display_string=Audit&amp;VAR:KEY=SVEJGJSTAX&amp;VAR:QUERY=UkdGX1RBWF9SQVRFKEFOTiwwLCwsLCwsTk9BVURJVCk=&amp;WINDOW=FIRST_POPUP&amp;HEIGHT=450&amp;WIDTH=450&amp;","START_MAXIMIZED=FALSE&amp;VAR:CALENDAR=US&amp;VAR:SYMBOL=475513&amp;VAR:INDEX=0"}</definedName>
    <definedName name="_2854__FDSAUDITLINK__" localSheetId="7" hidden="1">{"fdsup://directions/FAT Viewer?action=UPDATE&amp;creator=factset&amp;DYN_ARGS=TRUE&amp;DOC_NAME=FAT:FQL_AUDITING_CLIENT_TEMPLATE.FAT&amp;display_string=Audit&amp;VAR:KEY=SVEJGJSTAX&amp;VAR:QUERY=UkdGX1RBWF9SQVRFKEFOTiwwLCwsLCwsTk9BVURJVCk=&amp;WINDOW=FIRST_POPUP&amp;HEIGHT=450&amp;WIDTH=450&amp;","START_MAXIMIZED=FALSE&amp;VAR:CALENDAR=US&amp;VAR:SYMBOL=475513&amp;VAR:INDEX=0"}</definedName>
    <definedName name="_2854__FDSAUDITLINK__" hidden="1">{"fdsup://directions/FAT Viewer?action=UPDATE&amp;creator=factset&amp;DYN_ARGS=TRUE&amp;DOC_NAME=FAT:FQL_AUDITING_CLIENT_TEMPLATE.FAT&amp;display_string=Audit&amp;VAR:KEY=SVEJGJSTAX&amp;VAR:QUERY=UkdGX1RBWF9SQVRFKEFOTiwwLCwsLCwsTk9BVURJVCk=&amp;WINDOW=FIRST_POPUP&amp;HEIGHT=450&amp;WIDTH=450&amp;","START_MAXIMIZED=FALSE&amp;VAR:CALENDAR=US&amp;VAR:SYMBOL=475513&amp;VAR:INDEX=0"}</definedName>
    <definedName name="_2855__FDSAUDITLINK__" localSheetId="3" hidden="1">{"fdsup://directions/FAT Viewer?action=UPDATE&amp;creator=factset&amp;DYN_ARGS=TRUE&amp;DOC_NAME=FAT:FQL_AUDITING_CLIENT_TEMPLATE.FAT&amp;display_string=Audit&amp;VAR:KEY=SVEJGJSTAX&amp;VAR:QUERY=UkdGX1RBWF9SQVRFKEFOTiwwLCwsLCwsTk9BVURJVCk=&amp;WINDOW=FIRST_POPUP&amp;HEIGHT=450&amp;WIDTH=450&amp;","START_MAXIMIZED=FALSE&amp;VAR:CALENDAR=US&amp;VAR:SYMBOL=475513&amp;VAR:INDEX=0"}</definedName>
    <definedName name="_2855__FDSAUDITLINK__" localSheetId="7" hidden="1">{"fdsup://directions/FAT Viewer?action=UPDATE&amp;creator=factset&amp;DYN_ARGS=TRUE&amp;DOC_NAME=FAT:FQL_AUDITING_CLIENT_TEMPLATE.FAT&amp;display_string=Audit&amp;VAR:KEY=SVEJGJSTAX&amp;VAR:QUERY=UkdGX1RBWF9SQVRFKEFOTiwwLCwsLCwsTk9BVURJVCk=&amp;WINDOW=FIRST_POPUP&amp;HEIGHT=450&amp;WIDTH=450&amp;","START_MAXIMIZED=FALSE&amp;VAR:CALENDAR=US&amp;VAR:SYMBOL=475513&amp;VAR:INDEX=0"}</definedName>
    <definedName name="_2855__FDSAUDITLINK__" hidden="1">{"fdsup://directions/FAT Viewer?action=UPDATE&amp;creator=factset&amp;DYN_ARGS=TRUE&amp;DOC_NAME=FAT:FQL_AUDITING_CLIENT_TEMPLATE.FAT&amp;display_string=Audit&amp;VAR:KEY=SVEJGJSTAX&amp;VAR:QUERY=UkdGX1RBWF9SQVRFKEFOTiwwLCwsLCwsTk9BVURJVCk=&amp;WINDOW=FIRST_POPUP&amp;HEIGHT=450&amp;WIDTH=450&amp;","START_MAXIMIZED=FALSE&amp;VAR:CALENDAR=US&amp;VAR:SYMBOL=475513&amp;VAR:INDEX=0"}</definedName>
    <definedName name="_2856__FDSAUDITLINK__" localSheetId="3" hidden="1">{"fdsup://directions/FAT Viewer?action=UPDATE&amp;creator=factset&amp;DYN_ARGS=TRUE&amp;DOC_NAME=FAT:FQL_AUDITING_CLIENT_TEMPLATE.FAT&amp;display_string=Audit&amp;VAR:KEY=YNMBQTGZUX&amp;VAR:QUERY=UkdGX1RBWF9SQVRFKEFOTiwwLCwsLCwsTk9BVURJVCk=&amp;WINDOW=FIRST_POPUP&amp;HEIGHT=450&amp;WIDTH=450&amp;","START_MAXIMIZED=FALSE&amp;VAR:CALENDAR=US&amp;VAR:SYMBOL=SMSI&amp;VAR:INDEX=0"}</definedName>
    <definedName name="_2856__FDSAUDITLINK__" localSheetId="7" hidden="1">{"fdsup://directions/FAT Viewer?action=UPDATE&amp;creator=factset&amp;DYN_ARGS=TRUE&amp;DOC_NAME=FAT:FQL_AUDITING_CLIENT_TEMPLATE.FAT&amp;display_string=Audit&amp;VAR:KEY=YNMBQTGZUX&amp;VAR:QUERY=UkdGX1RBWF9SQVRFKEFOTiwwLCwsLCwsTk9BVURJVCk=&amp;WINDOW=FIRST_POPUP&amp;HEIGHT=450&amp;WIDTH=450&amp;","START_MAXIMIZED=FALSE&amp;VAR:CALENDAR=US&amp;VAR:SYMBOL=SMSI&amp;VAR:INDEX=0"}</definedName>
    <definedName name="_2856__FDSAUDITLINK__" hidden="1">{"fdsup://directions/FAT Viewer?action=UPDATE&amp;creator=factset&amp;DYN_ARGS=TRUE&amp;DOC_NAME=FAT:FQL_AUDITING_CLIENT_TEMPLATE.FAT&amp;display_string=Audit&amp;VAR:KEY=YNMBQTGZUX&amp;VAR:QUERY=UkdGX1RBWF9SQVRFKEFOTiwwLCwsLCwsTk9BVURJVCk=&amp;WINDOW=FIRST_POPUP&amp;HEIGHT=450&amp;WIDTH=450&amp;","START_MAXIMIZED=FALSE&amp;VAR:CALENDAR=US&amp;VAR:SYMBOL=SMSI&amp;VAR:INDEX=0"}</definedName>
    <definedName name="_2857__FDSAUDITLINK__" localSheetId="3" hidden="1">{"fdsup://directions/FAT Viewer?action=UPDATE&amp;creator=factset&amp;DYN_ARGS=TRUE&amp;DOC_NAME=FAT:FQL_AUDITING_CLIENT_TEMPLATE.FAT&amp;display_string=Audit&amp;VAR:KEY=YNMBQTGZUX&amp;VAR:QUERY=UkdGX1RBWF9SQVRFKEFOTiwwLCwsLCwsTk9BVURJVCk=&amp;WINDOW=FIRST_POPUP&amp;HEIGHT=450&amp;WIDTH=450&amp;","START_MAXIMIZED=FALSE&amp;VAR:CALENDAR=US&amp;VAR:SYMBOL=SMSI&amp;VAR:INDEX=0"}</definedName>
    <definedName name="_2857__FDSAUDITLINK__" localSheetId="7" hidden="1">{"fdsup://directions/FAT Viewer?action=UPDATE&amp;creator=factset&amp;DYN_ARGS=TRUE&amp;DOC_NAME=FAT:FQL_AUDITING_CLIENT_TEMPLATE.FAT&amp;display_string=Audit&amp;VAR:KEY=YNMBQTGZUX&amp;VAR:QUERY=UkdGX1RBWF9SQVRFKEFOTiwwLCwsLCwsTk9BVURJVCk=&amp;WINDOW=FIRST_POPUP&amp;HEIGHT=450&amp;WIDTH=450&amp;","START_MAXIMIZED=FALSE&amp;VAR:CALENDAR=US&amp;VAR:SYMBOL=SMSI&amp;VAR:INDEX=0"}</definedName>
    <definedName name="_2857__FDSAUDITLINK__" hidden="1">{"fdsup://directions/FAT Viewer?action=UPDATE&amp;creator=factset&amp;DYN_ARGS=TRUE&amp;DOC_NAME=FAT:FQL_AUDITING_CLIENT_TEMPLATE.FAT&amp;display_string=Audit&amp;VAR:KEY=YNMBQTGZUX&amp;VAR:QUERY=UkdGX1RBWF9SQVRFKEFOTiwwLCwsLCwsTk9BVURJVCk=&amp;WINDOW=FIRST_POPUP&amp;HEIGHT=450&amp;WIDTH=450&amp;","START_MAXIMIZED=FALSE&amp;VAR:CALENDAR=US&amp;VAR:SYMBOL=SMSI&amp;VAR:INDEX=0"}</definedName>
    <definedName name="_2858__FDSAUDITLINK__" localSheetId="3" hidden="1">{"fdsup://directions/FAT Viewer?action=UPDATE&amp;creator=factset&amp;DYN_ARGS=TRUE&amp;DOC_NAME=FAT:FQL_AUDITING_CLIENT_TEMPLATE.FAT&amp;display_string=Audit&amp;VAR:KEY=GPQXSFIJGR&amp;VAR:QUERY=UkdGX1RBWF9SQVRFKEFOTiwwLCwsLCwsTk9BVURJVCk=&amp;WINDOW=FIRST_POPUP&amp;HEIGHT=450&amp;WIDTH=450&amp;","START_MAXIMIZED=FALSE&amp;VAR:CALENDAR=US&amp;VAR:SYMBOL=SQI&amp;VAR:INDEX=0"}</definedName>
    <definedName name="_2858__FDSAUDITLINK__" localSheetId="7" hidden="1">{"fdsup://directions/FAT Viewer?action=UPDATE&amp;creator=factset&amp;DYN_ARGS=TRUE&amp;DOC_NAME=FAT:FQL_AUDITING_CLIENT_TEMPLATE.FAT&amp;display_string=Audit&amp;VAR:KEY=GPQXSFIJGR&amp;VAR:QUERY=UkdGX1RBWF9SQVRFKEFOTiwwLCwsLCwsTk9BVURJVCk=&amp;WINDOW=FIRST_POPUP&amp;HEIGHT=450&amp;WIDTH=450&amp;","START_MAXIMIZED=FALSE&amp;VAR:CALENDAR=US&amp;VAR:SYMBOL=SQI&amp;VAR:INDEX=0"}</definedName>
    <definedName name="_2858__FDSAUDITLINK__" hidden="1">{"fdsup://directions/FAT Viewer?action=UPDATE&amp;creator=factset&amp;DYN_ARGS=TRUE&amp;DOC_NAME=FAT:FQL_AUDITING_CLIENT_TEMPLATE.FAT&amp;display_string=Audit&amp;VAR:KEY=GPQXSFIJGR&amp;VAR:QUERY=UkdGX1RBWF9SQVRFKEFOTiwwLCwsLCwsTk9BVURJVCk=&amp;WINDOW=FIRST_POPUP&amp;HEIGHT=450&amp;WIDTH=450&amp;","START_MAXIMIZED=FALSE&amp;VAR:CALENDAR=US&amp;VAR:SYMBOL=SQI&amp;VAR:INDEX=0"}</definedName>
    <definedName name="_2859__FDSAUDITLINK__" localSheetId="3" hidden="1">{"fdsup://directions/FAT Viewer?action=UPDATE&amp;creator=factset&amp;DYN_ARGS=TRUE&amp;DOC_NAME=FAT:FQL_AUDITING_CLIENT_TEMPLATE.FAT&amp;display_string=Audit&amp;VAR:KEY=GPQXSFIJGR&amp;VAR:QUERY=UkdGX1RBWF9SQVRFKEFOTiwwLCwsLCwsTk9BVURJVCk=&amp;WINDOW=FIRST_POPUP&amp;HEIGHT=450&amp;WIDTH=450&amp;","START_MAXIMIZED=FALSE&amp;VAR:CALENDAR=US&amp;VAR:SYMBOL=SQI&amp;VAR:INDEX=0"}</definedName>
    <definedName name="_2859__FDSAUDITLINK__" localSheetId="7" hidden="1">{"fdsup://directions/FAT Viewer?action=UPDATE&amp;creator=factset&amp;DYN_ARGS=TRUE&amp;DOC_NAME=FAT:FQL_AUDITING_CLIENT_TEMPLATE.FAT&amp;display_string=Audit&amp;VAR:KEY=GPQXSFIJGR&amp;VAR:QUERY=UkdGX1RBWF9SQVRFKEFOTiwwLCwsLCwsTk9BVURJVCk=&amp;WINDOW=FIRST_POPUP&amp;HEIGHT=450&amp;WIDTH=450&amp;","START_MAXIMIZED=FALSE&amp;VAR:CALENDAR=US&amp;VAR:SYMBOL=SQI&amp;VAR:INDEX=0"}</definedName>
    <definedName name="_2859__FDSAUDITLINK__" hidden="1">{"fdsup://directions/FAT Viewer?action=UPDATE&amp;creator=factset&amp;DYN_ARGS=TRUE&amp;DOC_NAME=FAT:FQL_AUDITING_CLIENT_TEMPLATE.FAT&amp;display_string=Audit&amp;VAR:KEY=GPQXSFIJGR&amp;VAR:QUERY=UkdGX1RBWF9SQVRFKEFOTiwwLCwsLCwsTk9BVURJVCk=&amp;WINDOW=FIRST_POPUP&amp;HEIGHT=450&amp;WIDTH=450&amp;","START_MAXIMIZED=FALSE&amp;VAR:CALENDAR=US&amp;VAR:SYMBOL=SQI&amp;VAR:INDEX=0"}</definedName>
    <definedName name="_286__FDSAUDITLINK__" localSheetId="3" hidden="1">{"fdsup://directions/FAT Viewer?action=UPDATE&amp;creator=factset&amp;DYN_ARGS=TRUE&amp;DOC_NAME=FAT:FQL_AUDITING_CLIENT_TEMPLATE.FAT&amp;display_string=Audit&amp;VAR:KEY=SBONQPYJSH&amp;VAR:QUERY=RkZfU0FMRVMoTFRNLDAsLCwsLE0p&amp;WINDOW=FIRST_POPUP&amp;HEIGHT=450&amp;WIDTH=450&amp;START_MAXIMIZED=","FALSE&amp;VAR:CALENDAR=US&amp;VAR:SYMBOL=B128R9&amp;VAR:INDEX=0"}</definedName>
    <definedName name="_286__FDSAUDITLINK__" localSheetId="7" hidden="1">{"fdsup://directions/FAT Viewer?action=UPDATE&amp;creator=factset&amp;DYN_ARGS=TRUE&amp;DOC_NAME=FAT:FQL_AUDITING_CLIENT_TEMPLATE.FAT&amp;display_string=Audit&amp;VAR:KEY=SBONQPYJSH&amp;VAR:QUERY=RkZfU0FMRVMoTFRNLDAsLCwsLE0p&amp;WINDOW=FIRST_POPUP&amp;HEIGHT=450&amp;WIDTH=450&amp;START_MAXIMIZED=","FALSE&amp;VAR:CALENDAR=US&amp;VAR:SYMBOL=B128R9&amp;VAR:INDEX=0"}</definedName>
    <definedName name="_286__FDSAUDITLINK__" hidden="1">{"fdsup://directions/FAT Viewer?action=UPDATE&amp;creator=factset&amp;DYN_ARGS=TRUE&amp;DOC_NAME=FAT:FQL_AUDITING_CLIENT_TEMPLATE.FAT&amp;display_string=Audit&amp;VAR:KEY=SBONQPYJSH&amp;VAR:QUERY=RkZfU0FMRVMoTFRNLDAsLCwsLE0p&amp;WINDOW=FIRST_POPUP&amp;HEIGHT=450&amp;WIDTH=450&amp;START_MAXIMIZED=","FALSE&amp;VAR:CALENDAR=US&amp;VAR:SYMBOL=B128R9&amp;VAR:INDEX=0"}</definedName>
    <definedName name="_2860__FDSAUDITLINK__" localSheetId="3" hidden="1">{"fdsup://directions/FAT Viewer?action=UPDATE&amp;creator=factset&amp;DYN_ARGS=TRUE&amp;DOC_NAME=FAT:FQL_AUDITING_CLIENT_TEMPLATE.FAT&amp;display_string=Audit&amp;VAR:KEY=IRSTOBQJGL&amp;VAR:QUERY=UkdGX1RBWF9SQVRFKEFOTiwwLCwsLCwsTk9BVURJVCk=&amp;WINDOW=FIRST_POPUP&amp;HEIGHT=450&amp;WIDTH=450&amp;","START_MAXIMIZED=FALSE&amp;VAR:CALENDAR=US&amp;VAR:SYMBOL=SVVS&amp;VAR:INDEX=0"}</definedName>
    <definedName name="_2860__FDSAUDITLINK__" localSheetId="7" hidden="1">{"fdsup://directions/FAT Viewer?action=UPDATE&amp;creator=factset&amp;DYN_ARGS=TRUE&amp;DOC_NAME=FAT:FQL_AUDITING_CLIENT_TEMPLATE.FAT&amp;display_string=Audit&amp;VAR:KEY=IRSTOBQJGL&amp;VAR:QUERY=UkdGX1RBWF9SQVRFKEFOTiwwLCwsLCwsTk9BVURJVCk=&amp;WINDOW=FIRST_POPUP&amp;HEIGHT=450&amp;WIDTH=450&amp;","START_MAXIMIZED=FALSE&amp;VAR:CALENDAR=US&amp;VAR:SYMBOL=SVVS&amp;VAR:INDEX=0"}</definedName>
    <definedName name="_2860__FDSAUDITLINK__" hidden="1">{"fdsup://directions/FAT Viewer?action=UPDATE&amp;creator=factset&amp;DYN_ARGS=TRUE&amp;DOC_NAME=FAT:FQL_AUDITING_CLIENT_TEMPLATE.FAT&amp;display_string=Audit&amp;VAR:KEY=IRSTOBQJGL&amp;VAR:QUERY=UkdGX1RBWF9SQVRFKEFOTiwwLCwsLCwsTk9BVURJVCk=&amp;WINDOW=FIRST_POPUP&amp;HEIGHT=450&amp;WIDTH=450&amp;","START_MAXIMIZED=FALSE&amp;VAR:CALENDAR=US&amp;VAR:SYMBOL=SVVS&amp;VAR:INDEX=0"}</definedName>
    <definedName name="_2861__FDSAUDITLINK__" localSheetId="3" hidden="1">{"fdsup://directions/FAT Viewer?action=UPDATE&amp;creator=factset&amp;DYN_ARGS=TRUE&amp;DOC_NAME=FAT:FQL_AUDITING_CLIENT_TEMPLATE.FAT&amp;display_string=Audit&amp;VAR:KEY=WVGDKRUXMP&amp;VAR:QUERY=UkdGX1RBWF9SQVRFKEFOTiwwLCwsLCwsTk9BVURJVCk=&amp;WINDOW=FIRST_POPUP&amp;HEIGHT=450&amp;WIDTH=450&amp;","START_MAXIMIZED=FALSE&amp;VAR:CALENDAR=US&amp;VAR:SYMBOL=SAP&amp;VAR:INDEX=0"}</definedName>
    <definedName name="_2861__FDSAUDITLINK__" localSheetId="7" hidden="1">{"fdsup://directions/FAT Viewer?action=UPDATE&amp;creator=factset&amp;DYN_ARGS=TRUE&amp;DOC_NAME=FAT:FQL_AUDITING_CLIENT_TEMPLATE.FAT&amp;display_string=Audit&amp;VAR:KEY=WVGDKRUXMP&amp;VAR:QUERY=UkdGX1RBWF9SQVRFKEFOTiwwLCwsLCwsTk9BVURJVCk=&amp;WINDOW=FIRST_POPUP&amp;HEIGHT=450&amp;WIDTH=450&amp;","START_MAXIMIZED=FALSE&amp;VAR:CALENDAR=US&amp;VAR:SYMBOL=SAP&amp;VAR:INDEX=0"}</definedName>
    <definedName name="_2861__FDSAUDITLINK__" hidden="1">{"fdsup://directions/FAT Viewer?action=UPDATE&amp;creator=factset&amp;DYN_ARGS=TRUE&amp;DOC_NAME=FAT:FQL_AUDITING_CLIENT_TEMPLATE.FAT&amp;display_string=Audit&amp;VAR:KEY=WVGDKRUXMP&amp;VAR:QUERY=UkdGX1RBWF9SQVRFKEFOTiwwLCwsLCwsTk9BVURJVCk=&amp;WINDOW=FIRST_POPUP&amp;HEIGHT=450&amp;WIDTH=450&amp;","START_MAXIMIZED=FALSE&amp;VAR:CALENDAR=US&amp;VAR:SYMBOL=SAP&amp;VAR:INDEX=0"}</definedName>
    <definedName name="_2862__FDSAUDITLINK__" localSheetId="3" hidden="1">{"fdsup://directions/FAT Viewer?action=UPDATE&amp;creator=factset&amp;DYN_ARGS=TRUE&amp;DOC_NAME=FAT:FQL_AUDITING_CLIENT_TEMPLATE.FAT&amp;display_string=Audit&amp;VAR:KEY=WVGDKRUXMP&amp;VAR:QUERY=UkdGX1RBWF9SQVRFKEFOTiwwLCwsLCwsTk9BVURJVCk=&amp;WINDOW=FIRST_POPUP&amp;HEIGHT=450&amp;WIDTH=450&amp;","START_MAXIMIZED=FALSE&amp;VAR:CALENDAR=US&amp;VAR:SYMBOL=SAP&amp;VAR:INDEX=0"}</definedName>
    <definedName name="_2862__FDSAUDITLINK__" localSheetId="7" hidden="1">{"fdsup://directions/FAT Viewer?action=UPDATE&amp;creator=factset&amp;DYN_ARGS=TRUE&amp;DOC_NAME=FAT:FQL_AUDITING_CLIENT_TEMPLATE.FAT&amp;display_string=Audit&amp;VAR:KEY=WVGDKRUXMP&amp;VAR:QUERY=UkdGX1RBWF9SQVRFKEFOTiwwLCwsLCwsTk9BVURJVCk=&amp;WINDOW=FIRST_POPUP&amp;HEIGHT=450&amp;WIDTH=450&amp;","START_MAXIMIZED=FALSE&amp;VAR:CALENDAR=US&amp;VAR:SYMBOL=SAP&amp;VAR:INDEX=0"}</definedName>
    <definedName name="_2862__FDSAUDITLINK__" hidden="1">{"fdsup://directions/FAT Viewer?action=UPDATE&amp;creator=factset&amp;DYN_ARGS=TRUE&amp;DOC_NAME=FAT:FQL_AUDITING_CLIENT_TEMPLATE.FAT&amp;display_string=Audit&amp;VAR:KEY=WVGDKRUXMP&amp;VAR:QUERY=UkdGX1RBWF9SQVRFKEFOTiwwLCwsLCwsTk9BVURJVCk=&amp;WINDOW=FIRST_POPUP&amp;HEIGHT=450&amp;WIDTH=450&amp;","START_MAXIMIZED=FALSE&amp;VAR:CALENDAR=US&amp;VAR:SYMBOL=SAP&amp;VAR:INDEX=0"}</definedName>
    <definedName name="_2863__FDSAUDITLINK__" localSheetId="3" hidden="1">{"fdsup://directions/FAT Viewer?action=UPDATE&amp;creator=factset&amp;DYN_ARGS=TRUE&amp;DOC_NAME=FAT:FQL_AUDITING_CLIENT_TEMPLATE.FAT&amp;display_string=Audit&amp;VAR:KEY=YDKVGXMZIP&amp;VAR:QUERY=UkdGX1RBWF9SQVRFKEFOTiwwLCwsLCwsTk9BVURJVCk=&amp;WINDOW=FIRST_POPUP&amp;HEIGHT=450&amp;WIDTH=450&amp;","START_MAXIMIZED=FALSE&amp;VAR:CALENDAR=US&amp;VAR:SYMBOL=CRM&amp;VAR:INDEX=0"}</definedName>
    <definedName name="_2863__FDSAUDITLINK__" localSheetId="7" hidden="1">{"fdsup://directions/FAT Viewer?action=UPDATE&amp;creator=factset&amp;DYN_ARGS=TRUE&amp;DOC_NAME=FAT:FQL_AUDITING_CLIENT_TEMPLATE.FAT&amp;display_string=Audit&amp;VAR:KEY=YDKVGXMZIP&amp;VAR:QUERY=UkdGX1RBWF9SQVRFKEFOTiwwLCwsLCwsTk9BVURJVCk=&amp;WINDOW=FIRST_POPUP&amp;HEIGHT=450&amp;WIDTH=450&amp;","START_MAXIMIZED=FALSE&amp;VAR:CALENDAR=US&amp;VAR:SYMBOL=CRM&amp;VAR:INDEX=0"}</definedName>
    <definedName name="_2863__FDSAUDITLINK__" hidden="1">{"fdsup://directions/FAT Viewer?action=UPDATE&amp;creator=factset&amp;DYN_ARGS=TRUE&amp;DOC_NAME=FAT:FQL_AUDITING_CLIENT_TEMPLATE.FAT&amp;display_string=Audit&amp;VAR:KEY=YDKVGXMZIP&amp;VAR:QUERY=UkdGX1RBWF9SQVRFKEFOTiwwLCwsLCwsTk9BVURJVCk=&amp;WINDOW=FIRST_POPUP&amp;HEIGHT=450&amp;WIDTH=450&amp;","START_MAXIMIZED=FALSE&amp;VAR:CALENDAR=US&amp;VAR:SYMBOL=CRM&amp;VAR:INDEX=0"}</definedName>
    <definedName name="_2864__FDSAUDITLINK__" localSheetId="3" hidden="1">{"fdsup://directions/FAT Viewer?action=UPDATE&amp;creator=factset&amp;DYN_ARGS=TRUE&amp;DOC_NAME=FAT:FQL_AUDITING_CLIENT_TEMPLATE.FAT&amp;display_string=Audit&amp;VAR:KEY=YDKVGXMZIP&amp;VAR:QUERY=UkdGX1RBWF9SQVRFKEFOTiwwLCwsLCwsTk9BVURJVCk=&amp;WINDOW=FIRST_POPUP&amp;HEIGHT=450&amp;WIDTH=450&amp;","START_MAXIMIZED=FALSE&amp;VAR:CALENDAR=US&amp;VAR:SYMBOL=CRM&amp;VAR:INDEX=0"}</definedName>
    <definedName name="_2864__FDSAUDITLINK__" localSheetId="7" hidden="1">{"fdsup://directions/FAT Viewer?action=UPDATE&amp;creator=factset&amp;DYN_ARGS=TRUE&amp;DOC_NAME=FAT:FQL_AUDITING_CLIENT_TEMPLATE.FAT&amp;display_string=Audit&amp;VAR:KEY=YDKVGXMZIP&amp;VAR:QUERY=UkdGX1RBWF9SQVRFKEFOTiwwLCwsLCwsTk9BVURJVCk=&amp;WINDOW=FIRST_POPUP&amp;HEIGHT=450&amp;WIDTH=450&amp;","START_MAXIMIZED=FALSE&amp;VAR:CALENDAR=US&amp;VAR:SYMBOL=CRM&amp;VAR:INDEX=0"}</definedName>
    <definedName name="_2864__FDSAUDITLINK__" hidden="1">{"fdsup://directions/FAT Viewer?action=UPDATE&amp;creator=factset&amp;DYN_ARGS=TRUE&amp;DOC_NAME=FAT:FQL_AUDITING_CLIENT_TEMPLATE.FAT&amp;display_string=Audit&amp;VAR:KEY=YDKVGXMZIP&amp;VAR:QUERY=UkdGX1RBWF9SQVRFKEFOTiwwLCwsLCwsTk9BVURJVCk=&amp;WINDOW=FIRST_POPUP&amp;HEIGHT=450&amp;WIDTH=450&amp;","START_MAXIMIZED=FALSE&amp;VAR:CALENDAR=US&amp;VAR:SYMBOL=CRM&amp;VAR:INDEX=0"}</definedName>
    <definedName name="_2865__FDSAUDITLINK__" localSheetId="3" hidden="1">{"fdsup://directions/FAT Viewer?action=UPDATE&amp;creator=factset&amp;DYN_ARGS=TRUE&amp;DOC_NAME=FAT:FQL_AUDITING_CLIENT_TEMPLATE.FAT&amp;display_string=Audit&amp;VAR:KEY=IZENKLABGF&amp;VAR:QUERY=UkdGX1RBWF9SQVRFKEFOTiwwLCwsLCwsTk9BVURJVCk=&amp;WINDOW=FIRST_POPUP&amp;HEIGHT=450&amp;WIDTH=450&amp;","START_MAXIMIZED=FALSE&amp;VAR:CALENDAR=US&amp;VAR:SYMBOL=080216&amp;VAR:INDEX=0"}</definedName>
    <definedName name="_2865__FDSAUDITLINK__" localSheetId="7" hidden="1">{"fdsup://directions/FAT Viewer?action=UPDATE&amp;creator=factset&amp;DYN_ARGS=TRUE&amp;DOC_NAME=FAT:FQL_AUDITING_CLIENT_TEMPLATE.FAT&amp;display_string=Audit&amp;VAR:KEY=IZENKLABGF&amp;VAR:QUERY=UkdGX1RBWF9SQVRFKEFOTiwwLCwsLCwsTk9BVURJVCk=&amp;WINDOW=FIRST_POPUP&amp;HEIGHT=450&amp;WIDTH=450&amp;","START_MAXIMIZED=FALSE&amp;VAR:CALENDAR=US&amp;VAR:SYMBOL=080216&amp;VAR:INDEX=0"}</definedName>
    <definedName name="_2865__FDSAUDITLINK__" hidden="1">{"fdsup://directions/FAT Viewer?action=UPDATE&amp;creator=factset&amp;DYN_ARGS=TRUE&amp;DOC_NAME=FAT:FQL_AUDITING_CLIENT_TEMPLATE.FAT&amp;display_string=Audit&amp;VAR:KEY=IZENKLABGF&amp;VAR:QUERY=UkdGX1RBWF9SQVRFKEFOTiwwLCwsLCwsTk9BVURJVCk=&amp;WINDOW=FIRST_POPUP&amp;HEIGHT=450&amp;WIDTH=450&amp;","START_MAXIMIZED=FALSE&amp;VAR:CALENDAR=US&amp;VAR:SYMBOL=080216&amp;VAR:INDEX=0"}</definedName>
    <definedName name="_2866__FDSAUDITLINK__" localSheetId="3" hidden="1">{"fdsup://directions/FAT Viewer?action=UPDATE&amp;creator=factset&amp;DYN_ARGS=TRUE&amp;DOC_NAME=FAT:FQL_AUDITING_CLIENT_TEMPLATE.FAT&amp;display_string=Audit&amp;VAR:KEY=IZENKLABGF&amp;VAR:QUERY=UkdGX1RBWF9SQVRFKEFOTiwwLCwsLCwsTk9BVURJVCk=&amp;WINDOW=FIRST_POPUP&amp;HEIGHT=450&amp;WIDTH=450&amp;","START_MAXIMIZED=FALSE&amp;VAR:CALENDAR=US&amp;VAR:SYMBOL=080216&amp;VAR:INDEX=0"}</definedName>
    <definedName name="_2866__FDSAUDITLINK__" localSheetId="7" hidden="1">{"fdsup://directions/FAT Viewer?action=UPDATE&amp;creator=factset&amp;DYN_ARGS=TRUE&amp;DOC_NAME=FAT:FQL_AUDITING_CLIENT_TEMPLATE.FAT&amp;display_string=Audit&amp;VAR:KEY=IZENKLABGF&amp;VAR:QUERY=UkdGX1RBWF9SQVRFKEFOTiwwLCwsLCwsTk9BVURJVCk=&amp;WINDOW=FIRST_POPUP&amp;HEIGHT=450&amp;WIDTH=450&amp;","START_MAXIMIZED=FALSE&amp;VAR:CALENDAR=US&amp;VAR:SYMBOL=080216&amp;VAR:INDEX=0"}</definedName>
    <definedName name="_2866__FDSAUDITLINK__" hidden="1">{"fdsup://directions/FAT Viewer?action=UPDATE&amp;creator=factset&amp;DYN_ARGS=TRUE&amp;DOC_NAME=FAT:FQL_AUDITING_CLIENT_TEMPLATE.FAT&amp;display_string=Audit&amp;VAR:KEY=IZENKLABGF&amp;VAR:QUERY=UkdGX1RBWF9SQVRFKEFOTiwwLCwsLCwsTk9BVURJVCk=&amp;WINDOW=FIRST_POPUP&amp;HEIGHT=450&amp;WIDTH=450&amp;","START_MAXIMIZED=FALSE&amp;VAR:CALENDAR=US&amp;VAR:SYMBOL=080216&amp;VAR:INDEX=0"}</definedName>
    <definedName name="_2867__FDSAUDITLINK__" localSheetId="3" hidden="1">{"fdsup://directions/FAT Viewer?action=UPDATE&amp;creator=factset&amp;DYN_ARGS=TRUE&amp;DOC_NAME=FAT:FQL_AUDITING_CLIENT_TEMPLATE.FAT&amp;display_string=Audit&amp;VAR:KEY=UVSLCBUFAP&amp;VAR:QUERY=UkdGX1RBWF9SQVRFKEFOTiwwLCwsLCwsTk9BVURJVCk=&amp;WINDOW=FIRST_POPUP&amp;HEIGHT=450&amp;WIDTH=450&amp;","START_MAXIMIZED=FALSE&amp;VAR:CALENDAR=US&amp;VAR:SYMBOL=SABA&amp;VAR:INDEX=0"}</definedName>
    <definedName name="_2867__FDSAUDITLINK__" localSheetId="7" hidden="1">{"fdsup://directions/FAT Viewer?action=UPDATE&amp;creator=factset&amp;DYN_ARGS=TRUE&amp;DOC_NAME=FAT:FQL_AUDITING_CLIENT_TEMPLATE.FAT&amp;display_string=Audit&amp;VAR:KEY=UVSLCBUFAP&amp;VAR:QUERY=UkdGX1RBWF9SQVRFKEFOTiwwLCwsLCwsTk9BVURJVCk=&amp;WINDOW=FIRST_POPUP&amp;HEIGHT=450&amp;WIDTH=450&amp;","START_MAXIMIZED=FALSE&amp;VAR:CALENDAR=US&amp;VAR:SYMBOL=SABA&amp;VAR:INDEX=0"}</definedName>
    <definedName name="_2867__FDSAUDITLINK__" hidden="1">{"fdsup://directions/FAT Viewer?action=UPDATE&amp;creator=factset&amp;DYN_ARGS=TRUE&amp;DOC_NAME=FAT:FQL_AUDITING_CLIENT_TEMPLATE.FAT&amp;display_string=Audit&amp;VAR:KEY=UVSLCBUFAP&amp;VAR:QUERY=UkdGX1RBWF9SQVRFKEFOTiwwLCwsLCwsTk9BVURJVCk=&amp;WINDOW=FIRST_POPUP&amp;HEIGHT=450&amp;WIDTH=450&amp;","START_MAXIMIZED=FALSE&amp;VAR:CALENDAR=US&amp;VAR:SYMBOL=SABA&amp;VAR:INDEX=0"}</definedName>
    <definedName name="_2868__FDSAUDITLINK__" localSheetId="3" hidden="1">{"fdsup://directions/FAT Viewer?action=UPDATE&amp;creator=factset&amp;DYN_ARGS=TRUE&amp;DOC_NAME=FAT:FQL_AUDITING_CLIENT_TEMPLATE.FAT&amp;display_string=Audit&amp;VAR:KEY=UVSLCBUFAP&amp;VAR:QUERY=UkdGX1RBWF9SQVRFKEFOTiwwLCwsLCwsTk9BVURJVCk=&amp;WINDOW=FIRST_POPUP&amp;HEIGHT=450&amp;WIDTH=450&amp;","START_MAXIMIZED=FALSE&amp;VAR:CALENDAR=US&amp;VAR:SYMBOL=SABA&amp;VAR:INDEX=0"}</definedName>
    <definedName name="_2868__FDSAUDITLINK__" localSheetId="7" hidden="1">{"fdsup://directions/FAT Viewer?action=UPDATE&amp;creator=factset&amp;DYN_ARGS=TRUE&amp;DOC_NAME=FAT:FQL_AUDITING_CLIENT_TEMPLATE.FAT&amp;display_string=Audit&amp;VAR:KEY=UVSLCBUFAP&amp;VAR:QUERY=UkdGX1RBWF9SQVRFKEFOTiwwLCwsLCwsTk9BVURJVCk=&amp;WINDOW=FIRST_POPUP&amp;HEIGHT=450&amp;WIDTH=450&amp;","START_MAXIMIZED=FALSE&amp;VAR:CALENDAR=US&amp;VAR:SYMBOL=SABA&amp;VAR:INDEX=0"}</definedName>
    <definedName name="_2868__FDSAUDITLINK__" hidden="1">{"fdsup://directions/FAT Viewer?action=UPDATE&amp;creator=factset&amp;DYN_ARGS=TRUE&amp;DOC_NAME=FAT:FQL_AUDITING_CLIENT_TEMPLATE.FAT&amp;display_string=Audit&amp;VAR:KEY=UVSLCBUFAP&amp;VAR:QUERY=UkdGX1RBWF9SQVRFKEFOTiwwLCwsLCwsTk9BVURJVCk=&amp;WINDOW=FIRST_POPUP&amp;HEIGHT=450&amp;WIDTH=450&amp;","START_MAXIMIZED=FALSE&amp;VAR:CALENDAR=US&amp;VAR:SYMBOL=SABA&amp;VAR:INDEX=0"}</definedName>
    <definedName name="_2869__FDSAUDITLINK__" localSheetId="3" hidden="1">{"fdsup://directions/FAT Viewer?action=UPDATE&amp;creator=factset&amp;DYN_ARGS=TRUE&amp;DOC_NAME=FAT:FQL_AUDITING_CLIENT_TEMPLATE.FAT&amp;display_string=Audit&amp;VAR:KEY=CJODITWHON&amp;VAR:QUERY=UkdGX1RBWF9SQVRFKEFOTiwwLCwsLCwsTk9BVURJVCk=&amp;WINDOW=FIRST_POPUP&amp;HEIGHT=450&amp;WIDTH=450&amp;","START_MAXIMIZED=FALSE&amp;VAR:CALENDAR=US&amp;VAR:SYMBOL=RVBD&amp;VAR:INDEX=0"}</definedName>
    <definedName name="_2869__FDSAUDITLINK__" localSheetId="7" hidden="1">{"fdsup://directions/FAT Viewer?action=UPDATE&amp;creator=factset&amp;DYN_ARGS=TRUE&amp;DOC_NAME=FAT:FQL_AUDITING_CLIENT_TEMPLATE.FAT&amp;display_string=Audit&amp;VAR:KEY=CJODITWHON&amp;VAR:QUERY=UkdGX1RBWF9SQVRFKEFOTiwwLCwsLCwsTk9BVURJVCk=&amp;WINDOW=FIRST_POPUP&amp;HEIGHT=450&amp;WIDTH=450&amp;","START_MAXIMIZED=FALSE&amp;VAR:CALENDAR=US&amp;VAR:SYMBOL=RVBD&amp;VAR:INDEX=0"}</definedName>
    <definedName name="_2869__FDSAUDITLINK__" hidden="1">{"fdsup://directions/FAT Viewer?action=UPDATE&amp;creator=factset&amp;DYN_ARGS=TRUE&amp;DOC_NAME=FAT:FQL_AUDITING_CLIENT_TEMPLATE.FAT&amp;display_string=Audit&amp;VAR:KEY=CJODITWHON&amp;VAR:QUERY=UkdGX1RBWF9SQVRFKEFOTiwwLCwsLCwsTk9BVURJVCk=&amp;WINDOW=FIRST_POPUP&amp;HEIGHT=450&amp;WIDTH=450&amp;","START_MAXIMIZED=FALSE&amp;VAR:CALENDAR=US&amp;VAR:SYMBOL=RVBD&amp;VAR:INDEX=0"}</definedName>
    <definedName name="_2870__FDSAUDITLINK__" localSheetId="3" hidden="1">{"fdsup://directions/FAT Viewer?action=UPDATE&amp;creator=factset&amp;DYN_ARGS=TRUE&amp;DOC_NAME=FAT:FQL_AUDITING_CLIENT_TEMPLATE.FAT&amp;display_string=Audit&amp;VAR:KEY=CJODITWHON&amp;VAR:QUERY=UkdGX1RBWF9SQVRFKEFOTiwwLCwsLCwsTk9BVURJVCk=&amp;WINDOW=FIRST_POPUP&amp;HEIGHT=450&amp;WIDTH=450&amp;","START_MAXIMIZED=FALSE&amp;VAR:CALENDAR=US&amp;VAR:SYMBOL=RVBD&amp;VAR:INDEX=0"}</definedName>
    <definedName name="_2870__FDSAUDITLINK__" localSheetId="7" hidden="1">{"fdsup://directions/FAT Viewer?action=UPDATE&amp;creator=factset&amp;DYN_ARGS=TRUE&amp;DOC_NAME=FAT:FQL_AUDITING_CLIENT_TEMPLATE.FAT&amp;display_string=Audit&amp;VAR:KEY=CJODITWHON&amp;VAR:QUERY=UkdGX1RBWF9SQVRFKEFOTiwwLCwsLCwsTk9BVURJVCk=&amp;WINDOW=FIRST_POPUP&amp;HEIGHT=450&amp;WIDTH=450&amp;","START_MAXIMIZED=FALSE&amp;VAR:CALENDAR=US&amp;VAR:SYMBOL=RVBD&amp;VAR:INDEX=0"}</definedName>
    <definedName name="_2870__FDSAUDITLINK__" hidden="1">{"fdsup://directions/FAT Viewer?action=UPDATE&amp;creator=factset&amp;DYN_ARGS=TRUE&amp;DOC_NAME=FAT:FQL_AUDITING_CLIENT_TEMPLATE.FAT&amp;display_string=Audit&amp;VAR:KEY=CJODITWHON&amp;VAR:QUERY=UkdGX1RBWF9SQVRFKEFOTiwwLCwsLCwsTk9BVURJVCk=&amp;WINDOW=FIRST_POPUP&amp;HEIGHT=450&amp;WIDTH=450&amp;","START_MAXIMIZED=FALSE&amp;VAR:CALENDAR=US&amp;VAR:SYMBOL=RVBD&amp;VAR:INDEX=0"}</definedName>
    <definedName name="_2871__FDSAUDITLINK__" localSheetId="3" hidden="1">{"fdsup://directions/FAT Viewer?action=UPDATE&amp;creator=factset&amp;DYN_ARGS=TRUE&amp;DOC_NAME=FAT:FQL_AUDITING_CLIENT_TEMPLATE.FAT&amp;display_string=Audit&amp;VAR:KEY=SHATOFYJAF&amp;VAR:QUERY=UkdGX1RBWF9SQVRFKEFOTiwwLCwsLCwsTk9BVURJVCk=&amp;WINDOW=FIRST_POPUP&amp;HEIGHT=450&amp;WIDTH=450&amp;","START_MAXIMIZED=FALSE&amp;VAR:CALENDAR=US&amp;VAR:SYMBOL=ROVI&amp;VAR:INDEX=0"}</definedName>
    <definedName name="_2871__FDSAUDITLINK__" localSheetId="7" hidden="1">{"fdsup://directions/FAT Viewer?action=UPDATE&amp;creator=factset&amp;DYN_ARGS=TRUE&amp;DOC_NAME=FAT:FQL_AUDITING_CLIENT_TEMPLATE.FAT&amp;display_string=Audit&amp;VAR:KEY=SHATOFYJAF&amp;VAR:QUERY=UkdGX1RBWF9SQVRFKEFOTiwwLCwsLCwsTk9BVURJVCk=&amp;WINDOW=FIRST_POPUP&amp;HEIGHT=450&amp;WIDTH=450&amp;","START_MAXIMIZED=FALSE&amp;VAR:CALENDAR=US&amp;VAR:SYMBOL=ROVI&amp;VAR:INDEX=0"}</definedName>
    <definedName name="_2871__FDSAUDITLINK__" hidden="1">{"fdsup://directions/FAT Viewer?action=UPDATE&amp;creator=factset&amp;DYN_ARGS=TRUE&amp;DOC_NAME=FAT:FQL_AUDITING_CLIENT_TEMPLATE.FAT&amp;display_string=Audit&amp;VAR:KEY=SHATOFYJAF&amp;VAR:QUERY=UkdGX1RBWF9SQVRFKEFOTiwwLCwsLCwsTk9BVURJVCk=&amp;WINDOW=FIRST_POPUP&amp;HEIGHT=450&amp;WIDTH=450&amp;","START_MAXIMIZED=FALSE&amp;VAR:CALENDAR=US&amp;VAR:SYMBOL=ROVI&amp;VAR:INDEX=0"}</definedName>
    <definedName name="_2872__FDSAUDITLINK__" localSheetId="3" hidden="1">{"fdsup://directions/FAT Viewer?action=UPDATE&amp;creator=factset&amp;DYN_ARGS=TRUE&amp;DOC_NAME=FAT:FQL_AUDITING_CLIENT_TEMPLATE.FAT&amp;display_string=Audit&amp;VAR:KEY=SHATOFYJAF&amp;VAR:QUERY=UkdGX1RBWF9SQVRFKEFOTiwwLCwsLCwsTk9BVURJVCk=&amp;WINDOW=FIRST_POPUP&amp;HEIGHT=450&amp;WIDTH=450&amp;","START_MAXIMIZED=FALSE&amp;VAR:CALENDAR=US&amp;VAR:SYMBOL=ROVI&amp;VAR:INDEX=0"}</definedName>
    <definedName name="_2872__FDSAUDITLINK__" localSheetId="7" hidden="1">{"fdsup://directions/FAT Viewer?action=UPDATE&amp;creator=factset&amp;DYN_ARGS=TRUE&amp;DOC_NAME=FAT:FQL_AUDITING_CLIENT_TEMPLATE.FAT&amp;display_string=Audit&amp;VAR:KEY=SHATOFYJAF&amp;VAR:QUERY=UkdGX1RBWF9SQVRFKEFOTiwwLCwsLCwsTk9BVURJVCk=&amp;WINDOW=FIRST_POPUP&amp;HEIGHT=450&amp;WIDTH=450&amp;","START_MAXIMIZED=FALSE&amp;VAR:CALENDAR=US&amp;VAR:SYMBOL=ROVI&amp;VAR:INDEX=0"}</definedName>
    <definedName name="_2872__FDSAUDITLINK__" hidden="1">{"fdsup://directions/FAT Viewer?action=UPDATE&amp;creator=factset&amp;DYN_ARGS=TRUE&amp;DOC_NAME=FAT:FQL_AUDITING_CLIENT_TEMPLATE.FAT&amp;display_string=Audit&amp;VAR:KEY=SHATOFYJAF&amp;VAR:QUERY=UkdGX1RBWF9SQVRFKEFOTiwwLCwsLCwsTk9BVURJVCk=&amp;WINDOW=FIRST_POPUP&amp;HEIGHT=450&amp;WIDTH=450&amp;","START_MAXIMIZED=FALSE&amp;VAR:CALENDAR=US&amp;VAR:SYMBOL=ROVI&amp;VAR:INDEX=0"}</definedName>
    <definedName name="_2873__FDSAUDITLINK__" localSheetId="3" hidden="1">{"fdsup://directions/FAT Viewer?action=UPDATE&amp;creator=factset&amp;DYN_ARGS=TRUE&amp;DOC_NAME=FAT:FQL_AUDITING_CLIENT_TEMPLATE.FAT&amp;display_string=Audit&amp;VAR:KEY=UJIHYJEZKB&amp;VAR:QUERY=UkdGX1RBWF9SQVRFKEFOTiwwLCwsLCwsTk9BVURJVCk=&amp;WINDOW=FIRST_POPUP&amp;HEIGHT=450&amp;WIDTH=450&amp;","START_MAXIMIZED=FALSE&amp;VAR:CALENDAR=US&amp;VAR:SYMBOL=RNWK&amp;VAR:INDEX=0"}</definedName>
    <definedName name="_2873__FDSAUDITLINK__" localSheetId="7" hidden="1">{"fdsup://directions/FAT Viewer?action=UPDATE&amp;creator=factset&amp;DYN_ARGS=TRUE&amp;DOC_NAME=FAT:FQL_AUDITING_CLIENT_TEMPLATE.FAT&amp;display_string=Audit&amp;VAR:KEY=UJIHYJEZKB&amp;VAR:QUERY=UkdGX1RBWF9SQVRFKEFOTiwwLCwsLCwsTk9BVURJVCk=&amp;WINDOW=FIRST_POPUP&amp;HEIGHT=450&amp;WIDTH=450&amp;","START_MAXIMIZED=FALSE&amp;VAR:CALENDAR=US&amp;VAR:SYMBOL=RNWK&amp;VAR:INDEX=0"}</definedName>
    <definedName name="_2873__FDSAUDITLINK__" hidden="1">{"fdsup://directions/FAT Viewer?action=UPDATE&amp;creator=factset&amp;DYN_ARGS=TRUE&amp;DOC_NAME=FAT:FQL_AUDITING_CLIENT_TEMPLATE.FAT&amp;display_string=Audit&amp;VAR:KEY=UJIHYJEZKB&amp;VAR:QUERY=UkdGX1RBWF9SQVRFKEFOTiwwLCwsLCwsTk9BVURJVCk=&amp;WINDOW=FIRST_POPUP&amp;HEIGHT=450&amp;WIDTH=450&amp;","START_MAXIMIZED=FALSE&amp;VAR:CALENDAR=US&amp;VAR:SYMBOL=RNWK&amp;VAR:INDEX=0"}</definedName>
    <definedName name="_2874__FDSAUDITLINK__" localSheetId="3" hidden="1">{"fdsup://directions/FAT Viewer?action=UPDATE&amp;creator=factset&amp;DYN_ARGS=TRUE&amp;DOC_NAME=FAT:FQL_AUDITING_CLIENT_TEMPLATE.FAT&amp;display_string=Audit&amp;VAR:KEY=WTOTMRWRUL&amp;VAR:QUERY=UkdGX1RBWF9SQVRFKEFOTiwwLCwsLCwsTk9BVURJVCk=&amp;WINDOW=FIRST_POPUP&amp;HEIGHT=450&amp;WIDTH=450&amp;","START_MAXIMIZED=FALSE&amp;VAR:CALENDAR=US&amp;VAR:SYMBOL=RNOW&amp;VAR:INDEX=0"}</definedName>
    <definedName name="_2874__FDSAUDITLINK__" localSheetId="7" hidden="1">{"fdsup://directions/FAT Viewer?action=UPDATE&amp;creator=factset&amp;DYN_ARGS=TRUE&amp;DOC_NAME=FAT:FQL_AUDITING_CLIENT_TEMPLATE.FAT&amp;display_string=Audit&amp;VAR:KEY=WTOTMRWRUL&amp;VAR:QUERY=UkdGX1RBWF9SQVRFKEFOTiwwLCwsLCwsTk9BVURJVCk=&amp;WINDOW=FIRST_POPUP&amp;HEIGHT=450&amp;WIDTH=450&amp;","START_MAXIMIZED=FALSE&amp;VAR:CALENDAR=US&amp;VAR:SYMBOL=RNOW&amp;VAR:INDEX=0"}</definedName>
    <definedName name="_2874__FDSAUDITLINK__" hidden="1">{"fdsup://directions/FAT Viewer?action=UPDATE&amp;creator=factset&amp;DYN_ARGS=TRUE&amp;DOC_NAME=FAT:FQL_AUDITING_CLIENT_TEMPLATE.FAT&amp;display_string=Audit&amp;VAR:KEY=WTOTMRWRUL&amp;VAR:QUERY=UkdGX1RBWF9SQVRFKEFOTiwwLCwsLCwsTk9BVURJVCk=&amp;WINDOW=FIRST_POPUP&amp;HEIGHT=450&amp;WIDTH=450&amp;","START_MAXIMIZED=FALSE&amp;VAR:CALENDAR=US&amp;VAR:SYMBOL=RNOW&amp;VAR:INDEX=0"}</definedName>
    <definedName name="_2875__FDSAUDITLINK__" localSheetId="3" hidden="1">{"fdsup://directions/FAT Viewer?action=UPDATE&amp;creator=factset&amp;DYN_ARGS=TRUE&amp;DOC_NAME=FAT:FQL_AUDITING_CLIENT_TEMPLATE.FAT&amp;display_string=Audit&amp;VAR:KEY=WTOTMRWRUL&amp;VAR:QUERY=UkdGX1RBWF9SQVRFKEFOTiwwLCwsLCwsTk9BVURJVCk=&amp;WINDOW=FIRST_POPUP&amp;HEIGHT=450&amp;WIDTH=450&amp;","START_MAXIMIZED=FALSE&amp;VAR:CALENDAR=US&amp;VAR:SYMBOL=RNOW&amp;VAR:INDEX=0"}</definedName>
    <definedName name="_2875__FDSAUDITLINK__" localSheetId="7" hidden="1">{"fdsup://directions/FAT Viewer?action=UPDATE&amp;creator=factset&amp;DYN_ARGS=TRUE&amp;DOC_NAME=FAT:FQL_AUDITING_CLIENT_TEMPLATE.FAT&amp;display_string=Audit&amp;VAR:KEY=WTOTMRWRUL&amp;VAR:QUERY=UkdGX1RBWF9SQVRFKEFOTiwwLCwsLCwsTk9BVURJVCk=&amp;WINDOW=FIRST_POPUP&amp;HEIGHT=450&amp;WIDTH=450&amp;","START_MAXIMIZED=FALSE&amp;VAR:CALENDAR=US&amp;VAR:SYMBOL=RNOW&amp;VAR:INDEX=0"}</definedName>
    <definedName name="_2875__FDSAUDITLINK__" hidden="1">{"fdsup://directions/FAT Viewer?action=UPDATE&amp;creator=factset&amp;DYN_ARGS=TRUE&amp;DOC_NAME=FAT:FQL_AUDITING_CLIENT_TEMPLATE.FAT&amp;display_string=Audit&amp;VAR:KEY=WTOTMRWRUL&amp;VAR:QUERY=UkdGX1RBWF9SQVRFKEFOTiwwLCwsLCwsTk9BVURJVCk=&amp;WINDOW=FIRST_POPUP&amp;HEIGHT=450&amp;WIDTH=450&amp;","START_MAXIMIZED=FALSE&amp;VAR:CALENDAR=US&amp;VAR:SYMBOL=RNOW&amp;VAR:INDEX=0"}</definedName>
    <definedName name="_2876__FDSAUDITLINK__" localSheetId="3" hidden="1">{"fdsup://directions/FAT Viewer?action=UPDATE&amp;creator=factset&amp;DYN_ARGS=TRUE&amp;DOC_NAME=FAT:FQL_AUDITING_CLIENT_TEMPLATE.FAT&amp;display_string=Audit&amp;VAR:KEY=WHWLCTUBUL&amp;VAR:QUERY=UkdGX1RBWF9SQVRFKEFOTiwwLCwsLCwsTk9BVURJVCk=&amp;WINDOW=FIRST_POPUP&amp;HEIGHT=450&amp;WIDTH=450&amp;","START_MAXIMIZED=FALSE&amp;VAR:CALENDAR=US&amp;VAR:SYMBOL=RLD&amp;VAR:INDEX=0"}</definedName>
    <definedName name="_2876__FDSAUDITLINK__" localSheetId="7" hidden="1">{"fdsup://directions/FAT Viewer?action=UPDATE&amp;creator=factset&amp;DYN_ARGS=TRUE&amp;DOC_NAME=FAT:FQL_AUDITING_CLIENT_TEMPLATE.FAT&amp;display_string=Audit&amp;VAR:KEY=WHWLCTUBUL&amp;VAR:QUERY=UkdGX1RBWF9SQVRFKEFOTiwwLCwsLCwsTk9BVURJVCk=&amp;WINDOW=FIRST_POPUP&amp;HEIGHT=450&amp;WIDTH=450&amp;","START_MAXIMIZED=FALSE&amp;VAR:CALENDAR=US&amp;VAR:SYMBOL=RLD&amp;VAR:INDEX=0"}</definedName>
    <definedName name="_2876__FDSAUDITLINK__" hidden="1">{"fdsup://directions/FAT Viewer?action=UPDATE&amp;creator=factset&amp;DYN_ARGS=TRUE&amp;DOC_NAME=FAT:FQL_AUDITING_CLIENT_TEMPLATE.FAT&amp;display_string=Audit&amp;VAR:KEY=WHWLCTUBUL&amp;VAR:QUERY=UkdGX1RBWF9SQVRFKEFOTiwwLCwsLCwsTk9BVURJVCk=&amp;WINDOW=FIRST_POPUP&amp;HEIGHT=450&amp;WIDTH=450&amp;","START_MAXIMIZED=FALSE&amp;VAR:CALENDAR=US&amp;VAR:SYMBOL=RLD&amp;VAR:INDEX=0"}</definedName>
    <definedName name="_2877__FDSAUDITLINK__" localSheetId="3" hidden="1">{"fdsup://directions/FAT Viewer?action=UPDATE&amp;creator=factset&amp;DYN_ARGS=TRUE&amp;DOC_NAME=FAT:FQL_AUDITING_CLIENT_TEMPLATE.FAT&amp;display_string=Audit&amp;VAR:KEY=IXYJUDSBWV&amp;VAR:QUERY=UkdGX1RBWF9SQVRFKEFOTiwwLCwsLCwsTk9BVURJVCk=&amp;WINDOW=FIRST_POPUP&amp;HEIGHT=450&amp;WIDTH=450&amp;","START_MAXIMIZED=FALSE&amp;VAR:CALENDAR=US&amp;VAR:SYMBOL=RIMM&amp;VAR:INDEX=0"}</definedName>
    <definedName name="_2877__FDSAUDITLINK__" localSheetId="7" hidden="1">{"fdsup://directions/FAT Viewer?action=UPDATE&amp;creator=factset&amp;DYN_ARGS=TRUE&amp;DOC_NAME=FAT:FQL_AUDITING_CLIENT_TEMPLATE.FAT&amp;display_string=Audit&amp;VAR:KEY=IXYJUDSBWV&amp;VAR:QUERY=UkdGX1RBWF9SQVRFKEFOTiwwLCwsLCwsTk9BVURJVCk=&amp;WINDOW=FIRST_POPUP&amp;HEIGHT=450&amp;WIDTH=450&amp;","START_MAXIMIZED=FALSE&amp;VAR:CALENDAR=US&amp;VAR:SYMBOL=RIMM&amp;VAR:INDEX=0"}</definedName>
    <definedName name="_2877__FDSAUDITLINK__" hidden="1">{"fdsup://directions/FAT Viewer?action=UPDATE&amp;creator=factset&amp;DYN_ARGS=TRUE&amp;DOC_NAME=FAT:FQL_AUDITING_CLIENT_TEMPLATE.FAT&amp;display_string=Audit&amp;VAR:KEY=IXYJUDSBWV&amp;VAR:QUERY=UkdGX1RBWF9SQVRFKEFOTiwwLCwsLCwsTk9BVURJVCk=&amp;WINDOW=FIRST_POPUP&amp;HEIGHT=450&amp;WIDTH=450&amp;","START_MAXIMIZED=FALSE&amp;VAR:CALENDAR=US&amp;VAR:SYMBOL=RIMM&amp;VAR:INDEX=0"}</definedName>
    <definedName name="_2878__FDSAUDITLINK__" localSheetId="3" hidden="1">{"fdsup://directions/FAT Viewer?action=UPDATE&amp;creator=factset&amp;DYN_ARGS=TRUE&amp;DOC_NAME=FAT:FQL_AUDITING_CLIENT_TEMPLATE.FAT&amp;display_string=Audit&amp;VAR:KEY=IXYJUDSBWV&amp;VAR:QUERY=UkdGX1RBWF9SQVRFKEFOTiwwLCwsLCwsTk9BVURJVCk=&amp;WINDOW=FIRST_POPUP&amp;HEIGHT=450&amp;WIDTH=450&amp;","START_MAXIMIZED=FALSE&amp;VAR:CALENDAR=US&amp;VAR:SYMBOL=RIMM&amp;VAR:INDEX=0"}</definedName>
    <definedName name="_2878__FDSAUDITLINK__" localSheetId="7" hidden="1">{"fdsup://directions/FAT Viewer?action=UPDATE&amp;creator=factset&amp;DYN_ARGS=TRUE&amp;DOC_NAME=FAT:FQL_AUDITING_CLIENT_TEMPLATE.FAT&amp;display_string=Audit&amp;VAR:KEY=IXYJUDSBWV&amp;VAR:QUERY=UkdGX1RBWF9SQVRFKEFOTiwwLCwsLCwsTk9BVURJVCk=&amp;WINDOW=FIRST_POPUP&amp;HEIGHT=450&amp;WIDTH=450&amp;","START_MAXIMIZED=FALSE&amp;VAR:CALENDAR=US&amp;VAR:SYMBOL=RIMM&amp;VAR:INDEX=0"}</definedName>
    <definedName name="_2878__FDSAUDITLINK__" hidden="1">{"fdsup://directions/FAT Viewer?action=UPDATE&amp;creator=factset&amp;DYN_ARGS=TRUE&amp;DOC_NAME=FAT:FQL_AUDITING_CLIENT_TEMPLATE.FAT&amp;display_string=Audit&amp;VAR:KEY=IXYJUDSBWV&amp;VAR:QUERY=UkdGX1RBWF9SQVRFKEFOTiwwLCwsLCwsTk9BVURJVCk=&amp;WINDOW=FIRST_POPUP&amp;HEIGHT=450&amp;WIDTH=450&amp;","START_MAXIMIZED=FALSE&amp;VAR:CALENDAR=US&amp;VAR:SYMBOL=RIMM&amp;VAR:INDEX=0"}</definedName>
    <definedName name="_2879__FDSAUDITLINK__" localSheetId="3" hidden="1">{"fdsup://directions/FAT Viewer?action=UPDATE&amp;creator=factset&amp;DYN_ARGS=TRUE&amp;DOC_NAME=FAT:FQL_AUDITING_CLIENT_TEMPLATE.FAT&amp;display_string=Audit&amp;VAR:KEY=YXYZYRUJEP&amp;VAR:QUERY=UkdGX1RBWF9SQVRFKEFOTiwwLCwsLCwsTk9BVURJVCk=&amp;WINDOW=FIRST_POPUP&amp;HEIGHT=450&amp;WIDTH=450&amp;","START_MAXIMIZED=FALSE&amp;VAR:CALENDAR=US&amp;VAR:SYMBOL=RHT&amp;VAR:INDEX=0"}</definedName>
    <definedName name="_2879__FDSAUDITLINK__" localSheetId="7" hidden="1">{"fdsup://directions/FAT Viewer?action=UPDATE&amp;creator=factset&amp;DYN_ARGS=TRUE&amp;DOC_NAME=FAT:FQL_AUDITING_CLIENT_TEMPLATE.FAT&amp;display_string=Audit&amp;VAR:KEY=YXYZYRUJEP&amp;VAR:QUERY=UkdGX1RBWF9SQVRFKEFOTiwwLCwsLCwsTk9BVURJVCk=&amp;WINDOW=FIRST_POPUP&amp;HEIGHT=450&amp;WIDTH=450&amp;","START_MAXIMIZED=FALSE&amp;VAR:CALENDAR=US&amp;VAR:SYMBOL=RHT&amp;VAR:INDEX=0"}</definedName>
    <definedName name="_2879__FDSAUDITLINK__" hidden="1">{"fdsup://directions/FAT Viewer?action=UPDATE&amp;creator=factset&amp;DYN_ARGS=TRUE&amp;DOC_NAME=FAT:FQL_AUDITING_CLIENT_TEMPLATE.FAT&amp;display_string=Audit&amp;VAR:KEY=YXYZYRUJEP&amp;VAR:QUERY=UkdGX1RBWF9SQVRFKEFOTiwwLCwsLCwsTk9BVURJVCk=&amp;WINDOW=FIRST_POPUP&amp;HEIGHT=450&amp;WIDTH=450&amp;","START_MAXIMIZED=FALSE&amp;VAR:CALENDAR=US&amp;VAR:SYMBOL=RHT&amp;VAR:INDEX=0"}</definedName>
    <definedName name="_288__FDSAUDITLINK__" localSheetId="3" hidden="1">{"fdsup://directions/FAT Viewer?action=UPDATE&amp;creator=factset&amp;DYN_ARGS=TRUE&amp;DOC_NAME=FAT:FQL_AUDITING_CLIENT_TEMPLATE.FAT&amp;display_string=Audit&amp;VAR:KEY=GVENUPCNYH&amp;VAR:QUERY=RkZfU0FMRVMoTFRNLDAsLCwsLE0p&amp;WINDOW=FIRST_POPUP&amp;HEIGHT=450&amp;WIDTH=450&amp;START_MAXIMIZED=","FALSE&amp;VAR:CALENDAR=US&amp;VAR:SYMBOL=244097&amp;VAR:INDEX=0"}</definedName>
    <definedName name="_288__FDSAUDITLINK__" localSheetId="7" hidden="1">{"fdsup://directions/FAT Viewer?action=UPDATE&amp;creator=factset&amp;DYN_ARGS=TRUE&amp;DOC_NAME=FAT:FQL_AUDITING_CLIENT_TEMPLATE.FAT&amp;display_string=Audit&amp;VAR:KEY=GVENUPCNYH&amp;VAR:QUERY=RkZfU0FMRVMoTFRNLDAsLCwsLE0p&amp;WINDOW=FIRST_POPUP&amp;HEIGHT=450&amp;WIDTH=450&amp;START_MAXIMIZED=","FALSE&amp;VAR:CALENDAR=US&amp;VAR:SYMBOL=244097&amp;VAR:INDEX=0"}</definedName>
    <definedName name="_288__FDSAUDITLINK__" hidden="1">{"fdsup://directions/FAT Viewer?action=UPDATE&amp;creator=factset&amp;DYN_ARGS=TRUE&amp;DOC_NAME=FAT:FQL_AUDITING_CLIENT_TEMPLATE.FAT&amp;display_string=Audit&amp;VAR:KEY=GVENUPCNYH&amp;VAR:QUERY=RkZfU0FMRVMoTFRNLDAsLCwsLE0p&amp;WINDOW=FIRST_POPUP&amp;HEIGHT=450&amp;WIDTH=450&amp;START_MAXIMIZED=","FALSE&amp;VAR:CALENDAR=US&amp;VAR:SYMBOL=244097&amp;VAR:INDEX=0"}</definedName>
    <definedName name="_2880__FDSAUDITLINK__" localSheetId="3" hidden="1">{"fdsup://directions/FAT Viewer?action=UPDATE&amp;creator=factset&amp;DYN_ARGS=TRUE&amp;DOC_NAME=FAT:FQL_AUDITING_CLIENT_TEMPLATE.FAT&amp;display_string=Audit&amp;VAR:KEY=YXYZYRUJEP&amp;VAR:QUERY=UkdGX1RBWF9SQVRFKEFOTiwwLCwsLCwsTk9BVURJVCk=&amp;WINDOW=FIRST_POPUP&amp;HEIGHT=450&amp;WIDTH=450&amp;","START_MAXIMIZED=FALSE&amp;VAR:CALENDAR=US&amp;VAR:SYMBOL=RHT&amp;VAR:INDEX=0"}</definedName>
    <definedName name="_2880__FDSAUDITLINK__" localSheetId="7" hidden="1">{"fdsup://directions/FAT Viewer?action=UPDATE&amp;creator=factset&amp;DYN_ARGS=TRUE&amp;DOC_NAME=FAT:FQL_AUDITING_CLIENT_TEMPLATE.FAT&amp;display_string=Audit&amp;VAR:KEY=YXYZYRUJEP&amp;VAR:QUERY=UkdGX1RBWF9SQVRFKEFOTiwwLCwsLCwsTk9BVURJVCk=&amp;WINDOW=FIRST_POPUP&amp;HEIGHT=450&amp;WIDTH=450&amp;","START_MAXIMIZED=FALSE&amp;VAR:CALENDAR=US&amp;VAR:SYMBOL=RHT&amp;VAR:INDEX=0"}</definedName>
    <definedName name="_2880__FDSAUDITLINK__" hidden="1">{"fdsup://directions/FAT Viewer?action=UPDATE&amp;creator=factset&amp;DYN_ARGS=TRUE&amp;DOC_NAME=FAT:FQL_AUDITING_CLIENT_TEMPLATE.FAT&amp;display_string=Audit&amp;VAR:KEY=YXYZYRUJEP&amp;VAR:QUERY=UkdGX1RBWF9SQVRFKEFOTiwwLCwsLCwsTk9BVURJVCk=&amp;WINDOW=FIRST_POPUP&amp;HEIGHT=450&amp;WIDTH=450&amp;","START_MAXIMIZED=FALSE&amp;VAR:CALENDAR=US&amp;VAR:SYMBOL=RHT&amp;VAR:INDEX=0"}</definedName>
    <definedName name="_2881__FDSAUDITLINK__" localSheetId="3" hidden="1">{"fdsup://directions/FAT Viewer?action=UPDATE&amp;creator=factset&amp;DYN_ARGS=TRUE&amp;DOC_NAME=FAT:FQL_AUDITING_CLIENT_TEMPLATE.FAT&amp;display_string=Audit&amp;VAR:KEY=UZGDKBQLWH&amp;VAR:QUERY=UkdGX1RBWF9SQVRFKEFOTiwwLCwsLCwsTk9BVURJVCk=&amp;WINDOW=FIRST_POPUP&amp;HEIGHT=450&amp;WIDTH=450&amp;","START_MAXIMIZED=FALSE&amp;VAR:CALENDAR=US&amp;VAR:SYMBOL=RP&amp;VAR:INDEX=0"}</definedName>
    <definedName name="_2881__FDSAUDITLINK__" localSheetId="7" hidden="1">{"fdsup://directions/FAT Viewer?action=UPDATE&amp;creator=factset&amp;DYN_ARGS=TRUE&amp;DOC_NAME=FAT:FQL_AUDITING_CLIENT_TEMPLATE.FAT&amp;display_string=Audit&amp;VAR:KEY=UZGDKBQLWH&amp;VAR:QUERY=UkdGX1RBWF9SQVRFKEFOTiwwLCwsLCwsTk9BVURJVCk=&amp;WINDOW=FIRST_POPUP&amp;HEIGHT=450&amp;WIDTH=450&amp;","START_MAXIMIZED=FALSE&amp;VAR:CALENDAR=US&amp;VAR:SYMBOL=RP&amp;VAR:INDEX=0"}</definedName>
    <definedName name="_2881__FDSAUDITLINK__" hidden="1">{"fdsup://directions/FAT Viewer?action=UPDATE&amp;creator=factset&amp;DYN_ARGS=TRUE&amp;DOC_NAME=FAT:FQL_AUDITING_CLIENT_TEMPLATE.FAT&amp;display_string=Audit&amp;VAR:KEY=UZGDKBQLWH&amp;VAR:QUERY=UkdGX1RBWF9SQVRFKEFOTiwwLCwsLCwsTk9BVURJVCk=&amp;WINDOW=FIRST_POPUP&amp;HEIGHT=450&amp;WIDTH=450&amp;","START_MAXIMIZED=FALSE&amp;VAR:CALENDAR=US&amp;VAR:SYMBOL=RP&amp;VAR:INDEX=0"}</definedName>
    <definedName name="_2882__FDSAUDITLINK__" localSheetId="3" hidden="1">{"fdsup://directions/FAT Viewer?action=UPDATE&amp;creator=factset&amp;DYN_ARGS=TRUE&amp;DOC_NAME=FAT:FQL_AUDITING_CLIENT_TEMPLATE.FAT&amp;display_string=Audit&amp;VAR:KEY=UZGDKBQLWH&amp;VAR:QUERY=UkdGX1RBWF9SQVRFKEFOTiwwLCwsLCwsTk9BVURJVCk=&amp;WINDOW=FIRST_POPUP&amp;HEIGHT=450&amp;WIDTH=450&amp;","START_MAXIMIZED=FALSE&amp;VAR:CALENDAR=US&amp;VAR:SYMBOL=RP&amp;VAR:INDEX=0"}</definedName>
    <definedName name="_2882__FDSAUDITLINK__" localSheetId="7" hidden="1">{"fdsup://directions/FAT Viewer?action=UPDATE&amp;creator=factset&amp;DYN_ARGS=TRUE&amp;DOC_NAME=FAT:FQL_AUDITING_CLIENT_TEMPLATE.FAT&amp;display_string=Audit&amp;VAR:KEY=UZGDKBQLWH&amp;VAR:QUERY=UkdGX1RBWF9SQVRFKEFOTiwwLCwsLCwsTk9BVURJVCk=&amp;WINDOW=FIRST_POPUP&amp;HEIGHT=450&amp;WIDTH=450&amp;","START_MAXIMIZED=FALSE&amp;VAR:CALENDAR=US&amp;VAR:SYMBOL=RP&amp;VAR:INDEX=0"}</definedName>
    <definedName name="_2882__FDSAUDITLINK__" hidden="1">{"fdsup://directions/FAT Viewer?action=UPDATE&amp;creator=factset&amp;DYN_ARGS=TRUE&amp;DOC_NAME=FAT:FQL_AUDITING_CLIENT_TEMPLATE.FAT&amp;display_string=Audit&amp;VAR:KEY=UZGDKBQLWH&amp;VAR:QUERY=UkdGX1RBWF9SQVRFKEFOTiwwLCwsLCwsTk9BVURJVCk=&amp;WINDOW=FIRST_POPUP&amp;HEIGHT=450&amp;WIDTH=450&amp;","START_MAXIMIZED=FALSE&amp;VAR:CALENDAR=US&amp;VAR:SYMBOL=RP&amp;VAR:INDEX=0"}</definedName>
    <definedName name="_2883__FDSAUDITLINK__" localSheetId="3" hidden="1">{"fdsup://directions/FAT Viewer?action=UPDATE&amp;creator=factset&amp;DYN_ARGS=TRUE&amp;DOC_NAME=FAT:FQL_AUDITING_CLIENT_TEMPLATE.FAT&amp;display_string=Audit&amp;VAR:KEY=KBQRABGXGH&amp;VAR:QUERY=UkdGX1RBWF9SQVRFKEFOTiwwLCwsLCwsTk9BVURJVCk=&amp;WINDOW=FIRST_POPUP&amp;HEIGHT=450&amp;WIDTH=450&amp;","START_MAXIMIZED=FALSE&amp;VAR:CALENDAR=US&amp;VAR:SYMBOL=RDWR&amp;VAR:INDEX=0"}</definedName>
    <definedName name="_2883__FDSAUDITLINK__" localSheetId="7" hidden="1">{"fdsup://directions/FAT Viewer?action=UPDATE&amp;creator=factset&amp;DYN_ARGS=TRUE&amp;DOC_NAME=FAT:FQL_AUDITING_CLIENT_TEMPLATE.FAT&amp;display_string=Audit&amp;VAR:KEY=KBQRABGXGH&amp;VAR:QUERY=UkdGX1RBWF9SQVRFKEFOTiwwLCwsLCwsTk9BVURJVCk=&amp;WINDOW=FIRST_POPUP&amp;HEIGHT=450&amp;WIDTH=450&amp;","START_MAXIMIZED=FALSE&amp;VAR:CALENDAR=US&amp;VAR:SYMBOL=RDWR&amp;VAR:INDEX=0"}</definedName>
    <definedName name="_2883__FDSAUDITLINK__" hidden="1">{"fdsup://directions/FAT Viewer?action=UPDATE&amp;creator=factset&amp;DYN_ARGS=TRUE&amp;DOC_NAME=FAT:FQL_AUDITING_CLIENT_TEMPLATE.FAT&amp;display_string=Audit&amp;VAR:KEY=KBQRABGXGH&amp;VAR:QUERY=UkdGX1RBWF9SQVRFKEFOTiwwLCwsLCwsTk9BVURJVCk=&amp;WINDOW=FIRST_POPUP&amp;HEIGHT=450&amp;WIDTH=450&amp;","START_MAXIMIZED=FALSE&amp;VAR:CALENDAR=US&amp;VAR:SYMBOL=RDWR&amp;VAR:INDEX=0"}</definedName>
    <definedName name="_2884__FDSAUDITLINK__" localSheetId="3" hidden="1">{"fdsup://directions/FAT Viewer?action=UPDATE&amp;creator=factset&amp;DYN_ARGS=TRUE&amp;DOC_NAME=FAT:FQL_AUDITING_CLIENT_TEMPLATE.FAT&amp;display_string=Audit&amp;VAR:KEY=KVYXKPKLAH&amp;VAR:QUERY=UkdGX1RBWF9SQVRFKEFOTiwwLCwsLCwsTk9BVURJVCk=&amp;WINDOW=FIRST_POPUP&amp;HEIGHT=450&amp;WIDTH=450&amp;","START_MAXIMIZED=FALSE&amp;VAR:CALENDAR=US&amp;VAR:SYMBOL=RAX&amp;VAR:INDEX=0"}</definedName>
    <definedName name="_2884__FDSAUDITLINK__" localSheetId="7" hidden="1">{"fdsup://directions/FAT Viewer?action=UPDATE&amp;creator=factset&amp;DYN_ARGS=TRUE&amp;DOC_NAME=FAT:FQL_AUDITING_CLIENT_TEMPLATE.FAT&amp;display_string=Audit&amp;VAR:KEY=KVYXKPKLAH&amp;VAR:QUERY=UkdGX1RBWF9SQVRFKEFOTiwwLCwsLCwsTk9BVURJVCk=&amp;WINDOW=FIRST_POPUP&amp;HEIGHT=450&amp;WIDTH=450&amp;","START_MAXIMIZED=FALSE&amp;VAR:CALENDAR=US&amp;VAR:SYMBOL=RAX&amp;VAR:INDEX=0"}</definedName>
    <definedName name="_2884__FDSAUDITLINK__" hidden="1">{"fdsup://directions/FAT Viewer?action=UPDATE&amp;creator=factset&amp;DYN_ARGS=TRUE&amp;DOC_NAME=FAT:FQL_AUDITING_CLIENT_TEMPLATE.FAT&amp;display_string=Audit&amp;VAR:KEY=KVYXKPKLAH&amp;VAR:QUERY=UkdGX1RBWF9SQVRFKEFOTiwwLCwsLCwsTk9BVURJVCk=&amp;WINDOW=FIRST_POPUP&amp;HEIGHT=450&amp;WIDTH=450&amp;","START_MAXIMIZED=FALSE&amp;VAR:CALENDAR=US&amp;VAR:SYMBOL=RAX&amp;VAR:INDEX=0"}</definedName>
    <definedName name="_2885__FDSAUDITLINK__" localSheetId="3" hidden="1">{"fdsup://directions/FAT Viewer?action=UPDATE&amp;creator=factset&amp;DYN_ARGS=TRUE&amp;DOC_NAME=FAT:FQL_AUDITING_CLIENT_TEMPLATE.FAT&amp;display_string=Audit&amp;VAR:KEY=KVYXKPKLAH&amp;VAR:QUERY=UkdGX1RBWF9SQVRFKEFOTiwwLCwsLCwsTk9BVURJVCk=&amp;WINDOW=FIRST_POPUP&amp;HEIGHT=450&amp;WIDTH=450&amp;","START_MAXIMIZED=FALSE&amp;VAR:CALENDAR=US&amp;VAR:SYMBOL=RAX&amp;VAR:INDEX=0"}</definedName>
    <definedName name="_2885__FDSAUDITLINK__" localSheetId="7" hidden="1">{"fdsup://directions/FAT Viewer?action=UPDATE&amp;creator=factset&amp;DYN_ARGS=TRUE&amp;DOC_NAME=FAT:FQL_AUDITING_CLIENT_TEMPLATE.FAT&amp;display_string=Audit&amp;VAR:KEY=KVYXKPKLAH&amp;VAR:QUERY=UkdGX1RBWF9SQVRFKEFOTiwwLCwsLCwsTk9BVURJVCk=&amp;WINDOW=FIRST_POPUP&amp;HEIGHT=450&amp;WIDTH=450&amp;","START_MAXIMIZED=FALSE&amp;VAR:CALENDAR=US&amp;VAR:SYMBOL=RAX&amp;VAR:INDEX=0"}</definedName>
    <definedName name="_2885__FDSAUDITLINK__" hidden="1">{"fdsup://directions/FAT Viewer?action=UPDATE&amp;creator=factset&amp;DYN_ARGS=TRUE&amp;DOC_NAME=FAT:FQL_AUDITING_CLIENT_TEMPLATE.FAT&amp;display_string=Audit&amp;VAR:KEY=KVYXKPKLAH&amp;VAR:QUERY=UkdGX1RBWF9SQVRFKEFOTiwwLCwsLCwsTk9BVURJVCk=&amp;WINDOW=FIRST_POPUP&amp;HEIGHT=450&amp;WIDTH=450&amp;","START_MAXIMIZED=FALSE&amp;VAR:CALENDAR=US&amp;VAR:SYMBOL=RAX&amp;VAR:INDEX=0"}</definedName>
    <definedName name="_2886__FDSAUDITLINK__" localSheetId="3" hidden="1">{"fdsup://directions/FAT Viewer?action=UPDATE&amp;creator=factset&amp;DYN_ARGS=TRUE&amp;DOC_NAME=FAT:FQL_AUDITING_CLIENT_TEMPLATE.FAT&amp;display_string=Audit&amp;VAR:KEY=QTOBQXSDAZ&amp;VAR:QUERY=UkdGX1RBWF9SQVRFKEFOTiwwLCwsLCwsTk9BVURJVCk=&amp;WINDOW=FIRST_POPUP&amp;HEIGHT=450&amp;WIDTH=450&amp;","START_MAXIMIZED=FALSE&amp;VAR:CALENDAR=US&amp;VAR:SYMBOL=QLIK&amp;VAR:INDEX=0"}</definedName>
    <definedName name="_2886__FDSAUDITLINK__" localSheetId="7" hidden="1">{"fdsup://directions/FAT Viewer?action=UPDATE&amp;creator=factset&amp;DYN_ARGS=TRUE&amp;DOC_NAME=FAT:FQL_AUDITING_CLIENT_TEMPLATE.FAT&amp;display_string=Audit&amp;VAR:KEY=QTOBQXSDAZ&amp;VAR:QUERY=UkdGX1RBWF9SQVRFKEFOTiwwLCwsLCwsTk9BVURJVCk=&amp;WINDOW=FIRST_POPUP&amp;HEIGHT=450&amp;WIDTH=450&amp;","START_MAXIMIZED=FALSE&amp;VAR:CALENDAR=US&amp;VAR:SYMBOL=QLIK&amp;VAR:INDEX=0"}</definedName>
    <definedName name="_2886__FDSAUDITLINK__" hidden="1">{"fdsup://directions/FAT Viewer?action=UPDATE&amp;creator=factset&amp;DYN_ARGS=TRUE&amp;DOC_NAME=FAT:FQL_AUDITING_CLIENT_TEMPLATE.FAT&amp;display_string=Audit&amp;VAR:KEY=QTOBQXSDAZ&amp;VAR:QUERY=UkdGX1RBWF9SQVRFKEFOTiwwLCwsLCwsTk9BVURJVCk=&amp;WINDOW=FIRST_POPUP&amp;HEIGHT=450&amp;WIDTH=450&amp;","START_MAXIMIZED=FALSE&amp;VAR:CALENDAR=US&amp;VAR:SYMBOL=QLIK&amp;VAR:INDEX=0"}</definedName>
    <definedName name="_2887__FDSAUDITLINK__" localSheetId="3" hidden="1">{"fdsup://directions/FAT Viewer?action=UPDATE&amp;creator=factset&amp;DYN_ARGS=TRUE&amp;DOC_NAME=FAT:FQL_AUDITING_CLIENT_TEMPLATE.FAT&amp;display_string=Audit&amp;VAR:KEY=QTOBQXSDAZ&amp;VAR:QUERY=UkdGX1RBWF9SQVRFKEFOTiwwLCwsLCwsTk9BVURJVCk=&amp;WINDOW=FIRST_POPUP&amp;HEIGHT=450&amp;WIDTH=450&amp;","START_MAXIMIZED=FALSE&amp;VAR:CALENDAR=US&amp;VAR:SYMBOL=QLIK&amp;VAR:INDEX=0"}</definedName>
    <definedName name="_2887__FDSAUDITLINK__" localSheetId="7" hidden="1">{"fdsup://directions/FAT Viewer?action=UPDATE&amp;creator=factset&amp;DYN_ARGS=TRUE&amp;DOC_NAME=FAT:FQL_AUDITING_CLIENT_TEMPLATE.FAT&amp;display_string=Audit&amp;VAR:KEY=QTOBQXSDAZ&amp;VAR:QUERY=UkdGX1RBWF9SQVRFKEFOTiwwLCwsLCwsTk9BVURJVCk=&amp;WINDOW=FIRST_POPUP&amp;HEIGHT=450&amp;WIDTH=450&amp;","START_MAXIMIZED=FALSE&amp;VAR:CALENDAR=US&amp;VAR:SYMBOL=QLIK&amp;VAR:INDEX=0"}</definedName>
    <definedName name="_2887__FDSAUDITLINK__" hidden="1">{"fdsup://directions/FAT Viewer?action=UPDATE&amp;creator=factset&amp;DYN_ARGS=TRUE&amp;DOC_NAME=FAT:FQL_AUDITING_CLIENT_TEMPLATE.FAT&amp;display_string=Audit&amp;VAR:KEY=QTOBQXSDAZ&amp;VAR:QUERY=UkdGX1RBWF9SQVRFKEFOTiwwLCwsLCwsTk9BVURJVCk=&amp;WINDOW=FIRST_POPUP&amp;HEIGHT=450&amp;WIDTH=450&amp;","START_MAXIMIZED=FALSE&amp;VAR:CALENDAR=US&amp;VAR:SYMBOL=QLIK&amp;VAR:INDEX=0"}</definedName>
    <definedName name="_2888__FDSAUDITLINK__" localSheetId="3" hidden="1">{"fdsup://directions/FAT Viewer?action=UPDATE&amp;creator=factset&amp;DYN_ARGS=TRUE&amp;DOC_NAME=FAT:FQL_AUDITING_CLIENT_TEMPLATE.FAT&amp;display_string=Audit&amp;VAR:KEY=OHOPSTMDAH&amp;VAR:QUERY=UkdGX1RBWF9SQVRFKEFOTiwwLCwsLCwsTk9BVURJVCk=&amp;WINDOW=FIRST_POPUP&amp;HEIGHT=450&amp;WIDTH=450&amp;","START_MAXIMIZED=FALSE&amp;VAR:CALENDAR=US&amp;VAR:SYMBOL=QNST&amp;VAR:INDEX=0"}</definedName>
    <definedName name="_2888__FDSAUDITLINK__" localSheetId="7" hidden="1">{"fdsup://directions/FAT Viewer?action=UPDATE&amp;creator=factset&amp;DYN_ARGS=TRUE&amp;DOC_NAME=FAT:FQL_AUDITING_CLIENT_TEMPLATE.FAT&amp;display_string=Audit&amp;VAR:KEY=OHOPSTMDAH&amp;VAR:QUERY=UkdGX1RBWF9SQVRFKEFOTiwwLCwsLCwsTk9BVURJVCk=&amp;WINDOW=FIRST_POPUP&amp;HEIGHT=450&amp;WIDTH=450&amp;","START_MAXIMIZED=FALSE&amp;VAR:CALENDAR=US&amp;VAR:SYMBOL=QNST&amp;VAR:INDEX=0"}</definedName>
    <definedName name="_2888__FDSAUDITLINK__" hidden="1">{"fdsup://directions/FAT Viewer?action=UPDATE&amp;creator=factset&amp;DYN_ARGS=TRUE&amp;DOC_NAME=FAT:FQL_AUDITING_CLIENT_TEMPLATE.FAT&amp;display_string=Audit&amp;VAR:KEY=OHOPSTMDAH&amp;VAR:QUERY=UkdGX1RBWF9SQVRFKEFOTiwwLCwsLCwsTk9BVURJVCk=&amp;WINDOW=FIRST_POPUP&amp;HEIGHT=450&amp;WIDTH=450&amp;","START_MAXIMIZED=FALSE&amp;VAR:CALENDAR=US&amp;VAR:SYMBOL=QNST&amp;VAR:INDEX=0"}</definedName>
    <definedName name="_2889__FDSAUDITLINK__" localSheetId="3" hidden="1">{"fdsup://directions/FAT Viewer?action=UPDATE&amp;creator=factset&amp;DYN_ARGS=TRUE&amp;DOC_NAME=FAT:FQL_AUDITING_CLIENT_TEMPLATE.FAT&amp;display_string=Audit&amp;VAR:KEY=OHOPSTMDAH&amp;VAR:QUERY=UkdGX1RBWF9SQVRFKEFOTiwwLCwsLCwsTk9BVURJVCk=&amp;WINDOW=FIRST_POPUP&amp;HEIGHT=450&amp;WIDTH=450&amp;","START_MAXIMIZED=FALSE&amp;VAR:CALENDAR=US&amp;VAR:SYMBOL=QNST&amp;VAR:INDEX=0"}</definedName>
    <definedName name="_2889__FDSAUDITLINK__" localSheetId="7" hidden="1">{"fdsup://directions/FAT Viewer?action=UPDATE&amp;creator=factset&amp;DYN_ARGS=TRUE&amp;DOC_NAME=FAT:FQL_AUDITING_CLIENT_TEMPLATE.FAT&amp;display_string=Audit&amp;VAR:KEY=OHOPSTMDAH&amp;VAR:QUERY=UkdGX1RBWF9SQVRFKEFOTiwwLCwsLCwsTk9BVURJVCk=&amp;WINDOW=FIRST_POPUP&amp;HEIGHT=450&amp;WIDTH=450&amp;","START_MAXIMIZED=FALSE&amp;VAR:CALENDAR=US&amp;VAR:SYMBOL=QNST&amp;VAR:INDEX=0"}</definedName>
    <definedName name="_2889__FDSAUDITLINK__" hidden="1">{"fdsup://directions/FAT Viewer?action=UPDATE&amp;creator=factset&amp;DYN_ARGS=TRUE&amp;DOC_NAME=FAT:FQL_AUDITING_CLIENT_TEMPLATE.FAT&amp;display_string=Audit&amp;VAR:KEY=OHOPSTMDAH&amp;VAR:QUERY=UkdGX1RBWF9SQVRFKEFOTiwwLCwsLCwsTk9BVURJVCk=&amp;WINDOW=FIRST_POPUP&amp;HEIGHT=450&amp;WIDTH=450&amp;","START_MAXIMIZED=FALSE&amp;VAR:CALENDAR=US&amp;VAR:SYMBOL=QNST&amp;VAR:INDEX=0"}</definedName>
    <definedName name="_289__FDSAUDITLINK__" localSheetId="3" hidden="1">{"fdsup://directions/FAT Viewer?action=UPDATE&amp;creator=factset&amp;DYN_ARGS=TRUE&amp;DOC_NAME=FAT:FQL_AUDITING_CLIENT_TEMPLATE.FAT&amp;display_string=Audit&amp;VAR:KEY=EDKNSDIRYX&amp;VAR:QUERY=RkZfU0FMRVMoTFRNLDAsLCwsLE0p&amp;WINDOW=FIRST_POPUP&amp;HEIGHT=450&amp;WIDTH=450&amp;START_MAXIMIZED=","FALSE&amp;VAR:CALENDAR=US&amp;VAR:SYMBOL=B66HFL&amp;VAR:INDEX=0"}</definedName>
    <definedName name="_289__FDSAUDITLINK__" localSheetId="7" hidden="1">{"fdsup://directions/FAT Viewer?action=UPDATE&amp;creator=factset&amp;DYN_ARGS=TRUE&amp;DOC_NAME=FAT:FQL_AUDITING_CLIENT_TEMPLATE.FAT&amp;display_string=Audit&amp;VAR:KEY=EDKNSDIRYX&amp;VAR:QUERY=RkZfU0FMRVMoTFRNLDAsLCwsLE0p&amp;WINDOW=FIRST_POPUP&amp;HEIGHT=450&amp;WIDTH=450&amp;START_MAXIMIZED=","FALSE&amp;VAR:CALENDAR=US&amp;VAR:SYMBOL=B66HFL&amp;VAR:INDEX=0"}</definedName>
    <definedName name="_289__FDSAUDITLINK__" hidden="1">{"fdsup://directions/FAT Viewer?action=UPDATE&amp;creator=factset&amp;DYN_ARGS=TRUE&amp;DOC_NAME=FAT:FQL_AUDITING_CLIENT_TEMPLATE.FAT&amp;display_string=Audit&amp;VAR:KEY=EDKNSDIRYX&amp;VAR:QUERY=RkZfU0FMRVMoTFRNLDAsLCwsLE0p&amp;WINDOW=FIRST_POPUP&amp;HEIGHT=450&amp;WIDTH=450&amp;START_MAXIMIZED=","FALSE&amp;VAR:CALENDAR=US&amp;VAR:SYMBOL=B66HFL&amp;VAR:INDEX=0"}</definedName>
    <definedName name="_2890__FDSAUDITLINK__" localSheetId="3" hidden="1">{"fdsup://directions/FAT Viewer?action=UPDATE&amp;creator=factset&amp;DYN_ARGS=TRUE&amp;DOC_NAME=FAT:FQL_AUDITING_CLIENT_TEMPLATE.FAT&amp;display_string=Audit&amp;VAR:KEY=YFGXCXCHEV&amp;VAR:QUERY=UkdGX1RBWF9SQVRFKEFOTiwwLCwsLCwsTk9BVURJVCk=&amp;WINDOW=FIRST_POPUP&amp;HEIGHT=450&amp;WIDTH=450&amp;","START_MAXIMIZED=FALSE&amp;VAR:CALENDAR=US&amp;VAR:SYMBOL=QSFT&amp;VAR:INDEX=0"}</definedName>
    <definedName name="_2890__FDSAUDITLINK__" localSheetId="7" hidden="1">{"fdsup://directions/FAT Viewer?action=UPDATE&amp;creator=factset&amp;DYN_ARGS=TRUE&amp;DOC_NAME=FAT:FQL_AUDITING_CLIENT_TEMPLATE.FAT&amp;display_string=Audit&amp;VAR:KEY=YFGXCXCHEV&amp;VAR:QUERY=UkdGX1RBWF9SQVRFKEFOTiwwLCwsLCwsTk9BVURJVCk=&amp;WINDOW=FIRST_POPUP&amp;HEIGHT=450&amp;WIDTH=450&amp;","START_MAXIMIZED=FALSE&amp;VAR:CALENDAR=US&amp;VAR:SYMBOL=QSFT&amp;VAR:INDEX=0"}</definedName>
    <definedName name="_2890__FDSAUDITLINK__" hidden="1">{"fdsup://directions/FAT Viewer?action=UPDATE&amp;creator=factset&amp;DYN_ARGS=TRUE&amp;DOC_NAME=FAT:FQL_AUDITING_CLIENT_TEMPLATE.FAT&amp;display_string=Audit&amp;VAR:KEY=YFGXCXCHEV&amp;VAR:QUERY=UkdGX1RBWF9SQVRFKEFOTiwwLCwsLCwsTk9BVURJVCk=&amp;WINDOW=FIRST_POPUP&amp;HEIGHT=450&amp;WIDTH=450&amp;","START_MAXIMIZED=FALSE&amp;VAR:CALENDAR=US&amp;VAR:SYMBOL=QSFT&amp;VAR:INDEX=0"}</definedName>
    <definedName name="_2891__FDSAUDITLINK__" localSheetId="3" hidden="1">{"fdsup://directions/FAT Viewer?action=UPDATE&amp;creator=factset&amp;DYN_ARGS=TRUE&amp;DOC_NAME=FAT:FQL_AUDITING_CLIENT_TEMPLATE.FAT&amp;display_string=Audit&amp;VAR:KEY=YFGXCXCHEV&amp;VAR:QUERY=UkdGX1RBWF9SQVRFKEFOTiwwLCwsLCwsTk9BVURJVCk=&amp;WINDOW=FIRST_POPUP&amp;HEIGHT=450&amp;WIDTH=450&amp;","START_MAXIMIZED=FALSE&amp;VAR:CALENDAR=US&amp;VAR:SYMBOL=QSFT&amp;VAR:INDEX=0"}</definedName>
    <definedName name="_2891__FDSAUDITLINK__" localSheetId="7" hidden="1">{"fdsup://directions/FAT Viewer?action=UPDATE&amp;creator=factset&amp;DYN_ARGS=TRUE&amp;DOC_NAME=FAT:FQL_AUDITING_CLIENT_TEMPLATE.FAT&amp;display_string=Audit&amp;VAR:KEY=YFGXCXCHEV&amp;VAR:QUERY=UkdGX1RBWF9SQVRFKEFOTiwwLCwsLCwsTk9BVURJVCk=&amp;WINDOW=FIRST_POPUP&amp;HEIGHT=450&amp;WIDTH=450&amp;","START_MAXIMIZED=FALSE&amp;VAR:CALENDAR=US&amp;VAR:SYMBOL=QSFT&amp;VAR:INDEX=0"}</definedName>
    <definedName name="_2891__FDSAUDITLINK__" hidden="1">{"fdsup://directions/FAT Viewer?action=UPDATE&amp;creator=factset&amp;DYN_ARGS=TRUE&amp;DOC_NAME=FAT:FQL_AUDITING_CLIENT_TEMPLATE.FAT&amp;display_string=Audit&amp;VAR:KEY=YFGXCXCHEV&amp;VAR:QUERY=UkdGX1RBWF9SQVRFKEFOTiwwLCwsLCwsTk9BVURJVCk=&amp;WINDOW=FIRST_POPUP&amp;HEIGHT=450&amp;WIDTH=450&amp;","START_MAXIMIZED=FALSE&amp;VAR:CALENDAR=US&amp;VAR:SYMBOL=QSFT&amp;VAR:INDEX=0"}</definedName>
    <definedName name="_2892__FDSAUDITLINK__" localSheetId="3" hidden="1">{"fdsup://directions/FAT Viewer?action=UPDATE&amp;creator=factset&amp;DYN_ARGS=TRUE&amp;DOC_NAME=FAT:FQL_AUDITING_CLIENT_TEMPLATE.FAT&amp;display_string=Audit&amp;VAR:KEY=OJQHUZMHKJ&amp;VAR:QUERY=UkdGX1RBWF9SQVRFKEFOTiwwLCwsLCwsTk9BVURJVCk=&amp;WINDOW=FIRST_POPUP&amp;HEIGHT=450&amp;WIDTH=450&amp;","START_MAXIMIZED=FALSE&amp;VAR:CALENDAR=US&amp;VAR:SYMBOL=QCOM&amp;VAR:INDEX=0"}</definedName>
    <definedName name="_2892__FDSAUDITLINK__" localSheetId="7" hidden="1">{"fdsup://directions/FAT Viewer?action=UPDATE&amp;creator=factset&amp;DYN_ARGS=TRUE&amp;DOC_NAME=FAT:FQL_AUDITING_CLIENT_TEMPLATE.FAT&amp;display_string=Audit&amp;VAR:KEY=OJQHUZMHKJ&amp;VAR:QUERY=UkdGX1RBWF9SQVRFKEFOTiwwLCwsLCwsTk9BVURJVCk=&amp;WINDOW=FIRST_POPUP&amp;HEIGHT=450&amp;WIDTH=450&amp;","START_MAXIMIZED=FALSE&amp;VAR:CALENDAR=US&amp;VAR:SYMBOL=QCOM&amp;VAR:INDEX=0"}</definedName>
    <definedName name="_2892__FDSAUDITLINK__" hidden="1">{"fdsup://directions/FAT Viewer?action=UPDATE&amp;creator=factset&amp;DYN_ARGS=TRUE&amp;DOC_NAME=FAT:FQL_AUDITING_CLIENT_TEMPLATE.FAT&amp;display_string=Audit&amp;VAR:KEY=OJQHUZMHKJ&amp;VAR:QUERY=UkdGX1RBWF9SQVRFKEFOTiwwLCwsLCwsTk9BVURJVCk=&amp;WINDOW=FIRST_POPUP&amp;HEIGHT=450&amp;WIDTH=450&amp;","START_MAXIMIZED=FALSE&amp;VAR:CALENDAR=US&amp;VAR:SYMBOL=QCOM&amp;VAR:INDEX=0"}</definedName>
    <definedName name="_2893__FDSAUDITLINK__" localSheetId="3" hidden="1">{"fdsup://directions/FAT Viewer?action=UPDATE&amp;creator=factset&amp;DYN_ARGS=TRUE&amp;DOC_NAME=FAT:FQL_AUDITING_CLIENT_TEMPLATE.FAT&amp;display_string=Audit&amp;VAR:KEY=OJQHUZMHKJ&amp;VAR:QUERY=UkdGX1RBWF9SQVRFKEFOTiwwLCwsLCwsTk9BVURJVCk=&amp;WINDOW=FIRST_POPUP&amp;HEIGHT=450&amp;WIDTH=450&amp;","START_MAXIMIZED=FALSE&amp;VAR:CALENDAR=US&amp;VAR:SYMBOL=QCOM&amp;VAR:INDEX=0"}</definedName>
    <definedName name="_2893__FDSAUDITLINK__" localSheetId="7" hidden="1">{"fdsup://directions/FAT Viewer?action=UPDATE&amp;creator=factset&amp;DYN_ARGS=TRUE&amp;DOC_NAME=FAT:FQL_AUDITING_CLIENT_TEMPLATE.FAT&amp;display_string=Audit&amp;VAR:KEY=OJQHUZMHKJ&amp;VAR:QUERY=UkdGX1RBWF9SQVRFKEFOTiwwLCwsLCwsTk9BVURJVCk=&amp;WINDOW=FIRST_POPUP&amp;HEIGHT=450&amp;WIDTH=450&amp;","START_MAXIMIZED=FALSE&amp;VAR:CALENDAR=US&amp;VAR:SYMBOL=QCOM&amp;VAR:INDEX=0"}</definedName>
    <definedName name="_2893__FDSAUDITLINK__" hidden="1">{"fdsup://directions/FAT Viewer?action=UPDATE&amp;creator=factset&amp;DYN_ARGS=TRUE&amp;DOC_NAME=FAT:FQL_AUDITING_CLIENT_TEMPLATE.FAT&amp;display_string=Audit&amp;VAR:KEY=OJQHUZMHKJ&amp;VAR:QUERY=UkdGX1RBWF9SQVRFKEFOTiwwLCwsLCwsTk9BVURJVCk=&amp;WINDOW=FIRST_POPUP&amp;HEIGHT=450&amp;WIDTH=450&amp;","START_MAXIMIZED=FALSE&amp;VAR:CALENDAR=US&amp;VAR:SYMBOL=QCOM&amp;VAR:INDEX=0"}</definedName>
    <definedName name="_2894__FDSAUDITLINK__" localSheetId="3" hidden="1">{"fdsup://directions/FAT Viewer?action=UPDATE&amp;creator=factset&amp;DYN_ARGS=TRUE&amp;DOC_NAME=FAT:FQL_AUDITING_CLIENT_TEMPLATE.FAT&amp;display_string=Audit&amp;VAR:KEY=KVUXKHONIX&amp;VAR:QUERY=UkdGX1RBWF9SQVRFKEFOTiwwLCwsLCwsTk9BVURJVCk=&amp;WINDOW=FIRST_POPUP&amp;HEIGHT=450&amp;WIDTH=450&amp;","START_MAXIMIZED=FALSE&amp;VAR:CALENDAR=US&amp;VAR:SYMBOL=QADI&amp;VAR:INDEX=0"}</definedName>
    <definedName name="_2894__FDSAUDITLINK__" localSheetId="7" hidden="1">{"fdsup://directions/FAT Viewer?action=UPDATE&amp;creator=factset&amp;DYN_ARGS=TRUE&amp;DOC_NAME=FAT:FQL_AUDITING_CLIENT_TEMPLATE.FAT&amp;display_string=Audit&amp;VAR:KEY=KVUXKHONIX&amp;VAR:QUERY=UkdGX1RBWF9SQVRFKEFOTiwwLCwsLCwsTk9BVURJVCk=&amp;WINDOW=FIRST_POPUP&amp;HEIGHT=450&amp;WIDTH=450&amp;","START_MAXIMIZED=FALSE&amp;VAR:CALENDAR=US&amp;VAR:SYMBOL=QADI&amp;VAR:INDEX=0"}</definedName>
    <definedName name="_2894__FDSAUDITLINK__" hidden="1">{"fdsup://directions/FAT Viewer?action=UPDATE&amp;creator=factset&amp;DYN_ARGS=TRUE&amp;DOC_NAME=FAT:FQL_AUDITING_CLIENT_TEMPLATE.FAT&amp;display_string=Audit&amp;VAR:KEY=KVUXKHONIX&amp;VAR:QUERY=UkdGX1RBWF9SQVRFKEFOTiwwLCwsLCwsTk9BVURJVCk=&amp;WINDOW=FIRST_POPUP&amp;HEIGHT=450&amp;WIDTH=450&amp;","START_MAXIMIZED=FALSE&amp;VAR:CALENDAR=US&amp;VAR:SYMBOL=QADI&amp;VAR:INDEX=0"}</definedName>
    <definedName name="_2895__FDSAUDITLINK__" localSheetId="3" hidden="1">{"fdsup://directions/FAT Viewer?action=UPDATE&amp;creator=factset&amp;DYN_ARGS=TRUE&amp;DOC_NAME=FAT:FQL_AUDITING_CLIENT_TEMPLATE.FAT&amp;display_string=Audit&amp;VAR:KEY=KVUXKHONIX&amp;VAR:QUERY=UkdGX1RBWF9SQVRFKEFOTiwwLCwsLCwsTk9BVURJVCk=&amp;WINDOW=FIRST_POPUP&amp;HEIGHT=450&amp;WIDTH=450&amp;","START_MAXIMIZED=FALSE&amp;VAR:CALENDAR=US&amp;VAR:SYMBOL=QADI&amp;VAR:INDEX=0"}</definedName>
    <definedName name="_2895__FDSAUDITLINK__" localSheetId="7" hidden="1">{"fdsup://directions/FAT Viewer?action=UPDATE&amp;creator=factset&amp;DYN_ARGS=TRUE&amp;DOC_NAME=FAT:FQL_AUDITING_CLIENT_TEMPLATE.FAT&amp;display_string=Audit&amp;VAR:KEY=KVUXKHONIX&amp;VAR:QUERY=UkdGX1RBWF9SQVRFKEFOTiwwLCwsLCwsTk9BVURJVCk=&amp;WINDOW=FIRST_POPUP&amp;HEIGHT=450&amp;WIDTH=450&amp;","START_MAXIMIZED=FALSE&amp;VAR:CALENDAR=US&amp;VAR:SYMBOL=QADI&amp;VAR:INDEX=0"}</definedName>
    <definedName name="_2895__FDSAUDITLINK__" hidden="1">{"fdsup://directions/FAT Viewer?action=UPDATE&amp;creator=factset&amp;DYN_ARGS=TRUE&amp;DOC_NAME=FAT:FQL_AUDITING_CLIENT_TEMPLATE.FAT&amp;display_string=Audit&amp;VAR:KEY=KVUXKHONIX&amp;VAR:QUERY=UkdGX1RBWF9SQVRFKEFOTiwwLCwsLCwsTk9BVURJVCk=&amp;WINDOW=FIRST_POPUP&amp;HEIGHT=450&amp;WIDTH=450&amp;","START_MAXIMIZED=FALSE&amp;VAR:CALENDAR=US&amp;VAR:SYMBOL=QADI&amp;VAR:INDEX=0"}</definedName>
    <definedName name="_2896__FDSAUDITLINK__" localSheetId="3" hidden="1">{"fdsup://directions/FAT Viewer?action=UPDATE&amp;creator=factset&amp;DYN_ARGS=TRUE&amp;DOC_NAME=FAT:FQL_AUDITING_CLIENT_TEMPLATE.FAT&amp;display_string=Audit&amp;VAR:KEY=GNUDIBGHGD&amp;VAR:QUERY=UkdGX1RBWF9SQVRFKEFOTiwwLCwsLCwsTk9BVURJVCk=&amp;WINDOW=FIRST_POPUP&amp;HEIGHT=450&amp;WIDTH=450&amp;","START_MAXIMIZED=FALSE&amp;VAR:CALENDAR=US&amp;VAR:SYMBOL=PRO&amp;VAR:INDEX=0"}</definedName>
    <definedName name="_2896__FDSAUDITLINK__" localSheetId="7" hidden="1">{"fdsup://directions/FAT Viewer?action=UPDATE&amp;creator=factset&amp;DYN_ARGS=TRUE&amp;DOC_NAME=FAT:FQL_AUDITING_CLIENT_TEMPLATE.FAT&amp;display_string=Audit&amp;VAR:KEY=GNUDIBGHGD&amp;VAR:QUERY=UkdGX1RBWF9SQVRFKEFOTiwwLCwsLCwsTk9BVURJVCk=&amp;WINDOW=FIRST_POPUP&amp;HEIGHT=450&amp;WIDTH=450&amp;","START_MAXIMIZED=FALSE&amp;VAR:CALENDAR=US&amp;VAR:SYMBOL=PRO&amp;VAR:INDEX=0"}</definedName>
    <definedName name="_2896__FDSAUDITLINK__" hidden="1">{"fdsup://directions/FAT Viewer?action=UPDATE&amp;creator=factset&amp;DYN_ARGS=TRUE&amp;DOC_NAME=FAT:FQL_AUDITING_CLIENT_TEMPLATE.FAT&amp;display_string=Audit&amp;VAR:KEY=GNUDIBGHGD&amp;VAR:QUERY=UkdGX1RBWF9SQVRFKEFOTiwwLCwsLCwsTk9BVURJVCk=&amp;WINDOW=FIRST_POPUP&amp;HEIGHT=450&amp;WIDTH=450&amp;","START_MAXIMIZED=FALSE&amp;VAR:CALENDAR=US&amp;VAR:SYMBOL=PRO&amp;VAR:INDEX=0"}</definedName>
    <definedName name="_2897__FDSAUDITLINK__" localSheetId="3" hidden="1">{"fdsup://directions/FAT Viewer?action=UPDATE&amp;creator=factset&amp;DYN_ARGS=TRUE&amp;DOC_NAME=FAT:FQL_AUDITING_CLIENT_TEMPLATE.FAT&amp;display_string=Audit&amp;VAR:KEY=QTIDURYXGN&amp;VAR:QUERY=UkdGX1RBWF9SQVRFKEFOTiwwLCwsLCwsTk9BVURJVCk=&amp;WINDOW=FIRST_POPUP&amp;HEIGHT=450&amp;WIDTH=450&amp;","START_MAXIMIZED=FALSE&amp;VAR:CALENDAR=US&amp;VAR:SYMBOL=PRGS&amp;VAR:INDEX=0"}</definedName>
    <definedName name="_2897__FDSAUDITLINK__" localSheetId="7" hidden="1">{"fdsup://directions/FAT Viewer?action=UPDATE&amp;creator=factset&amp;DYN_ARGS=TRUE&amp;DOC_NAME=FAT:FQL_AUDITING_CLIENT_TEMPLATE.FAT&amp;display_string=Audit&amp;VAR:KEY=QTIDURYXGN&amp;VAR:QUERY=UkdGX1RBWF9SQVRFKEFOTiwwLCwsLCwsTk9BVURJVCk=&amp;WINDOW=FIRST_POPUP&amp;HEIGHT=450&amp;WIDTH=450&amp;","START_MAXIMIZED=FALSE&amp;VAR:CALENDAR=US&amp;VAR:SYMBOL=PRGS&amp;VAR:INDEX=0"}</definedName>
    <definedName name="_2897__FDSAUDITLINK__" hidden="1">{"fdsup://directions/FAT Viewer?action=UPDATE&amp;creator=factset&amp;DYN_ARGS=TRUE&amp;DOC_NAME=FAT:FQL_AUDITING_CLIENT_TEMPLATE.FAT&amp;display_string=Audit&amp;VAR:KEY=QTIDURYXGN&amp;VAR:QUERY=UkdGX1RBWF9SQVRFKEFOTiwwLCwsLCwsTk9BVURJVCk=&amp;WINDOW=FIRST_POPUP&amp;HEIGHT=450&amp;WIDTH=450&amp;","START_MAXIMIZED=FALSE&amp;VAR:CALENDAR=US&amp;VAR:SYMBOL=PRGS&amp;VAR:INDEX=0"}</definedName>
    <definedName name="_2898__FDSAUDITLINK__" localSheetId="3" hidden="1">{"fdsup://directions/FAT Viewer?action=UPDATE&amp;creator=factset&amp;DYN_ARGS=TRUE&amp;DOC_NAME=FAT:FQL_AUDITING_CLIENT_TEMPLATE.FAT&amp;display_string=Audit&amp;VAR:KEY=QTIDURYXGN&amp;VAR:QUERY=UkdGX1RBWF9SQVRFKEFOTiwwLCwsLCwsTk9BVURJVCk=&amp;WINDOW=FIRST_POPUP&amp;HEIGHT=450&amp;WIDTH=450&amp;","START_MAXIMIZED=FALSE&amp;VAR:CALENDAR=US&amp;VAR:SYMBOL=PRGS&amp;VAR:INDEX=0"}</definedName>
    <definedName name="_2898__FDSAUDITLINK__" localSheetId="7" hidden="1">{"fdsup://directions/FAT Viewer?action=UPDATE&amp;creator=factset&amp;DYN_ARGS=TRUE&amp;DOC_NAME=FAT:FQL_AUDITING_CLIENT_TEMPLATE.FAT&amp;display_string=Audit&amp;VAR:KEY=QTIDURYXGN&amp;VAR:QUERY=UkdGX1RBWF9SQVRFKEFOTiwwLCwsLCwsTk9BVURJVCk=&amp;WINDOW=FIRST_POPUP&amp;HEIGHT=450&amp;WIDTH=450&amp;","START_MAXIMIZED=FALSE&amp;VAR:CALENDAR=US&amp;VAR:SYMBOL=PRGS&amp;VAR:INDEX=0"}</definedName>
    <definedName name="_2898__FDSAUDITLINK__" hidden="1">{"fdsup://directions/FAT Viewer?action=UPDATE&amp;creator=factset&amp;DYN_ARGS=TRUE&amp;DOC_NAME=FAT:FQL_AUDITING_CLIENT_TEMPLATE.FAT&amp;display_string=Audit&amp;VAR:KEY=QTIDURYXGN&amp;VAR:QUERY=UkdGX1RBWF9SQVRFKEFOTiwwLCwsLCwsTk9BVURJVCk=&amp;WINDOW=FIRST_POPUP&amp;HEIGHT=450&amp;WIDTH=450&amp;","START_MAXIMIZED=FALSE&amp;VAR:CALENDAR=US&amp;VAR:SYMBOL=PRGS&amp;VAR:INDEX=0"}</definedName>
    <definedName name="_2899__FDSAUDITLINK__" localSheetId="3" hidden="1">{"fdsup://directions/FAT Viewer?action=UPDATE&amp;creator=factset&amp;DYN_ARGS=TRUE&amp;DOC_NAME=FAT:FQL_AUDITING_CLIENT_TEMPLATE.FAT&amp;display_string=Audit&amp;VAR:KEY=IVWDSRSDWT&amp;VAR:QUERY=UkdGX1RBWF9SQVRFKEFOTiwwLCwsLCwsTk9BVURJVCk=&amp;WINDOW=FIRST_POPUP&amp;HEIGHT=450&amp;WIDTH=450&amp;","START_MAXIMIZED=FALSE&amp;VAR:CALENDAR=US&amp;VAR:SYMBOL=PCLN&amp;VAR:INDEX=0"}</definedName>
    <definedName name="_2899__FDSAUDITLINK__" localSheetId="7" hidden="1">{"fdsup://directions/FAT Viewer?action=UPDATE&amp;creator=factset&amp;DYN_ARGS=TRUE&amp;DOC_NAME=FAT:FQL_AUDITING_CLIENT_TEMPLATE.FAT&amp;display_string=Audit&amp;VAR:KEY=IVWDSRSDWT&amp;VAR:QUERY=UkdGX1RBWF9SQVRFKEFOTiwwLCwsLCwsTk9BVURJVCk=&amp;WINDOW=FIRST_POPUP&amp;HEIGHT=450&amp;WIDTH=450&amp;","START_MAXIMIZED=FALSE&amp;VAR:CALENDAR=US&amp;VAR:SYMBOL=PCLN&amp;VAR:INDEX=0"}</definedName>
    <definedName name="_2899__FDSAUDITLINK__" hidden="1">{"fdsup://directions/FAT Viewer?action=UPDATE&amp;creator=factset&amp;DYN_ARGS=TRUE&amp;DOC_NAME=FAT:FQL_AUDITING_CLIENT_TEMPLATE.FAT&amp;display_string=Audit&amp;VAR:KEY=IVWDSRSDWT&amp;VAR:QUERY=UkdGX1RBWF9SQVRFKEFOTiwwLCwsLCwsTk9BVURJVCk=&amp;WINDOW=FIRST_POPUP&amp;HEIGHT=450&amp;WIDTH=450&amp;","START_MAXIMIZED=FALSE&amp;VAR:CALENDAR=US&amp;VAR:SYMBOL=PCLN&amp;VAR:INDEX=0"}</definedName>
    <definedName name="_29__FDSAUDITLINK__" localSheetId="3" hidden="1">{"fdsup://directions/FAT Viewer?action=UPDATE&amp;creator=factset&amp;DYN_ARGS=TRUE&amp;DOC_NAME=FAT:FQL_AUDITING_CLIENT_TEMPLATE.FAT&amp;display_string=Audit&amp;VAR:KEY=TEXCVMFQHW&amp;VAR:QUERY=RkZfTkVUX0lOQyhBTk4sMCk=&amp;WINDOW=FIRST_POPUP&amp;HEIGHT=450&amp;WIDTH=450&amp;START_MAXIMIZED=FALS","E&amp;VAR:CALENDAR=US&amp;VAR:SYMBOL=B4LHBQ&amp;VAR:INDEX=0"}</definedName>
    <definedName name="_29__FDSAUDITLINK__" localSheetId="7" hidden="1">{"fdsup://directions/FAT Viewer?action=UPDATE&amp;creator=factset&amp;DYN_ARGS=TRUE&amp;DOC_NAME=FAT:FQL_AUDITING_CLIENT_TEMPLATE.FAT&amp;display_string=Audit&amp;VAR:KEY=TEXCVMFQHW&amp;VAR:QUERY=RkZfTkVUX0lOQyhBTk4sMCk=&amp;WINDOW=FIRST_POPUP&amp;HEIGHT=450&amp;WIDTH=450&amp;START_MAXIMIZED=FALS","E&amp;VAR:CALENDAR=US&amp;VAR:SYMBOL=B4LHBQ&amp;VAR:INDEX=0"}</definedName>
    <definedName name="_29__FDSAUDITLINK__" hidden="1">{"fdsup://directions/FAT Viewer?action=UPDATE&amp;creator=factset&amp;DYN_ARGS=TRUE&amp;DOC_NAME=FAT:FQL_AUDITING_CLIENT_TEMPLATE.FAT&amp;display_string=Audit&amp;VAR:KEY=TEXCVMFQHW&amp;VAR:QUERY=RkZfTkVUX0lOQyhBTk4sMCk=&amp;WINDOW=FIRST_POPUP&amp;HEIGHT=450&amp;WIDTH=450&amp;START_MAXIMIZED=FALS","E&amp;VAR:CALENDAR=US&amp;VAR:SYMBOL=B4LHBQ&amp;VAR:INDEX=0"}</definedName>
    <definedName name="_290__FDSAUDITLINK__" localSheetId="3" hidden="1">{"fdsup://directions/FAT Viewer?action=UPDATE&amp;creator=factset&amp;DYN_ARGS=TRUE&amp;DOC_NAME=FAT:FQL_AUDITING_CLIENT_TEMPLATE.FAT&amp;display_string=Audit&amp;VAR:KEY=VQNYBAHQTW&amp;VAR:QUERY=RkZfRUJJVERBX09QRVIoTFRNLDAsLCwsLE0p&amp;WINDOW=FIRST_POPUP&amp;HEIGHT=450&amp;WIDTH=450&amp;START_MA","XIMIZED=FALSE&amp;VAR:CALENDAR=US&amp;VAR:SYMBOL=B29VWQ&amp;VAR:INDEX=0"}</definedName>
    <definedName name="_290__FDSAUDITLINK__" localSheetId="7" hidden="1">{"fdsup://directions/FAT Viewer?action=UPDATE&amp;creator=factset&amp;DYN_ARGS=TRUE&amp;DOC_NAME=FAT:FQL_AUDITING_CLIENT_TEMPLATE.FAT&amp;display_string=Audit&amp;VAR:KEY=VQNYBAHQTW&amp;VAR:QUERY=RkZfRUJJVERBX09QRVIoTFRNLDAsLCwsLE0p&amp;WINDOW=FIRST_POPUP&amp;HEIGHT=450&amp;WIDTH=450&amp;START_MA","XIMIZED=FALSE&amp;VAR:CALENDAR=US&amp;VAR:SYMBOL=B29VWQ&amp;VAR:INDEX=0"}</definedName>
    <definedName name="_290__FDSAUDITLINK__" hidden="1">{"fdsup://directions/FAT Viewer?action=UPDATE&amp;creator=factset&amp;DYN_ARGS=TRUE&amp;DOC_NAME=FAT:FQL_AUDITING_CLIENT_TEMPLATE.FAT&amp;display_string=Audit&amp;VAR:KEY=VQNYBAHQTW&amp;VAR:QUERY=RkZfRUJJVERBX09QRVIoTFRNLDAsLCwsLE0p&amp;WINDOW=FIRST_POPUP&amp;HEIGHT=450&amp;WIDTH=450&amp;START_MA","XIMIZED=FALSE&amp;VAR:CALENDAR=US&amp;VAR:SYMBOL=B29VWQ&amp;VAR:INDEX=0"}</definedName>
    <definedName name="_2900__FDSAUDITLINK__" localSheetId="3" hidden="1">{"fdsup://directions/FAT Viewer?action=UPDATE&amp;creator=factset&amp;DYN_ARGS=TRUE&amp;DOC_NAME=FAT:FQL_AUDITING_CLIENT_TEMPLATE.FAT&amp;display_string=Audit&amp;VAR:KEY=IVWDSRSDWT&amp;VAR:QUERY=UkdGX1RBWF9SQVRFKEFOTiwwLCwsLCwsTk9BVURJVCk=&amp;WINDOW=FIRST_POPUP&amp;HEIGHT=450&amp;WIDTH=450&amp;","START_MAXIMIZED=FALSE&amp;VAR:CALENDAR=US&amp;VAR:SYMBOL=PCLN&amp;VAR:INDEX=0"}</definedName>
    <definedName name="_2900__FDSAUDITLINK__" localSheetId="7" hidden="1">{"fdsup://directions/FAT Viewer?action=UPDATE&amp;creator=factset&amp;DYN_ARGS=TRUE&amp;DOC_NAME=FAT:FQL_AUDITING_CLIENT_TEMPLATE.FAT&amp;display_string=Audit&amp;VAR:KEY=IVWDSRSDWT&amp;VAR:QUERY=UkdGX1RBWF9SQVRFKEFOTiwwLCwsLCwsTk9BVURJVCk=&amp;WINDOW=FIRST_POPUP&amp;HEIGHT=450&amp;WIDTH=450&amp;","START_MAXIMIZED=FALSE&amp;VAR:CALENDAR=US&amp;VAR:SYMBOL=PCLN&amp;VAR:INDEX=0"}</definedName>
    <definedName name="_2900__FDSAUDITLINK__" hidden="1">{"fdsup://directions/FAT Viewer?action=UPDATE&amp;creator=factset&amp;DYN_ARGS=TRUE&amp;DOC_NAME=FAT:FQL_AUDITING_CLIENT_TEMPLATE.FAT&amp;display_string=Audit&amp;VAR:KEY=IVWDSRSDWT&amp;VAR:QUERY=UkdGX1RBWF9SQVRFKEFOTiwwLCwsLCwsTk9BVURJVCk=&amp;WINDOW=FIRST_POPUP&amp;HEIGHT=450&amp;WIDTH=450&amp;","START_MAXIMIZED=FALSE&amp;VAR:CALENDAR=US&amp;VAR:SYMBOL=PCLN&amp;VAR:INDEX=0"}</definedName>
    <definedName name="_2901__FDSAUDITLINK__" localSheetId="3" hidden="1">{"fdsup://directions/FAT Viewer?action=UPDATE&amp;creator=factset&amp;DYN_ARGS=TRUE&amp;DOC_NAME=FAT:FQL_AUDITING_CLIENT_TEMPLATE.FAT&amp;display_string=Audit&amp;VAR:KEY=GDUZETUJIT&amp;VAR:QUERY=UkdGX1RBWF9SQVRFKEFOTiwwLCwsLCwsTk9BVURJVCk=&amp;WINDOW=FIRST_POPUP&amp;HEIGHT=450&amp;WIDTH=450&amp;","START_MAXIMIZED=FALSE&amp;VAR:CALENDAR=US&amp;VAR:SYMBOL=PVSW&amp;VAR:INDEX=0"}</definedName>
    <definedName name="_2901__FDSAUDITLINK__" localSheetId="7" hidden="1">{"fdsup://directions/FAT Viewer?action=UPDATE&amp;creator=factset&amp;DYN_ARGS=TRUE&amp;DOC_NAME=FAT:FQL_AUDITING_CLIENT_TEMPLATE.FAT&amp;display_string=Audit&amp;VAR:KEY=GDUZETUJIT&amp;VAR:QUERY=UkdGX1RBWF9SQVRFKEFOTiwwLCwsLCwsTk9BVURJVCk=&amp;WINDOW=FIRST_POPUP&amp;HEIGHT=450&amp;WIDTH=450&amp;","START_MAXIMIZED=FALSE&amp;VAR:CALENDAR=US&amp;VAR:SYMBOL=PVSW&amp;VAR:INDEX=0"}</definedName>
    <definedName name="_2901__FDSAUDITLINK__" hidden="1">{"fdsup://directions/FAT Viewer?action=UPDATE&amp;creator=factset&amp;DYN_ARGS=TRUE&amp;DOC_NAME=FAT:FQL_AUDITING_CLIENT_TEMPLATE.FAT&amp;display_string=Audit&amp;VAR:KEY=GDUZETUJIT&amp;VAR:QUERY=UkdGX1RBWF9SQVRFKEFOTiwwLCwsLCwsTk9BVURJVCk=&amp;WINDOW=FIRST_POPUP&amp;HEIGHT=450&amp;WIDTH=450&amp;","START_MAXIMIZED=FALSE&amp;VAR:CALENDAR=US&amp;VAR:SYMBOL=PVSW&amp;VAR:INDEX=0"}</definedName>
    <definedName name="_2902__FDSAUDITLINK__" localSheetId="3" hidden="1">{"fdsup://directions/FAT Viewer?action=UPDATE&amp;creator=factset&amp;DYN_ARGS=TRUE&amp;DOC_NAME=FAT:FQL_AUDITING_CLIENT_TEMPLATE.FAT&amp;display_string=Audit&amp;VAR:KEY=GDUZETUJIT&amp;VAR:QUERY=UkdGX1RBWF9SQVRFKEFOTiwwLCwsLCwsTk9BVURJVCk=&amp;WINDOW=FIRST_POPUP&amp;HEIGHT=450&amp;WIDTH=450&amp;","START_MAXIMIZED=FALSE&amp;VAR:CALENDAR=US&amp;VAR:SYMBOL=PVSW&amp;VAR:INDEX=0"}</definedName>
    <definedName name="_2902__FDSAUDITLINK__" localSheetId="7" hidden="1">{"fdsup://directions/FAT Viewer?action=UPDATE&amp;creator=factset&amp;DYN_ARGS=TRUE&amp;DOC_NAME=FAT:FQL_AUDITING_CLIENT_TEMPLATE.FAT&amp;display_string=Audit&amp;VAR:KEY=GDUZETUJIT&amp;VAR:QUERY=UkdGX1RBWF9SQVRFKEFOTiwwLCwsLCwsTk9BVURJVCk=&amp;WINDOW=FIRST_POPUP&amp;HEIGHT=450&amp;WIDTH=450&amp;","START_MAXIMIZED=FALSE&amp;VAR:CALENDAR=US&amp;VAR:SYMBOL=PVSW&amp;VAR:INDEX=0"}</definedName>
    <definedName name="_2902__FDSAUDITLINK__" hidden="1">{"fdsup://directions/FAT Viewer?action=UPDATE&amp;creator=factset&amp;DYN_ARGS=TRUE&amp;DOC_NAME=FAT:FQL_AUDITING_CLIENT_TEMPLATE.FAT&amp;display_string=Audit&amp;VAR:KEY=GDUZETUJIT&amp;VAR:QUERY=UkdGX1RBWF9SQVRFKEFOTiwwLCwsLCwsTk9BVURJVCk=&amp;WINDOW=FIRST_POPUP&amp;HEIGHT=450&amp;WIDTH=450&amp;","START_MAXIMIZED=FALSE&amp;VAR:CALENDAR=US&amp;VAR:SYMBOL=PVSW&amp;VAR:INDEX=0"}</definedName>
    <definedName name="_2903__FDSAUDITLINK__" localSheetId="3" hidden="1">{"fdsup://directions/FAT Viewer?action=UPDATE&amp;creator=factset&amp;DYN_ARGS=TRUE&amp;DOC_NAME=FAT:FQL_AUDITING_CLIENT_TEMPLATE.FAT&amp;display_string=Audit&amp;VAR:KEY=AHYXORCZEL&amp;VAR:QUERY=UkdGX1RBWF9SQVRFKEFOTiwwLCwsLCwsTk9BVURJVCk=&amp;WINDOW=FIRST_POPUP&amp;HEIGHT=450&amp;WIDTH=450&amp;","START_MAXIMIZED=FALSE&amp;VAR:CALENDAR=US&amp;VAR:SYMBOL=PEGA&amp;VAR:INDEX=0"}</definedName>
    <definedName name="_2903__FDSAUDITLINK__" localSheetId="7" hidden="1">{"fdsup://directions/FAT Viewer?action=UPDATE&amp;creator=factset&amp;DYN_ARGS=TRUE&amp;DOC_NAME=FAT:FQL_AUDITING_CLIENT_TEMPLATE.FAT&amp;display_string=Audit&amp;VAR:KEY=AHYXORCZEL&amp;VAR:QUERY=UkdGX1RBWF9SQVRFKEFOTiwwLCwsLCwsTk9BVURJVCk=&amp;WINDOW=FIRST_POPUP&amp;HEIGHT=450&amp;WIDTH=450&amp;","START_MAXIMIZED=FALSE&amp;VAR:CALENDAR=US&amp;VAR:SYMBOL=PEGA&amp;VAR:INDEX=0"}</definedName>
    <definedName name="_2903__FDSAUDITLINK__" hidden="1">{"fdsup://directions/FAT Viewer?action=UPDATE&amp;creator=factset&amp;DYN_ARGS=TRUE&amp;DOC_NAME=FAT:FQL_AUDITING_CLIENT_TEMPLATE.FAT&amp;display_string=Audit&amp;VAR:KEY=AHYXORCZEL&amp;VAR:QUERY=UkdGX1RBWF9SQVRFKEFOTiwwLCwsLCwsTk9BVURJVCk=&amp;WINDOW=FIRST_POPUP&amp;HEIGHT=450&amp;WIDTH=450&amp;","START_MAXIMIZED=FALSE&amp;VAR:CALENDAR=US&amp;VAR:SYMBOL=PEGA&amp;VAR:INDEX=0"}</definedName>
    <definedName name="_2904__FDSAUDITLINK__" localSheetId="3" hidden="1">{"fdsup://directions/FAT Viewer?action=UPDATE&amp;creator=factset&amp;DYN_ARGS=TRUE&amp;DOC_NAME=FAT:FQL_AUDITING_CLIENT_TEMPLATE.FAT&amp;display_string=Audit&amp;VAR:KEY=AHYXORCZEL&amp;VAR:QUERY=UkdGX1RBWF9SQVRFKEFOTiwwLCwsLCwsTk9BVURJVCk=&amp;WINDOW=FIRST_POPUP&amp;HEIGHT=450&amp;WIDTH=450&amp;","START_MAXIMIZED=FALSE&amp;VAR:CALENDAR=US&amp;VAR:SYMBOL=PEGA&amp;VAR:INDEX=0"}</definedName>
    <definedName name="_2904__FDSAUDITLINK__" localSheetId="7" hidden="1">{"fdsup://directions/FAT Viewer?action=UPDATE&amp;creator=factset&amp;DYN_ARGS=TRUE&amp;DOC_NAME=FAT:FQL_AUDITING_CLIENT_TEMPLATE.FAT&amp;display_string=Audit&amp;VAR:KEY=AHYXORCZEL&amp;VAR:QUERY=UkdGX1RBWF9SQVRFKEFOTiwwLCwsLCwsTk9BVURJVCk=&amp;WINDOW=FIRST_POPUP&amp;HEIGHT=450&amp;WIDTH=450&amp;","START_MAXIMIZED=FALSE&amp;VAR:CALENDAR=US&amp;VAR:SYMBOL=PEGA&amp;VAR:INDEX=0"}</definedName>
    <definedName name="_2904__FDSAUDITLINK__" hidden="1">{"fdsup://directions/FAT Viewer?action=UPDATE&amp;creator=factset&amp;DYN_ARGS=TRUE&amp;DOC_NAME=FAT:FQL_AUDITING_CLIENT_TEMPLATE.FAT&amp;display_string=Audit&amp;VAR:KEY=AHYXORCZEL&amp;VAR:QUERY=UkdGX1RBWF9SQVRFKEFOTiwwLCwsLCwsTk9BVURJVCk=&amp;WINDOW=FIRST_POPUP&amp;HEIGHT=450&amp;WIDTH=450&amp;","START_MAXIMIZED=FALSE&amp;VAR:CALENDAR=US&amp;VAR:SYMBOL=PEGA&amp;VAR:INDEX=0"}</definedName>
    <definedName name="_2905__FDSAUDITLINK__" localSheetId="3" hidden="1">{"fdsup://directions/FAT Viewer?action=UPDATE&amp;creator=factset&amp;DYN_ARGS=TRUE&amp;DOC_NAME=FAT:FQL_AUDITING_CLIENT_TEMPLATE.FAT&amp;display_string=Audit&amp;VAR:KEY=MFORWRWLCP&amp;VAR:QUERY=UkdGX1RBWF9SQVRFKEFOTiwwLCwsLCwsTk9BVURJVCk=&amp;WINDOW=FIRST_POPUP&amp;HEIGHT=450&amp;WIDTH=450&amp;","START_MAXIMIZED=FALSE&amp;VAR:CALENDAR=US&amp;VAR:SYMBOL=PDFS&amp;VAR:INDEX=0"}</definedName>
    <definedName name="_2905__FDSAUDITLINK__" localSheetId="7" hidden="1">{"fdsup://directions/FAT Viewer?action=UPDATE&amp;creator=factset&amp;DYN_ARGS=TRUE&amp;DOC_NAME=FAT:FQL_AUDITING_CLIENT_TEMPLATE.FAT&amp;display_string=Audit&amp;VAR:KEY=MFORWRWLCP&amp;VAR:QUERY=UkdGX1RBWF9SQVRFKEFOTiwwLCwsLCwsTk9BVURJVCk=&amp;WINDOW=FIRST_POPUP&amp;HEIGHT=450&amp;WIDTH=450&amp;","START_MAXIMIZED=FALSE&amp;VAR:CALENDAR=US&amp;VAR:SYMBOL=PDFS&amp;VAR:INDEX=0"}</definedName>
    <definedName name="_2905__FDSAUDITLINK__" hidden="1">{"fdsup://directions/FAT Viewer?action=UPDATE&amp;creator=factset&amp;DYN_ARGS=TRUE&amp;DOC_NAME=FAT:FQL_AUDITING_CLIENT_TEMPLATE.FAT&amp;display_string=Audit&amp;VAR:KEY=MFORWRWLCP&amp;VAR:QUERY=UkdGX1RBWF9SQVRFKEFOTiwwLCwsLCwsTk9BVURJVCk=&amp;WINDOW=FIRST_POPUP&amp;HEIGHT=450&amp;WIDTH=450&amp;","START_MAXIMIZED=FALSE&amp;VAR:CALENDAR=US&amp;VAR:SYMBOL=PDFS&amp;VAR:INDEX=0"}</definedName>
    <definedName name="_2906__FDSAUDITLINK__" localSheetId="3" hidden="1">{"fdsup://directions/FAT Viewer?action=UPDATE&amp;creator=factset&amp;DYN_ARGS=TRUE&amp;DOC_NAME=FAT:FQL_AUDITING_CLIENT_TEMPLATE.FAT&amp;display_string=Audit&amp;VAR:KEY=MFORWRWLCP&amp;VAR:QUERY=UkdGX1RBWF9SQVRFKEFOTiwwLCwsLCwsTk9BVURJVCk=&amp;WINDOW=FIRST_POPUP&amp;HEIGHT=450&amp;WIDTH=450&amp;","START_MAXIMIZED=FALSE&amp;VAR:CALENDAR=US&amp;VAR:SYMBOL=PDFS&amp;VAR:INDEX=0"}</definedName>
    <definedName name="_2906__FDSAUDITLINK__" localSheetId="7" hidden="1">{"fdsup://directions/FAT Viewer?action=UPDATE&amp;creator=factset&amp;DYN_ARGS=TRUE&amp;DOC_NAME=FAT:FQL_AUDITING_CLIENT_TEMPLATE.FAT&amp;display_string=Audit&amp;VAR:KEY=MFORWRWLCP&amp;VAR:QUERY=UkdGX1RBWF9SQVRFKEFOTiwwLCwsLCwsTk9BVURJVCk=&amp;WINDOW=FIRST_POPUP&amp;HEIGHT=450&amp;WIDTH=450&amp;","START_MAXIMIZED=FALSE&amp;VAR:CALENDAR=US&amp;VAR:SYMBOL=PDFS&amp;VAR:INDEX=0"}</definedName>
    <definedName name="_2906__FDSAUDITLINK__" hidden="1">{"fdsup://directions/FAT Viewer?action=UPDATE&amp;creator=factset&amp;DYN_ARGS=TRUE&amp;DOC_NAME=FAT:FQL_AUDITING_CLIENT_TEMPLATE.FAT&amp;display_string=Audit&amp;VAR:KEY=MFORWRWLCP&amp;VAR:QUERY=UkdGX1RBWF9SQVRFKEFOTiwwLCwsLCwsTk9BVURJVCk=&amp;WINDOW=FIRST_POPUP&amp;HEIGHT=450&amp;WIDTH=450&amp;","START_MAXIMIZED=FALSE&amp;VAR:CALENDAR=US&amp;VAR:SYMBOL=PDFS&amp;VAR:INDEX=0"}</definedName>
    <definedName name="_2907__FDSAUDITLINK__" localSheetId="3" hidden="1">{"fdsup://directions/FAT Viewer?action=UPDATE&amp;creator=factset&amp;DYN_ARGS=TRUE&amp;DOC_NAME=FAT:FQL_AUDITING_CLIENT_TEMPLATE.FAT&amp;display_string=Audit&amp;VAR:KEY=IVGZYDGNYV&amp;VAR:QUERY=UkdGX1RBWF9SQVRFKEFOTiwwLCwsLCwsTk9BVURJVCk=&amp;WINDOW=FIRST_POPUP&amp;HEIGHT=450&amp;WIDTH=450&amp;","START_MAXIMIZED=FALSE&amp;VAR:CALENDAR=US&amp;VAR:SYMBOL=PMTC&amp;VAR:INDEX=0"}</definedName>
    <definedName name="_2907__FDSAUDITLINK__" localSheetId="7" hidden="1">{"fdsup://directions/FAT Viewer?action=UPDATE&amp;creator=factset&amp;DYN_ARGS=TRUE&amp;DOC_NAME=FAT:FQL_AUDITING_CLIENT_TEMPLATE.FAT&amp;display_string=Audit&amp;VAR:KEY=IVGZYDGNYV&amp;VAR:QUERY=UkdGX1RBWF9SQVRFKEFOTiwwLCwsLCwsTk9BVURJVCk=&amp;WINDOW=FIRST_POPUP&amp;HEIGHT=450&amp;WIDTH=450&amp;","START_MAXIMIZED=FALSE&amp;VAR:CALENDAR=US&amp;VAR:SYMBOL=PMTC&amp;VAR:INDEX=0"}</definedName>
    <definedName name="_2907__FDSAUDITLINK__" hidden="1">{"fdsup://directions/FAT Viewer?action=UPDATE&amp;creator=factset&amp;DYN_ARGS=TRUE&amp;DOC_NAME=FAT:FQL_AUDITING_CLIENT_TEMPLATE.FAT&amp;display_string=Audit&amp;VAR:KEY=IVGZYDGNYV&amp;VAR:QUERY=UkdGX1RBWF9SQVRFKEFOTiwwLCwsLCwsTk9BVURJVCk=&amp;WINDOW=FIRST_POPUP&amp;HEIGHT=450&amp;WIDTH=450&amp;","START_MAXIMIZED=FALSE&amp;VAR:CALENDAR=US&amp;VAR:SYMBOL=PMTC&amp;VAR:INDEX=0"}</definedName>
    <definedName name="_2908__FDSAUDITLINK__" localSheetId="3" hidden="1">{"fdsup://directions/FAT Viewer?action=UPDATE&amp;creator=factset&amp;DYN_ARGS=TRUE&amp;DOC_NAME=FAT:FQL_AUDITING_CLIENT_TEMPLATE.FAT&amp;display_string=Audit&amp;VAR:KEY=IVGZYDGNYV&amp;VAR:QUERY=UkdGX1RBWF9SQVRFKEFOTiwwLCwsLCwsTk9BVURJVCk=&amp;WINDOW=FIRST_POPUP&amp;HEIGHT=450&amp;WIDTH=450&amp;","START_MAXIMIZED=FALSE&amp;VAR:CALENDAR=US&amp;VAR:SYMBOL=PMTC&amp;VAR:INDEX=0"}</definedName>
    <definedName name="_2908__FDSAUDITLINK__" localSheetId="7" hidden="1">{"fdsup://directions/FAT Viewer?action=UPDATE&amp;creator=factset&amp;DYN_ARGS=TRUE&amp;DOC_NAME=FAT:FQL_AUDITING_CLIENT_TEMPLATE.FAT&amp;display_string=Audit&amp;VAR:KEY=IVGZYDGNYV&amp;VAR:QUERY=UkdGX1RBWF9SQVRFKEFOTiwwLCwsLCwsTk9BVURJVCk=&amp;WINDOW=FIRST_POPUP&amp;HEIGHT=450&amp;WIDTH=450&amp;","START_MAXIMIZED=FALSE&amp;VAR:CALENDAR=US&amp;VAR:SYMBOL=PMTC&amp;VAR:INDEX=0"}</definedName>
    <definedName name="_2908__FDSAUDITLINK__" hidden="1">{"fdsup://directions/FAT Viewer?action=UPDATE&amp;creator=factset&amp;DYN_ARGS=TRUE&amp;DOC_NAME=FAT:FQL_AUDITING_CLIENT_TEMPLATE.FAT&amp;display_string=Audit&amp;VAR:KEY=IVGZYDGNYV&amp;VAR:QUERY=UkdGX1RBWF9SQVRFKEFOTiwwLCwsLCwsTk9BVURJVCk=&amp;WINDOW=FIRST_POPUP&amp;HEIGHT=450&amp;WIDTH=450&amp;","START_MAXIMIZED=FALSE&amp;VAR:CALENDAR=US&amp;VAR:SYMBOL=PMTC&amp;VAR:INDEX=0"}</definedName>
    <definedName name="_2909__FDSAUDITLINK__" localSheetId="3" hidden="1">{"fdsup://directions/FAT Viewer?action=UPDATE&amp;creator=factset&amp;DYN_ARGS=TRUE&amp;DOC_NAME=FAT:FQL_AUDITING_CLIENT_TEMPLATE.FAT&amp;display_string=Audit&amp;VAR:KEY=KPQFQZMLSZ&amp;VAR:QUERY=UkdGX1RBWF9SQVRFKEFOTiwwLCwsLCwsTk9BVURJVCk=&amp;WINDOW=FIRST_POPUP&amp;HEIGHT=450&amp;WIDTH=450&amp;","START_MAXIMIZED=FALSE&amp;VAR:CALENDAR=US&amp;VAR:SYMBOL=ORCL&amp;VAR:INDEX=0"}</definedName>
    <definedName name="_2909__FDSAUDITLINK__" localSheetId="7" hidden="1">{"fdsup://directions/FAT Viewer?action=UPDATE&amp;creator=factset&amp;DYN_ARGS=TRUE&amp;DOC_NAME=FAT:FQL_AUDITING_CLIENT_TEMPLATE.FAT&amp;display_string=Audit&amp;VAR:KEY=KPQFQZMLSZ&amp;VAR:QUERY=UkdGX1RBWF9SQVRFKEFOTiwwLCwsLCwsTk9BVURJVCk=&amp;WINDOW=FIRST_POPUP&amp;HEIGHT=450&amp;WIDTH=450&amp;","START_MAXIMIZED=FALSE&amp;VAR:CALENDAR=US&amp;VAR:SYMBOL=ORCL&amp;VAR:INDEX=0"}</definedName>
    <definedName name="_2909__FDSAUDITLINK__" hidden="1">{"fdsup://directions/FAT Viewer?action=UPDATE&amp;creator=factset&amp;DYN_ARGS=TRUE&amp;DOC_NAME=FAT:FQL_AUDITING_CLIENT_TEMPLATE.FAT&amp;display_string=Audit&amp;VAR:KEY=KPQFQZMLSZ&amp;VAR:QUERY=UkdGX1RBWF9SQVRFKEFOTiwwLCwsLCwsTk9BVURJVCk=&amp;WINDOW=FIRST_POPUP&amp;HEIGHT=450&amp;WIDTH=450&amp;","START_MAXIMIZED=FALSE&amp;VAR:CALENDAR=US&amp;VAR:SYMBOL=ORCL&amp;VAR:INDEX=0"}</definedName>
    <definedName name="_291__FDSAUDITLINK__" localSheetId="3" hidden="1">{"fdsup://directions/FAT Viewer?action=UPDATE&amp;creator=factset&amp;DYN_ARGS=TRUE&amp;DOC_NAME=FAT:FQL_AUDITING_CLIENT_TEMPLATE.FAT&amp;display_string=Audit&amp;VAR:KEY=UTWJWFUJKX&amp;VAR:QUERY=RkZfRUJJVERBX09QRVIoTFRNLDAsLCwsLE0p&amp;WINDOW=FIRST_POPUP&amp;HEIGHT=450&amp;WIDTH=450&amp;START_MA","XIMIZED=FALSE&amp;VAR:CALENDAR=US&amp;VAR:SYMBOL=B667N4&amp;VAR:INDEX=0"}</definedName>
    <definedName name="_291__FDSAUDITLINK__" localSheetId="7" hidden="1">{"fdsup://directions/FAT Viewer?action=UPDATE&amp;creator=factset&amp;DYN_ARGS=TRUE&amp;DOC_NAME=FAT:FQL_AUDITING_CLIENT_TEMPLATE.FAT&amp;display_string=Audit&amp;VAR:KEY=UTWJWFUJKX&amp;VAR:QUERY=RkZfRUJJVERBX09QRVIoTFRNLDAsLCwsLE0p&amp;WINDOW=FIRST_POPUP&amp;HEIGHT=450&amp;WIDTH=450&amp;START_MA","XIMIZED=FALSE&amp;VAR:CALENDAR=US&amp;VAR:SYMBOL=B667N4&amp;VAR:INDEX=0"}</definedName>
    <definedName name="_291__FDSAUDITLINK__" hidden="1">{"fdsup://directions/FAT Viewer?action=UPDATE&amp;creator=factset&amp;DYN_ARGS=TRUE&amp;DOC_NAME=FAT:FQL_AUDITING_CLIENT_TEMPLATE.FAT&amp;display_string=Audit&amp;VAR:KEY=UTWJWFUJKX&amp;VAR:QUERY=RkZfRUJJVERBX09QRVIoTFRNLDAsLCwsLE0p&amp;WINDOW=FIRST_POPUP&amp;HEIGHT=450&amp;WIDTH=450&amp;START_MA","XIMIZED=FALSE&amp;VAR:CALENDAR=US&amp;VAR:SYMBOL=B667N4&amp;VAR:INDEX=0"}</definedName>
    <definedName name="_2910__FDSAUDITLINK__" localSheetId="3" hidden="1">{"fdsup://directions/FAT Viewer?action=UPDATE&amp;creator=factset&amp;DYN_ARGS=TRUE&amp;DOC_NAME=FAT:FQL_AUDITING_CLIENT_TEMPLATE.FAT&amp;display_string=Audit&amp;VAR:KEY=KPQFQZMLSZ&amp;VAR:QUERY=UkdGX1RBWF9SQVRFKEFOTiwwLCwsLCwsTk9BVURJVCk=&amp;WINDOW=FIRST_POPUP&amp;HEIGHT=450&amp;WIDTH=450&amp;","START_MAXIMIZED=FALSE&amp;VAR:CALENDAR=US&amp;VAR:SYMBOL=ORCL&amp;VAR:INDEX=0"}</definedName>
    <definedName name="_2910__FDSAUDITLINK__" localSheetId="7" hidden="1">{"fdsup://directions/FAT Viewer?action=UPDATE&amp;creator=factset&amp;DYN_ARGS=TRUE&amp;DOC_NAME=FAT:FQL_AUDITING_CLIENT_TEMPLATE.FAT&amp;display_string=Audit&amp;VAR:KEY=KPQFQZMLSZ&amp;VAR:QUERY=UkdGX1RBWF9SQVRFKEFOTiwwLCwsLCwsTk9BVURJVCk=&amp;WINDOW=FIRST_POPUP&amp;HEIGHT=450&amp;WIDTH=450&amp;","START_MAXIMIZED=FALSE&amp;VAR:CALENDAR=US&amp;VAR:SYMBOL=ORCL&amp;VAR:INDEX=0"}</definedName>
    <definedName name="_2910__FDSAUDITLINK__" hidden="1">{"fdsup://directions/FAT Viewer?action=UPDATE&amp;creator=factset&amp;DYN_ARGS=TRUE&amp;DOC_NAME=FAT:FQL_AUDITING_CLIENT_TEMPLATE.FAT&amp;display_string=Audit&amp;VAR:KEY=KPQFQZMLSZ&amp;VAR:QUERY=UkdGX1RBWF9SQVRFKEFOTiwwLCwsLCwsTk9BVURJVCk=&amp;WINDOW=FIRST_POPUP&amp;HEIGHT=450&amp;WIDTH=450&amp;","START_MAXIMIZED=FALSE&amp;VAR:CALENDAR=US&amp;VAR:SYMBOL=ORCL&amp;VAR:INDEX=0"}</definedName>
    <definedName name="_2911__FDSAUDITLINK__" localSheetId="3" hidden="1">{"fdsup://directions/FAT Viewer?action=UPDATE&amp;creator=factset&amp;DYN_ARGS=TRUE&amp;DOC_NAME=FAT:FQL_AUDITING_CLIENT_TEMPLATE.FAT&amp;display_string=Audit&amp;VAR:KEY=QNGHOTGBIN&amp;VAR:QUERY=UkdGX1RBWF9SQVRFKEFOTiwwLCwsLCwsTk9BVURJVCk=&amp;WINDOW=FIRST_POPUP&amp;HEIGHT=450&amp;WIDTH=450&amp;","START_MAXIMIZED=FALSE&amp;VAR:CALENDAR=US&amp;VAR:SYMBOL=OPNT&amp;VAR:INDEX=0"}</definedName>
    <definedName name="_2911__FDSAUDITLINK__" localSheetId="7" hidden="1">{"fdsup://directions/FAT Viewer?action=UPDATE&amp;creator=factset&amp;DYN_ARGS=TRUE&amp;DOC_NAME=FAT:FQL_AUDITING_CLIENT_TEMPLATE.FAT&amp;display_string=Audit&amp;VAR:KEY=QNGHOTGBIN&amp;VAR:QUERY=UkdGX1RBWF9SQVRFKEFOTiwwLCwsLCwsTk9BVURJVCk=&amp;WINDOW=FIRST_POPUP&amp;HEIGHT=450&amp;WIDTH=450&amp;","START_MAXIMIZED=FALSE&amp;VAR:CALENDAR=US&amp;VAR:SYMBOL=OPNT&amp;VAR:INDEX=0"}</definedName>
    <definedName name="_2911__FDSAUDITLINK__" hidden="1">{"fdsup://directions/FAT Viewer?action=UPDATE&amp;creator=factset&amp;DYN_ARGS=TRUE&amp;DOC_NAME=FAT:FQL_AUDITING_CLIENT_TEMPLATE.FAT&amp;display_string=Audit&amp;VAR:KEY=QNGHOTGBIN&amp;VAR:QUERY=UkdGX1RBWF9SQVRFKEFOTiwwLCwsLCwsTk9BVURJVCk=&amp;WINDOW=FIRST_POPUP&amp;HEIGHT=450&amp;WIDTH=450&amp;","START_MAXIMIZED=FALSE&amp;VAR:CALENDAR=US&amp;VAR:SYMBOL=OPNT&amp;VAR:INDEX=0"}</definedName>
    <definedName name="_2912__FDSAUDITLINK__" localSheetId="3" hidden="1">{"fdsup://directions/FAT Viewer?action=UPDATE&amp;creator=factset&amp;DYN_ARGS=TRUE&amp;DOC_NAME=FAT:FQL_AUDITING_CLIENT_TEMPLATE.FAT&amp;display_string=Audit&amp;VAR:KEY=QNGHOTGBIN&amp;VAR:QUERY=UkdGX1RBWF9SQVRFKEFOTiwwLCwsLCwsTk9BVURJVCk=&amp;WINDOW=FIRST_POPUP&amp;HEIGHT=450&amp;WIDTH=450&amp;","START_MAXIMIZED=FALSE&amp;VAR:CALENDAR=US&amp;VAR:SYMBOL=OPNT&amp;VAR:INDEX=0"}</definedName>
    <definedName name="_2912__FDSAUDITLINK__" localSheetId="7" hidden="1">{"fdsup://directions/FAT Viewer?action=UPDATE&amp;creator=factset&amp;DYN_ARGS=TRUE&amp;DOC_NAME=FAT:FQL_AUDITING_CLIENT_TEMPLATE.FAT&amp;display_string=Audit&amp;VAR:KEY=QNGHOTGBIN&amp;VAR:QUERY=UkdGX1RBWF9SQVRFKEFOTiwwLCwsLCwsTk9BVURJVCk=&amp;WINDOW=FIRST_POPUP&amp;HEIGHT=450&amp;WIDTH=450&amp;","START_MAXIMIZED=FALSE&amp;VAR:CALENDAR=US&amp;VAR:SYMBOL=OPNT&amp;VAR:INDEX=0"}</definedName>
    <definedName name="_2912__FDSAUDITLINK__" hidden="1">{"fdsup://directions/FAT Viewer?action=UPDATE&amp;creator=factset&amp;DYN_ARGS=TRUE&amp;DOC_NAME=FAT:FQL_AUDITING_CLIENT_TEMPLATE.FAT&amp;display_string=Audit&amp;VAR:KEY=QNGHOTGBIN&amp;VAR:QUERY=UkdGX1RBWF9SQVRFKEFOTiwwLCwsLCwsTk9BVURJVCk=&amp;WINDOW=FIRST_POPUP&amp;HEIGHT=450&amp;WIDTH=450&amp;","START_MAXIMIZED=FALSE&amp;VAR:CALENDAR=US&amp;VAR:SYMBOL=OPNT&amp;VAR:INDEX=0"}</definedName>
    <definedName name="_2913__FDSAUDITLINK__" localSheetId="3" hidden="1">{"fdsup://directions/FAT Viewer?action=UPDATE&amp;creator=factset&amp;DYN_ARGS=TRUE&amp;DOC_NAME=FAT:FQL_AUDITING_CLIENT_TEMPLATE.FAT&amp;display_string=Audit&amp;VAR:KEY=CZOLEZETCH&amp;VAR:QUERY=UkdGX1RBWF9SQVRFKEFOTiwwLCwsLCwsTk9BVURJVCk=&amp;WINDOW=FIRST_POPUP&amp;HEIGHT=450&amp;WIDTH=450&amp;","START_MAXIMIZED=FALSE&amp;VAR:CALENDAR=US&amp;VAR:SYMBOL=705772&amp;VAR:INDEX=0"}</definedName>
    <definedName name="_2913__FDSAUDITLINK__" localSheetId="7" hidden="1">{"fdsup://directions/FAT Viewer?action=UPDATE&amp;creator=factset&amp;DYN_ARGS=TRUE&amp;DOC_NAME=FAT:FQL_AUDITING_CLIENT_TEMPLATE.FAT&amp;display_string=Audit&amp;VAR:KEY=CZOLEZETCH&amp;VAR:QUERY=UkdGX1RBWF9SQVRFKEFOTiwwLCwsLCwsTk9BVURJVCk=&amp;WINDOW=FIRST_POPUP&amp;HEIGHT=450&amp;WIDTH=450&amp;","START_MAXIMIZED=FALSE&amp;VAR:CALENDAR=US&amp;VAR:SYMBOL=705772&amp;VAR:INDEX=0"}</definedName>
    <definedName name="_2913__FDSAUDITLINK__" hidden="1">{"fdsup://directions/FAT Viewer?action=UPDATE&amp;creator=factset&amp;DYN_ARGS=TRUE&amp;DOC_NAME=FAT:FQL_AUDITING_CLIENT_TEMPLATE.FAT&amp;display_string=Audit&amp;VAR:KEY=CZOLEZETCH&amp;VAR:QUERY=UkdGX1RBWF9SQVRFKEFOTiwwLCwsLCwsTk9BVURJVCk=&amp;WINDOW=FIRST_POPUP&amp;HEIGHT=450&amp;WIDTH=450&amp;","START_MAXIMIZED=FALSE&amp;VAR:CALENDAR=US&amp;VAR:SYMBOL=705772&amp;VAR:INDEX=0"}</definedName>
    <definedName name="_2914__FDSAUDITLINK__" localSheetId="3" hidden="1">{"fdsup://directions/FAT Viewer?action=UPDATE&amp;creator=factset&amp;DYN_ARGS=TRUE&amp;DOC_NAME=FAT:FQL_AUDITING_CLIENT_TEMPLATE.FAT&amp;display_string=Audit&amp;VAR:KEY=CZOLEZETCH&amp;VAR:QUERY=UkdGX1RBWF9SQVRFKEFOTiwwLCwsLCwsTk9BVURJVCk=&amp;WINDOW=FIRST_POPUP&amp;HEIGHT=450&amp;WIDTH=450&amp;","START_MAXIMIZED=FALSE&amp;VAR:CALENDAR=US&amp;VAR:SYMBOL=705772&amp;VAR:INDEX=0"}</definedName>
    <definedName name="_2914__FDSAUDITLINK__" localSheetId="7" hidden="1">{"fdsup://directions/FAT Viewer?action=UPDATE&amp;creator=factset&amp;DYN_ARGS=TRUE&amp;DOC_NAME=FAT:FQL_AUDITING_CLIENT_TEMPLATE.FAT&amp;display_string=Audit&amp;VAR:KEY=CZOLEZETCH&amp;VAR:QUERY=UkdGX1RBWF9SQVRFKEFOTiwwLCwsLCwsTk9BVURJVCk=&amp;WINDOW=FIRST_POPUP&amp;HEIGHT=450&amp;WIDTH=450&amp;","START_MAXIMIZED=FALSE&amp;VAR:CALENDAR=US&amp;VAR:SYMBOL=705772&amp;VAR:INDEX=0"}</definedName>
    <definedName name="_2914__FDSAUDITLINK__" hidden="1">{"fdsup://directions/FAT Viewer?action=UPDATE&amp;creator=factset&amp;DYN_ARGS=TRUE&amp;DOC_NAME=FAT:FQL_AUDITING_CLIENT_TEMPLATE.FAT&amp;display_string=Audit&amp;VAR:KEY=CZOLEZETCH&amp;VAR:QUERY=UkdGX1RBWF9SQVRFKEFOTiwwLCwsLCwsTk9BVURJVCk=&amp;WINDOW=FIRST_POPUP&amp;HEIGHT=450&amp;WIDTH=450&amp;","START_MAXIMIZED=FALSE&amp;VAR:CALENDAR=US&amp;VAR:SYMBOL=705772&amp;VAR:INDEX=0"}</definedName>
    <definedName name="_2915__FDSAUDITLINK__" localSheetId="3" hidden="1">{"fdsup://directions/FAT Viewer?action=UPDATE&amp;creator=factset&amp;DYN_ARGS=TRUE&amp;DOC_NAME=FAT:FQL_AUDITING_CLIENT_TEMPLATE.FAT&amp;display_string=Audit&amp;VAR:KEY=WXWNGNGPUD&amp;VAR:QUERY=UkdGX1RBWF9SQVRFKEFOTiwwLCwsLCwsTk9BVURJVCk=&amp;WINDOW=FIRST_POPUP&amp;HEIGHT=450&amp;WIDTH=450&amp;","START_MAXIMIZED=FALSE&amp;VAR:CALENDAR=US&amp;VAR:SYMBOL=OTEX&amp;VAR:INDEX=0"}</definedName>
    <definedName name="_2915__FDSAUDITLINK__" localSheetId="7" hidden="1">{"fdsup://directions/FAT Viewer?action=UPDATE&amp;creator=factset&amp;DYN_ARGS=TRUE&amp;DOC_NAME=FAT:FQL_AUDITING_CLIENT_TEMPLATE.FAT&amp;display_string=Audit&amp;VAR:KEY=WXWNGNGPUD&amp;VAR:QUERY=UkdGX1RBWF9SQVRFKEFOTiwwLCwsLCwsTk9BVURJVCk=&amp;WINDOW=FIRST_POPUP&amp;HEIGHT=450&amp;WIDTH=450&amp;","START_MAXIMIZED=FALSE&amp;VAR:CALENDAR=US&amp;VAR:SYMBOL=OTEX&amp;VAR:INDEX=0"}</definedName>
    <definedName name="_2915__FDSAUDITLINK__" hidden="1">{"fdsup://directions/FAT Viewer?action=UPDATE&amp;creator=factset&amp;DYN_ARGS=TRUE&amp;DOC_NAME=FAT:FQL_AUDITING_CLIENT_TEMPLATE.FAT&amp;display_string=Audit&amp;VAR:KEY=WXWNGNGPUD&amp;VAR:QUERY=UkdGX1RBWF9SQVRFKEFOTiwwLCwsLCwsTk9BVURJVCk=&amp;WINDOW=FIRST_POPUP&amp;HEIGHT=450&amp;WIDTH=450&amp;","START_MAXIMIZED=FALSE&amp;VAR:CALENDAR=US&amp;VAR:SYMBOL=OTEX&amp;VAR:INDEX=0"}</definedName>
    <definedName name="_2916__FDSAUDITLINK__" localSheetId="3" hidden="1">{"fdsup://directions/FAT Viewer?action=UPDATE&amp;creator=factset&amp;DYN_ARGS=TRUE&amp;DOC_NAME=FAT:FQL_AUDITING_CLIENT_TEMPLATE.FAT&amp;display_string=Audit&amp;VAR:KEY=WXWNGNGPUD&amp;VAR:QUERY=UkdGX1RBWF9SQVRFKEFOTiwwLCwsLCwsTk9BVURJVCk=&amp;WINDOW=FIRST_POPUP&amp;HEIGHT=450&amp;WIDTH=450&amp;","START_MAXIMIZED=FALSE&amp;VAR:CALENDAR=US&amp;VAR:SYMBOL=OTEX&amp;VAR:INDEX=0"}</definedName>
    <definedName name="_2916__FDSAUDITLINK__" localSheetId="7" hidden="1">{"fdsup://directions/FAT Viewer?action=UPDATE&amp;creator=factset&amp;DYN_ARGS=TRUE&amp;DOC_NAME=FAT:FQL_AUDITING_CLIENT_TEMPLATE.FAT&amp;display_string=Audit&amp;VAR:KEY=WXWNGNGPUD&amp;VAR:QUERY=UkdGX1RBWF9SQVRFKEFOTiwwLCwsLCwsTk9BVURJVCk=&amp;WINDOW=FIRST_POPUP&amp;HEIGHT=450&amp;WIDTH=450&amp;","START_MAXIMIZED=FALSE&amp;VAR:CALENDAR=US&amp;VAR:SYMBOL=OTEX&amp;VAR:INDEX=0"}</definedName>
    <definedName name="_2916__FDSAUDITLINK__" hidden="1">{"fdsup://directions/FAT Viewer?action=UPDATE&amp;creator=factset&amp;DYN_ARGS=TRUE&amp;DOC_NAME=FAT:FQL_AUDITING_CLIENT_TEMPLATE.FAT&amp;display_string=Audit&amp;VAR:KEY=WXWNGNGPUD&amp;VAR:QUERY=UkdGX1RBWF9SQVRFKEFOTiwwLCwsLCwsTk9BVURJVCk=&amp;WINDOW=FIRST_POPUP&amp;HEIGHT=450&amp;WIDTH=450&amp;","START_MAXIMIZED=FALSE&amp;VAR:CALENDAR=US&amp;VAR:SYMBOL=OTEX&amp;VAR:INDEX=0"}</definedName>
    <definedName name="_2917__FDSAUDITLINK__" localSheetId="3" hidden="1">{"fdsup://directions/FAT Viewer?action=UPDATE&amp;creator=factset&amp;DYN_ARGS=TRUE&amp;DOC_NAME=FAT:FQL_AUDITING_CLIENT_TEMPLATE.FAT&amp;display_string=Audit&amp;VAR:KEY=MPYXMHCVGL&amp;VAR:QUERY=UkdGX1RBWF9SQVRFKEFOTiwwLCwsLCwsTk9BVURJVCk=&amp;WINDOW=FIRST_POPUP&amp;HEIGHT=450&amp;WIDTH=450&amp;","START_MAXIMIZED=FALSE&amp;VAR:CALENDAR=US&amp;VAR:SYMBOL=OPEN&amp;VAR:INDEX=0"}</definedName>
    <definedName name="_2917__FDSAUDITLINK__" localSheetId="7" hidden="1">{"fdsup://directions/FAT Viewer?action=UPDATE&amp;creator=factset&amp;DYN_ARGS=TRUE&amp;DOC_NAME=FAT:FQL_AUDITING_CLIENT_TEMPLATE.FAT&amp;display_string=Audit&amp;VAR:KEY=MPYXMHCVGL&amp;VAR:QUERY=UkdGX1RBWF9SQVRFKEFOTiwwLCwsLCwsTk9BVURJVCk=&amp;WINDOW=FIRST_POPUP&amp;HEIGHT=450&amp;WIDTH=450&amp;","START_MAXIMIZED=FALSE&amp;VAR:CALENDAR=US&amp;VAR:SYMBOL=OPEN&amp;VAR:INDEX=0"}</definedName>
    <definedName name="_2917__FDSAUDITLINK__" hidden="1">{"fdsup://directions/FAT Viewer?action=UPDATE&amp;creator=factset&amp;DYN_ARGS=TRUE&amp;DOC_NAME=FAT:FQL_AUDITING_CLIENT_TEMPLATE.FAT&amp;display_string=Audit&amp;VAR:KEY=MPYXMHCVGL&amp;VAR:QUERY=UkdGX1RBWF9SQVRFKEFOTiwwLCwsLCwsTk9BVURJVCk=&amp;WINDOW=FIRST_POPUP&amp;HEIGHT=450&amp;WIDTH=450&amp;","START_MAXIMIZED=FALSE&amp;VAR:CALENDAR=US&amp;VAR:SYMBOL=OPEN&amp;VAR:INDEX=0"}</definedName>
    <definedName name="_2918__FDSAUDITLINK__" localSheetId="3" hidden="1">{"fdsup://directions/FAT Viewer?action=UPDATE&amp;creator=factset&amp;DYN_ARGS=TRUE&amp;DOC_NAME=FAT:FQL_AUDITING_CLIENT_TEMPLATE.FAT&amp;display_string=Audit&amp;VAR:KEY=MPYXMHCVGL&amp;VAR:QUERY=UkdGX1RBWF9SQVRFKEFOTiwwLCwsLCwsTk9BVURJVCk=&amp;WINDOW=FIRST_POPUP&amp;HEIGHT=450&amp;WIDTH=450&amp;","START_MAXIMIZED=FALSE&amp;VAR:CALENDAR=US&amp;VAR:SYMBOL=OPEN&amp;VAR:INDEX=0"}</definedName>
    <definedName name="_2918__FDSAUDITLINK__" localSheetId="7" hidden="1">{"fdsup://directions/FAT Viewer?action=UPDATE&amp;creator=factset&amp;DYN_ARGS=TRUE&amp;DOC_NAME=FAT:FQL_AUDITING_CLIENT_TEMPLATE.FAT&amp;display_string=Audit&amp;VAR:KEY=MPYXMHCVGL&amp;VAR:QUERY=UkdGX1RBWF9SQVRFKEFOTiwwLCwsLCwsTk9BVURJVCk=&amp;WINDOW=FIRST_POPUP&amp;HEIGHT=450&amp;WIDTH=450&amp;","START_MAXIMIZED=FALSE&amp;VAR:CALENDAR=US&amp;VAR:SYMBOL=OPEN&amp;VAR:INDEX=0"}</definedName>
    <definedName name="_2918__FDSAUDITLINK__" hidden="1">{"fdsup://directions/FAT Viewer?action=UPDATE&amp;creator=factset&amp;DYN_ARGS=TRUE&amp;DOC_NAME=FAT:FQL_AUDITING_CLIENT_TEMPLATE.FAT&amp;display_string=Audit&amp;VAR:KEY=MPYXMHCVGL&amp;VAR:QUERY=UkdGX1RBWF9SQVRFKEFOTiwwLCwsLCwsTk9BVURJVCk=&amp;WINDOW=FIRST_POPUP&amp;HEIGHT=450&amp;WIDTH=450&amp;","START_MAXIMIZED=FALSE&amp;VAR:CALENDAR=US&amp;VAR:SYMBOL=OPEN&amp;VAR:INDEX=0"}</definedName>
    <definedName name="_2919__FDSAUDITLINK__" localSheetId="3" hidden="1">{"fdsup://directions/FAT Viewer?action=UPDATE&amp;creator=factset&amp;DYN_ARGS=TRUE&amp;DOC_NAME=FAT:FQL_AUDITING_CLIENT_TEMPLATE.FAT&amp;display_string=Audit&amp;VAR:KEY=WFUXIFGJAL&amp;VAR:QUERY=UkdGX1RBWF9SQVRFKEFOTiwwLCwsLCwsTk9BVURJVCk=&amp;WINDOW=FIRST_POPUP&amp;HEIGHT=450&amp;WIDTH=450&amp;","START_MAXIMIZED=FALSE&amp;VAR:CALENDAR=US&amp;VAR:SYMBOL=NUAN&amp;VAR:INDEX=0"}</definedName>
    <definedName name="_2919__FDSAUDITLINK__" localSheetId="7" hidden="1">{"fdsup://directions/FAT Viewer?action=UPDATE&amp;creator=factset&amp;DYN_ARGS=TRUE&amp;DOC_NAME=FAT:FQL_AUDITING_CLIENT_TEMPLATE.FAT&amp;display_string=Audit&amp;VAR:KEY=WFUXIFGJAL&amp;VAR:QUERY=UkdGX1RBWF9SQVRFKEFOTiwwLCwsLCwsTk9BVURJVCk=&amp;WINDOW=FIRST_POPUP&amp;HEIGHT=450&amp;WIDTH=450&amp;","START_MAXIMIZED=FALSE&amp;VAR:CALENDAR=US&amp;VAR:SYMBOL=NUAN&amp;VAR:INDEX=0"}</definedName>
    <definedName name="_2919__FDSAUDITLINK__" hidden="1">{"fdsup://directions/FAT Viewer?action=UPDATE&amp;creator=factset&amp;DYN_ARGS=TRUE&amp;DOC_NAME=FAT:FQL_AUDITING_CLIENT_TEMPLATE.FAT&amp;display_string=Audit&amp;VAR:KEY=WFUXIFGJAL&amp;VAR:QUERY=UkdGX1RBWF9SQVRFKEFOTiwwLCwsLCwsTk9BVURJVCk=&amp;WINDOW=FIRST_POPUP&amp;HEIGHT=450&amp;WIDTH=450&amp;","START_MAXIMIZED=FALSE&amp;VAR:CALENDAR=US&amp;VAR:SYMBOL=NUAN&amp;VAR:INDEX=0"}</definedName>
    <definedName name="_292__FDSAUDITLINK__" localSheetId="3" hidden="1">{"fdsup://directions/FAT Viewer?action=UPDATE&amp;creator=factset&amp;DYN_ARGS=TRUE&amp;DOC_NAME=FAT:FQL_AUDITING_CLIENT_TEMPLATE.FAT&amp;display_string=Audit&amp;VAR:KEY=YHAXOJMNAT&amp;VAR:QUERY=RkZfTkVUX0lOQyhMVE0sMCwsLCwsTSk=&amp;WINDOW=FIRST_POPUP&amp;HEIGHT=450&amp;WIDTH=450&amp;START_MAXIMI","ZED=FALSE&amp;VAR:CALENDAR=US&amp;VAR:SYMBOL=B29VWQ&amp;VAR:INDEX=0"}</definedName>
    <definedName name="_292__FDSAUDITLINK__" localSheetId="7" hidden="1">{"fdsup://directions/FAT Viewer?action=UPDATE&amp;creator=factset&amp;DYN_ARGS=TRUE&amp;DOC_NAME=FAT:FQL_AUDITING_CLIENT_TEMPLATE.FAT&amp;display_string=Audit&amp;VAR:KEY=YHAXOJMNAT&amp;VAR:QUERY=RkZfTkVUX0lOQyhMVE0sMCwsLCwsTSk=&amp;WINDOW=FIRST_POPUP&amp;HEIGHT=450&amp;WIDTH=450&amp;START_MAXIMI","ZED=FALSE&amp;VAR:CALENDAR=US&amp;VAR:SYMBOL=B29VWQ&amp;VAR:INDEX=0"}</definedName>
    <definedName name="_292__FDSAUDITLINK__" hidden="1">{"fdsup://directions/FAT Viewer?action=UPDATE&amp;creator=factset&amp;DYN_ARGS=TRUE&amp;DOC_NAME=FAT:FQL_AUDITING_CLIENT_TEMPLATE.FAT&amp;display_string=Audit&amp;VAR:KEY=YHAXOJMNAT&amp;VAR:QUERY=RkZfTkVUX0lOQyhMVE0sMCwsLCwsTSk=&amp;WINDOW=FIRST_POPUP&amp;HEIGHT=450&amp;WIDTH=450&amp;START_MAXIMI","ZED=FALSE&amp;VAR:CALENDAR=US&amp;VAR:SYMBOL=B29VWQ&amp;VAR:INDEX=0"}</definedName>
    <definedName name="_2920__FDSAUDITLINK__" localSheetId="3" hidden="1">{"fdsup://directions/FAT Viewer?action=UPDATE&amp;creator=factset&amp;DYN_ARGS=TRUE&amp;DOC_NAME=FAT:FQL_AUDITING_CLIENT_TEMPLATE.FAT&amp;display_string=Audit&amp;VAR:KEY=EVIFAZCRML&amp;VAR:QUERY=UkdGX1RBWF9SQVRFKEFOTiwwLCwsLCwsTk9BVURJVCk=&amp;WINDOW=FIRST_POPUP&amp;HEIGHT=450&amp;WIDTH=450&amp;","START_MAXIMIZED=FALSE&amp;VAR:CALENDAR=US&amp;VAR:SYMBOL=NOVL&amp;VAR:INDEX=0"}</definedName>
    <definedName name="_2920__FDSAUDITLINK__" localSheetId="7" hidden="1">{"fdsup://directions/FAT Viewer?action=UPDATE&amp;creator=factset&amp;DYN_ARGS=TRUE&amp;DOC_NAME=FAT:FQL_AUDITING_CLIENT_TEMPLATE.FAT&amp;display_string=Audit&amp;VAR:KEY=EVIFAZCRML&amp;VAR:QUERY=UkdGX1RBWF9SQVRFKEFOTiwwLCwsLCwsTk9BVURJVCk=&amp;WINDOW=FIRST_POPUP&amp;HEIGHT=450&amp;WIDTH=450&amp;","START_MAXIMIZED=FALSE&amp;VAR:CALENDAR=US&amp;VAR:SYMBOL=NOVL&amp;VAR:INDEX=0"}</definedName>
    <definedName name="_2920__FDSAUDITLINK__" hidden="1">{"fdsup://directions/FAT Viewer?action=UPDATE&amp;creator=factset&amp;DYN_ARGS=TRUE&amp;DOC_NAME=FAT:FQL_AUDITING_CLIENT_TEMPLATE.FAT&amp;display_string=Audit&amp;VAR:KEY=EVIFAZCRML&amp;VAR:QUERY=UkdGX1RBWF9SQVRFKEFOTiwwLCwsLCwsTk9BVURJVCk=&amp;WINDOW=FIRST_POPUP&amp;HEIGHT=450&amp;WIDTH=450&amp;","START_MAXIMIZED=FALSE&amp;VAR:CALENDAR=US&amp;VAR:SYMBOL=NOVL&amp;VAR:INDEX=0"}</definedName>
    <definedName name="_2921__FDSAUDITLINK__" localSheetId="3" hidden="1">{"fdsup://directions/FAT Viewer?action=UPDATE&amp;creator=factset&amp;DYN_ARGS=TRUE&amp;DOC_NAME=FAT:FQL_AUDITING_CLIENT_TEMPLATE.FAT&amp;display_string=Audit&amp;VAR:KEY=EVIFAZCRML&amp;VAR:QUERY=UkdGX1RBWF9SQVRFKEFOTiwwLCwsLCwsTk9BVURJVCk=&amp;WINDOW=FIRST_POPUP&amp;HEIGHT=450&amp;WIDTH=450&amp;","START_MAXIMIZED=FALSE&amp;VAR:CALENDAR=US&amp;VAR:SYMBOL=NOVL&amp;VAR:INDEX=0"}</definedName>
    <definedName name="_2921__FDSAUDITLINK__" localSheetId="7" hidden="1">{"fdsup://directions/FAT Viewer?action=UPDATE&amp;creator=factset&amp;DYN_ARGS=TRUE&amp;DOC_NAME=FAT:FQL_AUDITING_CLIENT_TEMPLATE.FAT&amp;display_string=Audit&amp;VAR:KEY=EVIFAZCRML&amp;VAR:QUERY=UkdGX1RBWF9SQVRFKEFOTiwwLCwsLCwsTk9BVURJVCk=&amp;WINDOW=FIRST_POPUP&amp;HEIGHT=450&amp;WIDTH=450&amp;","START_MAXIMIZED=FALSE&amp;VAR:CALENDAR=US&amp;VAR:SYMBOL=NOVL&amp;VAR:INDEX=0"}</definedName>
    <definedName name="_2921__FDSAUDITLINK__" hidden="1">{"fdsup://directions/FAT Viewer?action=UPDATE&amp;creator=factset&amp;DYN_ARGS=TRUE&amp;DOC_NAME=FAT:FQL_AUDITING_CLIENT_TEMPLATE.FAT&amp;display_string=Audit&amp;VAR:KEY=EVIFAZCRML&amp;VAR:QUERY=UkdGX1RBWF9SQVRFKEFOTiwwLCwsLCwsTk9BVURJVCk=&amp;WINDOW=FIRST_POPUP&amp;HEIGHT=450&amp;WIDTH=450&amp;","START_MAXIMIZED=FALSE&amp;VAR:CALENDAR=US&amp;VAR:SYMBOL=NOVL&amp;VAR:INDEX=0"}</definedName>
    <definedName name="_2922__FDSAUDITLINK__" localSheetId="3" hidden="1">{"fdsup://directions/FAT Viewer?action=UPDATE&amp;creator=factset&amp;DYN_ARGS=TRUE&amp;DOC_NAME=FAT:FQL_AUDITING_CLIENT_TEMPLATE.FAT&amp;display_string=Audit&amp;VAR:KEY=UFYPYZCDKF&amp;VAR:QUERY=UkdGX1RBWF9SQVRFKEFOTiwwLCwsLCwsTk9BVURJVCk=&amp;WINDOW=FIRST_POPUP&amp;HEIGHT=450&amp;WIDTH=450&amp;","START_MAXIMIZED=FALSE&amp;VAR:CALENDAR=US&amp;VAR:SYMBOL=590294&amp;VAR:INDEX=0"}</definedName>
    <definedName name="_2922__FDSAUDITLINK__" localSheetId="7" hidden="1">{"fdsup://directions/FAT Viewer?action=UPDATE&amp;creator=factset&amp;DYN_ARGS=TRUE&amp;DOC_NAME=FAT:FQL_AUDITING_CLIENT_TEMPLATE.FAT&amp;display_string=Audit&amp;VAR:KEY=UFYPYZCDKF&amp;VAR:QUERY=UkdGX1RBWF9SQVRFKEFOTiwwLCwsLCwsTk9BVURJVCk=&amp;WINDOW=FIRST_POPUP&amp;HEIGHT=450&amp;WIDTH=450&amp;","START_MAXIMIZED=FALSE&amp;VAR:CALENDAR=US&amp;VAR:SYMBOL=590294&amp;VAR:INDEX=0"}</definedName>
    <definedName name="_2922__FDSAUDITLINK__" hidden="1">{"fdsup://directions/FAT Viewer?action=UPDATE&amp;creator=factset&amp;DYN_ARGS=TRUE&amp;DOC_NAME=FAT:FQL_AUDITING_CLIENT_TEMPLATE.FAT&amp;display_string=Audit&amp;VAR:KEY=UFYPYZCDKF&amp;VAR:QUERY=UkdGX1RBWF9SQVRFKEFOTiwwLCwsLCwsTk9BVURJVCk=&amp;WINDOW=FIRST_POPUP&amp;HEIGHT=450&amp;WIDTH=450&amp;","START_MAXIMIZED=FALSE&amp;VAR:CALENDAR=US&amp;VAR:SYMBOL=590294&amp;VAR:INDEX=0"}</definedName>
    <definedName name="_2923__FDSAUDITLINK__" localSheetId="3" hidden="1">{"fdsup://directions/FAT Viewer?action=UPDATE&amp;creator=factset&amp;DYN_ARGS=TRUE&amp;DOC_NAME=FAT:FQL_AUDITING_CLIENT_TEMPLATE.FAT&amp;display_string=Audit&amp;VAR:KEY=UFYPYZCDKF&amp;VAR:QUERY=UkdGX1RBWF9SQVRFKEFOTiwwLCwsLCwsTk9BVURJVCk=&amp;WINDOW=FIRST_POPUP&amp;HEIGHT=450&amp;WIDTH=450&amp;","START_MAXIMIZED=FALSE&amp;VAR:CALENDAR=US&amp;VAR:SYMBOL=590294&amp;VAR:INDEX=0"}</definedName>
    <definedName name="_2923__FDSAUDITLINK__" localSheetId="7" hidden="1">{"fdsup://directions/FAT Viewer?action=UPDATE&amp;creator=factset&amp;DYN_ARGS=TRUE&amp;DOC_NAME=FAT:FQL_AUDITING_CLIENT_TEMPLATE.FAT&amp;display_string=Audit&amp;VAR:KEY=UFYPYZCDKF&amp;VAR:QUERY=UkdGX1RBWF9SQVRFKEFOTiwwLCwsLCwsTk9BVURJVCk=&amp;WINDOW=FIRST_POPUP&amp;HEIGHT=450&amp;WIDTH=450&amp;","START_MAXIMIZED=FALSE&amp;VAR:CALENDAR=US&amp;VAR:SYMBOL=590294&amp;VAR:INDEX=0"}</definedName>
    <definedName name="_2923__FDSAUDITLINK__" hidden="1">{"fdsup://directions/FAT Viewer?action=UPDATE&amp;creator=factset&amp;DYN_ARGS=TRUE&amp;DOC_NAME=FAT:FQL_AUDITING_CLIENT_TEMPLATE.FAT&amp;display_string=Audit&amp;VAR:KEY=UFYPYZCDKF&amp;VAR:QUERY=UkdGX1RBWF9SQVRFKEFOTiwwLCwsLCwsTk9BVURJVCk=&amp;WINDOW=FIRST_POPUP&amp;HEIGHT=450&amp;WIDTH=450&amp;","START_MAXIMIZED=FALSE&amp;VAR:CALENDAR=US&amp;VAR:SYMBOL=590294&amp;VAR:INDEX=0"}</definedName>
    <definedName name="_2924__FDSAUDITLINK__" localSheetId="3" hidden="1">{"fdsup://directions/FAT Viewer?action=UPDATE&amp;creator=factset&amp;DYN_ARGS=TRUE&amp;DOC_NAME=FAT:FQL_AUDITING_CLIENT_TEMPLATE.FAT&amp;display_string=Audit&amp;VAR:KEY=GVKFIVWRWV&amp;VAR:QUERY=UkdGX1RBWF9SQVRFKEFOTiwwLCwsLCwsTk9BVURJVCk=&amp;WINDOW=FIRST_POPUP&amp;HEIGHT=450&amp;WIDTH=450&amp;","START_MAXIMIZED=FALSE&amp;VAR:CALENDAR=US&amp;VAR:SYMBOL=NSR&amp;VAR:INDEX=0"}</definedName>
    <definedName name="_2924__FDSAUDITLINK__" localSheetId="7" hidden="1">{"fdsup://directions/FAT Viewer?action=UPDATE&amp;creator=factset&amp;DYN_ARGS=TRUE&amp;DOC_NAME=FAT:FQL_AUDITING_CLIENT_TEMPLATE.FAT&amp;display_string=Audit&amp;VAR:KEY=GVKFIVWRWV&amp;VAR:QUERY=UkdGX1RBWF9SQVRFKEFOTiwwLCwsLCwsTk9BVURJVCk=&amp;WINDOW=FIRST_POPUP&amp;HEIGHT=450&amp;WIDTH=450&amp;","START_MAXIMIZED=FALSE&amp;VAR:CALENDAR=US&amp;VAR:SYMBOL=NSR&amp;VAR:INDEX=0"}</definedName>
    <definedName name="_2924__FDSAUDITLINK__" hidden="1">{"fdsup://directions/FAT Viewer?action=UPDATE&amp;creator=factset&amp;DYN_ARGS=TRUE&amp;DOC_NAME=FAT:FQL_AUDITING_CLIENT_TEMPLATE.FAT&amp;display_string=Audit&amp;VAR:KEY=GVKFIVWRWV&amp;VAR:QUERY=UkdGX1RBWF9SQVRFKEFOTiwwLCwsLCwsTk9BVURJVCk=&amp;WINDOW=FIRST_POPUP&amp;HEIGHT=450&amp;WIDTH=450&amp;","START_MAXIMIZED=FALSE&amp;VAR:CALENDAR=US&amp;VAR:SYMBOL=NSR&amp;VAR:INDEX=0"}</definedName>
    <definedName name="_2925__FDSAUDITLINK__" localSheetId="3" hidden="1">{"fdsup://directions/FAT Viewer?action=UPDATE&amp;creator=factset&amp;DYN_ARGS=TRUE&amp;DOC_NAME=FAT:FQL_AUDITING_CLIENT_TEMPLATE.FAT&amp;display_string=Audit&amp;VAR:KEY=GVKFIVWRWV&amp;VAR:QUERY=UkdGX1RBWF9SQVRFKEFOTiwwLCwsLCwsTk9BVURJVCk=&amp;WINDOW=FIRST_POPUP&amp;HEIGHT=450&amp;WIDTH=450&amp;","START_MAXIMIZED=FALSE&amp;VAR:CALENDAR=US&amp;VAR:SYMBOL=NSR&amp;VAR:INDEX=0"}</definedName>
    <definedName name="_2925__FDSAUDITLINK__" localSheetId="7" hidden="1">{"fdsup://directions/FAT Viewer?action=UPDATE&amp;creator=factset&amp;DYN_ARGS=TRUE&amp;DOC_NAME=FAT:FQL_AUDITING_CLIENT_TEMPLATE.FAT&amp;display_string=Audit&amp;VAR:KEY=GVKFIVWRWV&amp;VAR:QUERY=UkdGX1RBWF9SQVRFKEFOTiwwLCwsLCwsTk9BVURJVCk=&amp;WINDOW=FIRST_POPUP&amp;HEIGHT=450&amp;WIDTH=450&amp;","START_MAXIMIZED=FALSE&amp;VAR:CALENDAR=US&amp;VAR:SYMBOL=NSR&amp;VAR:INDEX=0"}</definedName>
    <definedName name="_2925__FDSAUDITLINK__" hidden="1">{"fdsup://directions/FAT Viewer?action=UPDATE&amp;creator=factset&amp;DYN_ARGS=TRUE&amp;DOC_NAME=FAT:FQL_AUDITING_CLIENT_TEMPLATE.FAT&amp;display_string=Audit&amp;VAR:KEY=GVKFIVWRWV&amp;VAR:QUERY=UkdGX1RBWF9SQVRFKEFOTiwwLCwsLCwsTk9BVURJVCk=&amp;WINDOW=FIRST_POPUP&amp;HEIGHT=450&amp;WIDTH=450&amp;","START_MAXIMIZED=FALSE&amp;VAR:CALENDAR=US&amp;VAR:SYMBOL=NSR&amp;VAR:INDEX=0"}</definedName>
    <definedName name="_2926__FDSAUDITLINK__" localSheetId="3" hidden="1">{"fdsup://directions/FAT Viewer?action=UPDATE&amp;creator=factset&amp;DYN_ARGS=TRUE&amp;DOC_NAME=FAT:FQL_AUDITING_CLIENT_TEMPLATE.FAT&amp;display_string=Audit&amp;VAR:KEY=QHGHCRULYN&amp;VAR:QUERY=UkdGX1RBWF9SQVRFKEFOTiwwLCwsLCwsTk9BVURJVCk=&amp;WINDOW=FIRST_POPUP&amp;HEIGHT=450&amp;WIDTH=450&amp;","START_MAXIMIZED=FALSE&amp;VAR:CALENDAR=US&amp;VAR:SYMBOL=N&amp;VAR:INDEX=0"}</definedName>
    <definedName name="_2926__FDSAUDITLINK__" localSheetId="7" hidden="1">{"fdsup://directions/FAT Viewer?action=UPDATE&amp;creator=factset&amp;DYN_ARGS=TRUE&amp;DOC_NAME=FAT:FQL_AUDITING_CLIENT_TEMPLATE.FAT&amp;display_string=Audit&amp;VAR:KEY=QHGHCRULYN&amp;VAR:QUERY=UkdGX1RBWF9SQVRFKEFOTiwwLCwsLCwsTk9BVURJVCk=&amp;WINDOW=FIRST_POPUP&amp;HEIGHT=450&amp;WIDTH=450&amp;","START_MAXIMIZED=FALSE&amp;VAR:CALENDAR=US&amp;VAR:SYMBOL=N&amp;VAR:INDEX=0"}</definedName>
    <definedName name="_2926__FDSAUDITLINK__" hidden="1">{"fdsup://directions/FAT Viewer?action=UPDATE&amp;creator=factset&amp;DYN_ARGS=TRUE&amp;DOC_NAME=FAT:FQL_AUDITING_CLIENT_TEMPLATE.FAT&amp;display_string=Audit&amp;VAR:KEY=QHGHCRULYN&amp;VAR:QUERY=UkdGX1RBWF9SQVRFKEFOTiwwLCwsLCwsTk9BVURJVCk=&amp;WINDOW=FIRST_POPUP&amp;HEIGHT=450&amp;WIDTH=450&amp;","START_MAXIMIZED=FALSE&amp;VAR:CALENDAR=US&amp;VAR:SYMBOL=N&amp;VAR:INDEX=0"}</definedName>
    <definedName name="_2927__FDSAUDITLINK__" localSheetId="3" hidden="1">{"fdsup://directions/FAT Viewer?action=UPDATE&amp;creator=factset&amp;DYN_ARGS=TRUE&amp;DOC_NAME=FAT:FQL_AUDITING_CLIENT_TEMPLATE.FAT&amp;display_string=Audit&amp;VAR:KEY=GHMPOZGXIH&amp;VAR:QUERY=UkdGX1RBWF9SQVRFKEFOTiwwLCwsLCwsTk9BVURJVCk=&amp;WINDOW=FIRST_POPUP&amp;HEIGHT=450&amp;WIDTH=450&amp;","START_MAXIMIZED=FALSE&amp;VAR:CALENDAR=US&amp;VAR:SYMBOL=NFLX&amp;VAR:INDEX=0"}</definedName>
    <definedName name="_2927__FDSAUDITLINK__" localSheetId="7" hidden="1">{"fdsup://directions/FAT Viewer?action=UPDATE&amp;creator=factset&amp;DYN_ARGS=TRUE&amp;DOC_NAME=FAT:FQL_AUDITING_CLIENT_TEMPLATE.FAT&amp;display_string=Audit&amp;VAR:KEY=GHMPOZGXIH&amp;VAR:QUERY=UkdGX1RBWF9SQVRFKEFOTiwwLCwsLCwsTk9BVURJVCk=&amp;WINDOW=FIRST_POPUP&amp;HEIGHT=450&amp;WIDTH=450&amp;","START_MAXIMIZED=FALSE&amp;VAR:CALENDAR=US&amp;VAR:SYMBOL=NFLX&amp;VAR:INDEX=0"}</definedName>
    <definedName name="_2927__FDSAUDITLINK__" hidden="1">{"fdsup://directions/FAT Viewer?action=UPDATE&amp;creator=factset&amp;DYN_ARGS=TRUE&amp;DOC_NAME=FAT:FQL_AUDITING_CLIENT_TEMPLATE.FAT&amp;display_string=Audit&amp;VAR:KEY=GHMPOZGXIH&amp;VAR:QUERY=UkdGX1RBWF9SQVRFKEFOTiwwLCwsLCwsTk9BVURJVCk=&amp;WINDOW=FIRST_POPUP&amp;HEIGHT=450&amp;WIDTH=450&amp;","START_MAXIMIZED=FALSE&amp;VAR:CALENDAR=US&amp;VAR:SYMBOL=NFLX&amp;VAR:INDEX=0"}</definedName>
    <definedName name="_2928__FDSAUDITLINK__" localSheetId="3" hidden="1">{"fdsup://directions/FAT Viewer?action=UPDATE&amp;creator=factset&amp;DYN_ARGS=TRUE&amp;DOC_NAME=FAT:FQL_AUDITING_CLIENT_TEMPLATE.FAT&amp;display_string=Audit&amp;VAR:KEY=GHMPOZGXIH&amp;VAR:QUERY=UkdGX1RBWF9SQVRFKEFOTiwwLCwsLCwsTk9BVURJVCk=&amp;WINDOW=FIRST_POPUP&amp;HEIGHT=450&amp;WIDTH=450&amp;","START_MAXIMIZED=FALSE&amp;VAR:CALENDAR=US&amp;VAR:SYMBOL=NFLX&amp;VAR:INDEX=0"}</definedName>
    <definedName name="_2928__FDSAUDITLINK__" localSheetId="7" hidden="1">{"fdsup://directions/FAT Viewer?action=UPDATE&amp;creator=factset&amp;DYN_ARGS=TRUE&amp;DOC_NAME=FAT:FQL_AUDITING_CLIENT_TEMPLATE.FAT&amp;display_string=Audit&amp;VAR:KEY=GHMPOZGXIH&amp;VAR:QUERY=UkdGX1RBWF9SQVRFKEFOTiwwLCwsLCwsTk9BVURJVCk=&amp;WINDOW=FIRST_POPUP&amp;HEIGHT=450&amp;WIDTH=450&amp;","START_MAXIMIZED=FALSE&amp;VAR:CALENDAR=US&amp;VAR:SYMBOL=NFLX&amp;VAR:INDEX=0"}</definedName>
    <definedName name="_2928__FDSAUDITLINK__" hidden="1">{"fdsup://directions/FAT Viewer?action=UPDATE&amp;creator=factset&amp;DYN_ARGS=TRUE&amp;DOC_NAME=FAT:FQL_AUDITING_CLIENT_TEMPLATE.FAT&amp;display_string=Audit&amp;VAR:KEY=GHMPOZGXIH&amp;VAR:QUERY=UkdGX1RBWF9SQVRFKEFOTiwwLCwsLCwsTk9BVURJVCk=&amp;WINDOW=FIRST_POPUP&amp;HEIGHT=450&amp;WIDTH=450&amp;","START_MAXIMIZED=FALSE&amp;VAR:CALENDAR=US&amp;VAR:SYMBOL=NFLX&amp;VAR:INDEX=0"}</definedName>
    <definedName name="_2929__FDSAUDITLINK__" localSheetId="3" hidden="1">{"fdsup://directions/FAT Viewer?action=UPDATE&amp;creator=factset&amp;DYN_ARGS=TRUE&amp;DOC_NAME=FAT:FQL_AUDITING_CLIENT_TEMPLATE.FAT&amp;display_string=Audit&amp;VAR:KEY=CBCPIFYHKV&amp;VAR:QUERY=UkdGX1RBWF9SQVRFKEFOTiwwLCwsLCwsTk9BVURJVCk=&amp;WINDOW=FIRST_POPUP&amp;HEIGHT=450&amp;WIDTH=450&amp;","START_MAXIMIZED=FALSE&amp;VAR:CALENDAR=US&amp;VAR:SYMBOL=NTAP&amp;VAR:INDEX=0"}</definedName>
    <definedName name="_2929__FDSAUDITLINK__" localSheetId="7" hidden="1">{"fdsup://directions/FAT Viewer?action=UPDATE&amp;creator=factset&amp;DYN_ARGS=TRUE&amp;DOC_NAME=FAT:FQL_AUDITING_CLIENT_TEMPLATE.FAT&amp;display_string=Audit&amp;VAR:KEY=CBCPIFYHKV&amp;VAR:QUERY=UkdGX1RBWF9SQVRFKEFOTiwwLCwsLCwsTk9BVURJVCk=&amp;WINDOW=FIRST_POPUP&amp;HEIGHT=450&amp;WIDTH=450&amp;","START_MAXIMIZED=FALSE&amp;VAR:CALENDAR=US&amp;VAR:SYMBOL=NTAP&amp;VAR:INDEX=0"}</definedName>
    <definedName name="_2929__FDSAUDITLINK__" hidden="1">{"fdsup://directions/FAT Viewer?action=UPDATE&amp;creator=factset&amp;DYN_ARGS=TRUE&amp;DOC_NAME=FAT:FQL_AUDITING_CLIENT_TEMPLATE.FAT&amp;display_string=Audit&amp;VAR:KEY=CBCPIFYHKV&amp;VAR:QUERY=UkdGX1RBWF9SQVRFKEFOTiwwLCwsLCwsTk9BVURJVCk=&amp;WINDOW=FIRST_POPUP&amp;HEIGHT=450&amp;WIDTH=450&amp;","START_MAXIMIZED=FALSE&amp;VAR:CALENDAR=US&amp;VAR:SYMBOL=NTAP&amp;VAR:INDEX=0"}</definedName>
    <definedName name="_293__FDSAUDITLINK__" localSheetId="3" hidden="1">{"fdsup://directions/FAT Viewer?action=UPDATE&amp;creator=factset&amp;DYN_ARGS=TRUE&amp;DOC_NAME=FAT:FQL_AUDITING_CLIENT_TEMPLATE.FAT&amp;display_string=Audit&amp;VAR:KEY=VQHOZYFIPC&amp;VAR:QUERY=RkZfTkVUX0lOQyhMVE0sMCwsLCwsTSk=&amp;WINDOW=FIRST_POPUP&amp;HEIGHT=450&amp;WIDTH=450&amp;START_MAXIMI","ZED=FALSE&amp;VAR:CALENDAR=US&amp;VAR:SYMBOL=B17MHG&amp;VAR:INDEX=0"}</definedName>
    <definedName name="_293__FDSAUDITLINK__" localSheetId="7" hidden="1">{"fdsup://directions/FAT Viewer?action=UPDATE&amp;creator=factset&amp;DYN_ARGS=TRUE&amp;DOC_NAME=FAT:FQL_AUDITING_CLIENT_TEMPLATE.FAT&amp;display_string=Audit&amp;VAR:KEY=VQHOZYFIPC&amp;VAR:QUERY=RkZfTkVUX0lOQyhMVE0sMCwsLCwsTSk=&amp;WINDOW=FIRST_POPUP&amp;HEIGHT=450&amp;WIDTH=450&amp;START_MAXIMI","ZED=FALSE&amp;VAR:CALENDAR=US&amp;VAR:SYMBOL=B17MHG&amp;VAR:INDEX=0"}</definedName>
    <definedName name="_293__FDSAUDITLINK__" hidden="1">{"fdsup://directions/FAT Viewer?action=UPDATE&amp;creator=factset&amp;DYN_ARGS=TRUE&amp;DOC_NAME=FAT:FQL_AUDITING_CLIENT_TEMPLATE.FAT&amp;display_string=Audit&amp;VAR:KEY=VQHOZYFIPC&amp;VAR:QUERY=RkZfTkVUX0lOQyhMVE0sMCwsLCwsTSk=&amp;WINDOW=FIRST_POPUP&amp;HEIGHT=450&amp;WIDTH=450&amp;START_MAXIMI","ZED=FALSE&amp;VAR:CALENDAR=US&amp;VAR:SYMBOL=B17MHG&amp;VAR:INDEX=0"}</definedName>
    <definedName name="_2930__FDSAUDITLINK__" localSheetId="3" hidden="1">{"fdsup://directions/FAT Viewer?action=UPDATE&amp;creator=factset&amp;DYN_ARGS=TRUE&amp;DOC_NAME=FAT:FQL_AUDITING_CLIENT_TEMPLATE.FAT&amp;display_string=Audit&amp;VAR:KEY=CBCPIFYHKV&amp;VAR:QUERY=UkdGX1RBWF9SQVRFKEFOTiwwLCwsLCwsTk9BVURJVCk=&amp;WINDOW=FIRST_POPUP&amp;HEIGHT=450&amp;WIDTH=450&amp;","START_MAXIMIZED=FALSE&amp;VAR:CALENDAR=US&amp;VAR:SYMBOL=NTAP&amp;VAR:INDEX=0"}</definedName>
    <definedName name="_2930__FDSAUDITLINK__" localSheetId="7" hidden="1">{"fdsup://directions/FAT Viewer?action=UPDATE&amp;creator=factset&amp;DYN_ARGS=TRUE&amp;DOC_NAME=FAT:FQL_AUDITING_CLIENT_TEMPLATE.FAT&amp;display_string=Audit&amp;VAR:KEY=CBCPIFYHKV&amp;VAR:QUERY=UkdGX1RBWF9SQVRFKEFOTiwwLCwsLCwsTk9BVURJVCk=&amp;WINDOW=FIRST_POPUP&amp;HEIGHT=450&amp;WIDTH=450&amp;","START_MAXIMIZED=FALSE&amp;VAR:CALENDAR=US&amp;VAR:SYMBOL=NTAP&amp;VAR:INDEX=0"}</definedName>
    <definedName name="_2930__FDSAUDITLINK__" hidden="1">{"fdsup://directions/FAT Viewer?action=UPDATE&amp;creator=factset&amp;DYN_ARGS=TRUE&amp;DOC_NAME=FAT:FQL_AUDITING_CLIENT_TEMPLATE.FAT&amp;display_string=Audit&amp;VAR:KEY=CBCPIFYHKV&amp;VAR:QUERY=UkdGX1RBWF9SQVRFKEFOTiwwLCwsLCwsTk9BVURJVCk=&amp;WINDOW=FIRST_POPUP&amp;HEIGHT=450&amp;WIDTH=450&amp;","START_MAXIMIZED=FALSE&amp;VAR:CALENDAR=US&amp;VAR:SYMBOL=NTAP&amp;VAR:INDEX=0"}</definedName>
    <definedName name="_2931__FDSAUDITLINK__" localSheetId="3" hidden="1">{"fdsup://directions/FAT Viewer?action=UPDATE&amp;creator=factset&amp;DYN_ARGS=TRUE&amp;DOC_NAME=FAT:FQL_AUDITING_CLIENT_TEMPLATE.FAT&amp;display_string=Audit&amp;VAR:KEY=UXOJKROFSF&amp;VAR:QUERY=UkdGX1RBWF9SQVRFKEFOTiwwLCwsLCwsTk9BVURJVCk=&amp;WINDOW=FIRST_POPUP&amp;HEIGHT=450&amp;WIDTH=450&amp;","START_MAXIMIZED=FALSE&amp;VAR:CALENDAR=US&amp;VAR:SYMBOL=563396&amp;VAR:INDEX=0"}</definedName>
    <definedName name="_2931__FDSAUDITLINK__" localSheetId="7" hidden="1">{"fdsup://directions/FAT Viewer?action=UPDATE&amp;creator=factset&amp;DYN_ARGS=TRUE&amp;DOC_NAME=FAT:FQL_AUDITING_CLIENT_TEMPLATE.FAT&amp;display_string=Audit&amp;VAR:KEY=UXOJKROFSF&amp;VAR:QUERY=UkdGX1RBWF9SQVRFKEFOTiwwLCwsLCwsTk9BVURJVCk=&amp;WINDOW=FIRST_POPUP&amp;HEIGHT=450&amp;WIDTH=450&amp;","START_MAXIMIZED=FALSE&amp;VAR:CALENDAR=US&amp;VAR:SYMBOL=563396&amp;VAR:INDEX=0"}</definedName>
    <definedName name="_2931__FDSAUDITLINK__" hidden="1">{"fdsup://directions/FAT Viewer?action=UPDATE&amp;creator=factset&amp;DYN_ARGS=TRUE&amp;DOC_NAME=FAT:FQL_AUDITING_CLIENT_TEMPLATE.FAT&amp;display_string=Audit&amp;VAR:KEY=UXOJKROFSF&amp;VAR:QUERY=UkdGX1RBWF9SQVRFKEFOTiwwLCwsLCwsTk9BVURJVCk=&amp;WINDOW=FIRST_POPUP&amp;HEIGHT=450&amp;WIDTH=450&amp;","START_MAXIMIZED=FALSE&amp;VAR:CALENDAR=US&amp;VAR:SYMBOL=563396&amp;VAR:INDEX=0"}</definedName>
    <definedName name="_2932__FDSAUDITLINK__" localSheetId="3" hidden="1">{"fdsup://directions/FAT Viewer?action=UPDATE&amp;creator=factset&amp;DYN_ARGS=TRUE&amp;DOC_NAME=FAT:FQL_AUDITING_CLIENT_TEMPLATE.FAT&amp;display_string=Audit&amp;VAR:KEY=UXOJKROFSF&amp;VAR:QUERY=UkdGX1RBWF9SQVRFKEFOTiwwLCwsLCwsTk9BVURJVCk=&amp;WINDOW=FIRST_POPUP&amp;HEIGHT=450&amp;WIDTH=450&amp;","START_MAXIMIZED=FALSE&amp;VAR:CALENDAR=US&amp;VAR:SYMBOL=563396&amp;VAR:INDEX=0"}</definedName>
    <definedName name="_2932__FDSAUDITLINK__" localSheetId="7" hidden="1">{"fdsup://directions/FAT Viewer?action=UPDATE&amp;creator=factset&amp;DYN_ARGS=TRUE&amp;DOC_NAME=FAT:FQL_AUDITING_CLIENT_TEMPLATE.FAT&amp;display_string=Audit&amp;VAR:KEY=UXOJKROFSF&amp;VAR:QUERY=UkdGX1RBWF9SQVRFKEFOTiwwLCwsLCwsTk9BVURJVCk=&amp;WINDOW=FIRST_POPUP&amp;HEIGHT=450&amp;WIDTH=450&amp;","START_MAXIMIZED=FALSE&amp;VAR:CALENDAR=US&amp;VAR:SYMBOL=563396&amp;VAR:INDEX=0"}</definedName>
    <definedName name="_2932__FDSAUDITLINK__" hidden="1">{"fdsup://directions/FAT Viewer?action=UPDATE&amp;creator=factset&amp;DYN_ARGS=TRUE&amp;DOC_NAME=FAT:FQL_AUDITING_CLIENT_TEMPLATE.FAT&amp;display_string=Audit&amp;VAR:KEY=UXOJKROFSF&amp;VAR:QUERY=UkdGX1RBWF9SQVRFKEFOTiwwLCwsLCwsTk9BVURJVCk=&amp;WINDOW=FIRST_POPUP&amp;HEIGHT=450&amp;WIDTH=450&amp;","START_MAXIMIZED=FALSE&amp;VAR:CALENDAR=US&amp;VAR:SYMBOL=563396&amp;VAR:INDEX=0"}</definedName>
    <definedName name="_2933__FDSAUDITLINK__" localSheetId="3" hidden="1">{"fdsup://directions/FAT Viewer?action=UPDATE&amp;creator=factset&amp;DYN_ARGS=TRUE&amp;DOC_NAME=FAT:FQL_AUDITING_CLIENT_TEMPLATE.FAT&amp;display_string=Audit&amp;VAR:KEY=QJAVCPSXKJ&amp;VAR:QUERY=UkdGX1RBWF9SQVRFKEFOTiwwLCwsLCwsTk9BVURJVCk=&amp;WINDOW=FIRST_POPUP&amp;HEIGHT=450&amp;WIDTH=450&amp;","START_MAXIMIZED=FALSE&amp;VAR:CALENDAR=US&amp;VAR:SYMBOL=MOTR&amp;VAR:INDEX=0"}</definedName>
    <definedName name="_2933__FDSAUDITLINK__" localSheetId="7" hidden="1">{"fdsup://directions/FAT Viewer?action=UPDATE&amp;creator=factset&amp;DYN_ARGS=TRUE&amp;DOC_NAME=FAT:FQL_AUDITING_CLIENT_TEMPLATE.FAT&amp;display_string=Audit&amp;VAR:KEY=QJAVCPSXKJ&amp;VAR:QUERY=UkdGX1RBWF9SQVRFKEFOTiwwLCwsLCwsTk9BVURJVCk=&amp;WINDOW=FIRST_POPUP&amp;HEIGHT=450&amp;WIDTH=450&amp;","START_MAXIMIZED=FALSE&amp;VAR:CALENDAR=US&amp;VAR:SYMBOL=MOTR&amp;VAR:INDEX=0"}</definedName>
    <definedName name="_2933__FDSAUDITLINK__" hidden="1">{"fdsup://directions/FAT Viewer?action=UPDATE&amp;creator=factset&amp;DYN_ARGS=TRUE&amp;DOC_NAME=FAT:FQL_AUDITING_CLIENT_TEMPLATE.FAT&amp;display_string=Audit&amp;VAR:KEY=QJAVCPSXKJ&amp;VAR:QUERY=UkdGX1RBWF9SQVRFKEFOTiwwLCwsLCwsTk9BVURJVCk=&amp;WINDOW=FIRST_POPUP&amp;HEIGHT=450&amp;WIDTH=450&amp;","START_MAXIMIZED=FALSE&amp;VAR:CALENDAR=US&amp;VAR:SYMBOL=MOTR&amp;VAR:INDEX=0"}</definedName>
    <definedName name="_2934__FDSAUDITLINK__" localSheetId="3" hidden="1">{"fdsup://directions/FAT Viewer?action=UPDATE&amp;creator=factset&amp;DYN_ARGS=TRUE&amp;DOC_NAME=FAT:FQL_AUDITING_CLIENT_TEMPLATE.FAT&amp;display_string=Audit&amp;VAR:KEY=QXAVQJCFCT&amp;VAR:QUERY=UkdGX1RBWF9SQVRFKEFOTiwwLCwsLCwsTk9BVURJVCk=&amp;WINDOW=FIRST_POPUP&amp;HEIGHT=450&amp;WIDTH=450&amp;","START_MAXIMIZED=FALSE&amp;VAR:CALENDAR=US&amp;VAR:SYMBOL=MOT&amp;VAR:INDEX=0"}</definedName>
    <definedName name="_2934__FDSAUDITLINK__" localSheetId="7" hidden="1">{"fdsup://directions/FAT Viewer?action=UPDATE&amp;creator=factset&amp;DYN_ARGS=TRUE&amp;DOC_NAME=FAT:FQL_AUDITING_CLIENT_TEMPLATE.FAT&amp;display_string=Audit&amp;VAR:KEY=QXAVQJCFCT&amp;VAR:QUERY=UkdGX1RBWF9SQVRFKEFOTiwwLCwsLCwsTk9BVURJVCk=&amp;WINDOW=FIRST_POPUP&amp;HEIGHT=450&amp;WIDTH=450&amp;","START_MAXIMIZED=FALSE&amp;VAR:CALENDAR=US&amp;VAR:SYMBOL=MOT&amp;VAR:INDEX=0"}</definedName>
    <definedName name="_2934__FDSAUDITLINK__" hidden="1">{"fdsup://directions/FAT Viewer?action=UPDATE&amp;creator=factset&amp;DYN_ARGS=TRUE&amp;DOC_NAME=FAT:FQL_AUDITING_CLIENT_TEMPLATE.FAT&amp;display_string=Audit&amp;VAR:KEY=QXAVQJCFCT&amp;VAR:QUERY=UkdGX1RBWF9SQVRFKEFOTiwwLCwsLCwsTk9BVURJVCk=&amp;WINDOW=FIRST_POPUP&amp;HEIGHT=450&amp;WIDTH=450&amp;","START_MAXIMIZED=FALSE&amp;VAR:CALENDAR=US&amp;VAR:SYMBOL=MOT&amp;VAR:INDEX=0"}</definedName>
    <definedName name="_2935__FDSAUDITLINK__" localSheetId="3" hidden="1">{"fdsup://directions/FAT Viewer?action=UPDATE&amp;creator=factset&amp;DYN_ARGS=TRUE&amp;DOC_NAME=FAT:FQL_AUDITING_CLIENT_TEMPLATE.FAT&amp;display_string=Audit&amp;VAR:KEY=QXAVQJCFCT&amp;VAR:QUERY=UkdGX1RBWF9SQVRFKEFOTiwwLCwsLCwsTk9BVURJVCk=&amp;WINDOW=FIRST_POPUP&amp;HEIGHT=450&amp;WIDTH=450&amp;","START_MAXIMIZED=FALSE&amp;VAR:CALENDAR=US&amp;VAR:SYMBOL=MOT&amp;VAR:INDEX=0"}</definedName>
    <definedName name="_2935__FDSAUDITLINK__" localSheetId="7" hidden="1">{"fdsup://directions/FAT Viewer?action=UPDATE&amp;creator=factset&amp;DYN_ARGS=TRUE&amp;DOC_NAME=FAT:FQL_AUDITING_CLIENT_TEMPLATE.FAT&amp;display_string=Audit&amp;VAR:KEY=QXAVQJCFCT&amp;VAR:QUERY=UkdGX1RBWF9SQVRFKEFOTiwwLCwsLCwsTk9BVURJVCk=&amp;WINDOW=FIRST_POPUP&amp;HEIGHT=450&amp;WIDTH=450&amp;","START_MAXIMIZED=FALSE&amp;VAR:CALENDAR=US&amp;VAR:SYMBOL=MOT&amp;VAR:INDEX=0"}</definedName>
    <definedName name="_2935__FDSAUDITLINK__" hidden="1">{"fdsup://directions/FAT Viewer?action=UPDATE&amp;creator=factset&amp;DYN_ARGS=TRUE&amp;DOC_NAME=FAT:FQL_AUDITING_CLIENT_TEMPLATE.FAT&amp;display_string=Audit&amp;VAR:KEY=QXAVQJCFCT&amp;VAR:QUERY=UkdGX1RBWF9SQVRFKEFOTiwwLCwsLCwsTk9BVURJVCk=&amp;WINDOW=FIRST_POPUP&amp;HEIGHT=450&amp;WIDTH=450&amp;","START_MAXIMIZED=FALSE&amp;VAR:CALENDAR=US&amp;VAR:SYMBOL=MOT&amp;VAR:INDEX=0"}</definedName>
    <definedName name="_2936__FDSAUDITLINK__" localSheetId="3" hidden="1">{"fdsup://directions/FAT Viewer?action=UPDATE&amp;creator=factset&amp;DYN_ARGS=TRUE&amp;DOC_NAME=FAT:FQL_AUDITING_CLIENT_TEMPLATE.FAT&amp;display_string=Audit&amp;VAR:KEY=GJUZGDEBGJ&amp;VAR:QUERY=UkdGX1RBWF9SQVRFKEFOTiwwLCwsLCwsTk9BVURJVCk=&amp;WINDOW=FIRST_POPUP&amp;HEIGHT=450&amp;WIDTH=450&amp;","START_MAXIMIZED=FALSE&amp;VAR:CALENDAR=US&amp;VAR:SYMBOL=MNST&amp;VAR:INDEX=0"}</definedName>
    <definedName name="_2936__FDSAUDITLINK__" localSheetId="7" hidden="1">{"fdsup://directions/FAT Viewer?action=UPDATE&amp;creator=factset&amp;DYN_ARGS=TRUE&amp;DOC_NAME=FAT:FQL_AUDITING_CLIENT_TEMPLATE.FAT&amp;display_string=Audit&amp;VAR:KEY=GJUZGDEBGJ&amp;VAR:QUERY=UkdGX1RBWF9SQVRFKEFOTiwwLCwsLCwsTk9BVURJVCk=&amp;WINDOW=FIRST_POPUP&amp;HEIGHT=450&amp;WIDTH=450&amp;","START_MAXIMIZED=FALSE&amp;VAR:CALENDAR=US&amp;VAR:SYMBOL=MNST&amp;VAR:INDEX=0"}</definedName>
    <definedName name="_2936__FDSAUDITLINK__" hidden="1">{"fdsup://directions/FAT Viewer?action=UPDATE&amp;creator=factset&amp;DYN_ARGS=TRUE&amp;DOC_NAME=FAT:FQL_AUDITING_CLIENT_TEMPLATE.FAT&amp;display_string=Audit&amp;VAR:KEY=GJUZGDEBGJ&amp;VAR:QUERY=UkdGX1RBWF9SQVRFKEFOTiwwLCwsLCwsTk9BVURJVCk=&amp;WINDOW=FIRST_POPUP&amp;HEIGHT=450&amp;WIDTH=450&amp;","START_MAXIMIZED=FALSE&amp;VAR:CALENDAR=US&amp;VAR:SYMBOL=MNST&amp;VAR:INDEX=0"}</definedName>
    <definedName name="_2937__FDSAUDITLINK__" localSheetId="3" hidden="1">{"fdsup://directions/FAT Viewer?action=UPDATE&amp;creator=factset&amp;DYN_ARGS=TRUE&amp;DOC_NAME=FAT:FQL_AUDITING_CLIENT_TEMPLATE.FAT&amp;display_string=Audit&amp;VAR:KEY=IJYFODQRML&amp;VAR:QUERY=UkdGX1RBWF9SQVRFKEFOTiwwLCwsLCwsTk9BVURJVCk=&amp;WINDOW=FIRST_POPUP&amp;HEIGHT=450&amp;WIDTH=450&amp;","START_MAXIMIZED=FALSE&amp;VAR:CALENDAR=US&amp;VAR:SYMBOL=MIPS&amp;VAR:INDEX=0"}</definedName>
    <definedName name="_2937__FDSAUDITLINK__" localSheetId="7" hidden="1">{"fdsup://directions/FAT Viewer?action=UPDATE&amp;creator=factset&amp;DYN_ARGS=TRUE&amp;DOC_NAME=FAT:FQL_AUDITING_CLIENT_TEMPLATE.FAT&amp;display_string=Audit&amp;VAR:KEY=IJYFODQRML&amp;VAR:QUERY=UkdGX1RBWF9SQVRFKEFOTiwwLCwsLCwsTk9BVURJVCk=&amp;WINDOW=FIRST_POPUP&amp;HEIGHT=450&amp;WIDTH=450&amp;","START_MAXIMIZED=FALSE&amp;VAR:CALENDAR=US&amp;VAR:SYMBOL=MIPS&amp;VAR:INDEX=0"}</definedName>
    <definedName name="_2937__FDSAUDITLINK__" hidden="1">{"fdsup://directions/FAT Viewer?action=UPDATE&amp;creator=factset&amp;DYN_ARGS=TRUE&amp;DOC_NAME=FAT:FQL_AUDITING_CLIENT_TEMPLATE.FAT&amp;display_string=Audit&amp;VAR:KEY=IJYFODQRML&amp;VAR:QUERY=UkdGX1RBWF9SQVRFKEFOTiwwLCwsLCwsTk9BVURJVCk=&amp;WINDOW=FIRST_POPUP&amp;HEIGHT=450&amp;WIDTH=450&amp;","START_MAXIMIZED=FALSE&amp;VAR:CALENDAR=US&amp;VAR:SYMBOL=MIPS&amp;VAR:INDEX=0"}</definedName>
    <definedName name="_2938__FDSAUDITLINK__" localSheetId="3" hidden="1">{"fdsup://directions/FAT Viewer?action=UPDATE&amp;creator=factset&amp;DYN_ARGS=TRUE&amp;DOC_NAME=FAT:FQL_AUDITING_CLIENT_TEMPLATE.FAT&amp;display_string=Audit&amp;VAR:KEY=IJYFODQRML&amp;VAR:QUERY=UkdGX1RBWF9SQVRFKEFOTiwwLCwsLCwsTk9BVURJVCk=&amp;WINDOW=FIRST_POPUP&amp;HEIGHT=450&amp;WIDTH=450&amp;","START_MAXIMIZED=FALSE&amp;VAR:CALENDAR=US&amp;VAR:SYMBOL=MIPS&amp;VAR:INDEX=0"}</definedName>
    <definedName name="_2938__FDSAUDITLINK__" localSheetId="7" hidden="1">{"fdsup://directions/FAT Viewer?action=UPDATE&amp;creator=factset&amp;DYN_ARGS=TRUE&amp;DOC_NAME=FAT:FQL_AUDITING_CLIENT_TEMPLATE.FAT&amp;display_string=Audit&amp;VAR:KEY=IJYFODQRML&amp;VAR:QUERY=UkdGX1RBWF9SQVRFKEFOTiwwLCwsLCwsTk9BVURJVCk=&amp;WINDOW=FIRST_POPUP&amp;HEIGHT=450&amp;WIDTH=450&amp;","START_MAXIMIZED=FALSE&amp;VAR:CALENDAR=US&amp;VAR:SYMBOL=MIPS&amp;VAR:INDEX=0"}</definedName>
    <definedName name="_2938__FDSAUDITLINK__" hidden="1">{"fdsup://directions/FAT Viewer?action=UPDATE&amp;creator=factset&amp;DYN_ARGS=TRUE&amp;DOC_NAME=FAT:FQL_AUDITING_CLIENT_TEMPLATE.FAT&amp;display_string=Audit&amp;VAR:KEY=IJYFODQRML&amp;VAR:QUERY=UkdGX1RBWF9SQVRFKEFOTiwwLCwsLCwsTk9BVURJVCk=&amp;WINDOW=FIRST_POPUP&amp;HEIGHT=450&amp;WIDTH=450&amp;","START_MAXIMIZED=FALSE&amp;VAR:CALENDAR=US&amp;VAR:SYMBOL=MIPS&amp;VAR:INDEX=0"}</definedName>
    <definedName name="_2939__FDSAUDITLINK__" localSheetId="3" hidden="1">{"fdsup://directions/FAT Viewer?action=UPDATE&amp;creator=factset&amp;DYN_ARGS=TRUE&amp;DOC_NAME=FAT:FQL_AUDITING_CLIENT_TEMPLATE.FAT&amp;display_string=Audit&amp;VAR:KEY=APMDGRMRSV&amp;VAR:QUERY=UkdGX1RBWF9SQVRFKEFOTiwwLCwsLCwsTk9BVURJVCk=&amp;WINDOW=FIRST_POPUP&amp;HEIGHT=450&amp;WIDTH=450&amp;","START_MAXIMIZED=FALSE&amp;VAR:CALENDAR=US&amp;VAR:SYMBOL=MSTR&amp;VAR:INDEX=0"}</definedName>
    <definedName name="_2939__FDSAUDITLINK__" localSheetId="7" hidden="1">{"fdsup://directions/FAT Viewer?action=UPDATE&amp;creator=factset&amp;DYN_ARGS=TRUE&amp;DOC_NAME=FAT:FQL_AUDITING_CLIENT_TEMPLATE.FAT&amp;display_string=Audit&amp;VAR:KEY=APMDGRMRSV&amp;VAR:QUERY=UkdGX1RBWF9SQVRFKEFOTiwwLCwsLCwsTk9BVURJVCk=&amp;WINDOW=FIRST_POPUP&amp;HEIGHT=450&amp;WIDTH=450&amp;","START_MAXIMIZED=FALSE&amp;VAR:CALENDAR=US&amp;VAR:SYMBOL=MSTR&amp;VAR:INDEX=0"}</definedName>
    <definedName name="_2939__FDSAUDITLINK__" hidden="1">{"fdsup://directions/FAT Viewer?action=UPDATE&amp;creator=factset&amp;DYN_ARGS=TRUE&amp;DOC_NAME=FAT:FQL_AUDITING_CLIENT_TEMPLATE.FAT&amp;display_string=Audit&amp;VAR:KEY=APMDGRMRSV&amp;VAR:QUERY=UkdGX1RBWF9SQVRFKEFOTiwwLCwsLCwsTk9BVURJVCk=&amp;WINDOW=FIRST_POPUP&amp;HEIGHT=450&amp;WIDTH=450&amp;","START_MAXIMIZED=FALSE&amp;VAR:CALENDAR=US&amp;VAR:SYMBOL=MSTR&amp;VAR:INDEX=0"}</definedName>
    <definedName name="_294__FDSAUDITLINK__" localSheetId="3" hidden="1">{"fdsup://Directions/FactSet Auditing Viewer?action=AUDIT_VALUE&amp;DB=129&amp;ID1=B1YBRG&amp;VALUEID=01001&amp;SDATE=2011&amp;PERIODTYPE=ANN_STD&amp;SCFT=3&amp;window=popup_no_bar&amp;width=385&amp;height=120&amp;START_MAXIMIZED=FALSE&amp;creator=factset&amp;display_string=Audit"}</definedName>
    <definedName name="_294__FDSAUDITLINK__" localSheetId="7" hidden="1">{"fdsup://Directions/FactSet Auditing Viewer?action=AUDIT_VALUE&amp;DB=129&amp;ID1=B1YBRG&amp;VALUEID=01001&amp;SDATE=2011&amp;PERIODTYPE=ANN_STD&amp;SCFT=3&amp;window=popup_no_bar&amp;width=385&amp;height=120&amp;START_MAXIMIZED=FALSE&amp;creator=factset&amp;display_string=Audit"}</definedName>
    <definedName name="_294__FDSAUDITLINK__" hidden="1">{"fdsup://Directions/FactSet Auditing Viewer?action=AUDIT_VALUE&amp;DB=129&amp;ID1=B1YBRG&amp;VALUEID=01001&amp;SDATE=2011&amp;PERIODTYPE=ANN_STD&amp;SCFT=3&amp;window=popup_no_bar&amp;width=385&amp;height=120&amp;START_MAXIMIZED=FALSE&amp;creator=factset&amp;display_string=Audit"}</definedName>
    <definedName name="_2940__FDSAUDITLINK__" localSheetId="3" hidden="1">{"fdsup://directions/FAT Viewer?action=UPDATE&amp;creator=factset&amp;DYN_ARGS=TRUE&amp;DOC_NAME=FAT:FQL_AUDITING_CLIENT_TEMPLATE.FAT&amp;display_string=Audit&amp;VAR:KEY=APMDGRMRSV&amp;VAR:QUERY=UkdGX1RBWF9SQVRFKEFOTiwwLCwsLCwsTk9BVURJVCk=&amp;WINDOW=FIRST_POPUP&amp;HEIGHT=450&amp;WIDTH=450&amp;","START_MAXIMIZED=FALSE&amp;VAR:CALENDAR=US&amp;VAR:SYMBOL=MSTR&amp;VAR:INDEX=0"}</definedName>
    <definedName name="_2940__FDSAUDITLINK__" localSheetId="7" hidden="1">{"fdsup://directions/FAT Viewer?action=UPDATE&amp;creator=factset&amp;DYN_ARGS=TRUE&amp;DOC_NAME=FAT:FQL_AUDITING_CLIENT_TEMPLATE.FAT&amp;display_string=Audit&amp;VAR:KEY=APMDGRMRSV&amp;VAR:QUERY=UkdGX1RBWF9SQVRFKEFOTiwwLCwsLCwsTk9BVURJVCk=&amp;WINDOW=FIRST_POPUP&amp;HEIGHT=450&amp;WIDTH=450&amp;","START_MAXIMIZED=FALSE&amp;VAR:CALENDAR=US&amp;VAR:SYMBOL=MSTR&amp;VAR:INDEX=0"}</definedName>
    <definedName name="_2940__FDSAUDITLINK__" hidden="1">{"fdsup://directions/FAT Viewer?action=UPDATE&amp;creator=factset&amp;DYN_ARGS=TRUE&amp;DOC_NAME=FAT:FQL_AUDITING_CLIENT_TEMPLATE.FAT&amp;display_string=Audit&amp;VAR:KEY=APMDGRMRSV&amp;VAR:QUERY=UkdGX1RBWF9SQVRFKEFOTiwwLCwsLCwsTk9BVURJVCk=&amp;WINDOW=FIRST_POPUP&amp;HEIGHT=450&amp;WIDTH=450&amp;","START_MAXIMIZED=FALSE&amp;VAR:CALENDAR=US&amp;VAR:SYMBOL=MSTR&amp;VAR:INDEX=0"}</definedName>
    <definedName name="_2941__FDSAUDITLINK__" localSheetId="3" hidden="1">{"fdsup://directions/FAT Viewer?action=UPDATE&amp;creator=factset&amp;DYN_ARGS=TRUE&amp;DOC_NAME=FAT:FQL_AUDITING_CLIENT_TEMPLATE.FAT&amp;display_string=Audit&amp;VAR:KEY=KZYZCHILKP&amp;VAR:QUERY=UkdGX1RBWF9SQVRFKEFOTiwwLCwsLCwsTk9BVURJVCk=&amp;WINDOW=FIRST_POPUP&amp;HEIGHT=450&amp;WIDTH=450&amp;","START_MAXIMIZED=FALSE&amp;VAR:CALENDAR=US&amp;VAR:SYMBOL=MSFT&amp;VAR:INDEX=0"}</definedName>
    <definedName name="_2941__FDSAUDITLINK__" localSheetId="7" hidden="1">{"fdsup://directions/FAT Viewer?action=UPDATE&amp;creator=factset&amp;DYN_ARGS=TRUE&amp;DOC_NAME=FAT:FQL_AUDITING_CLIENT_TEMPLATE.FAT&amp;display_string=Audit&amp;VAR:KEY=KZYZCHILKP&amp;VAR:QUERY=UkdGX1RBWF9SQVRFKEFOTiwwLCwsLCwsTk9BVURJVCk=&amp;WINDOW=FIRST_POPUP&amp;HEIGHT=450&amp;WIDTH=450&amp;","START_MAXIMIZED=FALSE&amp;VAR:CALENDAR=US&amp;VAR:SYMBOL=MSFT&amp;VAR:INDEX=0"}</definedName>
    <definedName name="_2941__FDSAUDITLINK__" hidden="1">{"fdsup://directions/FAT Viewer?action=UPDATE&amp;creator=factset&amp;DYN_ARGS=TRUE&amp;DOC_NAME=FAT:FQL_AUDITING_CLIENT_TEMPLATE.FAT&amp;display_string=Audit&amp;VAR:KEY=KZYZCHILKP&amp;VAR:QUERY=UkdGX1RBWF9SQVRFKEFOTiwwLCwsLCwsTk9BVURJVCk=&amp;WINDOW=FIRST_POPUP&amp;HEIGHT=450&amp;WIDTH=450&amp;","START_MAXIMIZED=FALSE&amp;VAR:CALENDAR=US&amp;VAR:SYMBOL=MSFT&amp;VAR:INDEX=0"}</definedName>
    <definedName name="_2942__FDSAUDITLINK__" localSheetId="3" hidden="1">{"fdsup://directions/FAT Viewer?action=UPDATE&amp;creator=factset&amp;DYN_ARGS=TRUE&amp;DOC_NAME=FAT:FQL_AUDITING_CLIENT_TEMPLATE.FAT&amp;display_string=Audit&amp;VAR:KEY=KZYZCHILKP&amp;VAR:QUERY=UkdGX1RBWF9SQVRFKEFOTiwwLCwsLCwsTk9BVURJVCk=&amp;WINDOW=FIRST_POPUP&amp;HEIGHT=450&amp;WIDTH=450&amp;","START_MAXIMIZED=FALSE&amp;VAR:CALENDAR=US&amp;VAR:SYMBOL=MSFT&amp;VAR:INDEX=0"}</definedName>
    <definedName name="_2942__FDSAUDITLINK__" localSheetId="7" hidden="1">{"fdsup://directions/FAT Viewer?action=UPDATE&amp;creator=factset&amp;DYN_ARGS=TRUE&amp;DOC_NAME=FAT:FQL_AUDITING_CLIENT_TEMPLATE.FAT&amp;display_string=Audit&amp;VAR:KEY=KZYZCHILKP&amp;VAR:QUERY=UkdGX1RBWF9SQVRFKEFOTiwwLCwsLCwsTk9BVURJVCk=&amp;WINDOW=FIRST_POPUP&amp;HEIGHT=450&amp;WIDTH=450&amp;","START_MAXIMIZED=FALSE&amp;VAR:CALENDAR=US&amp;VAR:SYMBOL=MSFT&amp;VAR:INDEX=0"}</definedName>
    <definedName name="_2942__FDSAUDITLINK__" hidden="1">{"fdsup://directions/FAT Viewer?action=UPDATE&amp;creator=factset&amp;DYN_ARGS=TRUE&amp;DOC_NAME=FAT:FQL_AUDITING_CLIENT_TEMPLATE.FAT&amp;display_string=Audit&amp;VAR:KEY=KZYZCHILKP&amp;VAR:QUERY=UkdGX1RBWF9SQVRFKEFOTiwwLCwsLCwsTk9BVURJVCk=&amp;WINDOW=FIRST_POPUP&amp;HEIGHT=450&amp;WIDTH=450&amp;","START_MAXIMIZED=FALSE&amp;VAR:CALENDAR=US&amp;VAR:SYMBOL=MSFT&amp;VAR:INDEX=0"}</definedName>
    <definedName name="_2943__FDSAUDITLINK__" localSheetId="3" hidden="1">{"fdsup://directions/FAT Viewer?action=UPDATE&amp;creator=factset&amp;DYN_ARGS=TRUE&amp;DOC_NAME=FAT:FQL_AUDITING_CLIENT_TEMPLATE.FAT&amp;display_string=Audit&amp;VAR:KEY=WBOFGBYVOV&amp;VAR:QUERY=UkdGX1RBWF9SQVRFKEFOTiwwLCwsLCwsTk9BVURJVCk=&amp;WINDOW=FIRST_POPUP&amp;HEIGHT=450&amp;WIDTH=450&amp;","START_MAXIMIZED=FALSE&amp;VAR:CALENDAR=US&amp;VAR:SYMBOL=B079W5&amp;VAR:INDEX=0"}</definedName>
    <definedName name="_2943__FDSAUDITLINK__" localSheetId="7" hidden="1">{"fdsup://directions/FAT Viewer?action=UPDATE&amp;creator=factset&amp;DYN_ARGS=TRUE&amp;DOC_NAME=FAT:FQL_AUDITING_CLIENT_TEMPLATE.FAT&amp;display_string=Audit&amp;VAR:KEY=WBOFGBYVOV&amp;VAR:QUERY=UkdGX1RBWF9SQVRFKEFOTiwwLCwsLCwsTk9BVURJVCk=&amp;WINDOW=FIRST_POPUP&amp;HEIGHT=450&amp;WIDTH=450&amp;","START_MAXIMIZED=FALSE&amp;VAR:CALENDAR=US&amp;VAR:SYMBOL=B079W5&amp;VAR:INDEX=0"}</definedName>
    <definedName name="_2943__FDSAUDITLINK__" hidden="1">{"fdsup://directions/FAT Viewer?action=UPDATE&amp;creator=factset&amp;DYN_ARGS=TRUE&amp;DOC_NAME=FAT:FQL_AUDITING_CLIENT_TEMPLATE.FAT&amp;display_string=Audit&amp;VAR:KEY=WBOFGBYVOV&amp;VAR:QUERY=UkdGX1RBWF9SQVRFKEFOTiwwLCwsLCwsTk9BVURJVCk=&amp;WINDOW=FIRST_POPUP&amp;HEIGHT=450&amp;WIDTH=450&amp;","START_MAXIMIZED=FALSE&amp;VAR:CALENDAR=US&amp;VAR:SYMBOL=B079W5&amp;VAR:INDEX=0"}</definedName>
    <definedName name="_2944__FDSAUDITLINK__" localSheetId="3" hidden="1">{"fdsup://directions/FAT Viewer?action=UPDATE&amp;creator=factset&amp;DYN_ARGS=TRUE&amp;DOC_NAME=FAT:FQL_AUDITING_CLIENT_TEMPLATE.FAT&amp;display_string=Audit&amp;VAR:KEY=WBOFGBYVOV&amp;VAR:QUERY=UkdGX1RBWF9SQVRFKEFOTiwwLCwsLCwsTk9BVURJVCk=&amp;WINDOW=FIRST_POPUP&amp;HEIGHT=450&amp;WIDTH=450&amp;","START_MAXIMIZED=FALSE&amp;VAR:CALENDAR=US&amp;VAR:SYMBOL=B079W5&amp;VAR:INDEX=0"}</definedName>
    <definedName name="_2944__FDSAUDITLINK__" localSheetId="7" hidden="1">{"fdsup://directions/FAT Viewer?action=UPDATE&amp;creator=factset&amp;DYN_ARGS=TRUE&amp;DOC_NAME=FAT:FQL_AUDITING_CLIENT_TEMPLATE.FAT&amp;display_string=Audit&amp;VAR:KEY=WBOFGBYVOV&amp;VAR:QUERY=UkdGX1RBWF9SQVRFKEFOTiwwLCwsLCwsTk9BVURJVCk=&amp;WINDOW=FIRST_POPUP&amp;HEIGHT=450&amp;WIDTH=450&amp;","START_MAXIMIZED=FALSE&amp;VAR:CALENDAR=US&amp;VAR:SYMBOL=B079W5&amp;VAR:INDEX=0"}</definedName>
    <definedName name="_2944__FDSAUDITLINK__" hidden="1">{"fdsup://directions/FAT Viewer?action=UPDATE&amp;creator=factset&amp;DYN_ARGS=TRUE&amp;DOC_NAME=FAT:FQL_AUDITING_CLIENT_TEMPLATE.FAT&amp;display_string=Audit&amp;VAR:KEY=WBOFGBYVOV&amp;VAR:QUERY=UkdGX1RBWF9SQVRFKEFOTiwwLCwsLCwsTk9BVURJVCk=&amp;WINDOW=FIRST_POPUP&amp;HEIGHT=450&amp;WIDTH=450&amp;","START_MAXIMIZED=FALSE&amp;VAR:CALENDAR=US&amp;VAR:SYMBOL=B079W5&amp;VAR:INDEX=0"}</definedName>
    <definedName name="_2945__FDSAUDITLINK__" localSheetId="3" hidden="1">{"fdsup://directions/FAT Viewer?action=UPDATE&amp;creator=factset&amp;DYN_ARGS=TRUE&amp;DOC_NAME=FAT:FQL_AUDITING_CLIENT_TEMPLATE.FAT&amp;display_string=Audit&amp;VAR:KEY=QLOFUJQTAV&amp;VAR:QUERY=UkdGX1RBWF9SQVRFKEFOTiwwLCwsLCwsTk9BVURJVCk=&amp;WINDOW=FIRST_POPUP&amp;HEIGHT=450&amp;WIDTH=450&amp;","START_MAXIMIZED=FALSE&amp;VAR:CALENDAR=US&amp;VAR:SYMBOL=MERU&amp;VAR:INDEX=0"}</definedName>
    <definedName name="_2945__FDSAUDITLINK__" localSheetId="7" hidden="1">{"fdsup://directions/FAT Viewer?action=UPDATE&amp;creator=factset&amp;DYN_ARGS=TRUE&amp;DOC_NAME=FAT:FQL_AUDITING_CLIENT_TEMPLATE.FAT&amp;display_string=Audit&amp;VAR:KEY=QLOFUJQTAV&amp;VAR:QUERY=UkdGX1RBWF9SQVRFKEFOTiwwLCwsLCwsTk9BVURJVCk=&amp;WINDOW=FIRST_POPUP&amp;HEIGHT=450&amp;WIDTH=450&amp;","START_MAXIMIZED=FALSE&amp;VAR:CALENDAR=US&amp;VAR:SYMBOL=MERU&amp;VAR:INDEX=0"}</definedName>
    <definedName name="_2945__FDSAUDITLINK__" hidden="1">{"fdsup://directions/FAT Viewer?action=UPDATE&amp;creator=factset&amp;DYN_ARGS=TRUE&amp;DOC_NAME=FAT:FQL_AUDITING_CLIENT_TEMPLATE.FAT&amp;display_string=Audit&amp;VAR:KEY=QLOFUJQTAV&amp;VAR:QUERY=UkdGX1RBWF9SQVRFKEFOTiwwLCwsLCwsTk9BVURJVCk=&amp;WINDOW=FIRST_POPUP&amp;HEIGHT=450&amp;WIDTH=450&amp;","START_MAXIMIZED=FALSE&amp;VAR:CALENDAR=US&amp;VAR:SYMBOL=MERU&amp;VAR:INDEX=0"}</definedName>
    <definedName name="_2946__FDSAUDITLINK__" localSheetId="3" hidden="1">{"fdsup://directions/FAT Viewer?action=UPDATE&amp;creator=factset&amp;DYN_ARGS=TRUE&amp;DOC_NAME=FAT:FQL_AUDITING_CLIENT_TEMPLATE.FAT&amp;display_string=Audit&amp;VAR:KEY=GRGLIXWBGP&amp;VAR:QUERY=UkdGX1RBWF9SQVRFKEFOTiwwLCwsLCwsTk9BVURJVCk=&amp;WINDOW=FIRST_POPUP&amp;HEIGHT=450&amp;WIDTH=450&amp;","START_MAXIMIZED=FALSE&amp;VAR:CALENDAR=US&amp;VAR:SYMBOL=58733R10&amp;VAR:INDEX=0"}</definedName>
    <definedName name="_2946__FDSAUDITLINK__" localSheetId="7" hidden="1">{"fdsup://directions/FAT Viewer?action=UPDATE&amp;creator=factset&amp;DYN_ARGS=TRUE&amp;DOC_NAME=FAT:FQL_AUDITING_CLIENT_TEMPLATE.FAT&amp;display_string=Audit&amp;VAR:KEY=GRGLIXWBGP&amp;VAR:QUERY=UkdGX1RBWF9SQVRFKEFOTiwwLCwsLCwsTk9BVURJVCk=&amp;WINDOW=FIRST_POPUP&amp;HEIGHT=450&amp;WIDTH=450&amp;","START_MAXIMIZED=FALSE&amp;VAR:CALENDAR=US&amp;VAR:SYMBOL=58733R10&amp;VAR:INDEX=0"}</definedName>
    <definedName name="_2946__FDSAUDITLINK__" hidden="1">{"fdsup://directions/FAT Viewer?action=UPDATE&amp;creator=factset&amp;DYN_ARGS=TRUE&amp;DOC_NAME=FAT:FQL_AUDITING_CLIENT_TEMPLATE.FAT&amp;display_string=Audit&amp;VAR:KEY=GRGLIXWBGP&amp;VAR:QUERY=UkdGX1RBWF9SQVRFKEFOTiwwLCwsLCwsTk9BVURJVCk=&amp;WINDOW=FIRST_POPUP&amp;HEIGHT=450&amp;WIDTH=450&amp;","START_MAXIMIZED=FALSE&amp;VAR:CALENDAR=US&amp;VAR:SYMBOL=58733R10&amp;VAR:INDEX=0"}</definedName>
    <definedName name="_2947__FDSAUDITLINK__" localSheetId="3" hidden="1">{"fdsup://directions/FAT Viewer?action=UPDATE&amp;creator=factset&amp;DYN_ARGS=TRUE&amp;DOC_NAME=FAT:FQL_AUDITING_CLIENT_TEMPLATE.FAT&amp;display_string=Audit&amp;VAR:KEY=GRGLIXWBGP&amp;VAR:QUERY=UkdGX1RBWF9SQVRFKEFOTiwwLCwsLCwsTk9BVURJVCk=&amp;WINDOW=FIRST_POPUP&amp;HEIGHT=450&amp;WIDTH=450&amp;","START_MAXIMIZED=FALSE&amp;VAR:CALENDAR=US&amp;VAR:SYMBOL=58733R10&amp;VAR:INDEX=0"}</definedName>
    <definedName name="_2947__FDSAUDITLINK__" localSheetId="7" hidden="1">{"fdsup://directions/FAT Viewer?action=UPDATE&amp;creator=factset&amp;DYN_ARGS=TRUE&amp;DOC_NAME=FAT:FQL_AUDITING_CLIENT_TEMPLATE.FAT&amp;display_string=Audit&amp;VAR:KEY=GRGLIXWBGP&amp;VAR:QUERY=UkdGX1RBWF9SQVRFKEFOTiwwLCwsLCwsTk9BVURJVCk=&amp;WINDOW=FIRST_POPUP&amp;HEIGHT=450&amp;WIDTH=450&amp;","START_MAXIMIZED=FALSE&amp;VAR:CALENDAR=US&amp;VAR:SYMBOL=58733R10&amp;VAR:INDEX=0"}</definedName>
    <definedName name="_2947__FDSAUDITLINK__" hidden="1">{"fdsup://directions/FAT Viewer?action=UPDATE&amp;creator=factset&amp;DYN_ARGS=TRUE&amp;DOC_NAME=FAT:FQL_AUDITING_CLIENT_TEMPLATE.FAT&amp;display_string=Audit&amp;VAR:KEY=GRGLIXWBGP&amp;VAR:QUERY=UkdGX1RBWF9SQVRFKEFOTiwwLCwsLCwsTk9BVURJVCk=&amp;WINDOW=FIRST_POPUP&amp;HEIGHT=450&amp;WIDTH=450&amp;","START_MAXIMIZED=FALSE&amp;VAR:CALENDAR=US&amp;VAR:SYMBOL=58733R10&amp;VAR:INDEX=0"}</definedName>
    <definedName name="_2948__FDSAUDITLINK__" localSheetId="3" hidden="1">{"fdsup://directions/FAT Viewer?action=UPDATE&amp;creator=factset&amp;DYN_ARGS=TRUE&amp;DOC_NAME=FAT:FQL_AUDITING_CLIENT_TEMPLATE.FAT&amp;display_string=Audit&amp;VAR:KEY=QZUDSJSLQT&amp;VAR:QUERY=UkdGX1RBWF9SQVRFKEFOTiwwLCwsLCwsTk9BVURJVCk=&amp;WINDOW=FIRST_POPUP&amp;HEIGHT=450&amp;WIDTH=450&amp;","START_MAXIMIZED=FALSE&amp;VAR:CALENDAR=US&amp;VAR:SYMBOL=MENT&amp;VAR:INDEX=0"}</definedName>
    <definedName name="_2948__FDSAUDITLINK__" localSheetId="7" hidden="1">{"fdsup://directions/FAT Viewer?action=UPDATE&amp;creator=factset&amp;DYN_ARGS=TRUE&amp;DOC_NAME=FAT:FQL_AUDITING_CLIENT_TEMPLATE.FAT&amp;display_string=Audit&amp;VAR:KEY=QZUDSJSLQT&amp;VAR:QUERY=UkdGX1RBWF9SQVRFKEFOTiwwLCwsLCwsTk9BVURJVCk=&amp;WINDOW=FIRST_POPUP&amp;HEIGHT=450&amp;WIDTH=450&amp;","START_MAXIMIZED=FALSE&amp;VAR:CALENDAR=US&amp;VAR:SYMBOL=MENT&amp;VAR:INDEX=0"}</definedName>
    <definedName name="_2948__FDSAUDITLINK__" hidden="1">{"fdsup://directions/FAT Viewer?action=UPDATE&amp;creator=factset&amp;DYN_ARGS=TRUE&amp;DOC_NAME=FAT:FQL_AUDITING_CLIENT_TEMPLATE.FAT&amp;display_string=Audit&amp;VAR:KEY=QZUDSJSLQT&amp;VAR:QUERY=UkdGX1RBWF9SQVRFKEFOTiwwLCwsLCwsTk9BVURJVCk=&amp;WINDOW=FIRST_POPUP&amp;HEIGHT=450&amp;WIDTH=450&amp;","START_MAXIMIZED=FALSE&amp;VAR:CALENDAR=US&amp;VAR:SYMBOL=MENT&amp;VAR:INDEX=0"}</definedName>
    <definedName name="_2949__FDSAUDITLINK__" localSheetId="3" hidden="1">{"fdsup://directions/FAT Viewer?action=UPDATE&amp;creator=factset&amp;DYN_ARGS=TRUE&amp;DOC_NAME=FAT:FQL_AUDITING_CLIENT_TEMPLATE.FAT&amp;display_string=Audit&amp;VAR:KEY=QZUDSJSLQT&amp;VAR:QUERY=UkdGX1RBWF9SQVRFKEFOTiwwLCwsLCwsTk9BVURJVCk=&amp;WINDOW=FIRST_POPUP&amp;HEIGHT=450&amp;WIDTH=450&amp;","START_MAXIMIZED=FALSE&amp;VAR:CALENDAR=US&amp;VAR:SYMBOL=MENT&amp;VAR:INDEX=0"}</definedName>
    <definedName name="_2949__FDSAUDITLINK__" localSheetId="7" hidden="1">{"fdsup://directions/FAT Viewer?action=UPDATE&amp;creator=factset&amp;DYN_ARGS=TRUE&amp;DOC_NAME=FAT:FQL_AUDITING_CLIENT_TEMPLATE.FAT&amp;display_string=Audit&amp;VAR:KEY=QZUDSJSLQT&amp;VAR:QUERY=UkdGX1RBWF9SQVRFKEFOTiwwLCwsLCwsTk9BVURJVCk=&amp;WINDOW=FIRST_POPUP&amp;HEIGHT=450&amp;WIDTH=450&amp;","START_MAXIMIZED=FALSE&amp;VAR:CALENDAR=US&amp;VAR:SYMBOL=MENT&amp;VAR:INDEX=0"}</definedName>
    <definedName name="_2949__FDSAUDITLINK__" hidden="1">{"fdsup://directions/FAT Viewer?action=UPDATE&amp;creator=factset&amp;DYN_ARGS=TRUE&amp;DOC_NAME=FAT:FQL_AUDITING_CLIENT_TEMPLATE.FAT&amp;display_string=Audit&amp;VAR:KEY=QZUDSJSLQT&amp;VAR:QUERY=UkdGX1RBWF9SQVRFKEFOTiwwLCwsLCwsTk9BVURJVCk=&amp;WINDOW=FIRST_POPUP&amp;HEIGHT=450&amp;WIDTH=450&amp;","START_MAXIMIZED=FALSE&amp;VAR:CALENDAR=US&amp;VAR:SYMBOL=MENT&amp;VAR:INDEX=0"}</definedName>
    <definedName name="_295__FDSAUDITLINK__" localSheetId="3" hidden="1">{"fdsup://Directions/FactSet Auditing Viewer?action=AUDIT_VALUE&amp;DB=129&amp;ID1=220015&amp;VALUEID=01001&amp;SDATE=2011&amp;PERIODTYPE=ANN_STD&amp;SCFT=3&amp;window=popup_no_bar&amp;width=385&amp;height=120&amp;START_MAXIMIZED=FALSE&amp;creator=factset&amp;display_string=Audit"}</definedName>
    <definedName name="_295__FDSAUDITLINK__" localSheetId="7" hidden="1">{"fdsup://Directions/FactSet Auditing Viewer?action=AUDIT_VALUE&amp;DB=129&amp;ID1=220015&amp;VALUEID=01001&amp;SDATE=2011&amp;PERIODTYPE=ANN_STD&amp;SCFT=3&amp;window=popup_no_bar&amp;width=385&amp;height=120&amp;START_MAXIMIZED=FALSE&amp;creator=factset&amp;display_string=Audit"}</definedName>
    <definedName name="_295__FDSAUDITLINK__" hidden="1">{"fdsup://Directions/FactSet Auditing Viewer?action=AUDIT_VALUE&amp;DB=129&amp;ID1=220015&amp;VALUEID=01001&amp;SDATE=2011&amp;PERIODTYPE=ANN_STD&amp;SCFT=3&amp;window=popup_no_bar&amp;width=385&amp;height=120&amp;START_MAXIMIZED=FALSE&amp;creator=factset&amp;display_string=Audit"}</definedName>
    <definedName name="_2950__FDSAUDITLINK__" localSheetId="3" hidden="1">{"fdsup://directions/FAT Viewer?action=UPDATE&amp;creator=factset&amp;DYN_ARGS=TRUE&amp;DOC_NAME=FAT:FQL_AUDITING_CLIENT_TEMPLATE.FAT&amp;display_string=Audit&amp;VAR:KEY=ITWHSPUNUD&amp;VAR:QUERY=UkdGX1RBWF9SQVRFKEFOTiwwLCwsLCwsTk9BVURJVCk=&amp;WINDOW=FIRST_POPUP&amp;HEIGHT=450&amp;WIDTH=450&amp;","START_MAXIMIZED=FALSE&amp;VAR:CALENDAR=US&amp;VAR:SYMBOL=MDSO&amp;VAR:INDEX=0"}</definedName>
    <definedName name="_2950__FDSAUDITLINK__" localSheetId="7" hidden="1">{"fdsup://directions/FAT Viewer?action=UPDATE&amp;creator=factset&amp;DYN_ARGS=TRUE&amp;DOC_NAME=FAT:FQL_AUDITING_CLIENT_TEMPLATE.FAT&amp;display_string=Audit&amp;VAR:KEY=ITWHSPUNUD&amp;VAR:QUERY=UkdGX1RBWF9SQVRFKEFOTiwwLCwsLCwsTk9BVURJVCk=&amp;WINDOW=FIRST_POPUP&amp;HEIGHT=450&amp;WIDTH=450&amp;","START_MAXIMIZED=FALSE&amp;VAR:CALENDAR=US&amp;VAR:SYMBOL=MDSO&amp;VAR:INDEX=0"}</definedName>
    <definedName name="_2950__FDSAUDITLINK__" hidden="1">{"fdsup://directions/FAT Viewer?action=UPDATE&amp;creator=factset&amp;DYN_ARGS=TRUE&amp;DOC_NAME=FAT:FQL_AUDITING_CLIENT_TEMPLATE.FAT&amp;display_string=Audit&amp;VAR:KEY=ITWHSPUNUD&amp;VAR:QUERY=UkdGX1RBWF9SQVRFKEFOTiwwLCwsLCwsTk9BVURJVCk=&amp;WINDOW=FIRST_POPUP&amp;HEIGHT=450&amp;WIDTH=450&amp;","START_MAXIMIZED=FALSE&amp;VAR:CALENDAR=US&amp;VAR:SYMBOL=MDSO&amp;VAR:INDEX=0"}</definedName>
    <definedName name="_2951__FDSAUDITLINK__" localSheetId="3" hidden="1">{"fdsup://directions/FAT Viewer?action=UPDATE&amp;creator=factset&amp;DYN_ARGS=TRUE&amp;DOC_NAME=FAT:FQL_AUDITING_CLIENT_TEMPLATE.FAT&amp;display_string=Audit&amp;VAR:KEY=ITWHSPUNUD&amp;VAR:QUERY=UkdGX1RBWF9SQVRFKEFOTiwwLCwsLCwsTk9BVURJVCk=&amp;WINDOW=FIRST_POPUP&amp;HEIGHT=450&amp;WIDTH=450&amp;","START_MAXIMIZED=FALSE&amp;VAR:CALENDAR=US&amp;VAR:SYMBOL=MDSO&amp;VAR:INDEX=0"}</definedName>
    <definedName name="_2951__FDSAUDITLINK__" localSheetId="7" hidden="1">{"fdsup://directions/FAT Viewer?action=UPDATE&amp;creator=factset&amp;DYN_ARGS=TRUE&amp;DOC_NAME=FAT:FQL_AUDITING_CLIENT_TEMPLATE.FAT&amp;display_string=Audit&amp;VAR:KEY=ITWHSPUNUD&amp;VAR:QUERY=UkdGX1RBWF9SQVRFKEFOTiwwLCwsLCwsTk9BVURJVCk=&amp;WINDOW=FIRST_POPUP&amp;HEIGHT=450&amp;WIDTH=450&amp;","START_MAXIMIZED=FALSE&amp;VAR:CALENDAR=US&amp;VAR:SYMBOL=MDSO&amp;VAR:INDEX=0"}</definedName>
    <definedName name="_2951__FDSAUDITLINK__" hidden="1">{"fdsup://directions/FAT Viewer?action=UPDATE&amp;creator=factset&amp;DYN_ARGS=TRUE&amp;DOC_NAME=FAT:FQL_AUDITING_CLIENT_TEMPLATE.FAT&amp;display_string=Audit&amp;VAR:KEY=ITWHSPUNUD&amp;VAR:QUERY=UkdGX1RBWF9SQVRFKEFOTiwwLCwsLCwsTk9BVURJVCk=&amp;WINDOW=FIRST_POPUP&amp;HEIGHT=450&amp;WIDTH=450&amp;","START_MAXIMIZED=FALSE&amp;VAR:CALENDAR=US&amp;VAR:SYMBOL=MDSO&amp;VAR:INDEX=0"}</definedName>
    <definedName name="_2952__FDSAUDITLINK__" localSheetId="3" hidden="1">{"fdsup://directions/FAT Viewer?action=UPDATE&amp;creator=factset&amp;DYN_ARGS=TRUE&amp;DOC_NAME=FAT:FQL_AUDITING_CLIENT_TEMPLATE.FAT&amp;display_string=Audit&amp;VAR:KEY=EPANWNYHET&amp;VAR:QUERY=UkdGX1RBWF9SQVRFKEFOTiwwLCwsLCwsTk9BVURJVCk=&amp;WINDOW=FIRST_POPUP&amp;HEIGHT=450&amp;WIDTH=450&amp;","START_MAXIMIZED=FALSE&amp;VAR:CALENDAR=US&amp;VAR:SYMBOL=MCK&amp;VAR:INDEX=0"}</definedName>
    <definedName name="_2952__FDSAUDITLINK__" localSheetId="7" hidden="1">{"fdsup://directions/FAT Viewer?action=UPDATE&amp;creator=factset&amp;DYN_ARGS=TRUE&amp;DOC_NAME=FAT:FQL_AUDITING_CLIENT_TEMPLATE.FAT&amp;display_string=Audit&amp;VAR:KEY=EPANWNYHET&amp;VAR:QUERY=UkdGX1RBWF9SQVRFKEFOTiwwLCwsLCwsTk9BVURJVCk=&amp;WINDOW=FIRST_POPUP&amp;HEIGHT=450&amp;WIDTH=450&amp;","START_MAXIMIZED=FALSE&amp;VAR:CALENDAR=US&amp;VAR:SYMBOL=MCK&amp;VAR:INDEX=0"}</definedName>
    <definedName name="_2952__FDSAUDITLINK__" hidden="1">{"fdsup://directions/FAT Viewer?action=UPDATE&amp;creator=factset&amp;DYN_ARGS=TRUE&amp;DOC_NAME=FAT:FQL_AUDITING_CLIENT_TEMPLATE.FAT&amp;display_string=Audit&amp;VAR:KEY=EPANWNYHET&amp;VAR:QUERY=UkdGX1RBWF9SQVRFKEFOTiwwLCwsLCwsTk9BVURJVCk=&amp;WINDOW=FIRST_POPUP&amp;HEIGHT=450&amp;WIDTH=450&amp;","START_MAXIMIZED=FALSE&amp;VAR:CALENDAR=US&amp;VAR:SYMBOL=MCK&amp;VAR:INDEX=0"}</definedName>
    <definedName name="_2953__FDSAUDITLINK__" localSheetId="3" hidden="1">{"fdsup://directions/FAT Viewer?action=UPDATE&amp;creator=factset&amp;DYN_ARGS=TRUE&amp;DOC_NAME=FAT:FQL_AUDITING_CLIENT_TEMPLATE.FAT&amp;display_string=Audit&amp;VAR:KEY=EPANWNYHET&amp;VAR:QUERY=UkdGX1RBWF9SQVRFKEFOTiwwLCwsLCwsTk9BVURJVCk=&amp;WINDOW=FIRST_POPUP&amp;HEIGHT=450&amp;WIDTH=450&amp;","START_MAXIMIZED=FALSE&amp;VAR:CALENDAR=US&amp;VAR:SYMBOL=MCK&amp;VAR:INDEX=0"}</definedName>
    <definedName name="_2953__FDSAUDITLINK__" localSheetId="7" hidden="1">{"fdsup://directions/FAT Viewer?action=UPDATE&amp;creator=factset&amp;DYN_ARGS=TRUE&amp;DOC_NAME=FAT:FQL_AUDITING_CLIENT_TEMPLATE.FAT&amp;display_string=Audit&amp;VAR:KEY=EPANWNYHET&amp;VAR:QUERY=UkdGX1RBWF9SQVRFKEFOTiwwLCwsLCwsTk9BVURJVCk=&amp;WINDOW=FIRST_POPUP&amp;HEIGHT=450&amp;WIDTH=450&amp;","START_MAXIMIZED=FALSE&amp;VAR:CALENDAR=US&amp;VAR:SYMBOL=MCK&amp;VAR:INDEX=0"}</definedName>
    <definedName name="_2953__FDSAUDITLINK__" hidden="1">{"fdsup://directions/FAT Viewer?action=UPDATE&amp;creator=factset&amp;DYN_ARGS=TRUE&amp;DOC_NAME=FAT:FQL_AUDITING_CLIENT_TEMPLATE.FAT&amp;display_string=Audit&amp;VAR:KEY=EPANWNYHET&amp;VAR:QUERY=UkdGX1RBWF9SQVRFKEFOTiwwLCwsLCwsTk9BVURJVCk=&amp;WINDOW=FIRST_POPUP&amp;HEIGHT=450&amp;WIDTH=450&amp;","START_MAXIMIZED=FALSE&amp;VAR:CALENDAR=US&amp;VAR:SYMBOL=MCK&amp;VAR:INDEX=0"}</definedName>
    <definedName name="_2954__FDSAUDITLINK__" localSheetId="3" hidden="1">{"fdsup://directions/FAT Viewer?action=UPDATE&amp;creator=factset&amp;DYN_ARGS=TRUE&amp;DOC_NAME=FAT:FQL_AUDITING_CLIENT_TEMPLATE.FAT&amp;display_string=Audit&amp;VAR:KEY=UNCFCXIVQP&amp;VAR:QUERY=UkdGX1RBWF9SQVRFKEFOTiwwLCwsLCwsTk9BVURJVCk=&amp;WINDOW=FIRST_POPUP&amp;HEIGHT=450&amp;WIDTH=450&amp;","START_MAXIMIZED=FALSE&amp;VAR:CALENDAR=US&amp;VAR:SYMBOL=MFE&amp;VAR:INDEX=0"}</definedName>
    <definedName name="_2954__FDSAUDITLINK__" localSheetId="7" hidden="1">{"fdsup://directions/FAT Viewer?action=UPDATE&amp;creator=factset&amp;DYN_ARGS=TRUE&amp;DOC_NAME=FAT:FQL_AUDITING_CLIENT_TEMPLATE.FAT&amp;display_string=Audit&amp;VAR:KEY=UNCFCXIVQP&amp;VAR:QUERY=UkdGX1RBWF9SQVRFKEFOTiwwLCwsLCwsTk9BVURJVCk=&amp;WINDOW=FIRST_POPUP&amp;HEIGHT=450&amp;WIDTH=450&amp;","START_MAXIMIZED=FALSE&amp;VAR:CALENDAR=US&amp;VAR:SYMBOL=MFE&amp;VAR:INDEX=0"}</definedName>
    <definedName name="_2954__FDSAUDITLINK__" hidden="1">{"fdsup://directions/FAT Viewer?action=UPDATE&amp;creator=factset&amp;DYN_ARGS=TRUE&amp;DOC_NAME=FAT:FQL_AUDITING_CLIENT_TEMPLATE.FAT&amp;display_string=Audit&amp;VAR:KEY=UNCFCXIVQP&amp;VAR:QUERY=UkdGX1RBWF9SQVRFKEFOTiwwLCwsLCwsTk9BVURJVCk=&amp;WINDOW=FIRST_POPUP&amp;HEIGHT=450&amp;WIDTH=450&amp;","START_MAXIMIZED=FALSE&amp;VAR:CALENDAR=US&amp;VAR:SYMBOL=MFE&amp;VAR:INDEX=0"}</definedName>
    <definedName name="_2955__FDSAUDITLINK__" localSheetId="3" hidden="1">{"fdsup://directions/FAT Viewer?action=UPDATE&amp;creator=factset&amp;DYN_ARGS=TRUE&amp;DOC_NAME=FAT:FQL_AUDITING_CLIENT_TEMPLATE.FAT&amp;display_string=Audit&amp;VAR:KEY=UNCFCXIVQP&amp;VAR:QUERY=UkdGX1RBWF9SQVRFKEFOTiwwLCwsLCwsTk9BVURJVCk=&amp;WINDOW=FIRST_POPUP&amp;HEIGHT=450&amp;WIDTH=450&amp;","START_MAXIMIZED=FALSE&amp;VAR:CALENDAR=US&amp;VAR:SYMBOL=MFE&amp;VAR:INDEX=0"}</definedName>
    <definedName name="_2955__FDSAUDITLINK__" localSheetId="7" hidden="1">{"fdsup://directions/FAT Viewer?action=UPDATE&amp;creator=factset&amp;DYN_ARGS=TRUE&amp;DOC_NAME=FAT:FQL_AUDITING_CLIENT_TEMPLATE.FAT&amp;display_string=Audit&amp;VAR:KEY=UNCFCXIVQP&amp;VAR:QUERY=UkdGX1RBWF9SQVRFKEFOTiwwLCwsLCwsTk9BVURJVCk=&amp;WINDOW=FIRST_POPUP&amp;HEIGHT=450&amp;WIDTH=450&amp;","START_MAXIMIZED=FALSE&amp;VAR:CALENDAR=US&amp;VAR:SYMBOL=MFE&amp;VAR:INDEX=0"}</definedName>
    <definedName name="_2955__FDSAUDITLINK__" hidden="1">{"fdsup://directions/FAT Viewer?action=UPDATE&amp;creator=factset&amp;DYN_ARGS=TRUE&amp;DOC_NAME=FAT:FQL_AUDITING_CLIENT_TEMPLATE.FAT&amp;display_string=Audit&amp;VAR:KEY=UNCFCXIVQP&amp;VAR:QUERY=UkdGX1RBWF9SQVRFKEFOTiwwLCwsLCwsTk9BVURJVCk=&amp;WINDOW=FIRST_POPUP&amp;HEIGHT=450&amp;WIDTH=450&amp;","START_MAXIMIZED=FALSE&amp;VAR:CALENDAR=US&amp;VAR:SYMBOL=MFE&amp;VAR:INDEX=0"}</definedName>
    <definedName name="_2956__FDSAUDITLINK__" localSheetId="3" hidden="1">{"fdsup://directions/FAT Viewer?action=UPDATE&amp;creator=factset&amp;DYN_ARGS=TRUE&amp;DOC_NAME=FAT:FQL_AUDITING_CLIENT_TEMPLATE.FAT&amp;display_string=Audit&amp;VAR:KEY=CZCBMXKLUL&amp;VAR:QUERY=UkdGX1RBWF9SQVRFKEFOTiwwLCwsLCwsTk9BVURJVCk=&amp;WINDOW=FIRST_POPUP&amp;HEIGHT=450&amp;WIDTH=450&amp;","START_MAXIMIZED=FALSE&amp;VAR:CALENDAR=US&amp;VAR:SYMBOL=MCHX&amp;VAR:INDEX=0"}</definedName>
    <definedName name="_2956__FDSAUDITLINK__" localSheetId="7" hidden="1">{"fdsup://directions/FAT Viewer?action=UPDATE&amp;creator=factset&amp;DYN_ARGS=TRUE&amp;DOC_NAME=FAT:FQL_AUDITING_CLIENT_TEMPLATE.FAT&amp;display_string=Audit&amp;VAR:KEY=CZCBMXKLUL&amp;VAR:QUERY=UkdGX1RBWF9SQVRFKEFOTiwwLCwsLCwsTk9BVURJVCk=&amp;WINDOW=FIRST_POPUP&amp;HEIGHT=450&amp;WIDTH=450&amp;","START_MAXIMIZED=FALSE&amp;VAR:CALENDAR=US&amp;VAR:SYMBOL=MCHX&amp;VAR:INDEX=0"}</definedName>
    <definedName name="_2956__FDSAUDITLINK__" hidden="1">{"fdsup://directions/FAT Viewer?action=UPDATE&amp;creator=factset&amp;DYN_ARGS=TRUE&amp;DOC_NAME=FAT:FQL_AUDITING_CLIENT_TEMPLATE.FAT&amp;display_string=Audit&amp;VAR:KEY=CZCBMXKLUL&amp;VAR:QUERY=UkdGX1RBWF9SQVRFKEFOTiwwLCwsLCwsTk9BVURJVCk=&amp;WINDOW=FIRST_POPUP&amp;HEIGHT=450&amp;WIDTH=450&amp;","START_MAXIMIZED=FALSE&amp;VAR:CALENDAR=US&amp;VAR:SYMBOL=MCHX&amp;VAR:INDEX=0"}</definedName>
    <definedName name="_2957__FDSAUDITLINK__" localSheetId="3" hidden="1">{"fdsup://directions/FAT Viewer?action=UPDATE&amp;creator=factset&amp;DYN_ARGS=TRUE&amp;DOC_NAME=FAT:FQL_AUDITING_CLIENT_TEMPLATE.FAT&amp;display_string=Audit&amp;VAR:KEY=QPGLEJGZWV&amp;VAR:QUERY=UkdGX1RBWF9SQVRFKEFOTiwwLCwsLCwsTk9BVURJVCk=&amp;WINDOW=FIRST_POPUP&amp;HEIGHT=450&amp;WIDTH=450&amp;","START_MAXIMIZED=FALSE&amp;VAR:CALENDAR=US&amp;VAR:SYMBOL=MANH&amp;VAR:INDEX=0"}</definedName>
    <definedName name="_2957__FDSAUDITLINK__" localSheetId="7" hidden="1">{"fdsup://directions/FAT Viewer?action=UPDATE&amp;creator=factset&amp;DYN_ARGS=TRUE&amp;DOC_NAME=FAT:FQL_AUDITING_CLIENT_TEMPLATE.FAT&amp;display_string=Audit&amp;VAR:KEY=QPGLEJGZWV&amp;VAR:QUERY=UkdGX1RBWF9SQVRFKEFOTiwwLCwsLCwsTk9BVURJVCk=&amp;WINDOW=FIRST_POPUP&amp;HEIGHT=450&amp;WIDTH=450&amp;","START_MAXIMIZED=FALSE&amp;VAR:CALENDAR=US&amp;VAR:SYMBOL=MANH&amp;VAR:INDEX=0"}</definedName>
    <definedName name="_2957__FDSAUDITLINK__" hidden="1">{"fdsup://directions/FAT Viewer?action=UPDATE&amp;creator=factset&amp;DYN_ARGS=TRUE&amp;DOC_NAME=FAT:FQL_AUDITING_CLIENT_TEMPLATE.FAT&amp;display_string=Audit&amp;VAR:KEY=QPGLEJGZWV&amp;VAR:QUERY=UkdGX1RBWF9SQVRFKEFOTiwwLCwsLCwsTk9BVURJVCk=&amp;WINDOW=FIRST_POPUP&amp;HEIGHT=450&amp;WIDTH=450&amp;","START_MAXIMIZED=FALSE&amp;VAR:CALENDAR=US&amp;VAR:SYMBOL=MANH&amp;VAR:INDEX=0"}</definedName>
    <definedName name="_2958__FDSAUDITLINK__" localSheetId="3" hidden="1">{"fdsup://directions/FAT Viewer?action=UPDATE&amp;creator=factset&amp;DYN_ARGS=TRUE&amp;DOC_NAME=FAT:FQL_AUDITING_CLIENT_TEMPLATE.FAT&amp;display_string=Audit&amp;VAR:KEY=QPGLEJGZWV&amp;VAR:QUERY=UkdGX1RBWF9SQVRFKEFOTiwwLCwsLCwsTk9BVURJVCk=&amp;WINDOW=FIRST_POPUP&amp;HEIGHT=450&amp;WIDTH=450&amp;","START_MAXIMIZED=FALSE&amp;VAR:CALENDAR=US&amp;VAR:SYMBOL=MANH&amp;VAR:INDEX=0"}</definedName>
    <definedName name="_2958__FDSAUDITLINK__" localSheetId="7" hidden="1">{"fdsup://directions/FAT Viewer?action=UPDATE&amp;creator=factset&amp;DYN_ARGS=TRUE&amp;DOC_NAME=FAT:FQL_AUDITING_CLIENT_TEMPLATE.FAT&amp;display_string=Audit&amp;VAR:KEY=QPGLEJGZWV&amp;VAR:QUERY=UkdGX1RBWF9SQVRFKEFOTiwwLCwsLCwsTk9BVURJVCk=&amp;WINDOW=FIRST_POPUP&amp;HEIGHT=450&amp;WIDTH=450&amp;","START_MAXIMIZED=FALSE&amp;VAR:CALENDAR=US&amp;VAR:SYMBOL=MANH&amp;VAR:INDEX=0"}</definedName>
    <definedName name="_2958__FDSAUDITLINK__" hidden="1">{"fdsup://directions/FAT Viewer?action=UPDATE&amp;creator=factset&amp;DYN_ARGS=TRUE&amp;DOC_NAME=FAT:FQL_AUDITING_CLIENT_TEMPLATE.FAT&amp;display_string=Audit&amp;VAR:KEY=QPGLEJGZWV&amp;VAR:QUERY=UkdGX1RBWF9SQVRFKEFOTiwwLCwsLCwsTk9BVURJVCk=&amp;WINDOW=FIRST_POPUP&amp;HEIGHT=450&amp;WIDTH=450&amp;","START_MAXIMIZED=FALSE&amp;VAR:CALENDAR=US&amp;VAR:SYMBOL=MANH&amp;VAR:INDEX=0"}</definedName>
    <definedName name="_2959__FDSAUDITLINK__" localSheetId="3" hidden="1">{"fdsup://directions/FAT Viewer?action=UPDATE&amp;creator=factset&amp;DYN_ARGS=TRUE&amp;DOC_NAME=FAT:FQL_AUDITING_CLIENT_TEMPLATE.FAT&amp;display_string=Audit&amp;VAR:KEY=UBGNGFARMZ&amp;VAR:QUERY=UkdGX1RBWF9SQVRFKEFOTiwwLCwsLCwsTk9BVURJVCk=&amp;WINDOW=FIRST_POPUP&amp;HEIGHT=450&amp;WIDTH=450&amp;","START_MAXIMIZED=FALSE&amp;VAR:CALENDAR=US&amp;VAR:SYMBOL=LAVA&amp;VAR:INDEX=0"}</definedName>
    <definedName name="_2959__FDSAUDITLINK__" localSheetId="7" hidden="1">{"fdsup://directions/FAT Viewer?action=UPDATE&amp;creator=factset&amp;DYN_ARGS=TRUE&amp;DOC_NAME=FAT:FQL_AUDITING_CLIENT_TEMPLATE.FAT&amp;display_string=Audit&amp;VAR:KEY=UBGNGFARMZ&amp;VAR:QUERY=UkdGX1RBWF9SQVRFKEFOTiwwLCwsLCwsTk9BVURJVCk=&amp;WINDOW=FIRST_POPUP&amp;HEIGHT=450&amp;WIDTH=450&amp;","START_MAXIMIZED=FALSE&amp;VAR:CALENDAR=US&amp;VAR:SYMBOL=LAVA&amp;VAR:INDEX=0"}</definedName>
    <definedName name="_2959__FDSAUDITLINK__" hidden="1">{"fdsup://directions/FAT Viewer?action=UPDATE&amp;creator=factset&amp;DYN_ARGS=TRUE&amp;DOC_NAME=FAT:FQL_AUDITING_CLIENT_TEMPLATE.FAT&amp;display_string=Audit&amp;VAR:KEY=UBGNGFARMZ&amp;VAR:QUERY=UkdGX1RBWF9SQVRFKEFOTiwwLCwsLCwsTk9BVURJVCk=&amp;WINDOW=FIRST_POPUP&amp;HEIGHT=450&amp;WIDTH=450&amp;","START_MAXIMIZED=FALSE&amp;VAR:CALENDAR=US&amp;VAR:SYMBOL=LAVA&amp;VAR:INDEX=0"}</definedName>
    <definedName name="_296__FDSAUDITLINK__" localSheetId="3" hidden="1">{"fdsup://directions/FAT Viewer?action=UPDATE&amp;creator=factset&amp;DYN_ARGS=TRUE&amp;DOC_NAME=FAT:FQL_AUDITING_CLIENT_TEMPLATE.FAT&amp;display_string=Audit&amp;VAR:KEY=JWBCTGLENY&amp;VAR:QUERY=RkZfU0FMRVMoTFRNLDAsLCwsLE0p&amp;WINDOW=FIRST_POPUP&amp;HEIGHT=450&amp;WIDTH=450&amp;START_MAXIMIZED=","FALSE&amp;VAR:CALENDAR=US&amp;VAR:SYMBOL=B1YCJ3&amp;VAR:INDEX=0"}</definedName>
    <definedName name="_296__FDSAUDITLINK__" localSheetId="7" hidden="1">{"fdsup://directions/FAT Viewer?action=UPDATE&amp;creator=factset&amp;DYN_ARGS=TRUE&amp;DOC_NAME=FAT:FQL_AUDITING_CLIENT_TEMPLATE.FAT&amp;display_string=Audit&amp;VAR:KEY=JWBCTGLENY&amp;VAR:QUERY=RkZfU0FMRVMoTFRNLDAsLCwsLE0p&amp;WINDOW=FIRST_POPUP&amp;HEIGHT=450&amp;WIDTH=450&amp;START_MAXIMIZED=","FALSE&amp;VAR:CALENDAR=US&amp;VAR:SYMBOL=B1YCJ3&amp;VAR:INDEX=0"}</definedName>
    <definedName name="_296__FDSAUDITLINK__" hidden="1">{"fdsup://directions/FAT Viewer?action=UPDATE&amp;creator=factset&amp;DYN_ARGS=TRUE&amp;DOC_NAME=FAT:FQL_AUDITING_CLIENT_TEMPLATE.FAT&amp;display_string=Audit&amp;VAR:KEY=JWBCTGLENY&amp;VAR:QUERY=RkZfU0FMRVMoTFRNLDAsLCwsLE0p&amp;WINDOW=FIRST_POPUP&amp;HEIGHT=450&amp;WIDTH=450&amp;START_MAXIMIZED=","FALSE&amp;VAR:CALENDAR=US&amp;VAR:SYMBOL=B1YCJ3&amp;VAR:INDEX=0"}</definedName>
    <definedName name="_2960__FDSAUDITLINK__" localSheetId="3" hidden="1">{"fdsup://directions/FAT Viewer?action=UPDATE&amp;creator=factset&amp;DYN_ARGS=TRUE&amp;DOC_NAME=FAT:FQL_AUDITING_CLIENT_TEMPLATE.FAT&amp;display_string=Audit&amp;VAR:KEY=MJSDENKFMR&amp;VAR:QUERY=UkdGX1RBWF9SQVRFKEFOTiwwLCwsLCwsTk9BVURJVCk=&amp;WINDOW=FIRST_POPUP&amp;HEIGHT=450&amp;WIDTH=450&amp;","START_MAXIMIZED=FALSE&amp;VAR:CALENDAR=US&amp;VAR:SYMBOL=LOOP&amp;VAR:INDEX=0"}</definedName>
    <definedName name="_2960__FDSAUDITLINK__" localSheetId="7" hidden="1">{"fdsup://directions/FAT Viewer?action=UPDATE&amp;creator=factset&amp;DYN_ARGS=TRUE&amp;DOC_NAME=FAT:FQL_AUDITING_CLIENT_TEMPLATE.FAT&amp;display_string=Audit&amp;VAR:KEY=MJSDENKFMR&amp;VAR:QUERY=UkdGX1RBWF9SQVRFKEFOTiwwLCwsLCwsTk9BVURJVCk=&amp;WINDOW=FIRST_POPUP&amp;HEIGHT=450&amp;WIDTH=450&amp;","START_MAXIMIZED=FALSE&amp;VAR:CALENDAR=US&amp;VAR:SYMBOL=LOOP&amp;VAR:INDEX=0"}</definedName>
    <definedName name="_2960__FDSAUDITLINK__" hidden="1">{"fdsup://directions/FAT Viewer?action=UPDATE&amp;creator=factset&amp;DYN_ARGS=TRUE&amp;DOC_NAME=FAT:FQL_AUDITING_CLIENT_TEMPLATE.FAT&amp;display_string=Audit&amp;VAR:KEY=MJSDENKFMR&amp;VAR:QUERY=UkdGX1RBWF9SQVRFKEFOTiwwLCwsLCwsTk9BVURJVCk=&amp;WINDOW=FIRST_POPUP&amp;HEIGHT=450&amp;WIDTH=450&amp;","START_MAXIMIZED=FALSE&amp;VAR:CALENDAR=US&amp;VAR:SYMBOL=LOOP&amp;VAR:INDEX=0"}</definedName>
    <definedName name="_2961__FDSAUDITLINK__" localSheetId="3" hidden="1">{"fdsup://directions/FAT Viewer?action=UPDATE&amp;creator=factset&amp;DYN_ARGS=TRUE&amp;DOC_NAME=FAT:FQL_AUDITING_CLIENT_TEMPLATE.FAT&amp;display_string=Audit&amp;VAR:KEY=MJSDENKFMR&amp;VAR:QUERY=UkdGX1RBWF9SQVRFKEFOTiwwLCwsLCwsTk9BVURJVCk=&amp;WINDOW=FIRST_POPUP&amp;HEIGHT=450&amp;WIDTH=450&amp;","START_MAXIMIZED=FALSE&amp;VAR:CALENDAR=US&amp;VAR:SYMBOL=LOOP&amp;VAR:INDEX=0"}</definedName>
    <definedName name="_2961__FDSAUDITLINK__" localSheetId="7" hidden="1">{"fdsup://directions/FAT Viewer?action=UPDATE&amp;creator=factset&amp;DYN_ARGS=TRUE&amp;DOC_NAME=FAT:FQL_AUDITING_CLIENT_TEMPLATE.FAT&amp;display_string=Audit&amp;VAR:KEY=MJSDENKFMR&amp;VAR:QUERY=UkdGX1RBWF9SQVRFKEFOTiwwLCwsLCwsTk9BVURJVCk=&amp;WINDOW=FIRST_POPUP&amp;HEIGHT=450&amp;WIDTH=450&amp;","START_MAXIMIZED=FALSE&amp;VAR:CALENDAR=US&amp;VAR:SYMBOL=LOOP&amp;VAR:INDEX=0"}</definedName>
    <definedName name="_2961__FDSAUDITLINK__" hidden="1">{"fdsup://directions/FAT Viewer?action=UPDATE&amp;creator=factset&amp;DYN_ARGS=TRUE&amp;DOC_NAME=FAT:FQL_AUDITING_CLIENT_TEMPLATE.FAT&amp;display_string=Audit&amp;VAR:KEY=MJSDENKFMR&amp;VAR:QUERY=UkdGX1RBWF9SQVRFKEFOTiwwLCwsLCwsTk9BVURJVCk=&amp;WINDOW=FIRST_POPUP&amp;HEIGHT=450&amp;WIDTH=450&amp;","START_MAXIMIZED=FALSE&amp;VAR:CALENDAR=US&amp;VAR:SYMBOL=LOOP&amp;VAR:INDEX=0"}</definedName>
    <definedName name="_2962__FDSAUDITLINK__" localSheetId="3" hidden="1">{"fdsup://directions/FAT Viewer?action=UPDATE&amp;creator=factset&amp;DYN_ARGS=TRUE&amp;DOC_NAME=FAT:FQL_AUDITING_CLIENT_TEMPLATE.FAT&amp;display_string=Audit&amp;VAR:KEY=ORUZUTSHMT&amp;VAR:QUERY=UkdGX1RBWF9SQVRFKEFOTiwwLCwsLCwsTk9BVURJVCk=&amp;WINDOW=FIRST_POPUP&amp;HEIGHT=450&amp;WIDTH=450&amp;","START_MAXIMIZED=FALSE&amp;VAR:CALENDAR=US&amp;VAR:SYMBOL=LPSN&amp;VAR:INDEX=0"}</definedName>
    <definedName name="_2962__FDSAUDITLINK__" localSheetId="7" hidden="1">{"fdsup://directions/FAT Viewer?action=UPDATE&amp;creator=factset&amp;DYN_ARGS=TRUE&amp;DOC_NAME=FAT:FQL_AUDITING_CLIENT_TEMPLATE.FAT&amp;display_string=Audit&amp;VAR:KEY=ORUZUTSHMT&amp;VAR:QUERY=UkdGX1RBWF9SQVRFKEFOTiwwLCwsLCwsTk9BVURJVCk=&amp;WINDOW=FIRST_POPUP&amp;HEIGHT=450&amp;WIDTH=450&amp;","START_MAXIMIZED=FALSE&amp;VAR:CALENDAR=US&amp;VAR:SYMBOL=LPSN&amp;VAR:INDEX=0"}</definedName>
    <definedName name="_2962__FDSAUDITLINK__" hidden="1">{"fdsup://directions/FAT Viewer?action=UPDATE&amp;creator=factset&amp;DYN_ARGS=TRUE&amp;DOC_NAME=FAT:FQL_AUDITING_CLIENT_TEMPLATE.FAT&amp;display_string=Audit&amp;VAR:KEY=ORUZUTSHMT&amp;VAR:QUERY=UkdGX1RBWF9SQVRFKEFOTiwwLCwsLCwsTk9BVURJVCk=&amp;WINDOW=FIRST_POPUP&amp;HEIGHT=450&amp;WIDTH=450&amp;","START_MAXIMIZED=FALSE&amp;VAR:CALENDAR=US&amp;VAR:SYMBOL=LPSN&amp;VAR:INDEX=0"}</definedName>
    <definedName name="_2963__FDSAUDITLINK__" localSheetId="3" hidden="1">{"fdsup://directions/FAT Viewer?action=UPDATE&amp;creator=factset&amp;DYN_ARGS=TRUE&amp;DOC_NAME=FAT:FQL_AUDITING_CLIENT_TEMPLATE.FAT&amp;display_string=Audit&amp;VAR:KEY=ORUZUTSHMT&amp;VAR:QUERY=UkdGX1RBWF9SQVRFKEFOTiwwLCwsLCwsTk9BVURJVCk=&amp;WINDOW=FIRST_POPUP&amp;HEIGHT=450&amp;WIDTH=450&amp;","START_MAXIMIZED=FALSE&amp;VAR:CALENDAR=US&amp;VAR:SYMBOL=LPSN&amp;VAR:INDEX=0"}</definedName>
    <definedName name="_2963__FDSAUDITLINK__" localSheetId="7" hidden="1">{"fdsup://directions/FAT Viewer?action=UPDATE&amp;creator=factset&amp;DYN_ARGS=TRUE&amp;DOC_NAME=FAT:FQL_AUDITING_CLIENT_TEMPLATE.FAT&amp;display_string=Audit&amp;VAR:KEY=ORUZUTSHMT&amp;VAR:QUERY=UkdGX1RBWF9SQVRFKEFOTiwwLCwsLCwsTk9BVURJVCk=&amp;WINDOW=FIRST_POPUP&amp;HEIGHT=450&amp;WIDTH=450&amp;","START_MAXIMIZED=FALSE&amp;VAR:CALENDAR=US&amp;VAR:SYMBOL=LPSN&amp;VAR:INDEX=0"}</definedName>
    <definedName name="_2963__FDSAUDITLINK__" hidden="1">{"fdsup://directions/FAT Viewer?action=UPDATE&amp;creator=factset&amp;DYN_ARGS=TRUE&amp;DOC_NAME=FAT:FQL_AUDITING_CLIENT_TEMPLATE.FAT&amp;display_string=Audit&amp;VAR:KEY=ORUZUTSHMT&amp;VAR:QUERY=UkdGX1RBWF9SQVRFKEFOTiwwLCwsLCwsTk9BVURJVCk=&amp;WINDOW=FIRST_POPUP&amp;HEIGHT=450&amp;WIDTH=450&amp;","START_MAXIMIZED=FALSE&amp;VAR:CALENDAR=US&amp;VAR:SYMBOL=LPSN&amp;VAR:INDEX=0"}</definedName>
    <definedName name="_2964__FDSAUDITLINK__" localSheetId="3" hidden="1">{"fdsup://directions/FAT Viewer?action=UPDATE&amp;creator=factset&amp;DYN_ARGS=TRUE&amp;DOC_NAME=FAT:FQL_AUDITING_CLIENT_TEMPLATE.FAT&amp;display_string=Audit&amp;VAR:KEY=MLYHWJKBKX&amp;VAR:QUERY=UkdGX1RBWF9SQVRFKEFOTiwwLCwsLCwsTk9BVURJVCk=&amp;WINDOW=FIRST_POPUP&amp;HEIGHT=450&amp;WIDTH=450&amp;","START_MAXIMIZED=FALSE&amp;VAR:CALENDAR=US&amp;VAR:SYMBOL=LOGM&amp;VAR:INDEX=0"}</definedName>
    <definedName name="_2964__FDSAUDITLINK__" localSheetId="7" hidden="1">{"fdsup://directions/FAT Viewer?action=UPDATE&amp;creator=factset&amp;DYN_ARGS=TRUE&amp;DOC_NAME=FAT:FQL_AUDITING_CLIENT_TEMPLATE.FAT&amp;display_string=Audit&amp;VAR:KEY=MLYHWJKBKX&amp;VAR:QUERY=UkdGX1RBWF9SQVRFKEFOTiwwLCwsLCwsTk9BVURJVCk=&amp;WINDOW=FIRST_POPUP&amp;HEIGHT=450&amp;WIDTH=450&amp;","START_MAXIMIZED=FALSE&amp;VAR:CALENDAR=US&amp;VAR:SYMBOL=LOGM&amp;VAR:INDEX=0"}</definedName>
    <definedName name="_2964__FDSAUDITLINK__" hidden="1">{"fdsup://directions/FAT Viewer?action=UPDATE&amp;creator=factset&amp;DYN_ARGS=TRUE&amp;DOC_NAME=FAT:FQL_AUDITING_CLIENT_TEMPLATE.FAT&amp;display_string=Audit&amp;VAR:KEY=MLYHWJKBKX&amp;VAR:QUERY=UkdGX1RBWF9SQVRFKEFOTiwwLCwsLCwsTk9BVURJVCk=&amp;WINDOW=FIRST_POPUP&amp;HEIGHT=450&amp;WIDTH=450&amp;","START_MAXIMIZED=FALSE&amp;VAR:CALENDAR=US&amp;VAR:SYMBOL=LOGM&amp;VAR:INDEX=0"}</definedName>
    <definedName name="_2965__FDSAUDITLINK__" localSheetId="3" hidden="1">{"fdsup://directions/FAT Viewer?action=UPDATE&amp;creator=factset&amp;DYN_ARGS=TRUE&amp;DOC_NAME=FAT:FQL_AUDITING_CLIENT_TEMPLATE.FAT&amp;display_string=Audit&amp;VAR:KEY=MLYHWJKBKX&amp;VAR:QUERY=UkdGX1RBWF9SQVRFKEFOTiwwLCwsLCwsTk9BVURJVCk=&amp;WINDOW=FIRST_POPUP&amp;HEIGHT=450&amp;WIDTH=450&amp;","START_MAXIMIZED=FALSE&amp;VAR:CALENDAR=US&amp;VAR:SYMBOL=LOGM&amp;VAR:INDEX=0"}</definedName>
    <definedName name="_2965__FDSAUDITLINK__" localSheetId="7" hidden="1">{"fdsup://directions/FAT Viewer?action=UPDATE&amp;creator=factset&amp;DYN_ARGS=TRUE&amp;DOC_NAME=FAT:FQL_AUDITING_CLIENT_TEMPLATE.FAT&amp;display_string=Audit&amp;VAR:KEY=MLYHWJKBKX&amp;VAR:QUERY=UkdGX1RBWF9SQVRFKEFOTiwwLCwsLCwsTk9BVURJVCk=&amp;WINDOW=FIRST_POPUP&amp;HEIGHT=450&amp;WIDTH=450&amp;","START_MAXIMIZED=FALSE&amp;VAR:CALENDAR=US&amp;VAR:SYMBOL=LOGM&amp;VAR:INDEX=0"}</definedName>
    <definedName name="_2965__FDSAUDITLINK__" hidden="1">{"fdsup://directions/FAT Viewer?action=UPDATE&amp;creator=factset&amp;DYN_ARGS=TRUE&amp;DOC_NAME=FAT:FQL_AUDITING_CLIENT_TEMPLATE.FAT&amp;display_string=Audit&amp;VAR:KEY=MLYHWJKBKX&amp;VAR:QUERY=UkdGX1RBWF9SQVRFKEFOTiwwLCwsLCwsTk9BVURJVCk=&amp;WINDOW=FIRST_POPUP&amp;HEIGHT=450&amp;WIDTH=450&amp;","START_MAXIMIZED=FALSE&amp;VAR:CALENDAR=US&amp;VAR:SYMBOL=LOGM&amp;VAR:INDEX=0"}</definedName>
    <definedName name="_2966__FDSAUDITLINK__" localSheetId="3" hidden="1">{"fdsup://directions/FAT Viewer?action=UPDATE&amp;creator=factset&amp;DYN_ARGS=TRUE&amp;DOC_NAME=FAT:FQL_AUDITING_CLIENT_TEMPLATE.FAT&amp;display_string=Audit&amp;VAR:KEY=OPALAFGDUV&amp;VAR:QUERY=UkdGX1RBWF9SQVRFKEFOTiwwLCwsLCwsTk9BVURJVCk=&amp;WINDOW=FIRST_POPUP&amp;HEIGHT=450&amp;WIDTH=450&amp;","START_MAXIMIZED=FALSE&amp;VAR:CALENDAR=US&amp;VAR:SYMBOL=LIOX&amp;VAR:INDEX=0"}</definedName>
    <definedName name="_2966__FDSAUDITLINK__" localSheetId="7" hidden="1">{"fdsup://directions/FAT Viewer?action=UPDATE&amp;creator=factset&amp;DYN_ARGS=TRUE&amp;DOC_NAME=FAT:FQL_AUDITING_CLIENT_TEMPLATE.FAT&amp;display_string=Audit&amp;VAR:KEY=OPALAFGDUV&amp;VAR:QUERY=UkdGX1RBWF9SQVRFKEFOTiwwLCwsLCwsTk9BVURJVCk=&amp;WINDOW=FIRST_POPUP&amp;HEIGHT=450&amp;WIDTH=450&amp;","START_MAXIMIZED=FALSE&amp;VAR:CALENDAR=US&amp;VAR:SYMBOL=LIOX&amp;VAR:INDEX=0"}</definedName>
    <definedName name="_2966__FDSAUDITLINK__" hidden="1">{"fdsup://directions/FAT Viewer?action=UPDATE&amp;creator=factset&amp;DYN_ARGS=TRUE&amp;DOC_NAME=FAT:FQL_AUDITING_CLIENT_TEMPLATE.FAT&amp;display_string=Audit&amp;VAR:KEY=OPALAFGDUV&amp;VAR:QUERY=UkdGX1RBWF9SQVRFKEFOTiwwLCwsLCwsTk9BVURJVCk=&amp;WINDOW=FIRST_POPUP&amp;HEIGHT=450&amp;WIDTH=450&amp;","START_MAXIMIZED=FALSE&amp;VAR:CALENDAR=US&amp;VAR:SYMBOL=LIOX&amp;VAR:INDEX=0"}</definedName>
    <definedName name="_2967__FDSAUDITLINK__" localSheetId="3" hidden="1">{"fdsup://directions/FAT Viewer?action=UPDATE&amp;creator=factset&amp;DYN_ARGS=TRUE&amp;DOC_NAME=FAT:FQL_AUDITING_CLIENT_TEMPLATE.FAT&amp;display_string=Audit&amp;VAR:KEY=OPALAFGDUV&amp;VAR:QUERY=UkdGX1RBWF9SQVRFKEFOTiwwLCwsLCwsTk9BVURJVCk=&amp;WINDOW=FIRST_POPUP&amp;HEIGHT=450&amp;WIDTH=450&amp;","START_MAXIMIZED=FALSE&amp;VAR:CALENDAR=US&amp;VAR:SYMBOL=LIOX&amp;VAR:INDEX=0"}</definedName>
    <definedName name="_2967__FDSAUDITLINK__" localSheetId="7" hidden="1">{"fdsup://directions/FAT Viewer?action=UPDATE&amp;creator=factset&amp;DYN_ARGS=TRUE&amp;DOC_NAME=FAT:FQL_AUDITING_CLIENT_TEMPLATE.FAT&amp;display_string=Audit&amp;VAR:KEY=OPALAFGDUV&amp;VAR:QUERY=UkdGX1RBWF9SQVRFKEFOTiwwLCwsLCwsTk9BVURJVCk=&amp;WINDOW=FIRST_POPUP&amp;HEIGHT=450&amp;WIDTH=450&amp;","START_MAXIMIZED=FALSE&amp;VAR:CALENDAR=US&amp;VAR:SYMBOL=LIOX&amp;VAR:INDEX=0"}</definedName>
    <definedName name="_2967__FDSAUDITLINK__" hidden="1">{"fdsup://directions/FAT Viewer?action=UPDATE&amp;creator=factset&amp;DYN_ARGS=TRUE&amp;DOC_NAME=FAT:FQL_AUDITING_CLIENT_TEMPLATE.FAT&amp;display_string=Audit&amp;VAR:KEY=OPALAFGDUV&amp;VAR:QUERY=UkdGX1RBWF9SQVRFKEFOTiwwLCwsLCwsTk9BVURJVCk=&amp;WINDOW=FIRST_POPUP&amp;HEIGHT=450&amp;WIDTH=450&amp;","START_MAXIMIZED=FALSE&amp;VAR:CALENDAR=US&amp;VAR:SYMBOL=LIOX&amp;VAR:INDEX=0"}</definedName>
    <definedName name="_2968__FDSAUDITLINK__" localSheetId="3" hidden="1">{"fdsup://directions/FAT Viewer?action=UPDATE&amp;creator=factset&amp;DYN_ARGS=TRUE&amp;DOC_NAME=FAT:FQL_AUDITING_CLIENT_TEMPLATE.FAT&amp;display_string=Audit&amp;VAR:KEY=YFSDYTOJEB&amp;VAR:QUERY=UkdGX1RBWF9SQVRFKEFOTiwwLCwsLCwsTk9BVURJVCk=&amp;WINDOW=FIRST_POPUP&amp;HEIGHT=450&amp;WIDTH=450&amp;","START_MAXIMIZED=FALSE&amp;VAR:CALENDAR=US&amp;VAR:SYMBOL=LLNW&amp;VAR:INDEX=0"}</definedName>
    <definedName name="_2968__FDSAUDITLINK__" localSheetId="7" hidden="1">{"fdsup://directions/FAT Viewer?action=UPDATE&amp;creator=factset&amp;DYN_ARGS=TRUE&amp;DOC_NAME=FAT:FQL_AUDITING_CLIENT_TEMPLATE.FAT&amp;display_string=Audit&amp;VAR:KEY=YFSDYTOJEB&amp;VAR:QUERY=UkdGX1RBWF9SQVRFKEFOTiwwLCwsLCwsTk9BVURJVCk=&amp;WINDOW=FIRST_POPUP&amp;HEIGHT=450&amp;WIDTH=450&amp;","START_MAXIMIZED=FALSE&amp;VAR:CALENDAR=US&amp;VAR:SYMBOL=LLNW&amp;VAR:INDEX=0"}</definedName>
    <definedName name="_2968__FDSAUDITLINK__" hidden="1">{"fdsup://directions/FAT Viewer?action=UPDATE&amp;creator=factset&amp;DYN_ARGS=TRUE&amp;DOC_NAME=FAT:FQL_AUDITING_CLIENT_TEMPLATE.FAT&amp;display_string=Audit&amp;VAR:KEY=YFSDYTOJEB&amp;VAR:QUERY=UkdGX1RBWF9SQVRFKEFOTiwwLCwsLCwsTk9BVURJVCk=&amp;WINDOW=FIRST_POPUP&amp;HEIGHT=450&amp;WIDTH=450&amp;","START_MAXIMIZED=FALSE&amp;VAR:CALENDAR=US&amp;VAR:SYMBOL=LLNW&amp;VAR:INDEX=0"}</definedName>
    <definedName name="_2969__FDSAUDITLINK__" localSheetId="3" hidden="1">{"fdsup://directions/FAT Viewer?action=UPDATE&amp;creator=factset&amp;DYN_ARGS=TRUE&amp;DOC_NAME=FAT:FQL_AUDITING_CLIENT_TEMPLATE.FAT&amp;display_string=Audit&amp;VAR:KEY=GNAJYFCFMR&amp;VAR:QUERY=UkdGX1RBWF9SQVRFKEFOTiwwLCwsLCwsTk9BVURJVCk=&amp;WINDOW=FIRST_POPUP&amp;HEIGHT=450&amp;WIDTH=450&amp;","START_MAXIMIZED=FALSE&amp;VAR:CALENDAR=US&amp;VAR:SYMBOL=LVLT&amp;VAR:INDEX=0"}</definedName>
    <definedName name="_2969__FDSAUDITLINK__" localSheetId="7" hidden="1">{"fdsup://directions/FAT Viewer?action=UPDATE&amp;creator=factset&amp;DYN_ARGS=TRUE&amp;DOC_NAME=FAT:FQL_AUDITING_CLIENT_TEMPLATE.FAT&amp;display_string=Audit&amp;VAR:KEY=GNAJYFCFMR&amp;VAR:QUERY=UkdGX1RBWF9SQVRFKEFOTiwwLCwsLCwsTk9BVURJVCk=&amp;WINDOW=FIRST_POPUP&amp;HEIGHT=450&amp;WIDTH=450&amp;","START_MAXIMIZED=FALSE&amp;VAR:CALENDAR=US&amp;VAR:SYMBOL=LVLT&amp;VAR:INDEX=0"}</definedName>
    <definedName name="_2969__FDSAUDITLINK__" hidden="1">{"fdsup://directions/FAT Viewer?action=UPDATE&amp;creator=factset&amp;DYN_ARGS=TRUE&amp;DOC_NAME=FAT:FQL_AUDITING_CLIENT_TEMPLATE.FAT&amp;display_string=Audit&amp;VAR:KEY=GNAJYFCFMR&amp;VAR:QUERY=UkdGX1RBWF9SQVRFKEFOTiwwLCwsLCwsTk9BVURJVCk=&amp;WINDOW=FIRST_POPUP&amp;HEIGHT=450&amp;WIDTH=450&amp;","START_MAXIMIZED=FALSE&amp;VAR:CALENDAR=US&amp;VAR:SYMBOL=LVLT&amp;VAR:INDEX=0"}</definedName>
    <definedName name="_297__FDSAUDITLINK__" localSheetId="3" hidden="1">{"fdsup://directions/FAT Viewer?action=UPDATE&amp;creator=factset&amp;DYN_ARGS=TRUE&amp;DOC_NAME=FAT:FQL_AUDITING_CLIENT_TEMPLATE.FAT&amp;display_string=Audit&amp;VAR:KEY=YDUVQDEJAF&amp;VAR:QUERY=RkZfRUJJVERBX09QRVIoTFRNLDAsLCwsLE0p&amp;WINDOW=FIRST_POPUP&amp;HEIGHT=450&amp;WIDTH=450&amp;START_MA","XIMIZED=FALSE&amp;VAR:CALENDAR=US&amp;VAR:SYMBOL=B1G8KX&amp;VAR:INDEX=0"}</definedName>
    <definedName name="_297__FDSAUDITLINK__" localSheetId="7" hidden="1">{"fdsup://directions/FAT Viewer?action=UPDATE&amp;creator=factset&amp;DYN_ARGS=TRUE&amp;DOC_NAME=FAT:FQL_AUDITING_CLIENT_TEMPLATE.FAT&amp;display_string=Audit&amp;VAR:KEY=YDUVQDEJAF&amp;VAR:QUERY=RkZfRUJJVERBX09QRVIoTFRNLDAsLCwsLE0p&amp;WINDOW=FIRST_POPUP&amp;HEIGHT=450&amp;WIDTH=450&amp;START_MA","XIMIZED=FALSE&amp;VAR:CALENDAR=US&amp;VAR:SYMBOL=B1G8KX&amp;VAR:INDEX=0"}</definedName>
    <definedName name="_297__FDSAUDITLINK__" hidden="1">{"fdsup://directions/FAT Viewer?action=UPDATE&amp;creator=factset&amp;DYN_ARGS=TRUE&amp;DOC_NAME=FAT:FQL_AUDITING_CLIENT_TEMPLATE.FAT&amp;display_string=Audit&amp;VAR:KEY=YDUVQDEJAF&amp;VAR:QUERY=RkZfRUJJVERBX09QRVIoTFRNLDAsLCwsLE0p&amp;WINDOW=FIRST_POPUP&amp;HEIGHT=450&amp;WIDTH=450&amp;START_MA","XIMIZED=FALSE&amp;VAR:CALENDAR=US&amp;VAR:SYMBOL=B1G8KX&amp;VAR:INDEX=0"}</definedName>
    <definedName name="_2970__FDSAUDITLINK__" localSheetId="3" hidden="1">{"fdsup://directions/FAT Viewer?action=UPDATE&amp;creator=factset&amp;DYN_ARGS=TRUE&amp;DOC_NAME=FAT:FQL_AUDITING_CLIENT_TEMPLATE.FAT&amp;display_string=Audit&amp;VAR:KEY=CDUJOZYHYP&amp;VAR:QUERY=UkdGX1RBWF9SQVRFKEFOTiwwLCwsLCwsTk9BVURJVCk=&amp;WINDOW=FIRST_POPUP&amp;HEIGHT=450&amp;WIDTH=450&amp;","START_MAXIMIZED=FALSE&amp;VAR:CALENDAR=US&amp;VAR:SYMBOL=LWSN&amp;VAR:INDEX=0"}</definedName>
    <definedName name="_2970__FDSAUDITLINK__" localSheetId="7" hidden="1">{"fdsup://directions/FAT Viewer?action=UPDATE&amp;creator=factset&amp;DYN_ARGS=TRUE&amp;DOC_NAME=FAT:FQL_AUDITING_CLIENT_TEMPLATE.FAT&amp;display_string=Audit&amp;VAR:KEY=CDUJOZYHYP&amp;VAR:QUERY=UkdGX1RBWF9SQVRFKEFOTiwwLCwsLCwsTk9BVURJVCk=&amp;WINDOW=FIRST_POPUP&amp;HEIGHT=450&amp;WIDTH=450&amp;","START_MAXIMIZED=FALSE&amp;VAR:CALENDAR=US&amp;VAR:SYMBOL=LWSN&amp;VAR:INDEX=0"}</definedName>
    <definedName name="_2970__FDSAUDITLINK__" hidden="1">{"fdsup://directions/FAT Viewer?action=UPDATE&amp;creator=factset&amp;DYN_ARGS=TRUE&amp;DOC_NAME=FAT:FQL_AUDITING_CLIENT_TEMPLATE.FAT&amp;display_string=Audit&amp;VAR:KEY=CDUJOZYHYP&amp;VAR:QUERY=UkdGX1RBWF9SQVRFKEFOTiwwLCwsLCwsTk9BVURJVCk=&amp;WINDOW=FIRST_POPUP&amp;HEIGHT=450&amp;WIDTH=450&amp;","START_MAXIMIZED=FALSE&amp;VAR:CALENDAR=US&amp;VAR:SYMBOL=LWSN&amp;VAR:INDEX=0"}</definedName>
    <definedName name="_2971__FDSAUDITLINK__" localSheetId="3" hidden="1">{"fdsup://directions/FAT Viewer?action=UPDATE&amp;creator=factset&amp;DYN_ARGS=TRUE&amp;DOC_NAME=FAT:FQL_AUDITING_CLIENT_TEMPLATE.FAT&amp;display_string=Audit&amp;VAR:KEY=CDUJOZYHYP&amp;VAR:QUERY=UkdGX1RBWF9SQVRFKEFOTiwwLCwsLCwsTk9BVURJVCk=&amp;WINDOW=FIRST_POPUP&amp;HEIGHT=450&amp;WIDTH=450&amp;","START_MAXIMIZED=FALSE&amp;VAR:CALENDAR=US&amp;VAR:SYMBOL=LWSN&amp;VAR:INDEX=0"}</definedName>
    <definedName name="_2971__FDSAUDITLINK__" localSheetId="7" hidden="1">{"fdsup://directions/FAT Viewer?action=UPDATE&amp;creator=factset&amp;DYN_ARGS=TRUE&amp;DOC_NAME=FAT:FQL_AUDITING_CLIENT_TEMPLATE.FAT&amp;display_string=Audit&amp;VAR:KEY=CDUJOZYHYP&amp;VAR:QUERY=UkdGX1RBWF9SQVRFKEFOTiwwLCwsLCwsTk9BVURJVCk=&amp;WINDOW=FIRST_POPUP&amp;HEIGHT=450&amp;WIDTH=450&amp;","START_MAXIMIZED=FALSE&amp;VAR:CALENDAR=US&amp;VAR:SYMBOL=LWSN&amp;VAR:INDEX=0"}</definedName>
    <definedName name="_2971__FDSAUDITLINK__" hidden="1">{"fdsup://directions/FAT Viewer?action=UPDATE&amp;creator=factset&amp;DYN_ARGS=TRUE&amp;DOC_NAME=FAT:FQL_AUDITING_CLIENT_TEMPLATE.FAT&amp;display_string=Audit&amp;VAR:KEY=CDUJOZYHYP&amp;VAR:QUERY=UkdGX1RBWF9SQVRFKEFOTiwwLCwsLCwsTk9BVURJVCk=&amp;WINDOW=FIRST_POPUP&amp;HEIGHT=450&amp;WIDTH=450&amp;","START_MAXIMIZED=FALSE&amp;VAR:CALENDAR=US&amp;VAR:SYMBOL=LWSN&amp;VAR:INDEX=0"}</definedName>
    <definedName name="_2972__FDSAUDITLINK__" localSheetId="3" hidden="1">{"fdsup://directions/FAT Viewer?action=UPDATE&amp;creator=factset&amp;DYN_ARGS=TRUE&amp;DOC_NAME=FAT:FQL_AUDITING_CLIENT_TEMPLATE.FAT&amp;display_string=Audit&amp;VAR:KEY=UZYFIZMVGN&amp;VAR:QUERY=UkdGX1RBWF9SQVRFKEFOTiwwLCwsLCwsTk9BVURJVCk=&amp;WINDOW=FIRST_POPUP&amp;HEIGHT=450&amp;WIDTH=450&amp;","START_MAXIMIZED=FALSE&amp;VAR:CALENDAR=US&amp;VAR:SYMBOL=712125&amp;VAR:INDEX=0"}</definedName>
    <definedName name="_2972__FDSAUDITLINK__" localSheetId="7" hidden="1">{"fdsup://directions/FAT Viewer?action=UPDATE&amp;creator=factset&amp;DYN_ARGS=TRUE&amp;DOC_NAME=FAT:FQL_AUDITING_CLIENT_TEMPLATE.FAT&amp;display_string=Audit&amp;VAR:KEY=UZYFIZMVGN&amp;VAR:QUERY=UkdGX1RBWF9SQVRFKEFOTiwwLCwsLCwsTk9BVURJVCk=&amp;WINDOW=FIRST_POPUP&amp;HEIGHT=450&amp;WIDTH=450&amp;","START_MAXIMIZED=FALSE&amp;VAR:CALENDAR=US&amp;VAR:SYMBOL=712125&amp;VAR:INDEX=0"}</definedName>
    <definedName name="_2972__FDSAUDITLINK__" hidden="1">{"fdsup://directions/FAT Viewer?action=UPDATE&amp;creator=factset&amp;DYN_ARGS=TRUE&amp;DOC_NAME=FAT:FQL_AUDITING_CLIENT_TEMPLATE.FAT&amp;display_string=Audit&amp;VAR:KEY=UZYFIZMVGN&amp;VAR:QUERY=UkdGX1RBWF9SQVRFKEFOTiwwLCwsLCwsTk9BVURJVCk=&amp;WINDOW=FIRST_POPUP&amp;HEIGHT=450&amp;WIDTH=450&amp;","START_MAXIMIZED=FALSE&amp;VAR:CALENDAR=US&amp;VAR:SYMBOL=712125&amp;VAR:INDEX=0"}</definedName>
    <definedName name="_2973__FDSAUDITLINK__" localSheetId="3" hidden="1">{"fdsup://directions/FAT Viewer?action=UPDATE&amp;creator=factset&amp;DYN_ARGS=TRUE&amp;DOC_NAME=FAT:FQL_AUDITING_CLIENT_TEMPLATE.FAT&amp;display_string=Audit&amp;VAR:KEY=UZYFIZMVGN&amp;VAR:QUERY=UkdGX1RBWF9SQVRFKEFOTiwwLCwsLCwsTk9BVURJVCk=&amp;WINDOW=FIRST_POPUP&amp;HEIGHT=450&amp;WIDTH=450&amp;","START_MAXIMIZED=FALSE&amp;VAR:CALENDAR=US&amp;VAR:SYMBOL=712125&amp;VAR:INDEX=0"}</definedName>
    <definedName name="_2973__FDSAUDITLINK__" localSheetId="7" hidden="1">{"fdsup://directions/FAT Viewer?action=UPDATE&amp;creator=factset&amp;DYN_ARGS=TRUE&amp;DOC_NAME=FAT:FQL_AUDITING_CLIENT_TEMPLATE.FAT&amp;display_string=Audit&amp;VAR:KEY=UZYFIZMVGN&amp;VAR:QUERY=UkdGX1RBWF9SQVRFKEFOTiwwLCwsLCwsTk9BVURJVCk=&amp;WINDOW=FIRST_POPUP&amp;HEIGHT=450&amp;WIDTH=450&amp;","START_MAXIMIZED=FALSE&amp;VAR:CALENDAR=US&amp;VAR:SYMBOL=712125&amp;VAR:INDEX=0"}</definedName>
    <definedName name="_2973__FDSAUDITLINK__" hidden="1">{"fdsup://directions/FAT Viewer?action=UPDATE&amp;creator=factset&amp;DYN_ARGS=TRUE&amp;DOC_NAME=FAT:FQL_AUDITING_CLIENT_TEMPLATE.FAT&amp;display_string=Audit&amp;VAR:KEY=UZYFIZMVGN&amp;VAR:QUERY=UkdGX1RBWF9SQVRFKEFOTiwwLCwsLCwsTk9BVURJVCk=&amp;WINDOW=FIRST_POPUP&amp;HEIGHT=450&amp;WIDTH=450&amp;","START_MAXIMIZED=FALSE&amp;VAR:CALENDAR=US&amp;VAR:SYMBOL=712125&amp;VAR:INDEX=0"}</definedName>
    <definedName name="_2974__FDSAUDITLINK__" localSheetId="3" hidden="1">{"fdsup://directions/FAT Viewer?action=UPDATE&amp;creator=factset&amp;DYN_ARGS=TRUE&amp;DOC_NAME=FAT:FQL_AUDITING_CLIENT_TEMPLATE.FAT&amp;display_string=Audit&amp;VAR:KEY=EDAPCNANUX&amp;VAR:QUERY=UkdGX1RBWF9SQVRFKEFOTiwwLCwsLCwsTk9BVURJVCk=&amp;WINDOW=FIRST_POPUP&amp;HEIGHT=450&amp;WIDTH=450&amp;","START_MAXIMIZED=FALSE&amp;VAR:CALENDAR=US&amp;VAR:SYMBOL=KEYN&amp;VAR:INDEX=0"}</definedName>
    <definedName name="_2974__FDSAUDITLINK__" localSheetId="7" hidden="1">{"fdsup://directions/FAT Viewer?action=UPDATE&amp;creator=factset&amp;DYN_ARGS=TRUE&amp;DOC_NAME=FAT:FQL_AUDITING_CLIENT_TEMPLATE.FAT&amp;display_string=Audit&amp;VAR:KEY=EDAPCNANUX&amp;VAR:QUERY=UkdGX1RBWF9SQVRFKEFOTiwwLCwsLCwsTk9BVURJVCk=&amp;WINDOW=FIRST_POPUP&amp;HEIGHT=450&amp;WIDTH=450&amp;","START_MAXIMIZED=FALSE&amp;VAR:CALENDAR=US&amp;VAR:SYMBOL=KEYN&amp;VAR:INDEX=0"}</definedName>
    <definedName name="_2974__FDSAUDITLINK__" hidden="1">{"fdsup://directions/FAT Viewer?action=UPDATE&amp;creator=factset&amp;DYN_ARGS=TRUE&amp;DOC_NAME=FAT:FQL_AUDITING_CLIENT_TEMPLATE.FAT&amp;display_string=Audit&amp;VAR:KEY=EDAPCNANUX&amp;VAR:QUERY=UkdGX1RBWF9SQVRFKEFOTiwwLCwsLCwsTk9BVURJVCk=&amp;WINDOW=FIRST_POPUP&amp;HEIGHT=450&amp;WIDTH=450&amp;","START_MAXIMIZED=FALSE&amp;VAR:CALENDAR=US&amp;VAR:SYMBOL=KEYN&amp;VAR:INDEX=0"}</definedName>
    <definedName name="_2975__FDSAUDITLINK__" localSheetId="3" hidden="1">{"fdsup://directions/FAT Viewer?action=UPDATE&amp;creator=factset&amp;DYN_ARGS=TRUE&amp;DOC_NAME=FAT:FQL_AUDITING_CLIENT_TEMPLATE.FAT&amp;display_string=Audit&amp;VAR:KEY=EDAPCNANUX&amp;VAR:QUERY=UkdGX1RBWF9SQVRFKEFOTiwwLCwsLCwsTk9BVURJVCk=&amp;WINDOW=FIRST_POPUP&amp;HEIGHT=450&amp;WIDTH=450&amp;","START_MAXIMIZED=FALSE&amp;VAR:CALENDAR=US&amp;VAR:SYMBOL=KEYN&amp;VAR:INDEX=0"}</definedName>
    <definedName name="_2975__FDSAUDITLINK__" localSheetId="7" hidden="1">{"fdsup://directions/FAT Viewer?action=UPDATE&amp;creator=factset&amp;DYN_ARGS=TRUE&amp;DOC_NAME=FAT:FQL_AUDITING_CLIENT_TEMPLATE.FAT&amp;display_string=Audit&amp;VAR:KEY=EDAPCNANUX&amp;VAR:QUERY=UkdGX1RBWF9SQVRFKEFOTiwwLCwsLCwsTk9BVURJVCk=&amp;WINDOW=FIRST_POPUP&amp;HEIGHT=450&amp;WIDTH=450&amp;","START_MAXIMIZED=FALSE&amp;VAR:CALENDAR=US&amp;VAR:SYMBOL=KEYN&amp;VAR:INDEX=0"}</definedName>
    <definedName name="_2975__FDSAUDITLINK__" hidden="1">{"fdsup://directions/FAT Viewer?action=UPDATE&amp;creator=factset&amp;DYN_ARGS=TRUE&amp;DOC_NAME=FAT:FQL_AUDITING_CLIENT_TEMPLATE.FAT&amp;display_string=Audit&amp;VAR:KEY=EDAPCNANUX&amp;VAR:QUERY=UkdGX1RBWF9SQVRFKEFOTiwwLCwsLCwsTk9BVURJVCk=&amp;WINDOW=FIRST_POPUP&amp;HEIGHT=450&amp;WIDTH=450&amp;","START_MAXIMIZED=FALSE&amp;VAR:CALENDAR=US&amp;VAR:SYMBOL=KEYN&amp;VAR:INDEX=0"}</definedName>
    <definedName name="_2976__FDSAUDITLINK__" localSheetId="3" hidden="1">{"fdsup://directions/FAT Viewer?action=UPDATE&amp;creator=factset&amp;DYN_ARGS=TRUE&amp;DOC_NAME=FAT:FQL_AUDITING_CLIENT_TEMPLATE.FAT&amp;display_string=Audit&amp;VAR:KEY=QVSLSJGVYV&amp;VAR:QUERY=UkdGX1RBWF9SQVRFKEFOTiwwLCwsLCwsTk9BVURJVCk=&amp;WINDOW=FIRST_POPUP&amp;HEIGHT=450&amp;WIDTH=450&amp;","START_MAXIMIZED=FALSE&amp;VAR:CALENDAR=US&amp;VAR:SYMBOL=KNXA&amp;VAR:INDEX=0"}</definedName>
    <definedName name="_2976__FDSAUDITLINK__" localSheetId="7" hidden="1">{"fdsup://directions/FAT Viewer?action=UPDATE&amp;creator=factset&amp;DYN_ARGS=TRUE&amp;DOC_NAME=FAT:FQL_AUDITING_CLIENT_TEMPLATE.FAT&amp;display_string=Audit&amp;VAR:KEY=QVSLSJGVYV&amp;VAR:QUERY=UkdGX1RBWF9SQVRFKEFOTiwwLCwsLCwsTk9BVURJVCk=&amp;WINDOW=FIRST_POPUP&amp;HEIGHT=450&amp;WIDTH=450&amp;","START_MAXIMIZED=FALSE&amp;VAR:CALENDAR=US&amp;VAR:SYMBOL=KNXA&amp;VAR:INDEX=0"}</definedName>
    <definedName name="_2976__FDSAUDITLINK__" hidden="1">{"fdsup://directions/FAT Viewer?action=UPDATE&amp;creator=factset&amp;DYN_ARGS=TRUE&amp;DOC_NAME=FAT:FQL_AUDITING_CLIENT_TEMPLATE.FAT&amp;display_string=Audit&amp;VAR:KEY=QVSLSJGVYV&amp;VAR:QUERY=UkdGX1RBWF9SQVRFKEFOTiwwLCwsLCwsTk9BVURJVCk=&amp;WINDOW=FIRST_POPUP&amp;HEIGHT=450&amp;WIDTH=450&amp;","START_MAXIMIZED=FALSE&amp;VAR:CALENDAR=US&amp;VAR:SYMBOL=KNXA&amp;VAR:INDEX=0"}</definedName>
    <definedName name="_2977__FDSAUDITLINK__" localSheetId="3" hidden="1">{"fdsup://directions/FAT Viewer?action=UPDATE&amp;creator=factset&amp;DYN_ARGS=TRUE&amp;DOC_NAME=FAT:FQL_AUDITING_CLIENT_TEMPLATE.FAT&amp;display_string=Audit&amp;VAR:KEY=ATOXIPGFAT&amp;VAR:QUERY=UkdGX1RBWF9SQVRFKEFOTiwwLCwsLCwsTk9BVURJVCk=&amp;WINDOW=FIRST_POPUP&amp;HEIGHT=450&amp;WIDTH=450&amp;","START_MAXIMIZED=FALSE&amp;VAR:CALENDAR=US&amp;VAR:SYMBOL=KANA&amp;VAR:INDEX=0"}</definedName>
    <definedName name="_2977__FDSAUDITLINK__" localSheetId="7" hidden="1">{"fdsup://directions/FAT Viewer?action=UPDATE&amp;creator=factset&amp;DYN_ARGS=TRUE&amp;DOC_NAME=FAT:FQL_AUDITING_CLIENT_TEMPLATE.FAT&amp;display_string=Audit&amp;VAR:KEY=ATOXIPGFAT&amp;VAR:QUERY=UkdGX1RBWF9SQVRFKEFOTiwwLCwsLCwsTk9BVURJVCk=&amp;WINDOW=FIRST_POPUP&amp;HEIGHT=450&amp;WIDTH=450&amp;","START_MAXIMIZED=FALSE&amp;VAR:CALENDAR=US&amp;VAR:SYMBOL=KANA&amp;VAR:INDEX=0"}</definedName>
    <definedName name="_2977__FDSAUDITLINK__" hidden="1">{"fdsup://directions/FAT Viewer?action=UPDATE&amp;creator=factset&amp;DYN_ARGS=TRUE&amp;DOC_NAME=FAT:FQL_AUDITING_CLIENT_TEMPLATE.FAT&amp;display_string=Audit&amp;VAR:KEY=ATOXIPGFAT&amp;VAR:QUERY=UkdGX1RBWF9SQVRFKEFOTiwwLCwsLCwsTk9BVURJVCk=&amp;WINDOW=FIRST_POPUP&amp;HEIGHT=450&amp;WIDTH=450&amp;","START_MAXIMIZED=FALSE&amp;VAR:CALENDAR=US&amp;VAR:SYMBOL=KANA&amp;VAR:INDEX=0"}</definedName>
    <definedName name="_2978__FDSAUDITLINK__" localSheetId="3" hidden="1">{"fdsup://directions/FAT Viewer?action=UPDATE&amp;creator=factset&amp;DYN_ARGS=TRUE&amp;DOC_NAME=FAT:FQL_AUDITING_CLIENT_TEMPLATE.FAT&amp;display_string=Audit&amp;VAR:KEY=ATOXIPGFAT&amp;VAR:QUERY=UkdGX1RBWF9SQVRFKEFOTiwwLCwsLCwsTk9BVURJVCk=&amp;WINDOW=FIRST_POPUP&amp;HEIGHT=450&amp;WIDTH=450&amp;","START_MAXIMIZED=FALSE&amp;VAR:CALENDAR=US&amp;VAR:SYMBOL=KANA&amp;VAR:INDEX=0"}</definedName>
    <definedName name="_2978__FDSAUDITLINK__" localSheetId="7" hidden="1">{"fdsup://directions/FAT Viewer?action=UPDATE&amp;creator=factset&amp;DYN_ARGS=TRUE&amp;DOC_NAME=FAT:FQL_AUDITING_CLIENT_TEMPLATE.FAT&amp;display_string=Audit&amp;VAR:KEY=ATOXIPGFAT&amp;VAR:QUERY=UkdGX1RBWF9SQVRFKEFOTiwwLCwsLCwsTk9BVURJVCk=&amp;WINDOW=FIRST_POPUP&amp;HEIGHT=450&amp;WIDTH=450&amp;","START_MAXIMIZED=FALSE&amp;VAR:CALENDAR=US&amp;VAR:SYMBOL=KANA&amp;VAR:INDEX=0"}</definedName>
    <definedName name="_2978__FDSAUDITLINK__" hidden="1">{"fdsup://directions/FAT Viewer?action=UPDATE&amp;creator=factset&amp;DYN_ARGS=TRUE&amp;DOC_NAME=FAT:FQL_AUDITING_CLIENT_TEMPLATE.FAT&amp;display_string=Audit&amp;VAR:KEY=ATOXIPGFAT&amp;VAR:QUERY=UkdGX1RBWF9SQVRFKEFOTiwwLCwsLCwsTk9BVURJVCk=&amp;WINDOW=FIRST_POPUP&amp;HEIGHT=450&amp;WIDTH=450&amp;","START_MAXIMIZED=FALSE&amp;VAR:CALENDAR=US&amp;VAR:SYMBOL=KANA&amp;VAR:INDEX=0"}</definedName>
    <definedName name="_2979__FDSAUDITLINK__" localSheetId="3" hidden="1">{"fdsup://directions/FAT Viewer?action=UPDATE&amp;creator=factset&amp;DYN_ARGS=TRUE&amp;DOC_NAME=FAT:FQL_AUDITING_CLIENT_TEMPLATE.FAT&amp;display_string=Audit&amp;VAR:KEY=AXYZWVSXAB&amp;VAR:QUERY=UkdGX1RBWF9SQVRFKEFOTiwwLCwsLCwsTk9BVURJVCk=&amp;WINDOW=FIRST_POPUP&amp;HEIGHT=450&amp;WIDTH=450&amp;","START_MAXIMIZED=FALSE&amp;VAR:CALENDAR=US&amp;VAR:SYMBOL=JUPM&amp;VAR:INDEX=0"}</definedName>
    <definedName name="_2979__FDSAUDITLINK__" localSheetId="7" hidden="1">{"fdsup://directions/FAT Viewer?action=UPDATE&amp;creator=factset&amp;DYN_ARGS=TRUE&amp;DOC_NAME=FAT:FQL_AUDITING_CLIENT_TEMPLATE.FAT&amp;display_string=Audit&amp;VAR:KEY=AXYZWVSXAB&amp;VAR:QUERY=UkdGX1RBWF9SQVRFKEFOTiwwLCwsLCwsTk9BVURJVCk=&amp;WINDOW=FIRST_POPUP&amp;HEIGHT=450&amp;WIDTH=450&amp;","START_MAXIMIZED=FALSE&amp;VAR:CALENDAR=US&amp;VAR:SYMBOL=JUPM&amp;VAR:INDEX=0"}</definedName>
    <definedName name="_2979__FDSAUDITLINK__" hidden="1">{"fdsup://directions/FAT Viewer?action=UPDATE&amp;creator=factset&amp;DYN_ARGS=TRUE&amp;DOC_NAME=FAT:FQL_AUDITING_CLIENT_TEMPLATE.FAT&amp;display_string=Audit&amp;VAR:KEY=AXYZWVSXAB&amp;VAR:QUERY=UkdGX1RBWF9SQVRFKEFOTiwwLCwsLCwsTk9BVURJVCk=&amp;WINDOW=FIRST_POPUP&amp;HEIGHT=450&amp;WIDTH=450&amp;","START_MAXIMIZED=FALSE&amp;VAR:CALENDAR=US&amp;VAR:SYMBOL=JUPM&amp;VAR:INDEX=0"}</definedName>
    <definedName name="_2980__FDSAUDITLINK__" localSheetId="3" hidden="1">{"fdsup://directions/FAT Viewer?action=UPDATE&amp;creator=factset&amp;DYN_ARGS=TRUE&amp;DOC_NAME=FAT:FQL_AUDITING_CLIENT_TEMPLATE.FAT&amp;display_string=Audit&amp;VAR:KEY=EVKXSZORGB&amp;VAR:QUERY=UkdGX1RBWF9SQVRFKEFOTiwwLCwsLCwsTk9BVURJVCk=&amp;WINDOW=FIRST_POPUP&amp;HEIGHT=450&amp;WIDTH=450&amp;","START_MAXIMIZED=FALSE&amp;VAR:CALENDAR=US&amp;VAR:SYMBOL=JNPR&amp;VAR:INDEX=0"}</definedName>
    <definedName name="_2980__FDSAUDITLINK__" localSheetId="7" hidden="1">{"fdsup://directions/FAT Viewer?action=UPDATE&amp;creator=factset&amp;DYN_ARGS=TRUE&amp;DOC_NAME=FAT:FQL_AUDITING_CLIENT_TEMPLATE.FAT&amp;display_string=Audit&amp;VAR:KEY=EVKXSZORGB&amp;VAR:QUERY=UkdGX1RBWF9SQVRFKEFOTiwwLCwsLCwsTk9BVURJVCk=&amp;WINDOW=FIRST_POPUP&amp;HEIGHT=450&amp;WIDTH=450&amp;","START_MAXIMIZED=FALSE&amp;VAR:CALENDAR=US&amp;VAR:SYMBOL=JNPR&amp;VAR:INDEX=0"}</definedName>
    <definedName name="_2980__FDSAUDITLINK__" hidden="1">{"fdsup://directions/FAT Viewer?action=UPDATE&amp;creator=factset&amp;DYN_ARGS=TRUE&amp;DOC_NAME=FAT:FQL_AUDITING_CLIENT_TEMPLATE.FAT&amp;display_string=Audit&amp;VAR:KEY=EVKXSZORGB&amp;VAR:QUERY=UkdGX1RBWF9SQVRFKEFOTiwwLCwsLCwsTk9BVURJVCk=&amp;WINDOW=FIRST_POPUP&amp;HEIGHT=450&amp;WIDTH=450&amp;","START_MAXIMIZED=FALSE&amp;VAR:CALENDAR=US&amp;VAR:SYMBOL=JNPR&amp;VAR:INDEX=0"}</definedName>
    <definedName name="_2981__FDSAUDITLINK__" localSheetId="3" hidden="1">{"fdsup://directions/FAT Viewer?action=UPDATE&amp;creator=factset&amp;DYN_ARGS=TRUE&amp;DOC_NAME=FAT:FQL_AUDITING_CLIENT_TEMPLATE.FAT&amp;display_string=Audit&amp;VAR:KEY=EVKXSZORGB&amp;VAR:QUERY=UkdGX1RBWF9SQVRFKEFOTiwwLCwsLCwsTk9BVURJVCk=&amp;WINDOW=FIRST_POPUP&amp;HEIGHT=450&amp;WIDTH=450&amp;","START_MAXIMIZED=FALSE&amp;VAR:CALENDAR=US&amp;VAR:SYMBOL=JNPR&amp;VAR:INDEX=0"}</definedName>
    <definedName name="_2981__FDSAUDITLINK__" localSheetId="7" hidden="1">{"fdsup://directions/FAT Viewer?action=UPDATE&amp;creator=factset&amp;DYN_ARGS=TRUE&amp;DOC_NAME=FAT:FQL_AUDITING_CLIENT_TEMPLATE.FAT&amp;display_string=Audit&amp;VAR:KEY=EVKXSZORGB&amp;VAR:QUERY=UkdGX1RBWF9SQVRFKEFOTiwwLCwsLCwsTk9BVURJVCk=&amp;WINDOW=FIRST_POPUP&amp;HEIGHT=450&amp;WIDTH=450&amp;","START_MAXIMIZED=FALSE&amp;VAR:CALENDAR=US&amp;VAR:SYMBOL=JNPR&amp;VAR:INDEX=0"}</definedName>
    <definedName name="_2981__FDSAUDITLINK__" hidden="1">{"fdsup://directions/FAT Viewer?action=UPDATE&amp;creator=factset&amp;DYN_ARGS=TRUE&amp;DOC_NAME=FAT:FQL_AUDITING_CLIENT_TEMPLATE.FAT&amp;display_string=Audit&amp;VAR:KEY=EVKXSZORGB&amp;VAR:QUERY=UkdGX1RBWF9SQVRFKEFOTiwwLCwsLCwsTk9BVURJVCk=&amp;WINDOW=FIRST_POPUP&amp;HEIGHT=450&amp;WIDTH=450&amp;","START_MAXIMIZED=FALSE&amp;VAR:CALENDAR=US&amp;VAR:SYMBOL=JNPR&amp;VAR:INDEX=0"}</definedName>
    <definedName name="_2982__FDSAUDITLINK__" localSheetId="3" hidden="1">{"fdsup://directions/FAT Viewer?action=UPDATE&amp;creator=factset&amp;DYN_ARGS=TRUE&amp;DOC_NAME=FAT:FQL_AUDITING_CLIENT_TEMPLATE.FAT&amp;display_string=Audit&amp;VAR:KEY=SLEZYVMVCP&amp;VAR:QUERY=UkdGX1RBWF9SQVRFKEFOTiwwLCwsLCwsTk9BVURJVCk=&amp;WINDOW=FIRST_POPUP&amp;HEIGHT=450&amp;WIDTH=450&amp;","START_MAXIMIZED=FALSE&amp;VAR:CALENDAR=US&amp;VAR:SYMBOL=JDAS&amp;VAR:INDEX=0"}</definedName>
    <definedName name="_2982__FDSAUDITLINK__" localSheetId="7" hidden="1">{"fdsup://directions/FAT Viewer?action=UPDATE&amp;creator=factset&amp;DYN_ARGS=TRUE&amp;DOC_NAME=FAT:FQL_AUDITING_CLIENT_TEMPLATE.FAT&amp;display_string=Audit&amp;VAR:KEY=SLEZYVMVCP&amp;VAR:QUERY=UkdGX1RBWF9SQVRFKEFOTiwwLCwsLCwsTk9BVURJVCk=&amp;WINDOW=FIRST_POPUP&amp;HEIGHT=450&amp;WIDTH=450&amp;","START_MAXIMIZED=FALSE&amp;VAR:CALENDAR=US&amp;VAR:SYMBOL=JDAS&amp;VAR:INDEX=0"}</definedName>
    <definedName name="_2982__FDSAUDITLINK__" hidden="1">{"fdsup://directions/FAT Viewer?action=UPDATE&amp;creator=factset&amp;DYN_ARGS=TRUE&amp;DOC_NAME=FAT:FQL_AUDITING_CLIENT_TEMPLATE.FAT&amp;display_string=Audit&amp;VAR:KEY=SLEZYVMVCP&amp;VAR:QUERY=UkdGX1RBWF9SQVRFKEFOTiwwLCwsLCwsTk9BVURJVCk=&amp;WINDOW=FIRST_POPUP&amp;HEIGHT=450&amp;WIDTH=450&amp;","START_MAXIMIZED=FALSE&amp;VAR:CALENDAR=US&amp;VAR:SYMBOL=JDAS&amp;VAR:INDEX=0"}</definedName>
    <definedName name="_2983__FDSAUDITLINK__" localSheetId="3" hidden="1">{"fdsup://directions/FAT Viewer?action=UPDATE&amp;creator=factset&amp;DYN_ARGS=TRUE&amp;DOC_NAME=FAT:FQL_AUDITING_CLIENT_TEMPLATE.FAT&amp;display_string=Audit&amp;VAR:KEY=SLEZYVMVCP&amp;VAR:QUERY=UkdGX1RBWF9SQVRFKEFOTiwwLCwsLCwsTk9BVURJVCk=&amp;WINDOW=FIRST_POPUP&amp;HEIGHT=450&amp;WIDTH=450&amp;","START_MAXIMIZED=FALSE&amp;VAR:CALENDAR=US&amp;VAR:SYMBOL=JDAS&amp;VAR:INDEX=0"}</definedName>
    <definedName name="_2983__FDSAUDITLINK__" localSheetId="7" hidden="1">{"fdsup://directions/FAT Viewer?action=UPDATE&amp;creator=factset&amp;DYN_ARGS=TRUE&amp;DOC_NAME=FAT:FQL_AUDITING_CLIENT_TEMPLATE.FAT&amp;display_string=Audit&amp;VAR:KEY=SLEZYVMVCP&amp;VAR:QUERY=UkdGX1RBWF9SQVRFKEFOTiwwLCwsLCwsTk9BVURJVCk=&amp;WINDOW=FIRST_POPUP&amp;HEIGHT=450&amp;WIDTH=450&amp;","START_MAXIMIZED=FALSE&amp;VAR:CALENDAR=US&amp;VAR:SYMBOL=JDAS&amp;VAR:INDEX=0"}</definedName>
    <definedName name="_2983__FDSAUDITLINK__" hidden="1">{"fdsup://directions/FAT Viewer?action=UPDATE&amp;creator=factset&amp;DYN_ARGS=TRUE&amp;DOC_NAME=FAT:FQL_AUDITING_CLIENT_TEMPLATE.FAT&amp;display_string=Audit&amp;VAR:KEY=SLEZYVMVCP&amp;VAR:QUERY=UkdGX1RBWF9SQVRFKEFOTiwwLCwsLCwsTk9BVURJVCk=&amp;WINDOW=FIRST_POPUP&amp;HEIGHT=450&amp;WIDTH=450&amp;","START_MAXIMIZED=FALSE&amp;VAR:CALENDAR=US&amp;VAR:SYMBOL=JDAS&amp;VAR:INDEX=0"}</definedName>
    <definedName name="_2984__FDSAUDITLINK__" localSheetId="3" hidden="1">{"fdsup://directions/FAT Viewer?action=UPDATE&amp;creator=factset&amp;DYN_ARGS=TRUE&amp;DOC_NAME=FAT:FQL_AUDITING_CLIENT_TEMPLATE.FAT&amp;display_string=Audit&amp;VAR:KEY=KRMFGTAJEN&amp;VAR:QUERY=UkdGX1RBWF9SQVRFKEFOTiwwLCwsLCwsTk9BVURJVCk=&amp;WINDOW=FIRST_POPUP&amp;HEIGHT=450&amp;WIDTH=450&amp;","START_MAXIMIZED=FALSE&amp;VAR:CALENDAR=US&amp;VAR:SYMBOL=JCOM&amp;VAR:INDEX=0"}</definedName>
    <definedName name="_2984__FDSAUDITLINK__" localSheetId="7" hidden="1">{"fdsup://directions/FAT Viewer?action=UPDATE&amp;creator=factset&amp;DYN_ARGS=TRUE&amp;DOC_NAME=FAT:FQL_AUDITING_CLIENT_TEMPLATE.FAT&amp;display_string=Audit&amp;VAR:KEY=KRMFGTAJEN&amp;VAR:QUERY=UkdGX1RBWF9SQVRFKEFOTiwwLCwsLCwsTk9BVURJVCk=&amp;WINDOW=FIRST_POPUP&amp;HEIGHT=450&amp;WIDTH=450&amp;","START_MAXIMIZED=FALSE&amp;VAR:CALENDAR=US&amp;VAR:SYMBOL=JCOM&amp;VAR:INDEX=0"}</definedName>
    <definedName name="_2984__FDSAUDITLINK__" hidden="1">{"fdsup://directions/FAT Viewer?action=UPDATE&amp;creator=factset&amp;DYN_ARGS=TRUE&amp;DOC_NAME=FAT:FQL_AUDITING_CLIENT_TEMPLATE.FAT&amp;display_string=Audit&amp;VAR:KEY=KRMFGTAJEN&amp;VAR:QUERY=UkdGX1RBWF9SQVRFKEFOTiwwLCwsLCwsTk9BVURJVCk=&amp;WINDOW=FIRST_POPUP&amp;HEIGHT=450&amp;WIDTH=450&amp;","START_MAXIMIZED=FALSE&amp;VAR:CALENDAR=US&amp;VAR:SYMBOL=JCOM&amp;VAR:INDEX=0"}</definedName>
    <definedName name="_2985__FDSAUDITLINK__" localSheetId="3" hidden="1">{"fdsup://directions/FAT Viewer?action=UPDATE&amp;creator=factset&amp;DYN_ARGS=TRUE&amp;DOC_NAME=FAT:FQL_AUDITING_CLIENT_TEMPLATE.FAT&amp;display_string=Audit&amp;VAR:KEY=KRMFGTAJEN&amp;VAR:QUERY=UkdGX1RBWF9SQVRFKEFOTiwwLCwsLCwsTk9BVURJVCk=&amp;WINDOW=FIRST_POPUP&amp;HEIGHT=450&amp;WIDTH=450&amp;","START_MAXIMIZED=FALSE&amp;VAR:CALENDAR=US&amp;VAR:SYMBOL=JCOM&amp;VAR:INDEX=0"}</definedName>
    <definedName name="_2985__FDSAUDITLINK__" localSheetId="7" hidden="1">{"fdsup://directions/FAT Viewer?action=UPDATE&amp;creator=factset&amp;DYN_ARGS=TRUE&amp;DOC_NAME=FAT:FQL_AUDITING_CLIENT_TEMPLATE.FAT&amp;display_string=Audit&amp;VAR:KEY=KRMFGTAJEN&amp;VAR:QUERY=UkdGX1RBWF9SQVRFKEFOTiwwLCwsLCwsTk9BVURJVCk=&amp;WINDOW=FIRST_POPUP&amp;HEIGHT=450&amp;WIDTH=450&amp;","START_MAXIMIZED=FALSE&amp;VAR:CALENDAR=US&amp;VAR:SYMBOL=JCOM&amp;VAR:INDEX=0"}</definedName>
    <definedName name="_2985__FDSAUDITLINK__" hidden="1">{"fdsup://directions/FAT Viewer?action=UPDATE&amp;creator=factset&amp;DYN_ARGS=TRUE&amp;DOC_NAME=FAT:FQL_AUDITING_CLIENT_TEMPLATE.FAT&amp;display_string=Audit&amp;VAR:KEY=KRMFGTAJEN&amp;VAR:QUERY=UkdGX1RBWF9SQVRFKEFOTiwwLCwsLCwsTk9BVURJVCk=&amp;WINDOW=FIRST_POPUP&amp;HEIGHT=450&amp;WIDTH=450&amp;","START_MAXIMIZED=FALSE&amp;VAR:CALENDAR=US&amp;VAR:SYMBOL=JCOM&amp;VAR:INDEX=0"}</definedName>
    <definedName name="_2986__FDSAUDITLINK__" localSheetId="3" hidden="1">{"fdsup://directions/FAT Viewer?action=UPDATE&amp;creator=factset&amp;DYN_ARGS=TRUE&amp;DOC_NAME=FAT:FQL_AUDITING_CLIENT_TEMPLATE.FAT&amp;display_string=Audit&amp;VAR:KEY=ENALQZUPGB&amp;VAR:QUERY=UkdGX1RBWF9SQVRFKEFOTiwwLCwsLCwsTk9BVURJVCk=&amp;WINDOW=FIRST_POPUP&amp;HEIGHT=450&amp;WIDTH=450&amp;","START_MAXIMIZED=FALSE&amp;VAR:CALENDAR=US&amp;VAR:SYMBOL=B188NJ&amp;VAR:INDEX=0"}</definedName>
    <definedName name="_2986__FDSAUDITLINK__" localSheetId="7" hidden="1">{"fdsup://directions/FAT Viewer?action=UPDATE&amp;creator=factset&amp;DYN_ARGS=TRUE&amp;DOC_NAME=FAT:FQL_AUDITING_CLIENT_TEMPLATE.FAT&amp;display_string=Audit&amp;VAR:KEY=ENALQZUPGB&amp;VAR:QUERY=UkdGX1RBWF9SQVRFKEFOTiwwLCwsLCwsTk9BVURJVCk=&amp;WINDOW=FIRST_POPUP&amp;HEIGHT=450&amp;WIDTH=450&amp;","START_MAXIMIZED=FALSE&amp;VAR:CALENDAR=US&amp;VAR:SYMBOL=B188NJ&amp;VAR:INDEX=0"}</definedName>
    <definedName name="_2986__FDSAUDITLINK__" hidden="1">{"fdsup://directions/FAT Viewer?action=UPDATE&amp;creator=factset&amp;DYN_ARGS=TRUE&amp;DOC_NAME=FAT:FQL_AUDITING_CLIENT_TEMPLATE.FAT&amp;display_string=Audit&amp;VAR:KEY=ENALQZUPGB&amp;VAR:QUERY=UkdGX1RBWF9SQVRFKEFOTiwwLCwsLCwsTk9BVURJVCk=&amp;WINDOW=FIRST_POPUP&amp;HEIGHT=450&amp;WIDTH=450&amp;","START_MAXIMIZED=FALSE&amp;VAR:CALENDAR=US&amp;VAR:SYMBOL=B188NJ&amp;VAR:INDEX=0"}</definedName>
    <definedName name="_2987__FDSAUDITLINK__" localSheetId="3" hidden="1">{"fdsup://directions/FAT Viewer?action=UPDATE&amp;creator=factset&amp;DYN_ARGS=TRUE&amp;DOC_NAME=FAT:FQL_AUDITING_CLIENT_TEMPLATE.FAT&amp;display_string=Audit&amp;VAR:KEY=ENALQZUPGB&amp;VAR:QUERY=UkdGX1RBWF9SQVRFKEFOTiwwLCwsLCwsTk9BVURJVCk=&amp;WINDOW=FIRST_POPUP&amp;HEIGHT=450&amp;WIDTH=450&amp;","START_MAXIMIZED=FALSE&amp;VAR:CALENDAR=US&amp;VAR:SYMBOL=B188NJ&amp;VAR:INDEX=0"}</definedName>
    <definedName name="_2987__FDSAUDITLINK__" localSheetId="7" hidden="1">{"fdsup://directions/FAT Viewer?action=UPDATE&amp;creator=factset&amp;DYN_ARGS=TRUE&amp;DOC_NAME=FAT:FQL_AUDITING_CLIENT_TEMPLATE.FAT&amp;display_string=Audit&amp;VAR:KEY=ENALQZUPGB&amp;VAR:QUERY=UkdGX1RBWF9SQVRFKEFOTiwwLCwsLCwsTk9BVURJVCk=&amp;WINDOW=FIRST_POPUP&amp;HEIGHT=450&amp;WIDTH=450&amp;","START_MAXIMIZED=FALSE&amp;VAR:CALENDAR=US&amp;VAR:SYMBOL=B188NJ&amp;VAR:INDEX=0"}</definedName>
    <definedName name="_2987__FDSAUDITLINK__" hidden="1">{"fdsup://directions/FAT Viewer?action=UPDATE&amp;creator=factset&amp;DYN_ARGS=TRUE&amp;DOC_NAME=FAT:FQL_AUDITING_CLIENT_TEMPLATE.FAT&amp;display_string=Audit&amp;VAR:KEY=ENALQZUPGB&amp;VAR:QUERY=UkdGX1RBWF9SQVRFKEFOTiwwLCwsLCwsTk9BVURJVCk=&amp;WINDOW=FIRST_POPUP&amp;HEIGHT=450&amp;WIDTH=450&amp;","START_MAXIMIZED=FALSE&amp;VAR:CALENDAR=US&amp;VAR:SYMBOL=B188NJ&amp;VAR:INDEX=0"}</definedName>
    <definedName name="_2988__FDSAUDITLINK__" localSheetId="3" hidden="1">{"fdsup://directions/FAT Viewer?action=UPDATE&amp;creator=factset&amp;DYN_ARGS=TRUE&amp;DOC_NAME=FAT:FQL_AUDITING_CLIENT_TEMPLATE.FAT&amp;display_string=Audit&amp;VAR:KEY=QVCDYBOVWV&amp;VAR:QUERY=UkdGX1RBWF9SQVRFKEFOTiwwLCwsLCwsTk9BVURJVCk=&amp;WINDOW=FIRST_POPUP&amp;HEIGHT=450&amp;WIDTH=450&amp;","START_MAXIMIZED=FALSE&amp;VAR:CALENDAR=US&amp;VAR:SYMBOL=INTU&amp;VAR:INDEX=0"}</definedName>
    <definedName name="_2988__FDSAUDITLINK__" localSheetId="7" hidden="1">{"fdsup://directions/FAT Viewer?action=UPDATE&amp;creator=factset&amp;DYN_ARGS=TRUE&amp;DOC_NAME=FAT:FQL_AUDITING_CLIENT_TEMPLATE.FAT&amp;display_string=Audit&amp;VAR:KEY=QVCDYBOVWV&amp;VAR:QUERY=UkdGX1RBWF9SQVRFKEFOTiwwLCwsLCwsTk9BVURJVCk=&amp;WINDOW=FIRST_POPUP&amp;HEIGHT=450&amp;WIDTH=450&amp;","START_MAXIMIZED=FALSE&amp;VAR:CALENDAR=US&amp;VAR:SYMBOL=INTU&amp;VAR:INDEX=0"}</definedName>
    <definedName name="_2988__FDSAUDITLINK__" hidden="1">{"fdsup://directions/FAT Viewer?action=UPDATE&amp;creator=factset&amp;DYN_ARGS=TRUE&amp;DOC_NAME=FAT:FQL_AUDITING_CLIENT_TEMPLATE.FAT&amp;display_string=Audit&amp;VAR:KEY=QVCDYBOVWV&amp;VAR:QUERY=UkdGX1RBWF9SQVRFKEFOTiwwLCwsLCwsTk9BVURJVCk=&amp;WINDOW=FIRST_POPUP&amp;HEIGHT=450&amp;WIDTH=450&amp;","START_MAXIMIZED=FALSE&amp;VAR:CALENDAR=US&amp;VAR:SYMBOL=INTU&amp;VAR:INDEX=0"}</definedName>
    <definedName name="_2989__FDSAUDITLINK__" localSheetId="3" hidden="1">{"fdsup://directions/FAT Viewer?action=UPDATE&amp;creator=factset&amp;DYN_ARGS=TRUE&amp;DOC_NAME=FAT:FQL_AUDITING_CLIENT_TEMPLATE.FAT&amp;display_string=Audit&amp;VAR:KEY=QVCDYBOVWV&amp;VAR:QUERY=UkdGX1RBWF9SQVRFKEFOTiwwLCwsLCwsTk9BVURJVCk=&amp;WINDOW=FIRST_POPUP&amp;HEIGHT=450&amp;WIDTH=450&amp;","START_MAXIMIZED=FALSE&amp;VAR:CALENDAR=US&amp;VAR:SYMBOL=INTU&amp;VAR:INDEX=0"}</definedName>
    <definedName name="_2989__FDSAUDITLINK__" localSheetId="7" hidden="1">{"fdsup://directions/FAT Viewer?action=UPDATE&amp;creator=factset&amp;DYN_ARGS=TRUE&amp;DOC_NAME=FAT:FQL_AUDITING_CLIENT_TEMPLATE.FAT&amp;display_string=Audit&amp;VAR:KEY=QVCDYBOVWV&amp;VAR:QUERY=UkdGX1RBWF9SQVRFKEFOTiwwLCwsLCwsTk9BVURJVCk=&amp;WINDOW=FIRST_POPUP&amp;HEIGHT=450&amp;WIDTH=450&amp;","START_MAXIMIZED=FALSE&amp;VAR:CALENDAR=US&amp;VAR:SYMBOL=INTU&amp;VAR:INDEX=0"}</definedName>
    <definedName name="_2989__FDSAUDITLINK__" hidden="1">{"fdsup://directions/FAT Viewer?action=UPDATE&amp;creator=factset&amp;DYN_ARGS=TRUE&amp;DOC_NAME=FAT:FQL_AUDITING_CLIENT_TEMPLATE.FAT&amp;display_string=Audit&amp;VAR:KEY=QVCDYBOVWV&amp;VAR:QUERY=UkdGX1RBWF9SQVRFKEFOTiwwLCwsLCwsTk9BVURJVCk=&amp;WINDOW=FIRST_POPUP&amp;HEIGHT=450&amp;WIDTH=450&amp;","START_MAXIMIZED=FALSE&amp;VAR:CALENDAR=US&amp;VAR:SYMBOL=INTU&amp;VAR:INDEX=0"}</definedName>
    <definedName name="_2990__FDSAUDITLINK__" localSheetId="3" hidden="1">{"fdsup://directions/FAT Viewer?action=UPDATE&amp;creator=factset&amp;DYN_ARGS=TRUE&amp;DOC_NAME=FAT:FQL_AUDITING_CLIENT_TEMPLATE.FAT&amp;display_string=Audit&amp;VAR:KEY=QLQPSBGNKB&amp;VAR:QUERY=UkdGX1RBWF9SQVRFKEFOTiwwLCwsLCwsTk9BVURJVCk=&amp;WINDOW=FIRST_POPUP&amp;HEIGHT=450&amp;WIDTH=450&amp;","START_MAXIMIZED=FALSE&amp;VAR:CALENDAR=US&amp;VAR:SYMBOL=IL&amp;VAR:INDEX=0"}</definedName>
    <definedName name="_2990__FDSAUDITLINK__" localSheetId="7" hidden="1">{"fdsup://directions/FAT Viewer?action=UPDATE&amp;creator=factset&amp;DYN_ARGS=TRUE&amp;DOC_NAME=FAT:FQL_AUDITING_CLIENT_TEMPLATE.FAT&amp;display_string=Audit&amp;VAR:KEY=QLQPSBGNKB&amp;VAR:QUERY=UkdGX1RBWF9SQVRFKEFOTiwwLCwsLCwsTk9BVURJVCk=&amp;WINDOW=FIRST_POPUP&amp;HEIGHT=450&amp;WIDTH=450&amp;","START_MAXIMIZED=FALSE&amp;VAR:CALENDAR=US&amp;VAR:SYMBOL=IL&amp;VAR:INDEX=0"}</definedName>
    <definedName name="_2990__FDSAUDITLINK__" hidden="1">{"fdsup://directions/FAT Viewer?action=UPDATE&amp;creator=factset&amp;DYN_ARGS=TRUE&amp;DOC_NAME=FAT:FQL_AUDITING_CLIENT_TEMPLATE.FAT&amp;display_string=Audit&amp;VAR:KEY=QLQPSBGNKB&amp;VAR:QUERY=UkdGX1RBWF9SQVRFKEFOTiwwLCwsLCwsTk9BVURJVCk=&amp;WINDOW=FIRST_POPUP&amp;HEIGHT=450&amp;WIDTH=450&amp;","START_MAXIMIZED=FALSE&amp;VAR:CALENDAR=US&amp;VAR:SYMBOL=IL&amp;VAR:INDEX=0"}</definedName>
    <definedName name="_2991__FDSAUDITLINK__" localSheetId="3" hidden="1">{"fdsup://directions/FAT Viewer?action=UPDATE&amp;creator=factset&amp;DYN_ARGS=TRUE&amp;DOC_NAME=FAT:FQL_AUDITING_CLIENT_TEMPLATE.FAT&amp;display_string=Audit&amp;VAR:KEY=ANQHGFKPQF&amp;VAR:QUERY=UkdGX1RBWF9SQVRFKEFOTiwwLCwsLCwsTk9BVURJVCk=&amp;WINDOW=FIRST_POPUP&amp;HEIGHT=450&amp;WIDTH=450&amp;","START_MAXIMIZED=FALSE&amp;VAR:CALENDAR=US&amp;VAR:SYMBOL=IBM&amp;VAR:INDEX=0"}</definedName>
    <definedName name="_2991__FDSAUDITLINK__" localSheetId="7" hidden="1">{"fdsup://directions/FAT Viewer?action=UPDATE&amp;creator=factset&amp;DYN_ARGS=TRUE&amp;DOC_NAME=FAT:FQL_AUDITING_CLIENT_TEMPLATE.FAT&amp;display_string=Audit&amp;VAR:KEY=ANQHGFKPQF&amp;VAR:QUERY=UkdGX1RBWF9SQVRFKEFOTiwwLCwsLCwsTk9BVURJVCk=&amp;WINDOW=FIRST_POPUP&amp;HEIGHT=450&amp;WIDTH=450&amp;","START_MAXIMIZED=FALSE&amp;VAR:CALENDAR=US&amp;VAR:SYMBOL=IBM&amp;VAR:INDEX=0"}</definedName>
    <definedName name="_2991__FDSAUDITLINK__" hidden="1">{"fdsup://directions/FAT Viewer?action=UPDATE&amp;creator=factset&amp;DYN_ARGS=TRUE&amp;DOC_NAME=FAT:FQL_AUDITING_CLIENT_TEMPLATE.FAT&amp;display_string=Audit&amp;VAR:KEY=ANQHGFKPQF&amp;VAR:QUERY=UkdGX1RBWF9SQVRFKEFOTiwwLCwsLCwsTk9BVURJVCk=&amp;WINDOW=FIRST_POPUP&amp;HEIGHT=450&amp;WIDTH=450&amp;","START_MAXIMIZED=FALSE&amp;VAR:CALENDAR=US&amp;VAR:SYMBOL=IBM&amp;VAR:INDEX=0"}</definedName>
    <definedName name="_2992__FDSAUDITLINK__" localSheetId="3" hidden="1">{"fdsup://directions/FAT Viewer?action=UPDATE&amp;creator=factset&amp;DYN_ARGS=TRUE&amp;DOC_NAME=FAT:FQL_AUDITING_CLIENT_TEMPLATE.FAT&amp;display_string=Audit&amp;VAR:KEY=ANQHGFKPQF&amp;VAR:QUERY=UkdGX1RBWF9SQVRFKEFOTiwwLCwsLCwsTk9BVURJVCk=&amp;WINDOW=FIRST_POPUP&amp;HEIGHT=450&amp;WIDTH=450&amp;","START_MAXIMIZED=FALSE&amp;VAR:CALENDAR=US&amp;VAR:SYMBOL=IBM&amp;VAR:INDEX=0"}</definedName>
    <definedName name="_2992__FDSAUDITLINK__" localSheetId="7" hidden="1">{"fdsup://directions/FAT Viewer?action=UPDATE&amp;creator=factset&amp;DYN_ARGS=TRUE&amp;DOC_NAME=FAT:FQL_AUDITING_CLIENT_TEMPLATE.FAT&amp;display_string=Audit&amp;VAR:KEY=ANQHGFKPQF&amp;VAR:QUERY=UkdGX1RBWF9SQVRFKEFOTiwwLCwsLCwsTk9BVURJVCk=&amp;WINDOW=FIRST_POPUP&amp;HEIGHT=450&amp;WIDTH=450&amp;","START_MAXIMIZED=FALSE&amp;VAR:CALENDAR=US&amp;VAR:SYMBOL=IBM&amp;VAR:INDEX=0"}</definedName>
    <definedName name="_2992__FDSAUDITLINK__" hidden="1">{"fdsup://directions/FAT Viewer?action=UPDATE&amp;creator=factset&amp;DYN_ARGS=TRUE&amp;DOC_NAME=FAT:FQL_AUDITING_CLIENT_TEMPLATE.FAT&amp;display_string=Audit&amp;VAR:KEY=ANQHGFKPQF&amp;VAR:QUERY=UkdGX1RBWF9SQVRFKEFOTiwwLCwsLCwsTk9BVURJVCk=&amp;WINDOW=FIRST_POPUP&amp;HEIGHT=450&amp;WIDTH=450&amp;","START_MAXIMIZED=FALSE&amp;VAR:CALENDAR=US&amp;VAR:SYMBOL=IBM&amp;VAR:INDEX=0"}</definedName>
    <definedName name="_2993__FDSAUDITLINK__" localSheetId="3" hidden="1">{"fdsup://directions/FAT Viewer?action=UPDATE&amp;creator=factset&amp;DYN_ARGS=TRUE&amp;DOC_NAME=FAT:FQL_AUDITING_CLIENT_TEMPLATE.FAT&amp;display_string=Audit&amp;VAR:KEY=ARIVMDCTAP&amp;VAR:QUERY=UkdGX1RBWF9SQVRFKEFOTiwwLCwsLCwsTk9BVURJVCk=&amp;WINDOW=FIRST_POPUP&amp;HEIGHT=450&amp;WIDTH=450&amp;","START_MAXIMIZED=FALSE&amp;VAR:CALENDAR=US&amp;VAR:SYMBOL=INAP&amp;VAR:INDEX=0"}</definedName>
    <definedName name="_2993__FDSAUDITLINK__" localSheetId="7" hidden="1">{"fdsup://directions/FAT Viewer?action=UPDATE&amp;creator=factset&amp;DYN_ARGS=TRUE&amp;DOC_NAME=FAT:FQL_AUDITING_CLIENT_TEMPLATE.FAT&amp;display_string=Audit&amp;VAR:KEY=ARIVMDCTAP&amp;VAR:QUERY=UkdGX1RBWF9SQVRFKEFOTiwwLCwsLCwsTk9BVURJVCk=&amp;WINDOW=FIRST_POPUP&amp;HEIGHT=450&amp;WIDTH=450&amp;","START_MAXIMIZED=FALSE&amp;VAR:CALENDAR=US&amp;VAR:SYMBOL=INAP&amp;VAR:INDEX=0"}</definedName>
    <definedName name="_2993__FDSAUDITLINK__" hidden="1">{"fdsup://directions/FAT Viewer?action=UPDATE&amp;creator=factset&amp;DYN_ARGS=TRUE&amp;DOC_NAME=FAT:FQL_AUDITING_CLIENT_TEMPLATE.FAT&amp;display_string=Audit&amp;VAR:KEY=ARIVMDCTAP&amp;VAR:QUERY=UkdGX1RBWF9SQVRFKEFOTiwwLCwsLCwsTk9BVURJVCk=&amp;WINDOW=FIRST_POPUP&amp;HEIGHT=450&amp;WIDTH=450&amp;","START_MAXIMIZED=FALSE&amp;VAR:CALENDAR=US&amp;VAR:SYMBOL=INAP&amp;VAR:INDEX=0"}</definedName>
    <definedName name="_2994__FDSAUDITLINK__" localSheetId="3" hidden="1">{"fdsup://directions/FAT Viewer?action=UPDATE&amp;creator=factset&amp;DYN_ARGS=TRUE&amp;DOC_NAME=FAT:FQL_AUDITING_CLIENT_TEMPLATE.FAT&amp;display_string=Audit&amp;VAR:KEY=CNQBCVOVQD&amp;VAR:QUERY=UkdGX1RBWF9SQVRFKEFOTiwwLCwsLCwsTk9BVURJVCk=&amp;WINDOW=FIRST_POPUP&amp;HEIGHT=450&amp;WIDTH=450&amp;","START_MAXIMIZED=FALSE&amp;VAR:CALENDAR=US&amp;VAR:SYMBOL=ININ&amp;VAR:INDEX=0"}</definedName>
    <definedName name="_2994__FDSAUDITLINK__" localSheetId="7" hidden="1">{"fdsup://directions/FAT Viewer?action=UPDATE&amp;creator=factset&amp;DYN_ARGS=TRUE&amp;DOC_NAME=FAT:FQL_AUDITING_CLIENT_TEMPLATE.FAT&amp;display_string=Audit&amp;VAR:KEY=CNQBCVOVQD&amp;VAR:QUERY=UkdGX1RBWF9SQVRFKEFOTiwwLCwsLCwsTk9BVURJVCk=&amp;WINDOW=FIRST_POPUP&amp;HEIGHT=450&amp;WIDTH=450&amp;","START_MAXIMIZED=FALSE&amp;VAR:CALENDAR=US&amp;VAR:SYMBOL=ININ&amp;VAR:INDEX=0"}</definedName>
    <definedName name="_2994__FDSAUDITLINK__" hidden="1">{"fdsup://directions/FAT Viewer?action=UPDATE&amp;creator=factset&amp;DYN_ARGS=TRUE&amp;DOC_NAME=FAT:FQL_AUDITING_CLIENT_TEMPLATE.FAT&amp;display_string=Audit&amp;VAR:KEY=CNQBCVOVQD&amp;VAR:QUERY=UkdGX1RBWF9SQVRFKEFOTiwwLCwsLCwsTk9BVURJVCk=&amp;WINDOW=FIRST_POPUP&amp;HEIGHT=450&amp;WIDTH=450&amp;","START_MAXIMIZED=FALSE&amp;VAR:CALENDAR=US&amp;VAR:SYMBOL=ININ&amp;VAR:INDEX=0"}</definedName>
    <definedName name="_2995__FDSAUDITLINK__" localSheetId="3" hidden="1">{"fdsup://directions/FAT Viewer?action=UPDATE&amp;creator=factset&amp;DYN_ARGS=TRUE&amp;DOC_NAME=FAT:FQL_AUDITING_CLIENT_TEMPLATE.FAT&amp;display_string=Audit&amp;VAR:KEY=CNQBCVOVQD&amp;VAR:QUERY=UkdGX1RBWF9SQVRFKEFOTiwwLCwsLCwsTk9BVURJVCk=&amp;WINDOW=FIRST_POPUP&amp;HEIGHT=450&amp;WIDTH=450&amp;","START_MAXIMIZED=FALSE&amp;VAR:CALENDAR=US&amp;VAR:SYMBOL=ININ&amp;VAR:INDEX=0"}</definedName>
    <definedName name="_2995__FDSAUDITLINK__" localSheetId="7" hidden="1">{"fdsup://directions/FAT Viewer?action=UPDATE&amp;creator=factset&amp;DYN_ARGS=TRUE&amp;DOC_NAME=FAT:FQL_AUDITING_CLIENT_TEMPLATE.FAT&amp;display_string=Audit&amp;VAR:KEY=CNQBCVOVQD&amp;VAR:QUERY=UkdGX1RBWF9SQVRFKEFOTiwwLCwsLCwsTk9BVURJVCk=&amp;WINDOW=FIRST_POPUP&amp;HEIGHT=450&amp;WIDTH=450&amp;","START_MAXIMIZED=FALSE&amp;VAR:CALENDAR=US&amp;VAR:SYMBOL=ININ&amp;VAR:INDEX=0"}</definedName>
    <definedName name="_2995__FDSAUDITLINK__" hidden="1">{"fdsup://directions/FAT Viewer?action=UPDATE&amp;creator=factset&amp;DYN_ARGS=TRUE&amp;DOC_NAME=FAT:FQL_AUDITING_CLIENT_TEMPLATE.FAT&amp;display_string=Audit&amp;VAR:KEY=CNQBCVOVQD&amp;VAR:QUERY=UkdGX1RBWF9SQVRFKEFOTiwwLCwsLCwsTk9BVURJVCk=&amp;WINDOW=FIRST_POPUP&amp;HEIGHT=450&amp;WIDTH=450&amp;","START_MAXIMIZED=FALSE&amp;VAR:CALENDAR=US&amp;VAR:SYMBOL=ININ&amp;VAR:INDEX=0"}</definedName>
    <definedName name="_2996__FDSAUDITLINK__" localSheetId="3" hidden="1">{"fdsup://directions/FAT Viewer?action=UPDATE&amp;creator=factset&amp;DYN_ARGS=TRUE&amp;DOC_NAME=FAT:FQL_AUDITING_CLIENT_TEMPLATE.FAT&amp;display_string=Audit&amp;VAR:KEY=SRSDKNCJSX&amp;VAR:QUERY=UkdGX1RBWF9SQVRFKEFOTiwwLCwsLCwsTk9BVURJVCk=&amp;WINDOW=FIRST_POPUP&amp;HEIGHT=450&amp;WIDTH=450&amp;","START_MAXIMIZED=FALSE&amp;VAR:CALENDAR=US&amp;VAR:SYMBOL=401870&amp;VAR:INDEX=0"}</definedName>
    <definedName name="_2996__FDSAUDITLINK__" localSheetId="7" hidden="1">{"fdsup://directions/FAT Viewer?action=UPDATE&amp;creator=factset&amp;DYN_ARGS=TRUE&amp;DOC_NAME=FAT:FQL_AUDITING_CLIENT_TEMPLATE.FAT&amp;display_string=Audit&amp;VAR:KEY=SRSDKNCJSX&amp;VAR:QUERY=UkdGX1RBWF9SQVRFKEFOTiwwLCwsLCwsTk9BVURJVCk=&amp;WINDOW=FIRST_POPUP&amp;HEIGHT=450&amp;WIDTH=450&amp;","START_MAXIMIZED=FALSE&amp;VAR:CALENDAR=US&amp;VAR:SYMBOL=401870&amp;VAR:INDEX=0"}</definedName>
    <definedName name="_2996__FDSAUDITLINK__" hidden="1">{"fdsup://directions/FAT Viewer?action=UPDATE&amp;creator=factset&amp;DYN_ARGS=TRUE&amp;DOC_NAME=FAT:FQL_AUDITING_CLIENT_TEMPLATE.FAT&amp;display_string=Audit&amp;VAR:KEY=SRSDKNCJSX&amp;VAR:QUERY=UkdGX1RBWF9SQVRFKEFOTiwwLCwsLCwsTk9BVURJVCk=&amp;WINDOW=FIRST_POPUP&amp;HEIGHT=450&amp;WIDTH=450&amp;","START_MAXIMIZED=FALSE&amp;VAR:CALENDAR=US&amp;VAR:SYMBOL=401870&amp;VAR:INDEX=0"}</definedName>
    <definedName name="_2997__FDSAUDITLINK__" localSheetId="3" hidden="1">{"fdsup://directions/FAT Viewer?action=UPDATE&amp;creator=factset&amp;DYN_ARGS=TRUE&amp;DOC_NAME=FAT:FQL_AUDITING_CLIENT_TEMPLATE.FAT&amp;display_string=Audit&amp;VAR:KEY=SRSDKNCJSX&amp;VAR:QUERY=UkdGX1RBWF9SQVRFKEFOTiwwLCwsLCwsTk9BVURJVCk=&amp;WINDOW=FIRST_POPUP&amp;HEIGHT=450&amp;WIDTH=450&amp;","START_MAXIMIZED=FALSE&amp;VAR:CALENDAR=US&amp;VAR:SYMBOL=401870&amp;VAR:INDEX=0"}</definedName>
    <definedName name="_2997__FDSAUDITLINK__" localSheetId="7" hidden="1">{"fdsup://directions/FAT Viewer?action=UPDATE&amp;creator=factset&amp;DYN_ARGS=TRUE&amp;DOC_NAME=FAT:FQL_AUDITING_CLIENT_TEMPLATE.FAT&amp;display_string=Audit&amp;VAR:KEY=SRSDKNCJSX&amp;VAR:QUERY=UkdGX1RBWF9SQVRFKEFOTiwwLCwsLCwsTk9BVURJVCk=&amp;WINDOW=FIRST_POPUP&amp;HEIGHT=450&amp;WIDTH=450&amp;","START_MAXIMIZED=FALSE&amp;VAR:CALENDAR=US&amp;VAR:SYMBOL=401870&amp;VAR:INDEX=0"}</definedName>
    <definedName name="_2997__FDSAUDITLINK__" hidden="1">{"fdsup://directions/FAT Viewer?action=UPDATE&amp;creator=factset&amp;DYN_ARGS=TRUE&amp;DOC_NAME=FAT:FQL_AUDITING_CLIENT_TEMPLATE.FAT&amp;display_string=Audit&amp;VAR:KEY=SRSDKNCJSX&amp;VAR:QUERY=UkdGX1RBWF9SQVRFKEFOTiwwLCwsLCwsTk9BVURJVCk=&amp;WINDOW=FIRST_POPUP&amp;HEIGHT=450&amp;WIDTH=450&amp;","START_MAXIMIZED=FALSE&amp;VAR:CALENDAR=US&amp;VAR:SYMBOL=401870&amp;VAR:INDEX=0"}</definedName>
    <definedName name="_2998__FDSAUDITLINK__" localSheetId="3" hidden="1">{"fdsup://directions/FAT Viewer?action=UPDATE&amp;creator=factset&amp;DYN_ARGS=TRUE&amp;DOC_NAME=FAT:FQL_AUDITING_CLIENT_TEMPLATE.FAT&amp;display_string=Audit&amp;VAR:KEY=YRCVAVADMX&amp;VAR:QUERY=UkdGX1RBWF9SQVRFKEFOTiwwLCwsLCwsTk9BVURJVCk=&amp;WINDOW=FIRST_POPUP&amp;HEIGHT=450&amp;WIDTH=450&amp;","START_MAXIMIZED=FALSE&amp;VAR:CALENDAR=US&amp;VAR:SYMBOL=INTC&amp;VAR:INDEX=0"}</definedName>
    <definedName name="_2998__FDSAUDITLINK__" localSheetId="7" hidden="1">{"fdsup://directions/FAT Viewer?action=UPDATE&amp;creator=factset&amp;DYN_ARGS=TRUE&amp;DOC_NAME=FAT:FQL_AUDITING_CLIENT_TEMPLATE.FAT&amp;display_string=Audit&amp;VAR:KEY=YRCVAVADMX&amp;VAR:QUERY=UkdGX1RBWF9SQVRFKEFOTiwwLCwsLCwsTk9BVURJVCk=&amp;WINDOW=FIRST_POPUP&amp;HEIGHT=450&amp;WIDTH=450&amp;","START_MAXIMIZED=FALSE&amp;VAR:CALENDAR=US&amp;VAR:SYMBOL=INTC&amp;VAR:INDEX=0"}</definedName>
    <definedName name="_2998__FDSAUDITLINK__" hidden="1">{"fdsup://directions/FAT Viewer?action=UPDATE&amp;creator=factset&amp;DYN_ARGS=TRUE&amp;DOC_NAME=FAT:FQL_AUDITING_CLIENT_TEMPLATE.FAT&amp;display_string=Audit&amp;VAR:KEY=YRCVAVADMX&amp;VAR:QUERY=UkdGX1RBWF9SQVRFKEFOTiwwLCwsLCwsTk9BVURJVCk=&amp;WINDOW=FIRST_POPUP&amp;HEIGHT=450&amp;WIDTH=450&amp;","START_MAXIMIZED=FALSE&amp;VAR:CALENDAR=US&amp;VAR:SYMBOL=INTC&amp;VAR:INDEX=0"}</definedName>
    <definedName name="_2999__FDSAUDITLINK__" localSheetId="3" hidden="1">{"fdsup://directions/FAT Viewer?action=UPDATE&amp;creator=factset&amp;DYN_ARGS=TRUE&amp;DOC_NAME=FAT:FQL_AUDITING_CLIENT_TEMPLATE.FAT&amp;display_string=Audit&amp;VAR:KEY=YRCVAVADMX&amp;VAR:QUERY=UkdGX1RBWF9SQVRFKEFOTiwwLCwsLCwsTk9BVURJVCk=&amp;WINDOW=FIRST_POPUP&amp;HEIGHT=450&amp;WIDTH=450&amp;","START_MAXIMIZED=FALSE&amp;VAR:CALENDAR=US&amp;VAR:SYMBOL=INTC&amp;VAR:INDEX=0"}</definedName>
    <definedName name="_2999__FDSAUDITLINK__" localSheetId="7" hidden="1">{"fdsup://directions/FAT Viewer?action=UPDATE&amp;creator=factset&amp;DYN_ARGS=TRUE&amp;DOC_NAME=FAT:FQL_AUDITING_CLIENT_TEMPLATE.FAT&amp;display_string=Audit&amp;VAR:KEY=YRCVAVADMX&amp;VAR:QUERY=UkdGX1RBWF9SQVRFKEFOTiwwLCwsLCwsTk9BVURJVCk=&amp;WINDOW=FIRST_POPUP&amp;HEIGHT=450&amp;WIDTH=450&amp;","START_MAXIMIZED=FALSE&amp;VAR:CALENDAR=US&amp;VAR:SYMBOL=INTC&amp;VAR:INDEX=0"}</definedName>
    <definedName name="_2999__FDSAUDITLINK__" hidden="1">{"fdsup://directions/FAT Viewer?action=UPDATE&amp;creator=factset&amp;DYN_ARGS=TRUE&amp;DOC_NAME=FAT:FQL_AUDITING_CLIENT_TEMPLATE.FAT&amp;display_string=Audit&amp;VAR:KEY=YRCVAVADMX&amp;VAR:QUERY=UkdGX1RBWF9SQVRFKEFOTiwwLCwsLCwsTk9BVURJVCk=&amp;WINDOW=FIRST_POPUP&amp;HEIGHT=450&amp;WIDTH=450&amp;","START_MAXIMIZED=FALSE&amp;VAR:CALENDAR=US&amp;VAR:SYMBOL=INTC&amp;VAR:INDEX=0"}</definedName>
    <definedName name="_3__FDSAUDITLINK__" localSheetId="3" hidden="1">{"fdsup://directions/FAT Viewer?action=UPDATE&amp;creator=factset&amp;DYN_ARGS=TRUE&amp;DOC_NAME=FAT:FQL_AUDITING_CLIENT_TEMPLATE.FAT&amp;display_string=Audit&amp;VAR:KEY=ETOHMPOVEF&amp;VAR:QUERY=RkZfREVCVChRVFIsMCwsLFJGKQ==&amp;WINDOW=FIRST_POPUP&amp;HEIGHT=450&amp;WIDTH=450&amp;START_MAXIMIZED=","FALSE&amp;VAR:CALENDAR=US&amp;VAR:SYMBOL=B014K5&amp;VAR:INDEX=0"}</definedName>
    <definedName name="_3__FDSAUDITLINK__" localSheetId="7" hidden="1">{"fdsup://directions/FAT Viewer?action=UPDATE&amp;creator=factset&amp;DYN_ARGS=TRUE&amp;DOC_NAME=FAT:FQL_AUDITING_CLIENT_TEMPLATE.FAT&amp;display_string=Audit&amp;VAR:KEY=ETOHMPOVEF&amp;VAR:QUERY=RkZfREVCVChRVFIsMCwsLFJGKQ==&amp;WINDOW=FIRST_POPUP&amp;HEIGHT=450&amp;WIDTH=450&amp;START_MAXIMIZED=","FALSE&amp;VAR:CALENDAR=US&amp;VAR:SYMBOL=B014K5&amp;VAR:INDEX=0"}</definedName>
    <definedName name="_3__FDSAUDITLINK__" hidden="1">{"fdsup://directions/FAT Viewer?action=UPDATE&amp;creator=factset&amp;DYN_ARGS=TRUE&amp;DOC_NAME=FAT:FQL_AUDITING_CLIENT_TEMPLATE.FAT&amp;display_string=Audit&amp;VAR:KEY=ETOHMPOVEF&amp;VAR:QUERY=RkZfREVCVChRVFIsMCwsLFJGKQ==&amp;WINDOW=FIRST_POPUP&amp;HEIGHT=450&amp;WIDTH=450&amp;START_MAXIMIZED=","FALSE&amp;VAR:CALENDAR=US&amp;VAR:SYMBOL=B014K5&amp;VAR:INDEX=0"}</definedName>
    <definedName name="_3_0__123Grap" localSheetId="3" hidden="1">#REF!</definedName>
    <definedName name="_3_0__123Grap" hidden="1">#REF!</definedName>
    <definedName name="_30__FDSAUDITLINK__" localSheetId="3" hidden="1">{"fdsup://Directions/FactSet Auditing Viewer?action=AUDIT_VALUE&amp;DB=129&amp;ID1=B07C76&amp;VALUEID=01001_YTD&amp;SDATE=201102&amp;PERIODTYPE=QTR_STD&amp;SCFT=3&amp;window=popup_no_bar&amp;width=385&amp;height=120&amp;START_MAXIMIZED=FALSE&amp;creator=factset&amp;display_string=Audit"}</definedName>
    <definedName name="_30__FDSAUDITLINK__" localSheetId="7" hidden="1">{"fdsup://Directions/FactSet Auditing Viewer?action=AUDIT_VALUE&amp;DB=129&amp;ID1=B07C76&amp;VALUEID=01001_YTD&amp;SDATE=201102&amp;PERIODTYPE=QTR_STD&amp;SCFT=3&amp;window=popup_no_bar&amp;width=385&amp;height=120&amp;START_MAXIMIZED=FALSE&amp;creator=factset&amp;display_string=Audit"}</definedName>
    <definedName name="_30__FDSAUDITLINK__" hidden="1">{"fdsup://Directions/FactSet Auditing Viewer?action=AUDIT_VALUE&amp;DB=129&amp;ID1=B07C76&amp;VALUEID=01001_YTD&amp;SDATE=201102&amp;PERIODTYPE=QTR_STD&amp;SCFT=3&amp;window=popup_no_bar&amp;width=385&amp;height=120&amp;START_MAXIMIZED=FALSE&amp;creator=factset&amp;display_string=Audit"}</definedName>
    <definedName name="_3000__FDSAUDITLINK__" localSheetId="3" hidden="1">{"fdsup://directions/FAT Viewer?action=UPDATE&amp;creator=factset&amp;DYN_ARGS=TRUE&amp;DOC_NAME=FAT:FQL_AUDITING_CLIENT_TEMPLATE.FAT&amp;display_string=Audit&amp;VAR:KEY=EDUZYXQPIB&amp;VAR:QUERY=UkdGX1RBWF9SQVRFKEFOTiwwLCwsLCwsTk9BVURJVCk=&amp;WINDOW=FIRST_POPUP&amp;HEIGHT=450&amp;WIDTH=450&amp;","START_MAXIMIZED=FALSE&amp;VAR:CALENDAR=US&amp;VAR:SYMBOL=INFA&amp;VAR:INDEX=0"}</definedName>
    <definedName name="_3000__FDSAUDITLINK__" localSheetId="7" hidden="1">{"fdsup://directions/FAT Viewer?action=UPDATE&amp;creator=factset&amp;DYN_ARGS=TRUE&amp;DOC_NAME=FAT:FQL_AUDITING_CLIENT_TEMPLATE.FAT&amp;display_string=Audit&amp;VAR:KEY=EDUZYXQPIB&amp;VAR:QUERY=UkdGX1RBWF9SQVRFKEFOTiwwLCwsLCwsTk9BVURJVCk=&amp;WINDOW=FIRST_POPUP&amp;HEIGHT=450&amp;WIDTH=450&amp;","START_MAXIMIZED=FALSE&amp;VAR:CALENDAR=US&amp;VAR:SYMBOL=INFA&amp;VAR:INDEX=0"}</definedName>
    <definedName name="_3000__FDSAUDITLINK__" hidden="1">{"fdsup://directions/FAT Viewer?action=UPDATE&amp;creator=factset&amp;DYN_ARGS=TRUE&amp;DOC_NAME=FAT:FQL_AUDITING_CLIENT_TEMPLATE.FAT&amp;display_string=Audit&amp;VAR:KEY=EDUZYXQPIB&amp;VAR:QUERY=UkdGX1RBWF9SQVRFKEFOTiwwLCwsLCwsTk9BVURJVCk=&amp;WINDOW=FIRST_POPUP&amp;HEIGHT=450&amp;WIDTH=450&amp;","START_MAXIMIZED=FALSE&amp;VAR:CALENDAR=US&amp;VAR:SYMBOL=INFA&amp;VAR:INDEX=0"}</definedName>
    <definedName name="_3001__FDSAUDITLINK__" localSheetId="3" hidden="1">{"fdsup://directions/FAT Viewer?action=UPDATE&amp;creator=factset&amp;DYN_ARGS=TRUE&amp;DOC_NAME=FAT:FQL_AUDITING_CLIENT_TEMPLATE.FAT&amp;display_string=Audit&amp;VAR:KEY=EDUZYXQPIB&amp;VAR:QUERY=UkdGX1RBWF9SQVRFKEFOTiwwLCwsLCwsTk9BVURJVCk=&amp;WINDOW=FIRST_POPUP&amp;HEIGHT=450&amp;WIDTH=450&amp;","START_MAXIMIZED=FALSE&amp;VAR:CALENDAR=US&amp;VAR:SYMBOL=INFA&amp;VAR:INDEX=0"}</definedName>
    <definedName name="_3001__FDSAUDITLINK__" localSheetId="7" hidden="1">{"fdsup://directions/FAT Viewer?action=UPDATE&amp;creator=factset&amp;DYN_ARGS=TRUE&amp;DOC_NAME=FAT:FQL_AUDITING_CLIENT_TEMPLATE.FAT&amp;display_string=Audit&amp;VAR:KEY=EDUZYXQPIB&amp;VAR:QUERY=UkdGX1RBWF9SQVRFKEFOTiwwLCwsLCwsTk9BVURJVCk=&amp;WINDOW=FIRST_POPUP&amp;HEIGHT=450&amp;WIDTH=450&amp;","START_MAXIMIZED=FALSE&amp;VAR:CALENDAR=US&amp;VAR:SYMBOL=INFA&amp;VAR:INDEX=0"}</definedName>
    <definedName name="_3001__FDSAUDITLINK__" hidden="1">{"fdsup://directions/FAT Viewer?action=UPDATE&amp;creator=factset&amp;DYN_ARGS=TRUE&amp;DOC_NAME=FAT:FQL_AUDITING_CLIENT_TEMPLATE.FAT&amp;display_string=Audit&amp;VAR:KEY=EDUZYXQPIB&amp;VAR:QUERY=UkdGX1RBWF9SQVRFKEFOTiwwLCwsLCwsTk9BVURJVCk=&amp;WINDOW=FIRST_POPUP&amp;HEIGHT=450&amp;WIDTH=450&amp;","START_MAXIMIZED=FALSE&amp;VAR:CALENDAR=US&amp;VAR:SYMBOL=INFA&amp;VAR:INDEX=0"}</definedName>
    <definedName name="_3002__FDSAUDITLINK__" localSheetId="3" hidden="1">{"fdsup://directions/FAT Viewer?action=UPDATE&amp;creator=factset&amp;DYN_ARGS=TRUE&amp;DOC_NAME=FAT:FQL_AUDITING_CLIENT_TEMPLATE.FAT&amp;display_string=Audit&amp;VAR:KEY=IFGXKPWNOJ&amp;VAR:QUERY=UkdGX1RBWF9SQVRFKEFOTiwwLCwsLCwsTk9BVURJVCk=&amp;WINDOW=FIRST_POPUP&amp;HEIGHT=450&amp;WIDTH=450&amp;","START_MAXIMIZED=FALSE&amp;VAR:CALENDAR=US&amp;VAR:SYMBOL=567075&amp;VAR:INDEX=0"}</definedName>
    <definedName name="_3002__FDSAUDITLINK__" localSheetId="7" hidden="1">{"fdsup://directions/FAT Viewer?action=UPDATE&amp;creator=factset&amp;DYN_ARGS=TRUE&amp;DOC_NAME=FAT:FQL_AUDITING_CLIENT_TEMPLATE.FAT&amp;display_string=Audit&amp;VAR:KEY=IFGXKPWNOJ&amp;VAR:QUERY=UkdGX1RBWF9SQVRFKEFOTiwwLCwsLCwsTk9BVURJVCk=&amp;WINDOW=FIRST_POPUP&amp;HEIGHT=450&amp;WIDTH=450&amp;","START_MAXIMIZED=FALSE&amp;VAR:CALENDAR=US&amp;VAR:SYMBOL=567075&amp;VAR:INDEX=0"}</definedName>
    <definedName name="_3002__FDSAUDITLINK__" hidden="1">{"fdsup://directions/FAT Viewer?action=UPDATE&amp;creator=factset&amp;DYN_ARGS=TRUE&amp;DOC_NAME=FAT:FQL_AUDITING_CLIENT_TEMPLATE.FAT&amp;display_string=Audit&amp;VAR:KEY=IFGXKPWNOJ&amp;VAR:QUERY=UkdGX1RBWF9SQVRFKEFOTiwwLCwsLCwsTk9BVURJVCk=&amp;WINDOW=FIRST_POPUP&amp;HEIGHT=450&amp;WIDTH=450&amp;","START_MAXIMIZED=FALSE&amp;VAR:CALENDAR=US&amp;VAR:SYMBOL=567075&amp;VAR:INDEX=0"}</definedName>
    <definedName name="_3003__FDSAUDITLINK__" localSheetId="3" hidden="1">{"fdsup://directions/FAT Viewer?action=UPDATE&amp;creator=factset&amp;DYN_ARGS=TRUE&amp;DOC_NAME=FAT:FQL_AUDITING_CLIENT_TEMPLATE.FAT&amp;display_string=Audit&amp;VAR:KEY=IFGXKPWNOJ&amp;VAR:QUERY=UkdGX1RBWF9SQVRFKEFOTiwwLCwsLCwsTk9BVURJVCk=&amp;WINDOW=FIRST_POPUP&amp;HEIGHT=450&amp;WIDTH=450&amp;","START_MAXIMIZED=FALSE&amp;VAR:CALENDAR=US&amp;VAR:SYMBOL=567075&amp;VAR:INDEX=0"}</definedName>
    <definedName name="_3003__FDSAUDITLINK__" localSheetId="7" hidden="1">{"fdsup://directions/FAT Viewer?action=UPDATE&amp;creator=factset&amp;DYN_ARGS=TRUE&amp;DOC_NAME=FAT:FQL_AUDITING_CLIENT_TEMPLATE.FAT&amp;display_string=Audit&amp;VAR:KEY=IFGXKPWNOJ&amp;VAR:QUERY=UkdGX1RBWF9SQVRFKEFOTiwwLCwsLCwsTk9BVURJVCk=&amp;WINDOW=FIRST_POPUP&amp;HEIGHT=450&amp;WIDTH=450&amp;","START_MAXIMIZED=FALSE&amp;VAR:CALENDAR=US&amp;VAR:SYMBOL=567075&amp;VAR:INDEX=0"}</definedName>
    <definedName name="_3003__FDSAUDITLINK__" hidden="1">{"fdsup://directions/FAT Viewer?action=UPDATE&amp;creator=factset&amp;DYN_ARGS=TRUE&amp;DOC_NAME=FAT:FQL_AUDITING_CLIENT_TEMPLATE.FAT&amp;display_string=Audit&amp;VAR:KEY=IFGXKPWNOJ&amp;VAR:QUERY=UkdGX1RBWF9SQVRFKEFOTiwwLCwsLCwsTk9BVURJVCk=&amp;WINDOW=FIRST_POPUP&amp;HEIGHT=450&amp;WIDTH=450&amp;","START_MAXIMIZED=FALSE&amp;VAR:CALENDAR=US&amp;VAR:SYMBOL=567075&amp;VAR:INDEX=0"}</definedName>
    <definedName name="_3004__FDSAUDITLINK__" localSheetId="3" hidden="1">{"fdsup://directions/FAT Viewer?action=UPDATE&amp;creator=factset&amp;DYN_ARGS=TRUE&amp;DOC_NAME=FAT:FQL_AUDITING_CLIENT_TEMPLATE.FAT&amp;display_string=Audit&amp;VAR:KEY=SJGNCBMJYR&amp;VAR:QUERY=UkdGX1RBWF9SQVRFKEFOTiwwLCwsLCwsTk9BVURJVCk=&amp;WINDOW=FIRST_POPUP&amp;HEIGHT=450&amp;WIDTH=450&amp;","START_MAXIMIZED=FALSE&amp;VAR:CALENDAR=US&amp;VAR:SYMBOL=IRM&amp;VAR:INDEX=0"}</definedName>
    <definedName name="_3004__FDSAUDITLINK__" localSheetId="7" hidden="1">{"fdsup://directions/FAT Viewer?action=UPDATE&amp;creator=factset&amp;DYN_ARGS=TRUE&amp;DOC_NAME=FAT:FQL_AUDITING_CLIENT_TEMPLATE.FAT&amp;display_string=Audit&amp;VAR:KEY=SJGNCBMJYR&amp;VAR:QUERY=UkdGX1RBWF9SQVRFKEFOTiwwLCwsLCwsTk9BVURJVCk=&amp;WINDOW=FIRST_POPUP&amp;HEIGHT=450&amp;WIDTH=450&amp;","START_MAXIMIZED=FALSE&amp;VAR:CALENDAR=US&amp;VAR:SYMBOL=IRM&amp;VAR:INDEX=0"}</definedName>
    <definedName name="_3004__FDSAUDITLINK__" hidden="1">{"fdsup://directions/FAT Viewer?action=UPDATE&amp;creator=factset&amp;DYN_ARGS=TRUE&amp;DOC_NAME=FAT:FQL_AUDITING_CLIENT_TEMPLATE.FAT&amp;display_string=Audit&amp;VAR:KEY=SJGNCBMJYR&amp;VAR:QUERY=UkdGX1RBWF9SQVRFKEFOTiwwLCwsLCwsTk9BVURJVCk=&amp;WINDOW=FIRST_POPUP&amp;HEIGHT=450&amp;WIDTH=450&amp;","START_MAXIMIZED=FALSE&amp;VAR:CALENDAR=US&amp;VAR:SYMBOL=IRM&amp;VAR:INDEX=0"}</definedName>
    <definedName name="_3005__FDSAUDITLINK__" localSheetId="3" hidden="1">{"fdsup://directions/FAT Viewer?action=UPDATE&amp;creator=factset&amp;DYN_ARGS=TRUE&amp;DOC_NAME=FAT:FQL_AUDITING_CLIENT_TEMPLATE.FAT&amp;display_string=Audit&amp;VAR:KEY=SJGNCBMJYR&amp;VAR:QUERY=UkdGX1RBWF9SQVRFKEFOTiwwLCwsLCwsTk9BVURJVCk=&amp;WINDOW=FIRST_POPUP&amp;HEIGHT=450&amp;WIDTH=450&amp;","START_MAXIMIZED=FALSE&amp;VAR:CALENDAR=US&amp;VAR:SYMBOL=IRM&amp;VAR:INDEX=0"}</definedName>
    <definedName name="_3005__FDSAUDITLINK__" localSheetId="7" hidden="1">{"fdsup://directions/FAT Viewer?action=UPDATE&amp;creator=factset&amp;DYN_ARGS=TRUE&amp;DOC_NAME=FAT:FQL_AUDITING_CLIENT_TEMPLATE.FAT&amp;display_string=Audit&amp;VAR:KEY=SJGNCBMJYR&amp;VAR:QUERY=UkdGX1RBWF9SQVRFKEFOTiwwLCwsLCwsTk9BVURJVCk=&amp;WINDOW=FIRST_POPUP&amp;HEIGHT=450&amp;WIDTH=450&amp;","START_MAXIMIZED=FALSE&amp;VAR:CALENDAR=US&amp;VAR:SYMBOL=IRM&amp;VAR:INDEX=0"}</definedName>
    <definedName name="_3005__FDSAUDITLINK__" hidden="1">{"fdsup://directions/FAT Viewer?action=UPDATE&amp;creator=factset&amp;DYN_ARGS=TRUE&amp;DOC_NAME=FAT:FQL_AUDITING_CLIENT_TEMPLATE.FAT&amp;display_string=Audit&amp;VAR:KEY=SJGNCBMJYR&amp;VAR:QUERY=UkdGX1RBWF9SQVRFKEFOTiwwLCwsLCwsTk9BVURJVCk=&amp;WINDOW=FIRST_POPUP&amp;HEIGHT=450&amp;WIDTH=450&amp;","START_MAXIMIZED=FALSE&amp;VAR:CALENDAR=US&amp;VAR:SYMBOL=IRM&amp;VAR:INDEX=0"}</definedName>
    <definedName name="_3006__FDSAUDITLINK__" localSheetId="3" hidden="1">{"fdsup://directions/FAT Viewer?action=UPDATE&amp;creator=factset&amp;DYN_ARGS=TRUE&amp;DOC_NAME=FAT:FQL_AUDITING_CLIENT_TEMPLATE.FAT&amp;display_string=Audit&amp;VAR:KEY=ILUNSXKTMF&amp;VAR:QUERY=UkdGX1RBWF9SQVRFKEFOTiwwLCwsLCwsTk9BVURJVCk=&amp;WINDOW=FIRST_POPUP&amp;HEIGHT=450&amp;WIDTH=450&amp;","START_MAXIMIZED=FALSE&amp;VAR:CALENDAR=US&amp;VAR:SYMBOL=HPQ&amp;VAR:INDEX=0"}</definedName>
    <definedName name="_3006__FDSAUDITLINK__" localSheetId="7" hidden="1">{"fdsup://directions/FAT Viewer?action=UPDATE&amp;creator=factset&amp;DYN_ARGS=TRUE&amp;DOC_NAME=FAT:FQL_AUDITING_CLIENT_TEMPLATE.FAT&amp;display_string=Audit&amp;VAR:KEY=ILUNSXKTMF&amp;VAR:QUERY=UkdGX1RBWF9SQVRFKEFOTiwwLCwsLCwsTk9BVURJVCk=&amp;WINDOW=FIRST_POPUP&amp;HEIGHT=450&amp;WIDTH=450&amp;","START_MAXIMIZED=FALSE&amp;VAR:CALENDAR=US&amp;VAR:SYMBOL=HPQ&amp;VAR:INDEX=0"}</definedName>
    <definedName name="_3006__FDSAUDITLINK__" hidden="1">{"fdsup://directions/FAT Viewer?action=UPDATE&amp;creator=factset&amp;DYN_ARGS=TRUE&amp;DOC_NAME=FAT:FQL_AUDITING_CLIENT_TEMPLATE.FAT&amp;display_string=Audit&amp;VAR:KEY=ILUNSXKTMF&amp;VAR:QUERY=UkdGX1RBWF9SQVRFKEFOTiwwLCwsLCwsTk9BVURJVCk=&amp;WINDOW=FIRST_POPUP&amp;HEIGHT=450&amp;WIDTH=450&amp;","START_MAXIMIZED=FALSE&amp;VAR:CALENDAR=US&amp;VAR:SYMBOL=HPQ&amp;VAR:INDEX=0"}</definedName>
    <definedName name="_3007__FDSAUDITLINK__" localSheetId="3" hidden="1">{"fdsup://directions/FAT Viewer?action=UPDATE&amp;creator=factset&amp;DYN_ARGS=TRUE&amp;DOC_NAME=FAT:FQL_AUDITING_CLIENT_TEMPLATE.FAT&amp;display_string=Audit&amp;VAR:KEY=ILUNSXKTMF&amp;VAR:QUERY=UkdGX1RBWF9SQVRFKEFOTiwwLCwsLCwsTk9BVURJVCk=&amp;WINDOW=FIRST_POPUP&amp;HEIGHT=450&amp;WIDTH=450&amp;","START_MAXIMIZED=FALSE&amp;VAR:CALENDAR=US&amp;VAR:SYMBOL=HPQ&amp;VAR:INDEX=0"}</definedName>
    <definedName name="_3007__FDSAUDITLINK__" localSheetId="7" hidden="1">{"fdsup://directions/FAT Viewer?action=UPDATE&amp;creator=factset&amp;DYN_ARGS=TRUE&amp;DOC_NAME=FAT:FQL_AUDITING_CLIENT_TEMPLATE.FAT&amp;display_string=Audit&amp;VAR:KEY=ILUNSXKTMF&amp;VAR:QUERY=UkdGX1RBWF9SQVRFKEFOTiwwLCwsLCwsTk9BVURJVCk=&amp;WINDOW=FIRST_POPUP&amp;HEIGHT=450&amp;WIDTH=450&amp;","START_MAXIMIZED=FALSE&amp;VAR:CALENDAR=US&amp;VAR:SYMBOL=HPQ&amp;VAR:INDEX=0"}</definedName>
    <definedName name="_3007__FDSAUDITLINK__" hidden="1">{"fdsup://directions/FAT Viewer?action=UPDATE&amp;creator=factset&amp;DYN_ARGS=TRUE&amp;DOC_NAME=FAT:FQL_AUDITING_CLIENT_TEMPLATE.FAT&amp;display_string=Audit&amp;VAR:KEY=ILUNSXKTMF&amp;VAR:QUERY=UkdGX1RBWF9SQVRFKEFOTiwwLCwsLCwsTk9BVURJVCk=&amp;WINDOW=FIRST_POPUP&amp;HEIGHT=450&amp;WIDTH=450&amp;","START_MAXIMIZED=FALSE&amp;VAR:CALENDAR=US&amp;VAR:SYMBOL=HPQ&amp;VAR:INDEX=0"}</definedName>
    <definedName name="_3008__FDSAUDITLINK__" localSheetId="3" hidden="1">{"fdsup://directions/FAT Viewer?action=UPDATE&amp;creator=factset&amp;DYN_ARGS=TRUE&amp;DOC_NAME=FAT:FQL_AUDITING_CLIENT_TEMPLATE.FAT&amp;display_string=Audit&amp;VAR:KEY=OZABQZGPYD&amp;VAR:QUERY=UkdGX1RBWF9SQVRFKEFOTiwwLCwsLCwsTk9BVURJVCk=&amp;WINDOW=FIRST_POPUP&amp;HEIGHT=450&amp;WIDTH=450&amp;","START_MAXIMIZED=FALSE&amp;VAR:CALENDAR=US&amp;VAR:SYMBOL=HPOL&amp;VAR:INDEX=0"}</definedName>
    <definedName name="_3008__FDSAUDITLINK__" localSheetId="7" hidden="1">{"fdsup://directions/FAT Viewer?action=UPDATE&amp;creator=factset&amp;DYN_ARGS=TRUE&amp;DOC_NAME=FAT:FQL_AUDITING_CLIENT_TEMPLATE.FAT&amp;display_string=Audit&amp;VAR:KEY=OZABQZGPYD&amp;VAR:QUERY=UkdGX1RBWF9SQVRFKEFOTiwwLCwsLCwsTk9BVURJVCk=&amp;WINDOW=FIRST_POPUP&amp;HEIGHT=450&amp;WIDTH=450&amp;","START_MAXIMIZED=FALSE&amp;VAR:CALENDAR=US&amp;VAR:SYMBOL=HPOL&amp;VAR:INDEX=0"}</definedName>
    <definedName name="_3008__FDSAUDITLINK__" hidden="1">{"fdsup://directions/FAT Viewer?action=UPDATE&amp;creator=factset&amp;DYN_ARGS=TRUE&amp;DOC_NAME=FAT:FQL_AUDITING_CLIENT_TEMPLATE.FAT&amp;display_string=Audit&amp;VAR:KEY=OZABQZGPYD&amp;VAR:QUERY=UkdGX1RBWF9SQVRFKEFOTiwwLCwsLCwsTk9BVURJVCk=&amp;WINDOW=FIRST_POPUP&amp;HEIGHT=450&amp;WIDTH=450&amp;","START_MAXIMIZED=FALSE&amp;VAR:CALENDAR=US&amp;VAR:SYMBOL=HPOL&amp;VAR:INDEX=0"}</definedName>
    <definedName name="_3009__FDSAUDITLINK__" localSheetId="3" hidden="1">{"fdsup://directions/FAT Viewer?action=UPDATE&amp;creator=factset&amp;DYN_ARGS=TRUE&amp;DOC_NAME=FAT:FQL_AUDITING_CLIENT_TEMPLATE.FAT&amp;display_string=Audit&amp;VAR:KEY=SXUJKXWRKB&amp;VAR:QUERY=UkdGX1RBWF9SQVRFKEFOTiwwLCwsLCwsTk9BVURJVCk=&amp;WINDOW=FIRST_POPUP&amp;HEIGHT=450&amp;WIDTH=450&amp;","START_MAXIMIZED=FALSE&amp;VAR:CALENDAR=US&amp;VAR:SYMBOL=GUID&amp;VAR:INDEX=0"}</definedName>
    <definedName name="_3009__FDSAUDITLINK__" localSheetId="7" hidden="1">{"fdsup://directions/FAT Viewer?action=UPDATE&amp;creator=factset&amp;DYN_ARGS=TRUE&amp;DOC_NAME=FAT:FQL_AUDITING_CLIENT_TEMPLATE.FAT&amp;display_string=Audit&amp;VAR:KEY=SXUJKXWRKB&amp;VAR:QUERY=UkdGX1RBWF9SQVRFKEFOTiwwLCwsLCwsTk9BVURJVCk=&amp;WINDOW=FIRST_POPUP&amp;HEIGHT=450&amp;WIDTH=450&amp;","START_MAXIMIZED=FALSE&amp;VAR:CALENDAR=US&amp;VAR:SYMBOL=GUID&amp;VAR:INDEX=0"}</definedName>
    <definedName name="_3009__FDSAUDITLINK__" hidden="1">{"fdsup://directions/FAT Viewer?action=UPDATE&amp;creator=factset&amp;DYN_ARGS=TRUE&amp;DOC_NAME=FAT:FQL_AUDITING_CLIENT_TEMPLATE.FAT&amp;display_string=Audit&amp;VAR:KEY=SXUJKXWRKB&amp;VAR:QUERY=UkdGX1RBWF9SQVRFKEFOTiwwLCwsLCwsTk9BVURJVCk=&amp;WINDOW=FIRST_POPUP&amp;HEIGHT=450&amp;WIDTH=450&amp;","START_MAXIMIZED=FALSE&amp;VAR:CALENDAR=US&amp;VAR:SYMBOL=GUID&amp;VAR:INDEX=0"}</definedName>
    <definedName name="_3010__FDSAUDITLINK__" localSheetId="3" hidden="1">{"fdsup://directions/FAT Viewer?action=UPDATE&amp;creator=factset&amp;DYN_ARGS=TRUE&amp;DOC_NAME=FAT:FQL_AUDITING_CLIENT_TEMPLATE.FAT&amp;display_string=Audit&amp;VAR:KEY=WJSFCTWJQX&amp;VAR:QUERY=UkdGX1RBWF9SQVRFKEFOTiwwLCwsLCwsTk9BVURJVCk=&amp;WINDOW=FIRST_POPUP&amp;HEIGHT=450&amp;WIDTH=450&amp;","START_MAXIMIZED=FALSE&amp;VAR:CALENDAR=US&amp;VAR:SYMBOL=GDOT&amp;VAR:INDEX=0"}</definedName>
    <definedName name="_3010__FDSAUDITLINK__" localSheetId="7" hidden="1">{"fdsup://directions/FAT Viewer?action=UPDATE&amp;creator=factset&amp;DYN_ARGS=TRUE&amp;DOC_NAME=FAT:FQL_AUDITING_CLIENT_TEMPLATE.FAT&amp;display_string=Audit&amp;VAR:KEY=WJSFCTWJQX&amp;VAR:QUERY=UkdGX1RBWF9SQVRFKEFOTiwwLCwsLCwsTk9BVURJVCk=&amp;WINDOW=FIRST_POPUP&amp;HEIGHT=450&amp;WIDTH=450&amp;","START_MAXIMIZED=FALSE&amp;VAR:CALENDAR=US&amp;VAR:SYMBOL=GDOT&amp;VAR:INDEX=0"}</definedName>
    <definedName name="_3010__FDSAUDITLINK__" hidden="1">{"fdsup://directions/FAT Viewer?action=UPDATE&amp;creator=factset&amp;DYN_ARGS=TRUE&amp;DOC_NAME=FAT:FQL_AUDITING_CLIENT_TEMPLATE.FAT&amp;display_string=Audit&amp;VAR:KEY=WJSFCTWJQX&amp;VAR:QUERY=UkdGX1RBWF9SQVRFKEFOTiwwLCwsLCwsTk9BVURJVCk=&amp;WINDOW=FIRST_POPUP&amp;HEIGHT=450&amp;WIDTH=450&amp;","START_MAXIMIZED=FALSE&amp;VAR:CALENDAR=US&amp;VAR:SYMBOL=GDOT&amp;VAR:INDEX=0"}</definedName>
    <definedName name="_3011__FDSAUDITLINK__" localSheetId="3" hidden="1">{"fdsup://directions/FAT Viewer?action=UPDATE&amp;creator=factset&amp;DYN_ARGS=TRUE&amp;DOC_NAME=FAT:FQL_AUDITING_CLIENT_TEMPLATE.FAT&amp;display_string=Audit&amp;VAR:KEY=WJSFCTWJQX&amp;VAR:QUERY=UkdGX1RBWF9SQVRFKEFOTiwwLCwsLCwsTk9BVURJVCk=&amp;WINDOW=FIRST_POPUP&amp;HEIGHT=450&amp;WIDTH=450&amp;","START_MAXIMIZED=FALSE&amp;VAR:CALENDAR=US&amp;VAR:SYMBOL=GDOT&amp;VAR:INDEX=0"}</definedName>
    <definedName name="_3011__FDSAUDITLINK__" localSheetId="7" hidden="1">{"fdsup://directions/FAT Viewer?action=UPDATE&amp;creator=factset&amp;DYN_ARGS=TRUE&amp;DOC_NAME=FAT:FQL_AUDITING_CLIENT_TEMPLATE.FAT&amp;display_string=Audit&amp;VAR:KEY=WJSFCTWJQX&amp;VAR:QUERY=UkdGX1RBWF9SQVRFKEFOTiwwLCwsLCwsTk9BVURJVCk=&amp;WINDOW=FIRST_POPUP&amp;HEIGHT=450&amp;WIDTH=450&amp;","START_MAXIMIZED=FALSE&amp;VAR:CALENDAR=US&amp;VAR:SYMBOL=GDOT&amp;VAR:INDEX=0"}</definedName>
    <definedName name="_3011__FDSAUDITLINK__" hidden="1">{"fdsup://directions/FAT Viewer?action=UPDATE&amp;creator=factset&amp;DYN_ARGS=TRUE&amp;DOC_NAME=FAT:FQL_AUDITING_CLIENT_TEMPLATE.FAT&amp;display_string=Audit&amp;VAR:KEY=WJSFCTWJQX&amp;VAR:QUERY=UkdGX1RBWF9SQVRFKEFOTiwwLCwsLCwsTk9BVURJVCk=&amp;WINDOW=FIRST_POPUP&amp;HEIGHT=450&amp;WIDTH=450&amp;","START_MAXIMIZED=FALSE&amp;VAR:CALENDAR=US&amp;VAR:SYMBOL=GDOT&amp;VAR:INDEX=0"}</definedName>
    <definedName name="_3012__FDSAUDITLINK__" localSheetId="3" hidden="1">{"fdsup://directions/FAT Viewer?action=UPDATE&amp;creator=factset&amp;DYN_ARGS=TRUE&amp;DOC_NAME=FAT:FQL_AUDITING_CLIENT_TEMPLATE.FAT&amp;display_string=Audit&amp;VAR:KEY=ABUZCDEJIJ&amp;VAR:QUERY=UkdGX1RBWF9SQVRFKEFOTiwwLCwsLCwsTk9BVURJVCk=&amp;WINDOW=FIRST_POPUP&amp;HEIGHT=450&amp;WIDTH=450&amp;","START_MAXIMIZED=FALSE&amp;VAR:CALENDAR=US&amp;VAR:SYMBOL=GOOG&amp;VAR:INDEX=0"}</definedName>
    <definedName name="_3012__FDSAUDITLINK__" localSheetId="7" hidden="1">{"fdsup://directions/FAT Viewer?action=UPDATE&amp;creator=factset&amp;DYN_ARGS=TRUE&amp;DOC_NAME=FAT:FQL_AUDITING_CLIENT_TEMPLATE.FAT&amp;display_string=Audit&amp;VAR:KEY=ABUZCDEJIJ&amp;VAR:QUERY=UkdGX1RBWF9SQVRFKEFOTiwwLCwsLCwsTk9BVURJVCk=&amp;WINDOW=FIRST_POPUP&amp;HEIGHT=450&amp;WIDTH=450&amp;","START_MAXIMIZED=FALSE&amp;VAR:CALENDAR=US&amp;VAR:SYMBOL=GOOG&amp;VAR:INDEX=0"}</definedName>
    <definedName name="_3012__FDSAUDITLINK__" hidden="1">{"fdsup://directions/FAT Viewer?action=UPDATE&amp;creator=factset&amp;DYN_ARGS=TRUE&amp;DOC_NAME=FAT:FQL_AUDITING_CLIENT_TEMPLATE.FAT&amp;display_string=Audit&amp;VAR:KEY=ABUZCDEJIJ&amp;VAR:QUERY=UkdGX1RBWF9SQVRFKEFOTiwwLCwsLCwsTk9BVURJVCk=&amp;WINDOW=FIRST_POPUP&amp;HEIGHT=450&amp;WIDTH=450&amp;","START_MAXIMIZED=FALSE&amp;VAR:CALENDAR=US&amp;VAR:SYMBOL=GOOG&amp;VAR:INDEX=0"}</definedName>
    <definedName name="_3013__FDSAUDITLINK__" localSheetId="3" hidden="1">{"fdsup://directions/FAT Viewer?action=UPDATE&amp;creator=factset&amp;DYN_ARGS=TRUE&amp;DOC_NAME=FAT:FQL_AUDITING_CLIENT_TEMPLATE.FAT&amp;display_string=Audit&amp;VAR:KEY=ABUZCDEJIJ&amp;VAR:QUERY=UkdGX1RBWF9SQVRFKEFOTiwwLCwsLCwsTk9BVURJVCk=&amp;WINDOW=FIRST_POPUP&amp;HEIGHT=450&amp;WIDTH=450&amp;","START_MAXIMIZED=FALSE&amp;VAR:CALENDAR=US&amp;VAR:SYMBOL=GOOG&amp;VAR:INDEX=0"}</definedName>
    <definedName name="_3013__FDSAUDITLINK__" localSheetId="7" hidden="1">{"fdsup://directions/FAT Viewer?action=UPDATE&amp;creator=factset&amp;DYN_ARGS=TRUE&amp;DOC_NAME=FAT:FQL_AUDITING_CLIENT_TEMPLATE.FAT&amp;display_string=Audit&amp;VAR:KEY=ABUZCDEJIJ&amp;VAR:QUERY=UkdGX1RBWF9SQVRFKEFOTiwwLCwsLCwsTk9BVURJVCk=&amp;WINDOW=FIRST_POPUP&amp;HEIGHT=450&amp;WIDTH=450&amp;","START_MAXIMIZED=FALSE&amp;VAR:CALENDAR=US&amp;VAR:SYMBOL=GOOG&amp;VAR:INDEX=0"}</definedName>
    <definedName name="_3013__FDSAUDITLINK__" hidden="1">{"fdsup://directions/FAT Viewer?action=UPDATE&amp;creator=factset&amp;DYN_ARGS=TRUE&amp;DOC_NAME=FAT:FQL_AUDITING_CLIENT_TEMPLATE.FAT&amp;display_string=Audit&amp;VAR:KEY=ABUZCDEJIJ&amp;VAR:QUERY=UkdGX1RBWF9SQVRFKEFOTiwwLCwsLCwsTk9BVURJVCk=&amp;WINDOW=FIRST_POPUP&amp;HEIGHT=450&amp;WIDTH=450&amp;","START_MAXIMIZED=FALSE&amp;VAR:CALENDAR=US&amp;VAR:SYMBOL=GOOG&amp;VAR:INDEX=0"}</definedName>
    <definedName name="_3014__FDSAUDITLINK__" localSheetId="3" hidden="1">{"fdsup://directions/FAT Viewer?action=UPDATE&amp;creator=factset&amp;DYN_ARGS=TRUE&amp;DOC_NAME=FAT:FQL_AUDITING_CLIENT_TEMPLATE.FAT&amp;display_string=Audit&amp;VAR:KEY=SJKJSRKDOP&amp;VAR:QUERY=UkdGX1RBWF9SQVRFKEFOTiwwLCwsLCwsTk9BVURJVCk=&amp;WINDOW=FIRST_POPUP&amp;HEIGHT=450&amp;WIDTH=450&amp;","START_MAXIMIZED=FALSE&amp;VAR:CALENDAR=US&amp;VAR:SYMBOL=IT&amp;VAR:INDEX=0"}</definedName>
    <definedName name="_3014__FDSAUDITLINK__" localSheetId="7" hidden="1">{"fdsup://directions/FAT Viewer?action=UPDATE&amp;creator=factset&amp;DYN_ARGS=TRUE&amp;DOC_NAME=FAT:FQL_AUDITING_CLIENT_TEMPLATE.FAT&amp;display_string=Audit&amp;VAR:KEY=SJKJSRKDOP&amp;VAR:QUERY=UkdGX1RBWF9SQVRFKEFOTiwwLCwsLCwsTk9BVURJVCk=&amp;WINDOW=FIRST_POPUP&amp;HEIGHT=450&amp;WIDTH=450&amp;","START_MAXIMIZED=FALSE&amp;VAR:CALENDAR=US&amp;VAR:SYMBOL=IT&amp;VAR:INDEX=0"}</definedName>
    <definedName name="_3014__FDSAUDITLINK__" hidden="1">{"fdsup://directions/FAT Viewer?action=UPDATE&amp;creator=factset&amp;DYN_ARGS=TRUE&amp;DOC_NAME=FAT:FQL_AUDITING_CLIENT_TEMPLATE.FAT&amp;display_string=Audit&amp;VAR:KEY=SJKJSRKDOP&amp;VAR:QUERY=UkdGX1RBWF9SQVRFKEFOTiwwLCwsLCwsTk9BVURJVCk=&amp;WINDOW=FIRST_POPUP&amp;HEIGHT=450&amp;WIDTH=450&amp;","START_MAXIMIZED=FALSE&amp;VAR:CALENDAR=US&amp;VAR:SYMBOL=IT&amp;VAR:INDEX=0"}</definedName>
    <definedName name="_3015__FDSAUDITLINK__" localSheetId="3" hidden="1">{"fdsup://directions/FAT Viewer?action=UPDATE&amp;creator=factset&amp;DYN_ARGS=TRUE&amp;DOC_NAME=FAT:FQL_AUDITING_CLIENT_TEMPLATE.FAT&amp;display_string=Audit&amp;VAR:KEY=SJKJSRKDOP&amp;VAR:QUERY=UkdGX1RBWF9SQVRFKEFOTiwwLCwsLCwsTk9BVURJVCk=&amp;WINDOW=FIRST_POPUP&amp;HEIGHT=450&amp;WIDTH=450&amp;","START_MAXIMIZED=FALSE&amp;VAR:CALENDAR=US&amp;VAR:SYMBOL=IT&amp;VAR:INDEX=0"}</definedName>
    <definedName name="_3015__FDSAUDITLINK__" localSheetId="7" hidden="1">{"fdsup://directions/FAT Viewer?action=UPDATE&amp;creator=factset&amp;DYN_ARGS=TRUE&amp;DOC_NAME=FAT:FQL_AUDITING_CLIENT_TEMPLATE.FAT&amp;display_string=Audit&amp;VAR:KEY=SJKJSRKDOP&amp;VAR:QUERY=UkdGX1RBWF9SQVRFKEFOTiwwLCwsLCwsTk9BVURJVCk=&amp;WINDOW=FIRST_POPUP&amp;HEIGHT=450&amp;WIDTH=450&amp;","START_MAXIMIZED=FALSE&amp;VAR:CALENDAR=US&amp;VAR:SYMBOL=IT&amp;VAR:INDEX=0"}</definedName>
    <definedName name="_3015__FDSAUDITLINK__" hidden="1">{"fdsup://directions/FAT Viewer?action=UPDATE&amp;creator=factset&amp;DYN_ARGS=TRUE&amp;DOC_NAME=FAT:FQL_AUDITING_CLIENT_TEMPLATE.FAT&amp;display_string=Audit&amp;VAR:KEY=SJKJSRKDOP&amp;VAR:QUERY=UkdGX1RBWF9SQVRFKEFOTiwwLCwsLCwsTk9BVURJVCk=&amp;WINDOW=FIRST_POPUP&amp;HEIGHT=450&amp;WIDTH=450&amp;","START_MAXIMIZED=FALSE&amp;VAR:CALENDAR=US&amp;VAR:SYMBOL=IT&amp;VAR:INDEX=0"}</definedName>
    <definedName name="_3016__FDSAUDITLINK__" localSheetId="3" hidden="1">{"fdsup://directions/FAT Viewer?action=UPDATE&amp;creator=factset&amp;DYN_ARGS=TRUE&amp;DOC_NAME=FAT:FQL_AUDITING_CLIENT_TEMPLATE.FAT&amp;display_string=Audit&amp;VAR:KEY=UHQFMNKHOJ&amp;VAR:QUERY=UkdGX1RBWF9SQVRFKEFOTiwwLCwsLCwsTk9BVURJVCk=&amp;WINDOW=FIRST_POPUP&amp;HEIGHT=450&amp;WIDTH=450&amp;","START_MAXIMIZED=FALSE&amp;VAR:CALENDAR=US&amp;VAR:SYMBOL=FTNT&amp;VAR:INDEX=0"}</definedName>
    <definedName name="_3016__FDSAUDITLINK__" localSheetId="7" hidden="1">{"fdsup://directions/FAT Viewer?action=UPDATE&amp;creator=factset&amp;DYN_ARGS=TRUE&amp;DOC_NAME=FAT:FQL_AUDITING_CLIENT_TEMPLATE.FAT&amp;display_string=Audit&amp;VAR:KEY=UHQFMNKHOJ&amp;VAR:QUERY=UkdGX1RBWF9SQVRFKEFOTiwwLCwsLCwsTk9BVURJVCk=&amp;WINDOW=FIRST_POPUP&amp;HEIGHT=450&amp;WIDTH=450&amp;","START_MAXIMIZED=FALSE&amp;VAR:CALENDAR=US&amp;VAR:SYMBOL=FTNT&amp;VAR:INDEX=0"}</definedName>
    <definedName name="_3016__FDSAUDITLINK__" hidden="1">{"fdsup://directions/FAT Viewer?action=UPDATE&amp;creator=factset&amp;DYN_ARGS=TRUE&amp;DOC_NAME=FAT:FQL_AUDITING_CLIENT_TEMPLATE.FAT&amp;display_string=Audit&amp;VAR:KEY=UHQFMNKHOJ&amp;VAR:QUERY=UkdGX1RBWF9SQVRFKEFOTiwwLCwsLCwsTk9BVURJVCk=&amp;WINDOW=FIRST_POPUP&amp;HEIGHT=450&amp;WIDTH=450&amp;","START_MAXIMIZED=FALSE&amp;VAR:CALENDAR=US&amp;VAR:SYMBOL=FTNT&amp;VAR:INDEX=0"}</definedName>
    <definedName name="_3017__FDSAUDITLINK__" localSheetId="3" hidden="1">{"fdsup://directions/FAT Viewer?action=UPDATE&amp;creator=factset&amp;DYN_ARGS=TRUE&amp;DOC_NAME=FAT:FQL_AUDITING_CLIENT_TEMPLATE.FAT&amp;display_string=Audit&amp;VAR:KEY=UHQFMNKHOJ&amp;VAR:QUERY=UkdGX1RBWF9SQVRFKEFOTiwwLCwsLCwsTk9BVURJVCk=&amp;WINDOW=FIRST_POPUP&amp;HEIGHT=450&amp;WIDTH=450&amp;","START_MAXIMIZED=FALSE&amp;VAR:CALENDAR=US&amp;VAR:SYMBOL=FTNT&amp;VAR:INDEX=0"}</definedName>
    <definedName name="_3017__FDSAUDITLINK__" localSheetId="7" hidden="1">{"fdsup://directions/FAT Viewer?action=UPDATE&amp;creator=factset&amp;DYN_ARGS=TRUE&amp;DOC_NAME=FAT:FQL_AUDITING_CLIENT_TEMPLATE.FAT&amp;display_string=Audit&amp;VAR:KEY=UHQFMNKHOJ&amp;VAR:QUERY=UkdGX1RBWF9SQVRFKEFOTiwwLCwsLCwsTk9BVURJVCk=&amp;WINDOW=FIRST_POPUP&amp;HEIGHT=450&amp;WIDTH=450&amp;","START_MAXIMIZED=FALSE&amp;VAR:CALENDAR=US&amp;VAR:SYMBOL=FTNT&amp;VAR:INDEX=0"}</definedName>
    <definedName name="_3017__FDSAUDITLINK__" hidden="1">{"fdsup://directions/FAT Viewer?action=UPDATE&amp;creator=factset&amp;DYN_ARGS=TRUE&amp;DOC_NAME=FAT:FQL_AUDITING_CLIENT_TEMPLATE.FAT&amp;display_string=Audit&amp;VAR:KEY=UHQFMNKHOJ&amp;VAR:QUERY=UkdGX1RBWF9SQVRFKEFOTiwwLCwsLCwsTk9BVURJVCk=&amp;WINDOW=FIRST_POPUP&amp;HEIGHT=450&amp;WIDTH=450&amp;","START_MAXIMIZED=FALSE&amp;VAR:CALENDAR=US&amp;VAR:SYMBOL=FTNT&amp;VAR:INDEX=0"}</definedName>
    <definedName name="_3018__FDSAUDITLINK__" localSheetId="3" hidden="1">{"fdsup://directions/FAT Viewer?action=UPDATE&amp;creator=factset&amp;DYN_ARGS=TRUE&amp;DOC_NAME=FAT:FQL_AUDITING_CLIENT_TEMPLATE.FAT&amp;display_string=Audit&amp;VAR:KEY=MFEXGTOXYZ&amp;VAR:QUERY=UkdGX1RBWF9SQVRFKEFOTiwwLCwsLCwsTk9BVURJVCk=&amp;WINDOW=FIRST_POPUP&amp;HEIGHT=450&amp;WIDTH=450&amp;","START_MAXIMIZED=FALSE&amp;VAR:CALENDAR=US&amp;VAR:SYMBOL=580685&amp;VAR:INDEX=0"}</definedName>
    <definedName name="_3018__FDSAUDITLINK__" localSheetId="7" hidden="1">{"fdsup://directions/FAT Viewer?action=UPDATE&amp;creator=factset&amp;DYN_ARGS=TRUE&amp;DOC_NAME=FAT:FQL_AUDITING_CLIENT_TEMPLATE.FAT&amp;display_string=Audit&amp;VAR:KEY=MFEXGTOXYZ&amp;VAR:QUERY=UkdGX1RBWF9SQVRFKEFOTiwwLCwsLCwsTk9BVURJVCk=&amp;WINDOW=FIRST_POPUP&amp;HEIGHT=450&amp;WIDTH=450&amp;","START_MAXIMIZED=FALSE&amp;VAR:CALENDAR=US&amp;VAR:SYMBOL=580685&amp;VAR:INDEX=0"}</definedName>
    <definedName name="_3018__FDSAUDITLINK__" hidden="1">{"fdsup://directions/FAT Viewer?action=UPDATE&amp;creator=factset&amp;DYN_ARGS=TRUE&amp;DOC_NAME=FAT:FQL_AUDITING_CLIENT_TEMPLATE.FAT&amp;display_string=Audit&amp;VAR:KEY=MFEXGTOXYZ&amp;VAR:QUERY=UkdGX1RBWF9SQVRFKEFOTiwwLCwsLCwsTk9BVURJVCk=&amp;WINDOW=FIRST_POPUP&amp;HEIGHT=450&amp;WIDTH=450&amp;","START_MAXIMIZED=FALSE&amp;VAR:CALENDAR=US&amp;VAR:SYMBOL=580685&amp;VAR:INDEX=0"}</definedName>
    <definedName name="_3019__FDSAUDITLINK__" localSheetId="3" hidden="1">{"fdsup://directions/FAT Viewer?action=UPDATE&amp;creator=factset&amp;DYN_ARGS=TRUE&amp;DOC_NAME=FAT:FQL_AUDITING_CLIENT_TEMPLATE.FAT&amp;display_string=Audit&amp;VAR:KEY=MFEXGTOXYZ&amp;VAR:QUERY=UkdGX1RBWF9SQVRFKEFOTiwwLCwsLCwsTk9BVURJVCk=&amp;WINDOW=FIRST_POPUP&amp;HEIGHT=450&amp;WIDTH=450&amp;","START_MAXIMIZED=FALSE&amp;VAR:CALENDAR=US&amp;VAR:SYMBOL=580685&amp;VAR:INDEX=0"}</definedName>
    <definedName name="_3019__FDSAUDITLINK__" localSheetId="7" hidden="1">{"fdsup://directions/FAT Viewer?action=UPDATE&amp;creator=factset&amp;DYN_ARGS=TRUE&amp;DOC_NAME=FAT:FQL_AUDITING_CLIENT_TEMPLATE.FAT&amp;display_string=Audit&amp;VAR:KEY=MFEXGTOXYZ&amp;VAR:QUERY=UkdGX1RBWF9SQVRFKEFOTiwwLCwsLCwsTk9BVURJVCk=&amp;WINDOW=FIRST_POPUP&amp;HEIGHT=450&amp;WIDTH=450&amp;","START_MAXIMIZED=FALSE&amp;VAR:CALENDAR=US&amp;VAR:SYMBOL=580685&amp;VAR:INDEX=0"}</definedName>
    <definedName name="_3019__FDSAUDITLINK__" hidden="1">{"fdsup://directions/FAT Viewer?action=UPDATE&amp;creator=factset&amp;DYN_ARGS=TRUE&amp;DOC_NAME=FAT:FQL_AUDITING_CLIENT_TEMPLATE.FAT&amp;display_string=Audit&amp;VAR:KEY=MFEXGTOXYZ&amp;VAR:QUERY=UkdGX1RBWF9SQVRFKEFOTiwwLCwsLCwsTk9BVURJVCk=&amp;WINDOW=FIRST_POPUP&amp;HEIGHT=450&amp;WIDTH=450&amp;","START_MAXIMIZED=FALSE&amp;VAR:CALENDAR=US&amp;VAR:SYMBOL=580685&amp;VAR:INDEX=0"}</definedName>
    <definedName name="_3020__FDSAUDITLINK__" localSheetId="3" hidden="1">{"fdsup://directions/FAT Viewer?action=UPDATE&amp;creator=factset&amp;DYN_ARGS=TRUE&amp;DOC_NAME=FAT:FQL_AUDITING_CLIENT_TEMPLATE.FAT&amp;display_string=Audit&amp;VAR:KEY=CPSTQZKVMT&amp;VAR:QUERY=UkdGX1RBWF9SQVRFKEFOTiwwLCwsLCwsTk9BVURJVCk=&amp;WINDOW=FIRST_POPUP&amp;HEIGHT=450&amp;WIDTH=450&amp;","START_MAXIMIZED=FALSE&amp;VAR:CALENDAR=US&amp;VAR:SYMBOL=FORR&amp;VAR:INDEX=0"}</definedName>
    <definedName name="_3020__FDSAUDITLINK__" localSheetId="7" hidden="1">{"fdsup://directions/FAT Viewer?action=UPDATE&amp;creator=factset&amp;DYN_ARGS=TRUE&amp;DOC_NAME=FAT:FQL_AUDITING_CLIENT_TEMPLATE.FAT&amp;display_string=Audit&amp;VAR:KEY=CPSTQZKVMT&amp;VAR:QUERY=UkdGX1RBWF9SQVRFKEFOTiwwLCwsLCwsTk9BVURJVCk=&amp;WINDOW=FIRST_POPUP&amp;HEIGHT=450&amp;WIDTH=450&amp;","START_MAXIMIZED=FALSE&amp;VAR:CALENDAR=US&amp;VAR:SYMBOL=FORR&amp;VAR:INDEX=0"}</definedName>
    <definedName name="_3020__FDSAUDITLINK__" hidden="1">{"fdsup://directions/FAT Viewer?action=UPDATE&amp;creator=factset&amp;DYN_ARGS=TRUE&amp;DOC_NAME=FAT:FQL_AUDITING_CLIENT_TEMPLATE.FAT&amp;display_string=Audit&amp;VAR:KEY=CPSTQZKVMT&amp;VAR:QUERY=UkdGX1RBWF9SQVRFKEFOTiwwLCwsLCwsTk9BVURJVCk=&amp;WINDOW=FIRST_POPUP&amp;HEIGHT=450&amp;WIDTH=450&amp;","START_MAXIMIZED=FALSE&amp;VAR:CALENDAR=US&amp;VAR:SYMBOL=FORR&amp;VAR:INDEX=0"}</definedName>
    <definedName name="_3021__FDSAUDITLINK__" localSheetId="3" hidden="1">{"fdsup://directions/FAT Viewer?action=UPDATE&amp;creator=factset&amp;DYN_ARGS=TRUE&amp;DOC_NAME=FAT:FQL_AUDITING_CLIENT_TEMPLATE.FAT&amp;display_string=Audit&amp;VAR:KEY=CPSTQZKVMT&amp;VAR:QUERY=UkdGX1RBWF9SQVRFKEFOTiwwLCwsLCwsTk9BVURJVCk=&amp;WINDOW=FIRST_POPUP&amp;HEIGHT=450&amp;WIDTH=450&amp;","START_MAXIMIZED=FALSE&amp;VAR:CALENDAR=US&amp;VAR:SYMBOL=FORR&amp;VAR:INDEX=0"}</definedName>
    <definedName name="_3021__FDSAUDITLINK__" localSheetId="7" hidden="1">{"fdsup://directions/FAT Viewer?action=UPDATE&amp;creator=factset&amp;DYN_ARGS=TRUE&amp;DOC_NAME=FAT:FQL_AUDITING_CLIENT_TEMPLATE.FAT&amp;display_string=Audit&amp;VAR:KEY=CPSTQZKVMT&amp;VAR:QUERY=UkdGX1RBWF9SQVRFKEFOTiwwLCwsLCwsTk9BVURJVCk=&amp;WINDOW=FIRST_POPUP&amp;HEIGHT=450&amp;WIDTH=450&amp;","START_MAXIMIZED=FALSE&amp;VAR:CALENDAR=US&amp;VAR:SYMBOL=FORR&amp;VAR:INDEX=0"}</definedName>
    <definedName name="_3021__FDSAUDITLINK__" hidden="1">{"fdsup://directions/FAT Viewer?action=UPDATE&amp;creator=factset&amp;DYN_ARGS=TRUE&amp;DOC_NAME=FAT:FQL_AUDITING_CLIENT_TEMPLATE.FAT&amp;display_string=Audit&amp;VAR:KEY=CPSTQZKVMT&amp;VAR:QUERY=UkdGX1RBWF9SQVRFKEFOTiwwLCwsLCwsTk9BVURJVCk=&amp;WINDOW=FIRST_POPUP&amp;HEIGHT=450&amp;WIDTH=450&amp;","START_MAXIMIZED=FALSE&amp;VAR:CALENDAR=US&amp;VAR:SYMBOL=FORR&amp;VAR:INDEX=0"}</definedName>
    <definedName name="_3022__FDSAUDITLINK__" localSheetId="3" hidden="1">{"fdsup://directions/FAT Viewer?action=UPDATE&amp;creator=factset&amp;DYN_ARGS=TRUE&amp;DOC_NAME=FAT:FQL_AUDITING_CLIENT_TEMPLATE.FAT&amp;display_string=Audit&amp;VAR:KEY=GLADWNGTAN&amp;VAR:QUERY=UkdGX1RBWF9SQVRFKEFOTiwwLCwsLCwsTk9BVURJVCk=&amp;WINDOW=FIRST_POPUP&amp;HEIGHT=450&amp;WIDTH=450&amp;","START_MAXIMIZED=FALSE&amp;VAR:CALENDAR=US&amp;VAR:SYMBOL=FISV&amp;VAR:INDEX=0"}</definedName>
    <definedName name="_3022__FDSAUDITLINK__" localSheetId="7" hidden="1">{"fdsup://directions/FAT Viewer?action=UPDATE&amp;creator=factset&amp;DYN_ARGS=TRUE&amp;DOC_NAME=FAT:FQL_AUDITING_CLIENT_TEMPLATE.FAT&amp;display_string=Audit&amp;VAR:KEY=GLADWNGTAN&amp;VAR:QUERY=UkdGX1RBWF9SQVRFKEFOTiwwLCwsLCwsTk9BVURJVCk=&amp;WINDOW=FIRST_POPUP&amp;HEIGHT=450&amp;WIDTH=450&amp;","START_MAXIMIZED=FALSE&amp;VAR:CALENDAR=US&amp;VAR:SYMBOL=FISV&amp;VAR:INDEX=0"}</definedName>
    <definedName name="_3022__FDSAUDITLINK__" hidden="1">{"fdsup://directions/FAT Viewer?action=UPDATE&amp;creator=factset&amp;DYN_ARGS=TRUE&amp;DOC_NAME=FAT:FQL_AUDITING_CLIENT_TEMPLATE.FAT&amp;display_string=Audit&amp;VAR:KEY=GLADWNGTAN&amp;VAR:QUERY=UkdGX1RBWF9SQVRFKEFOTiwwLCwsLCwsTk9BVURJVCk=&amp;WINDOW=FIRST_POPUP&amp;HEIGHT=450&amp;WIDTH=450&amp;","START_MAXIMIZED=FALSE&amp;VAR:CALENDAR=US&amp;VAR:SYMBOL=FISV&amp;VAR:INDEX=0"}</definedName>
    <definedName name="_3023__FDSAUDITLINK__" localSheetId="3" hidden="1">{"fdsup://directions/FAT Viewer?action=UPDATE&amp;creator=factset&amp;DYN_ARGS=TRUE&amp;DOC_NAME=FAT:FQL_AUDITING_CLIENT_TEMPLATE.FAT&amp;display_string=Audit&amp;VAR:KEY=GLADWNGTAN&amp;VAR:QUERY=UkdGX1RBWF9SQVRFKEFOTiwwLCwsLCwsTk9BVURJVCk=&amp;WINDOW=FIRST_POPUP&amp;HEIGHT=450&amp;WIDTH=450&amp;","START_MAXIMIZED=FALSE&amp;VAR:CALENDAR=US&amp;VAR:SYMBOL=FISV&amp;VAR:INDEX=0"}</definedName>
    <definedName name="_3023__FDSAUDITLINK__" localSheetId="7" hidden="1">{"fdsup://directions/FAT Viewer?action=UPDATE&amp;creator=factset&amp;DYN_ARGS=TRUE&amp;DOC_NAME=FAT:FQL_AUDITING_CLIENT_TEMPLATE.FAT&amp;display_string=Audit&amp;VAR:KEY=GLADWNGTAN&amp;VAR:QUERY=UkdGX1RBWF9SQVRFKEFOTiwwLCwsLCwsTk9BVURJVCk=&amp;WINDOW=FIRST_POPUP&amp;HEIGHT=450&amp;WIDTH=450&amp;","START_MAXIMIZED=FALSE&amp;VAR:CALENDAR=US&amp;VAR:SYMBOL=FISV&amp;VAR:INDEX=0"}</definedName>
    <definedName name="_3023__FDSAUDITLINK__" hidden="1">{"fdsup://directions/FAT Viewer?action=UPDATE&amp;creator=factset&amp;DYN_ARGS=TRUE&amp;DOC_NAME=FAT:FQL_AUDITING_CLIENT_TEMPLATE.FAT&amp;display_string=Audit&amp;VAR:KEY=GLADWNGTAN&amp;VAR:QUERY=UkdGX1RBWF9SQVRFKEFOTiwwLCwsLCwsTk9BVURJVCk=&amp;WINDOW=FIRST_POPUP&amp;HEIGHT=450&amp;WIDTH=450&amp;","START_MAXIMIZED=FALSE&amp;VAR:CALENDAR=US&amp;VAR:SYMBOL=FISV&amp;VAR:INDEX=0"}</definedName>
    <definedName name="_3024__FDSAUDITLINK__" localSheetId="3" hidden="1">{"fdsup://directions/FAT Viewer?action=UPDATE&amp;creator=factset&amp;DYN_ARGS=TRUE&amp;DOC_NAME=FAT:FQL_AUDITING_CLIENT_TEMPLATE.FAT&amp;display_string=Audit&amp;VAR:KEY=ORIBGDGVGB&amp;VAR:QUERY=UkdGX1RBWF9SQVRFKEFOTiwwLCwsLCwsTk9BVURJVCk=&amp;WINDOW=FIRST_POPUP&amp;HEIGHT=450&amp;WIDTH=450&amp;","START_MAXIMIZED=FALSE&amp;VAR:CALENDAR=US&amp;VAR:SYMBOL=FALC&amp;VAR:INDEX=0"}</definedName>
    <definedName name="_3024__FDSAUDITLINK__" localSheetId="7" hidden="1">{"fdsup://directions/FAT Viewer?action=UPDATE&amp;creator=factset&amp;DYN_ARGS=TRUE&amp;DOC_NAME=FAT:FQL_AUDITING_CLIENT_TEMPLATE.FAT&amp;display_string=Audit&amp;VAR:KEY=ORIBGDGVGB&amp;VAR:QUERY=UkdGX1RBWF9SQVRFKEFOTiwwLCwsLCwsTk9BVURJVCk=&amp;WINDOW=FIRST_POPUP&amp;HEIGHT=450&amp;WIDTH=450&amp;","START_MAXIMIZED=FALSE&amp;VAR:CALENDAR=US&amp;VAR:SYMBOL=FALC&amp;VAR:INDEX=0"}</definedName>
    <definedName name="_3024__FDSAUDITLINK__" hidden="1">{"fdsup://directions/FAT Viewer?action=UPDATE&amp;creator=factset&amp;DYN_ARGS=TRUE&amp;DOC_NAME=FAT:FQL_AUDITING_CLIENT_TEMPLATE.FAT&amp;display_string=Audit&amp;VAR:KEY=ORIBGDGVGB&amp;VAR:QUERY=UkdGX1RBWF9SQVRFKEFOTiwwLCwsLCwsTk9BVURJVCk=&amp;WINDOW=FIRST_POPUP&amp;HEIGHT=450&amp;WIDTH=450&amp;","START_MAXIMIZED=FALSE&amp;VAR:CALENDAR=US&amp;VAR:SYMBOL=FALC&amp;VAR:INDEX=0"}</definedName>
    <definedName name="_3025__FDSAUDITLINK__" localSheetId="3" hidden="1">{"fdsup://directions/FAT Viewer?action=UPDATE&amp;creator=factset&amp;DYN_ARGS=TRUE&amp;DOC_NAME=FAT:FQL_AUDITING_CLIENT_TEMPLATE.FAT&amp;display_string=Audit&amp;VAR:KEY=ALYNYDUHQP&amp;VAR:QUERY=UkdGX1RBWF9SQVRFKEFOTiwwLCwsLCwsTk9BVURJVCk=&amp;WINDOW=FIRST_POPUP&amp;HEIGHT=450&amp;WIDTH=450&amp;","START_MAXIMIZED=FALSE&amp;VAR:CALENDAR=US&amp;VAR:SYMBOL=FICO&amp;VAR:INDEX=0"}</definedName>
    <definedName name="_3025__FDSAUDITLINK__" localSheetId="7" hidden="1">{"fdsup://directions/FAT Viewer?action=UPDATE&amp;creator=factset&amp;DYN_ARGS=TRUE&amp;DOC_NAME=FAT:FQL_AUDITING_CLIENT_TEMPLATE.FAT&amp;display_string=Audit&amp;VAR:KEY=ALYNYDUHQP&amp;VAR:QUERY=UkdGX1RBWF9SQVRFKEFOTiwwLCwsLCwsTk9BVURJVCk=&amp;WINDOW=FIRST_POPUP&amp;HEIGHT=450&amp;WIDTH=450&amp;","START_MAXIMIZED=FALSE&amp;VAR:CALENDAR=US&amp;VAR:SYMBOL=FICO&amp;VAR:INDEX=0"}</definedName>
    <definedName name="_3025__FDSAUDITLINK__" hidden="1">{"fdsup://directions/FAT Viewer?action=UPDATE&amp;creator=factset&amp;DYN_ARGS=TRUE&amp;DOC_NAME=FAT:FQL_AUDITING_CLIENT_TEMPLATE.FAT&amp;display_string=Audit&amp;VAR:KEY=ALYNYDUHQP&amp;VAR:QUERY=UkdGX1RBWF9SQVRFKEFOTiwwLCwsLCwsTk9BVURJVCk=&amp;WINDOW=FIRST_POPUP&amp;HEIGHT=450&amp;WIDTH=450&amp;","START_MAXIMIZED=FALSE&amp;VAR:CALENDAR=US&amp;VAR:SYMBOL=FICO&amp;VAR:INDEX=0"}</definedName>
    <definedName name="_3026__FDSAUDITLINK__" localSheetId="3" hidden="1">{"fdsup://directions/FAT Viewer?action=UPDATE&amp;creator=factset&amp;DYN_ARGS=TRUE&amp;DOC_NAME=FAT:FQL_AUDITING_CLIENT_TEMPLATE.FAT&amp;display_string=Audit&amp;VAR:KEY=ALYNYDUHQP&amp;VAR:QUERY=UkdGX1RBWF9SQVRFKEFOTiwwLCwsLCwsTk9BVURJVCk=&amp;WINDOW=FIRST_POPUP&amp;HEIGHT=450&amp;WIDTH=450&amp;","START_MAXIMIZED=FALSE&amp;VAR:CALENDAR=US&amp;VAR:SYMBOL=FICO&amp;VAR:INDEX=0"}</definedName>
    <definedName name="_3026__FDSAUDITLINK__" localSheetId="7" hidden="1">{"fdsup://directions/FAT Viewer?action=UPDATE&amp;creator=factset&amp;DYN_ARGS=TRUE&amp;DOC_NAME=FAT:FQL_AUDITING_CLIENT_TEMPLATE.FAT&amp;display_string=Audit&amp;VAR:KEY=ALYNYDUHQP&amp;VAR:QUERY=UkdGX1RBWF9SQVRFKEFOTiwwLCwsLCwsTk9BVURJVCk=&amp;WINDOW=FIRST_POPUP&amp;HEIGHT=450&amp;WIDTH=450&amp;","START_MAXIMIZED=FALSE&amp;VAR:CALENDAR=US&amp;VAR:SYMBOL=FICO&amp;VAR:INDEX=0"}</definedName>
    <definedName name="_3026__FDSAUDITLINK__" hidden="1">{"fdsup://directions/FAT Viewer?action=UPDATE&amp;creator=factset&amp;DYN_ARGS=TRUE&amp;DOC_NAME=FAT:FQL_AUDITING_CLIENT_TEMPLATE.FAT&amp;display_string=Audit&amp;VAR:KEY=ALYNYDUHQP&amp;VAR:QUERY=UkdGX1RBWF9SQVRFKEFOTiwwLCwsLCwsTk9BVURJVCk=&amp;WINDOW=FIRST_POPUP&amp;HEIGHT=450&amp;WIDTH=450&amp;","START_MAXIMIZED=FALSE&amp;VAR:CALENDAR=US&amp;VAR:SYMBOL=FICO&amp;VAR:INDEX=0"}</definedName>
    <definedName name="_3027__FDSAUDITLINK__" localSheetId="3" hidden="1">{"fdsup://directions/FAT Viewer?action=UPDATE&amp;creator=factset&amp;DYN_ARGS=TRUE&amp;DOC_NAME=FAT:FQL_AUDITING_CLIENT_TEMPLATE.FAT&amp;display_string=Audit&amp;VAR:KEY=ATUVANABQB&amp;VAR:QUERY=UkdGX1RBWF9SQVRFKEFOTiwwLCwsLCwsTk9BVURJVCk=&amp;WINDOW=FIRST_POPUP&amp;HEIGHT=450&amp;WIDTH=450&amp;","START_MAXIMIZED=FALSE&amp;VAR:CALENDAR=US&amp;VAR:SYMBOL=FFIV&amp;VAR:INDEX=0"}</definedName>
    <definedName name="_3027__FDSAUDITLINK__" localSheetId="7" hidden="1">{"fdsup://directions/FAT Viewer?action=UPDATE&amp;creator=factset&amp;DYN_ARGS=TRUE&amp;DOC_NAME=FAT:FQL_AUDITING_CLIENT_TEMPLATE.FAT&amp;display_string=Audit&amp;VAR:KEY=ATUVANABQB&amp;VAR:QUERY=UkdGX1RBWF9SQVRFKEFOTiwwLCwsLCwsTk9BVURJVCk=&amp;WINDOW=FIRST_POPUP&amp;HEIGHT=450&amp;WIDTH=450&amp;","START_MAXIMIZED=FALSE&amp;VAR:CALENDAR=US&amp;VAR:SYMBOL=FFIV&amp;VAR:INDEX=0"}</definedName>
    <definedName name="_3027__FDSAUDITLINK__" hidden="1">{"fdsup://directions/FAT Viewer?action=UPDATE&amp;creator=factset&amp;DYN_ARGS=TRUE&amp;DOC_NAME=FAT:FQL_AUDITING_CLIENT_TEMPLATE.FAT&amp;display_string=Audit&amp;VAR:KEY=ATUVANABQB&amp;VAR:QUERY=UkdGX1RBWF9SQVRFKEFOTiwwLCwsLCwsTk9BVURJVCk=&amp;WINDOW=FIRST_POPUP&amp;HEIGHT=450&amp;WIDTH=450&amp;","START_MAXIMIZED=FALSE&amp;VAR:CALENDAR=US&amp;VAR:SYMBOL=FFIV&amp;VAR:INDEX=0"}</definedName>
    <definedName name="_3028__FDSAUDITLINK__" localSheetId="3" hidden="1">{"fdsup://directions/FAT Viewer?action=UPDATE&amp;creator=factset&amp;DYN_ARGS=TRUE&amp;DOC_NAME=FAT:FQL_AUDITING_CLIENT_TEMPLATE.FAT&amp;display_string=Audit&amp;VAR:KEY=ATUVANABQB&amp;VAR:QUERY=UkdGX1RBWF9SQVRFKEFOTiwwLCwsLCwsTk9BVURJVCk=&amp;WINDOW=FIRST_POPUP&amp;HEIGHT=450&amp;WIDTH=450&amp;","START_MAXIMIZED=FALSE&amp;VAR:CALENDAR=US&amp;VAR:SYMBOL=FFIV&amp;VAR:INDEX=0"}</definedName>
    <definedName name="_3028__FDSAUDITLINK__" localSheetId="7" hidden="1">{"fdsup://directions/FAT Viewer?action=UPDATE&amp;creator=factset&amp;DYN_ARGS=TRUE&amp;DOC_NAME=FAT:FQL_AUDITING_CLIENT_TEMPLATE.FAT&amp;display_string=Audit&amp;VAR:KEY=ATUVANABQB&amp;VAR:QUERY=UkdGX1RBWF9SQVRFKEFOTiwwLCwsLCwsTk9BVURJVCk=&amp;WINDOW=FIRST_POPUP&amp;HEIGHT=450&amp;WIDTH=450&amp;","START_MAXIMIZED=FALSE&amp;VAR:CALENDAR=US&amp;VAR:SYMBOL=FFIV&amp;VAR:INDEX=0"}</definedName>
    <definedName name="_3028__FDSAUDITLINK__" hidden="1">{"fdsup://directions/FAT Viewer?action=UPDATE&amp;creator=factset&amp;DYN_ARGS=TRUE&amp;DOC_NAME=FAT:FQL_AUDITING_CLIENT_TEMPLATE.FAT&amp;display_string=Audit&amp;VAR:KEY=ATUVANABQB&amp;VAR:QUERY=UkdGX1RBWF9SQVRFKEFOTiwwLCwsLCwsTk9BVURJVCk=&amp;WINDOW=FIRST_POPUP&amp;HEIGHT=450&amp;WIDTH=450&amp;","START_MAXIMIZED=FALSE&amp;VAR:CALENDAR=US&amp;VAR:SYMBOL=FFIV&amp;VAR:INDEX=0"}</definedName>
    <definedName name="_3029__FDSAUDITLINK__" localSheetId="3" hidden="1">{"fdsup://directions/FAT Viewer?action=UPDATE&amp;creator=factset&amp;DYN_ARGS=TRUE&amp;DOC_NAME=FAT:FQL_AUDITING_CLIENT_TEMPLATE.FAT&amp;display_string=Audit&amp;VAR:KEY=AJORYPCHOJ&amp;VAR:QUERY=UkdGX1RBWF9SQVRFKEFOTiwwLCwsLCwsTk9BVURJVCk=&amp;WINDOW=FIRST_POPUP&amp;HEIGHT=450&amp;WIDTH=450&amp;","START_MAXIMIZED=FALSE&amp;VAR:CALENDAR=US&amp;VAR:SYMBOL=B19NLV&amp;VAR:INDEX=0"}</definedName>
    <definedName name="_3029__FDSAUDITLINK__" localSheetId="7" hidden="1">{"fdsup://directions/FAT Viewer?action=UPDATE&amp;creator=factset&amp;DYN_ARGS=TRUE&amp;DOC_NAME=FAT:FQL_AUDITING_CLIENT_TEMPLATE.FAT&amp;display_string=Audit&amp;VAR:KEY=AJORYPCHOJ&amp;VAR:QUERY=UkdGX1RBWF9SQVRFKEFOTiwwLCwsLCwsTk9BVURJVCk=&amp;WINDOW=FIRST_POPUP&amp;HEIGHT=450&amp;WIDTH=450&amp;","START_MAXIMIZED=FALSE&amp;VAR:CALENDAR=US&amp;VAR:SYMBOL=B19NLV&amp;VAR:INDEX=0"}</definedName>
    <definedName name="_3029__FDSAUDITLINK__" hidden="1">{"fdsup://directions/FAT Viewer?action=UPDATE&amp;creator=factset&amp;DYN_ARGS=TRUE&amp;DOC_NAME=FAT:FQL_AUDITING_CLIENT_TEMPLATE.FAT&amp;display_string=Audit&amp;VAR:KEY=AJORYPCHOJ&amp;VAR:QUERY=UkdGX1RBWF9SQVRFKEFOTiwwLCwsLCwsTk9BVURJVCk=&amp;WINDOW=FIRST_POPUP&amp;HEIGHT=450&amp;WIDTH=450&amp;","START_MAXIMIZED=FALSE&amp;VAR:CALENDAR=US&amp;VAR:SYMBOL=B19NLV&amp;VAR:INDEX=0"}</definedName>
    <definedName name="_3030__FDSAUDITLINK__" localSheetId="3" hidden="1">{"fdsup://directions/FAT Viewer?action=UPDATE&amp;creator=factset&amp;DYN_ARGS=TRUE&amp;DOC_NAME=FAT:FQL_AUDITING_CLIENT_TEMPLATE.FAT&amp;display_string=Audit&amp;VAR:KEY=AJORYPCHOJ&amp;VAR:QUERY=UkdGX1RBWF9SQVRFKEFOTiwwLCwsLCwsTk9BVURJVCk=&amp;WINDOW=FIRST_POPUP&amp;HEIGHT=450&amp;WIDTH=450&amp;","START_MAXIMIZED=FALSE&amp;VAR:CALENDAR=US&amp;VAR:SYMBOL=B19NLV&amp;VAR:INDEX=0"}</definedName>
    <definedName name="_3030__FDSAUDITLINK__" localSheetId="7" hidden="1">{"fdsup://directions/FAT Viewer?action=UPDATE&amp;creator=factset&amp;DYN_ARGS=TRUE&amp;DOC_NAME=FAT:FQL_AUDITING_CLIENT_TEMPLATE.FAT&amp;display_string=Audit&amp;VAR:KEY=AJORYPCHOJ&amp;VAR:QUERY=UkdGX1RBWF9SQVRFKEFOTiwwLCwsLCwsTk9BVURJVCk=&amp;WINDOW=FIRST_POPUP&amp;HEIGHT=450&amp;WIDTH=450&amp;","START_MAXIMIZED=FALSE&amp;VAR:CALENDAR=US&amp;VAR:SYMBOL=B19NLV&amp;VAR:INDEX=0"}</definedName>
    <definedName name="_3030__FDSAUDITLINK__" hidden="1">{"fdsup://directions/FAT Viewer?action=UPDATE&amp;creator=factset&amp;DYN_ARGS=TRUE&amp;DOC_NAME=FAT:FQL_AUDITING_CLIENT_TEMPLATE.FAT&amp;display_string=Audit&amp;VAR:KEY=AJORYPCHOJ&amp;VAR:QUERY=UkdGX1RBWF9SQVRFKEFOTiwwLCwsLCwsTk9BVURJVCk=&amp;WINDOW=FIRST_POPUP&amp;HEIGHT=450&amp;WIDTH=450&amp;","START_MAXIMIZED=FALSE&amp;VAR:CALENDAR=US&amp;VAR:SYMBOL=B19NLV&amp;VAR:INDEX=0"}</definedName>
    <definedName name="_3031__FDSAUDITLINK__" localSheetId="3" hidden="1">{"fdsup://directions/FAT Viewer?action=UPDATE&amp;creator=factset&amp;DYN_ARGS=TRUE&amp;DOC_NAME=FAT:FQL_AUDITING_CLIENT_TEMPLATE.FAT&amp;display_string=Audit&amp;VAR:KEY=GNKJUFMDSB&amp;VAR:QUERY=UkdGX1RBWF9SQVRFKEFOTiwwLCwsLCwsTk9BVURJVCk=&amp;WINDOW=FIRST_POPUP&amp;HEIGHT=450&amp;WIDTH=450&amp;","START_MAXIMIZED=FALSE&amp;VAR:CALENDAR=US&amp;VAR:SYMBOL=EXPE&amp;VAR:INDEX=0"}</definedName>
    <definedName name="_3031__FDSAUDITLINK__" localSheetId="7" hidden="1">{"fdsup://directions/FAT Viewer?action=UPDATE&amp;creator=factset&amp;DYN_ARGS=TRUE&amp;DOC_NAME=FAT:FQL_AUDITING_CLIENT_TEMPLATE.FAT&amp;display_string=Audit&amp;VAR:KEY=GNKJUFMDSB&amp;VAR:QUERY=UkdGX1RBWF9SQVRFKEFOTiwwLCwsLCwsTk9BVURJVCk=&amp;WINDOW=FIRST_POPUP&amp;HEIGHT=450&amp;WIDTH=450&amp;","START_MAXIMIZED=FALSE&amp;VAR:CALENDAR=US&amp;VAR:SYMBOL=EXPE&amp;VAR:INDEX=0"}</definedName>
    <definedName name="_3031__FDSAUDITLINK__" hidden="1">{"fdsup://directions/FAT Viewer?action=UPDATE&amp;creator=factset&amp;DYN_ARGS=TRUE&amp;DOC_NAME=FAT:FQL_AUDITING_CLIENT_TEMPLATE.FAT&amp;display_string=Audit&amp;VAR:KEY=GNKJUFMDSB&amp;VAR:QUERY=UkdGX1RBWF9SQVRFKEFOTiwwLCwsLCwsTk9BVURJVCk=&amp;WINDOW=FIRST_POPUP&amp;HEIGHT=450&amp;WIDTH=450&amp;","START_MAXIMIZED=FALSE&amp;VAR:CALENDAR=US&amp;VAR:SYMBOL=EXPE&amp;VAR:INDEX=0"}</definedName>
    <definedName name="_3032__FDSAUDITLINK__" localSheetId="3" hidden="1">{"fdsup://directions/FAT Viewer?action=UPDATE&amp;creator=factset&amp;DYN_ARGS=TRUE&amp;DOC_NAME=FAT:FQL_AUDITING_CLIENT_TEMPLATE.FAT&amp;display_string=Audit&amp;VAR:KEY=GNKJUFMDSB&amp;VAR:QUERY=UkdGX1RBWF9SQVRFKEFOTiwwLCwsLCwsTk9BVURJVCk=&amp;WINDOW=FIRST_POPUP&amp;HEIGHT=450&amp;WIDTH=450&amp;","START_MAXIMIZED=FALSE&amp;VAR:CALENDAR=US&amp;VAR:SYMBOL=EXPE&amp;VAR:INDEX=0"}</definedName>
    <definedName name="_3032__FDSAUDITLINK__" localSheetId="7" hidden="1">{"fdsup://directions/FAT Viewer?action=UPDATE&amp;creator=factset&amp;DYN_ARGS=TRUE&amp;DOC_NAME=FAT:FQL_AUDITING_CLIENT_TEMPLATE.FAT&amp;display_string=Audit&amp;VAR:KEY=GNKJUFMDSB&amp;VAR:QUERY=UkdGX1RBWF9SQVRFKEFOTiwwLCwsLCwsTk9BVURJVCk=&amp;WINDOW=FIRST_POPUP&amp;HEIGHT=450&amp;WIDTH=450&amp;","START_MAXIMIZED=FALSE&amp;VAR:CALENDAR=US&amp;VAR:SYMBOL=EXPE&amp;VAR:INDEX=0"}</definedName>
    <definedName name="_3032__FDSAUDITLINK__" hidden="1">{"fdsup://directions/FAT Viewer?action=UPDATE&amp;creator=factset&amp;DYN_ARGS=TRUE&amp;DOC_NAME=FAT:FQL_AUDITING_CLIENT_TEMPLATE.FAT&amp;display_string=Audit&amp;VAR:KEY=GNKJUFMDSB&amp;VAR:QUERY=UkdGX1RBWF9SQVRFKEFOTiwwLCwsLCwsTk9BVURJVCk=&amp;WINDOW=FIRST_POPUP&amp;HEIGHT=450&amp;WIDTH=450&amp;","START_MAXIMIZED=FALSE&amp;VAR:CALENDAR=US&amp;VAR:SYMBOL=EXPE&amp;VAR:INDEX=0"}</definedName>
    <definedName name="_3033__FDSAUDITLINK__" localSheetId="3" hidden="1">{"fdsup://directions/FAT Viewer?action=UPDATE&amp;creator=factset&amp;DYN_ARGS=TRUE&amp;DOC_NAME=FAT:FQL_AUDITING_CLIENT_TEMPLATE.FAT&amp;display_string=Audit&amp;VAR:KEY=QLMHMPSRQD&amp;VAR:QUERY=UkdGX1RBWF9SQVRFKEFOTiwwLCwsLCwsTk9BVURJVCk=&amp;WINDOW=FIRST_POPUP&amp;HEIGHT=450&amp;WIDTH=450&amp;","START_MAXIMIZED=FALSE&amp;VAR:CALENDAR=US&amp;VAR:SYMBOL=569496&amp;VAR:INDEX=0"}</definedName>
    <definedName name="_3033__FDSAUDITLINK__" localSheetId="7" hidden="1">{"fdsup://directions/FAT Viewer?action=UPDATE&amp;creator=factset&amp;DYN_ARGS=TRUE&amp;DOC_NAME=FAT:FQL_AUDITING_CLIENT_TEMPLATE.FAT&amp;display_string=Audit&amp;VAR:KEY=QLMHMPSRQD&amp;VAR:QUERY=UkdGX1RBWF9SQVRFKEFOTiwwLCwsLCwsTk9BVURJVCk=&amp;WINDOW=FIRST_POPUP&amp;HEIGHT=450&amp;WIDTH=450&amp;","START_MAXIMIZED=FALSE&amp;VAR:CALENDAR=US&amp;VAR:SYMBOL=569496&amp;VAR:INDEX=0"}</definedName>
    <definedName name="_3033__FDSAUDITLINK__" hidden="1">{"fdsup://directions/FAT Viewer?action=UPDATE&amp;creator=factset&amp;DYN_ARGS=TRUE&amp;DOC_NAME=FAT:FQL_AUDITING_CLIENT_TEMPLATE.FAT&amp;display_string=Audit&amp;VAR:KEY=QLMHMPSRQD&amp;VAR:QUERY=UkdGX1RBWF9SQVRFKEFOTiwwLCwsLCwsTk9BVURJVCk=&amp;WINDOW=FIRST_POPUP&amp;HEIGHT=450&amp;WIDTH=450&amp;","START_MAXIMIZED=FALSE&amp;VAR:CALENDAR=US&amp;VAR:SYMBOL=569496&amp;VAR:INDEX=0"}</definedName>
    <definedName name="_3034__FDSAUDITLINK__" localSheetId="3" hidden="1">{"fdsup://directions/FAT Viewer?action=UPDATE&amp;creator=factset&amp;DYN_ARGS=TRUE&amp;DOC_NAME=FAT:FQL_AUDITING_CLIENT_TEMPLATE.FAT&amp;display_string=Audit&amp;VAR:KEY=QLMHMPSRQD&amp;VAR:QUERY=UkdGX1RBWF9SQVRFKEFOTiwwLCwsLCwsTk9BVURJVCk=&amp;WINDOW=FIRST_POPUP&amp;HEIGHT=450&amp;WIDTH=450&amp;","START_MAXIMIZED=FALSE&amp;VAR:CALENDAR=US&amp;VAR:SYMBOL=569496&amp;VAR:INDEX=0"}</definedName>
    <definedName name="_3034__FDSAUDITLINK__" localSheetId="7" hidden="1">{"fdsup://directions/FAT Viewer?action=UPDATE&amp;creator=factset&amp;DYN_ARGS=TRUE&amp;DOC_NAME=FAT:FQL_AUDITING_CLIENT_TEMPLATE.FAT&amp;display_string=Audit&amp;VAR:KEY=QLMHMPSRQD&amp;VAR:QUERY=UkdGX1RBWF9SQVRFKEFOTiwwLCwsLCwsTk9BVURJVCk=&amp;WINDOW=FIRST_POPUP&amp;HEIGHT=450&amp;WIDTH=450&amp;","START_MAXIMIZED=FALSE&amp;VAR:CALENDAR=US&amp;VAR:SYMBOL=569496&amp;VAR:INDEX=0"}</definedName>
    <definedName name="_3034__FDSAUDITLINK__" hidden="1">{"fdsup://directions/FAT Viewer?action=UPDATE&amp;creator=factset&amp;DYN_ARGS=TRUE&amp;DOC_NAME=FAT:FQL_AUDITING_CLIENT_TEMPLATE.FAT&amp;display_string=Audit&amp;VAR:KEY=QLMHMPSRQD&amp;VAR:QUERY=UkdGX1RBWF9SQVRFKEFOTiwwLCwsLCwsTk9BVURJVCk=&amp;WINDOW=FIRST_POPUP&amp;HEIGHT=450&amp;WIDTH=450&amp;","START_MAXIMIZED=FALSE&amp;VAR:CALENDAR=US&amp;VAR:SYMBOL=569496&amp;VAR:INDEX=0"}</definedName>
    <definedName name="_3035__FDSAUDITLINK__" localSheetId="3" hidden="1">{"fdsup://directions/FAT Viewer?action=UPDATE&amp;creator=factset&amp;DYN_ARGS=TRUE&amp;DOC_NAME=FAT:FQL_AUDITING_CLIENT_TEMPLATE.FAT&amp;display_string=Audit&amp;VAR:KEY=YPGPALEROH&amp;VAR:QUERY=UkdGX1RBWF9SQVRFKEFOTiwwLCwsLCwsTk9BVURJVCk=&amp;WINDOW=FIRST_POPUP&amp;HEIGHT=450&amp;WIDTH=450&amp;","START_MAXIMIZED=FALSE&amp;VAR:CALENDAR=US&amp;VAR:SYMBOL=EQIX&amp;VAR:INDEX=0"}</definedName>
    <definedName name="_3035__FDSAUDITLINK__" localSheetId="7" hidden="1">{"fdsup://directions/FAT Viewer?action=UPDATE&amp;creator=factset&amp;DYN_ARGS=TRUE&amp;DOC_NAME=FAT:FQL_AUDITING_CLIENT_TEMPLATE.FAT&amp;display_string=Audit&amp;VAR:KEY=YPGPALEROH&amp;VAR:QUERY=UkdGX1RBWF9SQVRFKEFOTiwwLCwsLCwsTk9BVURJVCk=&amp;WINDOW=FIRST_POPUP&amp;HEIGHT=450&amp;WIDTH=450&amp;","START_MAXIMIZED=FALSE&amp;VAR:CALENDAR=US&amp;VAR:SYMBOL=EQIX&amp;VAR:INDEX=0"}</definedName>
    <definedName name="_3035__FDSAUDITLINK__" hidden="1">{"fdsup://directions/FAT Viewer?action=UPDATE&amp;creator=factset&amp;DYN_ARGS=TRUE&amp;DOC_NAME=FAT:FQL_AUDITING_CLIENT_TEMPLATE.FAT&amp;display_string=Audit&amp;VAR:KEY=YPGPALEROH&amp;VAR:QUERY=UkdGX1RBWF9SQVRFKEFOTiwwLCwsLCwsTk9BVURJVCk=&amp;WINDOW=FIRST_POPUP&amp;HEIGHT=450&amp;WIDTH=450&amp;","START_MAXIMIZED=FALSE&amp;VAR:CALENDAR=US&amp;VAR:SYMBOL=EQIX&amp;VAR:INDEX=0"}</definedName>
    <definedName name="_3036__FDSAUDITLINK__" localSheetId="3" hidden="1">{"fdsup://directions/FAT Viewer?action=UPDATE&amp;creator=factset&amp;DYN_ARGS=TRUE&amp;DOC_NAME=FAT:FQL_AUDITING_CLIENT_TEMPLATE.FAT&amp;display_string=Audit&amp;VAR:KEY=YPGPALEROH&amp;VAR:QUERY=UkdGX1RBWF9SQVRFKEFOTiwwLCwsLCwsTk9BVURJVCk=&amp;WINDOW=FIRST_POPUP&amp;HEIGHT=450&amp;WIDTH=450&amp;","START_MAXIMIZED=FALSE&amp;VAR:CALENDAR=US&amp;VAR:SYMBOL=EQIX&amp;VAR:INDEX=0"}</definedName>
    <definedName name="_3036__FDSAUDITLINK__" localSheetId="7" hidden="1">{"fdsup://directions/FAT Viewer?action=UPDATE&amp;creator=factset&amp;DYN_ARGS=TRUE&amp;DOC_NAME=FAT:FQL_AUDITING_CLIENT_TEMPLATE.FAT&amp;display_string=Audit&amp;VAR:KEY=YPGPALEROH&amp;VAR:QUERY=UkdGX1RBWF9SQVRFKEFOTiwwLCwsLCwsTk9BVURJVCk=&amp;WINDOW=FIRST_POPUP&amp;HEIGHT=450&amp;WIDTH=450&amp;","START_MAXIMIZED=FALSE&amp;VAR:CALENDAR=US&amp;VAR:SYMBOL=EQIX&amp;VAR:INDEX=0"}</definedName>
    <definedName name="_3036__FDSAUDITLINK__" hidden="1">{"fdsup://directions/FAT Viewer?action=UPDATE&amp;creator=factset&amp;DYN_ARGS=TRUE&amp;DOC_NAME=FAT:FQL_AUDITING_CLIENT_TEMPLATE.FAT&amp;display_string=Audit&amp;VAR:KEY=YPGPALEROH&amp;VAR:QUERY=UkdGX1RBWF9SQVRFKEFOTiwwLCwsLCwsTk9BVURJVCk=&amp;WINDOW=FIRST_POPUP&amp;HEIGHT=450&amp;WIDTH=450&amp;","START_MAXIMIZED=FALSE&amp;VAR:CALENDAR=US&amp;VAR:SYMBOL=EQIX&amp;VAR:INDEX=0"}</definedName>
    <definedName name="_3037__FDSAUDITLINK__" localSheetId="3" hidden="1">{"fdsup://directions/FAT Viewer?action=UPDATE&amp;creator=factset&amp;DYN_ARGS=TRUE&amp;DOC_NAME=FAT:FQL_AUDITING_CLIENT_TEMPLATE.FAT&amp;display_string=Audit&amp;VAR:KEY=CLOXMFIZGX&amp;VAR:QUERY=UkdGX1RBWF9SQVRFKEFOTiwwLCwsLCwsTk9BVURJVCk=&amp;WINDOW=FIRST_POPUP&amp;HEIGHT=450&amp;WIDTH=450&amp;","START_MAXIMIZED=FALSE&amp;VAR:CALENDAR=US&amp;VAR:SYMBOL=EPIQ&amp;VAR:INDEX=0"}</definedName>
    <definedName name="_3037__FDSAUDITLINK__" localSheetId="7" hidden="1">{"fdsup://directions/FAT Viewer?action=UPDATE&amp;creator=factset&amp;DYN_ARGS=TRUE&amp;DOC_NAME=FAT:FQL_AUDITING_CLIENT_TEMPLATE.FAT&amp;display_string=Audit&amp;VAR:KEY=CLOXMFIZGX&amp;VAR:QUERY=UkdGX1RBWF9SQVRFKEFOTiwwLCwsLCwsTk9BVURJVCk=&amp;WINDOW=FIRST_POPUP&amp;HEIGHT=450&amp;WIDTH=450&amp;","START_MAXIMIZED=FALSE&amp;VAR:CALENDAR=US&amp;VAR:SYMBOL=EPIQ&amp;VAR:INDEX=0"}</definedName>
    <definedName name="_3037__FDSAUDITLINK__" hidden="1">{"fdsup://directions/FAT Viewer?action=UPDATE&amp;creator=factset&amp;DYN_ARGS=TRUE&amp;DOC_NAME=FAT:FQL_AUDITING_CLIENT_TEMPLATE.FAT&amp;display_string=Audit&amp;VAR:KEY=CLOXMFIZGX&amp;VAR:QUERY=UkdGX1RBWF9SQVRFKEFOTiwwLCwsLCwsTk9BVURJVCk=&amp;WINDOW=FIRST_POPUP&amp;HEIGHT=450&amp;WIDTH=450&amp;","START_MAXIMIZED=FALSE&amp;VAR:CALENDAR=US&amp;VAR:SYMBOL=EPIQ&amp;VAR:INDEX=0"}</definedName>
    <definedName name="_3038__FDSAUDITLINK__" localSheetId="3" hidden="1">{"fdsup://directions/FAT Viewer?action=UPDATE&amp;creator=factset&amp;DYN_ARGS=TRUE&amp;DOC_NAME=FAT:FQL_AUDITING_CLIENT_TEMPLATE.FAT&amp;display_string=Audit&amp;VAR:KEY=CLOXMFIZGX&amp;VAR:QUERY=UkdGX1RBWF9SQVRFKEFOTiwwLCwsLCwsTk9BVURJVCk=&amp;WINDOW=FIRST_POPUP&amp;HEIGHT=450&amp;WIDTH=450&amp;","START_MAXIMIZED=FALSE&amp;VAR:CALENDAR=US&amp;VAR:SYMBOL=EPIQ&amp;VAR:INDEX=0"}</definedName>
    <definedName name="_3038__FDSAUDITLINK__" localSheetId="7" hidden="1">{"fdsup://directions/FAT Viewer?action=UPDATE&amp;creator=factset&amp;DYN_ARGS=TRUE&amp;DOC_NAME=FAT:FQL_AUDITING_CLIENT_TEMPLATE.FAT&amp;display_string=Audit&amp;VAR:KEY=CLOXMFIZGX&amp;VAR:QUERY=UkdGX1RBWF9SQVRFKEFOTiwwLCwsLCwsTk9BVURJVCk=&amp;WINDOW=FIRST_POPUP&amp;HEIGHT=450&amp;WIDTH=450&amp;","START_MAXIMIZED=FALSE&amp;VAR:CALENDAR=US&amp;VAR:SYMBOL=EPIQ&amp;VAR:INDEX=0"}</definedName>
    <definedName name="_3038__FDSAUDITLINK__" hidden="1">{"fdsup://directions/FAT Viewer?action=UPDATE&amp;creator=factset&amp;DYN_ARGS=TRUE&amp;DOC_NAME=FAT:FQL_AUDITING_CLIENT_TEMPLATE.FAT&amp;display_string=Audit&amp;VAR:KEY=CLOXMFIZGX&amp;VAR:QUERY=UkdGX1RBWF9SQVRFKEFOTiwwLCwsLCwsTk9BVURJVCk=&amp;WINDOW=FIRST_POPUP&amp;HEIGHT=450&amp;WIDTH=450&amp;","START_MAXIMIZED=FALSE&amp;VAR:CALENDAR=US&amp;VAR:SYMBOL=EPIQ&amp;VAR:INDEX=0"}</definedName>
    <definedName name="_3039__FDSAUDITLINK__" localSheetId="3" hidden="1">{"fdsup://directions/FAT Viewer?action=UPDATE&amp;creator=factset&amp;DYN_ARGS=TRUE&amp;DOC_NAME=FAT:FQL_AUDITING_CLIENT_TEMPLATE.FAT&amp;display_string=Audit&amp;VAR:KEY=QPSHQJGZYN&amp;VAR:QUERY=UkdGX1RBWF9SQVRFKEFOTiwwLCwsLCwsTk9BVURJVCk=&amp;WINDOW=FIRST_POPUP&amp;HEIGHT=450&amp;WIDTH=450&amp;","START_MAXIMIZED=FALSE&amp;VAR:CALENDAR=US&amp;VAR:SYMBOL=EPIC&amp;VAR:INDEX=0"}</definedName>
    <definedName name="_3039__FDSAUDITLINK__" localSheetId="7" hidden="1">{"fdsup://directions/FAT Viewer?action=UPDATE&amp;creator=factset&amp;DYN_ARGS=TRUE&amp;DOC_NAME=FAT:FQL_AUDITING_CLIENT_TEMPLATE.FAT&amp;display_string=Audit&amp;VAR:KEY=QPSHQJGZYN&amp;VAR:QUERY=UkdGX1RBWF9SQVRFKEFOTiwwLCwsLCwsTk9BVURJVCk=&amp;WINDOW=FIRST_POPUP&amp;HEIGHT=450&amp;WIDTH=450&amp;","START_MAXIMIZED=FALSE&amp;VAR:CALENDAR=US&amp;VAR:SYMBOL=EPIC&amp;VAR:INDEX=0"}</definedName>
    <definedName name="_3039__FDSAUDITLINK__" hidden="1">{"fdsup://directions/FAT Viewer?action=UPDATE&amp;creator=factset&amp;DYN_ARGS=TRUE&amp;DOC_NAME=FAT:FQL_AUDITING_CLIENT_TEMPLATE.FAT&amp;display_string=Audit&amp;VAR:KEY=QPSHQJGZYN&amp;VAR:QUERY=UkdGX1RBWF9SQVRFKEFOTiwwLCwsLCwsTk9BVURJVCk=&amp;WINDOW=FIRST_POPUP&amp;HEIGHT=450&amp;WIDTH=450&amp;","START_MAXIMIZED=FALSE&amp;VAR:CALENDAR=US&amp;VAR:SYMBOL=EPIC&amp;VAR:INDEX=0"}</definedName>
    <definedName name="_3040__FDSAUDITLINK__" localSheetId="3" hidden="1">{"fdsup://directions/FAT Viewer?action=UPDATE&amp;creator=factset&amp;DYN_ARGS=TRUE&amp;DOC_NAME=FAT:FQL_AUDITING_CLIENT_TEMPLATE.FAT&amp;display_string=Audit&amp;VAR:KEY=KBSFUTSPGN&amp;VAR:QUERY=UkdGX1RBWF9SQVRFKEFOTiwwLCwsLCwsTk9BVURJVCk=&amp;WINDOW=FIRST_POPUP&amp;HEIGHT=450&amp;WIDTH=450&amp;","START_MAXIMIZED=FALSE&amp;VAR:CALENDAR=US&amp;VAR:SYMBOL=EMC&amp;VAR:INDEX=0"}</definedName>
    <definedName name="_3040__FDSAUDITLINK__" localSheetId="7" hidden="1">{"fdsup://directions/FAT Viewer?action=UPDATE&amp;creator=factset&amp;DYN_ARGS=TRUE&amp;DOC_NAME=FAT:FQL_AUDITING_CLIENT_TEMPLATE.FAT&amp;display_string=Audit&amp;VAR:KEY=KBSFUTSPGN&amp;VAR:QUERY=UkdGX1RBWF9SQVRFKEFOTiwwLCwsLCwsTk9BVURJVCk=&amp;WINDOW=FIRST_POPUP&amp;HEIGHT=450&amp;WIDTH=450&amp;","START_MAXIMIZED=FALSE&amp;VAR:CALENDAR=US&amp;VAR:SYMBOL=EMC&amp;VAR:INDEX=0"}</definedName>
    <definedName name="_3040__FDSAUDITLINK__" hidden="1">{"fdsup://directions/FAT Viewer?action=UPDATE&amp;creator=factset&amp;DYN_ARGS=TRUE&amp;DOC_NAME=FAT:FQL_AUDITING_CLIENT_TEMPLATE.FAT&amp;display_string=Audit&amp;VAR:KEY=KBSFUTSPGN&amp;VAR:QUERY=UkdGX1RBWF9SQVRFKEFOTiwwLCwsLCwsTk9BVURJVCk=&amp;WINDOW=FIRST_POPUP&amp;HEIGHT=450&amp;WIDTH=450&amp;","START_MAXIMIZED=FALSE&amp;VAR:CALENDAR=US&amp;VAR:SYMBOL=EMC&amp;VAR:INDEX=0"}</definedName>
    <definedName name="_3041__FDSAUDITLINK__" localSheetId="3" hidden="1">{"fdsup://directions/FAT Viewer?action=UPDATE&amp;creator=factset&amp;DYN_ARGS=TRUE&amp;DOC_NAME=FAT:FQL_AUDITING_CLIENT_TEMPLATE.FAT&amp;display_string=Audit&amp;VAR:KEY=KBSFUTSPGN&amp;VAR:QUERY=UkdGX1RBWF9SQVRFKEFOTiwwLCwsLCwsTk9BVURJVCk=&amp;WINDOW=FIRST_POPUP&amp;HEIGHT=450&amp;WIDTH=450&amp;","START_MAXIMIZED=FALSE&amp;VAR:CALENDAR=US&amp;VAR:SYMBOL=EMC&amp;VAR:INDEX=0"}</definedName>
    <definedName name="_3041__FDSAUDITLINK__" localSheetId="7" hidden="1">{"fdsup://directions/FAT Viewer?action=UPDATE&amp;creator=factset&amp;DYN_ARGS=TRUE&amp;DOC_NAME=FAT:FQL_AUDITING_CLIENT_TEMPLATE.FAT&amp;display_string=Audit&amp;VAR:KEY=KBSFUTSPGN&amp;VAR:QUERY=UkdGX1RBWF9SQVRFKEFOTiwwLCwsLCwsTk9BVURJVCk=&amp;WINDOW=FIRST_POPUP&amp;HEIGHT=450&amp;WIDTH=450&amp;","START_MAXIMIZED=FALSE&amp;VAR:CALENDAR=US&amp;VAR:SYMBOL=EMC&amp;VAR:INDEX=0"}</definedName>
    <definedName name="_3041__FDSAUDITLINK__" hidden="1">{"fdsup://directions/FAT Viewer?action=UPDATE&amp;creator=factset&amp;DYN_ARGS=TRUE&amp;DOC_NAME=FAT:FQL_AUDITING_CLIENT_TEMPLATE.FAT&amp;display_string=Audit&amp;VAR:KEY=KBSFUTSPGN&amp;VAR:QUERY=UkdGX1RBWF9SQVRFKEFOTiwwLCwsLCwsTk9BVURJVCk=&amp;WINDOW=FIRST_POPUP&amp;HEIGHT=450&amp;WIDTH=450&amp;","START_MAXIMIZED=FALSE&amp;VAR:CALENDAR=US&amp;VAR:SYMBOL=EMC&amp;VAR:INDEX=0"}</definedName>
    <definedName name="_3042__FDSAUDITLINK__" localSheetId="3" hidden="1">{"fdsup://directions/FAT Viewer?action=UPDATE&amp;creator=factset&amp;DYN_ARGS=TRUE&amp;DOC_NAME=FAT:FQL_AUDITING_CLIENT_TEMPLATE.FAT&amp;display_string=Audit&amp;VAR:KEY=YDSDULQTKJ&amp;VAR:QUERY=UkdGX1RBWF9SQVRFKEFOTiwwLCwsLCwsTk9BVURJVCk=&amp;WINDOW=FIRST_POPUP&amp;HEIGHT=450&amp;WIDTH=450&amp;","START_MAXIMIZED=FALSE&amp;VAR:CALENDAR=US&amp;VAR:SYMBOL=EBAY&amp;VAR:INDEX=0"}</definedName>
    <definedName name="_3042__FDSAUDITLINK__" localSheetId="7" hidden="1">{"fdsup://directions/FAT Viewer?action=UPDATE&amp;creator=factset&amp;DYN_ARGS=TRUE&amp;DOC_NAME=FAT:FQL_AUDITING_CLIENT_TEMPLATE.FAT&amp;display_string=Audit&amp;VAR:KEY=YDSDULQTKJ&amp;VAR:QUERY=UkdGX1RBWF9SQVRFKEFOTiwwLCwsLCwsTk9BVURJVCk=&amp;WINDOW=FIRST_POPUP&amp;HEIGHT=450&amp;WIDTH=450&amp;","START_MAXIMIZED=FALSE&amp;VAR:CALENDAR=US&amp;VAR:SYMBOL=EBAY&amp;VAR:INDEX=0"}</definedName>
    <definedName name="_3042__FDSAUDITLINK__" hidden="1">{"fdsup://directions/FAT Viewer?action=UPDATE&amp;creator=factset&amp;DYN_ARGS=TRUE&amp;DOC_NAME=FAT:FQL_AUDITING_CLIENT_TEMPLATE.FAT&amp;display_string=Audit&amp;VAR:KEY=YDSDULQTKJ&amp;VAR:QUERY=UkdGX1RBWF9SQVRFKEFOTiwwLCwsLCwsTk9BVURJVCk=&amp;WINDOW=FIRST_POPUP&amp;HEIGHT=450&amp;WIDTH=450&amp;","START_MAXIMIZED=FALSE&amp;VAR:CALENDAR=US&amp;VAR:SYMBOL=EBAY&amp;VAR:INDEX=0"}</definedName>
    <definedName name="_3043__FDSAUDITLINK__" localSheetId="3" hidden="1">{"fdsup://directions/FAT Viewer?action=UPDATE&amp;creator=factset&amp;DYN_ARGS=TRUE&amp;DOC_NAME=FAT:FQL_AUDITING_CLIENT_TEMPLATE.FAT&amp;display_string=Audit&amp;VAR:KEY=YDSDULQTKJ&amp;VAR:QUERY=UkdGX1RBWF9SQVRFKEFOTiwwLCwsLCwsTk9BVURJVCk=&amp;WINDOW=FIRST_POPUP&amp;HEIGHT=450&amp;WIDTH=450&amp;","START_MAXIMIZED=FALSE&amp;VAR:CALENDAR=US&amp;VAR:SYMBOL=EBAY&amp;VAR:INDEX=0"}</definedName>
    <definedName name="_3043__FDSAUDITLINK__" localSheetId="7" hidden="1">{"fdsup://directions/FAT Viewer?action=UPDATE&amp;creator=factset&amp;DYN_ARGS=TRUE&amp;DOC_NAME=FAT:FQL_AUDITING_CLIENT_TEMPLATE.FAT&amp;display_string=Audit&amp;VAR:KEY=YDSDULQTKJ&amp;VAR:QUERY=UkdGX1RBWF9SQVRFKEFOTiwwLCwsLCwsTk9BVURJVCk=&amp;WINDOW=FIRST_POPUP&amp;HEIGHT=450&amp;WIDTH=450&amp;","START_MAXIMIZED=FALSE&amp;VAR:CALENDAR=US&amp;VAR:SYMBOL=EBAY&amp;VAR:INDEX=0"}</definedName>
    <definedName name="_3043__FDSAUDITLINK__" hidden="1">{"fdsup://directions/FAT Viewer?action=UPDATE&amp;creator=factset&amp;DYN_ARGS=TRUE&amp;DOC_NAME=FAT:FQL_AUDITING_CLIENT_TEMPLATE.FAT&amp;display_string=Audit&amp;VAR:KEY=YDSDULQTKJ&amp;VAR:QUERY=UkdGX1RBWF9SQVRFKEFOTiwwLCwsLCwsTk9BVURJVCk=&amp;WINDOW=FIRST_POPUP&amp;HEIGHT=450&amp;WIDTH=450&amp;","START_MAXIMIZED=FALSE&amp;VAR:CALENDAR=US&amp;VAR:SYMBOL=EBAY&amp;VAR:INDEX=0"}</definedName>
    <definedName name="_3044__FDSAUDITLINK__" localSheetId="3" hidden="1">{"fdsup://directions/FAT Viewer?action=UPDATE&amp;creator=factset&amp;DYN_ARGS=TRUE&amp;DOC_NAME=FAT:FQL_AUDITING_CLIENT_TEMPLATE.FAT&amp;display_string=Audit&amp;VAR:KEY=UDONQTILIF&amp;VAR:QUERY=UkdGX1RBWF9SQVRFKEFOTiwwLCwsLCwsTk9BVURJVCk=&amp;WINDOW=FIRST_POPUP&amp;HEIGHT=450&amp;WIDTH=450&amp;","START_MAXIMIZED=FALSE&amp;VAR:CALENDAR=US&amp;VAR:SYMBOL=DTSI&amp;VAR:INDEX=0"}</definedName>
    <definedName name="_3044__FDSAUDITLINK__" localSheetId="7" hidden="1">{"fdsup://directions/FAT Viewer?action=UPDATE&amp;creator=factset&amp;DYN_ARGS=TRUE&amp;DOC_NAME=FAT:FQL_AUDITING_CLIENT_TEMPLATE.FAT&amp;display_string=Audit&amp;VAR:KEY=UDONQTILIF&amp;VAR:QUERY=UkdGX1RBWF9SQVRFKEFOTiwwLCwsLCwsTk9BVURJVCk=&amp;WINDOW=FIRST_POPUP&amp;HEIGHT=450&amp;WIDTH=450&amp;","START_MAXIMIZED=FALSE&amp;VAR:CALENDAR=US&amp;VAR:SYMBOL=DTSI&amp;VAR:INDEX=0"}</definedName>
    <definedName name="_3044__FDSAUDITLINK__" hidden="1">{"fdsup://directions/FAT Viewer?action=UPDATE&amp;creator=factset&amp;DYN_ARGS=TRUE&amp;DOC_NAME=FAT:FQL_AUDITING_CLIENT_TEMPLATE.FAT&amp;display_string=Audit&amp;VAR:KEY=UDONQTILIF&amp;VAR:QUERY=UkdGX1RBWF9SQVRFKEFOTiwwLCwsLCwsTk9BVURJVCk=&amp;WINDOW=FIRST_POPUP&amp;HEIGHT=450&amp;WIDTH=450&amp;","START_MAXIMIZED=FALSE&amp;VAR:CALENDAR=US&amp;VAR:SYMBOL=DTSI&amp;VAR:INDEX=0"}</definedName>
    <definedName name="_3045__FDSAUDITLINK__" localSheetId="3" hidden="1">{"fdsup://directions/FAT Viewer?action=UPDATE&amp;creator=factset&amp;DYN_ARGS=TRUE&amp;DOC_NAME=FAT:FQL_AUDITING_CLIENT_TEMPLATE.FAT&amp;display_string=Audit&amp;VAR:KEY=UDONQTILIF&amp;VAR:QUERY=UkdGX1RBWF9SQVRFKEFOTiwwLCwsLCwsTk9BVURJVCk=&amp;WINDOW=FIRST_POPUP&amp;HEIGHT=450&amp;WIDTH=450&amp;","START_MAXIMIZED=FALSE&amp;VAR:CALENDAR=US&amp;VAR:SYMBOL=DTSI&amp;VAR:INDEX=0"}</definedName>
    <definedName name="_3045__FDSAUDITLINK__" localSheetId="7" hidden="1">{"fdsup://directions/FAT Viewer?action=UPDATE&amp;creator=factset&amp;DYN_ARGS=TRUE&amp;DOC_NAME=FAT:FQL_AUDITING_CLIENT_TEMPLATE.FAT&amp;display_string=Audit&amp;VAR:KEY=UDONQTILIF&amp;VAR:QUERY=UkdGX1RBWF9SQVRFKEFOTiwwLCwsLCwsTk9BVURJVCk=&amp;WINDOW=FIRST_POPUP&amp;HEIGHT=450&amp;WIDTH=450&amp;","START_MAXIMIZED=FALSE&amp;VAR:CALENDAR=US&amp;VAR:SYMBOL=DTSI&amp;VAR:INDEX=0"}</definedName>
    <definedName name="_3045__FDSAUDITLINK__" hidden="1">{"fdsup://directions/FAT Viewer?action=UPDATE&amp;creator=factset&amp;DYN_ARGS=TRUE&amp;DOC_NAME=FAT:FQL_AUDITING_CLIENT_TEMPLATE.FAT&amp;display_string=Audit&amp;VAR:KEY=UDONQTILIF&amp;VAR:QUERY=UkdGX1RBWF9SQVRFKEFOTiwwLCwsLCwsTk9BVURJVCk=&amp;WINDOW=FIRST_POPUP&amp;HEIGHT=450&amp;WIDTH=450&amp;","START_MAXIMIZED=FALSE&amp;VAR:CALENDAR=US&amp;VAR:SYMBOL=DTSI&amp;VAR:INDEX=0"}</definedName>
    <definedName name="_3046__FDSAUDITLINK__" localSheetId="3" hidden="1">{"fdsup://directions/FAT Viewer?action=UPDATE&amp;creator=factset&amp;DYN_ARGS=TRUE&amp;DOC_NAME=FAT:FQL_AUDITING_CLIENT_TEMPLATE.FAT&amp;display_string=Audit&amp;VAR:KEY=YJULUTUHCD&amp;VAR:QUERY=UkdGX1RBWF9SQVRFKEFOTiwwLCwsLCwsTk9BVURJVCk=&amp;WINDOW=FIRST_POPUP&amp;HEIGHT=450&amp;WIDTH=450&amp;","START_MAXIMIZED=FALSE&amp;VAR:CALENDAR=US&amp;VAR:SYMBOL=DST&amp;VAR:INDEX=0"}</definedName>
    <definedName name="_3046__FDSAUDITLINK__" localSheetId="7" hidden="1">{"fdsup://directions/FAT Viewer?action=UPDATE&amp;creator=factset&amp;DYN_ARGS=TRUE&amp;DOC_NAME=FAT:FQL_AUDITING_CLIENT_TEMPLATE.FAT&amp;display_string=Audit&amp;VAR:KEY=YJULUTUHCD&amp;VAR:QUERY=UkdGX1RBWF9SQVRFKEFOTiwwLCwsLCwsTk9BVURJVCk=&amp;WINDOW=FIRST_POPUP&amp;HEIGHT=450&amp;WIDTH=450&amp;","START_MAXIMIZED=FALSE&amp;VAR:CALENDAR=US&amp;VAR:SYMBOL=DST&amp;VAR:INDEX=0"}</definedName>
    <definedName name="_3046__FDSAUDITLINK__" hidden="1">{"fdsup://directions/FAT Viewer?action=UPDATE&amp;creator=factset&amp;DYN_ARGS=TRUE&amp;DOC_NAME=FAT:FQL_AUDITING_CLIENT_TEMPLATE.FAT&amp;display_string=Audit&amp;VAR:KEY=YJULUTUHCD&amp;VAR:QUERY=UkdGX1RBWF9SQVRFKEFOTiwwLCwsLCwsTk9BVURJVCk=&amp;WINDOW=FIRST_POPUP&amp;HEIGHT=450&amp;WIDTH=450&amp;","START_MAXIMIZED=FALSE&amp;VAR:CALENDAR=US&amp;VAR:SYMBOL=DST&amp;VAR:INDEX=0"}</definedName>
    <definedName name="_3047__FDSAUDITLINK__" localSheetId="3" hidden="1">{"fdsup://directions/FAT Viewer?action=UPDATE&amp;creator=factset&amp;DYN_ARGS=TRUE&amp;DOC_NAME=FAT:FQL_AUDITING_CLIENT_TEMPLATE.FAT&amp;display_string=Audit&amp;VAR:KEY=YJULUTUHCD&amp;VAR:QUERY=UkdGX1RBWF9SQVRFKEFOTiwwLCwsLCwsTk9BVURJVCk=&amp;WINDOW=FIRST_POPUP&amp;HEIGHT=450&amp;WIDTH=450&amp;","START_MAXIMIZED=FALSE&amp;VAR:CALENDAR=US&amp;VAR:SYMBOL=DST&amp;VAR:INDEX=0"}</definedName>
    <definedName name="_3047__FDSAUDITLINK__" localSheetId="7" hidden="1">{"fdsup://directions/FAT Viewer?action=UPDATE&amp;creator=factset&amp;DYN_ARGS=TRUE&amp;DOC_NAME=FAT:FQL_AUDITING_CLIENT_TEMPLATE.FAT&amp;display_string=Audit&amp;VAR:KEY=YJULUTUHCD&amp;VAR:QUERY=UkdGX1RBWF9SQVRFKEFOTiwwLCwsLCwsTk9BVURJVCk=&amp;WINDOW=FIRST_POPUP&amp;HEIGHT=450&amp;WIDTH=450&amp;","START_MAXIMIZED=FALSE&amp;VAR:CALENDAR=US&amp;VAR:SYMBOL=DST&amp;VAR:INDEX=0"}</definedName>
    <definedName name="_3047__FDSAUDITLINK__" hidden="1">{"fdsup://directions/FAT Viewer?action=UPDATE&amp;creator=factset&amp;DYN_ARGS=TRUE&amp;DOC_NAME=FAT:FQL_AUDITING_CLIENT_TEMPLATE.FAT&amp;display_string=Audit&amp;VAR:KEY=YJULUTUHCD&amp;VAR:QUERY=UkdGX1RBWF9SQVRFKEFOTiwwLCwsLCwsTk9BVURJVCk=&amp;WINDOW=FIRST_POPUP&amp;HEIGHT=450&amp;WIDTH=450&amp;","START_MAXIMIZED=FALSE&amp;VAR:CALENDAR=US&amp;VAR:SYMBOL=DST&amp;VAR:INDEX=0"}</definedName>
    <definedName name="_3048__FDSAUDITLINK__" localSheetId="3" hidden="1">{"fdsup://directions/FAT Viewer?action=UPDATE&amp;creator=factset&amp;DYN_ARGS=TRUE&amp;DOC_NAME=FAT:FQL_AUDITING_CLIENT_TEMPLATE.FAT&amp;display_string=Audit&amp;VAR:KEY=ATYRCVINMV&amp;VAR:QUERY=UkdGX1RBWF9SQVRFKEFOTiwwLCwsLCwsTk9BVURJVCk=&amp;WINDOW=FIRST_POPUP&amp;HEIGHT=450&amp;WIDTH=450&amp;","START_MAXIMIZED=FALSE&amp;VAR:CALENDAR=US&amp;VAR:SYMBOL=DNB&amp;VAR:INDEX=0"}</definedName>
    <definedName name="_3048__FDSAUDITLINK__" localSheetId="7" hidden="1">{"fdsup://directions/FAT Viewer?action=UPDATE&amp;creator=factset&amp;DYN_ARGS=TRUE&amp;DOC_NAME=FAT:FQL_AUDITING_CLIENT_TEMPLATE.FAT&amp;display_string=Audit&amp;VAR:KEY=ATYRCVINMV&amp;VAR:QUERY=UkdGX1RBWF9SQVRFKEFOTiwwLCwsLCwsTk9BVURJVCk=&amp;WINDOW=FIRST_POPUP&amp;HEIGHT=450&amp;WIDTH=450&amp;","START_MAXIMIZED=FALSE&amp;VAR:CALENDAR=US&amp;VAR:SYMBOL=DNB&amp;VAR:INDEX=0"}</definedName>
    <definedName name="_3048__FDSAUDITLINK__" hidden="1">{"fdsup://directions/FAT Viewer?action=UPDATE&amp;creator=factset&amp;DYN_ARGS=TRUE&amp;DOC_NAME=FAT:FQL_AUDITING_CLIENT_TEMPLATE.FAT&amp;display_string=Audit&amp;VAR:KEY=ATYRCVINMV&amp;VAR:QUERY=UkdGX1RBWF9SQVRFKEFOTiwwLCwsLCwsTk9BVURJVCk=&amp;WINDOW=FIRST_POPUP&amp;HEIGHT=450&amp;WIDTH=450&amp;","START_MAXIMIZED=FALSE&amp;VAR:CALENDAR=US&amp;VAR:SYMBOL=DNB&amp;VAR:INDEX=0"}</definedName>
    <definedName name="_3049__FDSAUDITLINK__" localSheetId="3" hidden="1">{"fdsup://directions/FAT Viewer?action=UPDATE&amp;creator=factset&amp;DYN_ARGS=TRUE&amp;DOC_NAME=FAT:FQL_AUDITING_CLIENT_TEMPLATE.FAT&amp;display_string=Audit&amp;VAR:KEY=ATYRCVINMV&amp;VAR:QUERY=UkdGX1RBWF9SQVRFKEFOTiwwLCwsLCwsTk9BVURJVCk=&amp;WINDOW=FIRST_POPUP&amp;HEIGHT=450&amp;WIDTH=450&amp;","START_MAXIMIZED=FALSE&amp;VAR:CALENDAR=US&amp;VAR:SYMBOL=DNB&amp;VAR:INDEX=0"}</definedName>
    <definedName name="_3049__FDSAUDITLINK__" localSheetId="7" hidden="1">{"fdsup://directions/FAT Viewer?action=UPDATE&amp;creator=factset&amp;DYN_ARGS=TRUE&amp;DOC_NAME=FAT:FQL_AUDITING_CLIENT_TEMPLATE.FAT&amp;display_string=Audit&amp;VAR:KEY=ATYRCVINMV&amp;VAR:QUERY=UkdGX1RBWF9SQVRFKEFOTiwwLCwsLCwsTk9BVURJVCk=&amp;WINDOW=FIRST_POPUP&amp;HEIGHT=450&amp;WIDTH=450&amp;","START_MAXIMIZED=FALSE&amp;VAR:CALENDAR=US&amp;VAR:SYMBOL=DNB&amp;VAR:INDEX=0"}</definedName>
    <definedName name="_3049__FDSAUDITLINK__" hidden="1">{"fdsup://directions/FAT Viewer?action=UPDATE&amp;creator=factset&amp;DYN_ARGS=TRUE&amp;DOC_NAME=FAT:FQL_AUDITING_CLIENT_TEMPLATE.FAT&amp;display_string=Audit&amp;VAR:KEY=ATYRCVINMV&amp;VAR:QUERY=UkdGX1RBWF9SQVRFKEFOTiwwLCwsLCwsTk9BVURJVCk=&amp;WINDOW=FIRST_POPUP&amp;HEIGHT=450&amp;WIDTH=450&amp;","START_MAXIMIZED=FALSE&amp;VAR:CALENDAR=US&amp;VAR:SYMBOL=DNB&amp;VAR:INDEX=0"}</definedName>
    <definedName name="_305__FDSAUDITLINK__" localSheetId="3" hidden="1">{"fdsup://directions/FAT Viewer?action=UPDATE&amp;creator=factset&amp;DYN_ARGS=TRUE&amp;DOC_NAME=FAT:FQL_AUDITING_CLIENT_TEMPLATE.FAT&amp;display_string=Audit&amp;VAR:KEY=WXQFYRMFGN&amp;VAR:QUERY=RkZfTkVUX0lOQyhMVE0sMCwsLCwsTSk=&amp;WINDOW=FIRST_POPUP&amp;HEIGHT=450&amp;WIDTH=450&amp;START_MAXIMI","ZED=FALSE&amp;VAR:CALENDAR=US&amp;VAR:SYMBOL=CLSC6-BR&amp;VAR:INDEX=0"}</definedName>
    <definedName name="_305__FDSAUDITLINK__" localSheetId="7" hidden="1">{"fdsup://directions/FAT Viewer?action=UPDATE&amp;creator=factset&amp;DYN_ARGS=TRUE&amp;DOC_NAME=FAT:FQL_AUDITING_CLIENT_TEMPLATE.FAT&amp;display_string=Audit&amp;VAR:KEY=WXQFYRMFGN&amp;VAR:QUERY=RkZfTkVUX0lOQyhMVE0sMCwsLCwsTSk=&amp;WINDOW=FIRST_POPUP&amp;HEIGHT=450&amp;WIDTH=450&amp;START_MAXIMI","ZED=FALSE&amp;VAR:CALENDAR=US&amp;VAR:SYMBOL=CLSC6-BR&amp;VAR:INDEX=0"}</definedName>
    <definedName name="_305__FDSAUDITLINK__" hidden="1">{"fdsup://directions/FAT Viewer?action=UPDATE&amp;creator=factset&amp;DYN_ARGS=TRUE&amp;DOC_NAME=FAT:FQL_AUDITING_CLIENT_TEMPLATE.FAT&amp;display_string=Audit&amp;VAR:KEY=WXQFYRMFGN&amp;VAR:QUERY=RkZfTkVUX0lOQyhMVE0sMCwsLCwsTSk=&amp;WINDOW=FIRST_POPUP&amp;HEIGHT=450&amp;WIDTH=450&amp;START_MAXIMI","ZED=FALSE&amp;VAR:CALENDAR=US&amp;VAR:SYMBOL=CLSC6-BR&amp;VAR:INDEX=0"}</definedName>
    <definedName name="_3050__FDSAUDITLINK__" localSheetId="3" hidden="1">{"fdsup://directions/FAT Viewer?action=UPDATE&amp;creator=factset&amp;DYN_ARGS=TRUE&amp;DOC_NAME=FAT:FQL_AUDITING_CLIENT_TEMPLATE.FAT&amp;display_string=Audit&amp;VAR:KEY=UJMRKJIRGR&amp;VAR:QUERY=UkdGX1RBWF9SQVRFKEFOTiwwLCwsLCwsTk9BVURJVCk=&amp;WINDOW=FIRST_POPUP&amp;HEIGHT=450&amp;WIDTH=450&amp;","START_MAXIMIZED=FALSE&amp;VAR:CALENDAR=US&amp;VAR:SYMBOL=DLB&amp;VAR:INDEX=0"}</definedName>
    <definedName name="_3050__FDSAUDITLINK__" localSheetId="7" hidden="1">{"fdsup://directions/FAT Viewer?action=UPDATE&amp;creator=factset&amp;DYN_ARGS=TRUE&amp;DOC_NAME=FAT:FQL_AUDITING_CLIENT_TEMPLATE.FAT&amp;display_string=Audit&amp;VAR:KEY=UJMRKJIRGR&amp;VAR:QUERY=UkdGX1RBWF9SQVRFKEFOTiwwLCwsLCwsTk9BVURJVCk=&amp;WINDOW=FIRST_POPUP&amp;HEIGHT=450&amp;WIDTH=450&amp;","START_MAXIMIZED=FALSE&amp;VAR:CALENDAR=US&amp;VAR:SYMBOL=DLB&amp;VAR:INDEX=0"}</definedName>
    <definedName name="_3050__FDSAUDITLINK__" hidden="1">{"fdsup://directions/FAT Viewer?action=UPDATE&amp;creator=factset&amp;DYN_ARGS=TRUE&amp;DOC_NAME=FAT:FQL_AUDITING_CLIENT_TEMPLATE.FAT&amp;display_string=Audit&amp;VAR:KEY=UJMRKJIRGR&amp;VAR:QUERY=UkdGX1RBWF9SQVRFKEFOTiwwLCwsLCwsTk9BVURJVCk=&amp;WINDOW=FIRST_POPUP&amp;HEIGHT=450&amp;WIDTH=450&amp;","START_MAXIMIZED=FALSE&amp;VAR:CALENDAR=US&amp;VAR:SYMBOL=DLB&amp;VAR:INDEX=0"}</definedName>
    <definedName name="_3051__FDSAUDITLINK__" localSheetId="3" hidden="1">{"fdsup://directions/FAT Viewer?action=UPDATE&amp;creator=factset&amp;DYN_ARGS=TRUE&amp;DOC_NAME=FAT:FQL_AUDITING_CLIENT_TEMPLATE.FAT&amp;display_string=Audit&amp;VAR:KEY=UJMRKJIRGR&amp;VAR:QUERY=UkdGX1RBWF9SQVRFKEFOTiwwLCwsLCwsTk9BVURJVCk=&amp;WINDOW=FIRST_POPUP&amp;HEIGHT=450&amp;WIDTH=450&amp;","START_MAXIMIZED=FALSE&amp;VAR:CALENDAR=US&amp;VAR:SYMBOL=DLB&amp;VAR:INDEX=0"}</definedName>
    <definedName name="_3051__FDSAUDITLINK__" localSheetId="7" hidden="1">{"fdsup://directions/FAT Viewer?action=UPDATE&amp;creator=factset&amp;DYN_ARGS=TRUE&amp;DOC_NAME=FAT:FQL_AUDITING_CLIENT_TEMPLATE.FAT&amp;display_string=Audit&amp;VAR:KEY=UJMRKJIRGR&amp;VAR:QUERY=UkdGX1RBWF9SQVRFKEFOTiwwLCwsLCwsTk9BVURJVCk=&amp;WINDOW=FIRST_POPUP&amp;HEIGHT=450&amp;WIDTH=450&amp;","START_MAXIMIZED=FALSE&amp;VAR:CALENDAR=US&amp;VAR:SYMBOL=DLB&amp;VAR:INDEX=0"}</definedName>
    <definedName name="_3051__FDSAUDITLINK__" hidden="1">{"fdsup://directions/FAT Viewer?action=UPDATE&amp;creator=factset&amp;DYN_ARGS=TRUE&amp;DOC_NAME=FAT:FQL_AUDITING_CLIENT_TEMPLATE.FAT&amp;display_string=Audit&amp;VAR:KEY=UJMRKJIRGR&amp;VAR:QUERY=UkdGX1RBWF9SQVRFKEFOTiwwLCwsLCwsTk9BVURJVCk=&amp;WINDOW=FIRST_POPUP&amp;HEIGHT=450&amp;WIDTH=450&amp;","START_MAXIMIZED=FALSE&amp;VAR:CALENDAR=US&amp;VAR:SYMBOL=DLB&amp;VAR:INDEX=0"}</definedName>
    <definedName name="_3052__FDSAUDITLINK__" localSheetId="3" hidden="1">{"fdsup://directions/FAT Viewer?action=UPDATE&amp;creator=factset&amp;DYN_ARGS=TRUE&amp;DOC_NAME=FAT:FQL_AUDITING_CLIENT_TEMPLATE.FAT&amp;display_string=Audit&amp;VAR:KEY=KHSHCXQDON&amp;VAR:QUERY=UkdGX1RBWF9SQVRFKEFOTiwwLCwsLCwsTk9BVURJVCk=&amp;WINDOW=FIRST_POPUP&amp;HEIGHT=450&amp;WIDTH=450&amp;","START_MAXIMIZED=FALSE&amp;VAR:CALENDAR=US&amp;VAR:SYMBOL=DRIV&amp;VAR:INDEX=0"}</definedName>
    <definedName name="_3052__FDSAUDITLINK__" localSheetId="7" hidden="1">{"fdsup://directions/FAT Viewer?action=UPDATE&amp;creator=factset&amp;DYN_ARGS=TRUE&amp;DOC_NAME=FAT:FQL_AUDITING_CLIENT_TEMPLATE.FAT&amp;display_string=Audit&amp;VAR:KEY=KHSHCXQDON&amp;VAR:QUERY=UkdGX1RBWF9SQVRFKEFOTiwwLCwsLCwsTk9BVURJVCk=&amp;WINDOW=FIRST_POPUP&amp;HEIGHT=450&amp;WIDTH=450&amp;","START_MAXIMIZED=FALSE&amp;VAR:CALENDAR=US&amp;VAR:SYMBOL=DRIV&amp;VAR:INDEX=0"}</definedName>
    <definedName name="_3052__FDSAUDITLINK__" hidden="1">{"fdsup://directions/FAT Viewer?action=UPDATE&amp;creator=factset&amp;DYN_ARGS=TRUE&amp;DOC_NAME=FAT:FQL_AUDITING_CLIENT_TEMPLATE.FAT&amp;display_string=Audit&amp;VAR:KEY=KHSHCXQDON&amp;VAR:QUERY=UkdGX1RBWF9SQVRFKEFOTiwwLCwsLCwsTk9BVURJVCk=&amp;WINDOW=FIRST_POPUP&amp;HEIGHT=450&amp;WIDTH=450&amp;","START_MAXIMIZED=FALSE&amp;VAR:CALENDAR=US&amp;VAR:SYMBOL=DRIV&amp;VAR:INDEX=0"}</definedName>
    <definedName name="_3053__FDSAUDITLINK__" localSheetId="3" hidden="1">{"fdsup://directions/FAT Viewer?action=UPDATE&amp;creator=factset&amp;DYN_ARGS=TRUE&amp;DOC_NAME=FAT:FQL_AUDITING_CLIENT_TEMPLATE.FAT&amp;display_string=Audit&amp;VAR:KEY=KHSHCXQDON&amp;VAR:QUERY=UkdGX1RBWF9SQVRFKEFOTiwwLCwsLCwsTk9BVURJVCk=&amp;WINDOW=FIRST_POPUP&amp;HEIGHT=450&amp;WIDTH=450&amp;","START_MAXIMIZED=FALSE&amp;VAR:CALENDAR=US&amp;VAR:SYMBOL=DRIV&amp;VAR:INDEX=0"}</definedName>
    <definedName name="_3053__FDSAUDITLINK__" localSheetId="7" hidden="1">{"fdsup://directions/FAT Viewer?action=UPDATE&amp;creator=factset&amp;DYN_ARGS=TRUE&amp;DOC_NAME=FAT:FQL_AUDITING_CLIENT_TEMPLATE.FAT&amp;display_string=Audit&amp;VAR:KEY=KHSHCXQDON&amp;VAR:QUERY=UkdGX1RBWF9SQVRFKEFOTiwwLCwsLCwsTk9BVURJVCk=&amp;WINDOW=FIRST_POPUP&amp;HEIGHT=450&amp;WIDTH=450&amp;","START_MAXIMIZED=FALSE&amp;VAR:CALENDAR=US&amp;VAR:SYMBOL=DRIV&amp;VAR:INDEX=0"}</definedName>
    <definedName name="_3053__FDSAUDITLINK__" hidden="1">{"fdsup://directions/FAT Viewer?action=UPDATE&amp;creator=factset&amp;DYN_ARGS=TRUE&amp;DOC_NAME=FAT:FQL_AUDITING_CLIENT_TEMPLATE.FAT&amp;display_string=Audit&amp;VAR:KEY=KHSHCXQDON&amp;VAR:QUERY=UkdGX1RBWF9SQVRFKEFOTiwwLCwsLCwsTk9BVURJVCk=&amp;WINDOW=FIRST_POPUP&amp;HEIGHT=450&amp;WIDTH=450&amp;","START_MAXIMIZED=FALSE&amp;VAR:CALENDAR=US&amp;VAR:SYMBOL=DRIV&amp;VAR:INDEX=0"}</definedName>
    <definedName name="_3054__FDSAUDITLINK__" localSheetId="3" hidden="1">{"fdsup://directions/FAT Viewer?action=UPDATE&amp;creator=factset&amp;DYN_ARGS=TRUE&amp;DOC_NAME=FAT:FQL_AUDITING_CLIENT_TEMPLATE.FAT&amp;display_string=Audit&amp;VAR:KEY=ADCJSNWNUX&amp;VAR:QUERY=UkdGX1RBWF9SQVRFKEFOTiwwLCwsLCwsTk9BVURJVCk=&amp;WINDOW=FIRST_POPUP&amp;HEIGHT=450&amp;WIDTH=450&amp;","START_MAXIMIZED=FALSE&amp;VAR:CALENDAR=US&amp;VAR:SYMBOL=DGI&amp;VAR:INDEX=0"}</definedName>
    <definedName name="_3054__FDSAUDITLINK__" localSheetId="7" hidden="1">{"fdsup://directions/FAT Viewer?action=UPDATE&amp;creator=factset&amp;DYN_ARGS=TRUE&amp;DOC_NAME=FAT:FQL_AUDITING_CLIENT_TEMPLATE.FAT&amp;display_string=Audit&amp;VAR:KEY=ADCJSNWNUX&amp;VAR:QUERY=UkdGX1RBWF9SQVRFKEFOTiwwLCwsLCwsTk9BVURJVCk=&amp;WINDOW=FIRST_POPUP&amp;HEIGHT=450&amp;WIDTH=450&amp;","START_MAXIMIZED=FALSE&amp;VAR:CALENDAR=US&amp;VAR:SYMBOL=DGI&amp;VAR:INDEX=0"}</definedName>
    <definedName name="_3054__FDSAUDITLINK__" hidden="1">{"fdsup://directions/FAT Viewer?action=UPDATE&amp;creator=factset&amp;DYN_ARGS=TRUE&amp;DOC_NAME=FAT:FQL_AUDITING_CLIENT_TEMPLATE.FAT&amp;display_string=Audit&amp;VAR:KEY=ADCJSNWNUX&amp;VAR:QUERY=UkdGX1RBWF9SQVRFKEFOTiwwLCwsLCwsTk9BVURJVCk=&amp;WINDOW=FIRST_POPUP&amp;HEIGHT=450&amp;WIDTH=450&amp;","START_MAXIMIZED=FALSE&amp;VAR:CALENDAR=US&amp;VAR:SYMBOL=DGI&amp;VAR:INDEX=0"}</definedName>
    <definedName name="_3055__FDSAUDITLINK__" localSheetId="3" hidden="1">{"fdsup://directions/FAT Viewer?action=UPDATE&amp;creator=factset&amp;DYN_ARGS=TRUE&amp;DOC_NAME=FAT:FQL_AUDITING_CLIENT_TEMPLATE.FAT&amp;display_string=Audit&amp;VAR:KEY=ADCJSNWNUX&amp;VAR:QUERY=UkdGX1RBWF9SQVRFKEFOTiwwLCwsLCwsTk9BVURJVCk=&amp;WINDOW=FIRST_POPUP&amp;HEIGHT=450&amp;WIDTH=450&amp;","START_MAXIMIZED=FALSE&amp;VAR:CALENDAR=US&amp;VAR:SYMBOL=DGI&amp;VAR:INDEX=0"}</definedName>
    <definedName name="_3055__FDSAUDITLINK__" localSheetId="7" hidden="1">{"fdsup://directions/FAT Viewer?action=UPDATE&amp;creator=factset&amp;DYN_ARGS=TRUE&amp;DOC_NAME=FAT:FQL_AUDITING_CLIENT_TEMPLATE.FAT&amp;display_string=Audit&amp;VAR:KEY=ADCJSNWNUX&amp;VAR:QUERY=UkdGX1RBWF9SQVRFKEFOTiwwLCwsLCwsTk9BVURJVCk=&amp;WINDOW=FIRST_POPUP&amp;HEIGHT=450&amp;WIDTH=450&amp;","START_MAXIMIZED=FALSE&amp;VAR:CALENDAR=US&amp;VAR:SYMBOL=DGI&amp;VAR:INDEX=0"}</definedName>
    <definedName name="_3055__FDSAUDITLINK__" hidden="1">{"fdsup://directions/FAT Viewer?action=UPDATE&amp;creator=factset&amp;DYN_ARGS=TRUE&amp;DOC_NAME=FAT:FQL_AUDITING_CLIENT_TEMPLATE.FAT&amp;display_string=Audit&amp;VAR:KEY=ADCJSNWNUX&amp;VAR:QUERY=UkdGX1RBWF9SQVRFKEFOTiwwLCwsLCwsTk9BVURJVCk=&amp;WINDOW=FIRST_POPUP&amp;HEIGHT=450&amp;WIDTH=450&amp;","START_MAXIMIZED=FALSE&amp;VAR:CALENDAR=US&amp;VAR:SYMBOL=DGI&amp;VAR:INDEX=0"}</definedName>
    <definedName name="_3056__FDSAUDITLINK__" localSheetId="3" hidden="1">{"fdsup://directions/FAT Viewer?action=UPDATE&amp;creator=factset&amp;DYN_ARGS=TRUE&amp;DOC_NAME=FAT:FQL_AUDITING_CLIENT_TEMPLATE.FAT&amp;display_string=Audit&amp;VAR:KEY=WTUFYNSNET&amp;VAR:QUERY=UkdGX1RBWF9SQVRFKEFOTiwwLCwsLCwsTk9BVURJVCk=&amp;WINDOW=FIRST_POPUP&amp;HEIGHT=450&amp;WIDTH=450&amp;","START_MAXIMIZED=FALSE&amp;VAR:CALENDAR=US&amp;VAR:SYMBOL=DMAN&amp;VAR:INDEX=0"}</definedName>
    <definedName name="_3056__FDSAUDITLINK__" localSheetId="7" hidden="1">{"fdsup://directions/FAT Viewer?action=UPDATE&amp;creator=factset&amp;DYN_ARGS=TRUE&amp;DOC_NAME=FAT:FQL_AUDITING_CLIENT_TEMPLATE.FAT&amp;display_string=Audit&amp;VAR:KEY=WTUFYNSNET&amp;VAR:QUERY=UkdGX1RBWF9SQVRFKEFOTiwwLCwsLCwsTk9BVURJVCk=&amp;WINDOW=FIRST_POPUP&amp;HEIGHT=450&amp;WIDTH=450&amp;","START_MAXIMIZED=FALSE&amp;VAR:CALENDAR=US&amp;VAR:SYMBOL=DMAN&amp;VAR:INDEX=0"}</definedName>
    <definedName name="_3056__FDSAUDITLINK__" hidden="1">{"fdsup://directions/FAT Viewer?action=UPDATE&amp;creator=factset&amp;DYN_ARGS=TRUE&amp;DOC_NAME=FAT:FQL_AUDITING_CLIENT_TEMPLATE.FAT&amp;display_string=Audit&amp;VAR:KEY=WTUFYNSNET&amp;VAR:QUERY=UkdGX1RBWF9SQVRFKEFOTiwwLCwsLCwsTk9BVURJVCk=&amp;WINDOW=FIRST_POPUP&amp;HEIGHT=450&amp;WIDTH=450&amp;","START_MAXIMIZED=FALSE&amp;VAR:CALENDAR=US&amp;VAR:SYMBOL=DMAN&amp;VAR:INDEX=0"}</definedName>
    <definedName name="_3057__FDSAUDITLINK__" localSheetId="3" hidden="1">{"fdsup://directions/FAT Viewer?action=UPDATE&amp;creator=factset&amp;DYN_ARGS=TRUE&amp;DOC_NAME=FAT:FQL_AUDITING_CLIENT_TEMPLATE.FAT&amp;display_string=Audit&amp;VAR:KEY=UBYVIBCZYX&amp;VAR:QUERY=UkdGX1RBWF9SQVRFKEFOTiwwLCwsLCwsTk9BVURJVCk=&amp;WINDOW=FIRST_POPUP&amp;HEIGHT=450&amp;WIDTH=450&amp;","START_MAXIMIZED=FALSE&amp;VAR:CALENDAR=US&amp;VAR:SYMBOL=PROJ&amp;VAR:INDEX=0"}</definedName>
    <definedName name="_3057__FDSAUDITLINK__" localSheetId="7" hidden="1">{"fdsup://directions/FAT Viewer?action=UPDATE&amp;creator=factset&amp;DYN_ARGS=TRUE&amp;DOC_NAME=FAT:FQL_AUDITING_CLIENT_TEMPLATE.FAT&amp;display_string=Audit&amp;VAR:KEY=UBYVIBCZYX&amp;VAR:QUERY=UkdGX1RBWF9SQVRFKEFOTiwwLCwsLCwsTk9BVURJVCk=&amp;WINDOW=FIRST_POPUP&amp;HEIGHT=450&amp;WIDTH=450&amp;","START_MAXIMIZED=FALSE&amp;VAR:CALENDAR=US&amp;VAR:SYMBOL=PROJ&amp;VAR:INDEX=0"}</definedName>
    <definedName name="_3057__FDSAUDITLINK__" hidden="1">{"fdsup://directions/FAT Viewer?action=UPDATE&amp;creator=factset&amp;DYN_ARGS=TRUE&amp;DOC_NAME=FAT:FQL_AUDITING_CLIENT_TEMPLATE.FAT&amp;display_string=Audit&amp;VAR:KEY=UBYVIBCZYX&amp;VAR:QUERY=UkdGX1RBWF9SQVRFKEFOTiwwLCwsLCwsTk9BVURJVCk=&amp;WINDOW=FIRST_POPUP&amp;HEIGHT=450&amp;WIDTH=450&amp;","START_MAXIMIZED=FALSE&amp;VAR:CALENDAR=US&amp;VAR:SYMBOL=PROJ&amp;VAR:INDEX=0"}</definedName>
    <definedName name="_3058__FDSAUDITLINK__" localSheetId="3" hidden="1">{"fdsup://directions/FAT Viewer?action=UPDATE&amp;creator=factset&amp;DYN_ARGS=TRUE&amp;DOC_NAME=FAT:FQL_AUDITING_CLIENT_TEMPLATE.FAT&amp;display_string=Audit&amp;VAR:KEY=YFARSLAPWR&amp;VAR:QUERY=UkdGX1RBWF9SQVRFKEFOTiwwLCwsLCwsTk9BVURJVCk=&amp;WINDOW=FIRST_POPUP&amp;HEIGHT=450&amp;WIDTH=450&amp;","START_MAXIMIZED=FALSE&amp;VAR:CALENDAR=US&amp;VAR:SYMBOL=DELL&amp;VAR:INDEX=0"}</definedName>
    <definedName name="_3058__FDSAUDITLINK__" localSheetId="7" hidden="1">{"fdsup://directions/FAT Viewer?action=UPDATE&amp;creator=factset&amp;DYN_ARGS=TRUE&amp;DOC_NAME=FAT:FQL_AUDITING_CLIENT_TEMPLATE.FAT&amp;display_string=Audit&amp;VAR:KEY=YFARSLAPWR&amp;VAR:QUERY=UkdGX1RBWF9SQVRFKEFOTiwwLCwsLCwsTk9BVURJVCk=&amp;WINDOW=FIRST_POPUP&amp;HEIGHT=450&amp;WIDTH=450&amp;","START_MAXIMIZED=FALSE&amp;VAR:CALENDAR=US&amp;VAR:SYMBOL=DELL&amp;VAR:INDEX=0"}</definedName>
    <definedName name="_3058__FDSAUDITLINK__" hidden="1">{"fdsup://directions/FAT Viewer?action=UPDATE&amp;creator=factset&amp;DYN_ARGS=TRUE&amp;DOC_NAME=FAT:FQL_AUDITING_CLIENT_TEMPLATE.FAT&amp;display_string=Audit&amp;VAR:KEY=YFARSLAPWR&amp;VAR:QUERY=UkdGX1RBWF9SQVRFKEFOTiwwLCwsLCwsTk9BVURJVCk=&amp;WINDOW=FIRST_POPUP&amp;HEIGHT=450&amp;WIDTH=450&amp;","START_MAXIMIZED=FALSE&amp;VAR:CALENDAR=US&amp;VAR:SYMBOL=DELL&amp;VAR:INDEX=0"}</definedName>
    <definedName name="_3059__FDSAUDITLINK__" localSheetId="3" hidden="1">{"fdsup://directions/FAT Viewer?action=UPDATE&amp;creator=factset&amp;DYN_ARGS=TRUE&amp;DOC_NAME=FAT:FQL_AUDITING_CLIENT_TEMPLATE.FAT&amp;display_string=Audit&amp;VAR:KEY=YFARSLAPWR&amp;VAR:QUERY=UkdGX1RBWF9SQVRFKEFOTiwwLCwsLCwsTk9BVURJVCk=&amp;WINDOW=FIRST_POPUP&amp;HEIGHT=450&amp;WIDTH=450&amp;","START_MAXIMIZED=FALSE&amp;VAR:CALENDAR=US&amp;VAR:SYMBOL=DELL&amp;VAR:INDEX=0"}</definedName>
    <definedName name="_3059__FDSAUDITLINK__" localSheetId="7" hidden="1">{"fdsup://directions/FAT Viewer?action=UPDATE&amp;creator=factset&amp;DYN_ARGS=TRUE&amp;DOC_NAME=FAT:FQL_AUDITING_CLIENT_TEMPLATE.FAT&amp;display_string=Audit&amp;VAR:KEY=YFARSLAPWR&amp;VAR:QUERY=UkdGX1RBWF9SQVRFKEFOTiwwLCwsLCwsTk9BVURJVCk=&amp;WINDOW=FIRST_POPUP&amp;HEIGHT=450&amp;WIDTH=450&amp;","START_MAXIMIZED=FALSE&amp;VAR:CALENDAR=US&amp;VAR:SYMBOL=DELL&amp;VAR:INDEX=0"}</definedName>
    <definedName name="_3059__FDSAUDITLINK__" hidden="1">{"fdsup://directions/FAT Viewer?action=UPDATE&amp;creator=factset&amp;DYN_ARGS=TRUE&amp;DOC_NAME=FAT:FQL_AUDITING_CLIENT_TEMPLATE.FAT&amp;display_string=Audit&amp;VAR:KEY=YFARSLAPWR&amp;VAR:QUERY=UkdGX1RBWF9SQVRFKEFOTiwwLCwsLCwsTk9BVURJVCk=&amp;WINDOW=FIRST_POPUP&amp;HEIGHT=450&amp;WIDTH=450&amp;","START_MAXIMIZED=FALSE&amp;VAR:CALENDAR=US&amp;VAR:SYMBOL=DELL&amp;VAR:INDEX=0"}</definedName>
    <definedName name="_306__FDSAUDITLINK__" localSheetId="3" hidden="1">{"fdsup://directions/FAT Viewer?action=UPDATE&amp;creator=factset&amp;DYN_ARGS=TRUE&amp;DOC_NAME=FAT:FQL_AUDITING_CLIENT_TEMPLATE.FAT&amp;display_string=Audit&amp;VAR:KEY=UNMRQTEPKZ&amp;VAR:QUERY=RkZfU0FMRVMoTFRNLDAsLCwsLE0p&amp;WINDOW=FIRST_POPUP&amp;HEIGHT=450&amp;WIDTH=450&amp;START_MAXIMIZED=","FALSE&amp;VAR:CALENDAR=US&amp;VAR:SYMBOL=CLSC6-BR&amp;VAR:INDEX=0"}</definedName>
    <definedName name="_306__FDSAUDITLINK__" localSheetId="7" hidden="1">{"fdsup://directions/FAT Viewer?action=UPDATE&amp;creator=factset&amp;DYN_ARGS=TRUE&amp;DOC_NAME=FAT:FQL_AUDITING_CLIENT_TEMPLATE.FAT&amp;display_string=Audit&amp;VAR:KEY=UNMRQTEPKZ&amp;VAR:QUERY=RkZfU0FMRVMoTFRNLDAsLCwsLE0p&amp;WINDOW=FIRST_POPUP&amp;HEIGHT=450&amp;WIDTH=450&amp;START_MAXIMIZED=","FALSE&amp;VAR:CALENDAR=US&amp;VAR:SYMBOL=CLSC6-BR&amp;VAR:INDEX=0"}</definedName>
    <definedName name="_306__FDSAUDITLINK__" hidden="1">{"fdsup://directions/FAT Viewer?action=UPDATE&amp;creator=factset&amp;DYN_ARGS=TRUE&amp;DOC_NAME=FAT:FQL_AUDITING_CLIENT_TEMPLATE.FAT&amp;display_string=Audit&amp;VAR:KEY=UNMRQTEPKZ&amp;VAR:QUERY=RkZfU0FMRVMoTFRNLDAsLCwsLE0p&amp;WINDOW=FIRST_POPUP&amp;HEIGHT=450&amp;WIDTH=450&amp;START_MAXIMIZED=","FALSE&amp;VAR:CALENDAR=US&amp;VAR:SYMBOL=CLSC6-BR&amp;VAR:INDEX=0"}</definedName>
    <definedName name="_3060__FDSAUDITLINK__" localSheetId="3" hidden="1">{"fdsup://directions/FAT Viewer?action=UPDATE&amp;creator=factset&amp;DYN_ARGS=TRUE&amp;DOC_NAME=FAT:FQL_AUDITING_CLIENT_TEMPLATE.FAT&amp;display_string=Audit&amp;VAR:KEY=SRIDSZQVYJ&amp;VAR:QUERY=UkdGX1RBWF9SQVRFKEFOTiwwLCwsLCwsTk9BVURJVCk=&amp;WINDOW=FIRST_POPUP&amp;HEIGHT=450&amp;WIDTH=450&amp;","START_MAXIMIZED=FALSE&amp;VAR:CALENDAR=US&amp;VAR:SYMBOL=TRAK&amp;VAR:INDEX=0"}</definedName>
    <definedName name="_3060__FDSAUDITLINK__" localSheetId="7" hidden="1">{"fdsup://directions/FAT Viewer?action=UPDATE&amp;creator=factset&amp;DYN_ARGS=TRUE&amp;DOC_NAME=FAT:FQL_AUDITING_CLIENT_TEMPLATE.FAT&amp;display_string=Audit&amp;VAR:KEY=SRIDSZQVYJ&amp;VAR:QUERY=UkdGX1RBWF9SQVRFKEFOTiwwLCwsLCwsTk9BVURJVCk=&amp;WINDOW=FIRST_POPUP&amp;HEIGHT=450&amp;WIDTH=450&amp;","START_MAXIMIZED=FALSE&amp;VAR:CALENDAR=US&amp;VAR:SYMBOL=TRAK&amp;VAR:INDEX=0"}</definedName>
    <definedName name="_3060__FDSAUDITLINK__" hidden="1">{"fdsup://directions/FAT Viewer?action=UPDATE&amp;creator=factset&amp;DYN_ARGS=TRUE&amp;DOC_NAME=FAT:FQL_AUDITING_CLIENT_TEMPLATE.FAT&amp;display_string=Audit&amp;VAR:KEY=SRIDSZQVYJ&amp;VAR:QUERY=UkdGX1RBWF9SQVRFKEFOTiwwLCwsLCwsTk9BVURJVCk=&amp;WINDOW=FIRST_POPUP&amp;HEIGHT=450&amp;WIDTH=450&amp;","START_MAXIMIZED=FALSE&amp;VAR:CALENDAR=US&amp;VAR:SYMBOL=TRAK&amp;VAR:INDEX=0"}</definedName>
    <definedName name="_3061__FDSAUDITLINK__" localSheetId="3" hidden="1">{"fdsup://directions/FAT Viewer?action=UPDATE&amp;creator=factset&amp;DYN_ARGS=TRUE&amp;DOC_NAME=FAT:FQL_AUDITING_CLIENT_TEMPLATE.FAT&amp;display_string=Audit&amp;VAR:KEY=SRIDSZQVYJ&amp;VAR:QUERY=UkdGX1RBWF9SQVRFKEFOTiwwLCwsLCwsTk9BVURJVCk=&amp;WINDOW=FIRST_POPUP&amp;HEIGHT=450&amp;WIDTH=450&amp;","START_MAXIMIZED=FALSE&amp;VAR:CALENDAR=US&amp;VAR:SYMBOL=TRAK&amp;VAR:INDEX=0"}</definedName>
    <definedName name="_3061__FDSAUDITLINK__" localSheetId="7" hidden="1">{"fdsup://directions/FAT Viewer?action=UPDATE&amp;creator=factset&amp;DYN_ARGS=TRUE&amp;DOC_NAME=FAT:FQL_AUDITING_CLIENT_TEMPLATE.FAT&amp;display_string=Audit&amp;VAR:KEY=SRIDSZQVYJ&amp;VAR:QUERY=UkdGX1RBWF9SQVRFKEFOTiwwLCwsLCwsTk9BVURJVCk=&amp;WINDOW=FIRST_POPUP&amp;HEIGHT=450&amp;WIDTH=450&amp;","START_MAXIMIZED=FALSE&amp;VAR:CALENDAR=US&amp;VAR:SYMBOL=TRAK&amp;VAR:INDEX=0"}</definedName>
    <definedName name="_3061__FDSAUDITLINK__" hidden="1">{"fdsup://directions/FAT Viewer?action=UPDATE&amp;creator=factset&amp;DYN_ARGS=TRUE&amp;DOC_NAME=FAT:FQL_AUDITING_CLIENT_TEMPLATE.FAT&amp;display_string=Audit&amp;VAR:KEY=SRIDSZQVYJ&amp;VAR:QUERY=UkdGX1RBWF9SQVRFKEFOTiwwLCwsLCwsTk9BVURJVCk=&amp;WINDOW=FIRST_POPUP&amp;HEIGHT=450&amp;WIDTH=450&amp;","START_MAXIMIZED=FALSE&amp;VAR:CALENDAR=US&amp;VAR:SYMBOL=TRAK&amp;VAR:INDEX=0"}</definedName>
    <definedName name="_3062__FDSAUDITLINK__" localSheetId="3" hidden="1">{"fdsup://directions/FAT Viewer?action=UPDATE&amp;creator=factset&amp;DYN_ARGS=TRUE&amp;DOC_NAME=FAT:FQL_AUDITING_CLIENT_TEMPLATE.FAT&amp;display_string=Audit&amp;VAR:KEY=KTMJQNOJUT&amp;VAR:QUERY=UkdGX1RBWF9SQVRFKEFOTiwwLCwsLCwsTk9BVURJVCk=&amp;WINDOW=FIRST_POPUP&amp;HEIGHT=450&amp;WIDTH=450&amp;","START_MAXIMIZED=FALSE&amp;VAR:CALENDAR=US&amp;VAR:SYMBOL=DWSN&amp;VAR:INDEX=0"}</definedName>
    <definedName name="_3062__FDSAUDITLINK__" localSheetId="7" hidden="1">{"fdsup://directions/FAT Viewer?action=UPDATE&amp;creator=factset&amp;DYN_ARGS=TRUE&amp;DOC_NAME=FAT:FQL_AUDITING_CLIENT_TEMPLATE.FAT&amp;display_string=Audit&amp;VAR:KEY=KTMJQNOJUT&amp;VAR:QUERY=UkdGX1RBWF9SQVRFKEFOTiwwLCwsLCwsTk9BVURJVCk=&amp;WINDOW=FIRST_POPUP&amp;HEIGHT=450&amp;WIDTH=450&amp;","START_MAXIMIZED=FALSE&amp;VAR:CALENDAR=US&amp;VAR:SYMBOL=DWSN&amp;VAR:INDEX=0"}</definedName>
    <definedName name="_3062__FDSAUDITLINK__" hidden="1">{"fdsup://directions/FAT Viewer?action=UPDATE&amp;creator=factset&amp;DYN_ARGS=TRUE&amp;DOC_NAME=FAT:FQL_AUDITING_CLIENT_TEMPLATE.FAT&amp;display_string=Audit&amp;VAR:KEY=KTMJQNOJUT&amp;VAR:QUERY=UkdGX1RBWF9SQVRFKEFOTiwwLCwsLCwsTk9BVURJVCk=&amp;WINDOW=FIRST_POPUP&amp;HEIGHT=450&amp;WIDTH=450&amp;","START_MAXIMIZED=FALSE&amp;VAR:CALENDAR=US&amp;VAR:SYMBOL=DWSN&amp;VAR:INDEX=0"}</definedName>
    <definedName name="_3063__FDSAUDITLINK__" localSheetId="3" hidden="1">{"fdsup://directions/FAT Viewer?action=UPDATE&amp;creator=factset&amp;DYN_ARGS=TRUE&amp;DOC_NAME=FAT:FQL_AUDITING_CLIENT_TEMPLATE.FAT&amp;display_string=Audit&amp;VAR:KEY=OVGVCHYHQF&amp;VAR:QUERY=UkdGX1RBWF9SQVRFKEFOTiwwLCwsLCwsTk9BVURJVCk=&amp;WINDOW=FIRST_POPUP&amp;HEIGHT=450&amp;WIDTH=450&amp;","START_MAXIMIZED=FALSE&amp;VAR:CALENDAR=US&amp;VAR:SYMBOL=DTLK&amp;VAR:INDEX=0"}</definedName>
    <definedName name="_3063__FDSAUDITLINK__" localSheetId="7" hidden="1">{"fdsup://directions/FAT Viewer?action=UPDATE&amp;creator=factset&amp;DYN_ARGS=TRUE&amp;DOC_NAME=FAT:FQL_AUDITING_CLIENT_TEMPLATE.FAT&amp;display_string=Audit&amp;VAR:KEY=OVGVCHYHQF&amp;VAR:QUERY=UkdGX1RBWF9SQVRFKEFOTiwwLCwsLCwsTk9BVURJVCk=&amp;WINDOW=FIRST_POPUP&amp;HEIGHT=450&amp;WIDTH=450&amp;","START_MAXIMIZED=FALSE&amp;VAR:CALENDAR=US&amp;VAR:SYMBOL=DTLK&amp;VAR:INDEX=0"}</definedName>
    <definedName name="_3063__FDSAUDITLINK__" hidden="1">{"fdsup://directions/FAT Viewer?action=UPDATE&amp;creator=factset&amp;DYN_ARGS=TRUE&amp;DOC_NAME=FAT:FQL_AUDITING_CLIENT_TEMPLATE.FAT&amp;display_string=Audit&amp;VAR:KEY=OVGVCHYHQF&amp;VAR:QUERY=UkdGX1RBWF9SQVRFKEFOTiwwLCwsLCwsTk9BVURJVCk=&amp;WINDOW=FIRST_POPUP&amp;HEIGHT=450&amp;WIDTH=450&amp;","START_MAXIMIZED=FALSE&amp;VAR:CALENDAR=US&amp;VAR:SYMBOL=DTLK&amp;VAR:INDEX=0"}</definedName>
    <definedName name="_3064__FDSAUDITLINK__" localSheetId="3" hidden="1">{"fdsup://directions/FAT Viewer?action=UPDATE&amp;creator=factset&amp;DYN_ARGS=TRUE&amp;DOC_NAME=FAT:FQL_AUDITING_CLIENT_TEMPLATE.FAT&amp;display_string=Audit&amp;VAR:KEY=OVGVCHYHQF&amp;VAR:QUERY=UkdGX1RBWF9SQVRFKEFOTiwwLCwsLCwsTk9BVURJVCk=&amp;WINDOW=FIRST_POPUP&amp;HEIGHT=450&amp;WIDTH=450&amp;","START_MAXIMIZED=FALSE&amp;VAR:CALENDAR=US&amp;VAR:SYMBOL=DTLK&amp;VAR:INDEX=0"}</definedName>
    <definedName name="_3064__FDSAUDITLINK__" localSheetId="7" hidden="1">{"fdsup://directions/FAT Viewer?action=UPDATE&amp;creator=factset&amp;DYN_ARGS=TRUE&amp;DOC_NAME=FAT:FQL_AUDITING_CLIENT_TEMPLATE.FAT&amp;display_string=Audit&amp;VAR:KEY=OVGVCHYHQF&amp;VAR:QUERY=UkdGX1RBWF9SQVRFKEFOTiwwLCwsLCwsTk9BVURJVCk=&amp;WINDOW=FIRST_POPUP&amp;HEIGHT=450&amp;WIDTH=450&amp;","START_MAXIMIZED=FALSE&amp;VAR:CALENDAR=US&amp;VAR:SYMBOL=DTLK&amp;VAR:INDEX=0"}</definedName>
    <definedName name="_3064__FDSAUDITLINK__" hidden="1">{"fdsup://directions/FAT Viewer?action=UPDATE&amp;creator=factset&amp;DYN_ARGS=TRUE&amp;DOC_NAME=FAT:FQL_AUDITING_CLIENT_TEMPLATE.FAT&amp;display_string=Audit&amp;VAR:KEY=OVGVCHYHQF&amp;VAR:QUERY=UkdGX1RBWF9SQVRFKEFOTiwwLCwsLCwsTk9BVURJVCk=&amp;WINDOW=FIRST_POPUP&amp;HEIGHT=450&amp;WIDTH=450&amp;","START_MAXIMIZED=FALSE&amp;VAR:CALENDAR=US&amp;VAR:SYMBOL=DTLK&amp;VAR:INDEX=0"}</definedName>
    <definedName name="_3065__FDSAUDITLINK__" localSheetId="3" hidden="1">{"fdsup://directions/FAT Viewer?action=UPDATE&amp;creator=factset&amp;DYN_ARGS=TRUE&amp;DOC_NAME=FAT:FQL_AUDITING_CLIENT_TEMPLATE.FAT&amp;display_string=Audit&amp;VAR:KEY=QBKBYLYJAP&amp;VAR:QUERY=UkdGX1RBWF9SQVRFKEFOTiwwLCwsLCwsTk9BVURJVCk=&amp;WINDOW=FIRST_POPUP&amp;HEIGHT=450&amp;WIDTH=450&amp;","START_MAXIMIZED=FALSE&amp;VAR:CALENDAR=US&amp;VAR:SYMBOL=533004&amp;VAR:INDEX=0"}</definedName>
    <definedName name="_3065__FDSAUDITLINK__" localSheetId="7" hidden="1">{"fdsup://directions/FAT Viewer?action=UPDATE&amp;creator=factset&amp;DYN_ARGS=TRUE&amp;DOC_NAME=FAT:FQL_AUDITING_CLIENT_TEMPLATE.FAT&amp;display_string=Audit&amp;VAR:KEY=QBKBYLYJAP&amp;VAR:QUERY=UkdGX1RBWF9SQVRFKEFOTiwwLCwsLCwsTk9BVURJVCk=&amp;WINDOW=FIRST_POPUP&amp;HEIGHT=450&amp;WIDTH=450&amp;","START_MAXIMIZED=FALSE&amp;VAR:CALENDAR=US&amp;VAR:SYMBOL=533004&amp;VAR:INDEX=0"}</definedName>
    <definedName name="_3065__FDSAUDITLINK__" hidden="1">{"fdsup://directions/FAT Viewer?action=UPDATE&amp;creator=factset&amp;DYN_ARGS=TRUE&amp;DOC_NAME=FAT:FQL_AUDITING_CLIENT_TEMPLATE.FAT&amp;display_string=Audit&amp;VAR:KEY=QBKBYLYJAP&amp;VAR:QUERY=UkdGX1RBWF9SQVRFKEFOTiwwLCwsLCwsTk9BVURJVCk=&amp;WINDOW=FIRST_POPUP&amp;HEIGHT=450&amp;WIDTH=450&amp;","START_MAXIMIZED=FALSE&amp;VAR:CALENDAR=US&amp;VAR:SYMBOL=533004&amp;VAR:INDEX=0"}</definedName>
    <definedName name="_3066__FDSAUDITLINK__" localSheetId="3" hidden="1">{"fdsup://directions/FAT Viewer?action=UPDATE&amp;creator=factset&amp;DYN_ARGS=TRUE&amp;DOC_NAME=FAT:FQL_AUDITING_CLIENT_TEMPLATE.FAT&amp;display_string=Audit&amp;VAR:KEY=QBKBYLYJAP&amp;VAR:QUERY=UkdGX1RBWF9SQVRFKEFOTiwwLCwsLCwsTk9BVURJVCk=&amp;WINDOW=FIRST_POPUP&amp;HEIGHT=450&amp;WIDTH=450&amp;","START_MAXIMIZED=FALSE&amp;VAR:CALENDAR=US&amp;VAR:SYMBOL=533004&amp;VAR:INDEX=0"}</definedName>
    <definedName name="_3066__FDSAUDITLINK__" localSheetId="7" hidden="1">{"fdsup://directions/FAT Viewer?action=UPDATE&amp;creator=factset&amp;DYN_ARGS=TRUE&amp;DOC_NAME=FAT:FQL_AUDITING_CLIENT_TEMPLATE.FAT&amp;display_string=Audit&amp;VAR:KEY=QBKBYLYJAP&amp;VAR:QUERY=UkdGX1RBWF9SQVRFKEFOTiwwLCwsLCwsTk9BVURJVCk=&amp;WINDOW=FIRST_POPUP&amp;HEIGHT=450&amp;WIDTH=450&amp;","START_MAXIMIZED=FALSE&amp;VAR:CALENDAR=US&amp;VAR:SYMBOL=533004&amp;VAR:INDEX=0"}</definedName>
    <definedName name="_3066__FDSAUDITLINK__" hidden="1">{"fdsup://directions/FAT Viewer?action=UPDATE&amp;creator=factset&amp;DYN_ARGS=TRUE&amp;DOC_NAME=FAT:FQL_AUDITING_CLIENT_TEMPLATE.FAT&amp;display_string=Audit&amp;VAR:KEY=QBKBYLYJAP&amp;VAR:QUERY=UkdGX1RBWF9SQVRFKEFOTiwwLCwsLCwsTk9BVURJVCk=&amp;WINDOW=FIRST_POPUP&amp;HEIGHT=450&amp;WIDTH=450&amp;","START_MAXIMIZED=FALSE&amp;VAR:CALENDAR=US&amp;VAR:SYMBOL=533004&amp;VAR:INDEX=0"}</definedName>
    <definedName name="_3067__FDSAUDITLINK__" localSheetId="3" hidden="1">{"fdsup://directions/FAT Viewer?action=UPDATE&amp;creator=factset&amp;DYN_ARGS=TRUE&amp;DOC_NAME=FAT:FQL_AUDITING_CLIENT_TEMPLATE.FAT&amp;display_string=Audit&amp;VAR:KEY=YTEJUJOXMP&amp;VAR:QUERY=UkdGX1RBWF9SQVRFKEFOTiwwLCwsLCwsTk9BVURJVCk=&amp;WINDOW=FIRST_POPUP&amp;HEIGHT=450&amp;WIDTH=450&amp;","START_MAXIMIZED=FALSE&amp;VAR:CALENDAR=US&amp;VAR:SYMBOL=629247&amp;VAR:INDEX=0"}</definedName>
    <definedName name="_3067__FDSAUDITLINK__" localSheetId="7" hidden="1">{"fdsup://directions/FAT Viewer?action=UPDATE&amp;creator=factset&amp;DYN_ARGS=TRUE&amp;DOC_NAME=FAT:FQL_AUDITING_CLIENT_TEMPLATE.FAT&amp;display_string=Audit&amp;VAR:KEY=YTEJUJOXMP&amp;VAR:QUERY=UkdGX1RBWF9SQVRFKEFOTiwwLCwsLCwsTk9BVURJVCk=&amp;WINDOW=FIRST_POPUP&amp;HEIGHT=450&amp;WIDTH=450&amp;","START_MAXIMIZED=FALSE&amp;VAR:CALENDAR=US&amp;VAR:SYMBOL=629247&amp;VAR:INDEX=0"}</definedName>
    <definedName name="_3067__FDSAUDITLINK__" hidden="1">{"fdsup://directions/FAT Viewer?action=UPDATE&amp;creator=factset&amp;DYN_ARGS=TRUE&amp;DOC_NAME=FAT:FQL_AUDITING_CLIENT_TEMPLATE.FAT&amp;display_string=Audit&amp;VAR:KEY=YTEJUJOXMP&amp;VAR:QUERY=UkdGX1RBWF9SQVRFKEFOTiwwLCwsLCwsTk9BVURJVCk=&amp;WINDOW=FIRST_POPUP&amp;HEIGHT=450&amp;WIDTH=450&amp;","START_MAXIMIZED=FALSE&amp;VAR:CALENDAR=US&amp;VAR:SYMBOL=629247&amp;VAR:INDEX=0"}</definedName>
    <definedName name="_3068__FDSAUDITLINK__" localSheetId="3" hidden="1">{"fdsup://directions/FAT Viewer?action=UPDATE&amp;creator=factset&amp;DYN_ARGS=TRUE&amp;DOC_NAME=FAT:FQL_AUDITING_CLIENT_TEMPLATE.FAT&amp;display_string=Audit&amp;VAR:KEY=YTEJUJOXMP&amp;VAR:QUERY=UkdGX1RBWF9SQVRFKEFOTiwwLCwsLCwsTk9BVURJVCk=&amp;WINDOW=FIRST_POPUP&amp;HEIGHT=450&amp;WIDTH=450&amp;","START_MAXIMIZED=FALSE&amp;VAR:CALENDAR=US&amp;VAR:SYMBOL=629247&amp;VAR:INDEX=0"}</definedName>
    <definedName name="_3068__FDSAUDITLINK__" localSheetId="7" hidden="1">{"fdsup://directions/FAT Viewer?action=UPDATE&amp;creator=factset&amp;DYN_ARGS=TRUE&amp;DOC_NAME=FAT:FQL_AUDITING_CLIENT_TEMPLATE.FAT&amp;display_string=Audit&amp;VAR:KEY=YTEJUJOXMP&amp;VAR:QUERY=UkdGX1RBWF9SQVRFKEFOTiwwLCwsLCwsTk9BVURJVCk=&amp;WINDOW=FIRST_POPUP&amp;HEIGHT=450&amp;WIDTH=450&amp;","START_MAXIMIZED=FALSE&amp;VAR:CALENDAR=US&amp;VAR:SYMBOL=629247&amp;VAR:INDEX=0"}</definedName>
    <definedName name="_3068__FDSAUDITLINK__" hidden="1">{"fdsup://directions/FAT Viewer?action=UPDATE&amp;creator=factset&amp;DYN_ARGS=TRUE&amp;DOC_NAME=FAT:FQL_AUDITING_CLIENT_TEMPLATE.FAT&amp;display_string=Audit&amp;VAR:KEY=YTEJUJOXMP&amp;VAR:QUERY=UkdGX1RBWF9SQVRFKEFOTiwwLCwsLCwsTk9BVURJVCk=&amp;WINDOW=FIRST_POPUP&amp;HEIGHT=450&amp;WIDTH=450&amp;","START_MAXIMIZED=FALSE&amp;VAR:CALENDAR=US&amp;VAR:SYMBOL=629247&amp;VAR:INDEX=0"}</definedName>
    <definedName name="_3069__FDSAUDITLINK__" localSheetId="3" hidden="1">{"fdsup://directions/FAT Viewer?action=UPDATE&amp;creator=factset&amp;DYN_ARGS=TRUE&amp;DOC_NAME=FAT:FQL_AUDITING_CLIENT_TEMPLATE.FAT&amp;display_string=Audit&amp;VAR:KEY=MXCBOLKBUN&amp;VAR:QUERY=UkdGX1RBWF9SQVRFKEFOTiwwLCwsLCwsTk9BVURJVCk=&amp;WINDOW=FIRST_POPUP&amp;HEIGHT=450&amp;WIDTH=450&amp;","START_MAXIMIZED=FALSE&amp;VAR:CALENDAR=US&amp;VAR:SYMBOL=CSGS&amp;VAR:INDEX=0"}</definedName>
    <definedName name="_3069__FDSAUDITLINK__" localSheetId="7" hidden="1">{"fdsup://directions/FAT Viewer?action=UPDATE&amp;creator=factset&amp;DYN_ARGS=TRUE&amp;DOC_NAME=FAT:FQL_AUDITING_CLIENT_TEMPLATE.FAT&amp;display_string=Audit&amp;VAR:KEY=MXCBOLKBUN&amp;VAR:QUERY=UkdGX1RBWF9SQVRFKEFOTiwwLCwsLCwsTk9BVURJVCk=&amp;WINDOW=FIRST_POPUP&amp;HEIGHT=450&amp;WIDTH=450&amp;","START_MAXIMIZED=FALSE&amp;VAR:CALENDAR=US&amp;VAR:SYMBOL=CSGS&amp;VAR:INDEX=0"}</definedName>
    <definedName name="_3069__FDSAUDITLINK__" hidden="1">{"fdsup://directions/FAT Viewer?action=UPDATE&amp;creator=factset&amp;DYN_ARGS=TRUE&amp;DOC_NAME=FAT:FQL_AUDITING_CLIENT_TEMPLATE.FAT&amp;display_string=Audit&amp;VAR:KEY=MXCBOLKBUN&amp;VAR:QUERY=UkdGX1RBWF9SQVRFKEFOTiwwLCwsLCwsTk9BVURJVCk=&amp;WINDOW=FIRST_POPUP&amp;HEIGHT=450&amp;WIDTH=450&amp;","START_MAXIMIZED=FALSE&amp;VAR:CALENDAR=US&amp;VAR:SYMBOL=CSGS&amp;VAR:INDEX=0"}</definedName>
    <definedName name="_3070__FDSAUDITLINK__" localSheetId="3" hidden="1">{"fdsup://directions/FAT Viewer?action=UPDATE&amp;creator=factset&amp;DYN_ARGS=TRUE&amp;DOC_NAME=FAT:FQL_AUDITING_CLIENT_TEMPLATE.FAT&amp;display_string=Audit&amp;VAR:KEY=MXCBOLKBUN&amp;VAR:QUERY=UkdGX1RBWF9SQVRFKEFOTiwwLCwsLCwsTk9BVURJVCk=&amp;WINDOW=FIRST_POPUP&amp;HEIGHT=450&amp;WIDTH=450&amp;","START_MAXIMIZED=FALSE&amp;VAR:CALENDAR=US&amp;VAR:SYMBOL=CSGS&amp;VAR:INDEX=0"}</definedName>
    <definedName name="_3070__FDSAUDITLINK__" localSheetId="7" hidden="1">{"fdsup://directions/FAT Viewer?action=UPDATE&amp;creator=factset&amp;DYN_ARGS=TRUE&amp;DOC_NAME=FAT:FQL_AUDITING_CLIENT_TEMPLATE.FAT&amp;display_string=Audit&amp;VAR:KEY=MXCBOLKBUN&amp;VAR:QUERY=UkdGX1RBWF9SQVRFKEFOTiwwLCwsLCwsTk9BVURJVCk=&amp;WINDOW=FIRST_POPUP&amp;HEIGHT=450&amp;WIDTH=450&amp;","START_MAXIMIZED=FALSE&amp;VAR:CALENDAR=US&amp;VAR:SYMBOL=CSGS&amp;VAR:INDEX=0"}</definedName>
    <definedName name="_3070__FDSAUDITLINK__" hidden="1">{"fdsup://directions/FAT Viewer?action=UPDATE&amp;creator=factset&amp;DYN_ARGS=TRUE&amp;DOC_NAME=FAT:FQL_AUDITING_CLIENT_TEMPLATE.FAT&amp;display_string=Audit&amp;VAR:KEY=MXCBOLKBUN&amp;VAR:QUERY=UkdGX1RBWF9SQVRFKEFOTiwwLCwsLCwsTk9BVURJVCk=&amp;WINDOW=FIRST_POPUP&amp;HEIGHT=450&amp;WIDTH=450&amp;","START_MAXIMIZED=FALSE&amp;VAR:CALENDAR=US&amp;VAR:SYMBOL=CSGS&amp;VAR:INDEX=0"}</definedName>
    <definedName name="_3071__FDSAUDITLINK__" localSheetId="3" hidden="1">{"fdsup://directions/FAT Viewer?action=UPDATE&amp;creator=factset&amp;DYN_ARGS=TRUE&amp;DOC_NAME=FAT:FQL_AUDITING_CLIENT_TEMPLATE.FAT&amp;display_string=Audit&amp;VAR:KEY=SVUHURSHIF&amp;VAR:QUERY=UkdGX1RBWF9SQVRFKEFOTiwwLCwsLCwsTk9BVURJVCk=&amp;WINDOW=FIRST_POPUP&amp;HEIGHT=450&amp;WIDTH=450&amp;","START_MAXIMIZED=FALSE&amp;VAR:CALENDAR=US&amp;VAR:SYMBOL=CSGP&amp;VAR:INDEX=0"}</definedName>
    <definedName name="_3071__FDSAUDITLINK__" localSheetId="7" hidden="1">{"fdsup://directions/FAT Viewer?action=UPDATE&amp;creator=factset&amp;DYN_ARGS=TRUE&amp;DOC_NAME=FAT:FQL_AUDITING_CLIENT_TEMPLATE.FAT&amp;display_string=Audit&amp;VAR:KEY=SVUHURSHIF&amp;VAR:QUERY=UkdGX1RBWF9SQVRFKEFOTiwwLCwsLCwsTk9BVURJVCk=&amp;WINDOW=FIRST_POPUP&amp;HEIGHT=450&amp;WIDTH=450&amp;","START_MAXIMIZED=FALSE&amp;VAR:CALENDAR=US&amp;VAR:SYMBOL=CSGP&amp;VAR:INDEX=0"}</definedName>
    <definedName name="_3071__FDSAUDITLINK__" hidden="1">{"fdsup://directions/FAT Viewer?action=UPDATE&amp;creator=factset&amp;DYN_ARGS=TRUE&amp;DOC_NAME=FAT:FQL_AUDITING_CLIENT_TEMPLATE.FAT&amp;display_string=Audit&amp;VAR:KEY=SVUHURSHIF&amp;VAR:QUERY=UkdGX1RBWF9SQVRFKEFOTiwwLCwsLCwsTk9BVURJVCk=&amp;WINDOW=FIRST_POPUP&amp;HEIGHT=450&amp;WIDTH=450&amp;","START_MAXIMIZED=FALSE&amp;VAR:CALENDAR=US&amp;VAR:SYMBOL=CSGP&amp;VAR:INDEX=0"}</definedName>
    <definedName name="_3072__FDSAUDITLINK__" localSheetId="3" hidden="1">{"fdsup://directions/FAT Viewer?action=UPDATE&amp;creator=factset&amp;DYN_ARGS=TRUE&amp;DOC_NAME=FAT:FQL_AUDITING_CLIENT_TEMPLATE.FAT&amp;display_string=Audit&amp;VAR:KEY=SVUHURSHIF&amp;VAR:QUERY=UkdGX1RBWF9SQVRFKEFOTiwwLCwsLCwsTk9BVURJVCk=&amp;WINDOW=FIRST_POPUP&amp;HEIGHT=450&amp;WIDTH=450&amp;","START_MAXIMIZED=FALSE&amp;VAR:CALENDAR=US&amp;VAR:SYMBOL=CSGP&amp;VAR:INDEX=0"}</definedName>
    <definedName name="_3072__FDSAUDITLINK__" localSheetId="7" hidden="1">{"fdsup://directions/FAT Viewer?action=UPDATE&amp;creator=factset&amp;DYN_ARGS=TRUE&amp;DOC_NAME=FAT:FQL_AUDITING_CLIENT_TEMPLATE.FAT&amp;display_string=Audit&amp;VAR:KEY=SVUHURSHIF&amp;VAR:QUERY=UkdGX1RBWF9SQVRFKEFOTiwwLCwsLCwsTk9BVURJVCk=&amp;WINDOW=FIRST_POPUP&amp;HEIGHT=450&amp;WIDTH=450&amp;","START_MAXIMIZED=FALSE&amp;VAR:CALENDAR=US&amp;VAR:SYMBOL=CSGP&amp;VAR:INDEX=0"}</definedName>
    <definedName name="_3072__FDSAUDITLINK__" hidden="1">{"fdsup://directions/FAT Viewer?action=UPDATE&amp;creator=factset&amp;DYN_ARGS=TRUE&amp;DOC_NAME=FAT:FQL_AUDITING_CLIENT_TEMPLATE.FAT&amp;display_string=Audit&amp;VAR:KEY=SVUHURSHIF&amp;VAR:QUERY=UkdGX1RBWF9SQVRFKEFOTiwwLCwsLCwsTk9BVURJVCk=&amp;WINDOW=FIRST_POPUP&amp;HEIGHT=450&amp;WIDTH=450&amp;","START_MAXIMIZED=FALSE&amp;VAR:CALENDAR=US&amp;VAR:SYMBOL=CSGP&amp;VAR:INDEX=0"}</definedName>
    <definedName name="_3073__FDSAUDITLINK__" localSheetId="3" hidden="1">{"fdsup://directions/FAT Viewer?action=UPDATE&amp;creator=factset&amp;DYN_ARGS=TRUE&amp;DOC_NAME=FAT:FQL_AUDITING_CLIENT_TEMPLATE.FAT&amp;display_string=Audit&amp;VAR:KEY=MTWHYNGXMX&amp;VAR:QUERY=UkdGX1RBWF9SQVRFKEFOTiwwLCwsLCwsTk9BVURJVCk=&amp;WINDOW=FIRST_POPUP&amp;HEIGHT=450&amp;WIDTH=450&amp;","START_MAXIMIZED=FALSE&amp;VAR:CALENDAR=US&amp;VAR:SYMBOL=EXBD&amp;VAR:INDEX=0"}</definedName>
    <definedName name="_3073__FDSAUDITLINK__" localSheetId="7" hidden="1">{"fdsup://directions/FAT Viewer?action=UPDATE&amp;creator=factset&amp;DYN_ARGS=TRUE&amp;DOC_NAME=FAT:FQL_AUDITING_CLIENT_TEMPLATE.FAT&amp;display_string=Audit&amp;VAR:KEY=MTWHYNGXMX&amp;VAR:QUERY=UkdGX1RBWF9SQVRFKEFOTiwwLCwsLCwsTk9BVURJVCk=&amp;WINDOW=FIRST_POPUP&amp;HEIGHT=450&amp;WIDTH=450&amp;","START_MAXIMIZED=FALSE&amp;VAR:CALENDAR=US&amp;VAR:SYMBOL=EXBD&amp;VAR:INDEX=0"}</definedName>
    <definedName name="_3073__FDSAUDITLINK__" hidden="1">{"fdsup://directions/FAT Viewer?action=UPDATE&amp;creator=factset&amp;DYN_ARGS=TRUE&amp;DOC_NAME=FAT:FQL_AUDITING_CLIENT_TEMPLATE.FAT&amp;display_string=Audit&amp;VAR:KEY=MTWHYNGXMX&amp;VAR:QUERY=UkdGX1RBWF9SQVRFKEFOTiwwLCwsLCwsTk9BVURJVCk=&amp;WINDOW=FIRST_POPUP&amp;HEIGHT=450&amp;WIDTH=450&amp;","START_MAXIMIZED=FALSE&amp;VAR:CALENDAR=US&amp;VAR:SYMBOL=EXBD&amp;VAR:INDEX=0"}</definedName>
    <definedName name="_3074__FDSAUDITLINK__" localSheetId="3" hidden="1">{"fdsup://directions/FAT Viewer?action=UPDATE&amp;creator=factset&amp;DYN_ARGS=TRUE&amp;DOC_NAME=FAT:FQL_AUDITING_CLIENT_TEMPLATE.FAT&amp;display_string=Audit&amp;VAR:KEY=MTWHYNGXMX&amp;VAR:QUERY=UkdGX1RBWF9SQVRFKEFOTiwwLCwsLCwsTk9BVURJVCk=&amp;WINDOW=FIRST_POPUP&amp;HEIGHT=450&amp;WIDTH=450&amp;","START_MAXIMIZED=FALSE&amp;VAR:CALENDAR=US&amp;VAR:SYMBOL=EXBD&amp;VAR:INDEX=0"}</definedName>
    <definedName name="_3074__FDSAUDITLINK__" localSheetId="7" hidden="1">{"fdsup://directions/FAT Viewer?action=UPDATE&amp;creator=factset&amp;DYN_ARGS=TRUE&amp;DOC_NAME=FAT:FQL_AUDITING_CLIENT_TEMPLATE.FAT&amp;display_string=Audit&amp;VAR:KEY=MTWHYNGXMX&amp;VAR:QUERY=UkdGX1RBWF9SQVRFKEFOTiwwLCwsLCwsTk9BVURJVCk=&amp;WINDOW=FIRST_POPUP&amp;HEIGHT=450&amp;WIDTH=450&amp;","START_MAXIMIZED=FALSE&amp;VAR:CALENDAR=US&amp;VAR:SYMBOL=EXBD&amp;VAR:INDEX=0"}</definedName>
    <definedName name="_3074__FDSAUDITLINK__" hidden="1">{"fdsup://directions/FAT Viewer?action=UPDATE&amp;creator=factset&amp;DYN_ARGS=TRUE&amp;DOC_NAME=FAT:FQL_AUDITING_CLIENT_TEMPLATE.FAT&amp;display_string=Audit&amp;VAR:KEY=MTWHYNGXMX&amp;VAR:QUERY=UkdGX1RBWF9SQVRFKEFOTiwwLCwsLCwsTk9BVURJVCk=&amp;WINDOW=FIRST_POPUP&amp;HEIGHT=450&amp;WIDTH=450&amp;","START_MAXIMIZED=FALSE&amp;VAR:CALENDAR=US&amp;VAR:SYMBOL=EXBD&amp;VAR:INDEX=0"}</definedName>
    <definedName name="_3075__FDSAUDITLINK__" localSheetId="3" hidden="1">{"fdsup://directions/FAT Viewer?action=UPDATE&amp;creator=factset&amp;DYN_ARGS=TRUE&amp;DOC_NAME=FAT:FQL_AUDITING_CLIENT_TEMPLATE.FAT&amp;display_string=Audit&amp;VAR:KEY=UXKVADKZKV&amp;VAR:QUERY=UkdGX1RBWF9SQVRFKEFOTiwwLCwsLCwsTk9BVURJVCk=&amp;WINDOW=FIRST_POPUP&amp;HEIGHT=450&amp;WIDTH=450&amp;","START_MAXIMIZED=FALSE&amp;VAR:CALENDAR=US&amp;VAR:SYMBOL=CNVO&amp;VAR:INDEX=0"}</definedName>
    <definedName name="_3075__FDSAUDITLINK__" localSheetId="7" hidden="1">{"fdsup://directions/FAT Viewer?action=UPDATE&amp;creator=factset&amp;DYN_ARGS=TRUE&amp;DOC_NAME=FAT:FQL_AUDITING_CLIENT_TEMPLATE.FAT&amp;display_string=Audit&amp;VAR:KEY=UXKVADKZKV&amp;VAR:QUERY=UkdGX1RBWF9SQVRFKEFOTiwwLCwsLCwsTk9BVURJVCk=&amp;WINDOW=FIRST_POPUP&amp;HEIGHT=450&amp;WIDTH=450&amp;","START_MAXIMIZED=FALSE&amp;VAR:CALENDAR=US&amp;VAR:SYMBOL=CNVO&amp;VAR:INDEX=0"}</definedName>
    <definedName name="_3075__FDSAUDITLINK__" hidden="1">{"fdsup://directions/FAT Viewer?action=UPDATE&amp;creator=factset&amp;DYN_ARGS=TRUE&amp;DOC_NAME=FAT:FQL_AUDITING_CLIENT_TEMPLATE.FAT&amp;display_string=Audit&amp;VAR:KEY=UXKVADKZKV&amp;VAR:QUERY=UkdGX1RBWF9SQVRFKEFOTiwwLCwsLCwsTk9BVURJVCk=&amp;WINDOW=FIRST_POPUP&amp;HEIGHT=450&amp;WIDTH=450&amp;","START_MAXIMIZED=FALSE&amp;VAR:CALENDAR=US&amp;VAR:SYMBOL=CNVO&amp;VAR:INDEX=0"}</definedName>
    <definedName name="_3076__FDSAUDITLINK__" localSheetId="3" hidden="1">{"fdsup://directions/FAT Viewer?action=UPDATE&amp;creator=factset&amp;DYN_ARGS=TRUE&amp;DOC_NAME=FAT:FQL_AUDITING_CLIENT_TEMPLATE.FAT&amp;display_string=Audit&amp;VAR:KEY=UXKVADKZKV&amp;VAR:QUERY=UkdGX1RBWF9SQVRFKEFOTiwwLCwsLCwsTk9BVURJVCk=&amp;WINDOW=FIRST_POPUP&amp;HEIGHT=450&amp;WIDTH=450&amp;","START_MAXIMIZED=FALSE&amp;VAR:CALENDAR=US&amp;VAR:SYMBOL=CNVO&amp;VAR:INDEX=0"}</definedName>
    <definedName name="_3076__FDSAUDITLINK__" localSheetId="7" hidden="1">{"fdsup://directions/FAT Viewer?action=UPDATE&amp;creator=factset&amp;DYN_ARGS=TRUE&amp;DOC_NAME=FAT:FQL_AUDITING_CLIENT_TEMPLATE.FAT&amp;display_string=Audit&amp;VAR:KEY=UXKVADKZKV&amp;VAR:QUERY=UkdGX1RBWF9SQVRFKEFOTiwwLCwsLCwsTk9BVURJVCk=&amp;WINDOW=FIRST_POPUP&amp;HEIGHT=450&amp;WIDTH=450&amp;","START_MAXIMIZED=FALSE&amp;VAR:CALENDAR=US&amp;VAR:SYMBOL=CNVO&amp;VAR:INDEX=0"}</definedName>
    <definedName name="_3076__FDSAUDITLINK__" hidden="1">{"fdsup://directions/FAT Viewer?action=UPDATE&amp;creator=factset&amp;DYN_ARGS=TRUE&amp;DOC_NAME=FAT:FQL_AUDITING_CLIENT_TEMPLATE.FAT&amp;display_string=Audit&amp;VAR:KEY=UXKVADKZKV&amp;VAR:QUERY=UkdGX1RBWF9SQVRFKEFOTiwwLCwsLCwsTk9BVURJVCk=&amp;WINDOW=FIRST_POPUP&amp;HEIGHT=450&amp;WIDTH=450&amp;","START_MAXIMIZED=FALSE&amp;VAR:CALENDAR=US&amp;VAR:SYMBOL=CNVO&amp;VAR:INDEX=0"}</definedName>
    <definedName name="_3077__FDSAUDITLINK__" localSheetId="3" hidden="1">{"fdsup://directions/FAT Viewer?action=UPDATE&amp;creator=factset&amp;DYN_ARGS=TRUE&amp;DOC_NAME=FAT:FQL_AUDITING_CLIENT_TEMPLATE.FAT&amp;display_string=Audit&amp;VAR:KEY=GTMFOLKRST&amp;VAR:QUERY=UkdGX1RBWF9SQVRFKEFOTiwwLCwsLCwsTk9BVURJVCk=&amp;WINDOW=FIRST_POPUP&amp;HEIGHT=450&amp;WIDTH=450&amp;","START_MAXIMIZED=FALSE&amp;VAR:CALENDAR=US&amp;VAR:SYMBOL=CTCT&amp;VAR:INDEX=0"}</definedName>
    <definedName name="_3077__FDSAUDITLINK__" localSheetId="7" hidden="1">{"fdsup://directions/FAT Viewer?action=UPDATE&amp;creator=factset&amp;DYN_ARGS=TRUE&amp;DOC_NAME=FAT:FQL_AUDITING_CLIENT_TEMPLATE.FAT&amp;display_string=Audit&amp;VAR:KEY=GTMFOLKRST&amp;VAR:QUERY=UkdGX1RBWF9SQVRFKEFOTiwwLCwsLCwsTk9BVURJVCk=&amp;WINDOW=FIRST_POPUP&amp;HEIGHT=450&amp;WIDTH=450&amp;","START_MAXIMIZED=FALSE&amp;VAR:CALENDAR=US&amp;VAR:SYMBOL=CTCT&amp;VAR:INDEX=0"}</definedName>
    <definedName name="_3077__FDSAUDITLINK__" hidden="1">{"fdsup://directions/FAT Viewer?action=UPDATE&amp;creator=factset&amp;DYN_ARGS=TRUE&amp;DOC_NAME=FAT:FQL_AUDITING_CLIENT_TEMPLATE.FAT&amp;display_string=Audit&amp;VAR:KEY=GTMFOLKRST&amp;VAR:QUERY=UkdGX1RBWF9SQVRFKEFOTiwwLCwsLCwsTk9BVURJVCk=&amp;WINDOW=FIRST_POPUP&amp;HEIGHT=450&amp;WIDTH=450&amp;","START_MAXIMIZED=FALSE&amp;VAR:CALENDAR=US&amp;VAR:SYMBOL=CTCT&amp;VAR:INDEX=0"}</definedName>
    <definedName name="_3078__FDSAUDITLINK__" localSheetId="3" hidden="1">{"fdsup://directions/FAT Viewer?action=UPDATE&amp;creator=factset&amp;DYN_ARGS=TRUE&amp;DOC_NAME=FAT:FQL_AUDITING_CLIENT_TEMPLATE.FAT&amp;display_string=Audit&amp;VAR:KEY=GTMFOLKRST&amp;VAR:QUERY=UkdGX1RBWF9SQVRFKEFOTiwwLCwsLCwsTk9BVURJVCk=&amp;WINDOW=FIRST_POPUP&amp;HEIGHT=450&amp;WIDTH=450&amp;","START_MAXIMIZED=FALSE&amp;VAR:CALENDAR=US&amp;VAR:SYMBOL=CTCT&amp;VAR:INDEX=0"}</definedName>
    <definedName name="_3078__FDSAUDITLINK__" localSheetId="7" hidden="1">{"fdsup://directions/FAT Viewer?action=UPDATE&amp;creator=factset&amp;DYN_ARGS=TRUE&amp;DOC_NAME=FAT:FQL_AUDITING_CLIENT_TEMPLATE.FAT&amp;display_string=Audit&amp;VAR:KEY=GTMFOLKRST&amp;VAR:QUERY=UkdGX1RBWF9SQVRFKEFOTiwwLCwsLCwsTk9BVURJVCk=&amp;WINDOW=FIRST_POPUP&amp;HEIGHT=450&amp;WIDTH=450&amp;","START_MAXIMIZED=FALSE&amp;VAR:CALENDAR=US&amp;VAR:SYMBOL=CTCT&amp;VAR:INDEX=0"}</definedName>
    <definedName name="_3078__FDSAUDITLINK__" hidden="1">{"fdsup://directions/FAT Viewer?action=UPDATE&amp;creator=factset&amp;DYN_ARGS=TRUE&amp;DOC_NAME=FAT:FQL_AUDITING_CLIENT_TEMPLATE.FAT&amp;display_string=Audit&amp;VAR:KEY=GTMFOLKRST&amp;VAR:QUERY=UkdGX1RBWF9SQVRFKEFOTiwwLCwsLCwsTk9BVURJVCk=&amp;WINDOW=FIRST_POPUP&amp;HEIGHT=450&amp;WIDTH=450&amp;","START_MAXIMIZED=FALSE&amp;VAR:CALENDAR=US&amp;VAR:SYMBOL=CTCT&amp;VAR:INDEX=0"}</definedName>
    <definedName name="_3079__FDSAUDITLINK__" localSheetId="3" hidden="1">{"fdsup://directions/FAT Viewer?action=UPDATE&amp;creator=factset&amp;DYN_ARGS=TRUE&amp;DOC_NAME=FAT:FQL_AUDITING_CLIENT_TEMPLATE.FAT&amp;display_string=Audit&amp;VAR:KEY=GBGNQTYTGN&amp;VAR:QUERY=UkdGX1RBWF9SQVRFKEFOTiwwLCwsLCwsTk9BVURJVCk=&amp;WINDOW=FIRST_POPUP&amp;HEIGHT=450&amp;WIDTH=450&amp;","START_MAXIMIZED=FALSE&amp;VAR:CALENDAR=US&amp;VAR:SYMBOL=CNQR&amp;VAR:INDEX=0"}</definedName>
    <definedName name="_3079__FDSAUDITLINK__" localSheetId="7" hidden="1">{"fdsup://directions/FAT Viewer?action=UPDATE&amp;creator=factset&amp;DYN_ARGS=TRUE&amp;DOC_NAME=FAT:FQL_AUDITING_CLIENT_TEMPLATE.FAT&amp;display_string=Audit&amp;VAR:KEY=GBGNQTYTGN&amp;VAR:QUERY=UkdGX1RBWF9SQVRFKEFOTiwwLCwsLCwsTk9BVURJVCk=&amp;WINDOW=FIRST_POPUP&amp;HEIGHT=450&amp;WIDTH=450&amp;","START_MAXIMIZED=FALSE&amp;VAR:CALENDAR=US&amp;VAR:SYMBOL=CNQR&amp;VAR:INDEX=0"}</definedName>
    <definedName name="_3079__FDSAUDITLINK__" hidden="1">{"fdsup://directions/FAT Viewer?action=UPDATE&amp;creator=factset&amp;DYN_ARGS=TRUE&amp;DOC_NAME=FAT:FQL_AUDITING_CLIENT_TEMPLATE.FAT&amp;display_string=Audit&amp;VAR:KEY=GBGNQTYTGN&amp;VAR:QUERY=UkdGX1RBWF9SQVRFKEFOTiwwLCwsLCwsTk9BVURJVCk=&amp;WINDOW=FIRST_POPUP&amp;HEIGHT=450&amp;WIDTH=450&amp;","START_MAXIMIZED=FALSE&amp;VAR:CALENDAR=US&amp;VAR:SYMBOL=CNQR&amp;VAR:INDEX=0"}</definedName>
    <definedName name="_3080__FDSAUDITLINK__" localSheetId="3" hidden="1">{"fdsup://directions/FAT Viewer?action=UPDATE&amp;creator=factset&amp;DYN_ARGS=TRUE&amp;DOC_NAME=FAT:FQL_AUDITING_CLIENT_TEMPLATE.FAT&amp;display_string=Audit&amp;VAR:KEY=GBGNQTYTGN&amp;VAR:QUERY=UkdGX1RBWF9SQVRFKEFOTiwwLCwsLCwsTk9BVURJVCk=&amp;WINDOW=FIRST_POPUP&amp;HEIGHT=450&amp;WIDTH=450&amp;","START_MAXIMIZED=FALSE&amp;VAR:CALENDAR=US&amp;VAR:SYMBOL=CNQR&amp;VAR:INDEX=0"}</definedName>
    <definedName name="_3080__FDSAUDITLINK__" localSheetId="7" hidden="1">{"fdsup://directions/FAT Viewer?action=UPDATE&amp;creator=factset&amp;DYN_ARGS=TRUE&amp;DOC_NAME=FAT:FQL_AUDITING_CLIENT_TEMPLATE.FAT&amp;display_string=Audit&amp;VAR:KEY=GBGNQTYTGN&amp;VAR:QUERY=UkdGX1RBWF9SQVRFKEFOTiwwLCwsLCwsTk9BVURJVCk=&amp;WINDOW=FIRST_POPUP&amp;HEIGHT=450&amp;WIDTH=450&amp;","START_MAXIMIZED=FALSE&amp;VAR:CALENDAR=US&amp;VAR:SYMBOL=CNQR&amp;VAR:INDEX=0"}</definedName>
    <definedName name="_3080__FDSAUDITLINK__" hidden="1">{"fdsup://directions/FAT Viewer?action=UPDATE&amp;creator=factset&amp;DYN_ARGS=TRUE&amp;DOC_NAME=FAT:FQL_AUDITING_CLIENT_TEMPLATE.FAT&amp;display_string=Audit&amp;VAR:KEY=GBGNQTYTGN&amp;VAR:QUERY=UkdGX1RBWF9SQVRFKEFOTiwwLCwsLCwsTk9BVURJVCk=&amp;WINDOW=FIRST_POPUP&amp;HEIGHT=450&amp;WIDTH=450&amp;","START_MAXIMIZED=FALSE&amp;VAR:CALENDAR=US&amp;VAR:SYMBOL=CNQR&amp;VAR:INDEX=0"}</definedName>
    <definedName name="_3081__FDSAUDITLINK__" localSheetId="3" hidden="1">{"fdsup://directions/FAT Viewer?action=UPDATE&amp;creator=factset&amp;DYN_ARGS=TRUE&amp;DOC_NAME=FAT:FQL_AUDITING_CLIENT_TEMPLATE.FAT&amp;display_string=Audit&amp;VAR:KEY=KRKFIRYNWB&amp;VAR:QUERY=UkdGX1RBWF9SQVRFKEFOTiwwLCwsLCwsTk9BVURJVCk=&amp;WINDOW=FIRST_POPUP&amp;HEIGHT=450&amp;WIDTH=450&amp;","START_MAXIMIZED=FALSE&amp;VAR:CALENDAR=US&amp;VAR:SYMBOL=SCOR&amp;VAR:INDEX=0"}</definedName>
    <definedName name="_3081__FDSAUDITLINK__" localSheetId="7" hidden="1">{"fdsup://directions/FAT Viewer?action=UPDATE&amp;creator=factset&amp;DYN_ARGS=TRUE&amp;DOC_NAME=FAT:FQL_AUDITING_CLIENT_TEMPLATE.FAT&amp;display_string=Audit&amp;VAR:KEY=KRKFIRYNWB&amp;VAR:QUERY=UkdGX1RBWF9SQVRFKEFOTiwwLCwsLCwsTk9BVURJVCk=&amp;WINDOW=FIRST_POPUP&amp;HEIGHT=450&amp;WIDTH=450&amp;","START_MAXIMIZED=FALSE&amp;VAR:CALENDAR=US&amp;VAR:SYMBOL=SCOR&amp;VAR:INDEX=0"}</definedName>
    <definedName name="_3081__FDSAUDITLINK__" hidden="1">{"fdsup://directions/FAT Viewer?action=UPDATE&amp;creator=factset&amp;DYN_ARGS=TRUE&amp;DOC_NAME=FAT:FQL_AUDITING_CLIENT_TEMPLATE.FAT&amp;display_string=Audit&amp;VAR:KEY=KRKFIRYNWB&amp;VAR:QUERY=UkdGX1RBWF9SQVRFKEFOTiwwLCwsLCwsTk9BVURJVCk=&amp;WINDOW=FIRST_POPUP&amp;HEIGHT=450&amp;WIDTH=450&amp;","START_MAXIMIZED=FALSE&amp;VAR:CALENDAR=US&amp;VAR:SYMBOL=SCOR&amp;VAR:INDEX=0"}</definedName>
    <definedName name="_3082__FDSAUDITLINK__" localSheetId="3" hidden="1">{"fdsup://directions/FAT Viewer?action=UPDATE&amp;creator=factset&amp;DYN_ARGS=TRUE&amp;DOC_NAME=FAT:FQL_AUDITING_CLIENT_TEMPLATE.FAT&amp;display_string=Audit&amp;VAR:KEY=MFIDALUPGX&amp;VAR:QUERY=UkdGX1RBWF9SQVRFKEFOTiwwLCwsLCwsTk9BVURJVCk=&amp;WINDOW=FIRST_POPUP&amp;HEIGHT=450&amp;WIDTH=450&amp;","START_MAXIMIZED=FALSE&amp;VAR:CALENDAR=US&amp;VAR:SYMBOL=CPWR&amp;VAR:INDEX=0"}</definedName>
    <definedName name="_3082__FDSAUDITLINK__" localSheetId="7" hidden="1">{"fdsup://directions/FAT Viewer?action=UPDATE&amp;creator=factset&amp;DYN_ARGS=TRUE&amp;DOC_NAME=FAT:FQL_AUDITING_CLIENT_TEMPLATE.FAT&amp;display_string=Audit&amp;VAR:KEY=MFIDALUPGX&amp;VAR:QUERY=UkdGX1RBWF9SQVRFKEFOTiwwLCwsLCwsTk9BVURJVCk=&amp;WINDOW=FIRST_POPUP&amp;HEIGHT=450&amp;WIDTH=450&amp;","START_MAXIMIZED=FALSE&amp;VAR:CALENDAR=US&amp;VAR:SYMBOL=CPWR&amp;VAR:INDEX=0"}</definedName>
    <definedName name="_3082__FDSAUDITLINK__" hidden="1">{"fdsup://directions/FAT Viewer?action=UPDATE&amp;creator=factset&amp;DYN_ARGS=TRUE&amp;DOC_NAME=FAT:FQL_AUDITING_CLIENT_TEMPLATE.FAT&amp;display_string=Audit&amp;VAR:KEY=MFIDALUPGX&amp;VAR:QUERY=UkdGX1RBWF9SQVRFKEFOTiwwLCwsLCwsTk9BVURJVCk=&amp;WINDOW=FIRST_POPUP&amp;HEIGHT=450&amp;WIDTH=450&amp;","START_MAXIMIZED=FALSE&amp;VAR:CALENDAR=US&amp;VAR:SYMBOL=CPWR&amp;VAR:INDEX=0"}</definedName>
    <definedName name="_3083__FDSAUDITLINK__" localSheetId="3" hidden="1">{"fdsup://directions/FAT Viewer?action=UPDATE&amp;creator=factset&amp;DYN_ARGS=TRUE&amp;DOC_NAME=FAT:FQL_AUDITING_CLIENT_TEMPLATE.FAT&amp;display_string=Audit&amp;VAR:KEY=MFIDALUPGX&amp;VAR:QUERY=UkdGX1RBWF9SQVRFKEFOTiwwLCwsLCwsTk9BVURJVCk=&amp;WINDOW=FIRST_POPUP&amp;HEIGHT=450&amp;WIDTH=450&amp;","START_MAXIMIZED=FALSE&amp;VAR:CALENDAR=US&amp;VAR:SYMBOL=CPWR&amp;VAR:INDEX=0"}</definedName>
    <definedName name="_3083__FDSAUDITLINK__" localSheetId="7" hidden="1">{"fdsup://directions/FAT Viewer?action=UPDATE&amp;creator=factset&amp;DYN_ARGS=TRUE&amp;DOC_NAME=FAT:FQL_AUDITING_CLIENT_TEMPLATE.FAT&amp;display_string=Audit&amp;VAR:KEY=MFIDALUPGX&amp;VAR:QUERY=UkdGX1RBWF9SQVRFKEFOTiwwLCwsLCwsTk9BVURJVCk=&amp;WINDOW=FIRST_POPUP&amp;HEIGHT=450&amp;WIDTH=450&amp;","START_MAXIMIZED=FALSE&amp;VAR:CALENDAR=US&amp;VAR:SYMBOL=CPWR&amp;VAR:INDEX=0"}</definedName>
    <definedName name="_3083__FDSAUDITLINK__" hidden="1">{"fdsup://directions/FAT Viewer?action=UPDATE&amp;creator=factset&amp;DYN_ARGS=TRUE&amp;DOC_NAME=FAT:FQL_AUDITING_CLIENT_TEMPLATE.FAT&amp;display_string=Audit&amp;VAR:KEY=MFIDALUPGX&amp;VAR:QUERY=UkdGX1RBWF9SQVRFKEFOTiwwLCwsLCwsTk9BVURJVCk=&amp;WINDOW=FIRST_POPUP&amp;HEIGHT=450&amp;WIDTH=450&amp;","START_MAXIMIZED=FALSE&amp;VAR:CALENDAR=US&amp;VAR:SYMBOL=CPWR&amp;VAR:INDEX=0"}</definedName>
    <definedName name="_3084__FDSAUDITLINK__" localSheetId="3" hidden="1">{"fdsup://directions/FAT Viewer?action=UPDATE&amp;creator=factset&amp;DYN_ARGS=TRUE&amp;DOC_NAME=FAT:FQL_AUDITING_CLIENT_TEMPLATE.FAT&amp;display_string=Audit&amp;VAR:KEY=YHAREHGRIJ&amp;VAR:QUERY=UkdGX1RBWF9SQVRFKEFOTiwwLCwsLCwsTk9BVURJVCk=&amp;WINDOW=FIRST_POPUP&amp;HEIGHT=450&amp;WIDTH=450&amp;","START_MAXIMIZED=FALSE&amp;VAR:CALENDAR=US&amp;VAR:SYMBOL=509453&amp;VAR:INDEX=0"}</definedName>
    <definedName name="_3084__FDSAUDITLINK__" localSheetId="7" hidden="1">{"fdsup://directions/FAT Viewer?action=UPDATE&amp;creator=factset&amp;DYN_ARGS=TRUE&amp;DOC_NAME=FAT:FQL_AUDITING_CLIENT_TEMPLATE.FAT&amp;display_string=Audit&amp;VAR:KEY=YHAREHGRIJ&amp;VAR:QUERY=UkdGX1RBWF9SQVRFKEFOTiwwLCwsLCwsTk9BVURJVCk=&amp;WINDOW=FIRST_POPUP&amp;HEIGHT=450&amp;WIDTH=450&amp;","START_MAXIMIZED=FALSE&amp;VAR:CALENDAR=US&amp;VAR:SYMBOL=509453&amp;VAR:INDEX=0"}</definedName>
    <definedName name="_3084__FDSAUDITLINK__" hidden="1">{"fdsup://directions/FAT Viewer?action=UPDATE&amp;creator=factset&amp;DYN_ARGS=TRUE&amp;DOC_NAME=FAT:FQL_AUDITING_CLIENT_TEMPLATE.FAT&amp;display_string=Audit&amp;VAR:KEY=YHAREHGRIJ&amp;VAR:QUERY=UkdGX1RBWF9SQVRFKEFOTiwwLCwsLCwsTk9BVURJVCk=&amp;WINDOW=FIRST_POPUP&amp;HEIGHT=450&amp;WIDTH=450&amp;","START_MAXIMIZED=FALSE&amp;VAR:CALENDAR=US&amp;VAR:SYMBOL=509453&amp;VAR:INDEX=0"}</definedName>
    <definedName name="_3085__FDSAUDITLINK__" localSheetId="3" hidden="1">{"fdsup://directions/FAT Viewer?action=UPDATE&amp;creator=factset&amp;DYN_ARGS=TRUE&amp;DOC_NAME=FAT:FQL_AUDITING_CLIENT_TEMPLATE.FAT&amp;display_string=Audit&amp;VAR:KEY=YHAREHGRIJ&amp;VAR:QUERY=UkdGX1RBWF9SQVRFKEFOTiwwLCwsLCwsTk9BVURJVCk=&amp;WINDOW=FIRST_POPUP&amp;HEIGHT=450&amp;WIDTH=450&amp;","START_MAXIMIZED=FALSE&amp;VAR:CALENDAR=US&amp;VAR:SYMBOL=509453&amp;VAR:INDEX=0"}</definedName>
    <definedName name="_3085__FDSAUDITLINK__" localSheetId="7" hidden="1">{"fdsup://directions/FAT Viewer?action=UPDATE&amp;creator=factset&amp;DYN_ARGS=TRUE&amp;DOC_NAME=FAT:FQL_AUDITING_CLIENT_TEMPLATE.FAT&amp;display_string=Audit&amp;VAR:KEY=YHAREHGRIJ&amp;VAR:QUERY=UkdGX1RBWF9SQVRFKEFOTiwwLCwsLCwsTk9BVURJVCk=&amp;WINDOW=FIRST_POPUP&amp;HEIGHT=450&amp;WIDTH=450&amp;","START_MAXIMIZED=FALSE&amp;VAR:CALENDAR=US&amp;VAR:SYMBOL=509453&amp;VAR:INDEX=0"}</definedName>
    <definedName name="_3085__FDSAUDITLINK__" hidden="1">{"fdsup://directions/FAT Viewer?action=UPDATE&amp;creator=factset&amp;DYN_ARGS=TRUE&amp;DOC_NAME=FAT:FQL_AUDITING_CLIENT_TEMPLATE.FAT&amp;display_string=Audit&amp;VAR:KEY=YHAREHGRIJ&amp;VAR:QUERY=UkdGX1RBWF9SQVRFKEFOTiwwLCwsLCwsTk9BVURJVCk=&amp;WINDOW=FIRST_POPUP&amp;HEIGHT=450&amp;WIDTH=450&amp;","START_MAXIMIZED=FALSE&amp;VAR:CALENDAR=US&amp;VAR:SYMBOL=509453&amp;VAR:INDEX=0"}</definedName>
    <definedName name="_3086__FDSAUDITLINK__" localSheetId="3" hidden="1">{"fdsup://directions/FAT Viewer?action=UPDATE&amp;creator=factset&amp;DYN_ARGS=TRUE&amp;DOC_NAME=FAT:FQL_AUDITING_CLIENT_TEMPLATE.FAT&amp;display_string=Audit&amp;VAR:KEY=QXETCHQHUV&amp;VAR:QUERY=UkdGX1RBWF9SQVRFKEFOTiwwLCwsLCwsTk9BVURJVCk=&amp;WINDOW=FIRST_POPUP&amp;HEIGHT=450&amp;WIDTH=450&amp;","START_MAXIMIZED=FALSE&amp;VAR:CALENDAR=US&amp;VAR:SYMBOL=CVLT&amp;VAR:INDEX=0"}</definedName>
    <definedName name="_3086__FDSAUDITLINK__" localSheetId="7" hidden="1">{"fdsup://directions/FAT Viewer?action=UPDATE&amp;creator=factset&amp;DYN_ARGS=TRUE&amp;DOC_NAME=FAT:FQL_AUDITING_CLIENT_TEMPLATE.FAT&amp;display_string=Audit&amp;VAR:KEY=QXETCHQHUV&amp;VAR:QUERY=UkdGX1RBWF9SQVRFKEFOTiwwLCwsLCwsTk9BVURJVCk=&amp;WINDOW=FIRST_POPUP&amp;HEIGHT=450&amp;WIDTH=450&amp;","START_MAXIMIZED=FALSE&amp;VAR:CALENDAR=US&amp;VAR:SYMBOL=CVLT&amp;VAR:INDEX=0"}</definedName>
    <definedName name="_3086__FDSAUDITLINK__" hidden="1">{"fdsup://directions/FAT Viewer?action=UPDATE&amp;creator=factset&amp;DYN_ARGS=TRUE&amp;DOC_NAME=FAT:FQL_AUDITING_CLIENT_TEMPLATE.FAT&amp;display_string=Audit&amp;VAR:KEY=QXETCHQHUV&amp;VAR:QUERY=UkdGX1RBWF9SQVRFKEFOTiwwLCwsLCwsTk9BVURJVCk=&amp;WINDOW=FIRST_POPUP&amp;HEIGHT=450&amp;WIDTH=450&amp;","START_MAXIMIZED=FALSE&amp;VAR:CALENDAR=US&amp;VAR:SYMBOL=CVLT&amp;VAR:INDEX=0"}</definedName>
    <definedName name="_3087__FDSAUDITLINK__" localSheetId="3" hidden="1">{"fdsup://directions/FAT Viewer?action=UPDATE&amp;creator=factset&amp;DYN_ARGS=TRUE&amp;DOC_NAME=FAT:FQL_AUDITING_CLIENT_TEMPLATE.FAT&amp;display_string=Audit&amp;VAR:KEY=QXETCHQHUV&amp;VAR:QUERY=UkdGX1RBWF9SQVRFKEFOTiwwLCwsLCwsTk9BVURJVCk=&amp;WINDOW=FIRST_POPUP&amp;HEIGHT=450&amp;WIDTH=450&amp;","START_MAXIMIZED=FALSE&amp;VAR:CALENDAR=US&amp;VAR:SYMBOL=CVLT&amp;VAR:INDEX=0"}</definedName>
    <definedName name="_3087__FDSAUDITLINK__" localSheetId="7" hidden="1">{"fdsup://directions/FAT Viewer?action=UPDATE&amp;creator=factset&amp;DYN_ARGS=TRUE&amp;DOC_NAME=FAT:FQL_AUDITING_CLIENT_TEMPLATE.FAT&amp;display_string=Audit&amp;VAR:KEY=QXETCHQHUV&amp;VAR:QUERY=UkdGX1RBWF9SQVRFKEFOTiwwLCwsLCwsTk9BVURJVCk=&amp;WINDOW=FIRST_POPUP&amp;HEIGHT=450&amp;WIDTH=450&amp;","START_MAXIMIZED=FALSE&amp;VAR:CALENDAR=US&amp;VAR:SYMBOL=CVLT&amp;VAR:INDEX=0"}</definedName>
    <definedName name="_3087__FDSAUDITLINK__" hidden="1">{"fdsup://directions/FAT Viewer?action=UPDATE&amp;creator=factset&amp;DYN_ARGS=TRUE&amp;DOC_NAME=FAT:FQL_AUDITING_CLIENT_TEMPLATE.FAT&amp;display_string=Audit&amp;VAR:KEY=QXETCHQHUV&amp;VAR:QUERY=UkdGX1RBWF9SQVRFKEFOTiwwLCwsLCwsTk9BVURJVCk=&amp;WINDOW=FIRST_POPUP&amp;HEIGHT=450&amp;WIDTH=450&amp;","START_MAXIMIZED=FALSE&amp;VAR:CALENDAR=US&amp;VAR:SYMBOL=CVLT&amp;VAR:INDEX=0"}</definedName>
    <definedName name="_3088__FDSAUDITLINK__" localSheetId="3" hidden="1">{"fdsup://directions/FAT Viewer?action=UPDATE&amp;creator=factset&amp;DYN_ARGS=TRUE&amp;DOC_NAME=FAT:FQL_AUDITING_CLIENT_TEMPLATE.FAT&amp;display_string=Audit&amp;VAR:KEY=MVIJWRGVAP&amp;VAR:QUERY=UkdGX1RBWF9SQVRFKEFOTiwwLCwsLCwsTk9BVURJVCk=&amp;WINDOW=FIRST_POPUP&amp;HEIGHT=450&amp;WIDTH=450&amp;","START_MAXIMIZED=FALSE&amp;VAR:CALENDAR=US&amp;VAR:SYMBOL=CTXS&amp;VAR:INDEX=0"}</definedName>
    <definedName name="_3088__FDSAUDITLINK__" localSheetId="7" hidden="1">{"fdsup://directions/FAT Viewer?action=UPDATE&amp;creator=factset&amp;DYN_ARGS=TRUE&amp;DOC_NAME=FAT:FQL_AUDITING_CLIENT_TEMPLATE.FAT&amp;display_string=Audit&amp;VAR:KEY=MVIJWRGVAP&amp;VAR:QUERY=UkdGX1RBWF9SQVRFKEFOTiwwLCwsLCwsTk9BVURJVCk=&amp;WINDOW=FIRST_POPUP&amp;HEIGHT=450&amp;WIDTH=450&amp;","START_MAXIMIZED=FALSE&amp;VAR:CALENDAR=US&amp;VAR:SYMBOL=CTXS&amp;VAR:INDEX=0"}</definedName>
    <definedName name="_3088__FDSAUDITLINK__" hidden="1">{"fdsup://directions/FAT Viewer?action=UPDATE&amp;creator=factset&amp;DYN_ARGS=TRUE&amp;DOC_NAME=FAT:FQL_AUDITING_CLIENT_TEMPLATE.FAT&amp;display_string=Audit&amp;VAR:KEY=MVIJWRGVAP&amp;VAR:QUERY=UkdGX1RBWF9SQVRFKEFOTiwwLCwsLCwsTk9BVURJVCk=&amp;WINDOW=FIRST_POPUP&amp;HEIGHT=450&amp;WIDTH=450&amp;","START_MAXIMIZED=FALSE&amp;VAR:CALENDAR=US&amp;VAR:SYMBOL=CTXS&amp;VAR:INDEX=0"}</definedName>
    <definedName name="_3089__FDSAUDITLINK__" localSheetId="3" hidden="1">{"fdsup://directions/FAT Viewer?action=UPDATE&amp;creator=factset&amp;DYN_ARGS=TRUE&amp;DOC_NAME=FAT:FQL_AUDITING_CLIENT_TEMPLATE.FAT&amp;display_string=Audit&amp;VAR:KEY=MVIJWRGVAP&amp;VAR:QUERY=UkdGX1RBWF9SQVRFKEFOTiwwLCwsLCwsTk9BVURJVCk=&amp;WINDOW=FIRST_POPUP&amp;HEIGHT=450&amp;WIDTH=450&amp;","START_MAXIMIZED=FALSE&amp;VAR:CALENDAR=US&amp;VAR:SYMBOL=CTXS&amp;VAR:INDEX=0"}</definedName>
    <definedName name="_3089__FDSAUDITLINK__" localSheetId="7" hidden="1">{"fdsup://directions/FAT Viewer?action=UPDATE&amp;creator=factset&amp;DYN_ARGS=TRUE&amp;DOC_NAME=FAT:FQL_AUDITING_CLIENT_TEMPLATE.FAT&amp;display_string=Audit&amp;VAR:KEY=MVIJWRGVAP&amp;VAR:QUERY=UkdGX1RBWF9SQVRFKEFOTiwwLCwsLCwsTk9BVURJVCk=&amp;WINDOW=FIRST_POPUP&amp;HEIGHT=450&amp;WIDTH=450&amp;","START_MAXIMIZED=FALSE&amp;VAR:CALENDAR=US&amp;VAR:SYMBOL=CTXS&amp;VAR:INDEX=0"}</definedName>
    <definedName name="_3089__FDSAUDITLINK__" hidden="1">{"fdsup://directions/FAT Viewer?action=UPDATE&amp;creator=factset&amp;DYN_ARGS=TRUE&amp;DOC_NAME=FAT:FQL_AUDITING_CLIENT_TEMPLATE.FAT&amp;display_string=Audit&amp;VAR:KEY=MVIJWRGVAP&amp;VAR:QUERY=UkdGX1RBWF9SQVRFKEFOTiwwLCwsLCwsTk9BVURJVCk=&amp;WINDOW=FIRST_POPUP&amp;HEIGHT=450&amp;WIDTH=450&amp;","START_MAXIMIZED=FALSE&amp;VAR:CALENDAR=US&amp;VAR:SYMBOL=CTXS&amp;VAR:INDEX=0"}</definedName>
    <definedName name="_3090__FDSAUDITLINK__" localSheetId="3" hidden="1">{"fdsup://directions/FAT Viewer?action=UPDATE&amp;creator=factset&amp;DYN_ARGS=TRUE&amp;DOC_NAME=FAT:FQL_AUDITING_CLIENT_TEMPLATE.FAT&amp;display_string=Audit&amp;VAR:KEY=YRUBUBUJKN&amp;VAR:QUERY=UkdGX1RBWF9SQVRFKEFOTiwwLCwsLCwsTk9BVURJVCk=&amp;WINDOW=FIRST_POPUP&amp;HEIGHT=450&amp;WIDTH=450&amp;","START_MAXIMIZED=FALSE&amp;VAR:CALENDAR=US&amp;VAR:SYMBOL=CSCO&amp;VAR:INDEX=0"}</definedName>
    <definedName name="_3090__FDSAUDITLINK__" localSheetId="7" hidden="1">{"fdsup://directions/FAT Viewer?action=UPDATE&amp;creator=factset&amp;DYN_ARGS=TRUE&amp;DOC_NAME=FAT:FQL_AUDITING_CLIENT_TEMPLATE.FAT&amp;display_string=Audit&amp;VAR:KEY=YRUBUBUJKN&amp;VAR:QUERY=UkdGX1RBWF9SQVRFKEFOTiwwLCwsLCwsTk9BVURJVCk=&amp;WINDOW=FIRST_POPUP&amp;HEIGHT=450&amp;WIDTH=450&amp;","START_MAXIMIZED=FALSE&amp;VAR:CALENDAR=US&amp;VAR:SYMBOL=CSCO&amp;VAR:INDEX=0"}</definedName>
    <definedName name="_3090__FDSAUDITLINK__" hidden="1">{"fdsup://directions/FAT Viewer?action=UPDATE&amp;creator=factset&amp;DYN_ARGS=TRUE&amp;DOC_NAME=FAT:FQL_AUDITING_CLIENT_TEMPLATE.FAT&amp;display_string=Audit&amp;VAR:KEY=YRUBUBUJKN&amp;VAR:QUERY=UkdGX1RBWF9SQVRFKEFOTiwwLCwsLCwsTk9BVURJVCk=&amp;WINDOW=FIRST_POPUP&amp;HEIGHT=450&amp;WIDTH=450&amp;","START_MAXIMIZED=FALSE&amp;VAR:CALENDAR=US&amp;VAR:SYMBOL=CSCO&amp;VAR:INDEX=0"}</definedName>
    <definedName name="_3091__FDSAUDITLINK__" localSheetId="3" hidden="1">{"fdsup://directions/FAT Viewer?action=UPDATE&amp;creator=factset&amp;DYN_ARGS=TRUE&amp;DOC_NAME=FAT:FQL_AUDITING_CLIENT_TEMPLATE.FAT&amp;display_string=Audit&amp;VAR:KEY=YRUBUBUJKN&amp;VAR:QUERY=UkdGX1RBWF9SQVRFKEFOTiwwLCwsLCwsTk9BVURJVCk=&amp;WINDOW=FIRST_POPUP&amp;HEIGHT=450&amp;WIDTH=450&amp;","START_MAXIMIZED=FALSE&amp;VAR:CALENDAR=US&amp;VAR:SYMBOL=CSCO&amp;VAR:INDEX=0"}</definedName>
    <definedName name="_3091__FDSAUDITLINK__" localSheetId="7" hidden="1">{"fdsup://directions/FAT Viewer?action=UPDATE&amp;creator=factset&amp;DYN_ARGS=TRUE&amp;DOC_NAME=FAT:FQL_AUDITING_CLIENT_TEMPLATE.FAT&amp;display_string=Audit&amp;VAR:KEY=YRUBUBUJKN&amp;VAR:QUERY=UkdGX1RBWF9SQVRFKEFOTiwwLCwsLCwsTk9BVURJVCk=&amp;WINDOW=FIRST_POPUP&amp;HEIGHT=450&amp;WIDTH=450&amp;","START_MAXIMIZED=FALSE&amp;VAR:CALENDAR=US&amp;VAR:SYMBOL=CSCO&amp;VAR:INDEX=0"}</definedName>
    <definedName name="_3091__FDSAUDITLINK__" hidden="1">{"fdsup://directions/FAT Viewer?action=UPDATE&amp;creator=factset&amp;DYN_ARGS=TRUE&amp;DOC_NAME=FAT:FQL_AUDITING_CLIENT_TEMPLATE.FAT&amp;display_string=Audit&amp;VAR:KEY=YRUBUBUJKN&amp;VAR:QUERY=UkdGX1RBWF9SQVRFKEFOTiwwLCwsLCwsTk9BVURJVCk=&amp;WINDOW=FIRST_POPUP&amp;HEIGHT=450&amp;WIDTH=450&amp;","START_MAXIMIZED=FALSE&amp;VAR:CALENDAR=US&amp;VAR:SYMBOL=CSCO&amp;VAR:INDEX=0"}</definedName>
    <definedName name="_3092__FDSAUDITLINK__" localSheetId="3" hidden="1">{"fdsup://directions/FAT Viewer?action=UPDATE&amp;creator=factset&amp;DYN_ARGS=TRUE&amp;DOC_NAME=FAT:FQL_AUDITING_CLIENT_TEMPLATE.FAT&amp;display_string=Audit&amp;VAR:KEY=CTGVQXGDWD&amp;VAR:QUERY=UkdGX1RBWF9SQVRFKEFOTiwwLCwsLCwsTk9BVURJVCk=&amp;WINDOW=FIRST_POPUP&amp;HEIGHT=450&amp;WIDTH=450&amp;","START_MAXIMIZED=FALSE&amp;VAR:CALENDAR=US&amp;VAR:SYMBOL=CSC&amp;VAR:INDEX=0"}</definedName>
    <definedName name="_3092__FDSAUDITLINK__" localSheetId="7" hidden="1">{"fdsup://directions/FAT Viewer?action=UPDATE&amp;creator=factset&amp;DYN_ARGS=TRUE&amp;DOC_NAME=FAT:FQL_AUDITING_CLIENT_TEMPLATE.FAT&amp;display_string=Audit&amp;VAR:KEY=CTGVQXGDWD&amp;VAR:QUERY=UkdGX1RBWF9SQVRFKEFOTiwwLCwsLCwsTk9BVURJVCk=&amp;WINDOW=FIRST_POPUP&amp;HEIGHT=450&amp;WIDTH=450&amp;","START_MAXIMIZED=FALSE&amp;VAR:CALENDAR=US&amp;VAR:SYMBOL=CSC&amp;VAR:INDEX=0"}</definedName>
    <definedName name="_3092__FDSAUDITLINK__" hidden="1">{"fdsup://directions/FAT Viewer?action=UPDATE&amp;creator=factset&amp;DYN_ARGS=TRUE&amp;DOC_NAME=FAT:FQL_AUDITING_CLIENT_TEMPLATE.FAT&amp;display_string=Audit&amp;VAR:KEY=CTGVQXGDWD&amp;VAR:QUERY=UkdGX1RBWF9SQVRFKEFOTiwwLCwsLCwsTk9BVURJVCk=&amp;WINDOW=FIRST_POPUP&amp;HEIGHT=450&amp;WIDTH=450&amp;","START_MAXIMIZED=FALSE&amp;VAR:CALENDAR=US&amp;VAR:SYMBOL=CSC&amp;VAR:INDEX=0"}</definedName>
    <definedName name="_3093__FDSAUDITLINK__" localSheetId="3" hidden="1">{"fdsup://directions/FAT Viewer?action=UPDATE&amp;creator=factset&amp;DYN_ARGS=TRUE&amp;DOC_NAME=FAT:FQL_AUDITING_CLIENT_TEMPLATE.FAT&amp;display_string=Audit&amp;VAR:KEY=CTGVQXGDWD&amp;VAR:QUERY=UkdGX1RBWF9SQVRFKEFOTiwwLCwsLCwsTk9BVURJVCk=&amp;WINDOW=FIRST_POPUP&amp;HEIGHT=450&amp;WIDTH=450&amp;","START_MAXIMIZED=FALSE&amp;VAR:CALENDAR=US&amp;VAR:SYMBOL=CSC&amp;VAR:INDEX=0"}</definedName>
    <definedName name="_3093__FDSAUDITLINK__" localSheetId="7" hidden="1">{"fdsup://directions/FAT Viewer?action=UPDATE&amp;creator=factset&amp;DYN_ARGS=TRUE&amp;DOC_NAME=FAT:FQL_AUDITING_CLIENT_TEMPLATE.FAT&amp;display_string=Audit&amp;VAR:KEY=CTGVQXGDWD&amp;VAR:QUERY=UkdGX1RBWF9SQVRFKEFOTiwwLCwsLCwsTk9BVURJVCk=&amp;WINDOW=FIRST_POPUP&amp;HEIGHT=450&amp;WIDTH=450&amp;","START_MAXIMIZED=FALSE&amp;VAR:CALENDAR=US&amp;VAR:SYMBOL=CSC&amp;VAR:INDEX=0"}</definedName>
    <definedName name="_3093__FDSAUDITLINK__" hidden="1">{"fdsup://directions/FAT Viewer?action=UPDATE&amp;creator=factset&amp;DYN_ARGS=TRUE&amp;DOC_NAME=FAT:FQL_AUDITING_CLIENT_TEMPLATE.FAT&amp;display_string=Audit&amp;VAR:KEY=CTGVQXGDWD&amp;VAR:QUERY=UkdGX1RBWF9SQVRFKEFOTiwwLCwsLCwsTk9BVURJVCk=&amp;WINDOW=FIRST_POPUP&amp;HEIGHT=450&amp;WIDTH=450&amp;","START_MAXIMIZED=FALSE&amp;VAR:CALENDAR=US&amp;VAR:SYMBOL=CSC&amp;VAR:INDEX=0"}</definedName>
    <definedName name="_3094__FDSAUDITLINK__" localSheetId="3" hidden="1">{"fdsup://directions/FAT Viewer?action=UPDATE&amp;creator=factset&amp;DYN_ARGS=TRUE&amp;DOC_NAME=FAT:FQL_AUDITING_CLIENT_TEMPLATE.FAT&amp;display_string=Audit&amp;VAR:KEY=QBUHCPGTYD&amp;VAR:QUERY=UkdGX1RBWF9SQVRFKEFOTiwwLCwsLCwsTk9BVURJVCk=&amp;WINDOW=FIRST_POPUP&amp;HEIGHT=450&amp;WIDTH=450&amp;","START_MAXIMIZED=FALSE&amp;VAR:CALENDAR=US&amp;VAR:SYMBOL=CHKP&amp;VAR:INDEX=0"}</definedName>
    <definedName name="_3094__FDSAUDITLINK__" localSheetId="7" hidden="1">{"fdsup://directions/FAT Viewer?action=UPDATE&amp;creator=factset&amp;DYN_ARGS=TRUE&amp;DOC_NAME=FAT:FQL_AUDITING_CLIENT_TEMPLATE.FAT&amp;display_string=Audit&amp;VAR:KEY=QBUHCPGTYD&amp;VAR:QUERY=UkdGX1RBWF9SQVRFKEFOTiwwLCwsLCwsTk9BVURJVCk=&amp;WINDOW=FIRST_POPUP&amp;HEIGHT=450&amp;WIDTH=450&amp;","START_MAXIMIZED=FALSE&amp;VAR:CALENDAR=US&amp;VAR:SYMBOL=CHKP&amp;VAR:INDEX=0"}</definedName>
    <definedName name="_3094__FDSAUDITLINK__" hidden="1">{"fdsup://directions/FAT Viewer?action=UPDATE&amp;creator=factset&amp;DYN_ARGS=TRUE&amp;DOC_NAME=FAT:FQL_AUDITING_CLIENT_TEMPLATE.FAT&amp;display_string=Audit&amp;VAR:KEY=QBUHCPGTYD&amp;VAR:QUERY=UkdGX1RBWF9SQVRFKEFOTiwwLCwsLCwsTk9BVURJVCk=&amp;WINDOW=FIRST_POPUP&amp;HEIGHT=450&amp;WIDTH=450&amp;","START_MAXIMIZED=FALSE&amp;VAR:CALENDAR=US&amp;VAR:SYMBOL=CHKP&amp;VAR:INDEX=0"}</definedName>
    <definedName name="_3095__FDSAUDITLINK__" localSheetId="3" hidden="1">{"fdsup://directions/FAT Viewer?action=UPDATE&amp;creator=factset&amp;DYN_ARGS=TRUE&amp;DOC_NAME=FAT:FQL_AUDITING_CLIENT_TEMPLATE.FAT&amp;display_string=Audit&amp;VAR:KEY=QBUHCPGTYD&amp;VAR:QUERY=UkdGX1RBWF9SQVRFKEFOTiwwLCwsLCwsTk9BVURJVCk=&amp;WINDOW=FIRST_POPUP&amp;HEIGHT=450&amp;WIDTH=450&amp;","START_MAXIMIZED=FALSE&amp;VAR:CALENDAR=US&amp;VAR:SYMBOL=CHKP&amp;VAR:INDEX=0"}</definedName>
    <definedName name="_3095__FDSAUDITLINK__" localSheetId="7" hidden="1">{"fdsup://directions/FAT Viewer?action=UPDATE&amp;creator=factset&amp;DYN_ARGS=TRUE&amp;DOC_NAME=FAT:FQL_AUDITING_CLIENT_TEMPLATE.FAT&amp;display_string=Audit&amp;VAR:KEY=QBUHCPGTYD&amp;VAR:QUERY=UkdGX1RBWF9SQVRFKEFOTiwwLCwsLCwsTk9BVURJVCk=&amp;WINDOW=FIRST_POPUP&amp;HEIGHT=450&amp;WIDTH=450&amp;","START_MAXIMIZED=FALSE&amp;VAR:CALENDAR=US&amp;VAR:SYMBOL=CHKP&amp;VAR:INDEX=0"}</definedName>
    <definedName name="_3095__FDSAUDITLINK__" hidden="1">{"fdsup://directions/FAT Viewer?action=UPDATE&amp;creator=factset&amp;DYN_ARGS=TRUE&amp;DOC_NAME=FAT:FQL_AUDITING_CLIENT_TEMPLATE.FAT&amp;display_string=Audit&amp;VAR:KEY=QBUHCPGTYD&amp;VAR:QUERY=UkdGX1RBWF9SQVRFKEFOTiwwLCwsLCwsTk9BVURJVCk=&amp;WINDOW=FIRST_POPUP&amp;HEIGHT=450&amp;WIDTH=450&amp;","START_MAXIMIZED=FALSE&amp;VAR:CALENDAR=US&amp;VAR:SYMBOL=CHKP&amp;VAR:INDEX=0"}</definedName>
    <definedName name="_3096__FDSAUDITLINK__" localSheetId="3" hidden="1">{"fdsup://directions/FAT Viewer?action=UPDATE&amp;creator=factset&amp;DYN_ARGS=TRUE&amp;DOC_NAME=FAT:FQL_AUDITING_CLIENT_TEMPLATE.FAT&amp;display_string=Audit&amp;VAR:KEY=CFUDULUPYT&amp;VAR:QUERY=UkdGX1RBWF9SQVRFKEFOTiwwLCwsLCwsTk9BVURJVCk=&amp;WINDOW=FIRST_POPUP&amp;HEIGHT=450&amp;WIDTH=450&amp;","START_MAXIMIZED=FALSE&amp;VAR:CALENDAR=US&amp;VAR:SYMBOL=CERN&amp;VAR:INDEX=0"}</definedName>
    <definedName name="_3096__FDSAUDITLINK__" localSheetId="7" hidden="1">{"fdsup://directions/FAT Viewer?action=UPDATE&amp;creator=factset&amp;DYN_ARGS=TRUE&amp;DOC_NAME=FAT:FQL_AUDITING_CLIENT_TEMPLATE.FAT&amp;display_string=Audit&amp;VAR:KEY=CFUDULUPYT&amp;VAR:QUERY=UkdGX1RBWF9SQVRFKEFOTiwwLCwsLCwsTk9BVURJVCk=&amp;WINDOW=FIRST_POPUP&amp;HEIGHT=450&amp;WIDTH=450&amp;","START_MAXIMIZED=FALSE&amp;VAR:CALENDAR=US&amp;VAR:SYMBOL=CERN&amp;VAR:INDEX=0"}</definedName>
    <definedName name="_3096__FDSAUDITLINK__" hidden="1">{"fdsup://directions/FAT Viewer?action=UPDATE&amp;creator=factset&amp;DYN_ARGS=TRUE&amp;DOC_NAME=FAT:FQL_AUDITING_CLIENT_TEMPLATE.FAT&amp;display_string=Audit&amp;VAR:KEY=CFUDULUPYT&amp;VAR:QUERY=UkdGX1RBWF9SQVRFKEFOTiwwLCwsLCwsTk9BVURJVCk=&amp;WINDOW=FIRST_POPUP&amp;HEIGHT=450&amp;WIDTH=450&amp;","START_MAXIMIZED=FALSE&amp;VAR:CALENDAR=US&amp;VAR:SYMBOL=CERN&amp;VAR:INDEX=0"}</definedName>
    <definedName name="_3097__FDSAUDITLINK__" localSheetId="3" hidden="1">{"fdsup://directions/FAT Viewer?action=UPDATE&amp;creator=factset&amp;DYN_ARGS=TRUE&amp;DOC_NAME=FAT:FQL_AUDITING_CLIENT_TEMPLATE.FAT&amp;display_string=Audit&amp;VAR:KEY=CFUDULUPYT&amp;VAR:QUERY=UkdGX1RBWF9SQVRFKEFOTiwwLCwsLCwsTk9BVURJVCk=&amp;WINDOW=FIRST_POPUP&amp;HEIGHT=450&amp;WIDTH=450&amp;","START_MAXIMIZED=FALSE&amp;VAR:CALENDAR=US&amp;VAR:SYMBOL=CERN&amp;VAR:INDEX=0"}</definedName>
    <definedName name="_3097__FDSAUDITLINK__" localSheetId="7" hidden="1">{"fdsup://directions/FAT Viewer?action=UPDATE&amp;creator=factset&amp;DYN_ARGS=TRUE&amp;DOC_NAME=FAT:FQL_AUDITING_CLIENT_TEMPLATE.FAT&amp;display_string=Audit&amp;VAR:KEY=CFUDULUPYT&amp;VAR:QUERY=UkdGX1RBWF9SQVRFKEFOTiwwLCwsLCwsTk9BVURJVCk=&amp;WINDOW=FIRST_POPUP&amp;HEIGHT=450&amp;WIDTH=450&amp;","START_MAXIMIZED=FALSE&amp;VAR:CALENDAR=US&amp;VAR:SYMBOL=CERN&amp;VAR:INDEX=0"}</definedName>
    <definedName name="_3097__FDSAUDITLINK__" hidden="1">{"fdsup://directions/FAT Viewer?action=UPDATE&amp;creator=factset&amp;DYN_ARGS=TRUE&amp;DOC_NAME=FAT:FQL_AUDITING_CLIENT_TEMPLATE.FAT&amp;display_string=Audit&amp;VAR:KEY=CFUDULUPYT&amp;VAR:QUERY=UkdGX1RBWF9SQVRFKEFOTiwwLCwsLCwsTk9BVURJVCk=&amp;WINDOW=FIRST_POPUP&amp;HEIGHT=450&amp;WIDTH=450&amp;","START_MAXIMIZED=FALSE&amp;VAR:CALENDAR=US&amp;VAR:SYMBOL=CERN&amp;VAR:INDEX=0"}</definedName>
    <definedName name="_3098__FDSAUDITLINK__" localSheetId="3" hidden="1">{"fdsup://directions/FAT Viewer?action=UPDATE&amp;creator=factset&amp;DYN_ARGS=TRUE&amp;DOC_NAME=FAT:FQL_AUDITING_CLIENT_TEMPLATE.FAT&amp;display_string=Audit&amp;VAR:KEY=SHGBGTIDSP&amp;VAR:QUERY=UkdGX1RBWF9SQVRFKEFOTiwwLCwsLCwsTk9BVURJVCk=&amp;WINDOW=FIRST_POPUP&amp;HEIGHT=450&amp;WIDTH=450&amp;","START_MAXIMIZED=FALSE&amp;VAR:CALENDAR=US&amp;VAR:SYMBOL=CHINA&amp;VAR:INDEX=0"}</definedName>
    <definedName name="_3098__FDSAUDITLINK__" localSheetId="7" hidden="1">{"fdsup://directions/FAT Viewer?action=UPDATE&amp;creator=factset&amp;DYN_ARGS=TRUE&amp;DOC_NAME=FAT:FQL_AUDITING_CLIENT_TEMPLATE.FAT&amp;display_string=Audit&amp;VAR:KEY=SHGBGTIDSP&amp;VAR:QUERY=UkdGX1RBWF9SQVRFKEFOTiwwLCwsLCwsTk9BVURJVCk=&amp;WINDOW=FIRST_POPUP&amp;HEIGHT=450&amp;WIDTH=450&amp;","START_MAXIMIZED=FALSE&amp;VAR:CALENDAR=US&amp;VAR:SYMBOL=CHINA&amp;VAR:INDEX=0"}</definedName>
    <definedName name="_3098__FDSAUDITLINK__" hidden="1">{"fdsup://directions/FAT Viewer?action=UPDATE&amp;creator=factset&amp;DYN_ARGS=TRUE&amp;DOC_NAME=FAT:FQL_AUDITING_CLIENT_TEMPLATE.FAT&amp;display_string=Audit&amp;VAR:KEY=SHGBGTIDSP&amp;VAR:QUERY=UkdGX1RBWF9SQVRFKEFOTiwwLCwsLCwsTk9BVURJVCk=&amp;WINDOW=FIRST_POPUP&amp;HEIGHT=450&amp;WIDTH=450&amp;","START_MAXIMIZED=FALSE&amp;VAR:CALENDAR=US&amp;VAR:SYMBOL=CHINA&amp;VAR:INDEX=0"}</definedName>
    <definedName name="_3099__FDSAUDITLINK__" localSheetId="3" hidden="1">{"fdsup://directions/FAT Viewer?action=UPDATE&amp;creator=factset&amp;DYN_ARGS=TRUE&amp;DOC_NAME=FAT:FQL_AUDITING_CLIENT_TEMPLATE.FAT&amp;display_string=Audit&amp;VAR:KEY=SHGBGTIDSP&amp;VAR:QUERY=UkdGX1RBWF9SQVRFKEFOTiwwLCwsLCwsTk9BVURJVCk=&amp;WINDOW=FIRST_POPUP&amp;HEIGHT=450&amp;WIDTH=450&amp;","START_MAXIMIZED=FALSE&amp;VAR:CALENDAR=US&amp;VAR:SYMBOL=CHINA&amp;VAR:INDEX=0"}</definedName>
    <definedName name="_3099__FDSAUDITLINK__" localSheetId="7" hidden="1">{"fdsup://directions/FAT Viewer?action=UPDATE&amp;creator=factset&amp;DYN_ARGS=TRUE&amp;DOC_NAME=FAT:FQL_AUDITING_CLIENT_TEMPLATE.FAT&amp;display_string=Audit&amp;VAR:KEY=SHGBGTIDSP&amp;VAR:QUERY=UkdGX1RBWF9SQVRFKEFOTiwwLCwsLCwsTk9BVURJVCk=&amp;WINDOW=FIRST_POPUP&amp;HEIGHT=450&amp;WIDTH=450&amp;","START_MAXIMIZED=FALSE&amp;VAR:CALENDAR=US&amp;VAR:SYMBOL=CHINA&amp;VAR:INDEX=0"}</definedName>
    <definedName name="_3099__FDSAUDITLINK__" hidden="1">{"fdsup://directions/FAT Viewer?action=UPDATE&amp;creator=factset&amp;DYN_ARGS=TRUE&amp;DOC_NAME=FAT:FQL_AUDITING_CLIENT_TEMPLATE.FAT&amp;display_string=Audit&amp;VAR:KEY=SHGBGTIDSP&amp;VAR:QUERY=UkdGX1RBWF9SQVRFKEFOTiwwLCwsLCwsTk9BVURJVCk=&amp;WINDOW=FIRST_POPUP&amp;HEIGHT=450&amp;WIDTH=450&amp;","START_MAXIMIZED=FALSE&amp;VAR:CALENDAR=US&amp;VAR:SYMBOL=CHINA&amp;VAR:INDEX=0"}</definedName>
    <definedName name="_31__FDSAUDITLINK__" localSheetId="3" hidden="1">{"fdsup://Directions/FactSet Auditing Viewer?action=AUDIT_VALUE&amp;DB=129&amp;ID1=B17MHG&amp;VALUEID=01001_YTD&amp;SDATE=201102&amp;PERIODTYPE=QTR_STD&amp;SCFT=3&amp;window=popup_no_bar&amp;width=385&amp;height=120&amp;START_MAXIMIZED=FALSE&amp;creator=factset&amp;display_string=Audit"}</definedName>
    <definedName name="_31__FDSAUDITLINK__" localSheetId="7" hidden="1">{"fdsup://Directions/FactSet Auditing Viewer?action=AUDIT_VALUE&amp;DB=129&amp;ID1=B17MHG&amp;VALUEID=01001_YTD&amp;SDATE=201102&amp;PERIODTYPE=QTR_STD&amp;SCFT=3&amp;window=popup_no_bar&amp;width=385&amp;height=120&amp;START_MAXIMIZED=FALSE&amp;creator=factset&amp;display_string=Audit"}</definedName>
    <definedName name="_31__FDSAUDITLINK__" hidden="1">{"fdsup://Directions/FactSet Auditing Viewer?action=AUDIT_VALUE&amp;DB=129&amp;ID1=B17MHG&amp;VALUEID=01001_YTD&amp;SDATE=201102&amp;PERIODTYPE=QTR_STD&amp;SCFT=3&amp;window=popup_no_bar&amp;width=385&amp;height=120&amp;START_MAXIMIZED=FALSE&amp;creator=factset&amp;display_string=Audit"}</definedName>
    <definedName name="_3100__FDSAUDITLINK__" localSheetId="3" hidden="1">{"fdsup://directions/FAT Viewer?action=UPDATE&amp;creator=factset&amp;DYN_ARGS=TRUE&amp;DOC_NAME=FAT:FQL_AUDITING_CLIENT_TEMPLATE.FAT&amp;display_string=Audit&amp;VAR:KEY=OBULURYJMR&amp;VAR:QUERY=UkdGX1RBWF9SQVRFKEFOTiwwLCwsLCwsTk9BVURJVCk=&amp;WINDOW=FIRST_POPUP&amp;HEIGHT=450&amp;WIDTH=450&amp;","START_MAXIMIZED=FALSE&amp;VAR:CALENDAR=US&amp;VAR:SYMBOL=CALD&amp;VAR:INDEX=0"}</definedName>
    <definedName name="_3100__FDSAUDITLINK__" localSheetId="7" hidden="1">{"fdsup://directions/FAT Viewer?action=UPDATE&amp;creator=factset&amp;DYN_ARGS=TRUE&amp;DOC_NAME=FAT:FQL_AUDITING_CLIENT_TEMPLATE.FAT&amp;display_string=Audit&amp;VAR:KEY=OBULURYJMR&amp;VAR:QUERY=UkdGX1RBWF9SQVRFKEFOTiwwLCwsLCwsTk9BVURJVCk=&amp;WINDOW=FIRST_POPUP&amp;HEIGHT=450&amp;WIDTH=450&amp;","START_MAXIMIZED=FALSE&amp;VAR:CALENDAR=US&amp;VAR:SYMBOL=CALD&amp;VAR:INDEX=0"}</definedName>
    <definedName name="_3100__FDSAUDITLINK__" hidden="1">{"fdsup://directions/FAT Viewer?action=UPDATE&amp;creator=factset&amp;DYN_ARGS=TRUE&amp;DOC_NAME=FAT:FQL_AUDITING_CLIENT_TEMPLATE.FAT&amp;display_string=Audit&amp;VAR:KEY=OBULURYJMR&amp;VAR:QUERY=UkdGX1RBWF9SQVRFKEFOTiwwLCwsLCwsTk9BVURJVCk=&amp;WINDOW=FIRST_POPUP&amp;HEIGHT=450&amp;WIDTH=450&amp;","START_MAXIMIZED=FALSE&amp;VAR:CALENDAR=US&amp;VAR:SYMBOL=CALD&amp;VAR:INDEX=0"}</definedName>
    <definedName name="_3101__FDSAUDITLINK__" localSheetId="3" hidden="1">{"fdsup://directions/FAT Viewer?action=UPDATE&amp;creator=factset&amp;DYN_ARGS=TRUE&amp;DOC_NAME=FAT:FQL_AUDITING_CLIENT_TEMPLATE.FAT&amp;display_string=Audit&amp;VAR:KEY=SVWPATUJCB&amp;VAR:QUERY=UkdGX1RBWF9SQVRFKEFOTiwwLCwsLCwsTk9BVURJVCk=&amp;WINDOW=FIRST_POPUP&amp;HEIGHT=450&amp;WIDTH=450&amp;","START_MAXIMIZED=FALSE&amp;VAR:CALENDAR=US&amp;VAR:SYMBOL=CDNS&amp;VAR:INDEX=0"}</definedName>
    <definedName name="_3101__FDSAUDITLINK__" localSheetId="7" hidden="1">{"fdsup://directions/FAT Viewer?action=UPDATE&amp;creator=factset&amp;DYN_ARGS=TRUE&amp;DOC_NAME=FAT:FQL_AUDITING_CLIENT_TEMPLATE.FAT&amp;display_string=Audit&amp;VAR:KEY=SVWPATUJCB&amp;VAR:QUERY=UkdGX1RBWF9SQVRFKEFOTiwwLCwsLCwsTk9BVURJVCk=&amp;WINDOW=FIRST_POPUP&amp;HEIGHT=450&amp;WIDTH=450&amp;","START_MAXIMIZED=FALSE&amp;VAR:CALENDAR=US&amp;VAR:SYMBOL=CDNS&amp;VAR:INDEX=0"}</definedName>
    <definedName name="_3101__FDSAUDITLINK__" hidden="1">{"fdsup://directions/FAT Viewer?action=UPDATE&amp;creator=factset&amp;DYN_ARGS=TRUE&amp;DOC_NAME=FAT:FQL_AUDITING_CLIENT_TEMPLATE.FAT&amp;display_string=Audit&amp;VAR:KEY=SVWPATUJCB&amp;VAR:QUERY=UkdGX1RBWF9SQVRFKEFOTiwwLCwsLCwsTk9BVURJVCk=&amp;WINDOW=FIRST_POPUP&amp;HEIGHT=450&amp;WIDTH=450&amp;","START_MAXIMIZED=FALSE&amp;VAR:CALENDAR=US&amp;VAR:SYMBOL=CDNS&amp;VAR:INDEX=0"}</definedName>
    <definedName name="_3102__FDSAUDITLINK__" localSheetId="3" hidden="1">{"fdsup://directions/FAT Viewer?action=UPDATE&amp;creator=factset&amp;DYN_ARGS=TRUE&amp;DOC_NAME=FAT:FQL_AUDITING_CLIENT_TEMPLATE.FAT&amp;display_string=Audit&amp;VAR:KEY=UHMBKBKTMX&amp;VAR:QUERY=UkdGX1RBWF9SQVRFKEFOTiwwLCwsLCwsTk9BVURJVCk=&amp;WINDOW=FIRST_POPUP&amp;HEIGHT=450&amp;WIDTH=450&amp;","START_MAXIMIZED=FALSE&amp;VAR:CALENDAR=US&amp;VAR:SYMBOL=CA&amp;VAR:INDEX=0"}</definedName>
    <definedName name="_3102__FDSAUDITLINK__" localSheetId="7" hidden="1">{"fdsup://directions/FAT Viewer?action=UPDATE&amp;creator=factset&amp;DYN_ARGS=TRUE&amp;DOC_NAME=FAT:FQL_AUDITING_CLIENT_TEMPLATE.FAT&amp;display_string=Audit&amp;VAR:KEY=UHMBKBKTMX&amp;VAR:QUERY=UkdGX1RBWF9SQVRFKEFOTiwwLCwsLCwsTk9BVURJVCk=&amp;WINDOW=FIRST_POPUP&amp;HEIGHT=450&amp;WIDTH=450&amp;","START_MAXIMIZED=FALSE&amp;VAR:CALENDAR=US&amp;VAR:SYMBOL=CA&amp;VAR:INDEX=0"}</definedName>
    <definedName name="_3102__FDSAUDITLINK__" hidden="1">{"fdsup://directions/FAT Viewer?action=UPDATE&amp;creator=factset&amp;DYN_ARGS=TRUE&amp;DOC_NAME=FAT:FQL_AUDITING_CLIENT_TEMPLATE.FAT&amp;display_string=Audit&amp;VAR:KEY=UHMBKBKTMX&amp;VAR:QUERY=UkdGX1RBWF9SQVRFKEFOTiwwLCwsLCwsTk9BVURJVCk=&amp;WINDOW=FIRST_POPUP&amp;HEIGHT=450&amp;WIDTH=450&amp;","START_MAXIMIZED=FALSE&amp;VAR:CALENDAR=US&amp;VAR:SYMBOL=CA&amp;VAR:INDEX=0"}</definedName>
    <definedName name="_3103__FDSAUDITLINK__" localSheetId="3" hidden="1">{"fdsup://directions/FAT Viewer?action=UPDATE&amp;creator=factset&amp;DYN_ARGS=TRUE&amp;DOC_NAME=FAT:FQL_AUDITING_CLIENT_TEMPLATE.FAT&amp;display_string=Audit&amp;VAR:KEY=UHMBKBKTMX&amp;VAR:QUERY=UkdGX1RBWF9SQVRFKEFOTiwwLCwsLCwsTk9BVURJVCk=&amp;WINDOW=FIRST_POPUP&amp;HEIGHT=450&amp;WIDTH=450&amp;","START_MAXIMIZED=FALSE&amp;VAR:CALENDAR=US&amp;VAR:SYMBOL=CA&amp;VAR:INDEX=0"}</definedName>
    <definedName name="_3103__FDSAUDITLINK__" localSheetId="7" hidden="1">{"fdsup://directions/FAT Viewer?action=UPDATE&amp;creator=factset&amp;DYN_ARGS=TRUE&amp;DOC_NAME=FAT:FQL_AUDITING_CLIENT_TEMPLATE.FAT&amp;display_string=Audit&amp;VAR:KEY=UHMBKBKTMX&amp;VAR:QUERY=UkdGX1RBWF9SQVRFKEFOTiwwLCwsLCwsTk9BVURJVCk=&amp;WINDOW=FIRST_POPUP&amp;HEIGHT=450&amp;WIDTH=450&amp;","START_MAXIMIZED=FALSE&amp;VAR:CALENDAR=US&amp;VAR:SYMBOL=CA&amp;VAR:INDEX=0"}</definedName>
    <definedName name="_3103__FDSAUDITLINK__" hidden="1">{"fdsup://directions/FAT Viewer?action=UPDATE&amp;creator=factset&amp;DYN_ARGS=TRUE&amp;DOC_NAME=FAT:FQL_AUDITING_CLIENT_TEMPLATE.FAT&amp;display_string=Audit&amp;VAR:KEY=UHMBKBKTMX&amp;VAR:QUERY=UkdGX1RBWF9SQVRFKEFOTiwwLCwsLCwsTk9BVURJVCk=&amp;WINDOW=FIRST_POPUP&amp;HEIGHT=450&amp;WIDTH=450&amp;","START_MAXIMIZED=FALSE&amp;VAR:CALENDAR=US&amp;VAR:SYMBOL=CA&amp;VAR:INDEX=0"}</definedName>
    <definedName name="_3104__FDSAUDITLINK__" localSheetId="3" hidden="1">{"fdsup://directions/FAT Viewer?action=UPDATE&amp;creator=factset&amp;DYN_ARGS=TRUE&amp;DOC_NAME=FAT:FQL_AUDITING_CLIENT_TEMPLATE.FAT&amp;display_string=Audit&amp;VAR:KEY=GVMBCTMRUJ&amp;VAR:QUERY=UkdGX1RBWF9SQVRFKEFOTiwwLCwsLCwsTk9BVURJVCk=&amp;WINDOW=FIRST_POPUP&amp;HEIGHT=450&amp;WIDTH=450&amp;","START_MAXIMIZED=FALSE&amp;VAR:CALENDAR=US&amp;VAR:SYMBOL=BVSN&amp;VAR:INDEX=0"}</definedName>
    <definedName name="_3104__FDSAUDITLINK__" localSheetId="7" hidden="1">{"fdsup://directions/FAT Viewer?action=UPDATE&amp;creator=factset&amp;DYN_ARGS=TRUE&amp;DOC_NAME=FAT:FQL_AUDITING_CLIENT_TEMPLATE.FAT&amp;display_string=Audit&amp;VAR:KEY=GVMBCTMRUJ&amp;VAR:QUERY=UkdGX1RBWF9SQVRFKEFOTiwwLCwsLCwsTk9BVURJVCk=&amp;WINDOW=FIRST_POPUP&amp;HEIGHT=450&amp;WIDTH=450&amp;","START_MAXIMIZED=FALSE&amp;VAR:CALENDAR=US&amp;VAR:SYMBOL=BVSN&amp;VAR:INDEX=0"}</definedName>
    <definedName name="_3104__FDSAUDITLINK__" hidden="1">{"fdsup://directions/FAT Viewer?action=UPDATE&amp;creator=factset&amp;DYN_ARGS=TRUE&amp;DOC_NAME=FAT:FQL_AUDITING_CLIENT_TEMPLATE.FAT&amp;display_string=Audit&amp;VAR:KEY=GVMBCTMRUJ&amp;VAR:QUERY=UkdGX1RBWF9SQVRFKEFOTiwwLCwsLCwsTk9BVURJVCk=&amp;WINDOW=FIRST_POPUP&amp;HEIGHT=450&amp;WIDTH=450&amp;","START_MAXIMIZED=FALSE&amp;VAR:CALENDAR=US&amp;VAR:SYMBOL=BVSN&amp;VAR:INDEX=0"}</definedName>
    <definedName name="_3105__FDSAUDITLINK__" localSheetId="3" hidden="1">{"fdsup://directions/FAT Viewer?action=UPDATE&amp;creator=factset&amp;DYN_ARGS=TRUE&amp;DOC_NAME=FAT:FQL_AUDITING_CLIENT_TEMPLATE.FAT&amp;display_string=Audit&amp;VAR:KEY=ONKJYHGRMN&amp;VAR:QUERY=UkdGX1RBWF9SQVRFKEFOTiwwLCwsLCwsTk9BVURJVCk=&amp;WINDOW=FIRST_POPUP&amp;HEIGHT=450&amp;WIDTH=450&amp;","START_MAXIMIZED=FALSE&amp;VAR:CALENDAR=US&amp;VAR:SYMBOL=BSFT&amp;VAR:INDEX=0"}</definedName>
    <definedName name="_3105__FDSAUDITLINK__" localSheetId="7" hidden="1">{"fdsup://directions/FAT Viewer?action=UPDATE&amp;creator=factset&amp;DYN_ARGS=TRUE&amp;DOC_NAME=FAT:FQL_AUDITING_CLIENT_TEMPLATE.FAT&amp;display_string=Audit&amp;VAR:KEY=ONKJYHGRMN&amp;VAR:QUERY=UkdGX1RBWF9SQVRFKEFOTiwwLCwsLCwsTk9BVURJVCk=&amp;WINDOW=FIRST_POPUP&amp;HEIGHT=450&amp;WIDTH=450&amp;","START_MAXIMIZED=FALSE&amp;VAR:CALENDAR=US&amp;VAR:SYMBOL=BSFT&amp;VAR:INDEX=0"}</definedName>
    <definedName name="_3105__FDSAUDITLINK__" hidden="1">{"fdsup://directions/FAT Viewer?action=UPDATE&amp;creator=factset&amp;DYN_ARGS=TRUE&amp;DOC_NAME=FAT:FQL_AUDITING_CLIENT_TEMPLATE.FAT&amp;display_string=Audit&amp;VAR:KEY=ONKJYHGRMN&amp;VAR:QUERY=UkdGX1RBWF9SQVRFKEFOTiwwLCwsLCwsTk9BVURJVCk=&amp;WINDOW=FIRST_POPUP&amp;HEIGHT=450&amp;WIDTH=450&amp;","START_MAXIMIZED=FALSE&amp;VAR:CALENDAR=US&amp;VAR:SYMBOL=BSFT&amp;VAR:INDEX=0"}</definedName>
    <definedName name="_3106__FDSAUDITLINK__" localSheetId="3" hidden="1">{"fdsup://directions/FAT Viewer?action=UPDATE&amp;creator=factset&amp;DYN_ARGS=TRUE&amp;DOC_NAME=FAT:FQL_AUDITING_CLIENT_TEMPLATE.FAT&amp;display_string=Audit&amp;VAR:KEY=ONKJYHGRMN&amp;VAR:QUERY=UkdGX1RBWF9SQVRFKEFOTiwwLCwsLCwsTk9BVURJVCk=&amp;WINDOW=FIRST_POPUP&amp;HEIGHT=450&amp;WIDTH=450&amp;","START_MAXIMIZED=FALSE&amp;VAR:CALENDAR=US&amp;VAR:SYMBOL=BSFT&amp;VAR:INDEX=0"}</definedName>
    <definedName name="_3106__FDSAUDITLINK__" localSheetId="7" hidden="1">{"fdsup://directions/FAT Viewer?action=UPDATE&amp;creator=factset&amp;DYN_ARGS=TRUE&amp;DOC_NAME=FAT:FQL_AUDITING_CLIENT_TEMPLATE.FAT&amp;display_string=Audit&amp;VAR:KEY=ONKJYHGRMN&amp;VAR:QUERY=UkdGX1RBWF9SQVRFKEFOTiwwLCwsLCwsTk9BVURJVCk=&amp;WINDOW=FIRST_POPUP&amp;HEIGHT=450&amp;WIDTH=450&amp;","START_MAXIMIZED=FALSE&amp;VAR:CALENDAR=US&amp;VAR:SYMBOL=BSFT&amp;VAR:INDEX=0"}</definedName>
    <definedName name="_3106__FDSAUDITLINK__" hidden="1">{"fdsup://directions/FAT Viewer?action=UPDATE&amp;creator=factset&amp;DYN_ARGS=TRUE&amp;DOC_NAME=FAT:FQL_AUDITING_CLIENT_TEMPLATE.FAT&amp;display_string=Audit&amp;VAR:KEY=ONKJYHGRMN&amp;VAR:QUERY=UkdGX1RBWF9SQVRFKEFOTiwwLCwsLCwsTk9BVURJVCk=&amp;WINDOW=FIRST_POPUP&amp;HEIGHT=450&amp;WIDTH=450&amp;","START_MAXIMIZED=FALSE&amp;VAR:CALENDAR=US&amp;VAR:SYMBOL=BSFT&amp;VAR:INDEX=0"}</definedName>
    <definedName name="_3107__FDSAUDITLINK__" localSheetId="3" hidden="1">{"fdsup://directions/FAT Viewer?action=UPDATE&amp;creator=factset&amp;DYN_ARGS=TRUE&amp;DOC_NAME=FAT:FQL_AUDITING_CLIENT_TEMPLATE.FAT&amp;display_string=Audit&amp;VAR:KEY=KNWZSBMPUP&amp;VAR:QUERY=UkdGX1RBWF9SQVRFKEFOTiwwLCwsLCwsTk9BVURJVCk=&amp;WINDOW=FIRST_POPUP&amp;HEIGHT=450&amp;WIDTH=450&amp;","START_MAXIMIZED=FALSE&amp;VAR:CALENDAR=US&amp;VAR:SYMBOL=BMC&amp;VAR:INDEX=0"}</definedName>
    <definedName name="_3107__FDSAUDITLINK__" localSheetId="7" hidden="1">{"fdsup://directions/FAT Viewer?action=UPDATE&amp;creator=factset&amp;DYN_ARGS=TRUE&amp;DOC_NAME=FAT:FQL_AUDITING_CLIENT_TEMPLATE.FAT&amp;display_string=Audit&amp;VAR:KEY=KNWZSBMPUP&amp;VAR:QUERY=UkdGX1RBWF9SQVRFKEFOTiwwLCwsLCwsTk9BVURJVCk=&amp;WINDOW=FIRST_POPUP&amp;HEIGHT=450&amp;WIDTH=450&amp;","START_MAXIMIZED=FALSE&amp;VAR:CALENDAR=US&amp;VAR:SYMBOL=BMC&amp;VAR:INDEX=0"}</definedName>
    <definedName name="_3107__FDSAUDITLINK__" hidden="1">{"fdsup://directions/FAT Viewer?action=UPDATE&amp;creator=factset&amp;DYN_ARGS=TRUE&amp;DOC_NAME=FAT:FQL_AUDITING_CLIENT_TEMPLATE.FAT&amp;display_string=Audit&amp;VAR:KEY=KNWZSBMPUP&amp;VAR:QUERY=UkdGX1RBWF9SQVRFKEFOTiwwLCwsLCwsTk9BVURJVCk=&amp;WINDOW=FIRST_POPUP&amp;HEIGHT=450&amp;WIDTH=450&amp;","START_MAXIMIZED=FALSE&amp;VAR:CALENDAR=US&amp;VAR:SYMBOL=BMC&amp;VAR:INDEX=0"}</definedName>
    <definedName name="_3108__FDSAUDITLINK__" localSheetId="3" hidden="1">{"fdsup://directions/FAT Viewer?action=UPDATE&amp;creator=factset&amp;DYN_ARGS=TRUE&amp;DOC_NAME=FAT:FQL_AUDITING_CLIENT_TEMPLATE.FAT&amp;display_string=Audit&amp;VAR:KEY=KNWZSBMPUP&amp;VAR:QUERY=UkdGX1RBWF9SQVRFKEFOTiwwLCwsLCwsTk9BVURJVCk=&amp;WINDOW=FIRST_POPUP&amp;HEIGHT=450&amp;WIDTH=450&amp;","START_MAXIMIZED=FALSE&amp;VAR:CALENDAR=US&amp;VAR:SYMBOL=BMC&amp;VAR:INDEX=0"}</definedName>
    <definedName name="_3108__FDSAUDITLINK__" localSheetId="7" hidden="1">{"fdsup://directions/FAT Viewer?action=UPDATE&amp;creator=factset&amp;DYN_ARGS=TRUE&amp;DOC_NAME=FAT:FQL_AUDITING_CLIENT_TEMPLATE.FAT&amp;display_string=Audit&amp;VAR:KEY=KNWZSBMPUP&amp;VAR:QUERY=UkdGX1RBWF9SQVRFKEFOTiwwLCwsLCwsTk9BVURJVCk=&amp;WINDOW=FIRST_POPUP&amp;HEIGHT=450&amp;WIDTH=450&amp;","START_MAXIMIZED=FALSE&amp;VAR:CALENDAR=US&amp;VAR:SYMBOL=BMC&amp;VAR:INDEX=0"}</definedName>
    <definedName name="_3108__FDSAUDITLINK__" hidden="1">{"fdsup://directions/FAT Viewer?action=UPDATE&amp;creator=factset&amp;DYN_ARGS=TRUE&amp;DOC_NAME=FAT:FQL_AUDITING_CLIENT_TEMPLATE.FAT&amp;display_string=Audit&amp;VAR:KEY=KNWZSBMPUP&amp;VAR:QUERY=UkdGX1RBWF9SQVRFKEFOTiwwLCwsLCwsTk9BVURJVCk=&amp;WINDOW=FIRST_POPUP&amp;HEIGHT=450&amp;WIDTH=450&amp;","START_MAXIMIZED=FALSE&amp;VAR:CALENDAR=US&amp;VAR:SYMBOL=BMC&amp;VAR:INDEX=0"}</definedName>
    <definedName name="_3109__FDSAUDITLINK__" localSheetId="3" hidden="1">{"fdsup://directions/FAT Viewer?action=UPDATE&amp;creator=factset&amp;DYN_ARGS=TRUE&amp;DOC_NAME=FAT:FQL_AUDITING_CLIENT_TEMPLATE.FAT&amp;display_string=Audit&amp;VAR:KEY=ALMDYDCZCX&amp;VAR:QUERY=UkdGX1RBWF9SQVRFKEFOTiwwLCwsLCwsTk9BVURJVCk=&amp;WINDOW=FIRST_POPUP&amp;HEIGHT=450&amp;WIDTH=450&amp;","START_MAXIMIZED=FALSE&amp;VAR:CALENDAR=US&amp;VAR:SYMBOL=BCSI&amp;VAR:INDEX=0"}</definedName>
    <definedName name="_3109__FDSAUDITLINK__" localSheetId="7" hidden="1">{"fdsup://directions/FAT Viewer?action=UPDATE&amp;creator=factset&amp;DYN_ARGS=TRUE&amp;DOC_NAME=FAT:FQL_AUDITING_CLIENT_TEMPLATE.FAT&amp;display_string=Audit&amp;VAR:KEY=ALMDYDCZCX&amp;VAR:QUERY=UkdGX1RBWF9SQVRFKEFOTiwwLCwsLCwsTk9BVURJVCk=&amp;WINDOW=FIRST_POPUP&amp;HEIGHT=450&amp;WIDTH=450&amp;","START_MAXIMIZED=FALSE&amp;VAR:CALENDAR=US&amp;VAR:SYMBOL=BCSI&amp;VAR:INDEX=0"}</definedName>
    <definedName name="_3109__FDSAUDITLINK__" hidden="1">{"fdsup://directions/FAT Viewer?action=UPDATE&amp;creator=factset&amp;DYN_ARGS=TRUE&amp;DOC_NAME=FAT:FQL_AUDITING_CLIENT_TEMPLATE.FAT&amp;display_string=Audit&amp;VAR:KEY=ALMDYDCZCX&amp;VAR:QUERY=UkdGX1RBWF9SQVRFKEFOTiwwLCwsLCwsTk9BVURJVCk=&amp;WINDOW=FIRST_POPUP&amp;HEIGHT=450&amp;WIDTH=450&amp;","START_MAXIMIZED=FALSE&amp;VAR:CALENDAR=US&amp;VAR:SYMBOL=BCSI&amp;VAR:INDEX=0"}</definedName>
    <definedName name="_3110__FDSAUDITLINK__" localSheetId="3" hidden="1">{"fdsup://directions/FAT Viewer?action=UPDATE&amp;creator=factset&amp;DYN_ARGS=TRUE&amp;DOC_NAME=FAT:FQL_AUDITING_CLIENT_TEMPLATE.FAT&amp;display_string=Audit&amp;VAR:KEY=ALMDYDCZCX&amp;VAR:QUERY=UkdGX1RBWF9SQVRFKEFOTiwwLCwsLCwsTk9BVURJVCk=&amp;WINDOW=FIRST_POPUP&amp;HEIGHT=450&amp;WIDTH=450&amp;","START_MAXIMIZED=FALSE&amp;VAR:CALENDAR=US&amp;VAR:SYMBOL=BCSI&amp;VAR:INDEX=0"}</definedName>
    <definedName name="_3110__FDSAUDITLINK__" localSheetId="7" hidden="1">{"fdsup://directions/FAT Viewer?action=UPDATE&amp;creator=factset&amp;DYN_ARGS=TRUE&amp;DOC_NAME=FAT:FQL_AUDITING_CLIENT_TEMPLATE.FAT&amp;display_string=Audit&amp;VAR:KEY=ALMDYDCZCX&amp;VAR:QUERY=UkdGX1RBWF9SQVRFKEFOTiwwLCwsLCwsTk9BVURJVCk=&amp;WINDOW=FIRST_POPUP&amp;HEIGHT=450&amp;WIDTH=450&amp;","START_MAXIMIZED=FALSE&amp;VAR:CALENDAR=US&amp;VAR:SYMBOL=BCSI&amp;VAR:INDEX=0"}</definedName>
    <definedName name="_3110__FDSAUDITLINK__" hidden="1">{"fdsup://directions/FAT Viewer?action=UPDATE&amp;creator=factset&amp;DYN_ARGS=TRUE&amp;DOC_NAME=FAT:FQL_AUDITING_CLIENT_TEMPLATE.FAT&amp;display_string=Audit&amp;VAR:KEY=ALMDYDCZCX&amp;VAR:QUERY=UkdGX1RBWF9SQVRFKEFOTiwwLCwsLCwsTk9BVURJVCk=&amp;WINDOW=FIRST_POPUP&amp;HEIGHT=450&amp;WIDTH=450&amp;","START_MAXIMIZED=FALSE&amp;VAR:CALENDAR=US&amp;VAR:SYMBOL=BCSI&amp;VAR:INDEX=0"}</definedName>
    <definedName name="_3111__FDSAUDITLINK__" localSheetId="3" hidden="1">{"fdsup://directions/FAT Viewer?action=UPDATE&amp;creator=factset&amp;DYN_ARGS=TRUE&amp;DOC_NAME=FAT:FQL_AUDITING_CLIENT_TEMPLATE.FAT&amp;display_string=Audit&amp;VAR:KEY=KNUDIZUXKJ&amp;VAR:QUERY=UkdGX1RBWF9SQVRFKEFOTiwwLCwsLCwsTk9BVURJVCk=&amp;WINDOW=FIRST_POPUP&amp;HEIGHT=450&amp;WIDTH=450&amp;","START_MAXIMIZED=FALSE&amp;VAR:CALENDAR=US&amp;VAR:SYMBOL=BBBB&amp;VAR:INDEX=0"}</definedName>
    <definedName name="_3111__FDSAUDITLINK__" localSheetId="7" hidden="1">{"fdsup://directions/FAT Viewer?action=UPDATE&amp;creator=factset&amp;DYN_ARGS=TRUE&amp;DOC_NAME=FAT:FQL_AUDITING_CLIENT_TEMPLATE.FAT&amp;display_string=Audit&amp;VAR:KEY=KNUDIZUXKJ&amp;VAR:QUERY=UkdGX1RBWF9SQVRFKEFOTiwwLCwsLCwsTk9BVURJVCk=&amp;WINDOW=FIRST_POPUP&amp;HEIGHT=450&amp;WIDTH=450&amp;","START_MAXIMIZED=FALSE&amp;VAR:CALENDAR=US&amp;VAR:SYMBOL=BBBB&amp;VAR:INDEX=0"}</definedName>
    <definedName name="_3111__FDSAUDITLINK__" hidden="1">{"fdsup://directions/FAT Viewer?action=UPDATE&amp;creator=factset&amp;DYN_ARGS=TRUE&amp;DOC_NAME=FAT:FQL_AUDITING_CLIENT_TEMPLATE.FAT&amp;display_string=Audit&amp;VAR:KEY=KNUDIZUXKJ&amp;VAR:QUERY=UkdGX1RBWF9SQVRFKEFOTiwwLCwsLCwsTk9BVURJVCk=&amp;WINDOW=FIRST_POPUP&amp;HEIGHT=450&amp;WIDTH=450&amp;","START_MAXIMIZED=FALSE&amp;VAR:CALENDAR=US&amp;VAR:SYMBOL=BBBB&amp;VAR:INDEX=0"}</definedName>
    <definedName name="_3112__FDSAUDITLINK__" localSheetId="3" hidden="1">{"fdsup://directions/FAT Viewer?action=UPDATE&amp;creator=factset&amp;DYN_ARGS=TRUE&amp;DOC_NAME=FAT:FQL_AUDITING_CLIENT_TEMPLATE.FAT&amp;display_string=Audit&amp;VAR:KEY=KNUDIZUXKJ&amp;VAR:QUERY=UkdGX1RBWF9SQVRFKEFOTiwwLCwsLCwsTk9BVURJVCk=&amp;WINDOW=FIRST_POPUP&amp;HEIGHT=450&amp;WIDTH=450&amp;","START_MAXIMIZED=FALSE&amp;VAR:CALENDAR=US&amp;VAR:SYMBOL=BBBB&amp;VAR:INDEX=0"}</definedName>
    <definedName name="_3112__FDSAUDITLINK__" localSheetId="7" hidden="1">{"fdsup://directions/FAT Viewer?action=UPDATE&amp;creator=factset&amp;DYN_ARGS=TRUE&amp;DOC_NAME=FAT:FQL_AUDITING_CLIENT_TEMPLATE.FAT&amp;display_string=Audit&amp;VAR:KEY=KNUDIZUXKJ&amp;VAR:QUERY=UkdGX1RBWF9SQVRFKEFOTiwwLCwsLCwsTk9BVURJVCk=&amp;WINDOW=FIRST_POPUP&amp;HEIGHT=450&amp;WIDTH=450&amp;","START_MAXIMIZED=FALSE&amp;VAR:CALENDAR=US&amp;VAR:SYMBOL=BBBB&amp;VAR:INDEX=0"}</definedName>
    <definedName name="_3112__FDSAUDITLINK__" hidden="1">{"fdsup://directions/FAT Viewer?action=UPDATE&amp;creator=factset&amp;DYN_ARGS=TRUE&amp;DOC_NAME=FAT:FQL_AUDITING_CLIENT_TEMPLATE.FAT&amp;display_string=Audit&amp;VAR:KEY=KNUDIZUXKJ&amp;VAR:QUERY=UkdGX1RBWF9SQVRFKEFOTiwwLCwsLCwsTk9BVURJVCk=&amp;WINDOW=FIRST_POPUP&amp;HEIGHT=450&amp;WIDTH=450&amp;","START_MAXIMIZED=FALSE&amp;VAR:CALENDAR=US&amp;VAR:SYMBOL=BBBB&amp;VAR:INDEX=0"}</definedName>
    <definedName name="_3113__FDSAUDITLINK__" localSheetId="3" hidden="1">{"fdsup://directions/FAT Viewer?action=UPDATE&amp;creator=factset&amp;DYN_ARGS=TRUE&amp;DOC_NAME=FAT:FQL_AUDITING_CLIENT_TEMPLATE.FAT&amp;display_string=Audit&amp;VAR:KEY=ENQVMPWJMB&amp;VAR:QUERY=UkdGX1RBWF9SQVRFKEFOTiwwLCwsLCwsTk9BVURJVCk=&amp;WINDOW=FIRST_POPUP&amp;HEIGHT=450&amp;WIDTH=450&amp;","START_MAXIMIZED=FALSE&amp;VAR:CALENDAR=US&amp;VAR:SYMBOL=BLKB&amp;VAR:INDEX=0"}</definedName>
    <definedName name="_3113__FDSAUDITLINK__" localSheetId="7" hidden="1">{"fdsup://directions/FAT Viewer?action=UPDATE&amp;creator=factset&amp;DYN_ARGS=TRUE&amp;DOC_NAME=FAT:FQL_AUDITING_CLIENT_TEMPLATE.FAT&amp;display_string=Audit&amp;VAR:KEY=ENQVMPWJMB&amp;VAR:QUERY=UkdGX1RBWF9SQVRFKEFOTiwwLCwsLCwsTk9BVURJVCk=&amp;WINDOW=FIRST_POPUP&amp;HEIGHT=450&amp;WIDTH=450&amp;","START_MAXIMIZED=FALSE&amp;VAR:CALENDAR=US&amp;VAR:SYMBOL=BLKB&amp;VAR:INDEX=0"}</definedName>
    <definedName name="_3113__FDSAUDITLINK__" hidden="1">{"fdsup://directions/FAT Viewer?action=UPDATE&amp;creator=factset&amp;DYN_ARGS=TRUE&amp;DOC_NAME=FAT:FQL_AUDITING_CLIENT_TEMPLATE.FAT&amp;display_string=Audit&amp;VAR:KEY=ENQVMPWJMB&amp;VAR:QUERY=UkdGX1RBWF9SQVRFKEFOTiwwLCwsLCwsTk9BVURJVCk=&amp;WINDOW=FIRST_POPUP&amp;HEIGHT=450&amp;WIDTH=450&amp;","START_MAXIMIZED=FALSE&amp;VAR:CALENDAR=US&amp;VAR:SYMBOL=BLKB&amp;VAR:INDEX=0"}</definedName>
    <definedName name="_3114__FDSAUDITLINK__" localSheetId="3" hidden="1">{"fdsup://directions/FAT Viewer?action=UPDATE&amp;creator=factset&amp;DYN_ARGS=TRUE&amp;DOC_NAME=FAT:FQL_AUDITING_CLIENT_TEMPLATE.FAT&amp;display_string=Audit&amp;VAR:KEY=ENQVMPWJMB&amp;VAR:QUERY=UkdGX1RBWF9SQVRFKEFOTiwwLCwsLCwsTk9BVURJVCk=&amp;WINDOW=FIRST_POPUP&amp;HEIGHT=450&amp;WIDTH=450&amp;","START_MAXIMIZED=FALSE&amp;VAR:CALENDAR=US&amp;VAR:SYMBOL=BLKB&amp;VAR:INDEX=0"}</definedName>
    <definedName name="_3114__FDSAUDITLINK__" localSheetId="7" hidden="1">{"fdsup://directions/FAT Viewer?action=UPDATE&amp;creator=factset&amp;DYN_ARGS=TRUE&amp;DOC_NAME=FAT:FQL_AUDITING_CLIENT_TEMPLATE.FAT&amp;display_string=Audit&amp;VAR:KEY=ENQVMPWJMB&amp;VAR:QUERY=UkdGX1RBWF9SQVRFKEFOTiwwLCwsLCwsTk9BVURJVCk=&amp;WINDOW=FIRST_POPUP&amp;HEIGHT=450&amp;WIDTH=450&amp;","START_MAXIMIZED=FALSE&amp;VAR:CALENDAR=US&amp;VAR:SYMBOL=BLKB&amp;VAR:INDEX=0"}</definedName>
    <definedName name="_3114__FDSAUDITLINK__" hidden="1">{"fdsup://directions/FAT Viewer?action=UPDATE&amp;creator=factset&amp;DYN_ARGS=TRUE&amp;DOC_NAME=FAT:FQL_AUDITING_CLIENT_TEMPLATE.FAT&amp;display_string=Audit&amp;VAR:KEY=ENQVMPWJMB&amp;VAR:QUERY=UkdGX1RBWF9SQVRFKEFOTiwwLCwsLCwsTk9BVURJVCk=&amp;WINDOW=FIRST_POPUP&amp;HEIGHT=450&amp;WIDTH=450&amp;","START_MAXIMIZED=FALSE&amp;VAR:CALENDAR=US&amp;VAR:SYMBOL=BLKB&amp;VAR:INDEX=0"}</definedName>
    <definedName name="_3115__FDSAUDITLINK__" localSheetId="3" hidden="1">{"fdsup://directions/FAT Viewer?action=UPDATE&amp;creator=factset&amp;DYN_ARGS=TRUE&amp;DOC_NAME=FAT:FQL_AUDITING_CLIENT_TEMPLATE.FAT&amp;display_string=Audit&amp;VAR:KEY=CDAVAJANQX&amp;VAR:QUERY=UkdGX1RBWF9SQVRFKEFOTiwwLCwsLCwsTk9BVURJVCk=&amp;WINDOW=FIRST_POPUP&amp;HEIGHT=450&amp;WIDTH=450&amp;","START_MAXIMIZED=FALSE&amp;VAR:CALENDAR=US&amp;VAR:SYMBOL=586161&amp;VAR:INDEX=0"}</definedName>
    <definedName name="_3115__FDSAUDITLINK__" localSheetId="7" hidden="1">{"fdsup://directions/FAT Viewer?action=UPDATE&amp;creator=factset&amp;DYN_ARGS=TRUE&amp;DOC_NAME=FAT:FQL_AUDITING_CLIENT_TEMPLATE.FAT&amp;display_string=Audit&amp;VAR:KEY=CDAVAJANQX&amp;VAR:QUERY=UkdGX1RBWF9SQVRFKEFOTiwwLCwsLCwsTk9BVURJVCk=&amp;WINDOW=FIRST_POPUP&amp;HEIGHT=450&amp;WIDTH=450&amp;","START_MAXIMIZED=FALSE&amp;VAR:CALENDAR=US&amp;VAR:SYMBOL=586161&amp;VAR:INDEX=0"}</definedName>
    <definedName name="_3115__FDSAUDITLINK__" hidden="1">{"fdsup://directions/FAT Viewer?action=UPDATE&amp;creator=factset&amp;DYN_ARGS=TRUE&amp;DOC_NAME=FAT:FQL_AUDITING_CLIENT_TEMPLATE.FAT&amp;display_string=Audit&amp;VAR:KEY=CDAVAJANQX&amp;VAR:QUERY=UkdGX1RBWF9SQVRFKEFOTiwwLCwsLCwsTk9BVURJVCk=&amp;WINDOW=FIRST_POPUP&amp;HEIGHT=450&amp;WIDTH=450&amp;","START_MAXIMIZED=FALSE&amp;VAR:CALENDAR=US&amp;VAR:SYMBOL=586161&amp;VAR:INDEX=0"}</definedName>
    <definedName name="_3116__FDSAUDITLINK__" localSheetId="3" hidden="1">{"fdsup://directions/FAT Viewer?action=UPDATE&amp;creator=factset&amp;DYN_ARGS=TRUE&amp;DOC_NAME=FAT:FQL_AUDITING_CLIENT_TEMPLATE.FAT&amp;display_string=Audit&amp;VAR:KEY=YNIHGLUZKD&amp;VAR:QUERY=UkdGX1RBWF9SQVRFKEFOTiwwLCwsLCwsTk9BVURJVCk=&amp;WINDOW=FIRST_POPUP&amp;HEIGHT=450&amp;WIDTH=450&amp;","START_MAXIMIZED=FALSE&amp;VAR:CALENDAR=US&amp;VAR:SYMBOL=AVID&amp;VAR:INDEX=0"}</definedName>
    <definedName name="_3116__FDSAUDITLINK__" localSheetId="7" hidden="1">{"fdsup://directions/FAT Viewer?action=UPDATE&amp;creator=factset&amp;DYN_ARGS=TRUE&amp;DOC_NAME=FAT:FQL_AUDITING_CLIENT_TEMPLATE.FAT&amp;display_string=Audit&amp;VAR:KEY=YNIHGLUZKD&amp;VAR:QUERY=UkdGX1RBWF9SQVRFKEFOTiwwLCwsLCwsTk9BVURJVCk=&amp;WINDOW=FIRST_POPUP&amp;HEIGHT=450&amp;WIDTH=450&amp;","START_MAXIMIZED=FALSE&amp;VAR:CALENDAR=US&amp;VAR:SYMBOL=AVID&amp;VAR:INDEX=0"}</definedName>
    <definedName name="_3116__FDSAUDITLINK__" hidden="1">{"fdsup://directions/FAT Viewer?action=UPDATE&amp;creator=factset&amp;DYN_ARGS=TRUE&amp;DOC_NAME=FAT:FQL_AUDITING_CLIENT_TEMPLATE.FAT&amp;display_string=Audit&amp;VAR:KEY=YNIHGLUZKD&amp;VAR:QUERY=UkdGX1RBWF9SQVRFKEFOTiwwLCwsLCwsTk9BVURJVCk=&amp;WINDOW=FIRST_POPUP&amp;HEIGHT=450&amp;WIDTH=450&amp;","START_MAXIMIZED=FALSE&amp;VAR:CALENDAR=US&amp;VAR:SYMBOL=AVID&amp;VAR:INDEX=0"}</definedName>
    <definedName name="_3117__FDSAUDITLINK__" localSheetId="3" hidden="1">{"fdsup://directions/FAT Viewer?action=UPDATE&amp;creator=factset&amp;DYN_ARGS=TRUE&amp;DOC_NAME=FAT:FQL_AUDITING_CLIENT_TEMPLATE.FAT&amp;display_string=Audit&amp;VAR:KEY=UHYXKLCVSZ&amp;VAR:QUERY=UkdGX1RBWF9SQVRFKEFOTiwwLCwsLCwsTk9BVURJVCk=&amp;WINDOW=FIRST_POPUP&amp;HEIGHT=450&amp;WIDTH=450&amp;","START_MAXIMIZED=FALSE&amp;VAR:CALENDAR=US&amp;VAR:SYMBOL=B15CMQ&amp;VAR:INDEX=0"}</definedName>
    <definedName name="_3117__FDSAUDITLINK__" localSheetId="7" hidden="1">{"fdsup://directions/FAT Viewer?action=UPDATE&amp;creator=factset&amp;DYN_ARGS=TRUE&amp;DOC_NAME=FAT:FQL_AUDITING_CLIENT_TEMPLATE.FAT&amp;display_string=Audit&amp;VAR:KEY=UHYXKLCVSZ&amp;VAR:QUERY=UkdGX1RBWF9SQVRFKEFOTiwwLCwsLCwsTk9BVURJVCk=&amp;WINDOW=FIRST_POPUP&amp;HEIGHT=450&amp;WIDTH=450&amp;","START_MAXIMIZED=FALSE&amp;VAR:CALENDAR=US&amp;VAR:SYMBOL=B15CMQ&amp;VAR:INDEX=0"}</definedName>
    <definedName name="_3117__FDSAUDITLINK__" hidden="1">{"fdsup://directions/FAT Viewer?action=UPDATE&amp;creator=factset&amp;DYN_ARGS=TRUE&amp;DOC_NAME=FAT:FQL_AUDITING_CLIENT_TEMPLATE.FAT&amp;display_string=Audit&amp;VAR:KEY=UHYXKLCVSZ&amp;VAR:QUERY=UkdGX1RBWF9SQVRFKEFOTiwwLCwsLCwsTk9BVURJVCk=&amp;WINDOW=FIRST_POPUP&amp;HEIGHT=450&amp;WIDTH=450&amp;","START_MAXIMIZED=FALSE&amp;VAR:CALENDAR=US&amp;VAR:SYMBOL=B15CMQ&amp;VAR:INDEX=0"}</definedName>
    <definedName name="_3118__FDSAUDITLINK__" localSheetId="3" hidden="1">{"fdsup://directions/FAT Viewer?action=UPDATE&amp;creator=factset&amp;DYN_ARGS=TRUE&amp;DOC_NAME=FAT:FQL_AUDITING_CLIENT_TEMPLATE.FAT&amp;display_string=Audit&amp;VAR:KEY=UHYXKLCVSZ&amp;VAR:QUERY=UkdGX1RBWF9SQVRFKEFOTiwwLCwsLCwsTk9BVURJVCk=&amp;WINDOW=FIRST_POPUP&amp;HEIGHT=450&amp;WIDTH=450&amp;","START_MAXIMIZED=FALSE&amp;VAR:CALENDAR=US&amp;VAR:SYMBOL=B15CMQ&amp;VAR:INDEX=0"}</definedName>
    <definedName name="_3118__FDSAUDITLINK__" localSheetId="7" hidden="1">{"fdsup://directions/FAT Viewer?action=UPDATE&amp;creator=factset&amp;DYN_ARGS=TRUE&amp;DOC_NAME=FAT:FQL_AUDITING_CLIENT_TEMPLATE.FAT&amp;display_string=Audit&amp;VAR:KEY=UHYXKLCVSZ&amp;VAR:QUERY=UkdGX1RBWF9SQVRFKEFOTiwwLCwsLCwsTk9BVURJVCk=&amp;WINDOW=FIRST_POPUP&amp;HEIGHT=450&amp;WIDTH=450&amp;","START_MAXIMIZED=FALSE&amp;VAR:CALENDAR=US&amp;VAR:SYMBOL=B15CMQ&amp;VAR:INDEX=0"}</definedName>
    <definedName name="_3118__FDSAUDITLINK__" hidden="1">{"fdsup://directions/FAT Viewer?action=UPDATE&amp;creator=factset&amp;DYN_ARGS=TRUE&amp;DOC_NAME=FAT:FQL_AUDITING_CLIENT_TEMPLATE.FAT&amp;display_string=Audit&amp;VAR:KEY=UHYXKLCVSZ&amp;VAR:QUERY=UkdGX1RBWF9SQVRFKEFOTiwwLCwsLCwsTk9BVURJVCk=&amp;WINDOW=FIRST_POPUP&amp;HEIGHT=450&amp;WIDTH=450&amp;","START_MAXIMIZED=FALSE&amp;VAR:CALENDAR=US&amp;VAR:SYMBOL=B15CMQ&amp;VAR:INDEX=0"}</definedName>
    <definedName name="_3119__FDSAUDITLINK__" localSheetId="3" hidden="1">{"fdsup://directions/FAT Viewer?action=UPDATE&amp;creator=factset&amp;DYN_ARGS=TRUE&amp;DOC_NAME=FAT:FQL_AUDITING_CLIENT_TEMPLATE.FAT&amp;display_string=Audit&amp;VAR:KEY=EZYNOVOXEP&amp;VAR:QUERY=UkdGX1RBWF9SQVRFKEFOTiwwLCwsLCwsTk9BVURJVCk=&amp;WINDOW=FIRST_POPUP&amp;HEIGHT=450&amp;WIDTH=450&amp;","START_MAXIMIZED=FALSE&amp;VAR:CALENDAR=US&amp;VAR:SYMBOL=011827&amp;VAR:INDEX=0"}</definedName>
    <definedName name="_3119__FDSAUDITLINK__" localSheetId="7" hidden="1">{"fdsup://directions/FAT Viewer?action=UPDATE&amp;creator=factset&amp;DYN_ARGS=TRUE&amp;DOC_NAME=FAT:FQL_AUDITING_CLIENT_TEMPLATE.FAT&amp;display_string=Audit&amp;VAR:KEY=EZYNOVOXEP&amp;VAR:QUERY=UkdGX1RBWF9SQVRFKEFOTiwwLCwsLCwsTk9BVURJVCk=&amp;WINDOW=FIRST_POPUP&amp;HEIGHT=450&amp;WIDTH=450&amp;","START_MAXIMIZED=FALSE&amp;VAR:CALENDAR=US&amp;VAR:SYMBOL=011827&amp;VAR:INDEX=0"}</definedName>
    <definedName name="_3119__FDSAUDITLINK__" hidden="1">{"fdsup://directions/FAT Viewer?action=UPDATE&amp;creator=factset&amp;DYN_ARGS=TRUE&amp;DOC_NAME=FAT:FQL_AUDITING_CLIENT_TEMPLATE.FAT&amp;display_string=Audit&amp;VAR:KEY=EZYNOVOXEP&amp;VAR:QUERY=UkdGX1RBWF9SQVRFKEFOTiwwLCwsLCwsTk9BVURJVCk=&amp;WINDOW=FIRST_POPUP&amp;HEIGHT=450&amp;WIDTH=450&amp;","START_MAXIMIZED=FALSE&amp;VAR:CALENDAR=US&amp;VAR:SYMBOL=011827&amp;VAR:INDEX=0"}</definedName>
    <definedName name="_3120__FDSAUDITLINK__" localSheetId="3" hidden="1">{"fdsup://directions/FAT Viewer?action=UPDATE&amp;creator=factset&amp;DYN_ARGS=TRUE&amp;DOC_NAME=FAT:FQL_AUDITING_CLIENT_TEMPLATE.FAT&amp;display_string=Audit&amp;VAR:KEY=EZYNOVOXEP&amp;VAR:QUERY=UkdGX1RBWF9SQVRFKEFOTiwwLCwsLCwsTk9BVURJVCk=&amp;WINDOW=FIRST_POPUP&amp;HEIGHT=450&amp;WIDTH=450&amp;","START_MAXIMIZED=FALSE&amp;VAR:CALENDAR=US&amp;VAR:SYMBOL=011827&amp;VAR:INDEX=0"}</definedName>
    <definedName name="_3120__FDSAUDITLINK__" localSheetId="7" hidden="1">{"fdsup://directions/FAT Viewer?action=UPDATE&amp;creator=factset&amp;DYN_ARGS=TRUE&amp;DOC_NAME=FAT:FQL_AUDITING_CLIENT_TEMPLATE.FAT&amp;display_string=Audit&amp;VAR:KEY=EZYNOVOXEP&amp;VAR:QUERY=UkdGX1RBWF9SQVRFKEFOTiwwLCwsLCwsTk9BVURJVCk=&amp;WINDOW=FIRST_POPUP&amp;HEIGHT=450&amp;WIDTH=450&amp;","START_MAXIMIZED=FALSE&amp;VAR:CALENDAR=US&amp;VAR:SYMBOL=011827&amp;VAR:INDEX=0"}</definedName>
    <definedName name="_3120__FDSAUDITLINK__" hidden="1">{"fdsup://directions/FAT Viewer?action=UPDATE&amp;creator=factset&amp;DYN_ARGS=TRUE&amp;DOC_NAME=FAT:FQL_AUDITING_CLIENT_TEMPLATE.FAT&amp;display_string=Audit&amp;VAR:KEY=EZYNOVOXEP&amp;VAR:QUERY=UkdGX1RBWF9SQVRFKEFOTiwwLCwsLCwsTk9BVURJVCk=&amp;WINDOW=FIRST_POPUP&amp;HEIGHT=450&amp;WIDTH=450&amp;","START_MAXIMIZED=FALSE&amp;VAR:CALENDAR=US&amp;VAR:SYMBOL=011827&amp;VAR:INDEX=0"}</definedName>
    <definedName name="_3121__FDSAUDITLINK__" localSheetId="3" hidden="1">{"fdsup://directions/FAT Viewer?action=UPDATE&amp;creator=factset&amp;DYN_ARGS=TRUE&amp;DOC_NAME=FAT:FQL_AUDITING_CLIENT_TEMPLATE.FAT&amp;display_string=Audit&amp;VAR:KEY=UZQJUPWBUJ&amp;VAR:QUERY=UkdGX1RBWF9SQVRFKEFOTiwwLCwsLCwsTk9BVURJVCk=&amp;WINDOW=FIRST_POPUP&amp;HEIGHT=450&amp;WIDTH=450&amp;","START_MAXIMIZED=FALSE&amp;VAR:CALENDAR=US&amp;VAR:SYMBOL=ADSK&amp;VAR:INDEX=0"}</definedName>
    <definedName name="_3121__FDSAUDITLINK__" localSheetId="7" hidden="1">{"fdsup://directions/FAT Viewer?action=UPDATE&amp;creator=factset&amp;DYN_ARGS=TRUE&amp;DOC_NAME=FAT:FQL_AUDITING_CLIENT_TEMPLATE.FAT&amp;display_string=Audit&amp;VAR:KEY=UZQJUPWBUJ&amp;VAR:QUERY=UkdGX1RBWF9SQVRFKEFOTiwwLCwsLCwsTk9BVURJVCk=&amp;WINDOW=FIRST_POPUP&amp;HEIGHT=450&amp;WIDTH=450&amp;","START_MAXIMIZED=FALSE&amp;VAR:CALENDAR=US&amp;VAR:SYMBOL=ADSK&amp;VAR:INDEX=0"}</definedName>
    <definedName name="_3121__FDSAUDITLINK__" hidden="1">{"fdsup://directions/FAT Viewer?action=UPDATE&amp;creator=factset&amp;DYN_ARGS=TRUE&amp;DOC_NAME=FAT:FQL_AUDITING_CLIENT_TEMPLATE.FAT&amp;display_string=Audit&amp;VAR:KEY=UZQJUPWBUJ&amp;VAR:QUERY=UkdGX1RBWF9SQVRFKEFOTiwwLCwsLCwsTk9BVURJVCk=&amp;WINDOW=FIRST_POPUP&amp;HEIGHT=450&amp;WIDTH=450&amp;","START_MAXIMIZED=FALSE&amp;VAR:CALENDAR=US&amp;VAR:SYMBOL=ADSK&amp;VAR:INDEX=0"}</definedName>
    <definedName name="_3122__FDSAUDITLINK__" localSheetId="3" hidden="1">{"fdsup://directions/FAT Viewer?action=UPDATE&amp;creator=factset&amp;DYN_ARGS=TRUE&amp;DOC_NAME=FAT:FQL_AUDITING_CLIENT_TEMPLATE.FAT&amp;display_string=Audit&amp;VAR:KEY=UZQJUPWBUJ&amp;VAR:QUERY=UkdGX1RBWF9SQVRFKEFOTiwwLCwsLCwsTk9BVURJVCk=&amp;WINDOW=FIRST_POPUP&amp;HEIGHT=450&amp;WIDTH=450&amp;","START_MAXIMIZED=FALSE&amp;VAR:CALENDAR=US&amp;VAR:SYMBOL=ADSK&amp;VAR:INDEX=0"}</definedName>
    <definedName name="_3122__FDSAUDITLINK__" localSheetId="7" hidden="1">{"fdsup://directions/FAT Viewer?action=UPDATE&amp;creator=factset&amp;DYN_ARGS=TRUE&amp;DOC_NAME=FAT:FQL_AUDITING_CLIENT_TEMPLATE.FAT&amp;display_string=Audit&amp;VAR:KEY=UZQJUPWBUJ&amp;VAR:QUERY=UkdGX1RBWF9SQVRFKEFOTiwwLCwsLCwsTk9BVURJVCk=&amp;WINDOW=FIRST_POPUP&amp;HEIGHT=450&amp;WIDTH=450&amp;","START_MAXIMIZED=FALSE&amp;VAR:CALENDAR=US&amp;VAR:SYMBOL=ADSK&amp;VAR:INDEX=0"}</definedName>
    <definedName name="_3122__FDSAUDITLINK__" hidden="1">{"fdsup://directions/FAT Viewer?action=UPDATE&amp;creator=factset&amp;DYN_ARGS=TRUE&amp;DOC_NAME=FAT:FQL_AUDITING_CLIENT_TEMPLATE.FAT&amp;display_string=Audit&amp;VAR:KEY=UZQJUPWBUJ&amp;VAR:QUERY=UkdGX1RBWF9SQVRFKEFOTiwwLCwsLCwsTk9BVURJVCk=&amp;WINDOW=FIRST_POPUP&amp;HEIGHT=450&amp;WIDTH=450&amp;","START_MAXIMIZED=FALSE&amp;VAR:CALENDAR=US&amp;VAR:SYMBOL=ADSK&amp;VAR:INDEX=0"}</definedName>
    <definedName name="_3123__FDSAUDITLINK__" localSheetId="3" hidden="1">{"fdsup://directions/FAT Viewer?action=UPDATE&amp;creator=factset&amp;DYN_ARGS=TRUE&amp;DOC_NAME=FAT:FQL_AUDITING_CLIENT_TEMPLATE.FAT&amp;display_string=Audit&amp;VAR:KEY=AJKTEXUBOJ&amp;VAR:QUERY=UkdGX1RBWF9SQVRFKEFOTiwwLCwsLCwsTk9BVURJVCk=&amp;WINDOW=FIRST_POPUP&amp;HEIGHT=450&amp;WIDTH=450&amp;","START_MAXIMIZED=FALSE&amp;VAR:CALENDAR=US&amp;VAR:SYMBOL=ATHN&amp;VAR:INDEX=0"}</definedName>
    <definedName name="_3123__FDSAUDITLINK__" localSheetId="7" hidden="1">{"fdsup://directions/FAT Viewer?action=UPDATE&amp;creator=factset&amp;DYN_ARGS=TRUE&amp;DOC_NAME=FAT:FQL_AUDITING_CLIENT_TEMPLATE.FAT&amp;display_string=Audit&amp;VAR:KEY=AJKTEXUBOJ&amp;VAR:QUERY=UkdGX1RBWF9SQVRFKEFOTiwwLCwsLCwsTk9BVURJVCk=&amp;WINDOW=FIRST_POPUP&amp;HEIGHT=450&amp;WIDTH=450&amp;","START_MAXIMIZED=FALSE&amp;VAR:CALENDAR=US&amp;VAR:SYMBOL=ATHN&amp;VAR:INDEX=0"}</definedName>
    <definedName name="_3123__FDSAUDITLINK__" hidden="1">{"fdsup://directions/FAT Viewer?action=UPDATE&amp;creator=factset&amp;DYN_ARGS=TRUE&amp;DOC_NAME=FAT:FQL_AUDITING_CLIENT_TEMPLATE.FAT&amp;display_string=Audit&amp;VAR:KEY=AJKTEXUBOJ&amp;VAR:QUERY=UkdGX1RBWF9SQVRFKEFOTiwwLCwsLCwsTk9BVURJVCk=&amp;WINDOW=FIRST_POPUP&amp;HEIGHT=450&amp;WIDTH=450&amp;","START_MAXIMIZED=FALSE&amp;VAR:CALENDAR=US&amp;VAR:SYMBOL=ATHN&amp;VAR:INDEX=0"}</definedName>
    <definedName name="_3124__FDSAUDITLINK__" localSheetId="3" hidden="1">{"fdsup://directions/FAT Viewer?action=UPDATE&amp;creator=factset&amp;DYN_ARGS=TRUE&amp;DOC_NAME=FAT:FQL_AUDITING_CLIENT_TEMPLATE.FAT&amp;display_string=Audit&amp;VAR:KEY=AJKTEXUBOJ&amp;VAR:QUERY=UkdGX1RBWF9SQVRFKEFOTiwwLCwsLCwsTk9BVURJVCk=&amp;WINDOW=FIRST_POPUP&amp;HEIGHT=450&amp;WIDTH=450&amp;","START_MAXIMIZED=FALSE&amp;VAR:CALENDAR=US&amp;VAR:SYMBOL=ATHN&amp;VAR:INDEX=0"}</definedName>
    <definedName name="_3124__FDSAUDITLINK__" localSheetId="7" hidden="1">{"fdsup://directions/FAT Viewer?action=UPDATE&amp;creator=factset&amp;DYN_ARGS=TRUE&amp;DOC_NAME=FAT:FQL_AUDITING_CLIENT_TEMPLATE.FAT&amp;display_string=Audit&amp;VAR:KEY=AJKTEXUBOJ&amp;VAR:QUERY=UkdGX1RBWF9SQVRFKEFOTiwwLCwsLCwsTk9BVURJVCk=&amp;WINDOW=FIRST_POPUP&amp;HEIGHT=450&amp;WIDTH=450&amp;","START_MAXIMIZED=FALSE&amp;VAR:CALENDAR=US&amp;VAR:SYMBOL=ATHN&amp;VAR:INDEX=0"}</definedName>
    <definedName name="_3124__FDSAUDITLINK__" hidden="1">{"fdsup://directions/FAT Viewer?action=UPDATE&amp;creator=factset&amp;DYN_ARGS=TRUE&amp;DOC_NAME=FAT:FQL_AUDITING_CLIENT_TEMPLATE.FAT&amp;display_string=Audit&amp;VAR:KEY=AJKTEXUBOJ&amp;VAR:QUERY=UkdGX1RBWF9SQVRFKEFOTiwwLCwsLCwsTk9BVURJVCk=&amp;WINDOW=FIRST_POPUP&amp;HEIGHT=450&amp;WIDTH=450&amp;","START_MAXIMIZED=FALSE&amp;VAR:CALENDAR=US&amp;VAR:SYMBOL=ATHN&amp;VAR:INDEX=0"}</definedName>
    <definedName name="_3125__FDSAUDITLINK__" localSheetId="3" hidden="1">{"fdsup://directions/FAT Viewer?action=UPDATE&amp;creator=factset&amp;DYN_ARGS=TRUE&amp;DOC_NAME=FAT:FQL_AUDITING_CLIENT_TEMPLATE.FAT&amp;display_string=Audit&amp;VAR:KEY=WFEPKXSVCV&amp;VAR:QUERY=UkdGX1RBWF9SQVRFKEFOTiwwLCwsLCwsTk9BVURJVCk=&amp;WINDOW=FIRST_POPUP&amp;HEIGHT=450&amp;WIDTH=450&amp;","START_MAXIMIZED=FALSE&amp;VAR:CALENDAR=US&amp;VAR:SYMBOL=AZPN&amp;VAR:INDEX=0"}</definedName>
    <definedName name="_3125__FDSAUDITLINK__" localSheetId="7" hidden="1">{"fdsup://directions/FAT Viewer?action=UPDATE&amp;creator=factset&amp;DYN_ARGS=TRUE&amp;DOC_NAME=FAT:FQL_AUDITING_CLIENT_TEMPLATE.FAT&amp;display_string=Audit&amp;VAR:KEY=WFEPKXSVCV&amp;VAR:QUERY=UkdGX1RBWF9SQVRFKEFOTiwwLCwsLCwsTk9BVURJVCk=&amp;WINDOW=FIRST_POPUP&amp;HEIGHT=450&amp;WIDTH=450&amp;","START_MAXIMIZED=FALSE&amp;VAR:CALENDAR=US&amp;VAR:SYMBOL=AZPN&amp;VAR:INDEX=0"}</definedName>
    <definedName name="_3125__FDSAUDITLINK__" hidden="1">{"fdsup://directions/FAT Viewer?action=UPDATE&amp;creator=factset&amp;DYN_ARGS=TRUE&amp;DOC_NAME=FAT:FQL_AUDITING_CLIENT_TEMPLATE.FAT&amp;display_string=Audit&amp;VAR:KEY=WFEPKXSVCV&amp;VAR:QUERY=UkdGX1RBWF9SQVRFKEFOTiwwLCwsLCwsTk9BVURJVCk=&amp;WINDOW=FIRST_POPUP&amp;HEIGHT=450&amp;WIDTH=450&amp;","START_MAXIMIZED=FALSE&amp;VAR:CALENDAR=US&amp;VAR:SYMBOL=AZPN&amp;VAR:INDEX=0"}</definedName>
    <definedName name="_3126__FDSAUDITLINK__" localSheetId="3" hidden="1">{"fdsup://directions/FAT Viewer?action=UPDATE&amp;creator=factset&amp;DYN_ARGS=TRUE&amp;DOC_NAME=FAT:FQL_AUDITING_CLIENT_TEMPLATE.FAT&amp;display_string=Audit&amp;VAR:KEY=EJQPMRQHSP&amp;VAR:QUERY=UkdGX1RBWF9SQVRFKEFOTiwwLCwsLCwsTk9BVURJVCk=&amp;WINDOW=FIRST_POPUP&amp;HEIGHT=450&amp;WIDTH=450&amp;","START_MAXIMIZED=FALSE&amp;VAR:CALENDAR=US&amp;VAR:SYMBOL=ARTG&amp;VAR:INDEX=0"}</definedName>
    <definedName name="_3126__FDSAUDITLINK__" localSheetId="7" hidden="1">{"fdsup://directions/FAT Viewer?action=UPDATE&amp;creator=factset&amp;DYN_ARGS=TRUE&amp;DOC_NAME=FAT:FQL_AUDITING_CLIENT_TEMPLATE.FAT&amp;display_string=Audit&amp;VAR:KEY=EJQPMRQHSP&amp;VAR:QUERY=UkdGX1RBWF9SQVRFKEFOTiwwLCwsLCwsTk9BVURJVCk=&amp;WINDOW=FIRST_POPUP&amp;HEIGHT=450&amp;WIDTH=450&amp;","START_MAXIMIZED=FALSE&amp;VAR:CALENDAR=US&amp;VAR:SYMBOL=ARTG&amp;VAR:INDEX=0"}</definedName>
    <definedName name="_3126__FDSAUDITLINK__" hidden="1">{"fdsup://directions/FAT Viewer?action=UPDATE&amp;creator=factset&amp;DYN_ARGS=TRUE&amp;DOC_NAME=FAT:FQL_AUDITING_CLIENT_TEMPLATE.FAT&amp;display_string=Audit&amp;VAR:KEY=EJQPMRQHSP&amp;VAR:QUERY=UkdGX1RBWF9SQVRFKEFOTiwwLCwsLCwsTk9BVURJVCk=&amp;WINDOW=FIRST_POPUP&amp;HEIGHT=450&amp;WIDTH=450&amp;","START_MAXIMIZED=FALSE&amp;VAR:CALENDAR=US&amp;VAR:SYMBOL=ARTG&amp;VAR:INDEX=0"}</definedName>
    <definedName name="_3127__FDSAUDITLINK__" localSheetId="3" hidden="1">{"fdsup://directions/FAT Viewer?action=UPDATE&amp;creator=factset&amp;DYN_ARGS=TRUE&amp;DOC_NAME=FAT:FQL_AUDITING_CLIENT_TEMPLATE.FAT&amp;display_string=Audit&amp;VAR:KEY=EJQPMRQHSP&amp;VAR:QUERY=UkdGX1RBWF9SQVRFKEFOTiwwLCwsLCwsTk9BVURJVCk=&amp;WINDOW=FIRST_POPUP&amp;HEIGHT=450&amp;WIDTH=450&amp;","START_MAXIMIZED=FALSE&amp;VAR:CALENDAR=US&amp;VAR:SYMBOL=ARTG&amp;VAR:INDEX=0"}</definedName>
    <definedName name="_3127__FDSAUDITLINK__" localSheetId="7" hidden="1">{"fdsup://directions/FAT Viewer?action=UPDATE&amp;creator=factset&amp;DYN_ARGS=TRUE&amp;DOC_NAME=FAT:FQL_AUDITING_CLIENT_TEMPLATE.FAT&amp;display_string=Audit&amp;VAR:KEY=EJQPMRQHSP&amp;VAR:QUERY=UkdGX1RBWF9SQVRFKEFOTiwwLCwsLCwsTk9BVURJVCk=&amp;WINDOW=FIRST_POPUP&amp;HEIGHT=450&amp;WIDTH=450&amp;","START_MAXIMIZED=FALSE&amp;VAR:CALENDAR=US&amp;VAR:SYMBOL=ARTG&amp;VAR:INDEX=0"}</definedName>
    <definedName name="_3127__FDSAUDITLINK__" hidden="1">{"fdsup://directions/FAT Viewer?action=UPDATE&amp;creator=factset&amp;DYN_ARGS=TRUE&amp;DOC_NAME=FAT:FQL_AUDITING_CLIENT_TEMPLATE.FAT&amp;display_string=Audit&amp;VAR:KEY=EJQPMRQHSP&amp;VAR:QUERY=UkdGX1RBWF9SQVRFKEFOTiwwLCwsLCwsTk9BVURJVCk=&amp;WINDOW=FIRST_POPUP&amp;HEIGHT=450&amp;WIDTH=450&amp;","START_MAXIMIZED=FALSE&amp;VAR:CALENDAR=US&amp;VAR:SYMBOL=ARTG&amp;VAR:INDEX=0"}</definedName>
    <definedName name="_3128__FDSAUDITLINK__" localSheetId="3" hidden="1">{"fdsup://directions/FAT Viewer?action=UPDATE&amp;creator=factset&amp;DYN_ARGS=TRUE&amp;DOC_NAME=FAT:FQL_AUDITING_CLIENT_TEMPLATE.FAT&amp;display_string=Audit&amp;VAR:KEY=IDYJYXQJMT&amp;VAR:QUERY=UkdGX1RBWF9SQVRFKEFOTiwwLCwsLCwsTk9BVURJVCk=&amp;WINDOW=FIRST_POPUP&amp;HEIGHT=450&amp;WIDTH=450&amp;","START_MAXIMIZED=FALSE&amp;VAR:CALENDAR=US&amp;VAR:SYMBOL=005958&amp;VAR:INDEX=0"}</definedName>
    <definedName name="_3128__FDSAUDITLINK__" localSheetId="7" hidden="1">{"fdsup://directions/FAT Viewer?action=UPDATE&amp;creator=factset&amp;DYN_ARGS=TRUE&amp;DOC_NAME=FAT:FQL_AUDITING_CLIENT_TEMPLATE.FAT&amp;display_string=Audit&amp;VAR:KEY=IDYJYXQJMT&amp;VAR:QUERY=UkdGX1RBWF9SQVRFKEFOTiwwLCwsLCwsTk9BVURJVCk=&amp;WINDOW=FIRST_POPUP&amp;HEIGHT=450&amp;WIDTH=450&amp;","START_MAXIMIZED=FALSE&amp;VAR:CALENDAR=US&amp;VAR:SYMBOL=005958&amp;VAR:INDEX=0"}</definedName>
    <definedName name="_3128__FDSAUDITLINK__" hidden="1">{"fdsup://directions/FAT Viewer?action=UPDATE&amp;creator=factset&amp;DYN_ARGS=TRUE&amp;DOC_NAME=FAT:FQL_AUDITING_CLIENT_TEMPLATE.FAT&amp;display_string=Audit&amp;VAR:KEY=IDYJYXQJMT&amp;VAR:QUERY=UkdGX1RBWF9SQVRFKEFOTiwwLCwsLCwsTk9BVURJVCk=&amp;WINDOW=FIRST_POPUP&amp;HEIGHT=450&amp;WIDTH=450&amp;","START_MAXIMIZED=FALSE&amp;VAR:CALENDAR=US&amp;VAR:SYMBOL=005958&amp;VAR:INDEX=0"}</definedName>
    <definedName name="_3129__FDSAUDITLINK__" localSheetId="3" hidden="1">{"fdsup://directions/FAT Viewer?action=UPDATE&amp;creator=factset&amp;DYN_ARGS=TRUE&amp;DOC_NAME=FAT:FQL_AUDITING_CLIENT_TEMPLATE.FAT&amp;display_string=Audit&amp;VAR:KEY=IDYJYXQJMT&amp;VAR:QUERY=UkdGX1RBWF9SQVRFKEFOTiwwLCwsLCwsTk9BVURJVCk=&amp;WINDOW=FIRST_POPUP&amp;HEIGHT=450&amp;WIDTH=450&amp;","START_MAXIMIZED=FALSE&amp;VAR:CALENDAR=US&amp;VAR:SYMBOL=005958&amp;VAR:INDEX=0"}</definedName>
    <definedName name="_3129__FDSAUDITLINK__" localSheetId="7" hidden="1">{"fdsup://directions/FAT Viewer?action=UPDATE&amp;creator=factset&amp;DYN_ARGS=TRUE&amp;DOC_NAME=FAT:FQL_AUDITING_CLIENT_TEMPLATE.FAT&amp;display_string=Audit&amp;VAR:KEY=IDYJYXQJMT&amp;VAR:QUERY=UkdGX1RBWF9SQVRFKEFOTiwwLCwsLCwsTk9BVURJVCk=&amp;WINDOW=FIRST_POPUP&amp;HEIGHT=450&amp;WIDTH=450&amp;","START_MAXIMIZED=FALSE&amp;VAR:CALENDAR=US&amp;VAR:SYMBOL=005958&amp;VAR:INDEX=0"}</definedName>
    <definedName name="_3129__FDSAUDITLINK__" hidden="1">{"fdsup://directions/FAT Viewer?action=UPDATE&amp;creator=factset&amp;DYN_ARGS=TRUE&amp;DOC_NAME=FAT:FQL_AUDITING_CLIENT_TEMPLATE.FAT&amp;display_string=Audit&amp;VAR:KEY=IDYJYXQJMT&amp;VAR:QUERY=UkdGX1RBWF9SQVRFKEFOTiwwLCwsLCwsTk9BVURJVCk=&amp;WINDOW=FIRST_POPUP&amp;HEIGHT=450&amp;WIDTH=450&amp;","START_MAXIMIZED=FALSE&amp;VAR:CALENDAR=US&amp;VAR:SYMBOL=005958&amp;VAR:INDEX=0"}</definedName>
    <definedName name="_3130__FDSAUDITLINK__" localSheetId="3" hidden="1">{"fdsup://directions/FAT Viewer?action=UPDATE&amp;creator=factset&amp;DYN_ARGS=TRUE&amp;DOC_NAME=FAT:FQL_AUDITING_CLIENT_TEMPLATE.FAT&amp;display_string=Audit&amp;VAR:KEY=GHSNALIPSV&amp;VAR:QUERY=UkdGX1RBWF9SQVRFKEFOTiwwLCwsLCwsTk9BVURJVCk=&amp;WINDOW=FIRST_POPUP&amp;HEIGHT=450&amp;WIDTH=450&amp;","START_MAXIMIZED=FALSE&amp;VAR:CALENDAR=US&amp;VAR:SYMBOL=ARBA&amp;VAR:INDEX=0"}</definedName>
    <definedName name="_3130__FDSAUDITLINK__" localSheetId="7" hidden="1">{"fdsup://directions/FAT Viewer?action=UPDATE&amp;creator=factset&amp;DYN_ARGS=TRUE&amp;DOC_NAME=FAT:FQL_AUDITING_CLIENT_TEMPLATE.FAT&amp;display_string=Audit&amp;VAR:KEY=GHSNALIPSV&amp;VAR:QUERY=UkdGX1RBWF9SQVRFKEFOTiwwLCwsLCwsTk9BVURJVCk=&amp;WINDOW=FIRST_POPUP&amp;HEIGHT=450&amp;WIDTH=450&amp;","START_MAXIMIZED=FALSE&amp;VAR:CALENDAR=US&amp;VAR:SYMBOL=ARBA&amp;VAR:INDEX=0"}</definedName>
    <definedName name="_3130__FDSAUDITLINK__" hidden="1">{"fdsup://directions/FAT Viewer?action=UPDATE&amp;creator=factset&amp;DYN_ARGS=TRUE&amp;DOC_NAME=FAT:FQL_AUDITING_CLIENT_TEMPLATE.FAT&amp;display_string=Audit&amp;VAR:KEY=GHSNALIPSV&amp;VAR:QUERY=UkdGX1RBWF9SQVRFKEFOTiwwLCwsLCwsTk9BVURJVCk=&amp;WINDOW=FIRST_POPUP&amp;HEIGHT=450&amp;WIDTH=450&amp;","START_MAXIMIZED=FALSE&amp;VAR:CALENDAR=US&amp;VAR:SYMBOL=ARBA&amp;VAR:INDEX=0"}</definedName>
    <definedName name="_3131__FDSAUDITLINK__" localSheetId="3" hidden="1">{"fdsup://directions/FAT Viewer?action=UPDATE&amp;creator=factset&amp;DYN_ARGS=TRUE&amp;DOC_NAME=FAT:FQL_AUDITING_CLIENT_TEMPLATE.FAT&amp;display_string=Audit&amp;VAR:KEY=GHSNALIPSV&amp;VAR:QUERY=UkdGX1RBWF9SQVRFKEFOTiwwLCwsLCwsTk9BVURJVCk=&amp;WINDOW=FIRST_POPUP&amp;HEIGHT=450&amp;WIDTH=450&amp;","START_MAXIMIZED=FALSE&amp;VAR:CALENDAR=US&amp;VAR:SYMBOL=ARBA&amp;VAR:INDEX=0"}</definedName>
    <definedName name="_3131__FDSAUDITLINK__" localSheetId="7" hidden="1">{"fdsup://directions/FAT Viewer?action=UPDATE&amp;creator=factset&amp;DYN_ARGS=TRUE&amp;DOC_NAME=FAT:FQL_AUDITING_CLIENT_TEMPLATE.FAT&amp;display_string=Audit&amp;VAR:KEY=GHSNALIPSV&amp;VAR:QUERY=UkdGX1RBWF9SQVRFKEFOTiwwLCwsLCwsTk9BVURJVCk=&amp;WINDOW=FIRST_POPUP&amp;HEIGHT=450&amp;WIDTH=450&amp;","START_MAXIMIZED=FALSE&amp;VAR:CALENDAR=US&amp;VAR:SYMBOL=ARBA&amp;VAR:INDEX=0"}</definedName>
    <definedName name="_3131__FDSAUDITLINK__" hidden="1">{"fdsup://directions/FAT Viewer?action=UPDATE&amp;creator=factset&amp;DYN_ARGS=TRUE&amp;DOC_NAME=FAT:FQL_AUDITING_CLIENT_TEMPLATE.FAT&amp;display_string=Audit&amp;VAR:KEY=GHSNALIPSV&amp;VAR:QUERY=UkdGX1RBWF9SQVRFKEFOTiwwLCwsLCwsTk9BVURJVCk=&amp;WINDOW=FIRST_POPUP&amp;HEIGHT=450&amp;WIDTH=450&amp;","START_MAXIMIZED=FALSE&amp;VAR:CALENDAR=US&amp;VAR:SYMBOL=ARBA&amp;VAR:INDEX=0"}</definedName>
    <definedName name="_3132__FDSAUDITLINK__" localSheetId="3" hidden="1">{"fdsup://directions/FAT Viewer?action=UPDATE&amp;creator=factset&amp;DYN_ARGS=TRUE&amp;DOC_NAME=FAT:FQL_AUDITING_CLIENT_TEMPLATE.FAT&amp;display_string=Audit&amp;VAR:KEY=UZIXYFCHCT&amp;VAR:QUERY=UkdGX1RBWF9SQVRFKEFOTiwwLCwsLCwsTk9BVURJVCk=&amp;WINDOW=FIRST_POPUP&amp;HEIGHT=450&amp;WIDTH=450&amp;","START_MAXIMIZED=FALSE&amp;VAR:CALENDAR=US&amp;VAR:SYMBOL=ARB&amp;VAR:INDEX=0"}</definedName>
    <definedName name="_3132__FDSAUDITLINK__" localSheetId="7" hidden="1">{"fdsup://directions/FAT Viewer?action=UPDATE&amp;creator=factset&amp;DYN_ARGS=TRUE&amp;DOC_NAME=FAT:FQL_AUDITING_CLIENT_TEMPLATE.FAT&amp;display_string=Audit&amp;VAR:KEY=UZIXYFCHCT&amp;VAR:QUERY=UkdGX1RBWF9SQVRFKEFOTiwwLCwsLCwsTk9BVURJVCk=&amp;WINDOW=FIRST_POPUP&amp;HEIGHT=450&amp;WIDTH=450&amp;","START_MAXIMIZED=FALSE&amp;VAR:CALENDAR=US&amp;VAR:SYMBOL=ARB&amp;VAR:INDEX=0"}</definedName>
    <definedName name="_3132__FDSAUDITLINK__" hidden="1">{"fdsup://directions/FAT Viewer?action=UPDATE&amp;creator=factset&amp;DYN_ARGS=TRUE&amp;DOC_NAME=FAT:FQL_AUDITING_CLIENT_TEMPLATE.FAT&amp;display_string=Audit&amp;VAR:KEY=UZIXYFCHCT&amp;VAR:QUERY=UkdGX1RBWF9SQVRFKEFOTiwwLCwsLCwsTk9BVURJVCk=&amp;WINDOW=FIRST_POPUP&amp;HEIGHT=450&amp;WIDTH=450&amp;","START_MAXIMIZED=FALSE&amp;VAR:CALENDAR=US&amp;VAR:SYMBOL=ARB&amp;VAR:INDEX=0"}</definedName>
    <definedName name="_3133__FDSAUDITLINK__" localSheetId="3" hidden="1">{"fdsup://directions/FAT Viewer?action=UPDATE&amp;creator=factset&amp;DYN_ARGS=TRUE&amp;DOC_NAME=FAT:FQL_AUDITING_CLIENT_TEMPLATE.FAT&amp;display_string=Audit&amp;VAR:KEY=UZIXYFCHCT&amp;VAR:QUERY=UkdGX1RBWF9SQVRFKEFOTiwwLCwsLCwsTk9BVURJVCk=&amp;WINDOW=FIRST_POPUP&amp;HEIGHT=450&amp;WIDTH=450&amp;","START_MAXIMIZED=FALSE&amp;VAR:CALENDAR=US&amp;VAR:SYMBOL=ARB&amp;VAR:INDEX=0"}</definedName>
    <definedName name="_3133__FDSAUDITLINK__" localSheetId="7" hidden="1">{"fdsup://directions/FAT Viewer?action=UPDATE&amp;creator=factset&amp;DYN_ARGS=TRUE&amp;DOC_NAME=FAT:FQL_AUDITING_CLIENT_TEMPLATE.FAT&amp;display_string=Audit&amp;VAR:KEY=UZIXYFCHCT&amp;VAR:QUERY=UkdGX1RBWF9SQVRFKEFOTiwwLCwsLCwsTk9BVURJVCk=&amp;WINDOW=FIRST_POPUP&amp;HEIGHT=450&amp;WIDTH=450&amp;","START_MAXIMIZED=FALSE&amp;VAR:CALENDAR=US&amp;VAR:SYMBOL=ARB&amp;VAR:INDEX=0"}</definedName>
    <definedName name="_3133__FDSAUDITLINK__" hidden="1">{"fdsup://directions/FAT Viewer?action=UPDATE&amp;creator=factset&amp;DYN_ARGS=TRUE&amp;DOC_NAME=FAT:FQL_AUDITING_CLIENT_TEMPLATE.FAT&amp;display_string=Audit&amp;VAR:KEY=UZIXYFCHCT&amp;VAR:QUERY=UkdGX1RBWF9SQVRFKEFOTiwwLCwsLCwsTk9BVURJVCk=&amp;WINDOW=FIRST_POPUP&amp;HEIGHT=450&amp;WIDTH=450&amp;","START_MAXIMIZED=FALSE&amp;VAR:CALENDAR=US&amp;VAR:SYMBOL=ARB&amp;VAR:INDEX=0"}</definedName>
    <definedName name="_3134__FDSAUDITLINK__" localSheetId="3" hidden="1">{"fdsup://directions/FAT Viewer?action=UPDATE&amp;creator=factset&amp;DYN_ARGS=TRUE&amp;DOC_NAME=FAT:FQL_AUDITING_CLIENT_TEMPLATE.FAT&amp;display_string=Audit&amp;VAR:KEY=KNCVWHUTWX&amp;VAR:QUERY=UkdGX1RBWF9SQVRFKEFOTiwwLCwsLCwsTk9BVURJVCk=&amp;WINDOW=FIRST_POPUP&amp;HEIGHT=450&amp;WIDTH=450&amp;","START_MAXIMIZED=FALSE&amp;VAR:CALENDAR=US&amp;VAR:SYMBOL=ANSS&amp;VAR:INDEX=0"}</definedName>
    <definedName name="_3134__FDSAUDITLINK__" localSheetId="7" hidden="1">{"fdsup://directions/FAT Viewer?action=UPDATE&amp;creator=factset&amp;DYN_ARGS=TRUE&amp;DOC_NAME=FAT:FQL_AUDITING_CLIENT_TEMPLATE.FAT&amp;display_string=Audit&amp;VAR:KEY=KNCVWHUTWX&amp;VAR:QUERY=UkdGX1RBWF9SQVRFKEFOTiwwLCwsLCwsTk9BVURJVCk=&amp;WINDOW=FIRST_POPUP&amp;HEIGHT=450&amp;WIDTH=450&amp;","START_MAXIMIZED=FALSE&amp;VAR:CALENDAR=US&amp;VAR:SYMBOL=ANSS&amp;VAR:INDEX=0"}</definedName>
    <definedName name="_3134__FDSAUDITLINK__" hidden="1">{"fdsup://directions/FAT Viewer?action=UPDATE&amp;creator=factset&amp;DYN_ARGS=TRUE&amp;DOC_NAME=FAT:FQL_AUDITING_CLIENT_TEMPLATE.FAT&amp;display_string=Audit&amp;VAR:KEY=KNCVWHUTWX&amp;VAR:QUERY=UkdGX1RBWF9SQVRFKEFOTiwwLCwsLCwsTk9BVURJVCk=&amp;WINDOW=FIRST_POPUP&amp;HEIGHT=450&amp;WIDTH=450&amp;","START_MAXIMIZED=FALSE&amp;VAR:CALENDAR=US&amp;VAR:SYMBOL=ANSS&amp;VAR:INDEX=0"}</definedName>
    <definedName name="_3135__FDSAUDITLINK__" localSheetId="3" hidden="1">{"fdsup://directions/FAT Viewer?action=UPDATE&amp;creator=factset&amp;DYN_ARGS=TRUE&amp;DOC_NAME=FAT:FQL_AUDITING_CLIENT_TEMPLATE.FAT&amp;display_string=Audit&amp;VAR:KEY=KNCVWHUTWX&amp;VAR:QUERY=UkdGX1RBWF9SQVRFKEFOTiwwLCwsLCwsTk9BVURJVCk=&amp;WINDOW=FIRST_POPUP&amp;HEIGHT=450&amp;WIDTH=450&amp;","START_MAXIMIZED=FALSE&amp;VAR:CALENDAR=US&amp;VAR:SYMBOL=ANSS&amp;VAR:INDEX=0"}</definedName>
    <definedName name="_3135__FDSAUDITLINK__" localSheetId="7" hidden="1">{"fdsup://directions/FAT Viewer?action=UPDATE&amp;creator=factset&amp;DYN_ARGS=TRUE&amp;DOC_NAME=FAT:FQL_AUDITING_CLIENT_TEMPLATE.FAT&amp;display_string=Audit&amp;VAR:KEY=KNCVWHUTWX&amp;VAR:QUERY=UkdGX1RBWF9SQVRFKEFOTiwwLCwsLCwsTk9BVURJVCk=&amp;WINDOW=FIRST_POPUP&amp;HEIGHT=450&amp;WIDTH=450&amp;","START_MAXIMIZED=FALSE&amp;VAR:CALENDAR=US&amp;VAR:SYMBOL=ANSS&amp;VAR:INDEX=0"}</definedName>
    <definedName name="_3135__FDSAUDITLINK__" hidden="1">{"fdsup://directions/FAT Viewer?action=UPDATE&amp;creator=factset&amp;DYN_ARGS=TRUE&amp;DOC_NAME=FAT:FQL_AUDITING_CLIENT_TEMPLATE.FAT&amp;display_string=Audit&amp;VAR:KEY=KNCVWHUTWX&amp;VAR:QUERY=UkdGX1RBWF9SQVRFKEFOTiwwLCwsLCwsTk9BVURJVCk=&amp;WINDOW=FIRST_POPUP&amp;HEIGHT=450&amp;WIDTH=450&amp;","START_MAXIMIZED=FALSE&amp;VAR:CALENDAR=US&amp;VAR:SYMBOL=ANSS&amp;VAR:INDEX=0"}</definedName>
    <definedName name="_3136__FDSAUDITLINK__" localSheetId="3" hidden="1">{"fdsup://directions/FAT Viewer?action=UPDATE&amp;creator=factset&amp;DYN_ARGS=TRUE&amp;DOC_NAME=FAT:FQL_AUDITING_CLIENT_TEMPLATE.FAT&amp;display_string=Audit&amp;VAR:KEY=KFWHOXEVCT&amp;VAR:QUERY=UkdGX1RBWF9SQVRFKEFOTiwwLCwsLCwsTk9BVURJVCk=&amp;WINDOW=FIRST_POPUP&amp;HEIGHT=450&amp;WIDTH=450&amp;","START_MAXIMIZED=FALSE&amp;VAR:CALENDAR=US&amp;VAR:SYMBOL=DOX&amp;VAR:INDEX=0"}</definedName>
    <definedName name="_3136__FDSAUDITLINK__" localSheetId="7" hidden="1">{"fdsup://directions/FAT Viewer?action=UPDATE&amp;creator=factset&amp;DYN_ARGS=TRUE&amp;DOC_NAME=FAT:FQL_AUDITING_CLIENT_TEMPLATE.FAT&amp;display_string=Audit&amp;VAR:KEY=KFWHOXEVCT&amp;VAR:QUERY=UkdGX1RBWF9SQVRFKEFOTiwwLCwsLCwsTk9BVURJVCk=&amp;WINDOW=FIRST_POPUP&amp;HEIGHT=450&amp;WIDTH=450&amp;","START_MAXIMIZED=FALSE&amp;VAR:CALENDAR=US&amp;VAR:SYMBOL=DOX&amp;VAR:INDEX=0"}</definedName>
    <definedName name="_3136__FDSAUDITLINK__" hidden="1">{"fdsup://directions/FAT Viewer?action=UPDATE&amp;creator=factset&amp;DYN_ARGS=TRUE&amp;DOC_NAME=FAT:FQL_AUDITING_CLIENT_TEMPLATE.FAT&amp;display_string=Audit&amp;VAR:KEY=KFWHOXEVCT&amp;VAR:QUERY=UkdGX1RBWF9SQVRFKEFOTiwwLCwsLCwsTk9BVURJVCk=&amp;WINDOW=FIRST_POPUP&amp;HEIGHT=450&amp;WIDTH=450&amp;","START_MAXIMIZED=FALSE&amp;VAR:CALENDAR=US&amp;VAR:SYMBOL=DOX&amp;VAR:INDEX=0"}</definedName>
    <definedName name="_3137__FDSAUDITLINK__" localSheetId="3" hidden="1">{"fdsup://directions/FAT Viewer?action=UPDATE&amp;creator=factset&amp;DYN_ARGS=TRUE&amp;DOC_NAME=FAT:FQL_AUDITING_CLIENT_TEMPLATE.FAT&amp;display_string=Audit&amp;VAR:KEY=KFWHOXEVCT&amp;VAR:QUERY=UkdGX1RBWF9SQVRFKEFOTiwwLCwsLCwsTk9BVURJVCk=&amp;WINDOW=FIRST_POPUP&amp;HEIGHT=450&amp;WIDTH=450&amp;","START_MAXIMIZED=FALSE&amp;VAR:CALENDAR=US&amp;VAR:SYMBOL=DOX&amp;VAR:INDEX=0"}</definedName>
    <definedName name="_3137__FDSAUDITLINK__" localSheetId="7" hidden="1">{"fdsup://directions/FAT Viewer?action=UPDATE&amp;creator=factset&amp;DYN_ARGS=TRUE&amp;DOC_NAME=FAT:FQL_AUDITING_CLIENT_TEMPLATE.FAT&amp;display_string=Audit&amp;VAR:KEY=KFWHOXEVCT&amp;VAR:QUERY=UkdGX1RBWF9SQVRFKEFOTiwwLCwsLCwsTk9BVURJVCk=&amp;WINDOW=FIRST_POPUP&amp;HEIGHT=450&amp;WIDTH=450&amp;","START_MAXIMIZED=FALSE&amp;VAR:CALENDAR=US&amp;VAR:SYMBOL=DOX&amp;VAR:INDEX=0"}</definedName>
    <definedName name="_3137__FDSAUDITLINK__" hidden="1">{"fdsup://directions/FAT Viewer?action=UPDATE&amp;creator=factset&amp;DYN_ARGS=TRUE&amp;DOC_NAME=FAT:FQL_AUDITING_CLIENT_TEMPLATE.FAT&amp;display_string=Audit&amp;VAR:KEY=KFWHOXEVCT&amp;VAR:QUERY=UkdGX1RBWF9SQVRFKEFOTiwwLCwsLCwsTk9BVURJVCk=&amp;WINDOW=FIRST_POPUP&amp;HEIGHT=450&amp;WIDTH=450&amp;","START_MAXIMIZED=FALSE&amp;VAR:CALENDAR=US&amp;VAR:SYMBOL=DOX&amp;VAR:INDEX=0"}</definedName>
    <definedName name="_3138__FDSAUDITLINK__" localSheetId="3" hidden="1">{"fdsup://directions/FAT Viewer?action=UPDATE&amp;creator=factset&amp;DYN_ARGS=TRUE&amp;DOC_NAME=FAT:FQL_AUDITING_CLIENT_TEMPLATE.FAT&amp;display_string=Audit&amp;VAR:KEY=OZYFQHYJCD&amp;VAR:QUERY=UkdGX1RBWF9SQVRFKEFOTiwwLCwsLCwsTk9BVURJVCk=&amp;WINDOW=FIRST_POPUP&amp;HEIGHT=450&amp;WIDTH=450&amp;","START_MAXIMIZED=FALSE&amp;VAR:CALENDAR=US&amp;VAR:SYMBOL=AMZN&amp;VAR:INDEX=0"}</definedName>
    <definedName name="_3138__FDSAUDITLINK__" localSheetId="7" hidden="1">{"fdsup://directions/FAT Viewer?action=UPDATE&amp;creator=factset&amp;DYN_ARGS=TRUE&amp;DOC_NAME=FAT:FQL_AUDITING_CLIENT_TEMPLATE.FAT&amp;display_string=Audit&amp;VAR:KEY=OZYFQHYJCD&amp;VAR:QUERY=UkdGX1RBWF9SQVRFKEFOTiwwLCwsLCwsTk9BVURJVCk=&amp;WINDOW=FIRST_POPUP&amp;HEIGHT=450&amp;WIDTH=450&amp;","START_MAXIMIZED=FALSE&amp;VAR:CALENDAR=US&amp;VAR:SYMBOL=AMZN&amp;VAR:INDEX=0"}</definedName>
    <definedName name="_3138__FDSAUDITLINK__" hidden="1">{"fdsup://directions/FAT Viewer?action=UPDATE&amp;creator=factset&amp;DYN_ARGS=TRUE&amp;DOC_NAME=FAT:FQL_AUDITING_CLIENT_TEMPLATE.FAT&amp;display_string=Audit&amp;VAR:KEY=OZYFQHYJCD&amp;VAR:QUERY=UkdGX1RBWF9SQVRFKEFOTiwwLCwsLCwsTk9BVURJVCk=&amp;WINDOW=FIRST_POPUP&amp;HEIGHT=450&amp;WIDTH=450&amp;","START_MAXIMIZED=FALSE&amp;VAR:CALENDAR=US&amp;VAR:SYMBOL=AMZN&amp;VAR:INDEX=0"}</definedName>
    <definedName name="_3139__FDSAUDITLINK__" localSheetId="3" hidden="1">{"fdsup://directions/FAT Viewer?action=UPDATE&amp;creator=factset&amp;DYN_ARGS=TRUE&amp;DOC_NAME=FAT:FQL_AUDITING_CLIENT_TEMPLATE.FAT&amp;display_string=Audit&amp;VAR:KEY=OZYFQHYJCD&amp;VAR:QUERY=UkdGX1RBWF9SQVRFKEFOTiwwLCwsLCwsTk9BVURJVCk=&amp;WINDOW=FIRST_POPUP&amp;HEIGHT=450&amp;WIDTH=450&amp;","START_MAXIMIZED=FALSE&amp;VAR:CALENDAR=US&amp;VAR:SYMBOL=AMZN&amp;VAR:INDEX=0"}</definedName>
    <definedName name="_3139__FDSAUDITLINK__" localSheetId="7" hidden="1">{"fdsup://directions/FAT Viewer?action=UPDATE&amp;creator=factset&amp;DYN_ARGS=TRUE&amp;DOC_NAME=FAT:FQL_AUDITING_CLIENT_TEMPLATE.FAT&amp;display_string=Audit&amp;VAR:KEY=OZYFQHYJCD&amp;VAR:QUERY=UkdGX1RBWF9SQVRFKEFOTiwwLCwsLCwsTk9BVURJVCk=&amp;WINDOW=FIRST_POPUP&amp;HEIGHT=450&amp;WIDTH=450&amp;","START_MAXIMIZED=FALSE&amp;VAR:CALENDAR=US&amp;VAR:SYMBOL=AMZN&amp;VAR:INDEX=0"}</definedName>
    <definedName name="_3139__FDSAUDITLINK__" hidden="1">{"fdsup://directions/FAT Viewer?action=UPDATE&amp;creator=factset&amp;DYN_ARGS=TRUE&amp;DOC_NAME=FAT:FQL_AUDITING_CLIENT_TEMPLATE.FAT&amp;display_string=Audit&amp;VAR:KEY=OZYFQHYJCD&amp;VAR:QUERY=UkdGX1RBWF9SQVRFKEFOTiwwLCwsLCwsTk9BVURJVCk=&amp;WINDOW=FIRST_POPUP&amp;HEIGHT=450&amp;WIDTH=450&amp;","START_MAXIMIZED=FALSE&amp;VAR:CALENDAR=US&amp;VAR:SYMBOL=AMZN&amp;VAR:INDEX=0"}</definedName>
    <definedName name="_3140__FDSAUDITLINK__" localSheetId="3" hidden="1">{"fdsup://directions/FAT Viewer?action=UPDATE&amp;creator=factset&amp;DYN_ARGS=TRUE&amp;DOC_NAME=FAT:FQL_AUDITING_CLIENT_TEMPLATE.FAT&amp;display_string=Audit&amp;VAR:KEY=UPKDEVMPIN&amp;VAR:QUERY=UkdGX1RBWF9SQVRFKEFOTiwwLCwsLCwsTk9BVURJVCk=&amp;WINDOW=FIRST_POPUP&amp;HEIGHT=450&amp;WIDTH=450&amp;","START_MAXIMIZED=FALSE&amp;VAR:CALENDAR=US&amp;VAR:SYMBOL=AKAM&amp;VAR:INDEX=0"}</definedName>
    <definedName name="_3140__FDSAUDITLINK__" localSheetId="7" hidden="1">{"fdsup://directions/FAT Viewer?action=UPDATE&amp;creator=factset&amp;DYN_ARGS=TRUE&amp;DOC_NAME=FAT:FQL_AUDITING_CLIENT_TEMPLATE.FAT&amp;display_string=Audit&amp;VAR:KEY=UPKDEVMPIN&amp;VAR:QUERY=UkdGX1RBWF9SQVRFKEFOTiwwLCwsLCwsTk9BVURJVCk=&amp;WINDOW=FIRST_POPUP&amp;HEIGHT=450&amp;WIDTH=450&amp;","START_MAXIMIZED=FALSE&amp;VAR:CALENDAR=US&amp;VAR:SYMBOL=AKAM&amp;VAR:INDEX=0"}</definedName>
    <definedName name="_3140__FDSAUDITLINK__" hidden="1">{"fdsup://directions/FAT Viewer?action=UPDATE&amp;creator=factset&amp;DYN_ARGS=TRUE&amp;DOC_NAME=FAT:FQL_AUDITING_CLIENT_TEMPLATE.FAT&amp;display_string=Audit&amp;VAR:KEY=UPKDEVMPIN&amp;VAR:QUERY=UkdGX1RBWF9SQVRFKEFOTiwwLCwsLCwsTk9BVURJVCk=&amp;WINDOW=FIRST_POPUP&amp;HEIGHT=450&amp;WIDTH=450&amp;","START_MAXIMIZED=FALSE&amp;VAR:CALENDAR=US&amp;VAR:SYMBOL=AKAM&amp;VAR:INDEX=0"}</definedName>
    <definedName name="_3141__FDSAUDITLINK__" localSheetId="3" hidden="1">{"fdsup://directions/FAT Viewer?action=UPDATE&amp;creator=factset&amp;DYN_ARGS=TRUE&amp;DOC_NAME=FAT:FQL_AUDITING_CLIENT_TEMPLATE.FAT&amp;display_string=Audit&amp;VAR:KEY=UPKDEVMPIN&amp;VAR:QUERY=UkdGX1RBWF9SQVRFKEFOTiwwLCwsLCwsTk9BVURJVCk=&amp;WINDOW=FIRST_POPUP&amp;HEIGHT=450&amp;WIDTH=450&amp;","START_MAXIMIZED=FALSE&amp;VAR:CALENDAR=US&amp;VAR:SYMBOL=AKAM&amp;VAR:INDEX=0"}</definedName>
    <definedName name="_3141__FDSAUDITLINK__" localSheetId="7" hidden="1">{"fdsup://directions/FAT Viewer?action=UPDATE&amp;creator=factset&amp;DYN_ARGS=TRUE&amp;DOC_NAME=FAT:FQL_AUDITING_CLIENT_TEMPLATE.FAT&amp;display_string=Audit&amp;VAR:KEY=UPKDEVMPIN&amp;VAR:QUERY=UkdGX1RBWF9SQVRFKEFOTiwwLCwsLCwsTk9BVURJVCk=&amp;WINDOW=FIRST_POPUP&amp;HEIGHT=450&amp;WIDTH=450&amp;","START_MAXIMIZED=FALSE&amp;VAR:CALENDAR=US&amp;VAR:SYMBOL=AKAM&amp;VAR:INDEX=0"}</definedName>
    <definedName name="_3141__FDSAUDITLINK__" hidden="1">{"fdsup://directions/FAT Viewer?action=UPDATE&amp;creator=factset&amp;DYN_ARGS=TRUE&amp;DOC_NAME=FAT:FQL_AUDITING_CLIENT_TEMPLATE.FAT&amp;display_string=Audit&amp;VAR:KEY=UPKDEVMPIN&amp;VAR:QUERY=UkdGX1RBWF9SQVRFKEFOTiwwLCwsLCwsTk9BVURJVCk=&amp;WINDOW=FIRST_POPUP&amp;HEIGHT=450&amp;WIDTH=450&amp;","START_MAXIMIZED=FALSE&amp;VAR:CALENDAR=US&amp;VAR:SYMBOL=AKAM&amp;VAR:INDEX=0"}</definedName>
    <definedName name="_3142__FDSAUDITLINK__" localSheetId="3" hidden="1">{"fdsup://directions/FAT Viewer?action=UPDATE&amp;creator=factset&amp;DYN_ARGS=TRUE&amp;DOC_NAME=FAT:FQL_AUDITING_CLIENT_TEMPLATE.FAT&amp;display_string=Audit&amp;VAR:KEY=WXMFATWLAN&amp;VAR:QUERY=UkdGX1RBWF9SQVRFKEFOTiwwLCwsLCwsTk9BVURJVCk=&amp;WINDOW=FIRST_POPUP&amp;HEIGHT=450&amp;WIDTH=450&amp;","START_MAXIMIZED=FALSE&amp;VAR:CALENDAR=US&amp;VAR:SYMBOL=ADVS&amp;VAR:INDEX=0"}</definedName>
    <definedName name="_3142__FDSAUDITLINK__" localSheetId="7" hidden="1">{"fdsup://directions/FAT Viewer?action=UPDATE&amp;creator=factset&amp;DYN_ARGS=TRUE&amp;DOC_NAME=FAT:FQL_AUDITING_CLIENT_TEMPLATE.FAT&amp;display_string=Audit&amp;VAR:KEY=WXMFATWLAN&amp;VAR:QUERY=UkdGX1RBWF9SQVRFKEFOTiwwLCwsLCwsTk9BVURJVCk=&amp;WINDOW=FIRST_POPUP&amp;HEIGHT=450&amp;WIDTH=450&amp;","START_MAXIMIZED=FALSE&amp;VAR:CALENDAR=US&amp;VAR:SYMBOL=ADVS&amp;VAR:INDEX=0"}</definedName>
    <definedName name="_3142__FDSAUDITLINK__" hidden="1">{"fdsup://directions/FAT Viewer?action=UPDATE&amp;creator=factset&amp;DYN_ARGS=TRUE&amp;DOC_NAME=FAT:FQL_AUDITING_CLIENT_TEMPLATE.FAT&amp;display_string=Audit&amp;VAR:KEY=WXMFATWLAN&amp;VAR:QUERY=UkdGX1RBWF9SQVRFKEFOTiwwLCwsLCwsTk9BVURJVCk=&amp;WINDOW=FIRST_POPUP&amp;HEIGHT=450&amp;WIDTH=450&amp;","START_MAXIMIZED=FALSE&amp;VAR:CALENDAR=US&amp;VAR:SYMBOL=ADVS&amp;VAR:INDEX=0"}</definedName>
    <definedName name="_3143__FDSAUDITLINK__" localSheetId="3" hidden="1">{"fdsup://directions/FAT Viewer?action=UPDATE&amp;creator=factset&amp;DYN_ARGS=TRUE&amp;DOC_NAME=FAT:FQL_AUDITING_CLIENT_TEMPLATE.FAT&amp;display_string=Audit&amp;VAR:KEY=WXMFATWLAN&amp;VAR:QUERY=UkdGX1RBWF9SQVRFKEFOTiwwLCwsLCwsTk9BVURJVCk=&amp;WINDOW=FIRST_POPUP&amp;HEIGHT=450&amp;WIDTH=450&amp;","START_MAXIMIZED=FALSE&amp;VAR:CALENDAR=US&amp;VAR:SYMBOL=ADVS&amp;VAR:INDEX=0"}</definedName>
    <definedName name="_3143__FDSAUDITLINK__" localSheetId="7" hidden="1">{"fdsup://directions/FAT Viewer?action=UPDATE&amp;creator=factset&amp;DYN_ARGS=TRUE&amp;DOC_NAME=FAT:FQL_AUDITING_CLIENT_TEMPLATE.FAT&amp;display_string=Audit&amp;VAR:KEY=WXMFATWLAN&amp;VAR:QUERY=UkdGX1RBWF9SQVRFKEFOTiwwLCwsLCwsTk9BVURJVCk=&amp;WINDOW=FIRST_POPUP&amp;HEIGHT=450&amp;WIDTH=450&amp;","START_MAXIMIZED=FALSE&amp;VAR:CALENDAR=US&amp;VAR:SYMBOL=ADVS&amp;VAR:INDEX=0"}</definedName>
    <definedName name="_3143__FDSAUDITLINK__" hidden="1">{"fdsup://directions/FAT Viewer?action=UPDATE&amp;creator=factset&amp;DYN_ARGS=TRUE&amp;DOC_NAME=FAT:FQL_AUDITING_CLIENT_TEMPLATE.FAT&amp;display_string=Audit&amp;VAR:KEY=WXMFATWLAN&amp;VAR:QUERY=UkdGX1RBWF9SQVRFKEFOTiwwLCwsLCwsTk9BVURJVCk=&amp;WINDOW=FIRST_POPUP&amp;HEIGHT=450&amp;WIDTH=450&amp;","START_MAXIMIZED=FALSE&amp;VAR:CALENDAR=US&amp;VAR:SYMBOL=ADVS&amp;VAR:INDEX=0"}</definedName>
    <definedName name="_3144__FDSAUDITLINK__" localSheetId="3" hidden="1">{"fdsup://directions/FAT Viewer?action=UPDATE&amp;creator=factset&amp;DYN_ARGS=TRUE&amp;DOC_NAME=FAT:FQL_AUDITING_CLIENT_TEMPLATE.FAT&amp;display_string=Audit&amp;VAR:KEY=ODONGLGXWR&amp;VAR:QUERY=UkdGX1RBWF9SQVRFKEFOTiwwLCwsLCwsTk9BVURJVCk=&amp;WINDOW=FIRST_POPUP&amp;HEIGHT=450&amp;WIDTH=450&amp;","START_MAXIMIZED=FALSE&amp;VAR:CALENDAR=US&amp;VAR:SYMBOL=ADBE&amp;VAR:INDEX=0"}</definedName>
    <definedName name="_3144__FDSAUDITLINK__" localSheetId="7" hidden="1">{"fdsup://directions/FAT Viewer?action=UPDATE&amp;creator=factset&amp;DYN_ARGS=TRUE&amp;DOC_NAME=FAT:FQL_AUDITING_CLIENT_TEMPLATE.FAT&amp;display_string=Audit&amp;VAR:KEY=ODONGLGXWR&amp;VAR:QUERY=UkdGX1RBWF9SQVRFKEFOTiwwLCwsLCwsTk9BVURJVCk=&amp;WINDOW=FIRST_POPUP&amp;HEIGHT=450&amp;WIDTH=450&amp;","START_MAXIMIZED=FALSE&amp;VAR:CALENDAR=US&amp;VAR:SYMBOL=ADBE&amp;VAR:INDEX=0"}</definedName>
    <definedName name="_3144__FDSAUDITLINK__" hidden="1">{"fdsup://directions/FAT Viewer?action=UPDATE&amp;creator=factset&amp;DYN_ARGS=TRUE&amp;DOC_NAME=FAT:FQL_AUDITING_CLIENT_TEMPLATE.FAT&amp;display_string=Audit&amp;VAR:KEY=ODONGLGXWR&amp;VAR:QUERY=UkdGX1RBWF9SQVRFKEFOTiwwLCwsLCwsTk9BVURJVCk=&amp;WINDOW=FIRST_POPUP&amp;HEIGHT=450&amp;WIDTH=450&amp;","START_MAXIMIZED=FALSE&amp;VAR:CALENDAR=US&amp;VAR:SYMBOL=ADBE&amp;VAR:INDEX=0"}</definedName>
    <definedName name="_3145__FDSAUDITLINK__" localSheetId="3" hidden="1">{"fdsup://directions/FAT Viewer?action=UPDATE&amp;creator=factset&amp;DYN_ARGS=TRUE&amp;DOC_NAME=FAT:FQL_AUDITING_CLIENT_TEMPLATE.FAT&amp;display_string=Audit&amp;VAR:KEY=ODONGLGXWR&amp;VAR:QUERY=UkdGX1RBWF9SQVRFKEFOTiwwLCwsLCwsTk9BVURJVCk=&amp;WINDOW=FIRST_POPUP&amp;HEIGHT=450&amp;WIDTH=450&amp;","START_MAXIMIZED=FALSE&amp;VAR:CALENDAR=US&amp;VAR:SYMBOL=ADBE&amp;VAR:INDEX=0"}</definedName>
    <definedName name="_3145__FDSAUDITLINK__" localSheetId="7" hidden="1">{"fdsup://directions/FAT Viewer?action=UPDATE&amp;creator=factset&amp;DYN_ARGS=TRUE&amp;DOC_NAME=FAT:FQL_AUDITING_CLIENT_TEMPLATE.FAT&amp;display_string=Audit&amp;VAR:KEY=ODONGLGXWR&amp;VAR:QUERY=UkdGX1RBWF9SQVRFKEFOTiwwLCwsLCwsTk9BVURJVCk=&amp;WINDOW=FIRST_POPUP&amp;HEIGHT=450&amp;WIDTH=450&amp;","START_MAXIMIZED=FALSE&amp;VAR:CALENDAR=US&amp;VAR:SYMBOL=ADBE&amp;VAR:INDEX=0"}</definedName>
    <definedName name="_3145__FDSAUDITLINK__" hidden="1">{"fdsup://directions/FAT Viewer?action=UPDATE&amp;creator=factset&amp;DYN_ARGS=TRUE&amp;DOC_NAME=FAT:FQL_AUDITING_CLIENT_TEMPLATE.FAT&amp;display_string=Audit&amp;VAR:KEY=ODONGLGXWR&amp;VAR:QUERY=UkdGX1RBWF9SQVRFKEFOTiwwLCwsLCwsTk9BVURJVCk=&amp;WINDOW=FIRST_POPUP&amp;HEIGHT=450&amp;WIDTH=450&amp;","START_MAXIMIZED=FALSE&amp;VAR:CALENDAR=US&amp;VAR:SYMBOL=ADBE&amp;VAR:INDEX=0"}</definedName>
    <definedName name="_3146__FDSAUDITLINK__" localSheetId="3" hidden="1">{"fdsup://directions/FAT Viewer?action=UPDATE&amp;creator=factset&amp;DYN_ARGS=TRUE&amp;DOC_NAME=FAT:FQL_AUDITING_CLIENT_TEMPLATE.FAT&amp;display_string=Audit&amp;VAR:KEY=GZCZWNMLCN&amp;VAR:QUERY=UkdGX1RBWF9SQVRFKEFOTiwwLCwsLCwsTk9BVURJVCk=&amp;WINDOW=FIRST_POPUP&amp;HEIGHT=450&amp;WIDTH=450&amp;","START_MAXIMIZED=FALSE&amp;VAR:CALENDAR=US&amp;VAR:SYMBOL=ACTU&amp;VAR:INDEX=0"}</definedName>
    <definedName name="_3146__FDSAUDITLINK__" localSheetId="7" hidden="1">{"fdsup://directions/FAT Viewer?action=UPDATE&amp;creator=factset&amp;DYN_ARGS=TRUE&amp;DOC_NAME=FAT:FQL_AUDITING_CLIENT_TEMPLATE.FAT&amp;display_string=Audit&amp;VAR:KEY=GZCZWNMLCN&amp;VAR:QUERY=UkdGX1RBWF9SQVRFKEFOTiwwLCwsLCwsTk9BVURJVCk=&amp;WINDOW=FIRST_POPUP&amp;HEIGHT=450&amp;WIDTH=450&amp;","START_MAXIMIZED=FALSE&amp;VAR:CALENDAR=US&amp;VAR:SYMBOL=ACTU&amp;VAR:INDEX=0"}</definedName>
    <definedName name="_3146__FDSAUDITLINK__" hidden="1">{"fdsup://directions/FAT Viewer?action=UPDATE&amp;creator=factset&amp;DYN_ARGS=TRUE&amp;DOC_NAME=FAT:FQL_AUDITING_CLIENT_TEMPLATE.FAT&amp;display_string=Audit&amp;VAR:KEY=GZCZWNMLCN&amp;VAR:QUERY=UkdGX1RBWF9SQVRFKEFOTiwwLCwsLCwsTk9BVURJVCk=&amp;WINDOW=FIRST_POPUP&amp;HEIGHT=450&amp;WIDTH=450&amp;","START_MAXIMIZED=FALSE&amp;VAR:CALENDAR=US&amp;VAR:SYMBOL=ACTU&amp;VAR:INDEX=0"}</definedName>
    <definedName name="_3147__FDSAUDITLINK__" localSheetId="3" hidden="1">{"fdsup://directions/FAT Viewer?action=UPDATE&amp;creator=factset&amp;DYN_ARGS=TRUE&amp;DOC_NAME=FAT:FQL_AUDITING_CLIENT_TEMPLATE.FAT&amp;display_string=Audit&amp;VAR:KEY=GZCZWNMLCN&amp;VAR:QUERY=UkdGX1RBWF9SQVRFKEFOTiwwLCwsLCwsTk9BVURJVCk=&amp;WINDOW=FIRST_POPUP&amp;HEIGHT=450&amp;WIDTH=450&amp;","START_MAXIMIZED=FALSE&amp;VAR:CALENDAR=US&amp;VAR:SYMBOL=ACTU&amp;VAR:INDEX=0"}</definedName>
    <definedName name="_3147__FDSAUDITLINK__" localSheetId="7" hidden="1">{"fdsup://directions/FAT Viewer?action=UPDATE&amp;creator=factset&amp;DYN_ARGS=TRUE&amp;DOC_NAME=FAT:FQL_AUDITING_CLIENT_TEMPLATE.FAT&amp;display_string=Audit&amp;VAR:KEY=GZCZWNMLCN&amp;VAR:QUERY=UkdGX1RBWF9SQVRFKEFOTiwwLCwsLCwsTk9BVURJVCk=&amp;WINDOW=FIRST_POPUP&amp;HEIGHT=450&amp;WIDTH=450&amp;","START_MAXIMIZED=FALSE&amp;VAR:CALENDAR=US&amp;VAR:SYMBOL=ACTU&amp;VAR:INDEX=0"}</definedName>
    <definedName name="_3147__FDSAUDITLINK__" hidden="1">{"fdsup://directions/FAT Viewer?action=UPDATE&amp;creator=factset&amp;DYN_ARGS=TRUE&amp;DOC_NAME=FAT:FQL_AUDITING_CLIENT_TEMPLATE.FAT&amp;display_string=Audit&amp;VAR:KEY=GZCZWNMLCN&amp;VAR:QUERY=UkdGX1RBWF9SQVRFKEFOTiwwLCwsLCwsTk9BVURJVCk=&amp;WINDOW=FIRST_POPUP&amp;HEIGHT=450&amp;WIDTH=450&amp;","START_MAXIMIZED=FALSE&amp;VAR:CALENDAR=US&amp;VAR:SYMBOL=ACTU&amp;VAR:INDEX=0"}</definedName>
    <definedName name="_3148__FDSAUDITLINK__" localSheetId="3" hidden="1">{"fdsup://directions/FAT Viewer?action=UPDATE&amp;creator=factset&amp;DYN_ARGS=TRUE&amp;DOC_NAME=FAT:FQL_AUDITING_CLIENT_TEMPLATE.FAT&amp;display_string=Audit&amp;VAR:KEY=KNCDALORAH&amp;VAR:QUERY=UkdGX1RBWF9SQVRFKEFOTiwwLCwsLCwsTk9BVURJVCk=&amp;WINDOW=FIRST_POPUP&amp;HEIGHT=450&amp;WIDTH=450&amp;","START_MAXIMIZED=FALSE&amp;VAR:CALENDAR=US&amp;VAR:SYMBOL=ACTI&amp;VAR:INDEX=0"}</definedName>
    <definedName name="_3148__FDSAUDITLINK__" localSheetId="7" hidden="1">{"fdsup://directions/FAT Viewer?action=UPDATE&amp;creator=factset&amp;DYN_ARGS=TRUE&amp;DOC_NAME=FAT:FQL_AUDITING_CLIENT_TEMPLATE.FAT&amp;display_string=Audit&amp;VAR:KEY=KNCDALORAH&amp;VAR:QUERY=UkdGX1RBWF9SQVRFKEFOTiwwLCwsLCwsTk9BVURJVCk=&amp;WINDOW=FIRST_POPUP&amp;HEIGHT=450&amp;WIDTH=450&amp;","START_MAXIMIZED=FALSE&amp;VAR:CALENDAR=US&amp;VAR:SYMBOL=ACTI&amp;VAR:INDEX=0"}</definedName>
    <definedName name="_3148__FDSAUDITLINK__" hidden="1">{"fdsup://directions/FAT Viewer?action=UPDATE&amp;creator=factset&amp;DYN_ARGS=TRUE&amp;DOC_NAME=FAT:FQL_AUDITING_CLIENT_TEMPLATE.FAT&amp;display_string=Audit&amp;VAR:KEY=KNCDALORAH&amp;VAR:QUERY=UkdGX1RBWF9SQVRFKEFOTiwwLCwsLCwsTk9BVURJVCk=&amp;WINDOW=FIRST_POPUP&amp;HEIGHT=450&amp;WIDTH=450&amp;","START_MAXIMIZED=FALSE&amp;VAR:CALENDAR=US&amp;VAR:SYMBOL=ACTI&amp;VAR:INDEX=0"}</definedName>
    <definedName name="_3149__FDSAUDITLINK__" localSheetId="3" hidden="1">{"fdsup://directions/FAT Viewer?action=UPDATE&amp;creator=factset&amp;DYN_ARGS=TRUE&amp;DOC_NAME=FAT:FQL_AUDITING_CLIENT_TEMPLATE.FAT&amp;display_string=Audit&amp;VAR:KEY=GNIPAZKPMF&amp;VAR:QUERY=UkdGX1RBWF9SQVRFKEFOTiwwLCwsLCwsTk9BVURJVCk=&amp;WINDOW=FIRST_POPUP&amp;HEIGHT=450&amp;WIDTH=450&amp;","START_MAXIMIZED=FALSE&amp;VAR:CALENDAR=US&amp;VAR:SYMBOL=632430&amp;VAR:INDEX=0"}</definedName>
    <definedName name="_3149__FDSAUDITLINK__" localSheetId="7" hidden="1">{"fdsup://directions/FAT Viewer?action=UPDATE&amp;creator=factset&amp;DYN_ARGS=TRUE&amp;DOC_NAME=FAT:FQL_AUDITING_CLIENT_TEMPLATE.FAT&amp;display_string=Audit&amp;VAR:KEY=GNIPAZKPMF&amp;VAR:QUERY=UkdGX1RBWF9SQVRFKEFOTiwwLCwsLCwsTk9BVURJVCk=&amp;WINDOW=FIRST_POPUP&amp;HEIGHT=450&amp;WIDTH=450&amp;","START_MAXIMIZED=FALSE&amp;VAR:CALENDAR=US&amp;VAR:SYMBOL=632430&amp;VAR:INDEX=0"}</definedName>
    <definedName name="_3149__FDSAUDITLINK__" hidden="1">{"fdsup://directions/FAT Viewer?action=UPDATE&amp;creator=factset&amp;DYN_ARGS=TRUE&amp;DOC_NAME=FAT:FQL_AUDITING_CLIENT_TEMPLATE.FAT&amp;display_string=Audit&amp;VAR:KEY=GNIPAZKPMF&amp;VAR:QUERY=UkdGX1RBWF9SQVRFKEFOTiwwLCwsLCwsTk9BVURJVCk=&amp;WINDOW=FIRST_POPUP&amp;HEIGHT=450&amp;WIDTH=450&amp;","START_MAXIMIZED=FALSE&amp;VAR:CALENDAR=US&amp;VAR:SYMBOL=632430&amp;VAR:INDEX=0"}</definedName>
    <definedName name="_3150__FDSAUDITLINK__" localSheetId="3" hidden="1">{"fdsup://directions/FAT Viewer?action=UPDATE&amp;creator=factset&amp;DYN_ARGS=TRUE&amp;DOC_NAME=FAT:FQL_AUDITING_CLIENT_TEMPLATE.FAT&amp;display_string=Audit&amp;VAR:KEY=GNIPAZKPMF&amp;VAR:QUERY=UkdGX1RBWF9SQVRFKEFOTiwwLCwsLCwsTk9BVURJVCk=&amp;WINDOW=FIRST_POPUP&amp;HEIGHT=450&amp;WIDTH=450&amp;","START_MAXIMIZED=FALSE&amp;VAR:CALENDAR=US&amp;VAR:SYMBOL=632430&amp;VAR:INDEX=0"}</definedName>
    <definedName name="_3150__FDSAUDITLINK__" localSheetId="7" hidden="1">{"fdsup://directions/FAT Viewer?action=UPDATE&amp;creator=factset&amp;DYN_ARGS=TRUE&amp;DOC_NAME=FAT:FQL_AUDITING_CLIENT_TEMPLATE.FAT&amp;display_string=Audit&amp;VAR:KEY=GNIPAZKPMF&amp;VAR:QUERY=UkdGX1RBWF9SQVRFKEFOTiwwLCwsLCwsTk9BVURJVCk=&amp;WINDOW=FIRST_POPUP&amp;HEIGHT=450&amp;WIDTH=450&amp;","START_MAXIMIZED=FALSE&amp;VAR:CALENDAR=US&amp;VAR:SYMBOL=632430&amp;VAR:INDEX=0"}</definedName>
    <definedName name="_3150__FDSAUDITLINK__" hidden="1">{"fdsup://directions/FAT Viewer?action=UPDATE&amp;creator=factset&amp;DYN_ARGS=TRUE&amp;DOC_NAME=FAT:FQL_AUDITING_CLIENT_TEMPLATE.FAT&amp;display_string=Audit&amp;VAR:KEY=GNIPAZKPMF&amp;VAR:QUERY=UkdGX1RBWF9SQVRFKEFOTiwwLCwsLCwsTk9BVURJVCk=&amp;WINDOW=FIRST_POPUP&amp;HEIGHT=450&amp;WIDTH=450&amp;","START_MAXIMIZED=FALSE&amp;VAR:CALENDAR=US&amp;VAR:SYMBOL=632430&amp;VAR:INDEX=0"}</definedName>
    <definedName name="_3151__FDSAUDITLINK__" localSheetId="3" hidden="1">{"fdsup://directions/FAT Viewer?action=UPDATE&amp;creator=factset&amp;DYN_ARGS=TRUE&amp;DOC_NAME=FAT:FQL_AUDITING_CLIENT_TEMPLATE.FAT&amp;display_string=Audit&amp;VAR:KEY=KVGXGPSBMH&amp;VAR:QUERY=UkdGX1RBWF9SQVRFKEFOTiwwLCwsLCwsTk9BVURJVCk=&amp;WINDOW=FIRST_POPUP&amp;HEIGHT=450&amp;WIDTH=450&amp;","START_MAXIMIZED=FALSE&amp;VAR:CALENDAR=US&amp;VAR:SYMBOL=ACCL&amp;VAR:INDEX=0"}</definedName>
    <definedName name="_3151__FDSAUDITLINK__" localSheetId="7" hidden="1">{"fdsup://directions/FAT Viewer?action=UPDATE&amp;creator=factset&amp;DYN_ARGS=TRUE&amp;DOC_NAME=FAT:FQL_AUDITING_CLIENT_TEMPLATE.FAT&amp;display_string=Audit&amp;VAR:KEY=KVGXGPSBMH&amp;VAR:QUERY=UkdGX1RBWF9SQVRFKEFOTiwwLCwsLCwsTk9BVURJVCk=&amp;WINDOW=FIRST_POPUP&amp;HEIGHT=450&amp;WIDTH=450&amp;","START_MAXIMIZED=FALSE&amp;VAR:CALENDAR=US&amp;VAR:SYMBOL=ACCL&amp;VAR:INDEX=0"}</definedName>
    <definedName name="_3151__FDSAUDITLINK__" hidden="1">{"fdsup://directions/FAT Viewer?action=UPDATE&amp;creator=factset&amp;DYN_ARGS=TRUE&amp;DOC_NAME=FAT:FQL_AUDITING_CLIENT_TEMPLATE.FAT&amp;display_string=Audit&amp;VAR:KEY=KVGXGPSBMH&amp;VAR:QUERY=UkdGX1RBWF9SQVRFKEFOTiwwLCwsLCwsTk9BVURJVCk=&amp;WINDOW=FIRST_POPUP&amp;HEIGHT=450&amp;WIDTH=450&amp;","START_MAXIMIZED=FALSE&amp;VAR:CALENDAR=US&amp;VAR:SYMBOL=ACCL&amp;VAR:INDEX=0"}</definedName>
    <definedName name="_3152__FDSAUDITLINK__" localSheetId="3" hidden="1">{"fdsup://directions/FAT Viewer?action=UPDATE&amp;creator=factset&amp;DYN_ARGS=TRUE&amp;DOC_NAME=FAT:FQL_AUDITING_CLIENT_TEMPLATE.FAT&amp;display_string=Audit&amp;VAR:KEY=KVGXGPSBMH&amp;VAR:QUERY=UkdGX1RBWF9SQVRFKEFOTiwwLCwsLCwsTk9BVURJVCk=&amp;WINDOW=FIRST_POPUP&amp;HEIGHT=450&amp;WIDTH=450&amp;","START_MAXIMIZED=FALSE&amp;VAR:CALENDAR=US&amp;VAR:SYMBOL=ACCL&amp;VAR:INDEX=0"}</definedName>
    <definedName name="_3152__FDSAUDITLINK__" localSheetId="7" hidden="1">{"fdsup://directions/FAT Viewer?action=UPDATE&amp;creator=factset&amp;DYN_ARGS=TRUE&amp;DOC_NAME=FAT:FQL_AUDITING_CLIENT_TEMPLATE.FAT&amp;display_string=Audit&amp;VAR:KEY=KVGXGPSBMH&amp;VAR:QUERY=UkdGX1RBWF9SQVRFKEFOTiwwLCwsLCwsTk9BVURJVCk=&amp;WINDOW=FIRST_POPUP&amp;HEIGHT=450&amp;WIDTH=450&amp;","START_MAXIMIZED=FALSE&amp;VAR:CALENDAR=US&amp;VAR:SYMBOL=ACCL&amp;VAR:INDEX=0"}</definedName>
    <definedName name="_3152__FDSAUDITLINK__" hidden="1">{"fdsup://directions/FAT Viewer?action=UPDATE&amp;creator=factset&amp;DYN_ARGS=TRUE&amp;DOC_NAME=FAT:FQL_AUDITING_CLIENT_TEMPLATE.FAT&amp;display_string=Audit&amp;VAR:KEY=KVGXGPSBMH&amp;VAR:QUERY=UkdGX1RBWF9SQVRFKEFOTiwwLCwsLCwsTk9BVURJVCk=&amp;WINDOW=FIRST_POPUP&amp;HEIGHT=450&amp;WIDTH=450&amp;","START_MAXIMIZED=FALSE&amp;VAR:CALENDAR=US&amp;VAR:SYMBOL=ACCL&amp;VAR:INDEX=0"}</definedName>
    <definedName name="_3153__FDSAUDITLINK__" localSheetId="3" hidden="1">{"fdsup://directions/FAT Viewer?action=UPDATE&amp;creator=factset&amp;DYN_ARGS=TRUE&amp;DOC_NAME=FAT:FQL_AUDITING_CLIENT_TEMPLATE.FAT&amp;display_string=Audit&amp;VAR:KEY=OLMRGJSXYP&amp;VAR:QUERY=UkdGX1RBWF9SQVRFKEFOTiwwLCwsLCwsTk9BVURJVCk=&amp;WINDOW=FIRST_POPUP&amp;HEIGHT=450&amp;WIDTH=450&amp;","START_MAXIMIZED=FALSE&amp;VAR:CALENDAR=US&amp;VAR:SYMBOL=257076&amp;VAR:INDEX=0"}</definedName>
    <definedName name="_3153__FDSAUDITLINK__" localSheetId="7" hidden="1">{"fdsup://directions/FAT Viewer?action=UPDATE&amp;creator=factset&amp;DYN_ARGS=TRUE&amp;DOC_NAME=FAT:FQL_AUDITING_CLIENT_TEMPLATE.FAT&amp;display_string=Audit&amp;VAR:KEY=OLMRGJSXYP&amp;VAR:QUERY=UkdGX1RBWF9SQVRFKEFOTiwwLCwsLCwsTk9BVURJVCk=&amp;WINDOW=FIRST_POPUP&amp;HEIGHT=450&amp;WIDTH=450&amp;","START_MAXIMIZED=FALSE&amp;VAR:CALENDAR=US&amp;VAR:SYMBOL=257076&amp;VAR:INDEX=0"}</definedName>
    <definedName name="_3153__FDSAUDITLINK__" hidden="1">{"fdsup://directions/FAT Viewer?action=UPDATE&amp;creator=factset&amp;DYN_ARGS=TRUE&amp;DOC_NAME=FAT:FQL_AUDITING_CLIENT_TEMPLATE.FAT&amp;display_string=Audit&amp;VAR:KEY=OLMRGJSXYP&amp;VAR:QUERY=UkdGX1RBWF9SQVRFKEFOTiwwLCwsLCwsTk9BVURJVCk=&amp;WINDOW=FIRST_POPUP&amp;HEIGHT=450&amp;WIDTH=450&amp;","START_MAXIMIZED=FALSE&amp;VAR:CALENDAR=US&amp;VAR:SYMBOL=257076&amp;VAR:INDEX=0"}</definedName>
    <definedName name="_3154__FDSAUDITLINK__" localSheetId="3" hidden="1">{"fdsup://directions/FAT Viewer?action=UPDATE&amp;creator=factset&amp;DYN_ARGS=TRUE&amp;DOC_NAME=FAT:FQL_AUDITING_CLIENT_TEMPLATE.FAT&amp;display_string=Audit&amp;VAR:KEY=MVOHMTUHMT&amp;VAR:QUERY=UkdGX1RBWF9SQVRFKEFOTiwwLCwsLCwsTk9BVURJVCk=&amp;WINDOW=FIRST_POPUP&amp;HEIGHT=450&amp;WIDTH=450&amp;","START_MAXIMIZED=FALSE&amp;VAR:CALENDAR=US&amp;VAR:SYMBOL=AAPL&amp;VAR:INDEX=0"}</definedName>
    <definedName name="_3154__FDSAUDITLINK__" localSheetId="7" hidden="1">{"fdsup://directions/FAT Viewer?action=UPDATE&amp;creator=factset&amp;DYN_ARGS=TRUE&amp;DOC_NAME=FAT:FQL_AUDITING_CLIENT_TEMPLATE.FAT&amp;display_string=Audit&amp;VAR:KEY=MVOHMTUHMT&amp;VAR:QUERY=UkdGX1RBWF9SQVRFKEFOTiwwLCwsLCwsTk9BVURJVCk=&amp;WINDOW=FIRST_POPUP&amp;HEIGHT=450&amp;WIDTH=450&amp;","START_MAXIMIZED=FALSE&amp;VAR:CALENDAR=US&amp;VAR:SYMBOL=AAPL&amp;VAR:INDEX=0"}</definedName>
    <definedName name="_3154__FDSAUDITLINK__" hidden="1">{"fdsup://directions/FAT Viewer?action=UPDATE&amp;creator=factset&amp;DYN_ARGS=TRUE&amp;DOC_NAME=FAT:FQL_AUDITING_CLIENT_TEMPLATE.FAT&amp;display_string=Audit&amp;VAR:KEY=MVOHMTUHMT&amp;VAR:QUERY=UkdGX1RBWF9SQVRFKEFOTiwwLCwsLCwsTk9BVURJVCk=&amp;WINDOW=FIRST_POPUP&amp;HEIGHT=450&amp;WIDTH=450&amp;","START_MAXIMIZED=FALSE&amp;VAR:CALENDAR=US&amp;VAR:SYMBOL=AAPL&amp;VAR:INDEX=0"}</definedName>
    <definedName name="_3155__FDSAUDITLINK__" localSheetId="3" hidden="1">{"fdsup://directions/FAT Viewer?action=UPDATE&amp;creator=factset&amp;DYN_ARGS=TRUE&amp;DOC_NAME=FAT:FQL_AUDITING_CLIENT_TEMPLATE.FAT&amp;display_string=Audit&amp;VAR:KEY=MVOHMTUHMT&amp;VAR:QUERY=UkdGX1RBWF9SQVRFKEFOTiwwLCwsLCwsTk9BVURJVCk=&amp;WINDOW=FIRST_POPUP&amp;HEIGHT=450&amp;WIDTH=450&amp;","START_MAXIMIZED=FALSE&amp;VAR:CALENDAR=US&amp;VAR:SYMBOL=AAPL&amp;VAR:INDEX=0"}</definedName>
    <definedName name="_3155__FDSAUDITLINK__" localSheetId="7" hidden="1">{"fdsup://directions/FAT Viewer?action=UPDATE&amp;creator=factset&amp;DYN_ARGS=TRUE&amp;DOC_NAME=FAT:FQL_AUDITING_CLIENT_TEMPLATE.FAT&amp;display_string=Audit&amp;VAR:KEY=MVOHMTUHMT&amp;VAR:QUERY=UkdGX1RBWF9SQVRFKEFOTiwwLCwsLCwsTk9BVURJVCk=&amp;WINDOW=FIRST_POPUP&amp;HEIGHT=450&amp;WIDTH=450&amp;","START_MAXIMIZED=FALSE&amp;VAR:CALENDAR=US&amp;VAR:SYMBOL=AAPL&amp;VAR:INDEX=0"}</definedName>
    <definedName name="_3155__FDSAUDITLINK__" hidden="1">{"fdsup://directions/FAT Viewer?action=UPDATE&amp;creator=factset&amp;DYN_ARGS=TRUE&amp;DOC_NAME=FAT:FQL_AUDITING_CLIENT_TEMPLATE.FAT&amp;display_string=Audit&amp;VAR:KEY=MVOHMTUHMT&amp;VAR:QUERY=UkdGX1RBWF9SQVRFKEFOTiwwLCwsLCwsTk9BVURJVCk=&amp;WINDOW=FIRST_POPUP&amp;HEIGHT=450&amp;WIDTH=450&amp;","START_MAXIMIZED=FALSE&amp;VAR:CALENDAR=US&amp;VAR:SYMBOL=AAPL&amp;VAR:INDEX=0"}</definedName>
    <definedName name="_3156__FDSAUDITLINK__" localSheetId="3" hidden="1">{"fdsup://directions/FAT Viewer?action=UPDATE&amp;creator=factset&amp;DYN_ARGS=TRUE&amp;DOC_NAME=FAT:FQL_AUDITING_CLIENT_TEMPLATE.FAT&amp;display_string=Audit&amp;VAR:KEY=AZGPWHEHML&amp;VAR:QUERY=UkdGX1RBWF9SQVRFKEFOTiwwLCwsLCwsTk9BVURJVCk=&amp;WINDOW=FIRST_POPUP&amp;HEIGHT=450&amp;WIDTH=450&amp;","START_MAXIMIZED=FALSE&amp;VAR:CALENDAR=US&amp;VAR:SYMBOL=CSOD&amp;VAR:INDEX=0"}</definedName>
    <definedName name="_3156__FDSAUDITLINK__" localSheetId="7" hidden="1">{"fdsup://directions/FAT Viewer?action=UPDATE&amp;creator=factset&amp;DYN_ARGS=TRUE&amp;DOC_NAME=FAT:FQL_AUDITING_CLIENT_TEMPLATE.FAT&amp;display_string=Audit&amp;VAR:KEY=AZGPWHEHML&amp;VAR:QUERY=UkdGX1RBWF9SQVRFKEFOTiwwLCwsLCwsTk9BVURJVCk=&amp;WINDOW=FIRST_POPUP&amp;HEIGHT=450&amp;WIDTH=450&amp;","START_MAXIMIZED=FALSE&amp;VAR:CALENDAR=US&amp;VAR:SYMBOL=CSOD&amp;VAR:INDEX=0"}</definedName>
    <definedName name="_3156__FDSAUDITLINK__" hidden="1">{"fdsup://directions/FAT Viewer?action=UPDATE&amp;creator=factset&amp;DYN_ARGS=TRUE&amp;DOC_NAME=FAT:FQL_AUDITING_CLIENT_TEMPLATE.FAT&amp;display_string=Audit&amp;VAR:KEY=AZGPWHEHML&amp;VAR:QUERY=UkdGX1RBWF9SQVRFKEFOTiwwLCwsLCwsTk9BVURJVCk=&amp;WINDOW=FIRST_POPUP&amp;HEIGHT=450&amp;WIDTH=450&amp;","START_MAXIMIZED=FALSE&amp;VAR:CALENDAR=US&amp;VAR:SYMBOL=CSOD&amp;VAR:INDEX=0"}</definedName>
    <definedName name="_3157__FDSAUDITLINK__" localSheetId="3" hidden="1">{"fdsup://directions/FAT Viewer?action=UPDATE&amp;creator=factset&amp;DYN_ARGS=TRUE&amp;DOC_NAME=FAT:FQL_AUDITING_CLIENT_TEMPLATE.FAT&amp;display_string=Audit&amp;VAR:KEY=ZEXIZYNWJG&amp;VAR:QUERY=UkdGX1RBWF9SQVRFKEFOTiwwLCwsLCwsTk9BVURJVCk=&amp;WINDOW=FIRST_POPUP&amp;HEIGHT=450&amp;WIDTH=450&amp;","START_MAXIMIZED=FALSE&amp;VAR:CALENDAR=US&amp;VAR:SYMBOL=FDS&amp;VAR:INDEX=0"}</definedName>
    <definedName name="_3157__FDSAUDITLINK__" localSheetId="7" hidden="1">{"fdsup://directions/FAT Viewer?action=UPDATE&amp;creator=factset&amp;DYN_ARGS=TRUE&amp;DOC_NAME=FAT:FQL_AUDITING_CLIENT_TEMPLATE.FAT&amp;display_string=Audit&amp;VAR:KEY=ZEXIZYNWJG&amp;VAR:QUERY=UkdGX1RBWF9SQVRFKEFOTiwwLCwsLCwsTk9BVURJVCk=&amp;WINDOW=FIRST_POPUP&amp;HEIGHT=450&amp;WIDTH=450&amp;","START_MAXIMIZED=FALSE&amp;VAR:CALENDAR=US&amp;VAR:SYMBOL=FDS&amp;VAR:INDEX=0"}</definedName>
    <definedName name="_3157__FDSAUDITLINK__" hidden="1">{"fdsup://directions/FAT Viewer?action=UPDATE&amp;creator=factset&amp;DYN_ARGS=TRUE&amp;DOC_NAME=FAT:FQL_AUDITING_CLIENT_TEMPLATE.FAT&amp;display_string=Audit&amp;VAR:KEY=ZEXIZYNWJG&amp;VAR:QUERY=UkdGX1RBWF9SQVRFKEFOTiwwLCwsLCwsTk9BVURJVCk=&amp;WINDOW=FIRST_POPUP&amp;HEIGHT=450&amp;WIDTH=450&amp;","START_MAXIMIZED=FALSE&amp;VAR:CALENDAR=US&amp;VAR:SYMBOL=FDS&amp;VAR:INDEX=0"}</definedName>
    <definedName name="_3158__FDSAUDITLINK__" localSheetId="3" hidden="1">{"fdsup://directions/FAT Viewer?action=UPDATE&amp;creator=factset&amp;DYN_ARGS=TRUE&amp;DOC_NAME=FAT:FQL_AUDITING_CLIENT_TEMPLATE.FAT&amp;display_string=Audit&amp;VAR:KEY=ZEXIZYNWJG&amp;VAR:QUERY=UkdGX1RBWF9SQVRFKEFOTiwwLCwsLCwsTk9BVURJVCk=&amp;WINDOW=FIRST_POPUP&amp;HEIGHT=450&amp;WIDTH=450&amp;","START_MAXIMIZED=FALSE&amp;VAR:CALENDAR=US&amp;VAR:SYMBOL=FDS&amp;VAR:INDEX=0"}</definedName>
    <definedName name="_3158__FDSAUDITLINK__" localSheetId="7" hidden="1">{"fdsup://directions/FAT Viewer?action=UPDATE&amp;creator=factset&amp;DYN_ARGS=TRUE&amp;DOC_NAME=FAT:FQL_AUDITING_CLIENT_TEMPLATE.FAT&amp;display_string=Audit&amp;VAR:KEY=ZEXIZYNWJG&amp;VAR:QUERY=UkdGX1RBWF9SQVRFKEFOTiwwLCwsLCwsTk9BVURJVCk=&amp;WINDOW=FIRST_POPUP&amp;HEIGHT=450&amp;WIDTH=450&amp;","START_MAXIMIZED=FALSE&amp;VAR:CALENDAR=US&amp;VAR:SYMBOL=FDS&amp;VAR:INDEX=0"}</definedName>
    <definedName name="_3158__FDSAUDITLINK__" hidden="1">{"fdsup://directions/FAT Viewer?action=UPDATE&amp;creator=factset&amp;DYN_ARGS=TRUE&amp;DOC_NAME=FAT:FQL_AUDITING_CLIENT_TEMPLATE.FAT&amp;display_string=Audit&amp;VAR:KEY=ZEXIZYNWJG&amp;VAR:QUERY=UkdGX1RBWF9SQVRFKEFOTiwwLCwsLCwsTk9BVURJVCk=&amp;WINDOW=FIRST_POPUP&amp;HEIGHT=450&amp;WIDTH=450&amp;","START_MAXIMIZED=FALSE&amp;VAR:CALENDAR=US&amp;VAR:SYMBOL=FDS&amp;VAR:INDEX=0"}</definedName>
    <definedName name="_3159__FDSAUDITLINK__" localSheetId="3" hidden="1">{"fdsup://directions/FAT Viewer?action=UPDATE&amp;creator=factset&amp;DYN_ARGS=TRUE&amp;DOC_NAME=FAT:FQL_AUDITING_CLIENT_TEMPLATE.FAT&amp;display_string=Audit&amp;VAR:KEY=LKHSREJETS&amp;VAR:QUERY=UkdGX1RBWF9SQVRFKEFOTiwwLCwsLCwsTk9BVURJVCk=&amp;WINDOW=FIRST_POPUP&amp;HEIGHT=450&amp;WIDTH=450&amp;","START_MAXIMIZED=FALSE&amp;VAR:CALENDAR=US&amp;VAR:SYMBOL=BLANK&amp;VAR:INDEX=0"}</definedName>
    <definedName name="_3159__FDSAUDITLINK__" localSheetId="7" hidden="1">{"fdsup://directions/FAT Viewer?action=UPDATE&amp;creator=factset&amp;DYN_ARGS=TRUE&amp;DOC_NAME=FAT:FQL_AUDITING_CLIENT_TEMPLATE.FAT&amp;display_string=Audit&amp;VAR:KEY=LKHSREJETS&amp;VAR:QUERY=UkdGX1RBWF9SQVRFKEFOTiwwLCwsLCwsTk9BVURJVCk=&amp;WINDOW=FIRST_POPUP&amp;HEIGHT=450&amp;WIDTH=450&amp;","START_MAXIMIZED=FALSE&amp;VAR:CALENDAR=US&amp;VAR:SYMBOL=BLANK&amp;VAR:INDEX=0"}</definedName>
    <definedName name="_3159__FDSAUDITLINK__" hidden="1">{"fdsup://directions/FAT Viewer?action=UPDATE&amp;creator=factset&amp;DYN_ARGS=TRUE&amp;DOC_NAME=FAT:FQL_AUDITING_CLIENT_TEMPLATE.FAT&amp;display_string=Audit&amp;VAR:KEY=LKHSREJETS&amp;VAR:QUERY=UkdGX1RBWF9SQVRFKEFOTiwwLCwsLCwsTk9BVURJVCk=&amp;WINDOW=FIRST_POPUP&amp;HEIGHT=450&amp;WIDTH=450&amp;","START_MAXIMIZED=FALSE&amp;VAR:CALENDAR=US&amp;VAR:SYMBOL=BLANK&amp;VAR:INDEX=0"}</definedName>
    <definedName name="_3160__FDSAUDITLINK__" localSheetId="3" hidden="1">{"fdsup://directions/FAT Viewer?action=UPDATE&amp;creator=factset&amp;DYN_ARGS=TRUE&amp;DOC_NAME=FAT:FQL_AUDITING_CLIENT_TEMPLATE.FAT&amp;display_string=Audit&amp;VAR:KEY=NMVQJGHURU&amp;VAR:QUERY=UkdGX1RBWF9SQVRFKEFOTiwwLCwsLCwsTk9BVURJVCk=&amp;WINDOW=FIRST_POPUP&amp;HEIGHT=450&amp;WIDTH=450&amp;","START_MAXIMIZED=FALSE&amp;VAR:CALENDAR=US&amp;VAR:SYMBOL=CMG&amp;VAR:INDEX=0"}</definedName>
    <definedName name="_3160__FDSAUDITLINK__" localSheetId="7" hidden="1">{"fdsup://directions/FAT Viewer?action=UPDATE&amp;creator=factset&amp;DYN_ARGS=TRUE&amp;DOC_NAME=FAT:FQL_AUDITING_CLIENT_TEMPLATE.FAT&amp;display_string=Audit&amp;VAR:KEY=NMVQJGHURU&amp;VAR:QUERY=UkdGX1RBWF9SQVRFKEFOTiwwLCwsLCwsTk9BVURJVCk=&amp;WINDOW=FIRST_POPUP&amp;HEIGHT=450&amp;WIDTH=450&amp;","START_MAXIMIZED=FALSE&amp;VAR:CALENDAR=US&amp;VAR:SYMBOL=CMG&amp;VAR:INDEX=0"}</definedName>
    <definedName name="_3160__FDSAUDITLINK__" hidden="1">{"fdsup://directions/FAT Viewer?action=UPDATE&amp;creator=factset&amp;DYN_ARGS=TRUE&amp;DOC_NAME=FAT:FQL_AUDITING_CLIENT_TEMPLATE.FAT&amp;display_string=Audit&amp;VAR:KEY=NMVQJGHURU&amp;VAR:QUERY=UkdGX1RBWF9SQVRFKEFOTiwwLCwsLCwsTk9BVURJVCk=&amp;WINDOW=FIRST_POPUP&amp;HEIGHT=450&amp;WIDTH=450&amp;","START_MAXIMIZED=FALSE&amp;VAR:CALENDAR=US&amp;VAR:SYMBOL=CMG&amp;VAR:INDEX=0"}</definedName>
    <definedName name="_3161__FDSAUDITLINK__" localSheetId="3" hidden="1">{"fdsup://directions/FAT Viewer?action=UPDATE&amp;creator=factset&amp;DYN_ARGS=TRUE&amp;DOC_NAME=FAT:FQL_AUDITING_CLIENT_TEMPLATE.FAT&amp;display_string=Audit&amp;VAR:KEY=NMVQJGHURU&amp;VAR:QUERY=UkdGX1RBWF9SQVRFKEFOTiwwLCwsLCwsTk9BVURJVCk=&amp;WINDOW=FIRST_POPUP&amp;HEIGHT=450&amp;WIDTH=450&amp;","START_MAXIMIZED=FALSE&amp;VAR:CALENDAR=US&amp;VAR:SYMBOL=CMG&amp;VAR:INDEX=0"}</definedName>
    <definedName name="_3161__FDSAUDITLINK__" localSheetId="7" hidden="1">{"fdsup://directions/FAT Viewer?action=UPDATE&amp;creator=factset&amp;DYN_ARGS=TRUE&amp;DOC_NAME=FAT:FQL_AUDITING_CLIENT_TEMPLATE.FAT&amp;display_string=Audit&amp;VAR:KEY=NMVQJGHURU&amp;VAR:QUERY=UkdGX1RBWF9SQVRFKEFOTiwwLCwsLCwsTk9BVURJVCk=&amp;WINDOW=FIRST_POPUP&amp;HEIGHT=450&amp;WIDTH=450&amp;","START_MAXIMIZED=FALSE&amp;VAR:CALENDAR=US&amp;VAR:SYMBOL=CMG&amp;VAR:INDEX=0"}</definedName>
    <definedName name="_3161__FDSAUDITLINK__" hidden="1">{"fdsup://directions/FAT Viewer?action=UPDATE&amp;creator=factset&amp;DYN_ARGS=TRUE&amp;DOC_NAME=FAT:FQL_AUDITING_CLIENT_TEMPLATE.FAT&amp;display_string=Audit&amp;VAR:KEY=NMVQJGHURU&amp;VAR:QUERY=UkdGX1RBWF9SQVRFKEFOTiwwLCwsLCwsTk9BVURJVCk=&amp;WINDOW=FIRST_POPUP&amp;HEIGHT=450&amp;WIDTH=450&amp;","START_MAXIMIZED=FALSE&amp;VAR:CALENDAR=US&amp;VAR:SYMBOL=CMG&amp;VAR:INDEX=0"}</definedName>
    <definedName name="_3162__FDSAUDITLINK__" localSheetId="3" hidden="1">{"fdsup://directions/FAT Viewer?action=UPDATE&amp;creator=factset&amp;DYN_ARGS=TRUE&amp;DOC_NAME=FAT:FQL_AUDITING_CLIENT_TEMPLATE.FAT&amp;display_string=Audit&amp;VAR:KEY=ZQVKDINALS&amp;VAR:QUERY=UkdGX1RBWF9SQVRFKEFOTiwwLCwsLCwsTk9BVURJVCk=&amp;WINDOW=FIRST_POPUP&amp;HEIGHT=450&amp;WIDTH=450&amp;","START_MAXIMIZED=FALSE&amp;VAR:CALENDAR=US&amp;VAR:SYMBOL=UA&amp;VAR:INDEX=0"}</definedName>
    <definedName name="_3162__FDSAUDITLINK__" localSheetId="7" hidden="1">{"fdsup://directions/FAT Viewer?action=UPDATE&amp;creator=factset&amp;DYN_ARGS=TRUE&amp;DOC_NAME=FAT:FQL_AUDITING_CLIENT_TEMPLATE.FAT&amp;display_string=Audit&amp;VAR:KEY=ZQVKDINALS&amp;VAR:QUERY=UkdGX1RBWF9SQVRFKEFOTiwwLCwsLCwsTk9BVURJVCk=&amp;WINDOW=FIRST_POPUP&amp;HEIGHT=450&amp;WIDTH=450&amp;","START_MAXIMIZED=FALSE&amp;VAR:CALENDAR=US&amp;VAR:SYMBOL=UA&amp;VAR:INDEX=0"}</definedName>
    <definedName name="_3162__FDSAUDITLINK__" hidden="1">{"fdsup://directions/FAT Viewer?action=UPDATE&amp;creator=factset&amp;DYN_ARGS=TRUE&amp;DOC_NAME=FAT:FQL_AUDITING_CLIENT_TEMPLATE.FAT&amp;display_string=Audit&amp;VAR:KEY=ZQVKDINALS&amp;VAR:QUERY=UkdGX1RBWF9SQVRFKEFOTiwwLCwsLCwsTk9BVURJVCk=&amp;WINDOW=FIRST_POPUP&amp;HEIGHT=450&amp;WIDTH=450&amp;","START_MAXIMIZED=FALSE&amp;VAR:CALENDAR=US&amp;VAR:SYMBOL=UA&amp;VAR:INDEX=0"}</definedName>
    <definedName name="_3163__FDSAUDITLINK__" localSheetId="3" hidden="1">{"fdsup://directions/FAT Viewer?action=UPDATE&amp;creator=factset&amp;DYN_ARGS=TRUE&amp;DOC_NAME=FAT:FQL_AUDITING_CLIENT_TEMPLATE.FAT&amp;display_string=Audit&amp;VAR:KEY=ZQVKDINALS&amp;VAR:QUERY=UkdGX1RBWF9SQVRFKEFOTiwwLCwsLCwsTk9BVURJVCk=&amp;WINDOW=FIRST_POPUP&amp;HEIGHT=450&amp;WIDTH=450&amp;","START_MAXIMIZED=FALSE&amp;VAR:CALENDAR=US&amp;VAR:SYMBOL=UA&amp;VAR:INDEX=0"}</definedName>
    <definedName name="_3163__FDSAUDITLINK__" localSheetId="7" hidden="1">{"fdsup://directions/FAT Viewer?action=UPDATE&amp;creator=factset&amp;DYN_ARGS=TRUE&amp;DOC_NAME=FAT:FQL_AUDITING_CLIENT_TEMPLATE.FAT&amp;display_string=Audit&amp;VAR:KEY=ZQVKDINALS&amp;VAR:QUERY=UkdGX1RBWF9SQVRFKEFOTiwwLCwsLCwsTk9BVURJVCk=&amp;WINDOW=FIRST_POPUP&amp;HEIGHT=450&amp;WIDTH=450&amp;","START_MAXIMIZED=FALSE&amp;VAR:CALENDAR=US&amp;VAR:SYMBOL=UA&amp;VAR:INDEX=0"}</definedName>
    <definedName name="_3163__FDSAUDITLINK__" hidden="1">{"fdsup://directions/FAT Viewer?action=UPDATE&amp;creator=factset&amp;DYN_ARGS=TRUE&amp;DOC_NAME=FAT:FQL_AUDITING_CLIENT_TEMPLATE.FAT&amp;display_string=Audit&amp;VAR:KEY=ZQVKDINALS&amp;VAR:QUERY=UkdGX1RBWF9SQVRFKEFOTiwwLCwsLCwsTk9BVURJVCk=&amp;WINDOW=FIRST_POPUP&amp;HEIGHT=450&amp;WIDTH=450&amp;","START_MAXIMIZED=FALSE&amp;VAR:CALENDAR=US&amp;VAR:SYMBOL=UA&amp;VAR:INDEX=0"}</definedName>
    <definedName name="_3164__FDSAUDITLINK__" localSheetId="3" hidden="1">{"fdsup://directions/FAT Viewer?action=UPDATE&amp;creator=factset&amp;DYN_ARGS=TRUE&amp;DOC_NAME=FAT:FQL_AUDITING_CLIENT_TEMPLATE.FAT&amp;display_string=Audit&amp;VAR:KEY=RSZOBWLSXG&amp;VAR:QUERY=UkdGX1RBWF9SQVRFKEFOTiwwLCwsLCwsTk9BVURJVCk=&amp;WINDOW=FIRST_POPUP&amp;HEIGHT=450&amp;WIDTH=450&amp;","START_MAXIMIZED=FALSE&amp;VAR:CALENDAR=US&amp;VAR:SYMBOL=WFMI&amp;VAR:INDEX=0"}</definedName>
    <definedName name="_3164__FDSAUDITLINK__" localSheetId="7" hidden="1">{"fdsup://directions/FAT Viewer?action=UPDATE&amp;creator=factset&amp;DYN_ARGS=TRUE&amp;DOC_NAME=FAT:FQL_AUDITING_CLIENT_TEMPLATE.FAT&amp;display_string=Audit&amp;VAR:KEY=RSZOBWLSXG&amp;VAR:QUERY=UkdGX1RBWF9SQVRFKEFOTiwwLCwsLCwsTk9BVURJVCk=&amp;WINDOW=FIRST_POPUP&amp;HEIGHT=450&amp;WIDTH=450&amp;","START_MAXIMIZED=FALSE&amp;VAR:CALENDAR=US&amp;VAR:SYMBOL=WFMI&amp;VAR:INDEX=0"}</definedName>
    <definedName name="_3164__FDSAUDITLINK__" hidden="1">{"fdsup://directions/FAT Viewer?action=UPDATE&amp;creator=factset&amp;DYN_ARGS=TRUE&amp;DOC_NAME=FAT:FQL_AUDITING_CLIENT_TEMPLATE.FAT&amp;display_string=Audit&amp;VAR:KEY=RSZOBWLSXG&amp;VAR:QUERY=UkdGX1RBWF9SQVRFKEFOTiwwLCwsLCwsTk9BVURJVCk=&amp;WINDOW=FIRST_POPUP&amp;HEIGHT=450&amp;WIDTH=450&amp;","START_MAXIMIZED=FALSE&amp;VAR:CALENDAR=US&amp;VAR:SYMBOL=WFMI&amp;VAR:INDEX=0"}</definedName>
    <definedName name="_3165__FDSAUDITLINK__" localSheetId="3" hidden="1">{"fdsup://directions/FAT Viewer?action=UPDATE&amp;creator=factset&amp;DYN_ARGS=TRUE&amp;DOC_NAME=FAT:FQL_AUDITING_CLIENT_TEMPLATE.FAT&amp;display_string=Audit&amp;VAR:KEY=RSZOBWLSXG&amp;VAR:QUERY=UkdGX1RBWF9SQVRFKEFOTiwwLCwsLCwsTk9BVURJVCk=&amp;WINDOW=FIRST_POPUP&amp;HEIGHT=450&amp;WIDTH=450&amp;","START_MAXIMIZED=FALSE&amp;VAR:CALENDAR=US&amp;VAR:SYMBOL=WFMI&amp;VAR:INDEX=0"}</definedName>
    <definedName name="_3165__FDSAUDITLINK__" localSheetId="7" hidden="1">{"fdsup://directions/FAT Viewer?action=UPDATE&amp;creator=factset&amp;DYN_ARGS=TRUE&amp;DOC_NAME=FAT:FQL_AUDITING_CLIENT_TEMPLATE.FAT&amp;display_string=Audit&amp;VAR:KEY=RSZOBWLSXG&amp;VAR:QUERY=UkdGX1RBWF9SQVRFKEFOTiwwLCwsLCwsTk9BVURJVCk=&amp;WINDOW=FIRST_POPUP&amp;HEIGHT=450&amp;WIDTH=450&amp;","START_MAXIMIZED=FALSE&amp;VAR:CALENDAR=US&amp;VAR:SYMBOL=WFMI&amp;VAR:INDEX=0"}</definedName>
    <definedName name="_3165__FDSAUDITLINK__" hidden="1">{"fdsup://directions/FAT Viewer?action=UPDATE&amp;creator=factset&amp;DYN_ARGS=TRUE&amp;DOC_NAME=FAT:FQL_AUDITING_CLIENT_TEMPLATE.FAT&amp;display_string=Audit&amp;VAR:KEY=RSZOBWLSXG&amp;VAR:QUERY=UkdGX1RBWF9SQVRFKEFOTiwwLCwsLCwsTk9BVURJVCk=&amp;WINDOW=FIRST_POPUP&amp;HEIGHT=450&amp;WIDTH=450&amp;","START_MAXIMIZED=FALSE&amp;VAR:CALENDAR=US&amp;VAR:SYMBOL=WFMI&amp;VAR:INDEX=0"}</definedName>
    <definedName name="_3166__FDSAUDITLINK__" localSheetId="3" hidden="1">{"fdsup://directions/FAT Viewer?action=UPDATE&amp;creator=factset&amp;DYN_ARGS=TRUE&amp;DOC_NAME=FAT:FQL_AUDITING_CLIENT_TEMPLATE.FAT&amp;display_string=Audit&amp;VAR:KEY=JMXMTGZCZI&amp;VAR:QUERY=UkdGX1RBWF9SQVRFKEFOTiwwLCwsLCwsTk9BVURJVCk=&amp;WINDOW=FIRST_POPUP&amp;HEIGHT=450&amp;WIDTH=450&amp;","START_MAXIMIZED=FALSE&amp;VAR:CALENDAR=US&amp;VAR:SYMBOL=LULU&amp;VAR:INDEX=0"}</definedName>
    <definedName name="_3166__FDSAUDITLINK__" localSheetId="7" hidden="1">{"fdsup://directions/FAT Viewer?action=UPDATE&amp;creator=factset&amp;DYN_ARGS=TRUE&amp;DOC_NAME=FAT:FQL_AUDITING_CLIENT_TEMPLATE.FAT&amp;display_string=Audit&amp;VAR:KEY=JMXMTGZCZI&amp;VAR:QUERY=UkdGX1RBWF9SQVRFKEFOTiwwLCwsLCwsTk9BVURJVCk=&amp;WINDOW=FIRST_POPUP&amp;HEIGHT=450&amp;WIDTH=450&amp;","START_MAXIMIZED=FALSE&amp;VAR:CALENDAR=US&amp;VAR:SYMBOL=LULU&amp;VAR:INDEX=0"}</definedName>
    <definedName name="_3166__FDSAUDITLINK__" hidden="1">{"fdsup://directions/FAT Viewer?action=UPDATE&amp;creator=factset&amp;DYN_ARGS=TRUE&amp;DOC_NAME=FAT:FQL_AUDITING_CLIENT_TEMPLATE.FAT&amp;display_string=Audit&amp;VAR:KEY=JMXMTGZCZI&amp;VAR:QUERY=UkdGX1RBWF9SQVRFKEFOTiwwLCwsLCwsTk9BVURJVCk=&amp;WINDOW=FIRST_POPUP&amp;HEIGHT=450&amp;WIDTH=450&amp;","START_MAXIMIZED=FALSE&amp;VAR:CALENDAR=US&amp;VAR:SYMBOL=LULU&amp;VAR:INDEX=0"}</definedName>
    <definedName name="_3167__FDSAUDITLINK__" localSheetId="3" hidden="1">{"fdsup://directions/FAT Viewer?action=UPDATE&amp;creator=factset&amp;DYN_ARGS=TRUE&amp;DOC_NAME=FAT:FQL_AUDITING_CLIENT_TEMPLATE.FAT&amp;display_string=Audit&amp;VAR:KEY=JMXMTGZCZI&amp;VAR:QUERY=UkdGX1RBWF9SQVRFKEFOTiwwLCwsLCwsTk9BVURJVCk=&amp;WINDOW=FIRST_POPUP&amp;HEIGHT=450&amp;WIDTH=450&amp;","START_MAXIMIZED=FALSE&amp;VAR:CALENDAR=US&amp;VAR:SYMBOL=LULU&amp;VAR:INDEX=0"}</definedName>
    <definedName name="_3167__FDSAUDITLINK__" localSheetId="7" hidden="1">{"fdsup://directions/FAT Viewer?action=UPDATE&amp;creator=factset&amp;DYN_ARGS=TRUE&amp;DOC_NAME=FAT:FQL_AUDITING_CLIENT_TEMPLATE.FAT&amp;display_string=Audit&amp;VAR:KEY=JMXMTGZCZI&amp;VAR:QUERY=UkdGX1RBWF9SQVRFKEFOTiwwLCwsLCwsTk9BVURJVCk=&amp;WINDOW=FIRST_POPUP&amp;HEIGHT=450&amp;WIDTH=450&amp;","START_MAXIMIZED=FALSE&amp;VAR:CALENDAR=US&amp;VAR:SYMBOL=LULU&amp;VAR:INDEX=0"}</definedName>
    <definedName name="_3167__FDSAUDITLINK__" hidden="1">{"fdsup://directions/FAT Viewer?action=UPDATE&amp;creator=factset&amp;DYN_ARGS=TRUE&amp;DOC_NAME=FAT:FQL_AUDITING_CLIENT_TEMPLATE.FAT&amp;display_string=Audit&amp;VAR:KEY=JMXMTGZCZI&amp;VAR:QUERY=UkdGX1RBWF9SQVRFKEFOTiwwLCwsLCwsTk9BVURJVCk=&amp;WINDOW=FIRST_POPUP&amp;HEIGHT=450&amp;WIDTH=450&amp;","START_MAXIMIZED=FALSE&amp;VAR:CALENDAR=US&amp;VAR:SYMBOL=LULU&amp;VAR:INDEX=0"}</definedName>
    <definedName name="_3168__FDSAUDITLINK__" localSheetId="3" hidden="1">{"fdsup://directions/FAT Viewer?action=UPDATE&amp;creator=factset&amp;DYN_ARGS=TRUE&amp;DOC_NAME=FAT:FQL_AUDITING_CLIENT_TEMPLATE.FAT&amp;display_string=Audit&amp;VAR:KEY=HSDCVWRWRS&amp;VAR:QUERY=UkdGX1RBWF9SQVRFKEFOTiwwLCwsLCwsTk9BVURJVCk=&amp;WINDOW=FIRST_POPUP&amp;HEIGHT=450&amp;WIDTH=450&amp;","START_MAXIMIZED=FALSE&amp;VAR:CALENDAR=US&amp;VAR:SYMBOL=VPRT&amp;VAR:INDEX=0"}</definedName>
    <definedName name="_3168__FDSAUDITLINK__" localSheetId="7" hidden="1">{"fdsup://directions/FAT Viewer?action=UPDATE&amp;creator=factset&amp;DYN_ARGS=TRUE&amp;DOC_NAME=FAT:FQL_AUDITING_CLIENT_TEMPLATE.FAT&amp;display_string=Audit&amp;VAR:KEY=HSDCVWRWRS&amp;VAR:QUERY=UkdGX1RBWF9SQVRFKEFOTiwwLCwsLCwsTk9BVURJVCk=&amp;WINDOW=FIRST_POPUP&amp;HEIGHT=450&amp;WIDTH=450&amp;","START_MAXIMIZED=FALSE&amp;VAR:CALENDAR=US&amp;VAR:SYMBOL=VPRT&amp;VAR:INDEX=0"}</definedName>
    <definedName name="_3168__FDSAUDITLINK__" hidden="1">{"fdsup://directions/FAT Viewer?action=UPDATE&amp;creator=factset&amp;DYN_ARGS=TRUE&amp;DOC_NAME=FAT:FQL_AUDITING_CLIENT_TEMPLATE.FAT&amp;display_string=Audit&amp;VAR:KEY=HSDCVWRWRS&amp;VAR:QUERY=UkdGX1RBWF9SQVRFKEFOTiwwLCwsLCwsTk9BVURJVCk=&amp;WINDOW=FIRST_POPUP&amp;HEIGHT=450&amp;WIDTH=450&amp;","START_MAXIMIZED=FALSE&amp;VAR:CALENDAR=US&amp;VAR:SYMBOL=VPRT&amp;VAR:INDEX=0"}</definedName>
    <definedName name="_3169__FDSAUDITLINK__" localSheetId="3" hidden="1">{"fdsup://directions/FAT Viewer?action=UPDATE&amp;creator=factset&amp;DYN_ARGS=TRUE&amp;DOC_NAME=FAT:FQL_AUDITING_CLIENT_TEMPLATE.FAT&amp;display_string=Audit&amp;VAR:KEY=HSDCVWRWRS&amp;VAR:QUERY=UkdGX1RBWF9SQVRFKEFOTiwwLCwsLCwsTk9BVURJVCk=&amp;WINDOW=FIRST_POPUP&amp;HEIGHT=450&amp;WIDTH=450&amp;","START_MAXIMIZED=FALSE&amp;VAR:CALENDAR=US&amp;VAR:SYMBOL=VPRT&amp;VAR:INDEX=0"}</definedName>
    <definedName name="_3169__FDSAUDITLINK__" localSheetId="7" hidden="1">{"fdsup://directions/FAT Viewer?action=UPDATE&amp;creator=factset&amp;DYN_ARGS=TRUE&amp;DOC_NAME=FAT:FQL_AUDITING_CLIENT_TEMPLATE.FAT&amp;display_string=Audit&amp;VAR:KEY=HSDCVWRWRS&amp;VAR:QUERY=UkdGX1RBWF9SQVRFKEFOTiwwLCwsLCwsTk9BVURJVCk=&amp;WINDOW=FIRST_POPUP&amp;HEIGHT=450&amp;WIDTH=450&amp;","START_MAXIMIZED=FALSE&amp;VAR:CALENDAR=US&amp;VAR:SYMBOL=VPRT&amp;VAR:INDEX=0"}</definedName>
    <definedName name="_3169__FDSAUDITLINK__" hidden="1">{"fdsup://directions/FAT Viewer?action=UPDATE&amp;creator=factset&amp;DYN_ARGS=TRUE&amp;DOC_NAME=FAT:FQL_AUDITING_CLIENT_TEMPLATE.FAT&amp;display_string=Audit&amp;VAR:KEY=HSDCVWRWRS&amp;VAR:QUERY=UkdGX1RBWF9SQVRFKEFOTiwwLCwsLCwsTk9BVURJVCk=&amp;WINDOW=FIRST_POPUP&amp;HEIGHT=450&amp;WIDTH=450&amp;","START_MAXIMIZED=FALSE&amp;VAR:CALENDAR=US&amp;VAR:SYMBOL=VPRT&amp;VAR:INDEX=0"}</definedName>
    <definedName name="_3170__FDSAUDITLINK__" localSheetId="3" hidden="1">{"fdsup://directions/FAT Viewer?action=UPDATE&amp;creator=factset&amp;DYN_ARGS=TRUE&amp;DOC_NAME=FAT:FQL_AUDITING_CLIENT_TEMPLATE.FAT&amp;display_string=Audit&amp;VAR:KEY=NMHGVADCHM&amp;VAR:QUERY=UkdGX1RBWF9SQVRFKEFOTiwwLCwsLCwsTk9BVURJVCk=&amp;WINDOW=FIRST_POPUP&amp;HEIGHT=450&amp;WIDTH=450&amp;","START_MAXIMIZED=FALSE&amp;VAR:CALENDAR=US&amp;VAR:SYMBOL=OWW&amp;VAR:INDEX=0"}</definedName>
    <definedName name="_3170__FDSAUDITLINK__" localSheetId="7" hidden="1">{"fdsup://directions/FAT Viewer?action=UPDATE&amp;creator=factset&amp;DYN_ARGS=TRUE&amp;DOC_NAME=FAT:FQL_AUDITING_CLIENT_TEMPLATE.FAT&amp;display_string=Audit&amp;VAR:KEY=NMHGVADCHM&amp;VAR:QUERY=UkdGX1RBWF9SQVRFKEFOTiwwLCwsLCwsTk9BVURJVCk=&amp;WINDOW=FIRST_POPUP&amp;HEIGHT=450&amp;WIDTH=450&amp;","START_MAXIMIZED=FALSE&amp;VAR:CALENDAR=US&amp;VAR:SYMBOL=OWW&amp;VAR:INDEX=0"}</definedName>
    <definedName name="_3170__FDSAUDITLINK__" hidden="1">{"fdsup://directions/FAT Viewer?action=UPDATE&amp;creator=factset&amp;DYN_ARGS=TRUE&amp;DOC_NAME=FAT:FQL_AUDITING_CLIENT_TEMPLATE.FAT&amp;display_string=Audit&amp;VAR:KEY=NMHGVADCHM&amp;VAR:QUERY=UkdGX1RBWF9SQVRFKEFOTiwwLCwsLCwsTk9BVURJVCk=&amp;WINDOW=FIRST_POPUP&amp;HEIGHT=450&amp;WIDTH=450&amp;","START_MAXIMIZED=FALSE&amp;VAR:CALENDAR=US&amp;VAR:SYMBOL=OWW&amp;VAR:INDEX=0"}</definedName>
    <definedName name="_3171__FDSAUDITLINK__" localSheetId="3" hidden="1">{"fdsup://directions/FAT Viewer?action=UPDATE&amp;creator=factset&amp;DYN_ARGS=TRUE&amp;DOC_NAME=FAT:FQL_AUDITING_CLIENT_TEMPLATE.FAT&amp;display_string=Audit&amp;VAR:KEY=LUTUNODKLO&amp;VAR:QUERY=UkdGX1RBWF9SQVRFKEFOTiwwLCwsLCwsTk9BVURJVCk=&amp;WINDOW=FIRST_POPUP&amp;HEIGHT=450&amp;WIDTH=450&amp;","START_MAXIMIZED=FALSE&amp;VAR:CALENDAR=US&amp;VAR:SYMBOL=NTES&amp;VAR:INDEX=0"}</definedName>
    <definedName name="_3171__FDSAUDITLINK__" localSheetId="7" hidden="1">{"fdsup://directions/FAT Viewer?action=UPDATE&amp;creator=factset&amp;DYN_ARGS=TRUE&amp;DOC_NAME=FAT:FQL_AUDITING_CLIENT_TEMPLATE.FAT&amp;display_string=Audit&amp;VAR:KEY=LUTUNODKLO&amp;VAR:QUERY=UkdGX1RBWF9SQVRFKEFOTiwwLCwsLCwsTk9BVURJVCk=&amp;WINDOW=FIRST_POPUP&amp;HEIGHT=450&amp;WIDTH=450&amp;","START_MAXIMIZED=FALSE&amp;VAR:CALENDAR=US&amp;VAR:SYMBOL=NTES&amp;VAR:INDEX=0"}</definedName>
    <definedName name="_3171__FDSAUDITLINK__" hidden="1">{"fdsup://directions/FAT Viewer?action=UPDATE&amp;creator=factset&amp;DYN_ARGS=TRUE&amp;DOC_NAME=FAT:FQL_AUDITING_CLIENT_TEMPLATE.FAT&amp;display_string=Audit&amp;VAR:KEY=LUTUNODKLO&amp;VAR:QUERY=UkdGX1RBWF9SQVRFKEFOTiwwLCwsLCwsTk9BVURJVCk=&amp;WINDOW=FIRST_POPUP&amp;HEIGHT=450&amp;WIDTH=450&amp;","START_MAXIMIZED=FALSE&amp;VAR:CALENDAR=US&amp;VAR:SYMBOL=NTES&amp;VAR:INDEX=0"}</definedName>
    <definedName name="_3172__FDSAUDITLINK__" localSheetId="3" hidden="1">{"fdsup://directions/FAT Viewer?action=UPDATE&amp;creator=factset&amp;DYN_ARGS=TRUE&amp;DOC_NAME=FAT:FQL_AUDITING_CLIENT_TEMPLATE.FAT&amp;display_string=Audit&amp;VAR:KEY=LUTUNODKLO&amp;VAR:QUERY=UkdGX1RBWF9SQVRFKEFOTiwwLCwsLCwsTk9BVURJVCk=&amp;WINDOW=FIRST_POPUP&amp;HEIGHT=450&amp;WIDTH=450&amp;","START_MAXIMIZED=FALSE&amp;VAR:CALENDAR=US&amp;VAR:SYMBOL=NTES&amp;VAR:INDEX=0"}</definedName>
    <definedName name="_3172__FDSAUDITLINK__" localSheetId="7" hidden="1">{"fdsup://directions/FAT Viewer?action=UPDATE&amp;creator=factset&amp;DYN_ARGS=TRUE&amp;DOC_NAME=FAT:FQL_AUDITING_CLIENT_TEMPLATE.FAT&amp;display_string=Audit&amp;VAR:KEY=LUTUNODKLO&amp;VAR:QUERY=UkdGX1RBWF9SQVRFKEFOTiwwLCwsLCwsTk9BVURJVCk=&amp;WINDOW=FIRST_POPUP&amp;HEIGHT=450&amp;WIDTH=450&amp;","START_MAXIMIZED=FALSE&amp;VAR:CALENDAR=US&amp;VAR:SYMBOL=NTES&amp;VAR:INDEX=0"}</definedName>
    <definedName name="_3172__FDSAUDITLINK__" hidden="1">{"fdsup://directions/FAT Viewer?action=UPDATE&amp;creator=factset&amp;DYN_ARGS=TRUE&amp;DOC_NAME=FAT:FQL_AUDITING_CLIENT_TEMPLATE.FAT&amp;display_string=Audit&amp;VAR:KEY=LUTUNODKLO&amp;VAR:QUERY=UkdGX1RBWF9SQVRFKEFOTiwwLCwsLCwsTk9BVURJVCk=&amp;WINDOW=FIRST_POPUP&amp;HEIGHT=450&amp;WIDTH=450&amp;","START_MAXIMIZED=FALSE&amp;VAR:CALENDAR=US&amp;VAR:SYMBOL=NTES&amp;VAR:INDEX=0"}</definedName>
    <definedName name="_3173__FDSAUDITLINK__" localSheetId="3" hidden="1">{"fdsup://directions/FAT Viewer?action=UPDATE&amp;creator=factset&amp;DYN_ARGS=TRUE&amp;DOC_NAME=FAT:FQL_AUDITING_CLIENT_TEMPLATE.FAT&amp;display_string=Audit&amp;VAR:KEY=XGHCNIJGJA&amp;VAR:QUERY=UkdGX1RBWF9SQVRFKEFOTiwwLCwsLCwsTk9BVURJVCk=&amp;WINDOW=FIRST_POPUP&amp;HEIGHT=450&amp;WIDTH=450&amp;","START_MAXIMIZED=FALSE&amp;VAR:CALENDAR=US&amp;VAR:SYMBOL=YHOO&amp;VAR:INDEX=0"}</definedName>
    <definedName name="_3173__FDSAUDITLINK__" localSheetId="7" hidden="1">{"fdsup://directions/FAT Viewer?action=UPDATE&amp;creator=factset&amp;DYN_ARGS=TRUE&amp;DOC_NAME=FAT:FQL_AUDITING_CLIENT_TEMPLATE.FAT&amp;display_string=Audit&amp;VAR:KEY=XGHCNIJGJA&amp;VAR:QUERY=UkdGX1RBWF9SQVRFKEFOTiwwLCwsLCwsTk9BVURJVCk=&amp;WINDOW=FIRST_POPUP&amp;HEIGHT=450&amp;WIDTH=450&amp;","START_MAXIMIZED=FALSE&amp;VAR:CALENDAR=US&amp;VAR:SYMBOL=YHOO&amp;VAR:INDEX=0"}</definedName>
    <definedName name="_3173__FDSAUDITLINK__" hidden="1">{"fdsup://directions/FAT Viewer?action=UPDATE&amp;creator=factset&amp;DYN_ARGS=TRUE&amp;DOC_NAME=FAT:FQL_AUDITING_CLIENT_TEMPLATE.FAT&amp;display_string=Audit&amp;VAR:KEY=XGHCNIJGJA&amp;VAR:QUERY=UkdGX1RBWF9SQVRFKEFOTiwwLCwsLCwsTk9BVURJVCk=&amp;WINDOW=FIRST_POPUP&amp;HEIGHT=450&amp;WIDTH=450&amp;","START_MAXIMIZED=FALSE&amp;VAR:CALENDAR=US&amp;VAR:SYMBOL=YHOO&amp;VAR:INDEX=0"}</definedName>
    <definedName name="_3174__FDSAUDITLINK__" localSheetId="3" hidden="1">{"fdsup://directions/FAT Viewer?action=UPDATE&amp;creator=factset&amp;DYN_ARGS=TRUE&amp;DOC_NAME=FAT:FQL_AUDITING_CLIENT_TEMPLATE.FAT&amp;display_string=Audit&amp;VAR:KEY=XGHCNIJGJA&amp;VAR:QUERY=UkdGX1RBWF9SQVRFKEFOTiwwLCwsLCwsTk9BVURJVCk=&amp;WINDOW=FIRST_POPUP&amp;HEIGHT=450&amp;WIDTH=450&amp;","START_MAXIMIZED=FALSE&amp;VAR:CALENDAR=US&amp;VAR:SYMBOL=YHOO&amp;VAR:INDEX=0"}</definedName>
    <definedName name="_3174__FDSAUDITLINK__" localSheetId="7" hidden="1">{"fdsup://directions/FAT Viewer?action=UPDATE&amp;creator=factset&amp;DYN_ARGS=TRUE&amp;DOC_NAME=FAT:FQL_AUDITING_CLIENT_TEMPLATE.FAT&amp;display_string=Audit&amp;VAR:KEY=XGHCNIJGJA&amp;VAR:QUERY=UkdGX1RBWF9SQVRFKEFOTiwwLCwsLCwsTk9BVURJVCk=&amp;WINDOW=FIRST_POPUP&amp;HEIGHT=450&amp;WIDTH=450&amp;","START_MAXIMIZED=FALSE&amp;VAR:CALENDAR=US&amp;VAR:SYMBOL=YHOO&amp;VAR:INDEX=0"}</definedName>
    <definedName name="_3174__FDSAUDITLINK__" hidden="1">{"fdsup://directions/FAT Viewer?action=UPDATE&amp;creator=factset&amp;DYN_ARGS=TRUE&amp;DOC_NAME=FAT:FQL_AUDITING_CLIENT_TEMPLATE.FAT&amp;display_string=Audit&amp;VAR:KEY=XGHCNIJGJA&amp;VAR:QUERY=UkdGX1RBWF9SQVRFKEFOTiwwLCwsLCwsTk9BVURJVCk=&amp;WINDOW=FIRST_POPUP&amp;HEIGHT=450&amp;WIDTH=450&amp;","START_MAXIMIZED=FALSE&amp;VAR:CALENDAR=US&amp;VAR:SYMBOL=YHOO&amp;VAR:INDEX=0"}</definedName>
    <definedName name="_3175__FDSAUDITLINK__" localSheetId="3" hidden="1">{"fdsup://directions/FAT Viewer?action=UPDATE&amp;creator=factset&amp;DYN_ARGS=TRUE&amp;DOC_NAME=FAT:FQL_AUDITING_CLIENT_TEMPLATE.FAT&amp;display_string=Audit&amp;VAR:KEY=NIJKHIJKRW&amp;VAR:QUERY=UkdGX1RBWF9SQVRFKEFOTiwwLCwsLCwsTk9BVURJVCk=&amp;WINDOW=FIRST_POPUP&amp;HEIGHT=450&amp;WIDTH=450&amp;","START_MAXIMIZED=FALSE&amp;VAR:CALENDAR=US&amp;VAR:SYMBOL=B3DMTY&amp;VAR:INDEX=0"}</definedName>
    <definedName name="_3175__FDSAUDITLINK__" localSheetId="7" hidden="1">{"fdsup://directions/FAT Viewer?action=UPDATE&amp;creator=factset&amp;DYN_ARGS=TRUE&amp;DOC_NAME=FAT:FQL_AUDITING_CLIENT_TEMPLATE.FAT&amp;display_string=Audit&amp;VAR:KEY=NIJKHIJKRW&amp;VAR:QUERY=UkdGX1RBWF9SQVRFKEFOTiwwLCwsLCwsTk9BVURJVCk=&amp;WINDOW=FIRST_POPUP&amp;HEIGHT=450&amp;WIDTH=450&amp;","START_MAXIMIZED=FALSE&amp;VAR:CALENDAR=US&amp;VAR:SYMBOL=B3DMTY&amp;VAR:INDEX=0"}</definedName>
    <definedName name="_3175__FDSAUDITLINK__" hidden="1">{"fdsup://directions/FAT Viewer?action=UPDATE&amp;creator=factset&amp;DYN_ARGS=TRUE&amp;DOC_NAME=FAT:FQL_AUDITING_CLIENT_TEMPLATE.FAT&amp;display_string=Audit&amp;VAR:KEY=NIJKHIJKRW&amp;VAR:QUERY=UkdGX1RBWF9SQVRFKEFOTiwwLCwsLCwsTk9BVURJVCk=&amp;WINDOW=FIRST_POPUP&amp;HEIGHT=450&amp;WIDTH=450&amp;","START_MAXIMIZED=FALSE&amp;VAR:CALENDAR=US&amp;VAR:SYMBOL=B3DMTY&amp;VAR:INDEX=0"}</definedName>
    <definedName name="_3176__FDSAUDITLINK__" localSheetId="3" hidden="1">{"fdsup://directions/FAT Viewer?action=UPDATE&amp;creator=factset&amp;DYN_ARGS=TRUE&amp;DOC_NAME=FAT:FQL_AUDITING_CLIENT_TEMPLATE.FAT&amp;display_string=Audit&amp;VAR:KEY=NIJKHIJKRW&amp;VAR:QUERY=UkdGX1RBWF9SQVRFKEFOTiwwLCwsLCwsTk9BVURJVCk=&amp;WINDOW=FIRST_POPUP&amp;HEIGHT=450&amp;WIDTH=450&amp;","START_MAXIMIZED=FALSE&amp;VAR:CALENDAR=US&amp;VAR:SYMBOL=B3DMTY&amp;VAR:INDEX=0"}</definedName>
    <definedName name="_3176__FDSAUDITLINK__" localSheetId="7" hidden="1">{"fdsup://directions/FAT Viewer?action=UPDATE&amp;creator=factset&amp;DYN_ARGS=TRUE&amp;DOC_NAME=FAT:FQL_AUDITING_CLIENT_TEMPLATE.FAT&amp;display_string=Audit&amp;VAR:KEY=NIJKHIJKRW&amp;VAR:QUERY=UkdGX1RBWF9SQVRFKEFOTiwwLCwsLCwsTk9BVURJVCk=&amp;WINDOW=FIRST_POPUP&amp;HEIGHT=450&amp;WIDTH=450&amp;","START_MAXIMIZED=FALSE&amp;VAR:CALENDAR=US&amp;VAR:SYMBOL=B3DMTY&amp;VAR:INDEX=0"}</definedName>
    <definedName name="_3176__FDSAUDITLINK__" hidden="1">{"fdsup://directions/FAT Viewer?action=UPDATE&amp;creator=factset&amp;DYN_ARGS=TRUE&amp;DOC_NAME=FAT:FQL_AUDITING_CLIENT_TEMPLATE.FAT&amp;display_string=Audit&amp;VAR:KEY=NIJKHIJKRW&amp;VAR:QUERY=UkdGX1RBWF9SQVRFKEFOTiwwLCwsLCwsTk9BVURJVCk=&amp;WINDOW=FIRST_POPUP&amp;HEIGHT=450&amp;WIDTH=450&amp;","START_MAXIMIZED=FALSE&amp;VAR:CALENDAR=US&amp;VAR:SYMBOL=B3DMTY&amp;VAR:INDEX=0"}</definedName>
    <definedName name="_3177__FDSAUDITLINK__" localSheetId="3" hidden="1">{"fdsup://directions/FAT Viewer?action=UPDATE&amp;creator=factset&amp;DYN_ARGS=TRUE&amp;DOC_NAME=FAT:FQL_AUDITING_CLIENT_TEMPLATE.FAT&amp;display_string=Audit&amp;VAR:KEY=HWNIJGXIFA&amp;VAR:QUERY=UkdGX1RBWF9SQVRFKEFOTiwwLCwsLCwsTk9BVURJVCk=&amp;WINDOW=FIRST_POPUP&amp;HEIGHT=450&amp;WIDTH=450&amp;","START_MAXIMIZED=FALSE&amp;VAR:CALENDAR=US&amp;VAR:SYMBOL=WSTM&amp;VAR:INDEX=0"}</definedName>
    <definedName name="_3177__FDSAUDITLINK__" localSheetId="7" hidden="1">{"fdsup://directions/FAT Viewer?action=UPDATE&amp;creator=factset&amp;DYN_ARGS=TRUE&amp;DOC_NAME=FAT:FQL_AUDITING_CLIENT_TEMPLATE.FAT&amp;display_string=Audit&amp;VAR:KEY=HWNIJGXIFA&amp;VAR:QUERY=UkdGX1RBWF9SQVRFKEFOTiwwLCwsLCwsTk9BVURJVCk=&amp;WINDOW=FIRST_POPUP&amp;HEIGHT=450&amp;WIDTH=450&amp;","START_MAXIMIZED=FALSE&amp;VAR:CALENDAR=US&amp;VAR:SYMBOL=WSTM&amp;VAR:INDEX=0"}</definedName>
    <definedName name="_3177__FDSAUDITLINK__" hidden="1">{"fdsup://directions/FAT Viewer?action=UPDATE&amp;creator=factset&amp;DYN_ARGS=TRUE&amp;DOC_NAME=FAT:FQL_AUDITING_CLIENT_TEMPLATE.FAT&amp;display_string=Audit&amp;VAR:KEY=HWNIJGXIFA&amp;VAR:QUERY=UkdGX1RBWF9SQVRFKEFOTiwwLCwsLCwsTk9BVURJVCk=&amp;WINDOW=FIRST_POPUP&amp;HEIGHT=450&amp;WIDTH=450&amp;","START_MAXIMIZED=FALSE&amp;VAR:CALENDAR=US&amp;VAR:SYMBOL=WSTM&amp;VAR:INDEX=0"}</definedName>
    <definedName name="_3178__FDSAUDITLINK__" localSheetId="3" hidden="1">{"fdsup://directions/FAT Viewer?action=UPDATE&amp;creator=factset&amp;DYN_ARGS=TRUE&amp;DOC_NAME=FAT:FQL_AUDITING_CLIENT_TEMPLATE.FAT&amp;display_string=Audit&amp;VAR:KEY=RABUNGBKDY&amp;VAR:QUERY=UkdGX1RBWF9SQVRFKEFOTiwwLCwsLCwsTk9BVURJVCk=&amp;WINDOW=FIRST_POPUP&amp;HEIGHT=450&amp;WIDTH=450&amp;","START_MAXIMIZED=FALSE&amp;VAR:CALENDAR=US&amp;VAR:SYMBOL=WSPI&amp;VAR:INDEX=0"}</definedName>
    <definedName name="_3178__FDSAUDITLINK__" localSheetId="7" hidden="1">{"fdsup://directions/FAT Viewer?action=UPDATE&amp;creator=factset&amp;DYN_ARGS=TRUE&amp;DOC_NAME=FAT:FQL_AUDITING_CLIENT_TEMPLATE.FAT&amp;display_string=Audit&amp;VAR:KEY=RABUNGBKDY&amp;VAR:QUERY=UkdGX1RBWF9SQVRFKEFOTiwwLCwsLCwsTk9BVURJVCk=&amp;WINDOW=FIRST_POPUP&amp;HEIGHT=450&amp;WIDTH=450&amp;","START_MAXIMIZED=FALSE&amp;VAR:CALENDAR=US&amp;VAR:SYMBOL=WSPI&amp;VAR:INDEX=0"}</definedName>
    <definedName name="_3178__FDSAUDITLINK__" hidden="1">{"fdsup://directions/FAT Viewer?action=UPDATE&amp;creator=factset&amp;DYN_ARGS=TRUE&amp;DOC_NAME=FAT:FQL_AUDITING_CLIENT_TEMPLATE.FAT&amp;display_string=Audit&amp;VAR:KEY=RABUNGBKDY&amp;VAR:QUERY=UkdGX1RBWF9SQVRFKEFOTiwwLCwsLCwsTk9BVURJVCk=&amp;WINDOW=FIRST_POPUP&amp;HEIGHT=450&amp;WIDTH=450&amp;","START_MAXIMIZED=FALSE&amp;VAR:CALENDAR=US&amp;VAR:SYMBOL=WSPI&amp;VAR:INDEX=0"}</definedName>
    <definedName name="_3179__FDSAUDITLINK__" localSheetId="3" hidden="1">{"fdsup://directions/FAT Viewer?action=UPDATE&amp;creator=factset&amp;DYN_ARGS=TRUE&amp;DOC_NAME=FAT:FQL_AUDITING_CLIENT_TEMPLATE.FAT&amp;display_string=Audit&amp;VAR:KEY=TMHSZMNSXA&amp;VAR:QUERY=UkdGX1RBWF9SQVRFKEFOTiwwLCwsLCwsTk9BVURJVCk=&amp;WINDOW=FIRST_POPUP&amp;HEIGHT=450&amp;WIDTH=450&amp;","START_MAXIMIZED=FALSE&amp;VAR:CALENDAR=US&amp;VAR:SYMBOL=WBSN&amp;VAR:INDEX=0"}</definedName>
    <definedName name="_3179__FDSAUDITLINK__" localSheetId="7" hidden="1">{"fdsup://directions/FAT Viewer?action=UPDATE&amp;creator=factset&amp;DYN_ARGS=TRUE&amp;DOC_NAME=FAT:FQL_AUDITING_CLIENT_TEMPLATE.FAT&amp;display_string=Audit&amp;VAR:KEY=TMHSZMNSXA&amp;VAR:QUERY=UkdGX1RBWF9SQVRFKEFOTiwwLCwsLCwsTk9BVURJVCk=&amp;WINDOW=FIRST_POPUP&amp;HEIGHT=450&amp;WIDTH=450&amp;","START_MAXIMIZED=FALSE&amp;VAR:CALENDAR=US&amp;VAR:SYMBOL=WBSN&amp;VAR:INDEX=0"}</definedName>
    <definedName name="_3179__FDSAUDITLINK__" hidden="1">{"fdsup://directions/FAT Viewer?action=UPDATE&amp;creator=factset&amp;DYN_ARGS=TRUE&amp;DOC_NAME=FAT:FQL_AUDITING_CLIENT_TEMPLATE.FAT&amp;display_string=Audit&amp;VAR:KEY=TMHSZMNSXA&amp;VAR:QUERY=UkdGX1RBWF9SQVRFKEFOTiwwLCwsLCwsTk9BVURJVCk=&amp;WINDOW=FIRST_POPUP&amp;HEIGHT=450&amp;WIDTH=450&amp;","START_MAXIMIZED=FALSE&amp;VAR:CALENDAR=US&amp;VAR:SYMBOL=WBSN&amp;VAR:INDEX=0"}</definedName>
    <definedName name="_3180__FDSAUDITLINK__" localSheetId="3" hidden="1">{"fdsup://directions/FAT Viewer?action=UPDATE&amp;creator=factset&amp;DYN_ARGS=TRUE&amp;DOC_NAME=FAT:FQL_AUDITING_CLIENT_TEMPLATE.FAT&amp;display_string=Audit&amp;VAR:KEY=TMHSZMNSXA&amp;VAR:QUERY=UkdGX1RBWF9SQVRFKEFOTiwwLCwsLCwsTk9BVURJVCk=&amp;WINDOW=FIRST_POPUP&amp;HEIGHT=450&amp;WIDTH=450&amp;","START_MAXIMIZED=FALSE&amp;VAR:CALENDAR=US&amp;VAR:SYMBOL=WBSN&amp;VAR:INDEX=0"}</definedName>
    <definedName name="_3180__FDSAUDITLINK__" localSheetId="7" hidden="1">{"fdsup://directions/FAT Viewer?action=UPDATE&amp;creator=factset&amp;DYN_ARGS=TRUE&amp;DOC_NAME=FAT:FQL_AUDITING_CLIENT_TEMPLATE.FAT&amp;display_string=Audit&amp;VAR:KEY=TMHSZMNSXA&amp;VAR:QUERY=UkdGX1RBWF9SQVRFKEFOTiwwLCwsLCwsTk9BVURJVCk=&amp;WINDOW=FIRST_POPUP&amp;HEIGHT=450&amp;WIDTH=450&amp;","START_MAXIMIZED=FALSE&amp;VAR:CALENDAR=US&amp;VAR:SYMBOL=WBSN&amp;VAR:INDEX=0"}</definedName>
    <definedName name="_3180__FDSAUDITLINK__" hidden="1">{"fdsup://directions/FAT Viewer?action=UPDATE&amp;creator=factset&amp;DYN_ARGS=TRUE&amp;DOC_NAME=FAT:FQL_AUDITING_CLIENT_TEMPLATE.FAT&amp;display_string=Audit&amp;VAR:KEY=TMHSZMNSXA&amp;VAR:QUERY=UkdGX1RBWF9SQVRFKEFOTiwwLCwsLCwsTk9BVURJVCk=&amp;WINDOW=FIRST_POPUP&amp;HEIGHT=450&amp;WIDTH=450&amp;","START_MAXIMIZED=FALSE&amp;VAR:CALENDAR=US&amp;VAR:SYMBOL=WBSN&amp;VAR:INDEX=0"}</definedName>
    <definedName name="_3181__FDSAUDITLINK__" localSheetId="3" hidden="1">{"fdsup://directions/FAT Viewer?action=UPDATE&amp;creator=factset&amp;DYN_ARGS=TRUE&amp;DOC_NAME=FAT:FQL_AUDITING_CLIENT_TEMPLATE.FAT&amp;display_string=Audit&amp;VAR:KEY=JOVKZAPCJC&amp;VAR:QUERY=UkdGX1RBWF9SQVRFKEFOTiwwLCwsLCwsTk9BVURJVCk=&amp;WINDOW=FIRST_POPUP&amp;HEIGHT=450&amp;WIDTH=450&amp;","START_MAXIMIZED=FALSE&amp;VAR:CALENDAR=US&amp;VAR:SYMBOL=WBMD&amp;VAR:INDEX=0"}</definedName>
    <definedName name="_3181__FDSAUDITLINK__" localSheetId="7" hidden="1">{"fdsup://directions/FAT Viewer?action=UPDATE&amp;creator=factset&amp;DYN_ARGS=TRUE&amp;DOC_NAME=FAT:FQL_AUDITING_CLIENT_TEMPLATE.FAT&amp;display_string=Audit&amp;VAR:KEY=JOVKZAPCJC&amp;VAR:QUERY=UkdGX1RBWF9SQVRFKEFOTiwwLCwsLCwsTk9BVURJVCk=&amp;WINDOW=FIRST_POPUP&amp;HEIGHT=450&amp;WIDTH=450&amp;","START_MAXIMIZED=FALSE&amp;VAR:CALENDAR=US&amp;VAR:SYMBOL=WBMD&amp;VAR:INDEX=0"}</definedName>
    <definedName name="_3181__FDSAUDITLINK__" hidden="1">{"fdsup://directions/FAT Viewer?action=UPDATE&amp;creator=factset&amp;DYN_ARGS=TRUE&amp;DOC_NAME=FAT:FQL_AUDITING_CLIENT_TEMPLATE.FAT&amp;display_string=Audit&amp;VAR:KEY=JOVKZAPCJC&amp;VAR:QUERY=UkdGX1RBWF9SQVRFKEFOTiwwLCwsLCwsTk9BVURJVCk=&amp;WINDOW=FIRST_POPUP&amp;HEIGHT=450&amp;WIDTH=450&amp;","START_MAXIMIZED=FALSE&amp;VAR:CALENDAR=US&amp;VAR:SYMBOL=WBMD&amp;VAR:INDEX=0"}</definedName>
    <definedName name="_3182__FDSAUDITLINK__" localSheetId="3" hidden="1">{"fdsup://directions/FAT Viewer?action=UPDATE&amp;creator=factset&amp;DYN_ARGS=TRUE&amp;DOC_NAME=FAT:FQL_AUDITING_CLIENT_TEMPLATE.FAT&amp;display_string=Audit&amp;VAR:KEY=JOVKZAPCJC&amp;VAR:QUERY=UkdGX1RBWF9SQVRFKEFOTiwwLCwsLCwsTk9BVURJVCk=&amp;WINDOW=FIRST_POPUP&amp;HEIGHT=450&amp;WIDTH=450&amp;","START_MAXIMIZED=FALSE&amp;VAR:CALENDAR=US&amp;VAR:SYMBOL=WBMD&amp;VAR:INDEX=0"}</definedName>
    <definedName name="_3182__FDSAUDITLINK__" localSheetId="7" hidden="1">{"fdsup://directions/FAT Viewer?action=UPDATE&amp;creator=factset&amp;DYN_ARGS=TRUE&amp;DOC_NAME=FAT:FQL_AUDITING_CLIENT_TEMPLATE.FAT&amp;display_string=Audit&amp;VAR:KEY=JOVKZAPCJC&amp;VAR:QUERY=UkdGX1RBWF9SQVRFKEFOTiwwLCwsLCwsTk9BVURJVCk=&amp;WINDOW=FIRST_POPUP&amp;HEIGHT=450&amp;WIDTH=450&amp;","START_MAXIMIZED=FALSE&amp;VAR:CALENDAR=US&amp;VAR:SYMBOL=WBMD&amp;VAR:INDEX=0"}</definedName>
    <definedName name="_3182__FDSAUDITLINK__" hidden="1">{"fdsup://directions/FAT Viewer?action=UPDATE&amp;creator=factset&amp;DYN_ARGS=TRUE&amp;DOC_NAME=FAT:FQL_AUDITING_CLIENT_TEMPLATE.FAT&amp;display_string=Audit&amp;VAR:KEY=JOVKZAPCJC&amp;VAR:QUERY=UkdGX1RBWF9SQVRFKEFOTiwwLCwsLCwsTk9BVURJVCk=&amp;WINDOW=FIRST_POPUP&amp;HEIGHT=450&amp;WIDTH=450&amp;","START_MAXIMIZED=FALSE&amp;VAR:CALENDAR=US&amp;VAR:SYMBOL=WBMD&amp;VAR:INDEX=0"}</definedName>
    <definedName name="_3183__FDSAUDITLINK__" localSheetId="3" hidden="1">{"fdsup://directions/FAT Viewer?action=UPDATE&amp;creator=factset&amp;DYN_ARGS=TRUE&amp;DOC_NAME=FAT:FQL_AUDITING_CLIENT_TEMPLATE.FAT&amp;display_string=Audit&amp;VAR:KEY=RAVOBUXMJE&amp;VAR:QUERY=UkdGX1RBWF9SQVRFKEFOTiwwLCwsLCwsTk9BVURJVCk=&amp;WINDOW=FIRST_POPUP&amp;HEIGHT=450&amp;WIDTH=450&amp;","START_MAXIMIZED=FALSE&amp;VAR:CALENDAR=US&amp;VAR:SYMBOL=VOLT&amp;VAR:INDEX=0"}</definedName>
    <definedName name="_3183__FDSAUDITLINK__" localSheetId="7" hidden="1">{"fdsup://directions/FAT Viewer?action=UPDATE&amp;creator=factset&amp;DYN_ARGS=TRUE&amp;DOC_NAME=FAT:FQL_AUDITING_CLIENT_TEMPLATE.FAT&amp;display_string=Audit&amp;VAR:KEY=RAVOBUXMJE&amp;VAR:QUERY=UkdGX1RBWF9SQVRFKEFOTiwwLCwsLCwsTk9BVURJVCk=&amp;WINDOW=FIRST_POPUP&amp;HEIGHT=450&amp;WIDTH=450&amp;","START_MAXIMIZED=FALSE&amp;VAR:CALENDAR=US&amp;VAR:SYMBOL=VOLT&amp;VAR:INDEX=0"}</definedName>
    <definedName name="_3183__FDSAUDITLINK__" hidden="1">{"fdsup://directions/FAT Viewer?action=UPDATE&amp;creator=factset&amp;DYN_ARGS=TRUE&amp;DOC_NAME=FAT:FQL_AUDITING_CLIENT_TEMPLATE.FAT&amp;display_string=Audit&amp;VAR:KEY=RAVOBUXMJE&amp;VAR:QUERY=UkdGX1RBWF9SQVRFKEFOTiwwLCwsLCwsTk9BVURJVCk=&amp;WINDOW=FIRST_POPUP&amp;HEIGHT=450&amp;WIDTH=450&amp;","START_MAXIMIZED=FALSE&amp;VAR:CALENDAR=US&amp;VAR:SYMBOL=VOLT&amp;VAR:INDEX=0"}</definedName>
    <definedName name="_3184__FDSAUDITLINK__" localSheetId="3" hidden="1">{"fdsup://directions/FAT Viewer?action=UPDATE&amp;creator=factset&amp;DYN_ARGS=TRUE&amp;DOC_NAME=FAT:FQL_AUDITING_CLIENT_TEMPLATE.FAT&amp;display_string=Audit&amp;VAR:KEY=FGXWPQLIPQ&amp;VAR:QUERY=UkdGX1RBWF9SQVRFKEFOTiwwLCwsLCwsTk9BVURJVCk=&amp;WINDOW=FIRST_POPUP&amp;HEIGHT=450&amp;WIDTH=450&amp;","START_MAXIMIZED=FALSE&amp;VAR:CALENDAR=US&amp;VAR:SYMBOL=VOCS&amp;VAR:INDEX=0"}</definedName>
    <definedName name="_3184__FDSAUDITLINK__" localSheetId="7" hidden="1">{"fdsup://directions/FAT Viewer?action=UPDATE&amp;creator=factset&amp;DYN_ARGS=TRUE&amp;DOC_NAME=FAT:FQL_AUDITING_CLIENT_TEMPLATE.FAT&amp;display_string=Audit&amp;VAR:KEY=FGXWPQLIPQ&amp;VAR:QUERY=UkdGX1RBWF9SQVRFKEFOTiwwLCwsLCwsTk9BVURJVCk=&amp;WINDOW=FIRST_POPUP&amp;HEIGHT=450&amp;WIDTH=450&amp;","START_MAXIMIZED=FALSE&amp;VAR:CALENDAR=US&amp;VAR:SYMBOL=VOCS&amp;VAR:INDEX=0"}</definedName>
    <definedName name="_3184__FDSAUDITLINK__" hidden="1">{"fdsup://directions/FAT Viewer?action=UPDATE&amp;creator=factset&amp;DYN_ARGS=TRUE&amp;DOC_NAME=FAT:FQL_AUDITING_CLIENT_TEMPLATE.FAT&amp;display_string=Audit&amp;VAR:KEY=FGXWPQLIPQ&amp;VAR:QUERY=UkdGX1RBWF9SQVRFKEFOTiwwLCwsLCwsTk9BVURJVCk=&amp;WINDOW=FIRST_POPUP&amp;HEIGHT=450&amp;WIDTH=450&amp;","START_MAXIMIZED=FALSE&amp;VAR:CALENDAR=US&amp;VAR:SYMBOL=VOCS&amp;VAR:INDEX=0"}</definedName>
    <definedName name="_3185__FDSAUDITLINK__" localSheetId="3" hidden="1">{"fdsup://directions/FAT Viewer?action=UPDATE&amp;creator=factset&amp;DYN_ARGS=TRUE&amp;DOC_NAME=FAT:FQL_AUDITING_CLIENT_TEMPLATE.FAT&amp;display_string=Audit&amp;VAR:KEY=ZGNYXUBGNI&amp;VAR:QUERY=UkdGX1RBWF9SQVRFKEFOTiwwLCwsLCwsTk9BVURJVCk=&amp;WINDOW=FIRST_POPUP&amp;HEIGHT=450&amp;WIDTH=450&amp;","START_MAXIMIZED=FALSE&amp;VAR:CALENDAR=US&amp;VAR:SYMBOL=VMW&amp;VAR:INDEX=0"}</definedName>
    <definedName name="_3185__FDSAUDITLINK__" localSheetId="7" hidden="1">{"fdsup://directions/FAT Viewer?action=UPDATE&amp;creator=factset&amp;DYN_ARGS=TRUE&amp;DOC_NAME=FAT:FQL_AUDITING_CLIENT_TEMPLATE.FAT&amp;display_string=Audit&amp;VAR:KEY=ZGNYXUBGNI&amp;VAR:QUERY=UkdGX1RBWF9SQVRFKEFOTiwwLCwsLCwsTk9BVURJVCk=&amp;WINDOW=FIRST_POPUP&amp;HEIGHT=450&amp;WIDTH=450&amp;","START_MAXIMIZED=FALSE&amp;VAR:CALENDAR=US&amp;VAR:SYMBOL=VMW&amp;VAR:INDEX=0"}</definedName>
    <definedName name="_3185__FDSAUDITLINK__" hidden="1">{"fdsup://directions/FAT Viewer?action=UPDATE&amp;creator=factset&amp;DYN_ARGS=TRUE&amp;DOC_NAME=FAT:FQL_AUDITING_CLIENT_TEMPLATE.FAT&amp;display_string=Audit&amp;VAR:KEY=ZGNYXUBGNI&amp;VAR:QUERY=UkdGX1RBWF9SQVRFKEFOTiwwLCwsLCwsTk9BVURJVCk=&amp;WINDOW=FIRST_POPUP&amp;HEIGHT=450&amp;WIDTH=450&amp;","START_MAXIMIZED=FALSE&amp;VAR:CALENDAR=US&amp;VAR:SYMBOL=VMW&amp;VAR:INDEX=0"}</definedName>
    <definedName name="_3186__FDSAUDITLINK__" localSheetId="3" hidden="1">{"fdsup://directions/FAT Viewer?action=UPDATE&amp;creator=factset&amp;DYN_ARGS=TRUE&amp;DOC_NAME=FAT:FQL_AUDITING_CLIENT_TEMPLATE.FAT&amp;display_string=Audit&amp;VAR:KEY=ZGNYXUBGNI&amp;VAR:QUERY=UkdGX1RBWF9SQVRFKEFOTiwwLCwsLCwsTk9BVURJVCk=&amp;WINDOW=FIRST_POPUP&amp;HEIGHT=450&amp;WIDTH=450&amp;","START_MAXIMIZED=FALSE&amp;VAR:CALENDAR=US&amp;VAR:SYMBOL=VMW&amp;VAR:INDEX=0"}</definedName>
    <definedName name="_3186__FDSAUDITLINK__" localSheetId="7" hidden="1">{"fdsup://directions/FAT Viewer?action=UPDATE&amp;creator=factset&amp;DYN_ARGS=TRUE&amp;DOC_NAME=FAT:FQL_AUDITING_CLIENT_TEMPLATE.FAT&amp;display_string=Audit&amp;VAR:KEY=ZGNYXUBGNI&amp;VAR:QUERY=UkdGX1RBWF9SQVRFKEFOTiwwLCwsLCwsTk9BVURJVCk=&amp;WINDOW=FIRST_POPUP&amp;HEIGHT=450&amp;WIDTH=450&amp;","START_MAXIMIZED=FALSE&amp;VAR:CALENDAR=US&amp;VAR:SYMBOL=VMW&amp;VAR:INDEX=0"}</definedName>
    <definedName name="_3186__FDSAUDITLINK__" hidden="1">{"fdsup://directions/FAT Viewer?action=UPDATE&amp;creator=factset&amp;DYN_ARGS=TRUE&amp;DOC_NAME=FAT:FQL_AUDITING_CLIENT_TEMPLATE.FAT&amp;display_string=Audit&amp;VAR:KEY=ZGNYXUBGNI&amp;VAR:QUERY=UkdGX1RBWF9SQVRFKEFOTiwwLCwsLCwsTk9BVURJVCk=&amp;WINDOW=FIRST_POPUP&amp;HEIGHT=450&amp;WIDTH=450&amp;","START_MAXIMIZED=FALSE&amp;VAR:CALENDAR=US&amp;VAR:SYMBOL=VMW&amp;VAR:INDEX=0"}</definedName>
    <definedName name="_3187__FDSAUDITLINK__" localSheetId="3" hidden="1">{"fdsup://directions/FAT Viewer?action=UPDATE&amp;creator=factset&amp;DYN_ARGS=TRUE&amp;DOC_NAME=FAT:FQL_AUDITING_CLIENT_TEMPLATE.FAT&amp;display_string=Audit&amp;VAR:KEY=DMNOPAVEVK&amp;VAR:QUERY=UkdGX1RBWF9SQVRFKEFOTiwwLCwsLCwsTk9BVURJVCk=&amp;WINDOW=FIRST_POPUP&amp;HEIGHT=450&amp;WIDTH=450&amp;","START_MAXIMIZED=FALSE&amp;VAR:CALENDAR=US&amp;VAR:SYMBOL=VRSN&amp;VAR:INDEX=0"}</definedName>
    <definedName name="_3187__FDSAUDITLINK__" localSheetId="7" hidden="1">{"fdsup://directions/FAT Viewer?action=UPDATE&amp;creator=factset&amp;DYN_ARGS=TRUE&amp;DOC_NAME=FAT:FQL_AUDITING_CLIENT_TEMPLATE.FAT&amp;display_string=Audit&amp;VAR:KEY=DMNOPAVEVK&amp;VAR:QUERY=UkdGX1RBWF9SQVRFKEFOTiwwLCwsLCwsTk9BVURJVCk=&amp;WINDOW=FIRST_POPUP&amp;HEIGHT=450&amp;WIDTH=450&amp;","START_MAXIMIZED=FALSE&amp;VAR:CALENDAR=US&amp;VAR:SYMBOL=VRSN&amp;VAR:INDEX=0"}</definedName>
    <definedName name="_3187__FDSAUDITLINK__" hidden="1">{"fdsup://directions/FAT Viewer?action=UPDATE&amp;creator=factset&amp;DYN_ARGS=TRUE&amp;DOC_NAME=FAT:FQL_AUDITING_CLIENT_TEMPLATE.FAT&amp;display_string=Audit&amp;VAR:KEY=DMNOPAVEVK&amp;VAR:QUERY=UkdGX1RBWF9SQVRFKEFOTiwwLCwsLCwsTk9BVURJVCk=&amp;WINDOW=FIRST_POPUP&amp;HEIGHT=450&amp;WIDTH=450&amp;","START_MAXIMIZED=FALSE&amp;VAR:CALENDAR=US&amp;VAR:SYMBOL=VRSN&amp;VAR:INDEX=0"}</definedName>
    <definedName name="_3188__FDSAUDITLINK__" localSheetId="3" hidden="1">{"fdsup://directions/FAT Viewer?action=UPDATE&amp;creator=factset&amp;DYN_ARGS=TRUE&amp;DOC_NAME=FAT:FQL_AUDITING_CLIENT_TEMPLATE.FAT&amp;display_string=Audit&amp;VAR:KEY=DMNOPAVEVK&amp;VAR:QUERY=UkdGX1RBWF9SQVRFKEFOTiwwLCwsLCwsTk9BVURJVCk=&amp;WINDOW=FIRST_POPUP&amp;HEIGHT=450&amp;WIDTH=450&amp;","START_MAXIMIZED=FALSE&amp;VAR:CALENDAR=US&amp;VAR:SYMBOL=VRSN&amp;VAR:INDEX=0"}</definedName>
    <definedName name="_3188__FDSAUDITLINK__" localSheetId="7" hidden="1">{"fdsup://directions/FAT Viewer?action=UPDATE&amp;creator=factset&amp;DYN_ARGS=TRUE&amp;DOC_NAME=FAT:FQL_AUDITING_CLIENT_TEMPLATE.FAT&amp;display_string=Audit&amp;VAR:KEY=DMNOPAVEVK&amp;VAR:QUERY=UkdGX1RBWF9SQVRFKEFOTiwwLCwsLCwsTk9BVURJVCk=&amp;WINDOW=FIRST_POPUP&amp;HEIGHT=450&amp;WIDTH=450&amp;","START_MAXIMIZED=FALSE&amp;VAR:CALENDAR=US&amp;VAR:SYMBOL=VRSN&amp;VAR:INDEX=0"}</definedName>
    <definedName name="_3188__FDSAUDITLINK__" hidden="1">{"fdsup://directions/FAT Viewer?action=UPDATE&amp;creator=factset&amp;DYN_ARGS=TRUE&amp;DOC_NAME=FAT:FQL_AUDITING_CLIENT_TEMPLATE.FAT&amp;display_string=Audit&amp;VAR:KEY=DMNOPAVEVK&amp;VAR:QUERY=UkdGX1RBWF9SQVRFKEFOTiwwLCwsLCwsTk9BVURJVCk=&amp;WINDOW=FIRST_POPUP&amp;HEIGHT=450&amp;WIDTH=450&amp;","START_MAXIMIZED=FALSE&amp;VAR:CALENDAR=US&amp;VAR:SYMBOL=VRSN&amp;VAR:INDEX=0"}</definedName>
    <definedName name="_3189__FDSAUDITLINK__" localSheetId="3" hidden="1">{"fdsup://directions/FAT Viewer?action=UPDATE&amp;creator=factset&amp;DYN_ARGS=TRUE&amp;DOC_NAME=FAT:FQL_AUDITING_CLIENT_TEMPLATE.FAT&amp;display_string=Audit&amp;VAR:KEY=FCJGJOTQDA&amp;VAR:QUERY=UkdGX1RBWF9SQVRFKEFOTiwwLCwsLCwsTk9BVURJVCk=&amp;WINDOW=FIRST_POPUP&amp;HEIGHT=450&amp;WIDTH=450&amp;","START_MAXIMIZED=FALSE&amp;VAR:CALENDAR=US&amp;VAR:SYMBOL=VDSI&amp;VAR:INDEX=0"}</definedName>
    <definedName name="_3189__FDSAUDITLINK__" localSheetId="7" hidden="1">{"fdsup://directions/FAT Viewer?action=UPDATE&amp;creator=factset&amp;DYN_ARGS=TRUE&amp;DOC_NAME=FAT:FQL_AUDITING_CLIENT_TEMPLATE.FAT&amp;display_string=Audit&amp;VAR:KEY=FCJGJOTQDA&amp;VAR:QUERY=UkdGX1RBWF9SQVRFKEFOTiwwLCwsLCwsTk9BVURJVCk=&amp;WINDOW=FIRST_POPUP&amp;HEIGHT=450&amp;WIDTH=450&amp;","START_MAXIMIZED=FALSE&amp;VAR:CALENDAR=US&amp;VAR:SYMBOL=VDSI&amp;VAR:INDEX=0"}</definedName>
    <definedName name="_3189__FDSAUDITLINK__" hidden="1">{"fdsup://directions/FAT Viewer?action=UPDATE&amp;creator=factset&amp;DYN_ARGS=TRUE&amp;DOC_NAME=FAT:FQL_AUDITING_CLIENT_TEMPLATE.FAT&amp;display_string=Audit&amp;VAR:KEY=FCJGJOTQDA&amp;VAR:QUERY=UkdGX1RBWF9SQVRFKEFOTiwwLCwsLCwsTk9BVURJVCk=&amp;WINDOW=FIRST_POPUP&amp;HEIGHT=450&amp;WIDTH=450&amp;","START_MAXIMIZED=FALSE&amp;VAR:CALENDAR=US&amp;VAR:SYMBOL=VDSI&amp;VAR:INDEX=0"}</definedName>
    <definedName name="_3190__FDSAUDITLINK__" localSheetId="3" hidden="1">{"fdsup://directions/FAT Viewer?action=UPDATE&amp;creator=factset&amp;DYN_ARGS=TRUE&amp;DOC_NAME=FAT:FQL_AUDITING_CLIENT_TEMPLATE.FAT&amp;display_string=Audit&amp;VAR:KEY=FCJGJOTQDA&amp;VAR:QUERY=UkdGX1RBWF9SQVRFKEFOTiwwLCwsLCwsTk9BVURJVCk=&amp;WINDOW=FIRST_POPUP&amp;HEIGHT=450&amp;WIDTH=450&amp;","START_MAXIMIZED=FALSE&amp;VAR:CALENDAR=US&amp;VAR:SYMBOL=VDSI&amp;VAR:INDEX=0"}</definedName>
    <definedName name="_3190__FDSAUDITLINK__" localSheetId="7" hidden="1">{"fdsup://directions/FAT Viewer?action=UPDATE&amp;creator=factset&amp;DYN_ARGS=TRUE&amp;DOC_NAME=FAT:FQL_AUDITING_CLIENT_TEMPLATE.FAT&amp;display_string=Audit&amp;VAR:KEY=FCJGJOTQDA&amp;VAR:QUERY=UkdGX1RBWF9SQVRFKEFOTiwwLCwsLCwsTk9BVURJVCk=&amp;WINDOW=FIRST_POPUP&amp;HEIGHT=450&amp;WIDTH=450&amp;","START_MAXIMIZED=FALSE&amp;VAR:CALENDAR=US&amp;VAR:SYMBOL=VDSI&amp;VAR:INDEX=0"}</definedName>
    <definedName name="_3190__FDSAUDITLINK__" hidden="1">{"fdsup://directions/FAT Viewer?action=UPDATE&amp;creator=factset&amp;DYN_ARGS=TRUE&amp;DOC_NAME=FAT:FQL_AUDITING_CLIENT_TEMPLATE.FAT&amp;display_string=Audit&amp;VAR:KEY=FCJGJOTQDA&amp;VAR:QUERY=UkdGX1RBWF9SQVRFKEFOTiwwLCwsLCwsTk9BVURJVCk=&amp;WINDOW=FIRST_POPUP&amp;HEIGHT=450&amp;WIDTH=450&amp;","START_MAXIMIZED=FALSE&amp;VAR:CALENDAR=US&amp;VAR:SYMBOL=VDSI&amp;VAR:INDEX=0"}</definedName>
    <definedName name="_3191__FDSAUDITLINK__" localSheetId="3" hidden="1">{"fdsup://directions/FAT Viewer?action=UPDATE&amp;creator=factset&amp;DYN_ARGS=TRUE&amp;DOC_NAME=FAT:FQL_AUDITING_CLIENT_TEMPLATE.FAT&amp;display_string=Audit&amp;VAR:KEY=NERCLUPIVY&amp;VAR:QUERY=UkdGX1RBWF9SQVRFKEFOTiwwLCwsLCwsTk9BVURJVCk=&amp;WINDOW=FIRST_POPUP&amp;HEIGHT=450&amp;WIDTH=450&amp;","START_MAXIMIZED=FALSE&amp;VAR:CALENDAR=US&amp;VAR:SYMBOL=ULTI&amp;VAR:INDEX=0"}</definedName>
    <definedName name="_3191__FDSAUDITLINK__" localSheetId="7" hidden="1">{"fdsup://directions/FAT Viewer?action=UPDATE&amp;creator=factset&amp;DYN_ARGS=TRUE&amp;DOC_NAME=FAT:FQL_AUDITING_CLIENT_TEMPLATE.FAT&amp;display_string=Audit&amp;VAR:KEY=NERCLUPIVY&amp;VAR:QUERY=UkdGX1RBWF9SQVRFKEFOTiwwLCwsLCwsTk9BVURJVCk=&amp;WINDOW=FIRST_POPUP&amp;HEIGHT=450&amp;WIDTH=450&amp;","START_MAXIMIZED=FALSE&amp;VAR:CALENDAR=US&amp;VAR:SYMBOL=ULTI&amp;VAR:INDEX=0"}</definedName>
    <definedName name="_3191__FDSAUDITLINK__" hidden="1">{"fdsup://directions/FAT Viewer?action=UPDATE&amp;creator=factset&amp;DYN_ARGS=TRUE&amp;DOC_NAME=FAT:FQL_AUDITING_CLIENT_TEMPLATE.FAT&amp;display_string=Audit&amp;VAR:KEY=NERCLUPIVY&amp;VAR:QUERY=UkdGX1RBWF9SQVRFKEFOTiwwLCwsLCwsTk9BVURJVCk=&amp;WINDOW=FIRST_POPUP&amp;HEIGHT=450&amp;WIDTH=450&amp;","START_MAXIMIZED=FALSE&amp;VAR:CALENDAR=US&amp;VAR:SYMBOL=ULTI&amp;VAR:INDEX=0"}</definedName>
    <definedName name="_3192__FDSAUDITLINK__" localSheetId="3" hidden="1">{"fdsup://directions/FAT Viewer?action=UPDATE&amp;creator=factset&amp;DYN_ARGS=TRUE&amp;DOC_NAME=FAT:FQL_AUDITING_CLIENT_TEMPLATE.FAT&amp;display_string=Audit&amp;VAR:KEY=NERCLUPIVY&amp;VAR:QUERY=UkdGX1RBWF9SQVRFKEFOTiwwLCwsLCwsTk9BVURJVCk=&amp;WINDOW=FIRST_POPUP&amp;HEIGHT=450&amp;WIDTH=450&amp;","START_MAXIMIZED=FALSE&amp;VAR:CALENDAR=US&amp;VAR:SYMBOL=ULTI&amp;VAR:INDEX=0"}</definedName>
    <definedName name="_3192__FDSAUDITLINK__" localSheetId="7" hidden="1">{"fdsup://directions/FAT Viewer?action=UPDATE&amp;creator=factset&amp;DYN_ARGS=TRUE&amp;DOC_NAME=FAT:FQL_AUDITING_CLIENT_TEMPLATE.FAT&amp;display_string=Audit&amp;VAR:KEY=NERCLUPIVY&amp;VAR:QUERY=UkdGX1RBWF9SQVRFKEFOTiwwLCwsLCwsTk9BVURJVCk=&amp;WINDOW=FIRST_POPUP&amp;HEIGHT=450&amp;WIDTH=450&amp;","START_MAXIMIZED=FALSE&amp;VAR:CALENDAR=US&amp;VAR:SYMBOL=ULTI&amp;VAR:INDEX=0"}</definedName>
    <definedName name="_3192__FDSAUDITLINK__" hidden="1">{"fdsup://directions/FAT Viewer?action=UPDATE&amp;creator=factset&amp;DYN_ARGS=TRUE&amp;DOC_NAME=FAT:FQL_AUDITING_CLIENT_TEMPLATE.FAT&amp;display_string=Audit&amp;VAR:KEY=NERCLUPIVY&amp;VAR:QUERY=UkdGX1RBWF9SQVRFKEFOTiwwLCwsLCwsTk9BVURJVCk=&amp;WINDOW=FIRST_POPUP&amp;HEIGHT=450&amp;WIDTH=450&amp;","START_MAXIMIZED=FALSE&amp;VAR:CALENDAR=US&amp;VAR:SYMBOL=ULTI&amp;VAR:INDEX=0"}</definedName>
    <definedName name="_3193__FDSAUDITLINK__" localSheetId="3" hidden="1">{"fdsup://directions/FAT Viewer?action=UPDATE&amp;creator=factset&amp;DYN_ARGS=TRUE&amp;DOC_NAME=FAT:FQL_AUDITING_CLIENT_TEMPLATE.FAT&amp;display_string=Audit&amp;VAR:KEY=VKJSRKLADQ&amp;VAR:QUERY=UkdGX1RBWF9SQVRFKEFOTiwwLCwsLCwsTk9BVURJVCk=&amp;WINDOW=FIRST_POPUP&amp;HEIGHT=450&amp;WIDTH=450&amp;","START_MAXIMIZED=FALSE&amp;VAR:CALENDAR=US&amp;VAR:SYMBOL=TYPE&amp;VAR:INDEX=0"}</definedName>
    <definedName name="_3193__FDSAUDITLINK__" localSheetId="7" hidden="1">{"fdsup://directions/FAT Viewer?action=UPDATE&amp;creator=factset&amp;DYN_ARGS=TRUE&amp;DOC_NAME=FAT:FQL_AUDITING_CLIENT_TEMPLATE.FAT&amp;display_string=Audit&amp;VAR:KEY=VKJSRKLADQ&amp;VAR:QUERY=UkdGX1RBWF9SQVRFKEFOTiwwLCwsLCwsTk9BVURJVCk=&amp;WINDOW=FIRST_POPUP&amp;HEIGHT=450&amp;WIDTH=450&amp;","START_MAXIMIZED=FALSE&amp;VAR:CALENDAR=US&amp;VAR:SYMBOL=TYPE&amp;VAR:INDEX=0"}</definedName>
    <definedName name="_3193__FDSAUDITLINK__" hidden="1">{"fdsup://directions/FAT Viewer?action=UPDATE&amp;creator=factset&amp;DYN_ARGS=TRUE&amp;DOC_NAME=FAT:FQL_AUDITING_CLIENT_TEMPLATE.FAT&amp;display_string=Audit&amp;VAR:KEY=VKJSRKLADQ&amp;VAR:QUERY=UkdGX1RBWF9SQVRFKEFOTiwwLCwsLCwsTk9BVURJVCk=&amp;WINDOW=FIRST_POPUP&amp;HEIGHT=450&amp;WIDTH=450&amp;","START_MAXIMIZED=FALSE&amp;VAR:CALENDAR=US&amp;VAR:SYMBOL=TYPE&amp;VAR:INDEX=0"}</definedName>
    <definedName name="_3194__FDSAUDITLINK__" localSheetId="3" hidden="1">{"fdsup://directions/FAT Viewer?action=UPDATE&amp;creator=factset&amp;DYN_ARGS=TRUE&amp;DOC_NAME=FAT:FQL_AUDITING_CLIENT_TEMPLATE.FAT&amp;display_string=Audit&amp;VAR:KEY=VKJSRKLADQ&amp;VAR:QUERY=UkdGX1RBWF9SQVRFKEFOTiwwLCwsLCwsTk9BVURJVCk=&amp;WINDOW=FIRST_POPUP&amp;HEIGHT=450&amp;WIDTH=450&amp;","START_MAXIMIZED=FALSE&amp;VAR:CALENDAR=US&amp;VAR:SYMBOL=TYPE&amp;VAR:INDEX=0"}</definedName>
    <definedName name="_3194__FDSAUDITLINK__" localSheetId="7" hidden="1">{"fdsup://directions/FAT Viewer?action=UPDATE&amp;creator=factset&amp;DYN_ARGS=TRUE&amp;DOC_NAME=FAT:FQL_AUDITING_CLIENT_TEMPLATE.FAT&amp;display_string=Audit&amp;VAR:KEY=VKJSRKLADQ&amp;VAR:QUERY=UkdGX1RBWF9SQVRFKEFOTiwwLCwsLCwsTk9BVURJVCk=&amp;WINDOW=FIRST_POPUP&amp;HEIGHT=450&amp;WIDTH=450&amp;","START_MAXIMIZED=FALSE&amp;VAR:CALENDAR=US&amp;VAR:SYMBOL=TYPE&amp;VAR:INDEX=0"}</definedName>
    <definedName name="_3194__FDSAUDITLINK__" hidden="1">{"fdsup://directions/FAT Viewer?action=UPDATE&amp;creator=factset&amp;DYN_ARGS=TRUE&amp;DOC_NAME=FAT:FQL_AUDITING_CLIENT_TEMPLATE.FAT&amp;display_string=Audit&amp;VAR:KEY=VKJSRKLADQ&amp;VAR:QUERY=UkdGX1RBWF9SQVRFKEFOTiwwLCwsLCwsTk9BVURJVCk=&amp;WINDOW=FIRST_POPUP&amp;HEIGHT=450&amp;WIDTH=450&amp;","START_MAXIMIZED=FALSE&amp;VAR:CALENDAR=US&amp;VAR:SYMBOL=TYPE&amp;VAR:INDEX=0"}</definedName>
    <definedName name="_3195__FDSAUDITLINK__" localSheetId="3" hidden="1">{"fdsup://directions/FAT Viewer?action=UPDATE&amp;creator=factset&amp;DYN_ARGS=TRUE&amp;DOC_NAME=FAT:FQL_AUDITING_CLIENT_TEMPLATE.FAT&amp;display_string=Audit&amp;VAR:KEY=VCHCNOFWNU&amp;VAR:QUERY=UkdGX1RBWF9SQVRFKEFOTiwwLCwsLCwsTk9BVURJVCk=&amp;WINDOW=FIRST_POPUP&amp;HEIGHT=450&amp;WIDTH=450&amp;","START_MAXIMIZED=FALSE&amp;VAR:CALENDAR=US&amp;VAR:SYMBOL=TYL&amp;VAR:INDEX=0"}</definedName>
    <definedName name="_3195__FDSAUDITLINK__" localSheetId="7" hidden="1">{"fdsup://directions/FAT Viewer?action=UPDATE&amp;creator=factset&amp;DYN_ARGS=TRUE&amp;DOC_NAME=FAT:FQL_AUDITING_CLIENT_TEMPLATE.FAT&amp;display_string=Audit&amp;VAR:KEY=VCHCNOFWNU&amp;VAR:QUERY=UkdGX1RBWF9SQVRFKEFOTiwwLCwsLCwsTk9BVURJVCk=&amp;WINDOW=FIRST_POPUP&amp;HEIGHT=450&amp;WIDTH=450&amp;","START_MAXIMIZED=FALSE&amp;VAR:CALENDAR=US&amp;VAR:SYMBOL=TYL&amp;VAR:INDEX=0"}</definedName>
    <definedName name="_3195__FDSAUDITLINK__" hidden="1">{"fdsup://directions/FAT Viewer?action=UPDATE&amp;creator=factset&amp;DYN_ARGS=TRUE&amp;DOC_NAME=FAT:FQL_AUDITING_CLIENT_TEMPLATE.FAT&amp;display_string=Audit&amp;VAR:KEY=VCHCNOFWNU&amp;VAR:QUERY=UkdGX1RBWF9SQVRFKEFOTiwwLCwsLCwsTk9BVURJVCk=&amp;WINDOW=FIRST_POPUP&amp;HEIGHT=450&amp;WIDTH=450&amp;","START_MAXIMIZED=FALSE&amp;VAR:CALENDAR=US&amp;VAR:SYMBOL=TYL&amp;VAR:INDEX=0"}</definedName>
    <definedName name="_3196__FDSAUDITLINK__" localSheetId="3" hidden="1">{"fdsup://directions/FAT Viewer?action=UPDATE&amp;creator=factset&amp;DYN_ARGS=TRUE&amp;DOC_NAME=FAT:FQL_AUDITING_CLIENT_TEMPLATE.FAT&amp;display_string=Audit&amp;VAR:KEY=VCHCNOFWNU&amp;VAR:QUERY=UkdGX1RBWF9SQVRFKEFOTiwwLCwsLCwsTk9BVURJVCk=&amp;WINDOW=FIRST_POPUP&amp;HEIGHT=450&amp;WIDTH=450&amp;","START_MAXIMIZED=FALSE&amp;VAR:CALENDAR=US&amp;VAR:SYMBOL=TYL&amp;VAR:INDEX=0"}</definedName>
    <definedName name="_3196__FDSAUDITLINK__" localSheetId="7" hidden="1">{"fdsup://directions/FAT Viewer?action=UPDATE&amp;creator=factset&amp;DYN_ARGS=TRUE&amp;DOC_NAME=FAT:FQL_AUDITING_CLIENT_TEMPLATE.FAT&amp;display_string=Audit&amp;VAR:KEY=VCHCNOFWNU&amp;VAR:QUERY=UkdGX1RBWF9SQVRFKEFOTiwwLCwsLCwsTk9BVURJVCk=&amp;WINDOW=FIRST_POPUP&amp;HEIGHT=450&amp;WIDTH=450&amp;","START_MAXIMIZED=FALSE&amp;VAR:CALENDAR=US&amp;VAR:SYMBOL=TYL&amp;VAR:INDEX=0"}</definedName>
    <definedName name="_3196__FDSAUDITLINK__" hidden="1">{"fdsup://directions/FAT Viewer?action=UPDATE&amp;creator=factset&amp;DYN_ARGS=TRUE&amp;DOC_NAME=FAT:FQL_AUDITING_CLIENT_TEMPLATE.FAT&amp;display_string=Audit&amp;VAR:KEY=VCHCNOFWNU&amp;VAR:QUERY=UkdGX1RBWF9SQVRFKEFOTiwwLCwsLCwsTk9BVURJVCk=&amp;WINDOW=FIRST_POPUP&amp;HEIGHT=450&amp;WIDTH=450&amp;","START_MAXIMIZED=FALSE&amp;VAR:CALENDAR=US&amp;VAR:SYMBOL=TYL&amp;VAR:INDEX=0"}</definedName>
    <definedName name="_3197__FDSAUDITLINK__" localSheetId="3" hidden="1">{"fdsup://directions/FAT Viewer?action=UPDATE&amp;creator=factset&amp;DYN_ARGS=TRUE&amp;DOC_NAME=FAT:FQL_AUDITING_CLIENT_TEMPLATE.FAT&amp;display_string=Audit&amp;VAR:KEY=RUHILSTWXQ&amp;VAR:QUERY=UkdGX1RBWF9SQVRFKEFOTiwwLCwsLCwsTk9BVURJVCk=&amp;WINDOW=FIRST_POPUP&amp;HEIGHT=450&amp;WIDTH=450&amp;","START_MAXIMIZED=FALSE&amp;VAR:CALENDAR=US&amp;VAR:SYMBOL=612528&amp;VAR:INDEX=0"}</definedName>
    <definedName name="_3197__FDSAUDITLINK__" localSheetId="7" hidden="1">{"fdsup://directions/FAT Viewer?action=UPDATE&amp;creator=factset&amp;DYN_ARGS=TRUE&amp;DOC_NAME=FAT:FQL_AUDITING_CLIENT_TEMPLATE.FAT&amp;display_string=Audit&amp;VAR:KEY=RUHILSTWXQ&amp;VAR:QUERY=UkdGX1RBWF9SQVRFKEFOTiwwLCwsLCwsTk9BVURJVCk=&amp;WINDOW=FIRST_POPUP&amp;HEIGHT=450&amp;WIDTH=450&amp;","START_MAXIMIZED=FALSE&amp;VAR:CALENDAR=US&amp;VAR:SYMBOL=612528&amp;VAR:INDEX=0"}</definedName>
    <definedName name="_3197__FDSAUDITLINK__" hidden="1">{"fdsup://directions/FAT Viewer?action=UPDATE&amp;creator=factset&amp;DYN_ARGS=TRUE&amp;DOC_NAME=FAT:FQL_AUDITING_CLIENT_TEMPLATE.FAT&amp;display_string=Audit&amp;VAR:KEY=RUHILSTWXQ&amp;VAR:QUERY=UkdGX1RBWF9SQVRFKEFOTiwwLCwsLCwsTk9BVURJVCk=&amp;WINDOW=FIRST_POPUP&amp;HEIGHT=450&amp;WIDTH=450&amp;","START_MAXIMIZED=FALSE&amp;VAR:CALENDAR=US&amp;VAR:SYMBOL=612528&amp;VAR:INDEX=0"}</definedName>
    <definedName name="_3198__FDSAUDITLINK__" localSheetId="3" hidden="1">{"fdsup://directions/FAT Viewer?action=UPDATE&amp;creator=factset&amp;DYN_ARGS=TRUE&amp;DOC_NAME=FAT:FQL_AUDITING_CLIENT_TEMPLATE.FAT&amp;display_string=Audit&amp;VAR:KEY=RUHILSTWXQ&amp;VAR:QUERY=UkdGX1RBWF9SQVRFKEFOTiwwLCwsLCwsTk9BVURJVCk=&amp;WINDOW=FIRST_POPUP&amp;HEIGHT=450&amp;WIDTH=450&amp;","START_MAXIMIZED=FALSE&amp;VAR:CALENDAR=US&amp;VAR:SYMBOL=612528&amp;VAR:INDEX=0"}</definedName>
    <definedName name="_3198__FDSAUDITLINK__" localSheetId="7" hidden="1">{"fdsup://directions/FAT Viewer?action=UPDATE&amp;creator=factset&amp;DYN_ARGS=TRUE&amp;DOC_NAME=FAT:FQL_AUDITING_CLIENT_TEMPLATE.FAT&amp;display_string=Audit&amp;VAR:KEY=RUHILSTWXQ&amp;VAR:QUERY=UkdGX1RBWF9SQVRFKEFOTiwwLCwsLCwsTk9BVURJVCk=&amp;WINDOW=FIRST_POPUP&amp;HEIGHT=450&amp;WIDTH=450&amp;","START_MAXIMIZED=FALSE&amp;VAR:CALENDAR=US&amp;VAR:SYMBOL=612528&amp;VAR:INDEX=0"}</definedName>
    <definedName name="_3198__FDSAUDITLINK__" hidden="1">{"fdsup://directions/FAT Viewer?action=UPDATE&amp;creator=factset&amp;DYN_ARGS=TRUE&amp;DOC_NAME=FAT:FQL_AUDITING_CLIENT_TEMPLATE.FAT&amp;display_string=Audit&amp;VAR:KEY=RUHILSTWXQ&amp;VAR:QUERY=UkdGX1RBWF9SQVRFKEFOTiwwLCwsLCwsTk9BVURJVCk=&amp;WINDOW=FIRST_POPUP&amp;HEIGHT=450&amp;WIDTH=450&amp;","START_MAXIMIZED=FALSE&amp;VAR:CALENDAR=US&amp;VAR:SYMBOL=612528&amp;VAR:INDEX=0"}</definedName>
    <definedName name="_3199__FDSAUDITLINK__" localSheetId="3" hidden="1">{"fdsup://directions/FAT Viewer?action=UPDATE&amp;creator=factset&amp;DYN_ARGS=TRUE&amp;DOC_NAME=FAT:FQL_AUDITING_CLIENT_TEMPLATE.FAT&amp;display_string=Audit&amp;VAR:KEY=DMDWROLCNC&amp;VAR:QUERY=UkdGX1RBWF9SQVRFKEFOTiwwLCwsLCwsTk9BVURJVCk=&amp;WINDOW=FIRST_POPUP&amp;HEIGHT=450&amp;WIDTH=450&amp;","START_MAXIMIZED=FALSE&amp;VAR:CALENDAR=US&amp;VAR:SYMBOL=B10LQP&amp;VAR:INDEX=0"}</definedName>
    <definedName name="_3199__FDSAUDITLINK__" localSheetId="7" hidden="1">{"fdsup://directions/FAT Viewer?action=UPDATE&amp;creator=factset&amp;DYN_ARGS=TRUE&amp;DOC_NAME=FAT:FQL_AUDITING_CLIENT_TEMPLATE.FAT&amp;display_string=Audit&amp;VAR:KEY=DMDWROLCNC&amp;VAR:QUERY=UkdGX1RBWF9SQVRFKEFOTiwwLCwsLCwsTk9BVURJVCk=&amp;WINDOW=FIRST_POPUP&amp;HEIGHT=450&amp;WIDTH=450&amp;","START_MAXIMIZED=FALSE&amp;VAR:CALENDAR=US&amp;VAR:SYMBOL=B10LQP&amp;VAR:INDEX=0"}</definedName>
    <definedName name="_3199__FDSAUDITLINK__" hidden="1">{"fdsup://directions/FAT Viewer?action=UPDATE&amp;creator=factset&amp;DYN_ARGS=TRUE&amp;DOC_NAME=FAT:FQL_AUDITING_CLIENT_TEMPLATE.FAT&amp;display_string=Audit&amp;VAR:KEY=DMDWROLCNC&amp;VAR:QUERY=UkdGX1RBWF9SQVRFKEFOTiwwLCwsLCwsTk9BVURJVCk=&amp;WINDOW=FIRST_POPUP&amp;HEIGHT=450&amp;WIDTH=450&amp;","START_MAXIMIZED=FALSE&amp;VAR:CALENDAR=US&amp;VAR:SYMBOL=B10LQP&amp;VAR:INDEX=0"}</definedName>
    <definedName name="_32__FDSAUDITLINK__" localSheetId="3" hidden="1">{"fdsup://Directions/FactSet Auditing Viewer?action=AUDIT_VALUE&amp;DB=129&amp;ID1=B17MHG&amp;VALUEID=01001_YTD&amp;SDATE=201002&amp;PERIODTYPE=QTR_STD&amp;SCFT=3&amp;window=popup_no_bar&amp;width=385&amp;height=120&amp;START_MAXIMIZED=FALSE&amp;creator=factset&amp;display_string=Audit"}</definedName>
    <definedName name="_32__FDSAUDITLINK__" localSheetId="7" hidden="1">{"fdsup://Directions/FactSet Auditing Viewer?action=AUDIT_VALUE&amp;DB=129&amp;ID1=B17MHG&amp;VALUEID=01001_YTD&amp;SDATE=201002&amp;PERIODTYPE=QTR_STD&amp;SCFT=3&amp;window=popup_no_bar&amp;width=385&amp;height=120&amp;START_MAXIMIZED=FALSE&amp;creator=factset&amp;display_string=Audit"}</definedName>
    <definedName name="_32__FDSAUDITLINK__" hidden="1">{"fdsup://Directions/FactSet Auditing Viewer?action=AUDIT_VALUE&amp;DB=129&amp;ID1=B17MHG&amp;VALUEID=01001_YTD&amp;SDATE=201002&amp;PERIODTYPE=QTR_STD&amp;SCFT=3&amp;window=popup_no_bar&amp;width=385&amp;height=120&amp;START_MAXIMIZED=FALSE&amp;creator=factset&amp;display_string=Audit"}</definedName>
    <definedName name="_3200__FDSAUDITLINK__" localSheetId="3" hidden="1">{"fdsup://directions/FAT Viewer?action=UPDATE&amp;creator=factset&amp;DYN_ARGS=TRUE&amp;DOC_NAME=FAT:FQL_AUDITING_CLIENT_TEMPLATE.FAT&amp;display_string=Audit&amp;VAR:KEY=DMDWROLCNC&amp;VAR:QUERY=UkdGX1RBWF9SQVRFKEFOTiwwLCwsLCwsTk9BVURJVCk=&amp;WINDOW=FIRST_POPUP&amp;HEIGHT=450&amp;WIDTH=450&amp;","START_MAXIMIZED=FALSE&amp;VAR:CALENDAR=US&amp;VAR:SYMBOL=B10LQP&amp;VAR:INDEX=0"}</definedName>
    <definedName name="_3200__FDSAUDITLINK__" localSheetId="7" hidden="1">{"fdsup://directions/FAT Viewer?action=UPDATE&amp;creator=factset&amp;DYN_ARGS=TRUE&amp;DOC_NAME=FAT:FQL_AUDITING_CLIENT_TEMPLATE.FAT&amp;display_string=Audit&amp;VAR:KEY=DMDWROLCNC&amp;VAR:QUERY=UkdGX1RBWF9SQVRFKEFOTiwwLCwsLCwsTk9BVURJVCk=&amp;WINDOW=FIRST_POPUP&amp;HEIGHT=450&amp;WIDTH=450&amp;","START_MAXIMIZED=FALSE&amp;VAR:CALENDAR=US&amp;VAR:SYMBOL=B10LQP&amp;VAR:INDEX=0"}</definedName>
    <definedName name="_3200__FDSAUDITLINK__" hidden="1">{"fdsup://directions/FAT Viewer?action=UPDATE&amp;creator=factset&amp;DYN_ARGS=TRUE&amp;DOC_NAME=FAT:FQL_AUDITING_CLIENT_TEMPLATE.FAT&amp;display_string=Audit&amp;VAR:KEY=DMDWROLCNC&amp;VAR:QUERY=UkdGX1RBWF9SQVRFKEFOTiwwLCwsLCwsTk9BVURJVCk=&amp;WINDOW=FIRST_POPUP&amp;HEIGHT=450&amp;WIDTH=450&amp;","START_MAXIMIZED=FALSE&amp;VAR:CALENDAR=US&amp;VAR:SYMBOL=B10LQP&amp;VAR:INDEX=0"}</definedName>
    <definedName name="_3201__FDSAUDITLINK__" localSheetId="3" hidden="1">{"fdsup://directions/FAT Viewer?action=UPDATE&amp;creator=factset&amp;DYN_ARGS=TRUE&amp;DOC_NAME=FAT:FQL_AUDITING_CLIENT_TEMPLATE.FAT&amp;display_string=Audit&amp;VAR:KEY=BWTSZAFIVE&amp;VAR:QUERY=UkdGX1RBWF9SQVRFKEFOTiwwLCwsLCwsTk9BVURJVCk=&amp;WINDOW=FIRST_POPUP&amp;HEIGHT=450&amp;WIDTH=450&amp;","START_MAXIMIZED=FALSE&amp;VAR:CALENDAR=US&amp;VAR:SYMBOL=TNS&amp;VAR:INDEX=0"}</definedName>
    <definedName name="_3201__FDSAUDITLINK__" localSheetId="7" hidden="1">{"fdsup://directions/FAT Viewer?action=UPDATE&amp;creator=factset&amp;DYN_ARGS=TRUE&amp;DOC_NAME=FAT:FQL_AUDITING_CLIENT_TEMPLATE.FAT&amp;display_string=Audit&amp;VAR:KEY=BWTSZAFIVE&amp;VAR:QUERY=UkdGX1RBWF9SQVRFKEFOTiwwLCwsLCwsTk9BVURJVCk=&amp;WINDOW=FIRST_POPUP&amp;HEIGHT=450&amp;WIDTH=450&amp;","START_MAXIMIZED=FALSE&amp;VAR:CALENDAR=US&amp;VAR:SYMBOL=TNS&amp;VAR:INDEX=0"}</definedName>
    <definedName name="_3201__FDSAUDITLINK__" hidden="1">{"fdsup://directions/FAT Viewer?action=UPDATE&amp;creator=factset&amp;DYN_ARGS=TRUE&amp;DOC_NAME=FAT:FQL_AUDITING_CLIENT_TEMPLATE.FAT&amp;display_string=Audit&amp;VAR:KEY=BWTSZAFIVE&amp;VAR:QUERY=UkdGX1RBWF9SQVRFKEFOTiwwLCwsLCwsTk9BVURJVCk=&amp;WINDOW=FIRST_POPUP&amp;HEIGHT=450&amp;WIDTH=450&amp;","START_MAXIMIZED=FALSE&amp;VAR:CALENDAR=US&amp;VAR:SYMBOL=TNS&amp;VAR:INDEX=0"}</definedName>
    <definedName name="_3202__FDSAUDITLINK__" localSheetId="3" hidden="1">{"fdsup://directions/FAT Viewer?action=UPDATE&amp;creator=factset&amp;DYN_ARGS=TRUE&amp;DOC_NAME=FAT:FQL_AUDITING_CLIENT_TEMPLATE.FAT&amp;display_string=Audit&amp;VAR:KEY=BWTSZAFIVE&amp;VAR:QUERY=UkdGX1RBWF9SQVRFKEFOTiwwLCwsLCwsTk9BVURJVCk=&amp;WINDOW=FIRST_POPUP&amp;HEIGHT=450&amp;WIDTH=450&amp;","START_MAXIMIZED=FALSE&amp;VAR:CALENDAR=US&amp;VAR:SYMBOL=TNS&amp;VAR:INDEX=0"}</definedName>
    <definedName name="_3202__FDSAUDITLINK__" localSheetId="7" hidden="1">{"fdsup://directions/FAT Viewer?action=UPDATE&amp;creator=factset&amp;DYN_ARGS=TRUE&amp;DOC_NAME=FAT:FQL_AUDITING_CLIENT_TEMPLATE.FAT&amp;display_string=Audit&amp;VAR:KEY=BWTSZAFIVE&amp;VAR:QUERY=UkdGX1RBWF9SQVRFKEFOTiwwLCwsLCwsTk9BVURJVCk=&amp;WINDOW=FIRST_POPUP&amp;HEIGHT=450&amp;WIDTH=450&amp;","START_MAXIMIZED=FALSE&amp;VAR:CALENDAR=US&amp;VAR:SYMBOL=TNS&amp;VAR:INDEX=0"}</definedName>
    <definedName name="_3202__FDSAUDITLINK__" hidden="1">{"fdsup://directions/FAT Viewer?action=UPDATE&amp;creator=factset&amp;DYN_ARGS=TRUE&amp;DOC_NAME=FAT:FQL_AUDITING_CLIENT_TEMPLATE.FAT&amp;display_string=Audit&amp;VAR:KEY=BWTSZAFIVE&amp;VAR:QUERY=UkdGX1RBWF9SQVRFKEFOTiwwLCwsLCwsTk9BVURJVCk=&amp;WINDOW=FIRST_POPUP&amp;HEIGHT=450&amp;WIDTH=450&amp;","START_MAXIMIZED=FALSE&amp;VAR:CALENDAR=US&amp;VAR:SYMBOL=TNS&amp;VAR:INDEX=0"}</definedName>
    <definedName name="_3203__FDSAUDITLINK__" localSheetId="3" hidden="1">{"fdsup://directions/FAT Viewer?action=UPDATE&amp;creator=factset&amp;DYN_ARGS=TRUE&amp;DOC_NAME=FAT:FQL_AUDITING_CLIENT_TEMPLATE.FAT&amp;display_string=Audit&amp;VAR:KEY=ZSTIRQBKTM&amp;VAR:QUERY=UkdGX1RBWF9SQVRFKEFOTiwwLCwsLCwsTk9BVURJVCk=&amp;WINDOW=FIRST_POPUP&amp;HEIGHT=450&amp;WIDTH=450&amp;","START_MAXIMIZED=FALSE&amp;VAR:CALENDAR=US&amp;VAR:SYMBOL=TIBX&amp;VAR:INDEX=0"}</definedName>
    <definedName name="_3203__FDSAUDITLINK__" localSheetId="7" hidden="1">{"fdsup://directions/FAT Viewer?action=UPDATE&amp;creator=factset&amp;DYN_ARGS=TRUE&amp;DOC_NAME=FAT:FQL_AUDITING_CLIENT_TEMPLATE.FAT&amp;display_string=Audit&amp;VAR:KEY=ZSTIRQBKTM&amp;VAR:QUERY=UkdGX1RBWF9SQVRFKEFOTiwwLCwsLCwsTk9BVURJVCk=&amp;WINDOW=FIRST_POPUP&amp;HEIGHT=450&amp;WIDTH=450&amp;","START_MAXIMIZED=FALSE&amp;VAR:CALENDAR=US&amp;VAR:SYMBOL=TIBX&amp;VAR:INDEX=0"}</definedName>
    <definedName name="_3203__FDSAUDITLINK__" hidden="1">{"fdsup://directions/FAT Viewer?action=UPDATE&amp;creator=factset&amp;DYN_ARGS=TRUE&amp;DOC_NAME=FAT:FQL_AUDITING_CLIENT_TEMPLATE.FAT&amp;display_string=Audit&amp;VAR:KEY=ZSTIRQBKTM&amp;VAR:QUERY=UkdGX1RBWF9SQVRFKEFOTiwwLCwsLCwsTk9BVURJVCk=&amp;WINDOW=FIRST_POPUP&amp;HEIGHT=450&amp;WIDTH=450&amp;","START_MAXIMIZED=FALSE&amp;VAR:CALENDAR=US&amp;VAR:SYMBOL=TIBX&amp;VAR:INDEX=0"}</definedName>
    <definedName name="_3204__FDSAUDITLINK__" localSheetId="3" hidden="1">{"fdsup://directions/FAT Viewer?action=UPDATE&amp;creator=factset&amp;DYN_ARGS=TRUE&amp;DOC_NAME=FAT:FQL_AUDITING_CLIENT_TEMPLATE.FAT&amp;display_string=Audit&amp;VAR:KEY=ZSTIRQBKTM&amp;VAR:QUERY=UkdGX1RBWF9SQVRFKEFOTiwwLCwsLCwsTk9BVURJVCk=&amp;WINDOW=FIRST_POPUP&amp;HEIGHT=450&amp;WIDTH=450&amp;","START_MAXIMIZED=FALSE&amp;VAR:CALENDAR=US&amp;VAR:SYMBOL=TIBX&amp;VAR:INDEX=0"}</definedName>
    <definedName name="_3204__FDSAUDITLINK__" localSheetId="7" hidden="1">{"fdsup://directions/FAT Viewer?action=UPDATE&amp;creator=factset&amp;DYN_ARGS=TRUE&amp;DOC_NAME=FAT:FQL_AUDITING_CLIENT_TEMPLATE.FAT&amp;display_string=Audit&amp;VAR:KEY=ZSTIRQBKTM&amp;VAR:QUERY=UkdGX1RBWF9SQVRFKEFOTiwwLCwsLCwsTk9BVURJVCk=&amp;WINDOW=FIRST_POPUP&amp;HEIGHT=450&amp;WIDTH=450&amp;","START_MAXIMIZED=FALSE&amp;VAR:CALENDAR=US&amp;VAR:SYMBOL=TIBX&amp;VAR:INDEX=0"}</definedName>
    <definedName name="_3204__FDSAUDITLINK__" hidden="1">{"fdsup://directions/FAT Viewer?action=UPDATE&amp;creator=factset&amp;DYN_ARGS=TRUE&amp;DOC_NAME=FAT:FQL_AUDITING_CLIENT_TEMPLATE.FAT&amp;display_string=Audit&amp;VAR:KEY=ZSTIRQBKTM&amp;VAR:QUERY=UkdGX1RBWF9SQVRFKEFOTiwwLCwsLCwsTk9BVURJVCk=&amp;WINDOW=FIRST_POPUP&amp;HEIGHT=450&amp;WIDTH=450&amp;","START_MAXIMIZED=FALSE&amp;VAR:CALENDAR=US&amp;VAR:SYMBOL=TIBX&amp;VAR:INDEX=0"}</definedName>
    <definedName name="_3205__FDSAUDITLINK__" localSheetId="3" hidden="1">{"fdsup://directions/FAT Viewer?action=UPDATE&amp;creator=factset&amp;DYN_ARGS=TRUE&amp;DOC_NAME=FAT:FQL_AUDITING_CLIENT_TEMPLATE.FAT&amp;display_string=Audit&amp;VAR:KEY=JMTUXYTIPK&amp;VAR:QUERY=UkdGX1RBWF9SQVRFKEFOTiwwLCwsLCwsTk9BVURJVCk=&amp;WINDOW=FIRST_POPUP&amp;HEIGHT=450&amp;WIDTH=450&amp;","START_MAXIMIZED=FALSE&amp;VAR:CALENDAR=US&amp;VAR:SYMBOL=TDC&amp;VAR:INDEX=0"}</definedName>
    <definedName name="_3205__FDSAUDITLINK__" localSheetId="7" hidden="1">{"fdsup://directions/FAT Viewer?action=UPDATE&amp;creator=factset&amp;DYN_ARGS=TRUE&amp;DOC_NAME=FAT:FQL_AUDITING_CLIENT_TEMPLATE.FAT&amp;display_string=Audit&amp;VAR:KEY=JMTUXYTIPK&amp;VAR:QUERY=UkdGX1RBWF9SQVRFKEFOTiwwLCwsLCwsTk9BVURJVCk=&amp;WINDOW=FIRST_POPUP&amp;HEIGHT=450&amp;WIDTH=450&amp;","START_MAXIMIZED=FALSE&amp;VAR:CALENDAR=US&amp;VAR:SYMBOL=TDC&amp;VAR:INDEX=0"}</definedName>
    <definedName name="_3205__FDSAUDITLINK__" hidden="1">{"fdsup://directions/FAT Viewer?action=UPDATE&amp;creator=factset&amp;DYN_ARGS=TRUE&amp;DOC_NAME=FAT:FQL_AUDITING_CLIENT_TEMPLATE.FAT&amp;display_string=Audit&amp;VAR:KEY=JMTUXYTIPK&amp;VAR:QUERY=UkdGX1RBWF9SQVRFKEFOTiwwLCwsLCwsTk9BVURJVCk=&amp;WINDOW=FIRST_POPUP&amp;HEIGHT=450&amp;WIDTH=450&amp;","START_MAXIMIZED=FALSE&amp;VAR:CALENDAR=US&amp;VAR:SYMBOL=TDC&amp;VAR:INDEX=0"}</definedName>
    <definedName name="_3206__FDSAUDITLINK__" localSheetId="3" hidden="1">{"fdsup://directions/FAT Viewer?action=UPDATE&amp;creator=factset&amp;DYN_ARGS=TRUE&amp;DOC_NAME=FAT:FQL_AUDITING_CLIENT_TEMPLATE.FAT&amp;display_string=Audit&amp;VAR:KEY=JMTUXYTIPK&amp;VAR:QUERY=UkdGX1RBWF9SQVRFKEFOTiwwLCwsLCwsTk9BVURJVCk=&amp;WINDOW=FIRST_POPUP&amp;HEIGHT=450&amp;WIDTH=450&amp;","START_MAXIMIZED=FALSE&amp;VAR:CALENDAR=US&amp;VAR:SYMBOL=TDC&amp;VAR:INDEX=0"}</definedName>
    <definedName name="_3206__FDSAUDITLINK__" localSheetId="7" hidden="1">{"fdsup://directions/FAT Viewer?action=UPDATE&amp;creator=factset&amp;DYN_ARGS=TRUE&amp;DOC_NAME=FAT:FQL_AUDITING_CLIENT_TEMPLATE.FAT&amp;display_string=Audit&amp;VAR:KEY=JMTUXYTIPK&amp;VAR:QUERY=UkdGX1RBWF9SQVRFKEFOTiwwLCwsLCwsTk9BVURJVCk=&amp;WINDOW=FIRST_POPUP&amp;HEIGHT=450&amp;WIDTH=450&amp;","START_MAXIMIZED=FALSE&amp;VAR:CALENDAR=US&amp;VAR:SYMBOL=TDC&amp;VAR:INDEX=0"}</definedName>
    <definedName name="_3206__FDSAUDITLINK__" hidden="1">{"fdsup://directions/FAT Viewer?action=UPDATE&amp;creator=factset&amp;DYN_ARGS=TRUE&amp;DOC_NAME=FAT:FQL_AUDITING_CLIENT_TEMPLATE.FAT&amp;display_string=Audit&amp;VAR:KEY=JMTUXYTIPK&amp;VAR:QUERY=UkdGX1RBWF9SQVRFKEFOTiwwLCwsLCwsTk9BVURJVCk=&amp;WINDOW=FIRST_POPUP&amp;HEIGHT=450&amp;WIDTH=450&amp;","START_MAXIMIZED=FALSE&amp;VAR:CALENDAR=US&amp;VAR:SYMBOL=TDC&amp;VAR:INDEX=0"}</definedName>
    <definedName name="_3207__FDSAUDITLINK__" localSheetId="3" hidden="1">{"fdsup://directions/FAT Viewer?action=UPDATE&amp;creator=factset&amp;DYN_ARGS=TRUE&amp;DOC_NAME=FAT:FQL_AUDITING_CLIENT_TEMPLATE.FAT&amp;display_string=Audit&amp;VAR:KEY=FWJSRIJSPM&amp;VAR:QUERY=UkdGX1RBWF9SQVRFKEFOTiwwLCwsLCwsTk9BVURJVCk=&amp;WINDOW=FIRST_POPUP&amp;HEIGHT=450&amp;WIDTH=450&amp;","START_MAXIMIZED=FALSE&amp;VAR:CALENDAR=US&amp;VAR:SYMBOL=597791&amp;VAR:INDEX=0"}</definedName>
    <definedName name="_3207__FDSAUDITLINK__" localSheetId="7" hidden="1">{"fdsup://directions/FAT Viewer?action=UPDATE&amp;creator=factset&amp;DYN_ARGS=TRUE&amp;DOC_NAME=FAT:FQL_AUDITING_CLIENT_TEMPLATE.FAT&amp;display_string=Audit&amp;VAR:KEY=FWJSRIJSPM&amp;VAR:QUERY=UkdGX1RBWF9SQVRFKEFOTiwwLCwsLCwsTk9BVURJVCk=&amp;WINDOW=FIRST_POPUP&amp;HEIGHT=450&amp;WIDTH=450&amp;","START_MAXIMIZED=FALSE&amp;VAR:CALENDAR=US&amp;VAR:SYMBOL=597791&amp;VAR:INDEX=0"}</definedName>
    <definedName name="_3207__FDSAUDITLINK__" hidden="1">{"fdsup://directions/FAT Viewer?action=UPDATE&amp;creator=factset&amp;DYN_ARGS=TRUE&amp;DOC_NAME=FAT:FQL_AUDITING_CLIENT_TEMPLATE.FAT&amp;display_string=Audit&amp;VAR:KEY=FWJSRIJSPM&amp;VAR:QUERY=UkdGX1RBWF9SQVRFKEFOTiwwLCwsLCwsTk9BVURJVCk=&amp;WINDOW=FIRST_POPUP&amp;HEIGHT=450&amp;WIDTH=450&amp;","START_MAXIMIZED=FALSE&amp;VAR:CALENDAR=US&amp;VAR:SYMBOL=597791&amp;VAR:INDEX=0"}</definedName>
    <definedName name="_3208__FDSAUDITLINK__" localSheetId="3" hidden="1">{"fdsup://directions/FAT Viewer?action=UPDATE&amp;creator=factset&amp;DYN_ARGS=TRUE&amp;DOC_NAME=FAT:FQL_AUDITING_CLIENT_TEMPLATE.FAT&amp;display_string=Audit&amp;VAR:KEY=FWJSRIJSPM&amp;VAR:QUERY=UkdGX1RBWF9SQVRFKEFOTiwwLCwsLCwsTk9BVURJVCk=&amp;WINDOW=FIRST_POPUP&amp;HEIGHT=450&amp;WIDTH=450&amp;","START_MAXIMIZED=FALSE&amp;VAR:CALENDAR=US&amp;VAR:SYMBOL=597791&amp;VAR:INDEX=0"}</definedName>
    <definedName name="_3208__FDSAUDITLINK__" localSheetId="7" hidden="1">{"fdsup://directions/FAT Viewer?action=UPDATE&amp;creator=factset&amp;DYN_ARGS=TRUE&amp;DOC_NAME=FAT:FQL_AUDITING_CLIENT_TEMPLATE.FAT&amp;display_string=Audit&amp;VAR:KEY=FWJSRIJSPM&amp;VAR:QUERY=UkdGX1RBWF9SQVRFKEFOTiwwLCwsLCwsTk9BVURJVCk=&amp;WINDOW=FIRST_POPUP&amp;HEIGHT=450&amp;WIDTH=450&amp;","START_MAXIMIZED=FALSE&amp;VAR:CALENDAR=US&amp;VAR:SYMBOL=597791&amp;VAR:INDEX=0"}</definedName>
    <definedName name="_3208__FDSAUDITLINK__" hidden="1">{"fdsup://directions/FAT Viewer?action=UPDATE&amp;creator=factset&amp;DYN_ARGS=TRUE&amp;DOC_NAME=FAT:FQL_AUDITING_CLIENT_TEMPLATE.FAT&amp;display_string=Audit&amp;VAR:KEY=FWJSRIJSPM&amp;VAR:QUERY=UkdGX1RBWF9SQVRFKEFOTiwwLCwsLCwsTk9BVURJVCk=&amp;WINDOW=FIRST_POPUP&amp;HEIGHT=450&amp;WIDTH=450&amp;","START_MAXIMIZED=FALSE&amp;VAR:CALENDAR=US&amp;VAR:SYMBOL=597791&amp;VAR:INDEX=0"}</definedName>
    <definedName name="_3209__FDSAUDITLINK__" localSheetId="3" hidden="1">{"fdsup://directions/FAT Viewer?action=UPDATE&amp;creator=factset&amp;DYN_ARGS=TRUE&amp;DOC_NAME=FAT:FQL_AUDITING_CLIENT_TEMPLATE.FAT&amp;display_string=Audit&amp;VAR:KEY=RQXGTSFYJM&amp;VAR:QUERY=UkdGX1RBWF9SQVRFKEFOTiwwLCwsLCwsTk9BVURJVCk=&amp;WINDOW=FIRST_POPUP&amp;HEIGHT=450&amp;WIDTH=450&amp;","START_MAXIMIZED=FALSE&amp;VAR:CALENDAR=US&amp;VAR:SYMBOL=B01CT3&amp;VAR:INDEX=0"}</definedName>
    <definedName name="_3209__FDSAUDITLINK__" localSheetId="7" hidden="1">{"fdsup://directions/FAT Viewer?action=UPDATE&amp;creator=factset&amp;DYN_ARGS=TRUE&amp;DOC_NAME=FAT:FQL_AUDITING_CLIENT_TEMPLATE.FAT&amp;display_string=Audit&amp;VAR:KEY=RQXGTSFYJM&amp;VAR:QUERY=UkdGX1RBWF9SQVRFKEFOTiwwLCwsLCwsTk9BVURJVCk=&amp;WINDOW=FIRST_POPUP&amp;HEIGHT=450&amp;WIDTH=450&amp;","START_MAXIMIZED=FALSE&amp;VAR:CALENDAR=US&amp;VAR:SYMBOL=B01CT3&amp;VAR:INDEX=0"}</definedName>
    <definedName name="_3209__FDSAUDITLINK__" hidden="1">{"fdsup://directions/FAT Viewer?action=UPDATE&amp;creator=factset&amp;DYN_ARGS=TRUE&amp;DOC_NAME=FAT:FQL_AUDITING_CLIENT_TEMPLATE.FAT&amp;display_string=Audit&amp;VAR:KEY=RQXGTSFYJM&amp;VAR:QUERY=UkdGX1RBWF9SQVRFKEFOTiwwLCwsLCwsTk9BVURJVCk=&amp;WINDOW=FIRST_POPUP&amp;HEIGHT=450&amp;WIDTH=450&amp;","START_MAXIMIZED=FALSE&amp;VAR:CALENDAR=US&amp;VAR:SYMBOL=B01CT3&amp;VAR:INDEX=0"}</definedName>
    <definedName name="_3210__FDSAUDITLINK__" localSheetId="3" hidden="1">{"fdsup://directions/FAT Viewer?action=UPDATE&amp;creator=factset&amp;DYN_ARGS=TRUE&amp;DOC_NAME=FAT:FQL_AUDITING_CLIENT_TEMPLATE.FAT&amp;display_string=Audit&amp;VAR:KEY=RQXGTSFYJM&amp;VAR:QUERY=UkdGX1RBWF9SQVRFKEFOTiwwLCwsLCwsTk9BVURJVCk=&amp;WINDOW=FIRST_POPUP&amp;HEIGHT=450&amp;WIDTH=450&amp;","START_MAXIMIZED=FALSE&amp;VAR:CALENDAR=US&amp;VAR:SYMBOL=B01CT3&amp;VAR:INDEX=0"}</definedName>
    <definedName name="_3210__FDSAUDITLINK__" localSheetId="7" hidden="1">{"fdsup://directions/FAT Viewer?action=UPDATE&amp;creator=factset&amp;DYN_ARGS=TRUE&amp;DOC_NAME=FAT:FQL_AUDITING_CLIENT_TEMPLATE.FAT&amp;display_string=Audit&amp;VAR:KEY=RQXGTSFYJM&amp;VAR:QUERY=UkdGX1RBWF9SQVRFKEFOTiwwLCwsLCwsTk9BVURJVCk=&amp;WINDOW=FIRST_POPUP&amp;HEIGHT=450&amp;WIDTH=450&amp;","START_MAXIMIZED=FALSE&amp;VAR:CALENDAR=US&amp;VAR:SYMBOL=B01CT3&amp;VAR:INDEX=0"}</definedName>
    <definedName name="_3210__FDSAUDITLINK__" hidden="1">{"fdsup://directions/FAT Viewer?action=UPDATE&amp;creator=factset&amp;DYN_ARGS=TRUE&amp;DOC_NAME=FAT:FQL_AUDITING_CLIENT_TEMPLATE.FAT&amp;display_string=Audit&amp;VAR:KEY=RQXGTSFYJM&amp;VAR:QUERY=UkdGX1RBWF9SQVRFKEFOTiwwLCwsLCwsTk9BVURJVCk=&amp;WINDOW=FIRST_POPUP&amp;HEIGHT=450&amp;WIDTH=450&amp;","START_MAXIMIZED=FALSE&amp;VAR:CALENDAR=US&amp;VAR:SYMBOL=B01CT3&amp;VAR:INDEX=0"}</definedName>
    <definedName name="_3211__FDSAUDITLINK__" localSheetId="3" hidden="1">{"fdsup://directions/FAT Viewer?action=UPDATE&amp;creator=factset&amp;DYN_ARGS=TRUE&amp;DOC_NAME=FAT:FQL_AUDITING_CLIENT_TEMPLATE.FAT&amp;display_string=Audit&amp;VAR:KEY=RURQTOPKTW&amp;VAR:QUERY=UkdGX1RBWF9SQVRFKEFOTiwwLCwsLCwsTk9BVURJVCk=&amp;WINDOW=FIRST_POPUP&amp;HEIGHT=450&amp;WIDTH=450&amp;","START_MAXIMIZED=FALSE&amp;VAR:CALENDAR=US&amp;VAR:SYMBOL=TNAV&amp;VAR:INDEX=0"}</definedName>
    <definedName name="_3211__FDSAUDITLINK__" localSheetId="7" hidden="1">{"fdsup://directions/FAT Viewer?action=UPDATE&amp;creator=factset&amp;DYN_ARGS=TRUE&amp;DOC_NAME=FAT:FQL_AUDITING_CLIENT_TEMPLATE.FAT&amp;display_string=Audit&amp;VAR:KEY=RURQTOPKTW&amp;VAR:QUERY=UkdGX1RBWF9SQVRFKEFOTiwwLCwsLCwsTk9BVURJVCk=&amp;WINDOW=FIRST_POPUP&amp;HEIGHT=450&amp;WIDTH=450&amp;","START_MAXIMIZED=FALSE&amp;VAR:CALENDAR=US&amp;VAR:SYMBOL=TNAV&amp;VAR:INDEX=0"}</definedName>
    <definedName name="_3211__FDSAUDITLINK__" hidden="1">{"fdsup://directions/FAT Viewer?action=UPDATE&amp;creator=factset&amp;DYN_ARGS=TRUE&amp;DOC_NAME=FAT:FQL_AUDITING_CLIENT_TEMPLATE.FAT&amp;display_string=Audit&amp;VAR:KEY=RURQTOPKTW&amp;VAR:QUERY=UkdGX1RBWF9SQVRFKEFOTiwwLCwsLCwsTk9BVURJVCk=&amp;WINDOW=FIRST_POPUP&amp;HEIGHT=450&amp;WIDTH=450&amp;","START_MAXIMIZED=FALSE&amp;VAR:CALENDAR=US&amp;VAR:SYMBOL=TNAV&amp;VAR:INDEX=0"}</definedName>
    <definedName name="_3212__FDSAUDITLINK__" localSheetId="3" hidden="1">{"fdsup://directions/FAT Viewer?action=UPDATE&amp;creator=factset&amp;DYN_ARGS=TRUE&amp;DOC_NAME=FAT:FQL_AUDITING_CLIENT_TEMPLATE.FAT&amp;display_string=Audit&amp;VAR:KEY=RURQTOPKTW&amp;VAR:QUERY=UkdGX1RBWF9SQVRFKEFOTiwwLCwsLCwsTk9BVURJVCk=&amp;WINDOW=FIRST_POPUP&amp;HEIGHT=450&amp;WIDTH=450&amp;","START_MAXIMIZED=FALSE&amp;VAR:CALENDAR=US&amp;VAR:SYMBOL=TNAV&amp;VAR:INDEX=0"}</definedName>
    <definedName name="_3212__FDSAUDITLINK__" localSheetId="7" hidden="1">{"fdsup://directions/FAT Viewer?action=UPDATE&amp;creator=factset&amp;DYN_ARGS=TRUE&amp;DOC_NAME=FAT:FQL_AUDITING_CLIENT_TEMPLATE.FAT&amp;display_string=Audit&amp;VAR:KEY=RURQTOPKTW&amp;VAR:QUERY=UkdGX1RBWF9SQVRFKEFOTiwwLCwsLCwsTk9BVURJVCk=&amp;WINDOW=FIRST_POPUP&amp;HEIGHT=450&amp;WIDTH=450&amp;","START_MAXIMIZED=FALSE&amp;VAR:CALENDAR=US&amp;VAR:SYMBOL=TNAV&amp;VAR:INDEX=0"}</definedName>
    <definedName name="_3212__FDSAUDITLINK__" hidden="1">{"fdsup://directions/FAT Viewer?action=UPDATE&amp;creator=factset&amp;DYN_ARGS=TRUE&amp;DOC_NAME=FAT:FQL_AUDITING_CLIENT_TEMPLATE.FAT&amp;display_string=Audit&amp;VAR:KEY=RURQTOPKTW&amp;VAR:QUERY=UkdGX1RBWF9SQVRFKEFOTiwwLCwsLCwsTk9BVURJVCk=&amp;WINDOW=FIRST_POPUP&amp;HEIGHT=450&amp;WIDTH=450&amp;","START_MAXIMIZED=FALSE&amp;VAR:CALENDAR=US&amp;VAR:SYMBOL=TNAV&amp;VAR:INDEX=0"}</definedName>
    <definedName name="_3213__FDSAUDITLINK__" localSheetId="3" hidden="1">{"fdsup://directions/FAT Viewer?action=UPDATE&amp;creator=factset&amp;DYN_ARGS=TRUE&amp;DOC_NAME=FAT:FQL_AUDITING_CLIENT_TEMPLATE.FAT&amp;display_string=Audit&amp;VAR:KEY=JKTIHMZMLA&amp;VAR:QUERY=UkdGX1RBWF9SQVRFKEFOTiwwLCwsLCwsTk9BVURJVCk=&amp;WINDOW=FIRST_POPUP&amp;HEIGHT=450&amp;WIDTH=450&amp;","START_MAXIMIZED=FALSE&amp;VAR:CALENDAR=US&amp;VAR:SYMBOL=TTGT&amp;VAR:INDEX=0"}</definedName>
    <definedName name="_3213__FDSAUDITLINK__" localSheetId="7" hidden="1">{"fdsup://directions/FAT Viewer?action=UPDATE&amp;creator=factset&amp;DYN_ARGS=TRUE&amp;DOC_NAME=FAT:FQL_AUDITING_CLIENT_TEMPLATE.FAT&amp;display_string=Audit&amp;VAR:KEY=JKTIHMZMLA&amp;VAR:QUERY=UkdGX1RBWF9SQVRFKEFOTiwwLCwsLCwsTk9BVURJVCk=&amp;WINDOW=FIRST_POPUP&amp;HEIGHT=450&amp;WIDTH=450&amp;","START_MAXIMIZED=FALSE&amp;VAR:CALENDAR=US&amp;VAR:SYMBOL=TTGT&amp;VAR:INDEX=0"}</definedName>
    <definedName name="_3213__FDSAUDITLINK__" hidden="1">{"fdsup://directions/FAT Viewer?action=UPDATE&amp;creator=factset&amp;DYN_ARGS=TRUE&amp;DOC_NAME=FAT:FQL_AUDITING_CLIENT_TEMPLATE.FAT&amp;display_string=Audit&amp;VAR:KEY=JKTIHMZMLA&amp;VAR:QUERY=UkdGX1RBWF9SQVRFKEFOTiwwLCwsLCwsTk9BVURJVCk=&amp;WINDOW=FIRST_POPUP&amp;HEIGHT=450&amp;WIDTH=450&amp;","START_MAXIMIZED=FALSE&amp;VAR:CALENDAR=US&amp;VAR:SYMBOL=TTGT&amp;VAR:INDEX=0"}</definedName>
    <definedName name="_3214__FDSAUDITLINK__" localSheetId="3" hidden="1">{"fdsup://directions/FAT Viewer?action=UPDATE&amp;creator=factset&amp;DYN_ARGS=TRUE&amp;DOC_NAME=FAT:FQL_AUDITING_CLIENT_TEMPLATE.FAT&amp;display_string=Audit&amp;VAR:KEY=JKTIHMZMLA&amp;VAR:QUERY=UkdGX1RBWF9SQVRFKEFOTiwwLCwsLCwsTk9BVURJVCk=&amp;WINDOW=FIRST_POPUP&amp;HEIGHT=450&amp;WIDTH=450&amp;","START_MAXIMIZED=FALSE&amp;VAR:CALENDAR=US&amp;VAR:SYMBOL=TTGT&amp;VAR:INDEX=0"}</definedName>
    <definedName name="_3214__FDSAUDITLINK__" localSheetId="7" hidden="1">{"fdsup://directions/FAT Viewer?action=UPDATE&amp;creator=factset&amp;DYN_ARGS=TRUE&amp;DOC_NAME=FAT:FQL_AUDITING_CLIENT_TEMPLATE.FAT&amp;display_string=Audit&amp;VAR:KEY=JKTIHMZMLA&amp;VAR:QUERY=UkdGX1RBWF9SQVRFKEFOTiwwLCwsLCwsTk9BVURJVCk=&amp;WINDOW=FIRST_POPUP&amp;HEIGHT=450&amp;WIDTH=450&amp;","START_MAXIMIZED=FALSE&amp;VAR:CALENDAR=US&amp;VAR:SYMBOL=TTGT&amp;VAR:INDEX=0"}</definedName>
    <definedName name="_3214__FDSAUDITLINK__" hidden="1">{"fdsup://directions/FAT Viewer?action=UPDATE&amp;creator=factset&amp;DYN_ARGS=TRUE&amp;DOC_NAME=FAT:FQL_AUDITING_CLIENT_TEMPLATE.FAT&amp;display_string=Audit&amp;VAR:KEY=JKTIHMZMLA&amp;VAR:QUERY=UkdGX1RBWF9SQVRFKEFOTiwwLCwsLCwsTk9BVURJVCk=&amp;WINDOW=FIRST_POPUP&amp;HEIGHT=450&amp;WIDTH=450&amp;","START_MAXIMIZED=FALSE&amp;VAR:CALENDAR=US&amp;VAR:SYMBOL=TTGT&amp;VAR:INDEX=0"}</definedName>
    <definedName name="_3215__FDSAUDITLINK__" localSheetId="3" hidden="1">{"fdsup://directions/FAT Viewer?action=UPDATE&amp;creator=factset&amp;DYN_ARGS=TRUE&amp;DOC_NAME=FAT:FQL_AUDITING_CLIENT_TEMPLATE.FAT&amp;display_string=Audit&amp;VAR:KEY=RIXCZINUBG&amp;VAR:QUERY=UkdGX1RBWF9SQVRFKEFOTiwwLCwsLCwsTk9BVURJVCk=&amp;WINDOW=FIRST_POPUP&amp;HEIGHT=450&amp;WIDTH=450&amp;","START_MAXIMIZED=FALSE&amp;VAR:CALENDAR=US&amp;VAR:SYMBOL=TLEO&amp;VAR:INDEX=0"}</definedName>
    <definedName name="_3215__FDSAUDITLINK__" localSheetId="7" hidden="1">{"fdsup://directions/FAT Viewer?action=UPDATE&amp;creator=factset&amp;DYN_ARGS=TRUE&amp;DOC_NAME=FAT:FQL_AUDITING_CLIENT_TEMPLATE.FAT&amp;display_string=Audit&amp;VAR:KEY=RIXCZINUBG&amp;VAR:QUERY=UkdGX1RBWF9SQVRFKEFOTiwwLCwsLCwsTk9BVURJVCk=&amp;WINDOW=FIRST_POPUP&amp;HEIGHT=450&amp;WIDTH=450&amp;","START_MAXIMIZED=FALSE&amp;VAR:CALENDAR=US&amp;VAR:SYMBOL=TLEO&amp;VAR:INDEX=0"}</definedName>
    <definedName name="_3215__FDSAUDITLINK__" hidden="1">{"fdsup://directions/FAT Viewer?action=UPDATE&amp;creator=factset&amp;DYN_ARGS=TRUE&amp;DOC_NAME=FAT:FQL_AUDITING_CLIENT_TEMPLATE.FAT&amp;display_string=Audit&amp;VAR:KEY=RIXCZINUBG&amp;VAR:QUERY=UkdGX1RBWF9SQVRFKEFOTiwwLCwsLCwsTk9BVURJVCk=&amp;WINDOW=FIRST_POPUP&amp;HEIGHT=450&amp;WIDTH=450&amp;","START_MAXIMIZED=FALSE&amp;VAR:CALENDAR=US&amp;VAR:SYMBOL=TLEO&amp;VAR:INDEX=0"}</definedName>
    <definedName name="_3216__FDSAUDITLINK__" localSheetId="3" hidden="1">{"fdsup://directions/FAT Viewer?action=UPDATE&amp;creator=factset&amp;DYN_ARGS=TRUE&amp;DOC_NAME=FAT:FQL_AUDITING_CLIENT_TEMPLATE.FAT&amp;display_string=Audit&amp;VAR:KEY=VQTOFMBQDI&amp;VAR:QUERY=UkdGX1RBWF9SQVRFKEFOTiwwLCwsLCwsTk9BVURJVCk=&amp;WINDOW=FIRST_POPUP&amp;HEIGHT=450&amp;WIDTH=450&amp;","START_MAXIMIZED=FALSE&amp;VAR:CALENDAR=US&amp;VAR:SYMBOL=SNPS&amp;VAR:INDEX=0"}</definedName>
    <definedName name="_3216__FDSAUDITLINK__" localSheetId="7" hidden="1">{"fdsup://directions/FAT Viewer?action=UPDATE&amp;creator=factset&amp;DYN_ARGS=TRUE&amp;DOC_NAME=FAT:FQL_AUDITING_CLIENT_TEMPLATE.FAT&amp;display_string=Audit&amp;VAR:KEY=VQTOFMBQDI&amp;VAR:QUERY=UkdGX1RBWF9SQVRFKEFOTiwwLCwsLCwsTk9BVURJVCk=&amp;WINDOW=FIRST_POPUP&amp;HEIGHT=450&amp;WIDTH=450&amp;","START_MAXIMIZED=FALSE&amp;VAR:CALENDAR=US&amp;VAR:SYMBOL=SNPS&amp;VAR:INDEX=0"}</definedName>
    <definedName name="_3216__FDSAUDITLINK__" hidden="1">{"fdsup://directions/FAT Viewer?action=UPDATE&amp;creator=factset&amp;DYN_ARGS=TRUE&amp;DOC_NAME=FAT:FQL_AUDITING_CLIENT_TEMPLATE.FAT&amp;display_string=Audit&amp;VAR:KEY=VQTOFMBQDI&amp;VAR:QUERY=UkdGX1RBWF9SQVRFKEFOTiwwLCwsLCwsTk9BVURJVCk=&amp;WINDOW=FIRST_POPUP&amp;HEIGHT=450&amp;WIDTH=450&amp;","START_MAXIMIZED=FALSE&amp;VAR:CALENDAR=US&amp;VAR:SYMBOL=SNPS&amp;VAR:INDEX=0"}</definedName>
    <definedName name="_3217__FDSAUDITLINK__" localSheetId="3" hidden="1">{"fdsup://directions/FAT Viewer?action=UPDATE&amp;creator=factset&amp;DYN_ARGS=TRUE&amp;DOC_NAME=FAT:FQL_AUDITING_CLIENT_TEMPLATE.FAT&amp;display_string=Audit&amp;VAR:KEY=VQTOFMBQDI&amp;VAR:QUERY=UkdGX1RBWF9SQVRFKEFOTiwwLCwsLCwsTk9BVURJVCk=&amp;WINDOW=FIRST_POPUP&amp;HEIGHT=450&amp;WIDTH=450&amp;","START_MAXIMIZED=FALSE&amp;VAR:CALENDAR=US&amp;VAR:SYMBOL=SNPS&amp;VAR:INDEX=0"}</definedName>
    <definedName name="_3217__FDSAUDITLINK__" localSheetId="7" hidden="1">{"fdsup://directions/FAT Viewer?action=UPDATE&amp;creator=factset&amp;DYN_ARGS=TRUE&amp;DOC_NAME=FAT:FQL_AUDITING_CLIENT_TEMPLATE.FAT&amp;display_string=Audit&amp;VAR:KEY=VQTOFMBQDI&amp;VAR:QUERY=UkdGX1RBWF9SQVRFKEFOTiwwLCwsLCwsTk9BVURJVCk=&amp;WINDOW=FIRST_POPUP&amp;HEIGHT=450&amp;WIDTH=450&amp;","START_MAXIMIZED=FALSE&amp;VAR:CALENDAR=US&amp;VAR:SYMBOL=SNPS&amp;VAR:INDEX=0"}</definedName>
    <definedName name="_3217__FDSAUDITLINK__" hidden="1">{"fdsup://directions/FAT Viewer?action=UPDATE&amp;creator=factset&amp;DYN_ARGS=TRUE&amp;DOC_NAME=FAT:FQL_AUDITING_CLIENT_TEMPLATE.FAT&amp;display_string=Audit&amp;VAR:KEY=VQTOFMBQDI&amp;VAR:QUERY=UkdGX1RBWF9SQVRFKEFOTiwwLCwsLCwsTk9BVURJVCk=&amp;WINDOW=FIRST_POPUP&amp;HEIGHT=450&amp;WIDTH=450&amp;","START_MAXIMIZED=FALSE&amp;VAR:CALENDAR=US&amp;VAR:SYMBOL=SNPS&amp;VAR:INDEX=0"}</definedName>
    <definedName name="_3218__FDSAUDITLINK__" localSheetId="3" hidden="1">{"fdsup://directions/FAT Viewer?action=UPDATE&amp;creator=factset&amp;DYN_ARGS=TRUE&amp;DOC_NAME=FAT:FQL_AUDITING_CLIENT_TEMPLATE.FAT&amp;display_string=Audit&amp;VAR:KEY=TCLYLMFOJC&amp;VAR:QUERY=UkdGX1RBWF9SQVRFKEFOTiwwLCwsLCwsTk9BVURJVCk=&amp;WINDOW=FIRST_POPUP&amp;HEIGHT=450&amp;WIDTH=450&amp;","START_MAXIMIZED=FALSE&amp;VAR:CALENDAR=US&amp;VAR:SYMBOL=SVR&amp;VAR:INDEX=0"}</definedName>
    <definedName name="_3218__FDSAUDITLINK__" localSheetId="7" hidden="1">{"fdsup://directions/FAT Viewer?action=UPDATE&amp;creator=factset&amp;DYN_ARGS=TRUE&amp;DOC_NAME=FAT:FQL_AUDITING_CLIENT_TEMPLATE.FAT&amp;display_string=Audit&amp;VAR:KEY=TCLYLMFOJC&amp;VAR:QUERY=UkdGX1RBWF9SQVRFKEFOTiwwLCwsLCwsTk9BVURJVCk=&amp;WINDOW=FIRST_POPUP&amp;HEIGHT=450&amp;WIDTH=450&amp;","START_MAXIMIZED=FALSE&amp;VAR:CALENDAR=US&amp;VAR:SYMBOL=SVR&amp;VAR:INDEX=0"}</definedName>
    <definedName name="_3218__FDSAUDITLINK__" hidden="1">{"fdsup://directions/FAT Viewer?action=UPDATE&amp;creator=factset&amp;DYN_ARGS=TRUE&amp;DOC_NAME=FAT:FQL_AUDITING_CLIENT_TEMPLATE.FAT&amp;display_string=Audit&amp;VAR:KEY=TCLYLMFOJC&amp;VAR:QUERY=UkdGX1RBWF9SQVRFKEFOTiwwLCwsLCwsTk9BVURJVCk=&amp;WINDOW=FIRST_POPUP&amp;HEIGHT=450&amp;WIDTH=450&amp;","START_MAXIMIZED=FALSE&amp;VAR:CALENDAR=US&amp;VAR:SYMBOL=SVR&amp;VAR:INDEX=0"}</definedName>
    <definedName name="_3219__FDSAUDITLINK__" localSheetId="3" hidden="1">{"fdsup://directions/FAT Viewer?action=UPDATE&amp;creator=factset&amp;DYN_ARGS=TRUE&amp;DOC_NAME=FAT:FQL_AUDITING_CLIENT_TEMPLATE.FAT&amp;display_string=Audit&amp;VAR:KEY=TCLYLMFOJC&amp;VAR:QUERY=UkdGX1RBWF9SQVRFKEFOTiwwLCwsLCwsTk9BVURJVCk=&amp;WINDOW=FIRST_POPUP&amp;HEIGHT=450&amp;WIDTH=450&amp;","START_MAXIMIZED=FALSE&amp;VAR:CALENDAR=US&amp;VAR:SYMBOL=SVR&amp;VAR:INDEX=0"}</definedName>
    <definedName name="_3219__FDSAUDITLINK__" localSheetId="7" hidden="1">{"fdsup://directions/FAT Viewer?action=UPDATE&amp;creator=factset&amp;DYN_ARGS=TRUE&amp;DOC_NAME=FAT:FQL_AUDITING_CLIENT_TEMPLATE.FAT&amp;display_string=Audit&amp;VAR:KEY=TCLYLMFOJC&amp;VAR:QUERY=UkdGX1RBWF9SQVRFKEFOTiwwLCwsLCwsTk9BVURJVCk=&amp;WINDOW=FIRST_POPUP&amp;HEIGHT=450&amp;WIDTH=450&amp;","START_MAXIMIZED=FALSE&amp;VAR:CALENDAR=US&amp;VAR:SYMBOL=SVR&amp;VAR:INDEX=0"}</definedName>
    <definedName name="_3219__FDSAUDITLINK__" hidden="1">{"fdsup://directions/FAT Viewer?action=UPDATE&amp;creator=factset&amp;DYN_ARGS=TRUE&amp;DOC_NAME=FAT:FQL_AUDITING_CLIENT_TEMPLATE.FAT&amp;display_string=Audit&amp;VAR:KEY=TCLYLMFOJC&amp;VAR:QUERY=UkdGX1RBWF9SQVRFKEFOTiwwLCwsLCwsTk9BVURJVCk=&amp;WINDOW=FIRST_POPUP&amp;HEIGHT=450&amp;WIDTH=450&amp;","START_MAXIMIZED=FALSE&amp;VAR:CALENDAR=US&amp;VAR:SYMBOL=SVR&amp;VAR:INDEX=0"}</definedName>
    <definedName name="_322__FDSAUDITLINK__" localSheetId="3" hidden="1">{"fdsup://directions/FAT Viewer?action=UPDATE&amp;creator=factset&amp;DYN_ARGS=TRUE&amp;DOC_NAME=FAT:FQL_AUDITING_CLIENT_TEMPLATE.FAT&amp;display_string=Audit&amp;VAR:KEY=XSHWPWZEPO&amp;VAR:QUERY=RkZfTkVUX0lOQyhMVE0sMCwsLCwsTSk=&amp;WINDOW=FIRST_POPUP&amp;HEIGHT=450&amp;WIDTH=450&amp;START_MAXIMI","ZED=FALSE&amp;VAR:CALENDAR=US&amp;VAR:SYMBOL=B1G8KX&amp;VAR:INDEX=0"}</definedName>
    <definedName name="_322__FDSAUDITLINK__" localSheetId="7" hidden="1">{"fdsup://directions/FAT Viewer?action=UPDATE&amp;creator=factset&amp;DYN_ARGS=TRUE&amp;DOC_NAME=FAT:FQL_AUDITING_CLIENT_TEMPLATE.FAT&amp;display_string=Audit&amp;VAR:KEY=XSHWPWZEPO&amp;VAR:QUERY=RkZfTkVUX0lOQyhMVE0sMCwsLCwsTSk=&amp;WINDOW=FIRST_POPUP&amp;HEIGHT=450&amp;WIDTH=450&amp;START_MAXIMI","ZED=FALSE&amp;VAR:CALENDAR=US&amp;VAR:SYMBOL=B1G8KX&amp;VAR:INDEX=0"}</definedName>
    <definedName name="_322__FDSAUDITLINK__" hidden="1">{"fdsup://directions/FAT Viewer?action=UPDATE&amp;creator=factset&amp;DYN_ARGS=TRUE&amp;DOC_NAME=FAT:FQL_AUDITING_CLIENT_TEMPLATE.FAT&amp;display_string=Audit&amp;VAR:KEY=XSHWPWZEPO&amp;VAR:QUERY=RkZfTkVUX0lOQyhMVE0sMCwsLCwsTSk=&amp;WINDOW=FIRST_POPUP&amp;HEIGHT=450&amp;WIDTH=450&amp;START_MAXIMI","ZED=FALSE&amp;VAR:CALENDAR=US&amp;VAR:SYMBOL=B1G8KX&amp;VAR:INDEX=0"}</definedName>
    <definedName name="_3220__FDSAUDITLINK__" localSheetId="3" hidden="1">{"fdsup://directions/FAT Viewer?action=UPDATE&amp;creator=factset&amp;DYN_ARGS=TRUE&amp;DOC_NAME=FAT:FQL_AUDITING_CLIENT_TEMPLATE.FAT&amp;display_string=Audit&amp;VAR:KEY=JUVGNGVQXQ&amp;VAR:QUERY=UkdGX1RBWF9SQVRFKEFOTiwwLCwsLCwsTk9BVURJVCk=&amp;WINDOW=FIRST_POPUP&amp;HEIGHT=450&amp;WIDTH=450&amp;","START_MAXIMIZED=FALSE&amp;VAR:CALENDAR=US&amp;VAR:SYMBOL=SNCR&amp;VAR:INDEX=0"}</definedName>
    <definedName name="_3220__FDSAUDITLINK__" localSheetId="7" hidden="1">{"fdsup://directions/FAT Viewer?action=UPDATE&amp;creator=factset&amp;DYN_ARGS=TRUE&amp;DOC_NAME=FAT:FQL_AUDITING_CLIENT_TEMPLATE.FAT&amp;display_string=Audit&amp;VAR:KEY=JUVGNGVQXQ&amp;VAR:QUERY=UkdGX1RBWF9SQVRFKEFOTiwwLCwsLCwsTk9BVURJVCk=&amp;WINDOW=FIRST_POPUP&amp;HEIGHT=450&amp;WIDTH=450&amp;","START_MAXIMIZED=FALSE&amp;VAR:CALENDAR=US&amp;VAR:SYMBOL=SNCR&amp;VAR:INDEX=0"}</definedName>
    <definedName name="_3220__FDSAUDITLINK__" hidden="1">{"fdsup://directions/FAT Viewer?action=UPDATE&amp;creator=factset&amp;DYN_ARGS=TRUE&amp;DOC_NAME=FAT:FQL_AUDITING_CLIENT_TEMPLATE.FAT&amp;display_string=Audit&amp;VAR:KEY=JUVGNGVQXQ&amp;VAR:QUERY=UkdGX1RBWF9SQVRFKEFOTiwwLCwsLCwsTk9BVURJVCk=&amp;WINDOW=FIRST_POPUP&amp;HEIGHT=450&amp;WIDTH=450&amp;","START_MAXIMIZED=FALSE&amp;VAR:CALENDAR=US&amp;VAR:SYMBOL=SNCR&amp;VAR:INDEX=0"}</definedName>
    <definedName name="_3221__FDSAUDITLINK__" localSheetId="3" hidden="1">{"fdsup://directions/FAT Viewer?action=UPDATE&amp;creator=factset&amp;DYN_ARGS=TRUE&amp;DOC_NAME=FAT:FQL_AUDITING_CLIENT_TEMPLATE.FAT&amp;display_string=Audit&amp;VAR:KEY=JUVGNGVQXQ&amp;VAR:QUERY=UkdGX1RBWF9SQVRFKEFOTiwwLCwsLCwsTk9BVURJVCk=&amp;WINDOW=FIRST_POPUP&amp;HEIGHT=450&amp;WIDTH=450&amp;","START_MAXIMIZED=FALSE&amp;VAR:CALENDAR=US&amp;VAR:SYMBOL=SNCR&amp;VAR:INDEX=0"}</definedName>
    <definedName name="_3221__FDSAUDITLINK__" localSheetId="7" hidden="1">{"fdsup://directions/FAT Viewer?action=UPDATE&amp;creator=factset&amp;DYN_ARGS=TRUE&amp;DOC_NAME=FAT:FQL_AUDITING_CLIENT_TEMPLATE.FAT&amp;display_string=Audit&amp;VAR:KEY=JUVGNGVQXQ&amp;VAR:QUERY=UkdGX1RBWF9SQVRFKEFOTiwwLCwsLCwsTk9BVURJVCk=&amp;WINDOW=FIRST_POPUP&amp;HEIGHT=450&amp;WIDTH=450&amp;","START_MAXIMIZED=FALSE&amp;VAR:CALENDAR=US&amp;VAR:SYMBOL=SNCR&amp;VAR:INDEX=0"}</definedName>
    <definedName name="_3221__FDSAUDITLINK__" hidden="1">{"fdsup://directions/FAT Viewer?action=UPDATE&amp;creator=factset&amp;DYN_ARGS=TRUE&amp;DOC_NAME=FAT:FQL_AUDITING_CLIENT_TEMPLATE.FAT&amp;display_string=Audit&amp;VAR:KEY=JUVGNGVQXQ&amp;VAR:QUERY=UkdGX1RBWF9SQVRFKEFOTiwwLCwsLCwsTk9BVURJVCk=&amp;WINDOW=FIRST_POPUP&amp;HEIGHT=450&amp;WIDTH=450&amp;","START_MAXIMIZED=FALSE&amp;VAR:CALENDAR=US&amp;VAR:SYMBOL=SNCR&amp;VAR:INDEX=0"}</definedName>
    <definedName name="_3222__FDSAUDITLINK__" localSheetId="3" hidden="1">{"fdsup://directions/FAT Viewer?action=UPDATE&amp;creator=factset&amp;DYN_ARGS=TRUE&amp;DOC_NAME=FAT:FQL_AUDITING_CLIENT_TEMPLATE.FAT&amp;display_string=Audit&amp;VAR:KEY=TQZQTCFGPM&amp;VAR:QUERY=UkdGX1RBWF9SQVRFKEFOTiwwLCwsLCwsTk9BVURJVCk=&amp;WINDOW=FIRST_POPUP&amp;HEIGHT=450&amp;WIDTH=450&amp;","START_MAXIMIZED=FALSE&amp;VAR:CALENDAR=US&amp;VAR:SYMBOL=SYMC&amp;VAR:INDEX=0"}</definedName>
    <definedName name="_3222__FDSAUDITLINK__" localSheetId="7" hidden="1">{"fdsup://directions/FAT Viewer?action=UPDATE&amp;creator=factset&amp;DYN_ARGS=TRUE&amp;DOC_NAME=FAT:FQL_AUDITING_CLIENT_TEMPLATE.FAT&amp;display_string=Audit&amp;VAR:KEY=TQZQTCFGPM&amp;VAR:QUERY=UkdGX1RBWF9SQVRFKEFOTiwwLCwsLCwsTk9BVURJVCk=&amp;WINDOW=FIRST_POPUP&amp;HEIGHT=450&amp;WIDTH=450&amp;","START_MAXIMIZED=FALSE&amp;VAR:CALENDAR=US&amp;VAR:SYMBOL=SYMC&amp;VAR:INDEX=0"}</definedName>
    <definedName name="_3222__FDSAUDITLINK__" hidden="1">{"fdsup://directions/FAT Viewer?action=UPDATE&amp;creator=factset&amp;DYN_ARGS=TRUE&amp;DOC_NAME=FAT:FQL_AUDITING_CLIENT_TEMPLATE.FAT&amp;display_string=Audit&amp;VAR:KEY=TQZQTCFGPM&amp;VAR:QUERY=UkdGX1RBWF9SQVRFKEFOTiwwLCwsLCwsTk9BVURJVCk=&amp;WINDOW=FIRST_POPUP&amp;HEIGHT=450&amp;WIDTH=450&amp;","START_MAXIMIZED=FALSE&amp;VAR:CALENDAR=US&amp;VAR:SYMBOL=SYMC&amp;VAR:INDEX=0"}</definedName>
    <definedName name="_3223__FDSAUDITLINK__" localSheetId="3" hidden="1">{"fdsup://directions/FAT Viewer?action=UPDATE&amp;creator=factset&amp;DYN_ARGS=TRUE&amp;DOC_NAME=FAT:FQL_AUDITING_CLIENT_TEMPLATE.FAT&amp;display_string=Audit&amp;VAR:KEY=TQZQTCFGPM&amp;VAR:QUERY=UkdGX1RBWF9SQVRFKEFOTiwwLCwsLCwsTk9BVURJVCk=&amp;WINDOW=FIRST_POPUP&amp;HEIGHT=450&amp;WIDTH=450&amp;","START_MAXIMIZED=FALSE&amp;VAR:CALENDAR=US&amp;VAR:SYMBOL=SYMC&amp;VAR:INDEX=0"}</definedName>
    <definedName name="_3223__FDSAUDITLINK__" localSheetId="7" hidden="1">{"fdsup://directions/FAT Viewer?action=UPDATE&amp;creator=factset&amp;DYN_ARGS=TRUE&amp;DOC_NAME=FAT:FQL_AUDITING_CLIENT_TEMPLATE.FAT&amp;display_string=Audit&amp;VAR:KEY=TQZQTCFGPM&amp;VAR:QUERY=UkdGX1RBWF9SQVRFKEFOTiwwLCwsLCwsTk9BVURJVCk=&amp;WINDOW=FIRST_POPUP&amp;HEIGHT=450&amp;WIDTH=450&amp;","START_MAXIMIZED=FALSE&amp;VAR:CALENDAR=US&amp;VAR:SYMBOL=SYMC&amp;VAR:INDEX=0"}</definedName>
    <definedName name="_3223__FDSAUDITLINK__" hidden="1">{"fdsup://directions/FAT Viewer?action=UPDATE&amp;creator=factset&amp;DYN_ARGS=TRUE&amp;DOC_NAME=FAT:FQL_AUDITING_CLIENT_TEMPLATE.FAT&amp;display_string=Audit&amp;VAR:KEY=TQZQTCFGPM&amp;VAR:QUERY=UkdGX1RBWF9SQVRFKEFOTiwwLCwsLCwsTk9BVURJVCk=&amp;WINDOW=FIRST_POPUP&amp;HEIGHT=450&amp;WIDTH=450&amp;","START_MAXIMIZED=FALSE&amp;VAR:CALENDAR=US&amp;VAR:SYMBOL=SYMC&amp;VAR:INDEX=0"}</definedName>
    <definedName name="_3224__FDSAUDITLINK__" localSheetId="3" hidden="1">{"fdsup://directions/FAT Viewer?action=UPDATE&amp;creator=factset&amp;DYN_ARGS=TRUE&amp;DOC_NAME=FAT:FQL_AUDITING_CLIENT_TEMPLATE.FAT&amp;display_string=Audit&amp;VAR:KEY=LSNAXMZKTQ&amp;VAR:QUERY=UkdGX1RBWF9SQVRFKEFOTiwwLCwsLCwsTk9BVURJVCk=&amp;WINDOW=FIRST_POPUP&amp;HEIGHT=450&amp;WIDTH=450&amp;","START_MAXIMIZED=FALSE&amp;VAR:CALENDAR=US&amp;VAR:SYMBOL=SPRT&amp;VAR:INDEX=0"}</definedName>
    <definedName name="_3224__FDSAUDITLINK__" localSheetId="7" hidden="1">{"fdsup://directions/FAT Viewer?action=UPDATE&amp;creator=factset&amp;DYN_ARGS=TRUE&amp;DOC_NAME=FAT:FQL_AUDITING_CLIENT_TEMPLATE.FAT&amp;display_string=Audit&amp;VAR:KEY=LSNAXMZKTQ&amp;VAR:QUERY=UkdGX1RBWF9SQVRFKEFOTiwwLCwsLCwsTk9BVURJVCk=&amp;WINDOW=FIRST_POPUP&amp;HEIGHT=450&amp;WIDTH=450&amp;","START_MAXIMIZED=FALSE&amp;VAR:CALENDAR=US&amp;VAR:SYMBOL=SPRT&amp;VAR:INDEX=0"}</definedName>
    <definedName name="_3224__FDSAUDITLINK__" hidden="1">{"fdsup://directions/FAT Viewer?action=UPDATE&amp;creator=factset&amp;DYN_ARGS=TRUE&amp;DOC_NAME=FAT:FQL_AUDITING_CLIENT_TEMPLATE.FAT&amp;display_string=Audit&amp;VAR:KEY=LSNAXMZKTQ&amp;VAR:QUERY=UkdGX1RBWF9SQVRFKEFOTiwwLCwsLCwsTk9BVURJVCk=&amp;WINDOW=FIRST_POPUP&amp;HEIGHT=450&amp;WIDTH=450&amp;","START_MAXIMIZED=FALSE&amp;VAR:CALENDAR=US&amp;VAR:SYMBOL=SPRT&amp;VAR:INDEX=0"}</definedName>
    <definedName name="_3225__FDSAUDITLINK__" localSheetId="3" hidden="1">{"fdsup://directions/FAT Viewer?action=UPDATE&amp;creator=factset&amp;DYN_ARGS=TRUE&amp;DOC_NAME=FAT:FQL_AUDITING_CLIENT_TEMPLATE.FAT&amp;display_string=Audit&amp;VAR:KEY=FCZCLKTUVG&amp;VAR:QUERY=UkdGX1RBWF9SQVRFKEFOTiwwLCwsLCwsTk9BVURJVCk=&amp;WINDOW=FIRST_POPUP&amp;HEIGHT=450&amp;WIDTH=450&amp;","START_MAXIMIZED=FALSE&amp;VAR:CALENDAR=US&amp;VAR:SYMBOL=SFSF&amp;VAR:INDEX=0"}</definedName>
    <definedName name="_3225__FDSAUDITLINK__" localSheetId="7" hidden="1">{"fdsup://directions/FAT Viewer?action=UPDATE&amp;creator=factset&amp;DYN_ARGS=TRUE&amp;DOC_NAME=FAT:FQL_AUDITING_CLIENT_TEMPLATE.FAT&amp;display_string=Audit&amp;VAR:KEY=FCZCLKTUVG&amp;VAR:QUERY=UkdGX1RBWF9SQVRFKEFOTiwwLCwsLCwsTk9BVURJVCk=&amp;WINDOW=FIRST_POPUP&amp;HEIGHT=450&amp;WIDTH=450&amp;","START_MAXIMIZED=FALSE&amp;VAR:CALENDAR=US&amp;VAR:SYMBOL=SFSF&amp;VAR:INDEX=0"}</definedName>
    <definedName name="_3225__FDSAUDITLINK__" hidden="1">{"fdsup://directions/FAT Viewer?action=UPDATE&amp;creator=factset&amp;DYN_ARGS=TRUE&amp;DOC_NAME=FAT:FQL_AUDITING_CLIENT_TEMPLATE.FAT&amp;display_string=Audit&amp;VAR:KEY=FCZCLKTUVG&amp;VAR:QUERY=UkdGX1RBWF9SQVRFKEFOTiwwLCwsLCwsTk9BVURJVCk=&amp;WINDOW=FIRST_POPUP&amp;HEIGHT=450&amp;WIDTH=450&amp;","START_MAXIMIZED=FALSE&amp;VAR:CALENDAR=US&amp;VAR:SYMBOL=SFSF&amp;VAR:INDEX=0"}</definedName>
    <definedName name="_3226__FDSAUDITLINK__" localSheetId="3" hidden="1">{"fdsup://directions/FAT Viewer?action=UPDATE&amp;creator=factset&amp;DYN_ARGS=TRUE&amp;DOC_NAME=FAT:FQL_AUDITING_CLIENT_TEMPLATE.FAT&amp;display_string=Audit&amp;VAR:KEY=ROTQRQXWRE&amp;VAR:QUERY=UkdGX1RBWF9SQVRFKEFOTiwwLCwsLCwsTk9BVURJVCk=&amp;WINDOW=FIRST_POPUP&amp;HEIGHT=450&amp;WIDTH=450&amp;","START_MAXIMIZED=FALSE&amp;VAR:CALENDAR=US&amp;VAR:SYMBOL=SSNC&amp;VAR:INDEX=0"}</definedName>
    <definedName name="_3226__FDSAUDITLINK__" localSheetId="7" hidden="1">{"fdsup://directions/FAT Viewer?action=UPDATE&amp;creator=factset&amp;DYN_ARGS=TRUE&amp;DOC_NAME=FAT:FQL_AUDITING_CLIENT_TEMPLATE.FAT&amp;display_string=Audit&amp;VAR:KEY=ROTQRQXWRE&amp;VAR:QUERY=UkdGX1RBWF9SQVRFKEFOTiwwLCwsLCwsTk9BVURJVCk=&amp;WINDOW=FIRST_POPUP&amp;HEIGHT=450&amp;WIDTH=450&amp;","START_MAXIMIZED=FALSE&amp;VAR:CALENDAR=US&amp;VAR:SYMBOL=SSNC&amp;VAR:INDEX=0"}</definedName>
    <definedName name="_3226__FDSAUDITLINK__" hidden="1">{"fdsup://directions/FAT Viewer?action=UPDATE&amp;creator=factset&amp;DYN_ARGS=TRUE&amp;DOC_NAME=FAT:FQL_AUDITING_CLIENT_TEMPLATE.FAT&amp;display_string=Audit&amp;VAR:KEY=ROTQRQXWRE&amp;VAR:QUERY=UkdGX1RBWF9SQVRFKEFOTiwwLCwsLCwsTk9BVURJVCk=&amp;WINDOW=FIRST_POPUP&amp;HEIGHT=450&amp;WIDTH=450&amp;","START_MAXIMIZED=FALSE&amp;VAR:CALENDAR=US&amp;VAR:SYMBOL=SSNC&amp;VAR:INDEX=0"}</definedName>
    <definedName name="_3227__FDSAUDITLINK__" localSheetId="3" hidden="1">{"fdsup://directions/FAT Viewer?action=UPDATE&amp;creator=factset&amp;DYN_ARGS=TRUE&amp;DOC_NAME=FAT:FQL_AUDITING_CLIENT_TEMPLATE.FAT&amp;display_string=Audit&amp;VAR:KEY=ROTQRQXWRE&amp;VAR:QUERY=UkdGX1RBWF9SQVRFKEFOTiwwLCwsLCwsTk9BVURJVCk=&amp;WINDOW=FIRST_POPUP&amp;HEIGHT=450&amp;WIDTH=450&amp;","START_MAXIMIZED=FALSE&amp;VAR:CALENDAR=US&amp;VAR:SYMBOL=SSNC&amp;VAR:INDEX=0"}</definedName>
    <definedName name="_3227__FDSAUDITLINK__" localSheetId="7" hidden="1">{"fdsup://directions/FAT Viewer?action=UPDATE&amp;creator=factset&amp;DYN_ARGS=TRUE&amp;DOC_NAME=FAT:FQL_AUDITING_CLIENT_TEMPLATE.FAT&amp;display_string=Audit&amp;VAR:KEY=ROTQRQXWRE&amp;VAR:QUERY=UkdGX1RBWF9SQVRFKEFOTiwwLCwsLCwsTk9BVURJVCk=&amp;WINDOW=FIRST_POPUP&amp;HEIGHT=450&amp;WIDTH=450&amp;","START_MAXIMIZED=FALSE&amp;VAR:CALENDAR=US&amp;VAR:SYMBOL=SSNC&amp;VAR:INDEX=0"}</definedName>
    <definedName name="_3227__FDSAUDITLINK__" hidden="1">{"fdsup://directions/FAT Viewer?action=UPDATE&amp;creator=factset&amp;DYN_ARGS=TRUE&amp;DOC_NAME=FAT:FQL_AUDITING_CLIENT_TEMPLATE.FAT&amp;display_string=Audit&amp;VAR:KEY=ROTQRQXWRE&amp;VAR:QUERY=UkdGX1RBWF9SQVRFKEFOTiwwLCwsLCwsTk9BVURJVCk=&amp;WINDOW=FIRST_POPUP&amp;HEIGHT=450&amp;WIDTH=450&amp;","START_MAXIMIZED=FALSE&amp;VAR:CALENDAR=US&amp;VAR:SYMBOL=SSNC&amp;VAR:INDEX=0"}</definedName>
    <definedName name="_3228__FDSAUDITLINK__" localSheetId="3" hidden="1">{"fdsup://directions/FAT Viewer?action=UPDATE&amp;creator=factset&amp;DYN_ARGS=TRUE&amp;DOC_NAME=FAT:FQL_AUDITING_CLIENT_TEMPLATE.FAT&amp;display_string=Audit&amp;VAR:KEY=TMHIDKLGFG&amp;VAR:QUERY=UkdGX1RBWF9SQVRFKEFOTiwwLCwsLCwsTk9BVURJVCk=&amp;WINDOW=FIRST_POPUP&amp;HEIGHT=450&amp;WIDTH=450&amp;","START_MAXIMIZED=FALSE&amp;VAR:CALENDAR=US&amp;VAR:SYMBOL=SPSC&amp;VAR:INDEX=0"}</definedName>
    <definedName name="_3228__FDSAUDITLINK__" localSheetId="7" hidden="1">{"fdsup://directions/FAT Viewer?action=UPDATE&amp;creator=factset&amp;DYN_ARGS=TRUE&amp;DOC_NAME=FAT:FQL_AUDITING_CLIENT_TEMPLATE.FAT&amp;display_string=Audit&amp;VAR:KEY=TMHIDKLGFG&amp;VAR:QUERY=UkdGX1RBWF9SQVRFKEFOTiwwLCwsLCwsTk9BVURJVCk=&amp;WINDOW=FIRST_POPUP&amp;HEIGHT=450&amp;WIDTH=450&amp;","START_MAXIMIZED=FALSE&amp;VAR:CALENDAR=US&amp;VAR:SYMBOL=SPSC&amp;VAR:INDEX=0"}</definedName>
    <definedName name="_3228__FDSAUDITLINK__" hidden="1">{"fdsup://directions/FAT Viewer?action=UPDATE&amp;creator=factset&amp;DYN_ARGS=TRUE&amp;DOC_NAME=FAT:FQL_AUDITING_CLIENT_TEMPLATE.FAT&amp;display_string=Audit&amp;VAR:KEY=TMHIDKLGFG&amp;VAR:QUERY=UkdGX1RBWF9SQVRFKEFOTiwwLCwsLCwsTk9BVURJVCk=&amp;WINDOW=FIRST_POPUP&amp;HEIGHT=450&amp;WIDTH=450&amp;","START_MAXIMIZED=FALSE&amp;VAR:CALENDAR=US&amp;VAR:SYMBOL=SPSC&amp;VAR:INDEX=0"}</definedName>
    <definedName name="_3229__FDSAUDITLINK__" localSheetId="3" hidden="1">{"fdsup://directions/FAT Viewer?action=UPDATE&amp;creator=factset&amp;DYN_ARGS=TRUE&amp;DOC_NAME=FAT:FQL_AUDITING_CLIENT_TEMPLATE.FAT&amp;display_string=Audit&amp;VAR:KEY=TMHIDKLGFG&amp;VAR:QUERY=UkdGX1RBWF9SQVRFKEFOTiwwLCwsLCwsTk9BVURJVCk=&amp;WINDOW=FIRST_POPUP&amp;HEIGHT=450&amp;WIDTH=450&amp;","START_MAXIMIZED=FALSE&amp;VAR:CALENDAR=US&amp;VAR:SYMBOL=SPSC&amp;VAR:INDEX=0"}</definedName>
    <definedName name="_3229__FDSAUDITLINK__" localSheetId="7" hidden="1">{"fdsup://directions/FAT Viewer?action=UPDATE&amp;creator=factset&amp;DYN_ARGS=TRUE&amp;DOC_NAME=FAT:FQL_AUDITING_CLIENT_TEMPLATE.FAT&amp;display_string=Audit&amp;VAR:KEY=TMHIDKLGFG&amp;VAR:QUERY=UkdGX1RBWF9SQVRFKEFOTiwwLCwsLCwsTk9BVURJVCk=&amp;WINDOW=FIRST_POPUP&amp;HEIGHT=450&amp;WIDTH=450&amp;","START_MAXIMIZED=FALSE&amp;VAR:CALENDAR=US&amp;VAR:SYMBOL=SPSC&amp;VAR:INDEX=0"}</definedName>
    <definedName name="_3229__FDSAUDITLINK__" hidden="1">{"fdsup://directions/FAT Viewer?action=UPDATE&amp;creator=factset&amp;DYN_ARGS=TRUE&amp;DOC_NAME=FAT:FQL_AUDITING_CLIENT_TEMPLATE.FAT&amp;display_string=Audit&amp;VAR:KEY=TMHIDKLGFG&amp;VAR:QUERY=UkdGX1RBWF9SQVRFKEFOTiwwLCwsLCwsTk9BVURJVCk=&amp;WINDOW=FIRST_POPUP&amp;HEIGHT=450&amp;WIDTH=450&amp;","START_MAXIMIZED=FALSE&amp;VAR:CALENDAR=US&amp;VAR:SYMBOL=SPSC&amp;VAR:INDEX=0"}</definedName>
    <definedName name="_3230__FDSAUDITLINK__" localSheetId="3" hidden="1">{"fdsup://directions/FAT Viewer?action=UPDATE&amp;creator=factset&amp;DYN_ARGS=TRUE&amp;DOC_NAME=FAT:FQL_AUDITING_CLIENT_TEMPLATE.FAT&amp;display_string=Audit&amp;VAR:KEY=FAVMDOBIFI&amp;VAR:QUERY=UkdGX1RBWF9SQVRFKEFOTiwwLCwsLCwsTk9BVURJVCk=&amp;WINDOW=FIRST_POPUP&amp;HEIGHT=450&amp;WIDTH=450&amp;","START_MAXIMIZED=FALSE&amp;VAR:CALENDAR=US&amp;VAR:SYMBOL=LNUX&amp;VAR:INDEX=0"}</definedName>
    <definedName name="_3230__FDSAUDITLINK__" localSheetId="7" hidden="1">{"fdsup://directions/FAT Viewer?action=UPDATE&amp;creator=factset&amp;DYN_ARGS=TRUE&amp;DOC_NAME=FAT:FQL_AUDITING_CLIENT_TEMPLATE.FAT&amp;display_string=Audit&amp;VAR:KEY=FAVMDOBIFI&amp;VAR:QUERY=UkdGX1RBWF9SQVRFKEFOTiwwLCwsLCwsTk9BVURJVCk=&amp;WINDOW=FIRST_POPUP&amp;HEIGHT=450&amp;WIDTH=450&amp;","START_MAXIMIZED=FALSE&amp;VAR:CALENDAR=US&amp;VAR:SYMBOL=LNUX&amp;VAR:INDEX=0"}</definedName>
    <definedName name="_3230__FDSAUDITLINK__" hidden="1">{"fdsup://directions/FAT Viewer?action=UPDATE&amp;creator=factset&amp;DYN_ARGS=TRUE&amp;DOC_NAME=FAT:FQL_AUDITING_CLIENT_TEMPLATE.FAT&amp;display_string=Audit&amp;VAR:KEY=FAVMDOBIFI&amp;VAR:QUERY=UkdGX1RBWF9SQVRFKEFOTiwwLCwsLCwsTk9BVURJVCk=&amp;WINDOW=FIRST_POPUP&amp;HEIGHT=450&amp;WIDTH=450&amp;","START_MAXIMIZED=FALSE&amp;VAR:CALENDAR=US&amp;VAR:SYMBOL=LNUX&amp;VAR:INDEX=0"}</definedName>
    <definedName name="_3231__FDSAUDITLINK__" localSheetId="3" hidden="1">{"fdsup://directions/FAT Viewer?action=UPDATE&amp;creator=factset&amp;DYN_ARGS=TRUE&amp;DOC_NAME=FAT:FQL_AUDITING_CLIENT_TEMPLATE.FAT&amp;display_string=Audit&amp;VAR:KEY=XKDCPIFOVI&amp;VAR:QUERY=UkdGX1RBWF9SQVRFKEFOTiwwLCwsLCwsTk9BVURJVCk=&amp;WINDOW=FIRST_POPUP&amp;HEIGHT=450&amp;WIDTH=450&amp;","START_MAXIMIZED=FALSE&amp;VAR:CALENDAR=US&amp;VAR:SYMBOL=FIRE&amp;VAR:INDEX=0"}</definedName>
    <definedName name="_3231__FDSAUDITLINK__" localSheetId="7" hidden="1">{"fdsup://directions/FAT Viewer?action=UPDATE&amp;creator=factset&amp;DYN_ARGS=TRUE&amp;DOC_NAME=FAT:FQL_AUDITING_CLIENT_TEMPLATE.FAT&amp;display_string=Audit&amp;VAR:KEY=XKDCPIFOVI&amp;VAR:QUERY=UkdGX1RBWF9SQVRFKEFOTiwwLCwsLCwsTk9BVURJVCk=&amp;WINDOW=FIRST_POPUP&amp;HEIGHT=450&amp;WIDTH=450&amp;","START_MAXIMIZED=FALSE&amp;VAR:CALENDAR=US&amp;VAR:SYMBOL=FIRE&amp;VAR:INDEX=0"}</definedName>
    <definedName name="_3231__FDSAUDITLINK__" hidden="1">{"fdsup://directions/FAT Viewer?action=UPDATE&amp;creator=factset&amp;DYN_ARGS=TRUE&amp;DOC_NAME=FAT:FQL_AUDITING_CLIENT_TEMPLATE.FAT&amp;display_string=Audit&amp;VAR:KEY=XKDCPIFOVI&amp;VAR:QUERY=UkdGX1RBWF9SQVRFKEFOTiwwLCwsLCwsTk9BVURJVCk=&amp;WINDOW=FIRST_POPUP&amp;HEIGHT=450&amp;WIDTH=450&amp;","START_MAXIMIZED=FALSE&amp;VAR:CALENDAR=US&amp;VAR:SYMBOL=FIRE&amp;VAR:INDEX=0"}</definedName>
    <definedName name="_3232__FDSAUDITLINK__" localSheetId="3" hidden="1">{"fdsup://directions/FAT Viewer?action=UPDATE&amp;creator=factset&amp;DYN_ARGS=TRUE&amp;DOC_NAME=FAT:FQL_AUDITING_CLIENT_TEMPLATE.FAT&amp;display_string=Audit&amp;VAR:KEY=XKDCPIFOVI&amp;VAR:QUERY=UkdGX1RBWF9SQVRFKEFOTiwwLCwsLCwsTk9BVURJVCk=&amp;WINDOW=FIRST_POPUP&amp;HEIGHT=450&amp;WIDTH=450&amp;","START_MAXIMIZED=FALSE&amp;VAR:CALENDAR=US&amp;VAR:SYMBOL=FIRE&amp;VAR:INDEX=0"}</definedName>
    <definedName name="_3232__FDSAUDITLINK__" localSheetId="7" hidden="1">{"fdsup://directions/FAT Viewer?action=UPDATE&amp;creator=factset&amp;DYN_ARGS=TRUE&amp;DOC_NAME=FAT:FQL_AUDITING_CLIENT_TEMPLATE.FAT&amp;display_string=Audit&amp;VAR:KEY=XKDCPIFOVI&amp;VAR:QUERY=UkdGX1RBWF9SQVRFKEFOTiwwLCwsLCwsTk9BVURJVCk=&amp;WINDOW=FIRST_POPUP&amp;HEIGHT=450&amp;WIDTH=450&amp;","START_MAXIMIZED=FALSE&amp;VAR:CALENDAR=US&amp;VAR:SYMBOL=FIRE&amp;VAR:INDEX=0"}</definedName>
    <definedName name="_3232__FDSAUDITLINK__" hidden="1">{"fdsup://directions/FAT Viewer?action=UPDATE&amp;creator=factset&amp;DYN_ARGS=TRUE&amp;DOC_NAME=FAT:FQL_AUDITING_CLIENT_TEMPLATE.FAT&amp;display_string=Audit&amp;VAR:KEY=XKDCPIFOVI&amp;VAR:QUERY=UkdGX1RBWF9SQVRFKEFOTiwwLCwsLCwsTk9BVURJVCk=&amp;WINDOW=FIRST_POPUP&amp;HEIGHT=450&amp;WIDTH=450&amp;","START_MAXIMIZED=FALSE&amp;VAR:CALENDAR=US&amp;VAR:SYMBOL=FIRE&amp;VAR:INDEX=0"}</definedName>
    <definedName name="_3233__FDSAUDITLINK__" localSheetId="3" hidden="1">{"fdsup://directions/FAT Viewer?action=UPDATE&amp;creator=factset&amp;DYN_ARGS=TRUE&amp;DOC_NAME=FAT:FQL_AUDITING_CLIENT_TEMPLATE.FAT&amp;display_string=Audit&amp;VAR:KEY=DGXKZCNIBI&amp;VAR:QUERY=UkdGX1RBWF9SQVRFKEFOTiwwLCwsLCwsTk9BVURJVCk=&amp;WINDOW=FIRST_POPUP&amp;HEIGHT=450&amp;WIDTH=450&amp;","START_MAXIMIZED=FALSE&amp;VAR:CALENDAR=US&amp;VAR:SYMBOL=SNIC&amp;VAR:INDEX=0"}</definedName>
    <definedName name="_3233__FDSAUDITLINK__" localSheetId="7" hidden="1">{"fdsup://directions/FAT Viewer?action=UPDATE&amp;creator=factset&amp;DYN_ARGS=TRUE&amp;DOC_NAME=FAT:FQL_AUDITING_CLIENT_TEMPLATE.FAT&amp;display_string=Audit&amp;VAR:KEY=DGXKZCNIBI&amp;VAR:QUERY=UkdGX1RBWF9SQVRFKEFOTiwwLCwsLCwsTk9BVURJVCk=&amp;WINDOW=FIRST_POPUP&amp;HEIGHT=450&amp;WIDTH=450&amp;","START_MAXIMIZED=FALSE&amp;VAR:CALENDAR=US&amp;VAR:SYMBOL=SNIC&amp;VAR:INDEX=0"}</definedName>
    <definedName name="_3233__FDSAUDITLINK__" hidden="1">{"fdsup://directions/FAT Viewer?action=UPDATE&amp;creator=factset&amp;DYN_ARGS=TRUE&amp;DOC_NAME=FAT:FQL_AUDITING_CLIENT_TEMPLATE.FAT&amp;display_string=Audit&amp;VAR:KEY=DGXKZCNIBI&amp;VAR:QUERY=UkdGX1RBWF9SQVRFKEFOTiwwLCwsLCwsTk9BVURJVCk=&amp;WINDOW=FIRST_POPUP&amp;HEIGHT=450&amp;WIDTH=450&amp;","START_MAXIMIZED=FALSE&amp;VAR:CALENDAR=US&amp;VAR:SYMBOL=SNIC&amp;VAR:INDEX=0"}</definedName>
    <definedName name="_3234__FDSAUDITLINK__" localSheetId="3" hidden="1">{"fdsup://directions/FAT Viewer?action=UPDATE&amp;creator=factset&amp;DYN_ARGS=TRUE&amp;DOC_NAME=FAT:FQL_AUDITING_CLIENT_TEMPLATE.FAT&amp;display_string=Audit&amp;VAR:KEY=JSLIDUTQHS&amp;VAR:QUERY=UkdGX1RBWF9SQVRFKEFOTiwwLCwsLCwsTk9BVURJVCk=&amp;WINDOW=FIRST_POPUP&amp;HEIGHT=450&amp;WIDTH=450&amp;","START_MAXIMIZED=FALSE&amp;VAR:CALENDAR=US&amp;VAR:SYMBOL=SLH&amp;VAR:INDEX=0"}</definedName>
    <definedName name="_3234__FDSAUDITLINK__" localSheetId="7" hidden="1">{"fdsup://directions/FAT Viewer?action=UPDATE&amp;creator=factset&amp;DYN_ARGS=TRUE&amp;DOC_NAME=FAT:FQL_AUDITING_CLIENT_TEMPLATE.FAT&amp;display_string=Audit&amp;VAR:KEY=JSLIDUTQHS&amp;VAR:QUERY=UkdGX1RBWF9SQVRFKEFOTiwwLCwsLCwsTk9BVURJVCk=&amp;WINDOW=FIRST_POPUP&amp;HEIGHT=450&amp;WIDTH=450&amp;","START_MAXIMIZED=FALSE&amp;VAR:CALENDAR=US&amp;VAR:SYMBOL=SLH&amp;VAR:INDEX=0"}</definedName>
    <definedName name="_3234__FDSAUDITLINK__" hidden="1">{"fdsup://directions/FAT Viewer?action=UPDATE&amp;creator=factset&amp;DYN_ARGS=TRUE&amp;DOC_NAME=FAT:FQL_AUDITING_CLIENT_TEMPLATE.FAT&amp;display_string=Audit&amp;VAR:KEY=JSLIDUTQHS&amp;VAR:QUERY=UkdGX1RBWF9SQVRFKEFOTiwwLCwsLCwsTk9BVURJVCk=&amp;WINDOW=FIRST_POPUP&amp;HEIGHT=450&amp;WIDTH=450&amp;","START_MAXIMIZED=FALSE&amp;VAR:CALENDAR=US&amp;VAR:SYMBOL=SLH&amp;VAR:INDEX=0"}</definedName>
    <definedName name="_3235__FDSAUDITLINK__" localSheetId="3" hidden="1">{"fdsup://directions/FAT Viewer?action=UPDATE&amp;creator=factset&amp;DYN_ARGS=TRUE&amp;DOC_NAME=FAT:FQL_AUDITING_CLIENT_TEMPLATE.FAT&amp;display_string=Audit&amp;VAR:KEY=JSLIDUTQHS&amp;VAR:QUERY=UkdGX1RBWF9SQVRFKEFOTiwwLCwsLCwsTk9BVURJVCk=&amp;WINDOW=FIRST_POPUP&amp;HEIGHT=450&amp;WIDTH=450&amp;","START_MAXIMIZED=FALSE&amp;VAR:CALENDAR=US&amp;VAR:SYMBOL=SLH&amp;VAR:INDEX=0"}</definedName>
    <definedName name="_3235__FDSAUDITLINK__" localSheetId="7" hidden="1">{"fdsup://directions/FAT Viewer?action=UPDATE&amp;creator=factset&amp;DYN_ARGS=TRUE&amp;DOC_NAME=FAT:FQL_AUDITING_CLIENT_TEMPLATE.FAT&amp;display_string=Audit&amp;VAR:KEY=JSLIDUTQHS&amp;VAR:QUERY=UkdGX1RBWF9SQVRFKEFOTiwwLCwsLCwsTk9BVURJVCk=&amp;WINDOW=FIRST_POPUP&amp;HEIGHT=450&amp;WIDTH=450&amp;","START_MAXIMIZED=FALSE&amp;VAR:CALENDAR=US&amp;VAR:SYMBOL=SLH&amp;VAR:INDEX=0"}</definedName>
    <definedName name="_3235__FDSAUDITLINK__" hidden="1">{"fdsup://directions/FAT Viewer?action=UPDATE&amp;creator=factset&amp;DYN_ARGS=TRUE&amp;DOC_NAME=FAT:FQL_AUDITING_CLIENT_TEMPLATE.FAT&amp;display_string=Audit&amp;VAR:KEY=JSLIDUTQHS&amp;VAR:QUERY=UkdGX1RBWF9SQVRFKEFOTiwwLCwsLCwsTk9BVURJVCk=&amp;WINDOW=FIRST_POPUP&amp;HEIGHT=450&amp;WIDTH=450&amp;","START_MAXIMIZED=FALSE&amp;VAR:CALENDAR=US&amp;VAR:SYMBOL=SLH&amp;VAR:INDEX=0"}</definedName>
    <definedName name="_3236__FDSAUDITLINK__" localSheetId="3" hidden="1">{"fdsup://directions/FAT Viewer?action=UPDATE&amp;creator=factset&amp;DYN_ARGS=TRUE&amp;DOC_NAME=FAT:FQL_AUDITING_CLIENT_TEMPLATE.FAT&amp;display_string=Audit&amp;VAR:KEY=HUZIXEDELK&amp;VAR:QUERY=UkdGX1RBWF9SQVRFKEFOTiwwLCwsLCwsTk9BVURJVCk=&amp;WINDOW=FIRST_POPUP&amp;HEIGHT=450&amp;WIDTH=450&amp;","START_MAXIMIZED=FALSE&amp;VAR:CALENDAR=US&amp;VAR:SYMBOL=SWI&amp;VAR:INDEX=0"}</definedName>
    <definedName name="_3236__FDSAUDITLINK__" localSheetId="7" hidden="1">{"fdsup://directions/FAT Viewer?action=UPDATE&amp;creator=factset&amp;DYN_ARGS=TRUE&amp;DOC_NAME=FAT:FQL_AUDITING_CLIENT_TEMPLATE.FAT&amp;display_string=Audit&amp;VAR:KEY=HUZIXEDELK&amp;VAR:QUERY=UkdGX1RBWF9SQVRFKEFOTiwwLCwsLCwsTk9BVURJVCk=&amp;WINDOW=FIRST_POPUP&amp;HEIGHT=450&amp;WIDTH=450&amp;","START_MAXIMIZED=FALSE&amp;VAR:CALENDAR=US&amp;VAR:SYMBOL=SWI&amp;VAR:INDEX=0"}</definedName>
    <definedName name="_3236__FDSAUDITLINK__" hidden="1">{"fdsup://directions/FAT Viewer?action=UPDATE&amp;creator=factset&amp;DYN_ARGS=TRUE&amp;DOC_NAME=FAT:FQL_AUDITING_CLIENT_TEMPLATE.FAT&amp;display_string=Audit&amp;VAR:KEY=HUZIXEDELK&amp;VAR:QUERY=UkdGX1RBWF9SQVRFKEFOTiwwLCwsLCwsTk9BVURJVCk=&amp;WINDOW=FIRST_POPUP&amp;HEIGHT=450&amp;WIDTH=450&amp;","START_MAXIMIZED=FALSE&amp;VAR:CALENDAR=US&amp;VAR:SYMBOL=SWI&amp;VAR:INDEX=0"}</definedName>
    <definedName name="_3237__FDSAUDITLINK__" localSheetId="3" hidden="1">{"fdsup://directions/FAT Viewer?action=UPDATE&amp;creator=factset&amp;DYN_ARGS=TRUE&amp;DOC_NAME=FAT:FQL_AUDITING_CLIENT_TEMPLATE.FAT&amp;display_string=Audit&amp;VAR:KEY=HUZIXEDELK&amp;VAR:QUERY=UkdGX1RBWF9SQVRFKEFOTiwwLCwsLCwsTk9BVURJVCk=&amp;WINDOW=FIRST_POPUP&amp;HEIGHT=450&amp;WIDTH=450&amp;","START_MAXIMIZED=FALSE&amp;VAR:CALENDAR=US&amp;VAR:SYMBOL=SWI&amp;VAR:INDEX=0"}</definedName>
    <definedName name="_3237__FDSAUDITLINK__" localSheetId="7" hidden="1">{"fdsup://directions/FAT Viewer?action=UPDATE&amp;creator=factset&amp;DYN_ARGS=TRUE&amp;DOC_NAME=FAT:FQL_AUDITING_CLIENT_TEMPLATE.FAT&amp;display_string=Audit&amp;VAR:KEY=HUZIXEDELK&amp;VAR:QUERY=UkdGX1RBWF9SQVRFKEFOTiwwLCwsLCwsTk9BVURJVCk=&amp;WINDOW=FIRST_POPUP&amp;HEIGHT=450&amp;WIDTH=450&amp;","START_MAXIMIZED=FALSE&amp;VAR:CALENDAR=US&amp;VAR:SYMBOL=SWI&amp;VAR:INDEX=0"}</definedName>
    <definedName name="_3237__FDSAUDITLINK__" hidden="1">{"fdsup://directions/FAT Viewer?action=UPDATE&amp;creator=factset&amp;DYN_ARGS=TRUE&amp;DOC_NAME=FAT:FQL_AUDITING_CLIENT_TEMPLATE.FAT&amp;display_string=Audit&amp;VAR:KEY=HUZIXEDELK&amp;VAR:QUERY=UkdGX1RBWF9SQVRFKEFOTiwwLCwsLCwsTk9BVURJVCk=&amp;WINDOW=FIRST_POPUP&amp;HEIGHT=450&amp;WIDTH=450&amp;","START_MAXIMIZED=FALSE&amp;VAR:CALENDAR=US&amp;VAR:SYMBOL=SWI&amp;VAR:INDEX=0"}</definedName>
    <definedName name="_3238__FDSAUDITLINK__" localSheetId="3" hidden="1">{"fdsup://directions/FAT Viewer?action=UPDATE&amp;creator=factset&amp;DYN_ARGS=TRUE&amp;DOC_NAME=FAT:FQL_AUDITING_CLIENT_TEMPLATE.FAT&amp;display_string=Audit&amp;VAR:KEY=DKPGPMRSJC&amp;VAR:QUERY=UkdGX1RBWF9SQVRFKEFOTiwwLCwsLCwsTk9BVURJVCk=&amp;WINDOW=FIRST_POPUP&amp;HEIGHT=450&amp;WIDTH=450&amp;","START_MAXIMIZED=FALSE&amp;VAR:CALENDAR=US&amp;VAR:SYMBOL=475513&amp;VAR:INDEX=0"}</definedName>
    <definedName name="_3238__FDSAUDITLINK__" localSheetId="7" hidden="1">{"fdsup://directions/FAT Viewer?action=UPDATE&amp;creator=factset&amp;DYN_ARGS=TRUE&amp;DOC_NAME=FAT:FQL_AUDITING_CLIENT_TEMPLATE.FAT&amp;display_string=Audit&amp;VAR:KEY=DKPGPMRSJC&amp;VAR:QUERY=UkdGX1RBWF9SQVRFKEFOTiwwLCwsLCwsTk9BVURJVCk=&amp;WINDOW=FIRST_POPUP&amp;HEIGHT=450&amp;WIDTH=450&amp;","START_MAXIMIZED=FALSE&amp;VAR:CALENDAR=US&amp;VAR:SYMBOL=475513&amp;VAR:INDEX=0"}</definedName>
    <definedName name="_3238__FDSAUDITLINK__" hidden="1">{"fdsup://directions/FAT Viewer?action=UPDATE&amp;creator=factset&amp;DYN_ARGS=TRUE&amp;DOC_NAME=FAT:FQL_AUDITING_CLIENT_TEMPLATE.FAT&amp;display_string=Audit&amp;VAR:KEY=DKPGPMRSJC&amp;VAR:QUERY=UkdGX1RBWF9SQVRFKEFOTiwwLCwsLCwsTk9BVURJVCk=&amp;WINDOW=FIRST_POPUP&amp;HEIGHT=450&amp;WIDTH=450&amp;","START_MAXIMIZED=FALSE&amp;VAR:CALENDAR=US&amp;VAR:SYMBOL=475513&amp;VAR:INDEX=0"}</definedName>
    <definedName name="_3239__FDSAUDITLINK__" localSheetId="3" hidden="1">{"fdsup://directions/FAT Viewer?action=UPDATE&amp;creator=factset&amp;DYN_ARGS=TRUE&amp;DOC_NAME=FAT:FQL_AUDITING_CLIENT_TEMPLATE.FAT&amp;display_string=Audit&amp;VAR:KEY=DKPGPMRSJC&amp;VAR:QUERY=UkdGX1RBWF9SQVRFKEFOTiwwLCwsLCwsTk9BVURJVCk=&amp;WINDOW=FIRST_POPUP&amp;HEIGHT=450&amp;WIDTH=450&amp;","START_MAXIMIZED=FALSE&amp;VAR:CALENDAR=US&amp;VAR:SYMBOL=475513&amp;VAR:INDEX=0"}</definedName>
    <definedName name="_3239__FDSAUDITLINK__" localSheetId="7" hidden="1">{"fdsup://directions/FAT Viewer?action=UPDATE&amp;creator=factset&amp;DYN_ARGS=TRUE&amp;DOC_NAME=FAT:FQL_AUDITING_CLIENT_TEMPLATE.FAT&amp;display_string=Audit&amp;VAR:KEY=DKPGPMRSJC&amp;VAR:QUERY=UkdGX1RBWF9SQVRFKEFOTiwwLCwsLCwsTk9BVURJVCk=&amp;WINDOW=FIRST_POPUP&amp;HEIGHT=450&amp;WIDTH=450&amp;","START_MAXIMIZED=FALSE&amp;VAR:CALENDAR=US&amp;VAR:SYMBOL=475513&amp;VAR:INDEX=0"}</definedName>
    <definedName name="_3239__FDSAUDITLINK__" hidden="1">{"fdsup://directions/FAT Viewer?action=UPDATE&amp;creator=factset&amp;DYN_ARGS=TRUE&amp;DOC_NAME=FAT:FQL_AUDITING_CLIENT_TEMPLATE.FAT&amp;display_string=Audit&amp;VAR:KEY=DKPGPMRSJC&amp;VAR:QUERY=UkdGX1RBWF9SQVRFKEFOTiwwLCwsLCwsTk9BVURJVCk=&amp;WINDOW=FIRST_POPUP&amp;HEIGHT=450&amp;WIDTH=450&amp;","START_MAXIMIZED=FALSE&amp;VAR:CALENDAR=US&amp;VAR:SYMBOL=475513&amp;VAR:INDEX=0"}</definedName>
    <definedName name="_3240__FDSAUDITLINK__" localSheetId="3" hidden="1">{"fdsup://directions/FAT Viewer?action=UPDATE&amp;creator=factset&amp;DYN_ARGS=TRUE&amp;DOC_NAME=FAT:FQL_AUDITING_CLIENT_TEMPLATE.FAT&amp;display_string=Audit&amp;VAR:KEY=FSRABSFSJW&amp;VAR:QUERY=UkdGX1RBWF9SQVRFKEFOTiwwLCwsLCwsTk9BVURJVCk=&amp;WINDOW=FIRST_POPUP&amp;HEIGHT=450&amp;WIDTH=450&amp;","START_MAXIMIZED=FALSE&amp;VAR:CALENDAR=US&amp;VAR:SYMBOL=SMSI&amp;VAR:INDEX=0"}</definedName>
    <definedName name="_3240__FDSAUDITLINK__" localSheetId="7" hidden="1">{"fdsup://directions/FAT Viewer?action=UPDATE&amp;creator=factset&amp;DYN_ARGS=TRUE&amp;DOC_NAME=FAT:FQL_AUDITING_CLIENT_TEMPLATE.FAT&amp;display_string=Audit&amp;VAR:KEY=FSRABSFSJW&amp;VAR:QUERY=UkdGX1RBWF9SQVRFKEFOTiwwLCwsLCwsTk9BVURJVCk=&amp;WINDOW=FIRST_POPUP&amp;HEIGHT=450&amp;WIDTH=450&amp;","START_MAXIMIZED=FALSE&amp;VAR:CALENDAR=US&amp;VAR:SYMBOL=SMSI&amp;VAR:INDEX=0"}</definedName>
    <definedName name="_3240__FDSAUDITLINK__" hidden="1">{"fdsup://directions/FAT Viewer?action=UPDATE&amp;creator=factset&amp;DYN_ARGS=TRUE&amp;DOC_NAME=FAT:FQL_AUDITING_CLIENT_TEMPLATE.FAT&amp;display_string=Audit&amp;VAR:KEY=FSRABSFSJW&amp;VAR:QUERY=UkdGX1RBWF9SQVRFKEFOTiwwLCwsLCwsTk9BVURJVCk=&amp;WINDOW=FIRST_POPUP&amp;HEIGHT=450&amp;WIDTH=450&amp;","START_MAXIMIZED=FALSE&amp;VAR:CALENDAR=US&amp;VAR:SYMBOL=SMSI&amp;VAR:INDEX=0"}</definedName>
    <definedName name="_3241__FDSAUDITLINK__" localSheetId="3" hidden="1">{"fdsup://directions/FAT Viewer?action=UPDATE&amp;creator=factset&amp;DYN_ARGS=TRUE&amp;DOC_NAME=FAT:FQL_AUDITING_CLIENT_TEMPLATE.FAT&amp;display_string=Audit&amp;VAR:KEY=FSRABSFSJW&amp;VAR:QUERY=UkdGX1RBWF9SQVRFKEFOTiwwLCwsLCwsTk9BVURJVCk=&amp;WINDOW=FIRST_POPUP&amp;HEIGHT=450&amp;WIDTH=450&amp;","START_MAXIMIZED=FALSE&amp;VAR:CALENDAR=US&amp;VAR:SYMBOL=SMSI&amp;VAR:INDEX=0"}</definedName>
    <definedName name="_3241__FDSAUDITLINK__" localSheetId="7" hidden="1">{"fdsup://directions/FAT Viewer?action=UPDATE&amp;creator=factset&amp;DYN_ARGS=TRUE&amp;DOC_NAME=FAT:FQL_AUDITING_CLIENT_TEMPLATE.FAT&amp;display_string=Audit&amp;VAR:KEY=FSRABSFSJW&amp;VAR:QUERY=UkdGX1RBWF9SQVRFKEFOTiwwLCwsLCwsTk9BVURJVCk=&amp;WINDOW=FIRST_POPUP&amp;HEIGHT=450&amp;WIDTH=450&amp;","START_MAXIMIZED=FALSE&amp;VAR:CALENDAR=US&amp;VAR:SYMBOL=SMSI&amp;VAR:INDEX=0"}</definedName>
    <definedName name="_3241__FDSAUDITLINK__" hidden="1">{"fdsup://directions/FAT Viewer?action=UPDATE&amp;creator=factset&amp;DYN_ARGS=TRUE&amp;DOC_NAME=FAT:FQL_AUDITING_CLIENT_TEMPLATE.FAT&amp;display_string=Audit&amp;VAR:KEY=FSRABSFSJW&amp;VAR:QUERY=UkdGX1RBWF9SQVRFKEFOTiwwLCwsLCwsTk9BVURJVCk=&amp;WINDOW=FIRST_POPUP&amp;HEIGHT=450&amp;WIDTH=450&amp;","START_MAXIMIZED=FALSE&amp;VAR:CALENDAR=US&amp;VAR:SYMBOL=SMSI&amp;VAR:INDEX=0"}</definedName>
    <definedName name="_3242__FDSAUDITLINK__" localSheetId="3" hidden="1">{"fdsup://directions/FAT Viewer?action=UPDATE&amp;creator=factset&amp;DYN_ARGS=TRUE&amp;DOC_NAME=FAT:FQL_AUDITING_CLIENT_TEMPLATE.FAT&amp;display_string=Audit&amp;VAR:KEY=JENIDUDUVU&amp;VAR:QUERY=UkdGX1RBWF9SQVRFKEFOTiwwLCwsLCwsTk9BVURJVCk=&amp;WINDOW=FIRST_POPUP&amp;HEIGHT=450&amp;WIDTH=450&amp;","START_MAXIMIZED=FALSE&amp;VAR:CALENDAR=US&amp;VAR:SYMBOL=SQI&amp;VAR:INDEX=0"}</definedName>
    <definedName name="_3242__FDSAUDITLINK__" localSheetId="7" hidden="1">{"fdsup://directions/FAT Viewer?action=UPDATE&amp;creator=factset&amp;DYN_ARGS=TRUE&amp;DOC_NAME=FAT:FQL_AUDITING_CLIENT_TEMPLATE.FAT&amp;display_string=Audit&amp;VAR:KEY=JENIDUDUVU&amp;VAR:QUERY=UkdGX1RBWF9SQVRFKEFOTiwwLCwsLCwsTk9BVURJVCk=&amp;WINDOW=FIRST_POPUP&amp;HEIGHT=450&amp;WIDTH=450&amp;","START_MAXIMIZED=FALSE&amp;VAR:CALENDAR=US&amp;VAR:SYMBOL=SQI&amp;VAR:INDEX=0"}</definedName>
    <definedName name="_3242__FDSAUDITLINK__" hidden="1">{"fdsup://directions/FAT Viewer?action=UPDATE&amp;creator=factset&amp;DYN_ARGS=TRUE&amp;DOC_NAME=FAT:FQL_AUDITING_CLIENT_TEMPLATE.FAT&amp;display_string=Audit&amp;VAR:KEY=JENIDUDUVU&amp;VAR:QUERY=UkdGX1RBWF9SQVRFKEFOTiwwLCwsLCwsTk9BVURJVCk=&amp;WINDOW=FIRST_POPUP&amp;HEIGHT=450&amp;WIDTH=450&amp;","START_MAXIMIZED=FALSE&amp;VAR:CALENDAR=US&amp;VAR:SYMBOL=SQI&amp;VAR:INDEX=0"}</definedName>
    <definedName name="_3243__FDSAUDITLINK__" localSheetId="3" hidden="1">{"fdsup://directions/FAT Viewer?action=UPDATE&amp;creator=factset&amp;DYN_ARGS=TRUE&amp;DOC_NAME=FAT:FQL_AUDITING_CLIENT_TEMPLATE.FAT&amp;display_string=Audit&amp;VAR:KEY=JENIDUDUVU&amp;VAR:QUERY=UkdGX1RBWF9SQVRFKEFOTiwwLCwsLCwsTk9BVURJVCk=&amp;WINDOW=FIRST_POPUP&amp;HEIGHT=450&amp;WIDTH=450&amp;","START_MAXIMIZED=FALSE&amp;VAR:CALENDAR=US&amp;VAR:SYMBOL=SQI&amp;VAR:INDEX=0"}</definedName>
    <definedName name="_3243__FDSAUDITLINK__" localSheetId="7" hidden="1">{"fdsup://directions/FAT Viewer?action=UPDATE&amp;creator=factset&amp;DYN_ARGS=TRUE&amp;DOC_NAME=FAT:FQL_AUDITING_CLIENT_TEMPLATE.FAT&amp;display_string=Audit&amp;VAR:KEY=JENIDUDUVU&amp;VAR:QUERY=UkdGX1RBWF9SQVRFKEFOTiwwLCwsLCwsTk9BVURJVCk=&amp;WINDOW=FIRST_POPUP&amp;HEIGHT=450&amp;WIDTH=450&amp;","START_MAXIMIZED=FALSE&amp;VAR:CALENDAR=US&amp;VAR:SYMBOL=SQI&amp;VAR:INDEX=0"}</definedName>
    <definedName name="_3243__FDSAUDITLINK__" hidden="1">{"fdsup://directions/FAT Viewer?action=UPDATE&amp;creator=factset&amp;DYN_ARGS=TRUE&amp;DOC_NAME=FAT:FQL_AUDITING_CLIENT_TEMPLATE.FAT&amp;display_string=Audit&amp;VAR:KEY=JENIDUDUVU&amp;VAR:QUERY=UkdGX1RBWF9SQVRFKEFOTiwwLCwsLCwsTk9BVURJVCk=&amp;WINDOW=FIRST_POPUP&amp;HEIGHT=450&amp;WIDTH=450&amp;","START_MAXIMIZED=FALSE&amp;VAR:CALENDAR=US&amp;VAR:SYMBOL=SQI&amp;VAR:INDEX=0"}</definedName>
    <definedName name="_3244__FDSAUDITLINK__" localSheetId="3" hidden="1">{"fdsup://directions/FAT Viewer?action=UPDATE&amp;creator=factset&amp;DYN_ARGS=TRUE&amp;DOC_NAME=FAT:FQL_AUDITING_CLIENT_TEMPLATE.FAT&amp;display_string=Audit&amp;VAR:KEY=HOBEFOZKPI&amp;VAR:QUERY=UkdGX1RBWF9SQVRFKEFOTiwwLCwsLCwsTk9BVURJVCk=&amp;WINDOW=FIRST_POPUP&amp;HEIGHT=450&amp;WIDTH=450&amp;","START_MAXIMIZED=FALSE&amp;VAR:CALENDAR=US&amp;VAR:SYMBOL=SVVS&amp;VAR:INDEX=0"}</definedName>
    <definedName name="_3244__FDSAUDITLINK__" localSheetId="7" hidden="1">{"fdsup://directions/FAT Viewer?action=UPDATE&amp;creator=factset&amp;DYN_ARGS=TRUE&amp;DOC_NAME=FAT:FQL_AUDITING_CLIENT_TEMPLATE.FAT&amp;display_string=Audit&amp;VAR:KEY=HOBEFOZKPI&amp;VAR:QUERY=UkdGX1RBWF9SQVRFKEFOTiwwLCwsLCwsTk9BVURJVCk=&amp;WINDOW=FIRST_POPUP&amp;HEIGHT=450&amp;WIDTH=450&amp;","START_MAXIMIZED=FALSE&amp;VAR:CALENDAR=US&amp;VAR:SYMBOL=SVVS&amp;VAR:INDEX=0"}</definedName>
    <definedName name="_3244__FDSAUDITLINK__" hidden="1">{"fdsup://directions/FAT Viewer?action=UPDATE&amp;creator=factset&amp;DYN_ARGS=TRUE&amp;DOC_NAME=FAT:FQL_AUDITING_CLIENT_TEMPLATE.FAT&amp;display_string=Audit&amp;VAR:KEY=HOBEFOZKPI&amp;VAR:QUERY=UkdGX1RBWF9SQVRFKEFOTiwwLCwsLCwsTk9BVURJVCk=&amp;WINDOW=FIRST_POPUP&amp;HEIGHT=450&amp;WIDTH=450&amp;","START_MAXIMIZED=FALSE&amp;VAR:CALENDAR=US&amp;VAR:SYMBOL=SVVS&amp;VAR:INDEX=0"}</definedName>
    <definedName name="_3245__FDSAUDITLINK__" localSheetId="3" hidden="1">{"fdsup://directions/FAT Viewer?action=UPDATE&amp;creator=factset&amp;DYN_ARGS=TRUE&amp;DOC_NAME=FAT:FQL_AUDITING_CLIENT_TEMPLATE.FAT&amp;display_string=Audit&amp;VAR:KEY=DOLGXYFYZY&amp;VAR:QUERY=UkdGX1RBWF9SQVRFKEFOTiwwLCwsLCwsTk9BVURJVCk=&amp;WINDOW=FIRST_POPUP&amp;HEIGHT=450&amp;WIDTH=450&amp;","START_MAXIMIZED=FALSE&amp;VAR:CALENDAR=US&amp;VAR:SYMBOL=SAP&amp;VAR:INDEX=0"}</definedName>
    <definedName name="_3245__FDSAUDITLINK__" localSheetId="7" hidden="1">{"fdsup://directions/FAT Viewer?action=UPDATE&amp;creator=factset&amp;DYN_ARGS=TRUE&amp;DOC_NAME=FAT:FQL_AUDITING_CLIENT_TEMPLATE.FAT&amp;display_string=Audit&amp;VAR:KEY=DOLGXYFYZY&amp;VAR:QUERY=UkdGX1RBWF9SQVRFKEFOTiwwLCwsLCwsTk9BVURJVCk=&amp;WINDOW=FIRST_POPUP&amp;HEIGHT=450&amp;WIDTH=450&amp;","START_MAXIMIZED=FALSE&amp;VAR:CALENDAR=US&amp;VAR:SYMBOL=SAP&amp;VAR:INDEX=0"}</definedName>
    <definedName name="_3245__FDSAUDITLINK__" hidden="1">{"fdsup://directions/FAT Viewer?action=UPDATE&amp;creator=factset&amp;DYN_ARGS=TRUE&amp;DOC_NAME=FAT:FQL_AUDITING_CLIENT_TEMPLATE.FAT&amp;display_string=Audit&amp;VAR:KEY=DOLGXYFYZY&amp;VAR:QUERY=UkdGX1RBWF9SQVRFKEFOTiwwLCwsLCwsTk9BVURJVCk=&amp;WINDOW=FIRST_POPUP&amp;HEIGHT=450&amp;WIDTH=450&amp;","START_MAXIMIZED=FALSE&amp;VAR:CALENDAR=US&amp;VAR:SYMBOL=SAP&amp;VAR:INDEX=0"}</definedName>
    <definedName name="_3246__FDSAUDITLINK__" localSheetId="3" hidden="1">{"fdsup://directions/FAT Viewer?action=UPDATE&amp;creator=factset&amp;DYN_ARGS=TRUE&amp;DOC_NAME=FAT:FQL_AUDITING_CLIENT_TEMPLATE.FAT&amp;display_string=Audit&amp;VAR:KEY=DOLGXYFYZY&amp;VAR:QUERY=UkdGX1RBWF9SQVRFKEFOTiwwLCwsLCwsTk9BVURJVCk=&amp;WINDOW=FIRST_POPUP&amp;HEIGHT=450&amp;WIDTH=450&amp;","START_MAXIMIZED=FALSE&amp;VAR:CALENDAR=US&amp;VAR:SYMBOL=SAP&amp;VAR:INDEX=0"}</definedName>
    <definedName name="_3246__FDSAUDITLINK__" localSheetId="7" hidden="1">{"fdsup://directions/FAT Viewer?action=UPDATE&amp;creator=factset&amp;DYN_ARGS=TRUE&amp;DOC_NAME=FAT:FQL_AUDITING_CLIENT_TEMPLATE.FAT&amp;display_string=Audit&amp;VAR:KEY=DOLGXYFYZY&amp;VAR:QUERY=UkdGX1RBWF9SQVRFKEFOTiwwLCwsLCwsTk9BVURJVCk=&amp;WINDOW=FIRST_POPUP&amp;HEIGHT=450&amp;WIDTH=450&amp;","START_MAXIMIZED=FALSE&amp;VAR:CALENDAR=US&amp;VAR:SYMBOL=SAP&amp;VAR:INDEX=0"}</definedName>
    <definedName name="_3246__FDSAUDITLINK__" hidden="1">{"fdsup://directions/FAT Viewer?action=UPDATE&amp;creator=factset&amp;DYN_ARGS=TRUE&amp;DOC_NAME=FAT:FQL_AUDITING_CLIENT_TEMPLATE.FAT&amp;display_string=Audit&amp;VAR:KEY=DOLGXYFYZY&amp;VAR:QUERY=UkdGX1RBWF9SQVRFKEFOTiwwLCwsLCwsTk9BVURJVCk=&amp;WINDOW=FIRST_POPUP&amp;HEIGHT=450&amp;WIDTH=450&amp;","START_MAXIMIZED=FALSE&amp;VAR:CALENDAR=US&amp;VAR:SYMBOL=SAP&amp;VAR:INDEX=0"}</definedName>
    <definedName name="_3247__FDSAUDITLINK__" localSheetId="3" hidden="1">{"fdsup://directions/FAT Viewer?action=UPDATE&amp;creator=factset&amp;DYN_ARGS=TRUE&amp;DOC_NAME=FAT:FQL_AUDITING_CLIENT_TEMPLATE.FAT&amp;display_string=Audit&amp;VAR:KEY=HIRCTYJWRM&amp;VAR:QUERY=UkdGX1RBWF9SQVRFKEFOTiwwLCwsLCwsTk9BVURJVCk=&amp;WINDOW=FIRST_POPUP&amp;HEIGHT=450&amp;WIDTH=450&amp;","START_MAXIMIZED=FALSE&amp;VAR:CALENDAR=US&amp;VAR:SYMBOL=CRM&amp;VAR:INDEX=0"}</definedName>
    <definedName name="_3247__FDSAUDITLINK__" localSheetId="7" hidden="1">{"fdsup://directions/FAT Viewer?action=UPDATE&amp;creator=factset&amp;DYN_ARGS=TRUE&amp;DOC_NAME=FAT:FQL_AUDITING_CLIENT_TEMPLATE.FAT&amp;display_string=Audit&amp;VAR:KEY=HIRCTYJWRM&amp;VAR:QUERY=UkdGX1RBWF9SQVRFKEFOTiwwLCwsLCwsTk9BVURJVCk=&amp;WINDOW=FIRST_POPUP&amp;HEIGHT=450&amp;WIDTH=450&amp;","START_MAXIMIZED=FALSE&amp;VAR:CALENDAR=US&amp;VAR:SYMBOL=CRM&amp;VAR:INDEX=0"}</definedName>
    <definedName name="_3247__FDSAUDITLINK__" hidden="1">{"fdsup://directions/FAT Viewer?action=UPDATE&amp;creator=factset&amp;DYN_ARGS=TRUE&amp;DOC_NAME=FAT:FQL_AUDITING_CLIENT_TEMPLATE.FAT&amp;display_string=Audit&amp;VAR:KEY=HIRCTYJWRM&amp;VAR:QUERY=UkdGX1RBWF9SQVRFKEFOTiwwLCwsLCwsTk9BVURJVCk=&amp;WINDOW=FIRST_POPUP&amp;HEIGHT=450&amp;WIDTH=450&amp;","START_MAXIMIZED=FALSE&amp;VAR:CALENDAR=US&amp;VAR:SYMBOL=CRM&amp;VAR:INDEX=0"}</definedName>
    <definedName name="_3248__FDSAUDITLINK__" localSheetId="3" hidden="1">{"fdsup://directions/FAT Viewer?action=UPDATE&amp;creator=factset&amp;DYN_ARGS=TRUE&amp;DOC_NAME=FAT:FQL_AUDITING_CLIENT_TEMPLATE.FAT&amp;display_string=Audit&amp;VAR:KEY=HIRCTYJWRM&amp;VAR:QUERY=UkdGX1RBWF9SQVRFKEFOTiwwLCwsLCwsTk9BVURJVCk=&amp;WINDOW=FIRST_POPUP&amp;HEIGHT=450&amp;WIDTH=450&amp;","START_MAXIMIZED=FALSE&amp;VAR:CALENDAR=US&amp;VAR:SYMBOL=CRM&amp;VAR:INDEX=0"}</definedName>
    <definedName name="_3248__FDSAUDITLINK__" localSheetId="7" hidden="1">{"fdsup://directions/FAT Viewer?action=UPDATE&amp;creator=factset&amp;DYN_ARGS=TRUE&amp;DOC_NAME=FAT:FQL_AUDITING_CLIENT_TEMPLATE.FAT&amp;display_string=Audit&amp;VAR:KEY=HIRCTYJWRM&amp;VAR:QUERY=UkdGX1RBWF9SQVRFKEFOTiwwLCwsLCwsTk9BVURJVCk=&amp;WINDOW=FIRST_POPUP&amp;HEIGHT=450&amp;WIDTH=450&amp;","START_MAXIMIZED=FALSE&amp;VAR:CALENDAR=US&amp;VAR:SYMBOL=CRM&amp;VAR:INDEX=0"}</definedName>
    <definedName name="_3248__FDSAUDITLINK__" hidden="1">{"fdsup://directions/FAT Viewer?action=UPDATE&amp;creator=factset&amp;DYN_ARGS=TRUE&amp;DOC_NAME=FAT:FQL_AUDITING_CLIENT_TEMPLATE.FAT&amp;display_string=Audit&amp;VAR:KEY=HIRCTYJWRM&amp;VAR:QUERY=UkdGX1RBWF9SQVRFKEFOTiwwLCwsLCwsTk9BVURJVCk=&amp;WINDOW=FIRST_POPUP&amp;HEIGHT=450&amp;WIDTH=450&amp;","START_MAXIMIZED=FALSE&amp;VAR:CALENDAR=US&amp;VAR:SYMBOL=CRM&amp;VAR:INDEX=0"}</definedName>
    <definedName name="_3249__FDSAUDITLINK__" localSheetId="3" hidden="1">{"fdsup://directions/FAT Viewer?action=UPDATE&amp;creator=factset&amp;DYN_ARGS=TRUE&amp;DOC_NAME=FAT:FQL_AUDITING_CLIENT_TEMPLATE.FAT&amp;display_string=Audit&amp;VAR:KEY=DWVANKNOBG&amp;VAR:QUERY=UkdGX1RBWF9SQVRFKEFOTiwwLCwsLCwsTk9BVURJVCk=&amp;WINDOW=FIRST_POPUP&amp;HEIGHT=450&amp;WIDTH=450&amp;","START_MAXIMIZED=FALSE&amp;VAR:CALENDAR=US&amp;VAR:SYMBOL=080216&amp;VAR:INDEX=0"}</definedName>
    <definedName name="_3249__FDSAUDITLINK__" localSheetId="7" hidden="1">{"fdsup://directions/FAT Viewer?action=UPDATE&amp;creator=factset&amp;DYN_ARGS=TRUE&amp;DOC_NAME=FAT:FQL_AUDITING_CLIENT_TEMPLATE.FAT&amp;display_string=Audit&amp;VAR:KEY=DWVANKNOBG&amp;VAR:QUERY=UkdGX1RBWF9SQVRFKEFOTiwwLCwsLCwsTk9BVURJVCk=&amp;WINDOW=FIRST_POPUP&amp;HEIGHT=450&amp;WIDTH=450&amp;","START_MAXIMIZED=FALSE&amp;VAR:CALENDAR=US&amp;VAR:SYMBOL=080216&amp;VAR:INDEX=0"}</definedName>
    <definedName name="_3249__FDSAUDITLINK__" hidden="1">{"fdsup://directions/FAT Viewer?action=UPDATE&amp;creator=factset&amp;DYN_ARGS=TRUE&amp;DOC_NAME=FAT:FQL_AUDITING_CLIENT_TEMPLATE.FAT&amp;display_string=Audit&amp;VAR:KEY=DWVANKNOBG&amp;VAR:QUERY=UkdGX1RBWF9SQVRFKEFOTiwwLCwsLCwsTk9BVURJVCk=&amp;WINDOW=FIRST_POPUP&amp;HEIGHT=450&amp;WIDTH=450&amp;","START_MAXIMIZED=FALSE&amp;VAR:CALENDAR=US&amp;VAR:SYMBOL=080216&amp;VAR:INDEX=0"}</definedName>
    <definedName name="_325__FDSAUDITLINK__" localSheetId="3" hidden="1">{"fdsup://directions/FAT Viewer?action=UPDATE&amp;creator=factset&amp;DYN_ARGS=TRUE&amp;DOC_NAME=FAT:FQL_AUDITING_CLIENT_TEMPLATE.FAT&amp;display_string=Audit&amp;VAR:KEY=CXIFYHQHOZ&amp;VAR:QUERY=RkZfRUJJVERBX09QRVIoTFRNLDAsLCwsLE0p&amp;WINDOW=FIRST_POPUP&amp;HEIGHT=450&amp;WIDTH=450&amp;START_MA","XIMIZED=FALSE&amp;VAR:CALENDAR=US&amp;VAR:SYMBOL=CLSC6-BR&amp;VAR:INDEX=0"}</definedName>
    <definedName name="_325__FDSAUDITLINK__" localSheetId="7" hidden="1">{"fdsup://directions/FAT Viewer?action=UPDATE&amp;creator=factset&amp;DYN_ARGS=TRUE&amp;DOC_NAME=FAT:FQL_AUDITING_CLIENT_TEMPLATE.FAT&amp;display_string=Audit&amp;VAR:KEY=CXIFYHQHOZ&amp;VAR:QUERY=RkZfRUJJVERBX09QRVIoTFRNLDAsLCwsLE0p&amp;WINDOW=FIRST_POPUP&amp;HEIGHT=450&amp;WIDTH=450&amp;START_MA","XIMIZED=FALSE&amp;VAR:CALENDAR=US&amp;VAR:SYMBOL=CLSC6-BR&amp;VAR:INDEX=0"}</definedName>
    <definedName name="_325__FDSAUDITLINK__" hidden="1">{"fdsup://directions/FAT Viewer?action=UPDATE&amp;creator=factset&amp;DYN_ARGS=TRUE&amp;DOC_NAME=FAT:FQL_AUDITING_CLIENT_TEMPLATE.FAT&amp;display_string=Audit&amp;VAR:KEY=CXIFYHQHOZ&amp;VAR:QUERY=RkZfRUJJVERBX09QRVIoTFRNLDAsLCwsLE0p&amp;WINDOW=FIRST_POPUP&amp;HEIGHT=450&amp;WIDTH=450&amp;START_MA","XIMIZED=FALSE&amp;VAR:CALENDAR=US&amp;VAR:SYMBOL=CLSC6-BR&amp;VAR:INDEX=0"}</definedName>
    <definedName name="_3250__FDSAUDITLINK__" localSheetId="3" hidden="1">{"fdsup://directions/FAT Viewer?action=UPDATE&amp;creator=factset&amp;DYN_ARGS=TRUE&amp;DOC_NAME=FAT:FQL_AUDITING_CLIENT_TEMPLATE.FAT&amp;display_string=Audit&amp;VAR:KEY=DWVANKNOBG&amp;VAR:QUERY=UkdGX1RBWF9SQVRFKEFOTiwwLCwsLCwsTk9BVURJVCk=&amp;WINDOW=FIRST_POPUP&amp;HEIGHT=450&amp;WIDTH=450&amp;","START_MAXIMIZED=FALSE&amp;VAR:CALENDAR=US&amp;VAR:SYMBOL=080216&amp;VAR:INDEX=0"}</definedName>
    <definedName name="_3250__FDSAUDITLINK__" localSheetId="7" hidden="1">{"fdsup://directions/FAT Viewer?action=UPDATE&amp;creator=factset&amp;DYN_ARGS=TRUE&amp;DOC_NAME=FAT:FQL_AUDITING_CLIENT_TEMPLATE.FAT&amp;display_string=Audit&amp;VAR:KEY=DWVANKNOBG&amp;VAR:QUERY=UkdGX1RBWF9SQVRFKEFOTiwwLCwsLCwsTk9BVURJVCk=&amp;WINDOW=FIRST_POPUP&amp;HEIGHT=450&amp;WIDTH=450&amp;","START_MAXIMIZED=FALSE&amp;VAR:CALENDAR=US&amp;VAR:SYMBOL=080216&amp;VAR:INDEX=0"}</definedName>
    <definedName name="_3250__FDSAUDITLINK__" hidden="1">{"fdsup://directions/FAT Viewer?action=UPDATE&amp;creator=factset&amp;DYN_ARGS=TRUE&amp;DOC_NAME=FAT:FQL_AUDITING_CLIENT_TEMPLATE.FAT&amp;display_string=Audit&amp;VAR:KEY=DWVANKNOBG&amp;VAR:QUERY=UkdGX1RBWF9SQVRFKEFOTiwwLCwsLCwsTk9BVURJVCk=&amp;WINDOW=FIRST_POPUP&amp;HEIGHT=450&amp;WIDTH=450&amp;","START_MAXIMIZED=FALSE&amp;VAR:CALENDAR=US&amp;VAR:SYMBOL=080216&amp;VAR:INDEX=0"}</definedName>
    <definedName name="_3251__FDSAUDITLINK__" localSheetId="3" hidden="1">{"fdsup://directions/FAT Viewer?action=UPDATE&amp;creator=factset&amp;DYN_ARGS=TRUE&amp;DOC_NAME=FAT:FQL_AUDITING_CLIENT_TEMPLATE.FAT&amp;display_string=Audit&amp;VAR:KEY=ZWRYTMRUTG&amp;VAR:QUERY=UkdGX1RBWF9SQVRFKEFOTiwwLCwsLCwsTk9BVURJVCk=&amp;WINDOW=FIRST_POPUP&amp;HEIGHT=450&amp;WIDTH=450&amp;","START_MAXIMIZED=FALSE&amp;VAR:CALENDAR=US&amp;VAR:SYMBOL=SABA&amp;VAR:INDEX=0"}</definedName>
    <definedName name="_3251__FDSAUDITLINK__" localSheetId="7" hidden="1">{"fdsup://directions/FAT Viewer?action=UPDATE&amp;creator=factset&amp;DYN_ARGS=TRUE&amp;DOC_NAME=FAT:FQL_AUDITING_CLIENT_TEMPLATE.FAT&amp;display_string=Audit&amp;VAR:KEY=ZWRYTMRUTG&amp;VAR:QUERY=UkdGX1RBWF9SQVRFKEFOTiwwLCwsLCwsTk9BVURJVCk=&amp;WINDOW=FIRST_POPUP&amp;HEIGHT=450&amp;WIDTH=450&amp;","START_MAXIMIZED=FALSE&amp;VAR:CALENDAR=US&amp;VAR:SYMBOL=SABA&amp;VAR:INDEX=0"}</definedName>
    <definedName name="_3251__FDSAUDITLINK__" hidden="1">{"fdsup://directions/FAT Viewer?action=UPDATE&amp;creator=factset&amp;DYN_ARGS=TRUE&amp;DOC_NAME=FAT:FQL_AUDITING_CLIENT_TEMPLATE.FAT&amp;display_string=Audit&amp;VAR:KEY=ZWRYTMRUTG&amp;VAR:QUERY=UkdGX1RBWF9SQVRFKEFOTiwwLCwsLCwsTk9BVURJVCk=&amp;WINDOW=FIRST_POPUP&amp;HEIGHT=450&amp;WIDTH=450&amp;","START_MAXIMIZED=FALSE&amp;VAR:CALENDAR=US&amp;VAR:SYMBOL=SABA&amp;VAR:INDEX=0"}</definedName>
    <definedName name="_3252__FDSAUDITLINK__" localSheetId="3" hidden="1">{"fdsup://directions/FAT Viewer?action=UPDATE&amp;creator=factset&amp;DYN_ARGS=TRUE&amp;DOC_NAME=FAT:FQL_AUDITING_CLIENT_TEMPLATE.FAT&amp;display_string=Audit&amp;VAR:KEY=ZWRYTMRUTG&amp;VAR:QUERY=UkdGX1RBWF9SQVRFKEFOTiwwLCwsLCwsTk9BVURJVCk=&amp;WINDOW=FIRST_POPUP&amp;HEIGHT=450&amp;WIDTH=450&amp;","START_MAXIMIZED=FALSE&amp;VAR:CALENDAR=US&amp;VAR:SYMBOL=SABA&amp;VAR:INDEX=0"}</definedName>
    <definedName name="_3252__FDSAUDITLINK__" localSheetId="7" hidden="1">{"fdsup://directions/FAT Viewer?action=UPDATE&amp;creator=factset&amp;DYN_ARGS=TRUE&amp;DOC_NAME=FAT:FQL_AUDITING_CLIENT_TEMPLATE.FAT&amp;display_string=Audit&amp;VAR:KEY=ZWRYTMRUTG&amp;VAR:QUERY=UkdGX1RBWF9SQVRFKEFOTiwwLCwsLCwsTk9BVURJVCk=&amp;WINDOW=FIRST_POPUP&amp;HEIGHT=450&amp;WIDTH=450&amp;","START_MAXIMIZED=FALSE&amp;VAR:CALENDAR=US&amp;VAR:SYMBOL=SABA&amp;VAR:INDEX=0"}</definedName>
    <definedName name="_3252__FDSAUDITLINK__" hidden="1">{"fdsup://directions/FAT Viewer?action=UPDATE&amp;creator=factset&amp;DYN_ARGS=TRUE&amp;DOC_NAME=FAT:FQL_AUDITING_CLIENT_TEMPLATE.FAT&amp;display_string=Audit&amp;VAR:KEY=ZWRYTMRUTG&amp;VAR:QUERY=UkdGX1RBWF9SQVRFKEFOTiwwLCwsLCwsTk9BVURJVCk=&amp;WINDOW=FIRST_POPUP&amp;HEIGHT=450&amp;WIDTH=450&amp;","START_MAXIMIZED=FALSE&amp;VAR:CALENDAR=US&amp;VAR:SYMBOL=SABA&amp;VAR:INDEX=0"}</definedName>
    <definedName name="_3253__FDSAUDITLINK__" localSheetId="3" hidden="1">{"fdsup://directions/FAT Viewer?action=UPDATE&amp;creator=factset&amp;DYN_ARGS=TRUE&amp;DOC_NAME=FAT:FQL_AUDITING_CLIENT_TEMPLATE.FAT&amp;display_string=Audit&amp;VAR:KEY=VWNEFIZCLU&amp;VAR:QUERY=UkdGX1RBWF9SQVRFKEFOTiwwLCwsLCwsTk9BVURJVCk=&amp;WINDOW=FIRST_POPUP&amp;HEIGHT=450&amp;WIDTH=450&amp;","START_MAXIMIZED=FALSE&amp;VAR:CALENDAR=US&amp;VAR:SYMBOL=RVBD&amp;VAR:INDEX=0"}</definedName>
    <definedName name="_3253__FDSAUDITLINK__" localSheetId="7" hidden="1">{"fdsup://directions/FAT Viewer?action=UPDATE&amp;creator=factset&amp;DYN_ARGS=TRUE&amp;DOC_NAME=FAT:FQL_AUDITING_CLIENT_TEMPLATE.FAT&amp;display_string=Audit&amp;VAR:KEY=VWNEFIZCLU&amp;VAR:QUERY=UkdGX1RBWF9SQVRFKEFOTiwwLCwsLCwsTk9BVURJVCk=&amp;WINDOW=FIRST_POPUP&amp;HEIGHT=450&amp;WIDTH=450&amp;","START_MAXIMIZED=FALSE&amp;VAR:CALENDAR=US&amp;VAR:SYMBOL=RVBD&amp;VAR:INDEX=0"}</definedName>
    <definedName name="_3253__FDSAUDITLINK__" hidden="1">{"fdsup://directions/FAT Viewer?action=UPDATE&amp;creator=factset&amp;DYN_ARGS=TRUE&amp;DOC_NAME=FAT:FQL_AUDITING_CLIENT_TEMPLATE.FAT&amp;display_string=Audit&amp;VAR:KEY=VWNEFIZCLU&amp;VAR:QUERY=UkdGX1RBWF9SQVRFKEFOTiwwLCwsLCwsTk9BVURJVCk=&amp;WINDOW=FIRST_POPUP&amp;HEIGHT=450&amp;WIDTH=450&amp;","START_MAXIMIZED=FALSE&amp;VAR:CALENDAR=US&amp;VAR:SYMBOL=RVBD&amp;VAR:INDEX=0"}</definedName>
    <definedName name="_3254__FDSAUDITLINK__" localSheetId="3" hidden="1">{"fdsup://directions/FAT Viewer?action=UPDATE&amp;creator=factset&amp;DYN_ARGS=TRUE&amp;DOC_NAME=FAT:FQL_AUDITING_CLIENT_TEMPLATE.FAT&amp;display_string=Audit&amp;VAR:KEY=VWNEFIZCLU&amp;VAR:QUERY=UkdGX1RBWF9SQVRFKEFOTiwwLCwsLCwsTk9BVURJVCk=&amp;WINDOW=FIRST_POPUP&amp;HEIGHT=450&amp;WIDTH=450&amp;","START_MAXIMIZED=FALSE&amp;VAR:CALENDAR=US&amp;VAR:SYMBOL=RVBD&amp;VAR:INDEX=0"}</definedName>
    <definedName name="_3254__FDSAUDITLINK__" localSheetId="7" hidden="1">{"fdsup://directions/FAT Viewer?action=UPDATE&amp;creator=factset&amp;DYN_ARGS=TRUE&amp;DOC_NAME=FAT:FQL_AUDITING_CLIENT_TEMPLATE.FAT&amp;display_string=Audit&amp;VAR:KEY=VWNEFIZCLU&amp;VAR:QUERY=UkdGX1RBWF9SQVRFKEFOTiwwLCwsLCwsTk9BVURJVCk=&amp;WINDOW=FIRST_POPUP&amp;HEIGHT=450&amp;WIDTH=450&amp;","START_MAXIMIZED=FALSE&amp;VAR:CALENDAR=US&amp;VAR:SYMBOL=RVBD&amp;VAR:INDEX=0"}</definedName>
    <definedName name="_3254__FDSAUDITLINK__" hidden="1">{"fdsup://directions/FAT Viewer?action=UPDATE&amp;creator=factset&amp;DYN_ARGS=TRUE&amp;DOC_NAME=FAT:FQL_AUDITING_CLIENT_TEMPLATE.FAT&amp;display_string=Audit&amp;VAR:KEY=VWNEFIZCLU&amp;VAR:QUERY=UkdGX1RBWF9SQVRFKEFOTiwwLCwsLCwsTk9BVURJVCk=&amp;WINDOW=FIRST_POPUP&amp;HEIGHT=450&amp;WIDTH=450&amp;","START_MAXIMIZED=FALSE&amp;VAR:CALENDAR=US&amp;VAR:SYMBOL=RVBD&amp;VAR:INDEX=0"}</definedName>
    <definedName name="_3255__FDSAUDITLINK__" localSheetId="3" hidden="1">{"fdsup://directions/FAT Viewer?action=UPDATE&amp;creator=factset&amp;DYN_ARGS=TRUE&amp;DOC_NAME=FAT:FQL_AUDITING_CLIENT_TEMPLATE.FAT&amp;display_string=Audit&amp;VAR:KEY=HYVIRSFQZI&amp;VAR:QUERY=UkdGX1RBWF9SQVRFKEFOTiwwLCwsLCwsTk9BVURJVCk=&amp;WINDOW=FIRST_POPUP&amp;HEIGHT=450&amp;WIDTH=450&amp;","START_MAXIMIZED=FALSE&amp;VAR:CALENDAR=US&amp;VAR:SYMBOL=ROVI&amp;VAR:INDEX=0"}</definedName>
    <definedName name="_3255__FDSAUDITLINK__" localSheetId="7" hidden="1">{"fdsup://directions/FAT Viewer?action=UPDATE&amp;creator=factset&amp;DYN_ARGS=TRUE&amp;DOC_NAME=FAT:FQL_AUDITING_CLIENT_TEMPLATE.FAT&amp;display_string=Audit&amp;VAR:KEY=HYVIRSFQZI&amp;VAR:QUERY=UkdGX1RBWF9SQVRFKEFOTiwwLCwsLCwsTk9BVURJVCk=&amp;WINDOW=FIRST_POPUP&amp;HEIGHT=450&amp;WIDTH=450&amp;","START_MAXIMIZED=FALSE&amp;VAR:CALENDAR=US&amp;VAR:SYMBOL=ROVI&amp;VAR:INDEX=0"}</definedName>
    <definedName name="_3255__FDSAUDITLINK__" hidden="1">{"fdsup://directions/FAT Viewer?action=UPDATE&amp;creator=factset&amp;DYN_ARGS=TRUE&amp;DOC_NAME=FAT:FQL_AUDITING_CLIENT_TEMPLATE.FAT&amp;display_string=Audit&amp;VAR:KEY=HYVIRSFQZI&amp;VAR:QUERY=UkdGX1RBWF9SQVRFKEFOTiwwLCwsLCwsTk9BVURJVCk=&amp;WINDOW=FIRST_POPUP&amp;HEIGHT=450&amp;WIDTH=450&amp;","START_MAXIMIZED=FALSE&amp;VAR:CALENDAR=US&amp;VAR:SYMBOL=ROVI&amp;VAR:INDEX=0"}</definedName>
    <definedName name="_3256__FDSAUDITLINK__" localSheetId="3" hidden="1">{"fdsup://directions/FAT Viewer?action=UPDATE&amp;creator=factset&amp;DYN_ARGS=TRUE&amp;DOC_NAME=FAT:FQL_AUDITING_CLIENT_TEMPLATE.FAT&amp;display_string=Audit&amp;VAR:KEY=HYVIRSFQZI&amp;VAR:QUERY=UkdGX1RBWF9SQVRFKEFOTiwwLCwsLCwsTk9BVURJVCk=&amp;WINDOW=FIRST_POPUP&amp;HEIGHT=450&amp;WIDTH=450&amp;","START_MAXIMIZED=FALSE&amp;VAR:CALENDAR=US&amp;VAR:SYMBOL=ROVI&amp;VAR:INDEX=0"}</definedName>
    <definedName name="_3256__FDSAUDITLINK__" localSheetId="7" hidden="1">{"fdsup://directions/FAT Viewer?action=UPDATE&amp;creator=factset&amp;DYN_ARGS=TRUE&amp;DOC_NAME=FAT:FQL_AUDITING_CLIENT_TEMPLATE.FAT&amp;display_string=Audit&amp;VAR:KEY=HYVIRSFQZI&amp;VAR:QUERY=UkdGX1RBWF9SQVRFKEFOTiwwLCwsLCwsTk9BVURJVCk=&amp;WINDOW=FIRST_POPUP&amp;HEIGHT=450&amp;WIDTH=450&amp;","START_MAXIMIZED=FALSE&amp;VAR:CALENDAR=US&amp;VAR:SYMBOL=ROVI&amp;VAR:INDEX=0"}</definedName>
    <definedName name="_3256__FDSAUDITLINK__" hidden="1">{"fdsup://directions/FAT Viewer?action=UPDATE&amp;creator=factset&amp;DYN_ARGS=TRUE&amp;DOC_NAME=FAT:FQL_AUDITING_CLIENT_TEMPLATE.FAT&amp;display_string=Audit&amp;VAR:KEY=HYVIRSFQZI&amp;VAR:QUERY=UkdGX1RBWF9SQVRFKEFOTiwwLCwsLCwsTk9BVURJVCk=&amp;WINDOW=FIRST_POPUP&amp;HEIGHT=450&amp;WIDTH=450&amp;","START_MAXIMIZED=FALSE&amp;VAR:CALENDAR=US&amp;VAR:SYMBOL=ROVI&amp;VAR:INDEX=0"}</definedName>
    <definedName name="_3257__FDSAUDITLINK__" localSheetId="3" hidden="1">{"fdsup://directions/FAT Viewer?action=UPDATE&amp;creator=factset&amp;DYN_ARGS=TRUE&amp;DOC_NAME=FAT:FQL_AUDITING_CLIENT_TEMPLATE.FAT&amp;display_string=Audit&amp;VAR:KEY=TIHSHKTATY&amp;VAR:QUERY=UkdGX1RBWF9SQVRFKEFOTiwwLCwsLCwsTk9BVURJVCk=&amp;WINDOW=FIRST_POPUP&amp;HEIGHT=450&amp;WIDTH=450&amp;","START_MAXIMIZED=FALSE&amp;VAR:CALENDAR=US&amp;VAR:SYMBOL=RNWK&amp;VAR:INDEX=0"}</definedName>
    <definedName name="_3257__FDSAUDITLINK__" localSheetId="7" hidden="1">{"fdsup://directions/FAT Viewer?action=UPDATE&amp;creator=factset&amp;DYN_ARGS=TRUE&amp;DOC_NAME=FAT:FQL_AUDITING_CLIENT_TEMPLATE.FAT&amp;display_string=Audit&amp;VAR:KEY=TIHSHKTATY&amp;VAR:QUERY=UkdGX1RBWF9SQVRFKEFOTiwwLCwsLCwsTk9BVURJVCk=&amp;WINDOW=FIRST_POPUP&amp;HEIGHT=450&amp;WIDTH=450&amp;","START_MAXIMIZED=FALSE&amp;VAR:CALENDAR=US&amp;VAR:SYMBOL=RNWK&amp;VAR:INDEX=0"}</definedName>
    <definedName name="_3257__FDSAUDITLINK__" hidden="1">{"fdsup://directions/FAT Viewer?action=UPDATE&amp;creator=factset&amp;DYN_ARGS=TRUE&amp;DOC_NAME=FAT:FQL_AUDITING_CLIENT_TEMPLATE.FAT&amp;display_string=Audit&amp;VAR:KEY=TIHSHKTATY&amp;VAR:QUERY=UkdGX1RBWF9SQVRFKEFOTiwwLCwsLCwsTk9BVURJVCk=&amp;WINDOW=FIRST_POPUP&amp;HEIGHT=450&amp;WIDTH=450&amp;","START_MAXIMIZED=FALSE&amp;VAR:CALENDAR=US&amp;VAR:SYMBOL=RNWK&amp;VAR:INDEX=0"}</definedName>
    <definedName name="_3258__FDSAUDITLINK__" localSheetId="3" hidden="1">{"fdsup://directions/FAT Viewer?action=UPDATE&amp;creator=factset&amp;DYN_ARGS=TRUE&amp;DOC_NAME=FAT:FQL_AUDITING_CLIENT_TEMPLATE.FAT&amp;display_string=Audit&amp;VAR:KEY=BWVMRGPKLG&amp;VAR:QUERY=UkdGX1RBWF9SQVRFKEFOTiwwLCwsLCwsTk9BVURJVCk=&amp;WINDOW=FIRST_POPUP&amp;HEIGHT=450&amp;WIDTH=450&amp;","START_MAXIMIZED=FALSE&amp;VAR:CALENDAR=US&amp;VAR:SYMBOL=RNOW&amp;VAR:INDEX=0"}</definedName>
    <definedName name="_3258__FDSAUDITLINK__" localSheetId="7" hidden="1">{"fdsup://directions/FAT Viewer?action=UPDATE&amp;creator=factset&amp;DYN_ARGS=TRUE&amp;DOC_NAME=FAT:FQL_AUDITING_CLIENT_TEMPLATE.FAT&amp;display_string=Audit&amp;VAR:KEY=BWVMRGPKLG&amp;VAR:QUERY=UkdGX1RBWF9SQVRFKEFOTiwwLCwsLCwsTk9BVURJVCk=&amp;WINDOW=FIRST_POPUP&amp;HEIGHT=450&amp;WIDTH=450&amp;","START_MAXIMIZED=FALSE&amp;VAR:CALENDAR=US&amp;VAR:SYMBOL=RNOW&amp;VAR:INDEX=0"}</definedName>
    <definedName name="_3258__FDSAUDITLINK__" hidden="1">{"fdsup://directions/FAT Viewer?action=UPDATE&amp;creator=factset&amp;DYN_ARGS=TRUE&amp;DOC_NAME=FAT:FQL_AUDITING_CLIENT_TEMPLATE.FAT&amp;display_string=Audit&amp;VAR:KEY=BWVMRGPKLG&amp;VAR:QUERY=UkdGX1RBWF9SQVRFKEFOTiwwLCwsLCwsTk9BVURJVCk=&amp;WINDOW=FIRST_POPUP&amp;HEIGHT=450&amp;WIDTH=450&amp;","START_MAXIMIZED=FALSE&amp;VAR:CALENDAR=US&amp;VAR:SYMBOL=RNOW&amp;VAR:INDEX=0"}</definedName>
    <definedName name="_3259__FDSAUDITLINK__" localSheetId="3" hidden="1">{"fdsup://directions/FAT Viewer?action=UPDATE&amp;creator=factset&amp;DYN_ARGS=TRUE&amp;DOC_NAME=FAT:FQL_AUDITING_CLIENT_TEMPLATE.FAT&amp;display_string=Audit&amp;VAR:KEY=BWVMRGPKLG&amp;VAR:QUERY=UkdGX1RBWF9SQVRFKEFOTiwwLCwsLCwsTk9BVURJVCk=&amp;WINDOW=FIRST_POPUP&amp;HEIGHT=450&amp;WIDTH=450&amp;","START_MAXIMIZED=FALSE&amp;VAR:CALENDAR=US&amp;VAR:SYMBOL=RNOW&amp;VAR:INDEX=0"}</definedName>
    <definedName name="_3259__FDSAUDITLINK__" localSheetId="7" hidden="1">{"fdsup://directions/FAT Viewer?action=UPDATE&amp;creator=factset&amp;DYN_ARGS=TRUE&amp;DOC_NAME=FAT:FQL_AUDITING_CLIENT_TEMPLATE.FAT&amp;display_string=Audit&amp;VAR:KEY=BWVMRGPKLG&amp;VAR:QUERY=UkdGX1RBWF9SQVRFKEFOTiwwLCwsLCwsTk9BVURJVCk=&amp;WINDOW=FIRST_POPUP&amp;HEIGHT=450&amp;WIDTH=450&amp;","START_MAXIMIZED=FALSE&amp;VAR:CALENDAR=US&amp;VAR:SYMBOL=RNOW&amp;VAR:INDEX=0"}</definedName>
    <definedName name="_3259__FDSAUDITLINK__" hidden="1">{"fdsup://directions/FAT Viewer?action=UPDATE&amp;creator=factset&amp;DYN_ARGS=TRUE&amp;DOC_NAME=FAT:FQL_AUDITING_CLIENT_TEMPLATE.FAT&amp;display_string=Audit&amp;VAR:KEY=BWVMRGPKLG&amp;VAR:QUERY=UkdGX1RBWF9SQVRFKEFOTiwwLCwsLCwsTk9BVURJVCk=&amp;WINDOW=FIRST_POPUP&amp;HEIGHT=450&amp;WIDTH=450&amp;","START_MAXIMIZED=FALSE&amp;VAR:CALENDAR=US&amp;VAR:SYMBOL=RNOW&amp;VAR:INDEX=0"}</definedName>
    <definedName name="_3260__FDSAUDITLINK__" localSheetId="3" hidden="1">{"fdsup://directions/FAT Viewer?action=UPDATE&amp;creator=factset&amp;DYN_ARGS=TRUE&amp;DOC_NAME=FAT:FQL_AUDITING_CLIENT_TEMPLATE.FAT&amp;display_string=Audit&amp;VAR:KEY=PAHYZWFIDK&amp;VAR:QUERY=UkdGX1RBWF9SQVRFKEFOTiwwLCwsLCwsTk9BVURJVCk=&amp;WINDOW=FIRST_POPUP&amp;HEIGHT=450&amp;WIDTH=450&amp;","START_MAXIMIZED=FALSE&amp;VAR:CALENDAR=US&amp;VAR:SYMBOL=RLD&amp;VAR:INDEX=0"}</definedName>
    <definedName name="_3260__FDSAUDITLINK__" localSheetId="7" hidden="1">{"fdsup://directions/FAT Viewer?action=UPDATE&amp;creator=factset&amp;DYN_ARGS=TRUE&amp;DOC_NAME=FAT:FQL_AUDITING_CLIENT_TEMPLATE.FAT&amp;display_string=Audit&amp;VAR:KEY=PAHYZWFIDK&amp;VAR:QUERY=UkdGX1RBWF9SQVRFKEFOTiwwLCwsLCwsTk9BVURJVCk=&amp;WINDOW=FIRST_POPUP&amp;HEIGHT=450&amp;WIDTH=450&amp;","START_MAXIMIZED=FALSE&amp;VAR:CALENDAR=US&amp;VAR:SYMBOL=RLD&amp;VAR:INDEX=0"}</definedName>
    <definedName name="_3260__FDSAUDITLINK__" hidden="1">{"fdsup://directions/FAT Viewer?action=UPDATE&amp;creator=factset&amp;DYN_ARGS=TRUE&amp;DOC_NAME=FAT:FQL_AUDITING_CLIENT_TEMPLATE.FAT&amp;display_string=Audit&amp;VAR:KEY=PAHYZWFIDK&amp;VAR:QUERY=UkdGX1RBWF9SQVRFKEFOTiwwLCwsLCwsTk9BVURJVCk=&amp;WINDOW=FIRST_POPUP&amp;HEIGHT=450&amp;WIDTH=450&amp;","START_MAXIMIZED=FALSE&amp;VAR:CALENDAR=US&amp;VAR:SYMBOL=RLD&amp;VAR:INDEX=0"}</definedName>
    <definedName name="_3261__FDSAUDITLINK__" localSheetId="3" hidden="1">{"fdsup://directions/FAT Viewer?action=UPDATE&amp;creator=factset&amp;DYN_ARGS=TRUE&amp;DOC_NAME=FAT:FQL_AUDITING_CLIENT_TEMPLATE.FAT&amp;display_string=Audit&amp;VAR:KEY=PQNSZSLYBW&amp;VAR:QUERY=UkdGX1RBWF9SQVRFKEFOTiwwLCwsLCwsTk9BVURJVCk=&amp;WINDOW=FIRST_POPUP&amp;HEIGHT=450&amp;WIDTH=450&amp;","START_MAXIMIZED=FALSE&amp;VAR:CALENDAR=US&amp;VAR:SYMBOL=RIMM&amp;VAR:INDEX=0"}</definedName>
    <definedName name="_3261__FDSAUDITLINK__" localSheetId="7" hidden="1">{"fdsup://directions/FAT Viewer?action=UPDATE&amp;creator=factset&amp;DYN_ARGS=TRUE&amp;DOC_NAME=FAT:FQL_AUDITING_CLIENT_TEMPLATE.FAT&amp;display_string=Audit&amp;VAR:KEY=PQNSZSLYBW&amp;VAR:QUERY=UkdGX1RBWF9SQVRFKEFOTiwwLCwsLCwsTk9BVURJVCk=&amp;WINDOW=FIRST_POPUP&amp;HEIGHT=450&amp;WIDTH=450&amp;","START_MAXIMIZED=FALSE&amp;VAR:CALENDAR=US&amp;VAR:SYMBOL=RIMM&amp;VAR:INDEX=0"}</definedName>
    <definedName name="_3261__FDSAUDITLINK__" hidden="1">{"fdsup://directions/FAT Viewer?action=UPDATE&amp;creator=factset&amp;DYN_ARGS=TRUE&amp;DOC_NAME=FAT:FQL_AUDITING_CLIENT_TEMPLATE.FAT&amp;display_string=Audit&amp;VAR:KEY=PQNSZSLYBW&amp;VAR:QUERY=UkdGX1RBWF9SQVRFKEFOTiwwLCwsLCwsTk9BVURJVCk=&amp;WINDOW=FIRST_POPUP&amp;HEIGHT=450&amp;WIDTH=450&amp;","START_MAXIMIZED=FALSE&amp;VAR:CALENDAR=US&amp;VAR:SYMBOL=RIMM&amp;VAR:INDEX=0"}</definedName>
    <definedName name="_3262__FDSAUDITLINK__" localSheetId="3" hidden="1">{"fdsup://directions/FAT Viewer?action=UPDATE&amp;creator=factset&amp;DYN_ARGS=TRUE&amp;DOC_NAME=FAT:FQL_AUDITING_CLIENT_TEMPLATE.FAT&amp;display_string=Audit&amp;VAR:KEY=PQNSZSLYBW&amp;VAR:QUERY=UkdGX1RBWF9SQVRFKEFOTiwwLCwsLCwsTk9BVURJVCk=&amp;WINDOW=FIRST_POPUP&amp;HEIGHT=450&amp;WIDTH=450&amp;","START_MAXIMIZED=FALSE&amp;VAR:CALENDAR=US&amp;VAR:SYMBOL=RIMM&amp;VAR:INDEX=0"}</definedName>
    <definedName name="_3262__FDSAUDITLINK__" localSheetId="7" hidden="1">{"fdsup://directions/FAT Viewer?action=UPDATE&amp;creator=factset&amp;DYN_ARGS=TRUE&amp;DOC_NAME=FAT:FQL_AUDITING_CLIENT_TEMPLATE.FAT&amp;display_string=Audit&amp;VAR:KEY=PQNSZSLYBW&amp;VAR:QUERY=UkdGX1RBWF9SQVRFKEFOTiwwLCwsLCwsTk9BVURJVCk=&amp;WINDOW=FIRST_POPUP&amp;HEIGHT=450&amp;WIDTH=450&amp;","START_MAXIMIZED=FALSE&amp;VAR:CALENDAR=US&amp;VAR:SYMBOL=RIMM&amp;VAR:INDEX=0"}</definedName>
    <definedName name="_3262__FDSAUDITLINK__" hidden="1">{"fdsup://directions/FAT Viewer?action=UPDATE&amp;creator=factset&amp;DYN_ARGS=TRUE&amp;DOC_NAME=FAT:FQL_AUDITING_CLIENT_TEMPLATE.FAT&amp;display_string=Audit&amp;VAR:KEY=PQNSZSLYBW&amp;VAR:QUERY=UkdGX1RBWF9SQVRFKEFOTiwwLCwsLCwsTk9BVURJVCk=&amp;WINDOW=FIRST_POPUP&amp;HEIGHT=450&amp;WIDTH=450&amp;","START_MAXIMIZED=FALSE&amp;VAR:CALENDAR=US&amp;VAR:SYMBOL=RIMM&amp;VAR:INDEX=0"}</definedName>
    <definedName name="_3263__FDSAUDITLINK__" localSheetId="3" hidden="1">{"fdsup://directions/FAT Viewer?action=UPDATE&amp;creator=factset&amp;DYN_ARGS=TRUE&amp;DOC_NAME=FAT:FQL_AUDITING_CLIENT_TEMPLATE.FAT&amp;display_string=Audit&amp;VAR:KEY=BMDEFAVKNQ&amp;VAR:QUERY=UkdGX1RBWF9SQVRFKEFOTiwwLCwsLCwsTk9BVURJVCk=&amp;WINDOW=FIRST_POPUP&amp;HEIGHT=450&amp;WIDTH=450&amp;","START_MAXIMIZED=FALSE&amp;VAR:CALENDAR=US&amp;VAR:SYMBOL=RHT&amp;VAR:INDEX=0"}</definedName>
    <definedName name="_3263__FDSAUDITLINK__" localSheetId="7" hidden="1">{"fdsup://directions/FAT Viewer?action=UPDATE&amp;creator=factset&amp;DYN_ARGS=TRUE&amp;DOC_NAME=FAT:FQL_AUDITING_CLIENT_TEMPLATE.FAT&amp;display_string=Audit&amp;VAR:KEY=BMDEFAVKNQ&amp;VAR:QUERY=UkdGX1RBWF9SQVRFKEFOTiwwLCwsLCwsTk9BVURJVCk=&amp;WINDOW=FIRST_POPUP&amp;HEIGHT=450&amp;WIDTH=450&amp;","START_MAXIMIZED=FALSE&amp;VAR:CALENDAR=US&amp;VAR:SYMBOL=RHT&amp;VAR:INDEX=0"}</definedName>
    <definedName name="_3263__FDSAUDITLINK__" hidden="1">{"fdsup://directions/FAT Viewer?action=UPDATE&amp;creator=factset&amp;DYN_ARGS=TRUE&amp;DOC_NAME=FAT:FQL_AUDITING_CLIENT_TEMPLATE.FAT&amp;display_string=Audit&amp;VAR:KEY=BMDEFAVKNQ&amp;VAR:QUERY=UkdGX1RBWF9SQVRFKEFOTiwwLCwsLCwsTk9BVURJVCk=&amp;WINDOW=FIRST_POPUP&amp;HEIGHT=450&amp;WIDTH=450&amp;","START_MAXIMIZED=FALSE&amp;VAR:CALENDAR=US&amp;VAR:SYMBOL=RHT&amp;VAR:INDEX=0"}</definedName>
    <definedName name="_3264__FDSAUDITLINK__" localSheetId="3" hidden="1">{"fdsup://directions/FAT Viewer?action=UPDATE&amp;creator=factset&amp;DYN_ARGS=TRUE&amp;DOC_NAME=FAT:FQL_AUDITING_CLIENT_TEMPLATE.FAT&amp;display_string=Audit&amp;VAR:KEY=BMDEFAVKNQ&amp;VAR:QUERY=UkdGX1RBWF9SQVRFKEFOTiwwLCwsLCwsTk9BVURJVCk=&amp;WINDOW=FIRST_POPUP&amp;HEIGHT=450&amp;WIDTH=450&amp;","START_MAXIMIZED=FALSE&amp;VAR:CALENDAR=US&amp;VAR:SYMBOL=RHT&amp;VAR:INDEX=0"}</definedName>
    <definedName name="_3264__FDSAUDITLINK__" localSheetId="7" hidden="1">{"fdsup://directions/FAT Viewer?action=UPDATE&amp;creator=factset&amp;DYN_ARGS=TRUE&amp;DOC_NAME=FAT:FQL_AUDITING_CLIENT_TEMPLATE.FAT&amp;display_string=Audit&amp;VAR:KEY=BMDEFAVKNQ&amp;VAR:QUERY=UkdGX1RBWF9SQVRFKEFOTiwwLCwsLCwsTk9BVURJVCk=&amp;WINDOW=FIRST_POPUP&amp;HEIGHT=450&amp;WIDTH=450&amp;","START_MAXIMIZED=FALSE&amp;VAR:CALENDAR=US&amp;VAR:SYMBOL=RHT&amp;VAR:INDEX=0"}</definedName>
    <definedName name="_3264__FDSAUDITLINK__" hidden="1">{"fdsup://directions/FAT Viewer?action=UPDATE&amp;creator=factset&amp;DYN_ARGS=TRUE&amp;DOC_NAME=FAT:FQL_AUDITING_CLIENT_TEMPLATE.FAT&amp;display_string=Audit&amp;VAR:KEY=BMDEFAVKNQ&amp;VAR:QUERY=UkdGX1RBWF9SQVRFKEFOTiwwLCwsLCwsTk9BVURJVCk=&amp;WINDOW=FIRST_POPUP&amp;HEIGHT=450&amp;WIDTH=450&amp;","START_MAXIMIZED=FALSE&amp;VAR:CALENDAR=US&amp;VAR:SYMBOL=RHT&amp;VAR:INDEX=0"}</definedName>
    <definedName name="_3265__FDSAUDITLINK__" localSheetId="3" hidden="1">{"fdsup://directions/FAT Viewer?action=UPDATE&amp;creator=factset&amp;DYN_ARGS=TRUE&amp;DOC_NAME=FAT:FQL_AUDITING_CLIENT_TEMPLATE.FAT&amp;display_string=Audit&amp;VAR:KEY=DSREJCVMTQ&amp;VAR:QUERY=UkdGX1RBWF9SQVRFKEFOTiwwLCwsLCwsTk9BVURJVCk=&amp;WINDOW=FIRST_POPUP&amp;HEIGHT=450&amp;WIDTH=450&amp;","START_MAXIMIZED=FALSE&amp;VAR:CALENDAR=US&amp;VAR:SYMBOL=RP&amp;VAR:INDEX=0"}</definedName>
    <definedName name="_3265__FDSAUDITLINK__" localSheetId="7" hidden="1">{"fdsup://directions/FAT Viewer?action=UPDATE&amp;creator=factset&amp;DYN_ARGS=TRUE&amp;DOC_NAME=FAT:FQL_AUDITING_CLIENT_TEMPLATE.FAT&amp;display_string=Audit&amp;VAR:KEY=DSREJCVMTQ&amp;VAR:QUERY=UkdGX1RBWF9SQVRFKEFOTiwwLCwsLCwsTk9BVURJVCk=&amp;WINDOW=FIRST_POPUP&amp;HEIGHT=450&amp;WIDTH=450&amp;","START_MAXIMIZED=FALSE&amp;VAR:CALENDAR=US&amp;VAR:SYMBOL=RP&amp;VAR:INDEX=0"}</definedName>
    <definedName name="_3265__FDSAUDITLINK__" hidden="1">{"fdsup://directions/FAT Viewer?action=UPDATE&amp;creator=factset&amp;DYN_ARGS=TRUE&amp;DOC_NAME=FAT:FQL_AUDITING_CLIENT_TEMPLATE.FAT&amp;display_string=Audit&amp;VAR:KEY=DSREJCVMTQ&amp;VAR:QUERY=UkdGX1RBWF9SQVRFKEFOTiwwLCwsLCwsTk9BVURJVCk=&amp;WINDOW=FIRST_POPUP&amp;HEIGHT=450&amp;WIDTH=450&amp;","START_MAXIMIZED=FALSE&amp;VAR:CALENDAR=US&amp;VAR:SYMBOL=RP&amp;VAR:INDEX=0"}</definedName>
    <definedName name="_3266__FDSAUDITLINK__" localSheetId="3" hidden="1">{"fdsup://directions/FAT Viewer?action=UPDATE&amp;creator=factset&amp;DYN_ARGS=TRUE&amp;DOC_NAME=FAT:FQL_AUDITING_CLIENT_TEMPLATE.FAT&amp;display_string=Audit&amp;VAR:KEY=DSREJCVMTQ&amp;VAR:QUERY=UkdGX1RBWF9SQVRFKEFOTiwwLCwsLCwsTk9BVURJVCk=&amp;WINDOW=FIRST_POPUP&amp;HEIGHT=450&amp;WIDTH=450&amp;","START_MAXIMIZED=FALSE&amp;VAR:CALENDAR=US&amp;VAR:SYMBOL=RP&amp;VAR:INDEX=0"}</definedName>
    <definedName name="_3266__FDSAUDITLINK__" localSheetId="7" hidden="1">{"fdsup://directions/FAT Viewer?action=UPDATE&amp;creator=factset&amp;DYN_ARGS=TRUE&amp;DOC_NAME=FAT:FQL_AUDITING_CLIENT_TEMPLATE.FAT&amp;display_string=Audit&amp;VAR:KEY=DSREJCVMTQ&amp;VAR:QUERY=UkdGX1RBWF9SQVRFKEFOTiwwLCwsLCwsTk9BVURJVCk=&amp;WINDOW=FIRST_POPUP&amp;HEIGHT=450&amp;WIDTH=450&amp;","START_MAXIMIZED=FALSE&amp;VAR:CALENDAR=US&amp;VAR:SYMBOL=RP&amp;VAR:INDEX=0"}</definedName>
    <definedName name="_3266__FDSAUDITLINK__" hidden="1">{"fdsup://directions/FAT Viewer?action=UPDATE&amp;creator=factset&amp;DYN_ARGS=TRUE&amp;DOC_NAME=FAT:FQL_AUDITING_CLIENT_TEMPLATE.FAT&amp;display_string=Audit&amp;VAR:KEY=DSREJCVMTQ&amp;VAR:QUERY=UkdGX1RBWF9SQVRFKEFOTiwwLCwsLCwsTk9BVURJVCk=&amp;WINDOW=FIRST_POPUP&amp;HEIGHT=450&amp;WIDTH=450&amp;","START_MAXIMIZED=FALSE&amp;VAR:CALENDAR=US&amp;VAR:SYMBOL=RP&amp;VAR:INDEX=0"}</definedName>
    <definedName name="_3267__FDSAUDITLINK__" localSheetId="3" hidden="1">{"fdsup://directions/FAT Viewer?action=UPDATE&amp;creator=factset&amp;DYN_ARGS=TRUE&amp;DOC_NAME=FAT:FQL_AUDITING_CLIENT_TEMPLATE.FAT&amp;display_string=Audit&amp;VAR:KEY=XKRKPGBIBU&amp;VAR:QUERY=UkdGX1RBWF9SQVRFKEFOTiwwLCwsLCwsTk9BVURJVCk=&amp;WINDOW=FIRST_POPUP&amp;HEIGHT=450&amp;WIDTH=450&amp;","START_MAXIMIZED=FALSE&amp;VAR:CALENDAR=US&amp;VAR:SYMBOL=RDWR&amp;VAR:INDEX=0"}</definedName>
    <definedName name="_3267__FDSAUDITLINK__" localSheetId="7" hidden="1">{"fdsup://directions/FAT Viewer?action=UPDATE&amp;creator=factset&amp;DYN_ARGS=TRUE&amp;DOC_NAME=FAT:FQL_AUDITING_CLIENT_TEMPLATE.FAT&amp;display_string=Audit&amp;VAR:KEY=XKRKPGBIBU&amp;VAR:QUERY=UkdGX1RBWF9SQVRFKEFOTiwwLCwsLCwsTk9BVURJVCk=&amp;WINDOW=FIRST_POPUP&amp;HEIGHT=450&amp;WIDTH=450&amp;","START_MAXIMIZED=FALSE&amp;VAR:CALENDAR=US&amp;VAR:SYMBOL=RDWR&amp;VAR:INDEX=0"}</definedName>
    <definedName name="_3267__FDSAUDITLINK__" hidden="1">{"fdsup://directions/FAT Viewer?action=UPDATE&amp;creator=factset&amp;DYN_ARGS=TRUE&amp;DOC_NAME=FAT:FQL_AUDITING_CLIENT_TEMPLATE.FAT&amp;display_string=Audit&amp;VAR:KEY=XKRKPGBIBU&amp;VAR:QUERY=UkdGX1RBWF9SQVRFKEFOTiwwLCwsLCwsTk9BVURJVCk=&amp;WINDOW=FIRST_POPUP&amp;HEIGHT=450&amp;WIDTH=450&amp;","START_MAXIMIZED=FALSE&amp;VAR:CALENDAR=US&amp;VAR:SYMBOL=RDWR&amp;VAR:INDEX=0"}</definedName>
    <definedName name="_3268__FDSAUDITLINK__" localSheetId="3" hidden="1">{"fdsup://directions/FAT Viewer?action=UPDATE&amp;creator=factset&amp;DYN_ARGS=TRUE&amp;DOC_NAME=FAT:FQL_AUDITING_CLIENT_TEMPLATE.FAT&amp;display_string=Audit&amp;VAR:KEY=XKRKPGBIBU&amp;VAR:QUERY=UkdGX1RBWF9SQVRFKEFOTiwwLCwsLCwsTk9BVURJVCk=&amp;WINDOW=FIRST_POPUP&amp;HEIGHT=450&amp;WIDTH=450&amp;","START_MAXIMIZED=FALSE&amp;VAR:CALENDAR=US&amp;VAR:SYMBOL=RDWR&amp;VAR:INDEX=0"}</definedName>
    <definedName name="_3268__FDSAUDITLINK__" localSheetId="7" hidden="1">{"fdsup://directions/FAT Viewer?action=UPDATE&amp;creator=factset&amp;DYN_ARGS=TRUE&amp;DOC_NAME=FAT:FQL_AUDITING_CLIENT_TEMPLATE.FAT&amp;display_string=Audit&amp;VAR:KEY=XKRKPGBIBU&amp;VAR:QUERY=UkdGX1RBWF9SQVRFKEFOTiwwLCwsLCwsTk9BVURJVCk=&amp;WINDOW=FIRST_POPUP&amp;HEIGHT=450&amp;WIDTH=450&amp;","START_MAXIMIZED=FALSE&amp;VAR:CALENDAR=US&amp;VAR:SYMBOL=RDWR&amp;VAR:INDEX=0"}</definedName>
    <definedName name="_3268__FDSAUDITLINK__" hidden="1">{"fdsup://directions/FAT Viewer?action=UPDATE&amp;creator=factset&amp;DYN_ARGS=TRUE&amp;DOC_NAME=FAT:FQL_AUDITING_CLIENT_TEMPLATE.FAT&amp;display_string=Audit&amp;VAR:KEY=XKRKPGBIBU&amp;VAR:QUERY=UkdGX1RBWF9SQVRFKEFOTiwwLCwsLCwsTk9BVURJVCk=&amp;WINDOW=FIRST_POPUP&amp;HEIGHT=450&amp;WIDTH=450&amp;","START_MAXIMIZED=FALSE&amp;VAR:CALENDAR=US&amp;VAR:SYMBOL=RDWR&amp;VAR:INDEX=0"}</definedName>
    <definedName name="_3269__FDSAUDITLINK__" localSheetId="3" hidden="1">{"fdsup://directions/FAT Viewer?action=UPDATE&amp;creator=factset&amp;DYN_ARGS=TRUE&amp;DOC_NAME=FAT:FQL_AUDITING_CLIENT_TEMPLATE.FAT&amp;display_string=Audit&amp;VAR:KEY=NCFOZINARO&amp;VAR:QUERY=UkdGX1RBWF9SQVRFKEFOTiwwLCwsLCwsTk9BVURJVCk=&amp;WINDOW=FIRST_POPUP&amp;HEIGHT=450&amp;WIDTH=450&amp;","START_MAXIMIZED=FALSE&amp;VAR:CALENDAR=US&amp;VAR:SYMBOL=RAX&amp;VAR:INDEX=0"}</definedName>
    <definedName name="_3269__FDSAUDITLINK__" localSheetId="7" hidden="1">{"fdsup://directions/FAT Viewer?action=UPDATE&amp;creator=factset&amp;DYN_ARGS=TRUE&amp;DOC_NAME=FAT:FQL_AUDITING_CLIENT_TEMPLATE.FAT&amp;display_string=Audit&amp;VAR:KEY=NCFOZINARO&amp;VAR:QUERY=UkdGX1RBWF9SQVRFKEFOTiwwLCwsLCwsTk9BVURJVCk=&amp;WINDOW=FIRST_POPUP&amp;HEIGHT=450&amp;WIDTH=450&amp;","START_MAXIMIZED=FALSE&amp;VAR:CALENDAR=US&amp;VAR:SYMBOL=RAX&amp;VAR:INDEX=0"}</definedName>
    <definedName name="_3269__FDSAUDITLINK__" hidden="1">{"fdsup://directions/FAT Viewer?action=UPDATE&amp;creator=factset&amp;DYN_ARGS=TRUE&amp;DOC_NAME=FAT:FQL_AUDITING_CLIENT_TEMPLATE.FAT&amp;display_string=Audit&amp;VAR:KEY=NCFOZINARO&amp;VAR:QUERY=UkdGX1RBWF9SQVRFKEFOTiwwLCwsLCwsTk9BVURJVCk=&amp;WINDOW=FIRST_POPUP&amp;HEIGHT=450&amp;WIDTH=450&amp;","START_MAXIMIZED=FALSE&amp;VAR:CALENDAR=US&amp;VAR:SYMBOL=RAX&amp;VAR:INDEX=0"}</definedName>
    <definedName name="_3270__FDSAUDITLINK__" localSheetId="3" hidden="1">{"fdsup://directions/FAT Viewer?action=UPDATE&amp;creator=factset&amp;DYN_ARGS=TRUE&amp;DOC_NAME=FAT:FQL_AUDITING_CLIENT_TEMPLATE.FAT&amp;display_string=Audit&amp;VAR:KEY=NCFOZINARO&amp;VAR:QUERY=UkdGX1RBWF9SQVRFKEFOTiwwLCwsLCwsTk9BVURJVCk=&amp;WINDOW=FIRST_POPUP&amp;HEIGHT=450&amp;WIDTH=450&amp;","START_MAXIMIZED=FALSE&amp;VAR:CALENDAR=US&amp;VAR:SYMBOL=RAX&amp;VAR:INDEX=0"}</definedName>
    <definedName name="_3270__FDSAUDITLINK__" localSheetId="7" hidden="1">{"fdsup://directions/FAT Viewer?action=UPDATE&amp;creator=factset&amp;DYN_ARGS=TRUE&amp;DOC_NAME=FAT:FQL_AUDITING_CLIENT_TEMPLATE.FAT&amp;display_string=Audit&amp;VAR:KEY=NCFOZINARO&amp;VAR:QUERY=UkdGX1RBWF9SQVRFKEFOTiwwLCwsLCwsTk9BVURJVCk=&amp;WINDOW=FIRST_POPUP&amp;HEIGHT=450&amp;WIDTH=450&amp;","START_MAXIMIZED=FALSE&amp;VAR:CALENDAR=US&amp;VAR:SYMBOL=RAX&amp;VAR:INDEX=0"}</definedName>
    <definedName name="_3270__FDSAUDITLINK__" hidden="1">{"fdsup://directions/FAT Viewer?action=UPDATE&amp;creator=factset&amp;DYN_ARGS=TRUE&amp;DOC_NAME=FAT:FQL_AUDITING_CLIENT_TEMPLATE.FAT&amp;display_string=Audit&amp;VAR:KEY=NCFOZINARO&amp;VAR:QUERY=UkdGX1RBWF9SQVRFKEFOTiwwLCwsLCwsTk9BVURJVCk=&amp;WINDOW=FIRST_POPUP&amp;HEIGHT=450&amp;WIDTH=450&amp;","START_MAXIMIZED=FALSE&amp;VAR:CALENDAR=US&amp;VAR:SYMBOL=RAX&amp;VAR:INDEX=0"}</definedName>
    <definedName name="_3271__FDSAUDITLINK__" localSheetId="3" hidden="1">{"fdsup://directions/FAT Viewer?action=UPDATE&amp;creator=factset&amp;DYN_ARGS=TRUE&amp;DOC_NAME=FAT:FQL_AUDITING_CLIENT_TEMPLATE.FAT&amp;display_string=Audit&amp;VAR:KEY=DAFYZMDCHE&amp;VAR:QUERY=UkdGX1RBWF9SQVRFKEFOTiwwLCwsLCwsTk9BVURJVCk=&amp;WINDOW=FIRST_POPUP&amp;HEIGHT=450&amp;WIDTH=450&amp;","START_MAXIMIZED=FALSE&amp;VAR:CALENDAR=US&amp;VAR:SYMBOL=QLIK&amp;VAR:INDEX=0"}</definedName>
    <definedName name="_3271__FDSAUDITLINK__" localSheetId="7" hidden="1">{"fdsup://directions/FAT Viewer?action=UPDATE&amp;creator=factset&amp;DYN_ARGS=TRUE&amp;DOC_NAME=FAT:FQL_AUDITING_CLIENT_TEMPLATE.FAT&amp;display_string=Audit&amp;VAR:KEY=DAFYZMDCHE&amp;VAR:QUERY=UkdGX1RBWF9SQVRFKEFOTiwwLCwsLCwsTk9BVURJVCk=&amp;WINDOW=FIRST_POPUP&amp;HEIGHT=450&amp;WIDTH=450&amp;","START_MAXIMIZED=FALSE&amp;VAR:CALENDAR=US&amp;VAR:SYMBOL=QLIK&amp;VAR:INDEX=0"}</definedName>
    <definedName name="_3271__FDSAUDITLINK__" hidden="1">{"fdsup://directions/FAT Viewer?action=UPDATE&amp;creator=factset&amp;DYN_ARGS=TRUE&amp;DOC_NAME=FAT:FQL_AUDITING_CLIENT_TEMPLATE.FAT&amp;display_string=Audit&amp;VAR:KEY=DAFYZMDCHE&amp;VAR:QUERY=UkdGX1RBWF9SQVRFKEFOTiwwLCwsLCwsTk9BVURJVCk=&amp;WINDOW=FIRST_POPUP&amp;HEIGHT=450&amp;WIDTH=450&amp;","START_MAXIMIZED=FALSE&amp;VAR:CALENDAR=US&amp;VAR:SYMBOL=QLIK&amp;VAR:INDEX=0"}</definedName>
    <definedName name="_3272__FDSAUDITLINK__" localSheetId="3" hidden="1">{"fdsup://directions/FAT Viewer?action=UPDATE&amp;creator=factset&amp;DYN_ARGS=TRUE&amp;DOC_NAME=FAT:FQL_AUDITING_CLIENT_TEMPLATE.FAT&amp;display_string=Audit&amp;VAR:KEY=DAFYZMDCHE&amp;VAR:QUERY=UkdGX1RBWF9SQVRFKEFOTiwwLCwsLCwsTk9BVURJVCk=&amp;WINDOW=FIRST_POPUP&amp;HEIGHT=450&amp;WIDTH=450&amp;","START_MAXIMIZED=FALSE&amp;VAR:CALENDAR=US&amp;VAR:SYMBOL=QLIK&amp;VAR:INDEX=0"}</definedName>
    <definedName name="_3272__FDSAUDITLINK__" localSheetId="7" hidden="1">{"fdsup://directions/FAT Viewer?action=UPDATE&amp;creator=factset&amp;DYN_ARGS=TRUE&amp;DOC_NAME=FAT:FQL_AUDITING_CLIENT_TEMPLATE.FAT&amp;display_string=Audit&amp;VAR:KEY=DAFYZMDCHE&amp;VAR:QUERY=UkdGX1RBWF9SQVRFKEFOTiwwLCwsLCwsTk9BVURJVCk=&amp;WINDOW=FIRST_POPUP&amp;HEIGHT=450&amp;WIDTH=450&amp;","START_MAXIMIZED=FALSE&amp;VAR:CALENDAR=US&amp;VAR:SYMBOL=QLIK&amp;VAR:INDEX=0"}</definedName>
    <definedName name="_3272__FDSAUDITLINK__" hidden="1">{"fdsup://directions/FAT Viewer?action=UPDATE&amp;creator=factset&amp;DYN_ARGS=TRUE&amp;DOC_NAME=FAT:FQL_AUDITING_CLIENT_TEMPLATE.FAT&amp;display_string=Audit&amp;VAR:KEY=DAFYZMDCHE&amp;VAR:QUERY=UkdGX1RBWF9SQVRFKEFOTiwwLCwsLCwsTk9BVURJVCk=&amp;WINDOW=FIRST_POPUP&amp;HEIGHT=450&amp;WIDTH=450&amp;","START_MAXIMIZED=FALSE&amp;VAR:CALENDAR=US&amp;VAR:SYMBOL=QLIK&amp;VAR:INDEX=0"}</definedName>
    <definedName name="_3273__FDSAUDITLINK__" localSheetId="3" hidden="1">{"fdsup://directions/FAT Viewer?action=UPDATE&amp;creator=factset&amp;DYN_ARGS=TRUE&amp;DOC_NAME=FAT:FQL_AUDITING_CLIENT_TEMPLATE.FAT&amp;display_string=Audit&amp;VAR:KEY=LUBARANOPO&amp;VAR:QUERY=UkdGX1RBWF9SQVRFKEFOTiwwLCwsLCwsTk9BVURJVCk=&amp;WINDOW=FIRST_POPUP&amp;HEIGHT=450&amp;WIDTH=450&amp;","START_MAXIMIZED=FALSE&amp;VAR:CALENDAR=US&amp;VAR:SYMBOL=QNST&amp;VAR:INDEX=0"}</definedName>
    <definedName name="_3273__FDSAUDITLINK__" localSheetId="7" hidden="1">{"fdsup://directions/FAT Viewer?action=UPDATE&amp;creator=factset&amp;DYN_ARGS=TRUE&amp;DOC_NAME=FAT:FQL_AUDITING_CLIENT_TEMPLATE.FAT&amp;display_string=Audit&amp;VAR:KEY=LUBARANOPO&amp;VAR:QUERY=UkdGX1RBWF9SQVRFKEFOTiwwLCwsLCwsTk9BVURJVCk=&amp;WINDOW=FIRST_POPUP&amp;HEIGHT=450&amp;WIDTH=450&amp;","START_MAXIMIZED=FALSE&amp;VAR:CALENDAR=US&amp;VAR:SYMBOL=QNST&amp;VAR:INDEX=0"}</definedName>
    <definedName name="_3273__FDSAUDITLINK__" hidden="1">{"fdsup://directions/FAT Viewer?action=UPDATE&amp;creator=factset&amp;DYN_ARGS=TRUE&amp;DOC_NAME=FAT:FQL_AUDITING_CLIENT_TEMPLATE.FAT&amp;display_string=Audit&amp;VAR:KEY=LUBARANOPO&amp;VAR:QUERY=UkdGX1RBWF9SQVRFKEFOTiwwLCwsLCwsTk9BVURJVCk=&amp;WINDOW=FIRST_POPUP&amp;HEIGHT=450&amp;WIDTH=450&amp;","START_MAXIMIZED=FALSE&amp;VAR:CALENDAR=US&amp;VAR:SYMBOL=QNST&amp;VAR:INDEX=0"}</definedName>
    <definedName name="_3274__FDSAUDITLINK__" localSheetId="3" hidden="1">{"fdsup://directions/FAT Viewer?action=UPDATE&amp;creator=factset&amp;DYN_ARGS=TRUE&amp;DOC_NAME=FAT:FQL_AUDITING_CLIENT_TEMPLATE.FAT&amp;display_string=Audit&amp;VAR:KEY=LUBARANOPO&amp;VAR:QUERY=UkdGX1RBWF9SQVRFKEFOTiwwLCwsLCwsTk9BVURJVCk=&amp;WINDOW=FIRST_POPUP&amp;HEIGHT=450&amp;WIDTH=450&amp;","START_MAXIMIZED=FALSE&amp;VAR:CALENDAR=US&amp;VAR:SYMBOL=QNST&amp;VAR:INDEX=0"}</definedName>
    <definedName name="_3274__FDSAUDITLINK__" localSheetId="7" hidden="1">{"fdsup://directions/FAT Viewer?action=UPDATE&amp;creator=factset&amp;DYN_ARGS=TRUE&amp;DOC_NAME=FAT:FQL_AUDITING_CLIENT_TEMPLATE.FAT&amp;display_string=Audit&amp;VAR:KEY=LUBARANOPO&amp;VAR:QUERY=UkdGX1RBWF9SQVRFKEFOTiwwLCwsLCwsTk9BVURJVCk=&amp;WINDOW=FIRST_POPUP&amp;HEIGHT=450&amp;WIDTH=450&amp;","START_MAXIMIZED=FALSE&amp;VAR:CALENDAR=US&amp;VAR:SYMBOL=QNST&amp;VAR:INDEX=0"}</definedName>
    <definedName name="_3274__FDSAUDITLINK__" hidden="1">{"fdsup://directions/FAT Viewer?action=UPDATE&amp;creator=factset&amp;DYN_ARGS=TRUE&amp;DOC_NAME=FAT:FQL_AUDITING_CLIENT_TEMPLATE.FAT&amp;display_string=Audit&amp;VAR:KEY=LUBARANOPO&amp;VAR:QUERY=UkdGX1RBWF9SQVRFKEFOTiwwLCwsLCwsTk9BVURJVCk=&amp;WINDOW=FIRST_POPUP&amp;HEIGHT=450&amp;WIDTH=450&amp;","START_MAXIMIZED=FALSE&amp;VAR:CALENDAR=US&amp;VAR:SYMBOL=QNST&amp;VAR:INDEX=0"}</definedName>
    <definedName name="_3275__FDSAUDITLINK__" localSheetId="3" hidden="1">{"fdsup://directions/FAT Viewer?action=UPDATE&amp;creator=factset&amp;DYN_ARGS=TRUE&amp;DOC_NAME=FAT:FQL_AUDITING_CLIENT_TEMPLATE.FAT&amp;display_string=Audit&amp;VAR:KEY=BYNKBSFEVQ&amp;VAR:QUERY=UkdGX1RBWF9SQVRFKEFOTiwwLCwsLCwsTk9BVURJVCk=&amp;WINDOW=FIRST_POPUP&amp;HEIGHT=450&amp;WIDTH=450&amp;","START_MAXIMIZED=FALSE&amp;VAR:CALENDAR=US&amp;VAR:SYMBOL=QSFT&amp;VAR:INDEX=0"}</definedName>
    <definedName name="_3275__FDSAUDITLINK__" localSheetId="7" hidden="1">{"fdsup://directions/FAT Viewer?action=UPDATE&amp;creator=factset&amp;DYN_ARGS=TRUE&amp;DOC_NAME=FAT:FQL_AUDITING_CLIENT_TEMPLATE.FAT&amp;display_string=Audit&amp;VAR:KEY=BYNKBSFEVQ&amp;VAR:QUERY=UkdGX1RBWF9SQVRFKEFOTiwwLCwsLCwsTk9BVURJVCk=&amp;WINDOW=FIRST_POPUP&amp;HEIGHT=450&amp;WIDTH=450&amp;","START_MAXIMIZED=FALSE&amp;VAR:CALENDAR=US&amp;VAR:SYMBOL=QSFT&amp;VAR:INDEX=0"}</definedName>
    <definedName name="_3275__FDSAUDITLINK__" hidden="1">{"fdsup://directions/FAT Viewer?action=UPDATE&amp;creator=factset&amp;DYN_ARGS=TRUE&amp;DOC_NAME=FAT:FQL_AUDITING_CLIENT_TEMPLATE.FAT&amp;display_string=Audit&amp;VAR:KEY=BYNKBSFEVQ&amp;VAR:QUERY=UkdGX1RBWF9SQVRFKEFOTiwwLCwsLCwsTk9BVURJVCk=&amp;WINDOW=FIRST_POPUP&amp;HEIGHT=450&amp;WIDTH=450&amp;","START_MAXIMIZED=FALSE&amp;VAR:CALENDAR=US&amp;VAR:SYMBOL=QSFT&amp;VAR:INDEX=0"}</definedName>
    <definedName name="_3276__FDSAUDITLINK__" localSheetId="3" hidden="1">{"fdsup://directions/FAT Viewer?action=UPDATE&amp;creator=factset&amp;DYN_ARGS=TRUE&amp;DOC_NAME=FAT:FQL_AUDITING_CLIENT_TEMPLATE.FAT&amp;display_string=Audit&amp;VAR:KEY=BYNKBSFEVQ&amp;VAR:QUERY=UkdGX1RBWF9SQVRFKEFOTiwwLCwsLCwsTk9BVURJVCk=&amp;WINDOW=FIRST_POPUP&amp;HEIGHT=450&amp;WIDTH=450&amp;","START_MAXIMIZED=FALSE&amp;VAR:CALENDAR=US&amp;VAR:SYMBOL=QSFT&amp;VAR:INDEX=0"}</definedName>
    <definedName name="_3276__FDSAUDITLINK__" localSheetId="7" hidden="1">{"fdsup://directions/FAT Viewer?action=UPDATE&amp;creator=factset&amp;DYN_ARGS=TRUE&amp;DOC_NAME=FAT:FQL_AUDITING_CLIENT_TEMPLATE.FAT&amp;display_string=Audit&amp;VAR:KEY=BYNKBSFEVQ&amp;VAR:QUERY=UkdGX1RBWF9SQVRFKEFOTiwwLCwsLCwsTk9BVURJVCk=&amp;WINDOW=FIRST_POPUP&amp;HEIGHT=450&amp;WIDTH=450&amp;","START_MAXIMIZED=FALSE&amp;VAR:CALENDAR=US&amp;VAR:SYMBOL=QSFT&amp;VAR:INDEX=0"}</definedName>
    <definedName name="_3276__FDSAUDITLINK__" hidden="1">{"fdsup://directions/FAT Viewer?action=UPDATE&amp;creator=factset&amp;DYN_ARGS=TRUE&amp;DOC_NAME=FAT:FQL_AUDITING_CLIENT_TEMPLATE.FAT&amp;display_string=Audit&amp;VAR:KEY=BYNKBSFEVQ&amp;VAR:QUERY=UkdGX1RBWF9SQVRFKEFOTiwwLCwsLCwsTk9BVURJVCk=&amp;WINDOW=FIRST_POPUP&amp;HEIGHT=450&amp;WIDTH=450&amp;","START_MAXIMIZED=FALSE&amp;VAR:CALENDAR=US&amp;VAR:SYMBOL=QSFT&amp;VAR:INDEX=0"}</definedName>
    <definedName name="_3277__FDSAUDITLINK__" localSheetId="3" hidden="1">{"fdsup://directions/FAT Viewer?action=UPDATE&amp;creator=factset&amp;DYN_ARGS=TRUE&amp;DOC_NAME=FAT:FQL_AUDITING_CLIENT_TEMPLATE.FAT&amp;display_string=Audit&amp;VAR:KEY=DSHKHALWTU&amp;VAR:QUERY=UkdGX1RBWF9SQVRFKEFOTiwwLCwsLCwsTk9BVURJVCk=&amp;WINDOW=FIRST_POPUP&amp;HEIGHT=450&amp;WIDTH=450&amp;","START_MAXIMIZED=FALSE&amp;VAR:CALENDAR=US&amp;VAR:SYMBOL=QCOM&amp;VAR:INDEX=0"}</definedName>
    <definedName name="_3277__FDSAUDITLINK__" localSheetId="7" hidden="1">{"fdsup://directions/FAT Viewer?action=UPDATE&amp;creator=factset&amp;DYN_ARGS=TRUE&amp;DOC_NAME=FAT:FQL_AUDITING_CLIENT_TEMPLATE.FAT&amp;display_string=Audit&amp;VAR:KEY=DSHKHALWTU&amp;VAR:QUERY=UkdGX1RBWF9SQVRFKEFOTiwwLCwsLCwsTk9BVURJVCk=&amp;WINDOW=FIRST_POPUP&amp;HEIGHT=450&amp;WIDTH=450&amp;","START_MAXIMIZED=FALSE&amp;VAR:CALENDAR=US&amp;VAR:SYMBOL=QCOM&amp;VAR:INDEX=0"}</definedName>
    <definedName name="_3277__FDSAUDITLINK__" hidden="1">{"fdsup://directions/FAT Viewer?action=UPDATE&amp;creator=factset&amp;DYN_ARGS=TRUE&amp;DOC_NAME=FAT:FQL_AUDITING_CLIENT_TEMPLATE.FAT&amp;display_string=Audit&amp;VAR:KEY=DSHKHALWTU&amp;VAR:QUERY=UkdGX1RBWF9SQVRFKEFOTiwwLCwsLCwsTk9BVURJVCk=&amp;WINDOW=FIRST_POPUP&amp;HEIGHT=450&amp;WIDTH=450&amp;","START_MAXIMIZED=FALSE&amp;VAR:CALENDAR=US&amp;VAR:SYMBOL=QCOM&amp;VAR:INDEX=0"}</definedName>
    <definedName name="_3278__FDSAUDITLINK__" localSheetId="3" hidden="1">{"fdsup://directions/FAT Viewer?action=UPDATE&amp;creator=factset&amp;DYN_ARGS=TRUE&amp;DOC_NAME=FAT:FQL_AUDITING_CLIENT_TEMPLATE.FAT&amp;display_string=Audit&amp;VAR:KEY=DSHKHALWTU&amp;VAR:QUERY=UkdGX1RBWF9SQVRFKEFOTiwwLCwsLCwsTk9BVURJVCk=&amp;WINDOW=FIRST_POPUP&amp;HEIGHT=450&amp;WIDTH=450&amp;","START_MAXIMIZED=FALSE&amp;VAR:CALENDAR=US&amp;VAR:SYMBOL=QCOM&amp;VAR:INDEX=0"}</definedName>
    <definedName name="_3278__FDSAUDITLINK__" localSheetId="7" hidden="1">{"fdsup://directions/FAT Viewer?action=UPDATE&amp;creator=factset&amp;DYN_ARGS=TRUE&amp;DOC_NAME=FAT:FQL_AUDITING_CLIENT_TEMPLATE.FAT&amp;display_string=Audit&amp;VAR:KEY=DSHKHALWTU&amp;VAR:QUERY=UkdGX1RBWF9SQVRFKEFOTiwwLCwsLCwsTk9BVURJVCk=&amp;WINDOW=FIRST_POPUP&amp;HEIGHT=450&amp;WIDTH=450&amp;","START_MAXIMIZED=FALSE&amp;VAR:CALENDAR=US&amp;VAR:SYMBOL=QCOM&amp;VAR:INDEX=0"}</definedName>
    <definedName name="_3278__FDSAUDITLINK__" hidden="1">{"fdsup://directions/FAT Viewer?action=UPDATE&amp;creator=factset&amp;DYN_ARGS=TRUE&amp;DOC_NAME=FAT:FQL_AUDITING_CLIENT_TEMPLATE.FAT&amp;display_string=Audit&amp;VAR:KEY=DSHKHALWTU&amp;VAR:QUERY=UkdGX1RBWF9SQVRFKEFOTiwwLCwsLCwsTk9BVURJVCk=&amp;WINDOW=FIRST_POPUP&amp;HEIGHT=450&amp;WIDTH=450&amp;","START_MAXIMIZED=FALSE&amp;VAR:CALENDAR=US&amp;VAR:SYMBOL=QCOM&amp;VAR:INDEX=0"}</definedName>
    <definedName name="_3279__FDSAUDITLINK__" localSheetId="3" hidden="1">{"fdsup://directions/FAT Viewer?action=UPDATE&amp;creator=factset&amp;DYN_ARGS=TRUE&amp;DOC_NAME=FAT:FQL_AUDITING_CLIENT_TEMPLATE.FAT&amp;display_string=Audit&amp;VAR:KEY=PADKRAVMDS&amp;VAR:QUERY=UkdGX1RBWF9SQVRFKEFOTiwwLCwsLCwsTk9BVURJVCk=&amp;WINDOW=FIRST_POPUP&amp;HEIGHT=450&amp;WIDTH=450&amp;","START_MAXIMIZED=FALSE&amp;VAR:CALENDAR=US&amp;VAR:SYMBOL=QADI&amp;VAR:INDEX=0"}</definedName>
    <definedName name="_3279__FDSAUDITLINK__" localSheetId="7" hidden="1">{"fdsup://directions/FAT Viewer?action=UPDATE&amp;creator=factset&amp;DYN_ARGS=TRUE&amp;DOC_NAME=FAT:FQL_AUDITING_CLIENT_TEMPLATE.FAT&amp;display_string=Audit&amp;VAR:KEY=PADKRAVMDS&amp;VAR:QUERY=UkdGX1RBWF9SQVRFKEFOTiwwLCwsLCwsTk9BVURJVCk=&amp;WINDOW=FIRST_POPUP&amp;HEIGHT=450&amp;WIDTH=450&amp;","START_MAXIMIZED=FALSE&amp;VAR:CALENDAR=US&amp;VAR:SYMBOL=QADI&amp;VAR:INDEX=0"}</definedName>
    <definedName name="_3279__FDSAUDITLINK__" hidden="1">{"fdsup://directions/FAT Viewer?action=UPDATE&amp;creator=factset&amp;DYN_ARGS=TRUE&amp;DOC_NAME=FAT:FQL_AUDITING_CLIENT_TEMPLATE.FAT&amp;display_string=Audit&amp;VAR:KEY=PADKRAVMDS&amp;VAR:QUERY=UkdGX1RBWF9SQVRFKEFOTiwwLCwsLCwsTk9BVURJVCk=&amp;WINDOW=FIRST_POPUP&amp;HEIGHT=450&amp;WIDTH=450&amp;","START_MAXIMIZED=FALSE&amp;VAR:CALENDAR=US&amp;VAR:SYMBOL=QADI&amp;VAR:INDEX=0"}</definedName>
    <definedName name="_3280__FDSAUDITLINK__" localSheetId="3" hidden="1">{"fdsup://directions/FAT Viewer?action=UPDATE&amp;creator=factset&amp;DYN_ARGS=TRUE&amp;DOC_NAME=FAT:FQL_AUDITING_CLIENT_TEMPLATE.FAT&amp;display_string=Audit&amp;VAR:KEY=PADKRAVMDS&amp;VAR:QUERY=UkdGX1RBWF9SQVRFKEFOTiwwLCwsLCwsTk9BVURJVCk=&amp;WINDOW=FIRST_POPUP&amp;HEIGHT=450&amp;WIDTH=450&amp;","START_MAXIMIZED=FALSE&amp;VAR:CALENDAR=US&amp;VAR:SYMBOL=QADI&amp;VAR:INDEX=0"}</definedName>
    <definedName name="_3280__FDSAUDITLINK__" localSheetId="7" hidden="1">{"fdsup://directions/FAT Viewer?action=UPDATE&amp;creator=factset&amp;DYN_ARGS=TRUE&amp;DOC_NAME=FAT:FQL_AUDITING_CLIENT_TEMPLATE.FAT&amp;display_string=Audit&amp;VAR:KEY=PADKRAVMDS&amp;VAR:QUERY=UkdGX1RBWF9SQVRFKEFOTiwwLCwsLCwsTk9BVURJVCk=&amp;WINDOW=FIRST_POPUP&amp;HEIGHT=450&amp;WIDTH=450&amp;","START_MAXIMIZED=FALSE&amp;VAR:CALENDAR=US&amp;VAR:SYMBOL=QADI&amp;VAR:INDEX=0"}</definedName>
    <definedName name="_3280__FDSAUDITLINK__" hidden="1">{"fdsup://directions/FAT Viewer?action=UPDATE&amp;creator=factset&amp;DYN_ARGS=TRUE&amp;DOC_NAME=FAT:FQL_AUDITING_CLIENT_TEMPLATE.FAT&amp;display_string=Audit&amp;VAR:KEY=PADKRAVMDS&amp;VAR:QUERY=UkdGX1RBWF9SQVRFKEFOTiwwLCwsLCwsTk9BVURJVCk=&amp;WINDOW=FIRST_POPUP&amp;HEIGHT=450&amp;WIDTH=450&amp;","START_MAXIMIZED=FALSE&amp;VAR:CALENDAR=US&amp;VAR:SYMBOL=QADI&amp;VAR:INDEX=0"}</definedName>
    <definedName name="_3281__FDSAUDITLINK__" localSheetId="3" hidden="1">{"fdsup://directions/FAT Viewer?action=UPDATE&amp;creator=factset&amp;DYN_ARGS=TRUE&amp;DOC_NAME=FAT:FQL_AUDITING_CLIENT_TEMPLATE.FAT&amp;display_string=Audit&amp;VAR:KEY=VMRMRUXAFC&amp;VAR:QUERY=UkdGX1RBWF9SQVRFKEFOTiwwLCwsLCwsTk9BVURJVCk=&amp;WINDOW=FIRST_POPUP&amp;HEIGHT=450&amp;WIDTH=450&amp;","START_MAXIMIZED=FALSE&amp;VAR:CALENDAR=US&amp;VAR:SYMBOL=PRO&amp;VAR:INDEX=0"}</definedName>
    <definedName name="_3281__FDSAUDITLINK__" localSheetId="7" hidden="1">{"fdsup://directions/FAT Viewer?action=UPDATE&amp;creator=factset&amp;DYN_ARGS=TRUE&amp;DOC_NAME=FAT:FQL_AUDITING_CLIENT_TEMPLATE.FAT&amp;display_string=Audit&amp;VAR:KEY=VMRMRUXAFC&amp;VAR:QUERY=UkdGX1RBWF9SQVRFKEFOTiwwLCwsLCwsTk9BVURJVCk=&amp;WINDOW=FIRST_POPUP&amp;HEIGHT=450&amp;WIDTH=450&amp;","START_MAXIMIZED=FALSE&amp;VAR:CALENDAR=US&amp;VAR:SYMBOL=PRO&amp;VAR:INDEX=0"}</definedName>
    <definedName name="_3281__FDSAUDITLINK__" hidden="1">{"fdsup://directions/FAT Viewer?action=UPDATE&amp;creator=factset&amp;DYN_ARGS=TRUE&amp;DOC_NAME=FAT:FQL_AUDITING_CLIENT_TEMPLATE.FAT&amp;display_string=Audit&amp;VAR:KEY=VMRMRUXAFC&amp;VAR:QUERY=UkdGX1RBWF9SQVRFKEFOTiwwLCwsLCwsTk9BVURJVCk=&amp;WINDOW=FIRST_POPUP&amp;HEIGHT=450&amp;WIDTH=450&amp;","START_MAXIMIZED=FALSE&amp;VAR:CALENDAR=US&amp;VAR:SYMBOL=PRO&amp;VAR:INDEX=0"}</definedName>
    <definedName name="_3282__FDSAUDITLINK__" localSheetId="3" hidden="1">{"fdsup://directions/FAT Viewer?action=UPDATE&amp;creator=factset&amp;DYN_ARGS=TRUE&amp;DOC_NAME=FAT:FQL_AUDITING_CLIENT_TEMPLATE.FAT&amp;display_string=Audit&amp;VAR:KEY=LIPQNMPALQ&amp;VAR:QUERY=UkdGX1RBWF9SQVRFKEFOTiwwLCwsLCwsTk9BVURJVCk=&amp;WINDOW=FIRST_POPUP&amp;HEIGHT=450&amp;WIDTH=450&amp;","START_MAXIMIZED=FALSE&amp;VAR:CALENDAR=US&amp;VAR:SYMBOL=PRGS&amp;VAR:INDEX=0"}</definedName>
    <definedName name="_3282__FDSAUDITLINK__" localSheetId="7" hidden="1">{"fdsup://directions/FAT Viewer?action=UPDATE&amp;creator=factset&amp;DYN_ARGS=TRUE&amp;DOC_NAME=FAT:FQL_AUDITING_CLIENT_TEMPLATE.FAT&amp;display_string=Audit&amp;VAR:KEY=LIPQNMPALQ&amp;VAR:QUERY=UkdGX1RBWF9SQVRFKEFOTiwwLCwsLCwsTk9BVURJVCk=&amp;WINDOW=FIRST_POPUP&amp;HEIGHT=450&amp;WIDTH=450&amp;","START_MAXIMIZED=FALSE&amp;VAR:CALENDAR=US&amp;VAR:SYMBOL=PRGS&amp;VAR:INDEX=0"}</definedName>
    <definedName name="_3282__FDSAUDITLINK__" hidden="1">{"fdsup://directions/FAT Viewer?action=UPDATE&amp;creator=factset&amp;DYN_ARGS=TRUE&amp;DOC_NAME=FAT:FQL_AUDITING_CLIENT_TEMPLATE.FAT&amp;display_string=Audit&amp;VAR:KEY=LIPQNMPALQ&amp;VAR:QUERY=UkdGX1RBWF9SQVRFKEFOTiwwLCwsLCwsTk9BVURJVCk=&amp;WINDOW=FIRST_POPUP&amp;HEIGHT=450&amp;WIDTH=450&amp;","START_MAXIMIZED=FALSE&amp;VAR:CALENDAR=US&amp;VAR:SYMBOL=PRGS&amp;VAR:INDEX=0"}</definedName>
    <definedName name="_3283__FDSAUDITLINK__" localSheetId="3" hidden="1">{"fdsup://directions/FAT Viewer?action=UPDATE&amp;creator=factset&amp;DYN_ARGS=TRUE&amp;DOC_NAME=FAT:FQL_AUDITING_CLIENT_TEMPLATE.FAT&amp;display_string=Audit&amp;VAR:KEY=LIPQNMPALQ&amp;VAR:QUERY=UkdGX1RBWF9SQVRFKEFOTiwwLCwsLCwsTk9BVURJVCk=&amp;WINDOW=FIRST_POPUP&amp;HEIGHT=450&amp;WIDTH=450&amp;","START_MAXIMIZED=FALSE&amp;VAR:CALENDAR=US&amp;VAR:SYMBOL=PRGS&amp;VAR:INDEX=0"}</definedName>
    <definedName name="_3283__FDSAUDITLINK__" localSheetId="7" hidden="1">{"fdsup://directions/FAT Viewer?action=UPDATE&amp;creator=factset&amp;DYN_ARGS=TRUE&amp;DOC_NAME=FAT:FQL_AUDITING_CLIENT_TEMPLATE.FAT&amp;display_string=Audit&amp;VAR:KEY=LIPQNMPALQ&amp;VAR:QUERY=UkdGX1RBWF9SQVRFKEFOTiwwLCwsLCwsTk9BVURJVCk=&amp;WINDOW=FIRST_POPUP&amp;HEIGHT=450&amp;WIDTH=450&amp;","START_MAXIMIZED=FALSE&amp;VAR:CALENDAR=US&amp;VAR:SYMBOL=PRGS&amp;VAR:INDEX=0"}</definedName>
    <definedName name="_3283__FDSAUDITLINK__" hidden="1">{"fdsup://directions/FAT Viewer?action=UPDATE&amp;creator=factset&amp;DYN_ARGS=TRUE&amp;DOC_NAME=FAT:FQL_AUDITING_CLIENT_TEMPLATE.FAT&amp;display_string=Audit&amp;VAR:KEY=LIPQNMPALQ&amp;VAR:QUERY=UkdGX1RBWF9SQVRFKEFOTiwwLCwsLCwsTk9BVURJVCk=&amp;WINDOW=FIRST_POPUP&amp;HEIGHT=450&amp;WIDTH=450&amp;","START_MAXIMIZED=FALSE&amp;VAR:CALENDAR=US&amp;VAR:SYMBOL=PRGS&amp;VAR:INDEX=0"}</definedName>
    <definedName name="_3284__FDSAUDITLINK__" localSheetId="3" hidden="1">{"fdsup://directions/FAT Viewer?action=UPDATE&amp;creator=factset&amp;DYN_ARGS=TRUE&amp;DOC_NAME=FAT:FQL_AUDITING_CLIENT_TEMPLATE.FAT&amp;display_string=Audit&amp;VAR:KEY=HIPSVQXCNS&amp;VAR:QUERY=UkdGX1RBWF9SQVRFKEFOTiwwLCwsLCwsTk9BVURJVCk=&amp;WINDOW=FIRST_POPUP&amp;HEIGHT=450&amp;WIDTH=450&amp;","START_MAXIMIZED=FALSE&amp;VAR:CALENDAR=US&amp;VAR:SYMBOL=PCLN&amp;VAR:INDEX=0"}</definedName>
    <definedName name="_3284__FDSAUDITLINK__" localSheetId="7" hidden="1">{"fdsup://directions/FAT Viewer?action=UPDATE&amp;creator=factset&amp;DYN_ARGS=TRUE&amp;DOC_NAME=FAT:FQL_AUDITING_CLIENT_TEMPLATE.FAT&amp;display_string=Audit&amp;VAR:KEY=HIPSVQXCNS&amp;VAR:QUERY=UkdGX1RBWF9SQVRFKEFOTiwwLCwsLCwsTk9BVURJVCk=&amp;WINDOW=FIRST_POPUP&amp;HEIGHT=450&amp;WIDTH=450&amp;","START_MAXIMIZED=FALSE&amp;VAR:CALENDAR=US&amp;VAR:SYMBOL=PCLN&amp;VAR:INDEX=0"}</definedName>
    <definedName name="_3284__FDSAUDITLINK__" hidden="1">{"fdsup://directions/FAT Viewer?action=UPDATE&amp;creator=factset&amp;DYN_ARGS=TRUE&amp;DOC_NAME=FAT:FQL_AUDITING_CLIENT_TEMPLATE.FAT&amp;display_string=Audit&amp;VAR:KEY=HIPSVQXCNS&amp;VAR:QUERY=UkdGX1RBWF9SQVRFKEFOTiwwLCwsLCwsTk9BVURJVCk=&amp;WINDOW=FIRST_POPUP&amp;HEIGHT=450&amp;WIDTH=450&amp;","START_MAXIMIZED=FALSE&amp;VAR:CALENDAR=US&amp;VAR:SYMBOL=PCLN&amp;VAR:INDEX=0"}</definedName>
    <definedName name="_3285__FDSAUDITLINK__" localSheetId="3" hidden="1">{"fdsup://directions/FAT Viewer?action=UPDATE&amp;creator=factset&amp;DYN_ARGS=TRUE&amp;DOC_NAME=FAT:FQL_AUDITING_CLIENT_TEMPLATE.FAT&amp;display_string=Audit&amp;VAR:KEY=HIPSVQXCNS&amp;VAR:QUERY=UkdGX1RBWF9SQVRFKEFOTiwwLCwsLCwsTk9BVURJVCk=&amp;WINDOW=FIRST_POPUP&amp;HEIGHT=450&amp;WIDTH=450&amp;","START_MAXIMIZED=FALSE&amp;VAR:CALENDAR=US&amp;VAR:SYMBOL=PCLN&amp;VAR:INDEX=0"}</definedName>
    <definedName name="_3285__FDSAUDITLINK__" localSheetId="7" hidden="1">{"fdsup://directions/FAT Viewer?action=UPDATE&amp;creator=factset&amp;DYN_ARGS=TRUE&amp;DOC_NAME=FAT:FQL_AUDITING_CLIENT_TEMPLATE.FAT&amp;display_string=Audit&amp;VAR:KEY=HIPSVQXCNS&amp;VAR:QUERY=UkdGX1RBWF9SQVRFKEFOTiwwLCwsLCwsTk9BVURJVCk=&amp;WINDOW=FIRST_POPUP&amp;HEIGHT=450&amp;WIDTH=450&amp;","START_MAXIMIZED=FALSE&amp;VAR:CALENDAR=US&amp;VAR:SYMBOL=PCLN&amp;VAR:INDEX=0"}</definedName>
    <definedName name="_3285__FDSAUDITLINK__" hidden="1">{"fdsup://directions/FAT Viewer?action=UPDATE&amp;creator=factset&amp;DYN_ARGS=TRUE&amp;DOC_NAME=FAT:FQL_AUDITING_CLIENT_TEMPLATE.FAT&amp;display_string=Audit&amp;VAR:KEY=HIPSVQXCNS&amp;VAR:QUERY=UkdGX1RBWF9SQVRFKEFOTiwwLCwsLCwsTk9BVURJVCk=&amp;WINDOW=FIRST_POPUP&amp;HEIGHT=450&amp;WIDTH=450&amp;","START_MAXIMIZED=FALSE&amp;VAR:CALENDAR=US&amp;VAR:SYMBOL=PCLN&amp;VAR:INDEX=0"}</definedName>
    <definedName name="_3286__FDSAUDITLINK__" localSheetId="3" hidden="1">{"fdsup://directions/FAT Viewer?action=UPDATE&amp;creator=factset&amp;DYN_ARGS=TRUE&amp;DOC_NAME=FAT:FQL_AUDITING_CLIENT_TEMPLATE.FAT&amp;display_string=Audit&amp;VAR:KEY=PSBGHGFCNC&amp;VAR:QUERY=UkdGX1RBWF9SQVRFKEFOTiwwLCwsLCwsTk9BVURJVCk=&amp;WINDOW=FIRST_POPUP&amp;HEIGHT=450&amp;WIDTH=450&amp;","START_MAXIMIZED=FALSE&amp;VAR:CALENDAR=US&amp;VAR:SYMBOL=PVSW&amp;VAR:INDEX=0"}</definedName>
    <definedName name="_3286__FDSAUDITLINK__" localSheetId="7" hidden="1">{"fdsup://directions/FAT Viewer?action=UPDATE&amp;creator=factset&amp;DYN_ARGS=TRUE&amp;DOC_NAME=FAT:FQL_AUDITING_CLIENT_TEMPLATE.FAT&amp;display_string=Audit&amp;VAR:KEY=PSBGHGFCNC&amp;VAR:QUERY=UkdGX1RBWF9SQVRFKEFOTiwwLCwsLCwsTk9BVURJVCk=&amp;WINDOW=FIRST_POPUP&amp;HEIGHT=450&amp;WIDTH=450&amp;","START_MAXIMIZED=FALSE&amp;VAR:CALENDAR=US&amp;VAR:SYMBOL=PVSW&amp;VAR:INDEX=0"}</definedName>
    <definedName name="_3286__FDSAUDITLINK__" hidden="1">{"fdsup://directions/FAT Viewer?action=UPDATE&amp;creator=factset&amp;DYN_ARGS=TRUE&amp;DOC_NAME=FAT:FQL_AUDITING_CLIENT_TEMPLATE.FAT&amp;display_string=Audit&amp;VAR:KEY=PSBGHGFCNC&amp;VAR:QUERY=UkdGX1RBWF9SQVRFKEFOTiwwLCwsLCwsTk9BVURJVCk=&amp;WINDOW=FIRST_POPUP&amp;HEIGHT=450&amp;WIDTH=450&amp;","START_MAXIMIZED=FALSE&amp;VAR:CALENDAR=US&amp;VAR:SYMBOL=PVSW&amp;VAR:INDEX=0"}</definedName>
    <definedName name="_3287__FDSAUDITLINK__" localSheetId="3" hidden="1">{"fdsup://directions/FAT Viewer?action=UPDATE&amp;creator=factset&amp;DYN_ARGS=TRUE&amp;DOC_NAME=FAT:FQL_AUDITING_CLIENT_TEMPLATE.FAT&amp;display_string=Audit&amp;VAR:KEY=PSBGHGFCNC&amp;VAR:QUERY=UkdGX1RBWF9SQVRFKEFOTiwwLCwsLCwsTk9BVURJVCk=&amp;WINDOW=FIRST_POPUP&amp;HEIGHT=450&amp;WIDTH=450&amp;","START_MAXIMIZED=FALSE&amp;VAR:CALENDAR=US&amp;VAR:SYMBOL=PVSW&amp;VAR:INDEX=0"}</definedName>
    <definedName name="_3287__FDSAUDITLINK__" localSheetId="7" hidden="1">{"fdsup://directions/FAT Viewer?action=UPDATE&amp;creator=factset&amp;DYN_ARGS=TRUE&amp;DOC_NAME=FAT:FQL_AUDITING_CLIENT_TEMPLATE.FAT&amp;display_string=Audit&amp;VAR:KEY=PSBGHGFCNC&amp;VAR:QUERY=UkdGX1RBWF9SQVRFKEFOTiwwLCwsLCwsTk9BVURJVCk=&amp;WINDOW=FIRST_POPUP&amp;HEIGHT=450&amp;WIDTH=450&amp;","START_MAXIMIZED=FALSE&amp;VAR:CALENDAR=US&amp;VAR:SYMBOL=PVSW&amp;VAR:INDEX=0"}</definedName>
    <definedName name="_3287__FDSAUDITLINK__" hidden="1">{"fdsup://directions/FAT Viewer?action=UPDATE&amp;creator=factset&amp;DYN_ARGS=TRUE&amp;DOC_NAME=FAT:FQL_AUDITING_CLIENT_TEMPLATE.FAT&amp;display_string=Audit&amp;VAR:KEY=PSBGHGFCNC&amp;VAR:QUERY=UkdGX1RBWF9SQVRFKEFOTiwwLCwsLCwsTk9BVURJVCk=&amp;WINDOW=FIRST_POPUP&amp;HEIGHT=450&amp;WIDTH=450&amp;","START_MAXIMIZED=FALSE&amp;VAR:CALENDAR=US&amp;VAR:SYMBOL=PVSW&amp;VAR:INDEX=0"}</definedName>
    <definedName name="_3288__FDSAUDITLINK__" localSheetId="3" hidden="1">{"fdsup://directions/FAT Viewer?action=UPDATE&amp;creator=factset&amp;DYN_ARGS=TRUE&amp;DOC_NAME=FAT:FQL_AUDITING_CLIENT_TEMPLATE.FAT&amp;display_string=Audit&amp;VAR:KEY=DCTGTSJSHY&amp;VAR:QUERY=UkdGX1RBWF9SQVRFKEFOTiwwLCwsLCwsTk9BVURJVCk=&amp;WINDOW=FIRST_POPUP&amp;HEIGHT=450&amp;WIDTH=450&amp;","START_MAXIMIZED=FALSE&amp;VAR:CALENDAR=US&amp;VAR:SYMBOL=PEGA&amp;VAR:INDEX=0"}</definedName>
    <definedName name="_3288__FDSAUDITLINK__" localSheetId="7" hidden="1">{"fdsup://directions/FAT Viewer?action=UPDATE&amp;creator=factset&amp;DYN_ARGS=TRUE&amp;DOC_NAME=FAT:FQL_AUDITING_CLIENT_TEMPLATE.FAT&amp;display_string=Audit&amp;VAR:KEY=DCTGTSJSHY&amp;VAR:QUERY=UkdGX1RBWF9SQVRFKEFOTiwwLCwsLCwsTk9BVURJVCk=&amp;WINDOW=FIRST_POPUP&amp;HEIGHT=450&amp;WIDTH=450&amp;","START_MAXIMIZED=FALSE&amp;VAR:CALENDAR=US&amp;VAR:SYMBOL=PEGA&amp;VAR:INDEX=0"}</definedName>
    <definedName name="_3288__FDSAUDITLINK__" hidden="1">{"fdsup://directions/FAT Viewer?action=UPDATE&amp;creator=factset&amp;DYN_ARGS=TRUE&amp;DOC_NAME=FAT:FQL_AUDITING_CLIENT_TEMPLATE.FAT&amp;display_string=Audit&amp;VAR:KEY=DCTGTSJSHY&amp;VAR:QUERY=UkdGX1RBWF9SQVRFKEFOTiwwLCwsLCwsTk9BVURJVCk=&amp;WINDOW=FIRST_POPUP&amp;HEIGHT=450&amp;WIDTH=450&amp;","START_MAXIMIZED=FALSE&amp;VAR:CALENDAR=US&amp;VAR:SYMBOL=PEGA&amp;VAR:INDEX=0"}</definedName>
    <definedName name="_3289__FDSAUDITLINK__" localSheetId="3" hidden="1">{"fdsup://directions/FAT Viewer?action=UPDATE&amp;creator=factset&amp;DYN_ARGS=TRUE&amp;DOC_NAME=FAT:FQL_AUDITING_CLIENT_TEMPLATE.FAT&amp;display_string=Audit&amp;VAR:KEY=VAPOXQPGTG&amp;VAR:QUERY=UkdGX1RBWF9SQVRFKEFOTiwwLCwsLCwsTk9BVURJVCk=&amp;WINDOW=FIRST_POPUP&amp;HEIGHT=450&amp;WIDTH=450&amp;","START_MAXIMIZED=FALSE&amp;VAR:CALENDAR=US&amp;VAR:SYMBOL=PDFS&amp;VAR:INDEX=0"}</definedName>
    <definedName name="_3289__FDSAUDITLINK__" localSheetId="7" hidden="1">{"fdsup://directions/FAT Viewer?action=UPDATE&amp;creator=factset&amp;DYN_ARGS=TRUE&amp;DOC_NAME=FAT:FQL_AUDITING_CLIENT_TEMPLATE.FAT&amp;display_string=Audit&amp;VAR:KEY=VAPOXQPGTG&amp;VAR:QUERY=UkdGX1RBWF9SQVRFKEFOTiwwLCwsLCwsTk9BVURJVCk=&amp;WINDOW=FIRST_POPUP&amp;HEIGHT=450&amp;WIDTH=450&amp;","START_MAXIMIZED=FALSE&amp;VAR:CALENDAR=US&amp;VAR:SYMBOL=PDFS&amp;VAR:INDEX=0"}</definedName>
    <definedName name="_3289__FDSAUDITLINK__" hidden="1">{"fdsup://directions/FAT Viewer?action=UPDATE&amp;creator=factset&amp;DYN_ARGS=TRUE&amp;DOC_NAME=FAT:FQL_AUDITING_CLIENT_TEMPLATE.FAT&amp;display_string=Audit&amp;VAR:KEY=VAPOXQPGTG&amp;VAR:QUERY=UkdGX1RBWF9SQVRFKEFOTiwwLCwsLCwsTk9BVURJVCk=&amp;WINDOW=FIRST_POPUP&amp;HEIGHT=450&amp;WIDTH=450&amp;","START_MAXIMIZED=FALSE&amp;VAR:CALENDAR=US&amp;VAR:SYMBOL=PDFS&amp;VAR:INDEX=0"}</definedName>
    <definedName name="_3290__FDSAUDITLINK__" localSheetId="3" hidden="1">{"fdsup://directions/FAT Viewer?action=UPDATE&amp;creator=factset&amp;DYN_ARGS=TRUE&amp;DOC_NAME=FAT:FQL_AUDITING_CLIENT_TEMPLATE.FAT&amp;display_string=Audit&amp;VAR:KEY=VAPOXQPGTG&amp;VAR:QUERY=UkdGX1RBWF9SQVRFKEFOTiwwLCwsLCwsTk9BVURJVCk=&amp;WINDOW=FIRST_POPUP&amp;HEIGHT=450&amp;WIDTH=450&amp;","START_MAXIMIZED=FALSE&amp;VAR:CALENDAR=US&amp;VAR:SYMBOL=PDFS&amp;VAR:INDEX=0"}</definedName>
    <definedName name="_3290__FDSAUDITLINK__" localSheetId="7" hidden="1">{"fdsup://directions/FAT Viewer?action=UPDATE&amp;creator=factset&amp;DYN_ARGS=TRUE&amp;DOC_NAME=FAT:FQL_AUDITING_CLIENT_TEMPLATE.FAT&amp;display_string=Audit&amp;VAR:KEY=VAPOXQPGTG&amp;VAR:QUERY=UkdGX1RBWF9SQVRFKEFOTiwwLCwsLCwsTk9BVURJVCk=&amp;WINDOW=FIRST_POPUP&amp;HEIGHT=450&amp;WIDTH=450&amp;","START_MAXIMIZED=FALSE&amp;VAR:CALENDAR=US&amp;VAR:SYMBOL=PDFS&amp;VAR:INDEX=0"}</definedName>
    <definedName name="_3290__FDSAUDITLINK__" hidden="1">{"fdsup://directions/FAT Viewer?action=UPDATE&amp;creator=factset&amp;DYN_ARGS=TRUE&amp;DOC_NAME=FAT:FQL_AUDITING_CLIENT_TEMPLATE.FAT&amp;display_string=Audit&amp;VAR:KEY=VAPOXQPGTG&amp;VAR:QUERY=UkdGX1RBWF9SQVRFKEFOTiwwLCwsLCwsTk9BVURJVCk=&amp;WINDOW=FIRST_POPUP&amp;HEIGHT=450&amp;WIDTH=450&amp;","START_MAXIMIZED=FALSE&amp;VAR:CALENDAR=US&amp;VAR:SYMBOL=PDFS&amp;VAR:INDEX=0"}</definedName>
    <definedName name="_3291__FDSAUDITLINK__" localSheetId="3" hidden="1">{"fdsup://directions/FAT Viewer?action=UPDATE&amp;creator=factset&amp;DYN_ARGS=TRUE&amp;DOC_NAME=FAT:FQL_AUDITING_CLIENT_TEMPLATE.FAT&amp;display_string=Audit&amp;VAR:KEY=BEBOXQLQPS&amp;VAR:QUERY=UkdGX1RBWF9SQVRFKEFOTiwwLCwsLCwsTk9BVURJVCk=&amp;WINDOW=FIRST_POPUP&amp;HEIGHT=450&amp;WIDTH=450&amp;","START_MAXIMIZED=FALSE&amp;VAR:CALENDAR=US&amp;VAR:SYMBOL=PMTC&amp;VAR:INDEX=0"}</definedName>
    <definedName name="_3291__FDSAUDITLINK__" localSheetId="7" hidden="1">{"fdsup://directions/FAT Viewer?action=UPDATE&amp;creator=factset&amp;DYN_ARGS=TRUE&amp;DOC_NAME=FAT:FQL_AUDITING_CLIENT_TEMPLATE.FAT&amp;display_string=Audit&amp;VAR:KEY=BEBOXQLQPS&amp;VAR:QUERY=UkdGX1RBWF9SQVRFKEFOTiwwLCwsLCwsTk9BVURJVCk=&amp;WINDOW=FIRST_POPUP&amp;HEIGHT=450&amp;WIDTH=450&amp;","START_MAXIMIZED=FALSE&amp;VAR:CALENDAR=US&amp;VAR:SYMBOL=PMTC&amp;VAR:INDEX=0"}</definedName>
    <definedName name="_3291__FDSAUDITLINK__" hidden="1">{"fdsup://directions/FAT Viewer?action=UPDATE&amp;creator=factset&amp;DYN_ARGS=TRUE&amp;DOC_NAME=FAT:FQL_AUDITING_CLIENT_TEMPLATE.FAT&amp;display_string=Audit&amp;VAR:KEY=BEBOXQLQPS&amp;VAR:QUERY=UkdGX1RBWF9SQVRFKEFOTiwwLCwsLCwsTk9BVURJVCk=&amp;WINDOW=FIRST_POPUP&amp;HEIGHT=450&amp;WIDTH=450&amp;","START_MAXIMIZED=FALSE&amp;VAR:CALENDAR=US&amp;VAR:SYMBOL=PMTC&amp;VAR:INDEX=0"}</definedName>
    <definedName name="_3292__FDSAUDITLINK__" localSheetId="3" hidden="1">{"fdsup://directions/FAT Viewer?action=UPDATE&amp;creator=factset&amp;DYN_ARGS=TRUE&amp;DOC_NAME=FAT:FQL_AUDITING_CLIENT_TEMPLATE.FAT&amp;display_string=Audit&amp;VAR:KEY=BEBOXQLQPS&amp;VAR:QUERY=UkdGX1RBWF9SQVRFKEFOTiwwLCwsLCwsTk9BVURJVCk=&amp;WINDOW=FIRST_POPUP&amp;HEIGHT=450&amp;WIDTH=450&amp;","START_MAXIMIZED=FALSE&amp;VAR:CALENDAR=US&amp;VAR:SYMBOL=PMTC&amp;VAR:INDEX=0"}</definedName>
    <definedName name="_3292__FDSAUDITLINK__" localSheetId="7" hidden="1">{"fdsup://directions/FAT Viewer?action=UPDATE&amp;creator=factset&amp;DYN_ARGS=TRUE&amp;DOC_NAME=FAT:FQL_AUDITING_CLIENT_TEMPLATE.FAT&amp;display_string=Audit&amp;VAR:KEY=BEBOXQLQPS&amp;VAR:QUERY=UkdGX1RBWF9SQVRFKEFOTiwwLCwsLCwsTk9BVURJVCk=&amp;WINDOW=FIRST_POPUP&amp;HEIGHT=450&amp;WIDTH=450&amp;","START_MAXIMIZED=FALSE&amp;VAR:CALENDAR=US&amp;VAR:SYMBOL=PMTC&amp;VAR:INDEX=0"}</definedName>
    <definedName name="_3292__FDSAUDITLINK__" hidden="1">{"fdsup://directions/FAT Viewer?action=UPDATE&amp;creator=factset&amp;DYN_ARGS=TRUE&amp;DOC_NAME=FAT:FQL_AUDITING_CLIENT_TEMPLATE.FAT&amp;display_string=Audit&amp;VAR:KEY=BEBOXQLQPS&amp;VAR:QUERY=UkdGX1RBWF9SQVRFKEFOTiwwLCwsLCwsTk9BVURJVCk=&amp;WINDOW=FIRST_POPUP&amp;HEIGHT=450&amp;WIDTH=450&amp;","START_MAXIMIZED=FALSE&amp;VAR:CALENDAR=US&amp;VAR:SYMBOL=PMTC&amp;VAR:INDEX=0"}</definedName>
    <definedName name="_3293__FDSAUDITLINK__" localSheetId="3" hidden="1">{"fdsup://directions/FAT Viewer?action=UPDATE&amp;creator=factset&amp;DYN_ARGS=TRUE&amp;DOC_NAME=FAT:FQL_AUDITING_CLIENT_TEMPLATE.FAT&amp;display_string=Audit&amp;VAR:KEY=BGFQRIXQXK&amp;VAR:QUERY=UkdGX1RBWF9SQVRFKEFOTiwwLCwsLCwsTk9BVURJVCk=&amp;WINDOW=FIRST_POPUP&amp;HEIGHT=450&amp;WIDTH=450&amp;","START_MAXIMIZED=FALSE&amp;VAR:CALENDAR=US&amp;VAR:SYMBOL=ORCL&amp;VAR:INDEX=0"}</definedName>
    <definedName name="_3293__FDSAUDITLINK__" localSheetId="7" hidden="1">{"fdsup://directions/FAT Viewer?action=UPDATE&amp;creator=factset&amp;DYN_ARGS=TRUE&amp;DOC_NAME=FAT:FQL_AUDITING_CLIENT_TEMPLATE.FAT&amp;display_string=Audit&amp;VAR:KEY=BGFQRIXQXK&amp;VAR:QUERY=UkdGX1RBWF9SQVRFKEFOTiwwLCwsLCwsTk9BVURJVCk=&amp;WINDOW=FIRST_POPUP&amp;HEIGHT=450&amp;WIDTH=450&amp;","START_MAXIMIZED=FALSE&amp;VAR:CALENDAR=US&amp;VAR:SYMBOL=ORCL&amp;VAR:INDEX=0"}</definedName>
    <definedName name="_3293__FDSAUDITLINK__" hidden="1">{"fdsup://directions/FAT Viewer?action=UPDATE&amp;creator=factset&amp;DYN_ARGS=TRUE&amp;DOC_NAME=FAT:FQL_AUDITING_CLIENT_TEMPLATE.FAT&amp;display_string=Audit&amp;VAR:KEY=BGFQRIXQXK&amp;VAR:QUERY=UkdGX1RBWF9SQVRFKEFOTiwwLCwsLCwsTk9BVURJVCk=&amp;WINDOW=FIRST_POPUP&amp;HEIGHT=450&amp;WIDTH=450&amp;","START_MAXIMIZED=FALSE&amp;VAR:CALENDAR=US&amp;VAR:SYMBOL=ORCL&amp;VAR:INDEX=0"}</definedName>
    <definedName name="_3294__FDSAUDITLINK__" localSheetId="3" hidden="1">{"fdsup://directions/FAT Viewer?action=UPDATE&amp;creator=factset&amp;DYN_ARGS=TRUE&amp;DOC_NAME=FAT:FQL_AUDITING_CLIENT_TEMPLATE.FAT&amp;display_string=Audit&amp;VAR:KEY=BGFQRIXQXK&amp;VAR:QUERY=UkdGX1RBWF9SQVRFKEFOTiwwLCwsLCwsTk9BVURJVCk=&amp;WINDOW=FIRST_POPUP&amp;HEIGHT=450&amp;WIDTH=450&amp;","START_MAXIMIZED=FALSE&amp;VAR:CALENDAR=US&amp;VAR:SYMBOL=ORCL&amp;VAR:INDEX=0"}</definedName>
    <definedName name="_3294__FDSAUDITLINK__" localSheetId="7" hidden="1">{"fdsup://directions/FAT Viewer?action=UPDATE&amp;creator=factset&amp;DYN_ARGS=TRUE&amp;DOC_NAME=FAT:FQL_AUDITING_CLIENT_TEMPLATE.FAT&amp;display_string=Audit&amp;VAR:KEY=BGFQRIXQXK&amp;VAR:QUERY=UkdGX1RBWF9SQVRFKEFOTiwwLCwsLCwsTk9BVURJVCk=&amp;WINDOW=FIRST_POPUP&amp;HEIGHT=450&amp;WIDTH=450&amp;","START_MAXIMIZED=FALSE&amp;VAR:CALENDAR=US&amp;VAR:SYMBOL=ORCL&amp;VAR:INDEX=0"}</definedName>
    <definedName name="_3294__FDSAUDITLINK__" hidden="1">{"fdsup://directions/FAT Viewer?action=UPDATE&amp;creator=factset&amp;DYN_ARGS=TRUE&amp;DOC_NAME=FAT:FQL_AUDITING_CLIENT_TEMPLATE.FAT&amp;display_string=Audit&amp;VAR:KEY=BGFQRIXQXK&amp;VAR:QUERY=UkdGX1RBWF9SQVRFKEFOTiwwLCwsLCwsTk9BVURJVCk=&amp;WINDOW=FIRST_POPUP&amp;HEIGHT=450&amp;WIDTH=450&amp;","START_MAXIMIZED=FALSE&amp;VAR:CALENDAR=US&amp;VAR:SYMBOL=ORCL&amp;VAR:INDEX=0"}</definedName>
    <definedName name="_3295__FDSAUDITLINK__" localSheetId="3" hidden="1">{"fdsup://directions/FAT Viewer?action=UPDATE&amp;creator=factset&amp;DYN_ARGS=TRUE&amp;DOC_NAME=FAT:FQL_AUDITING_CLIENT_TEMPLATE.FAT&amp;display_string=Audit&amp;VAR:KEY=PQVSJEFMNY&amp;VAR:QUERY=UkdGX1RBWF9SQVRFKEFOTiwwLCwsLCwsTk9BVURJVCk=&amp;WINDOW=FIRST_POPUP&amp;HEIGHT=450&amp;WIDTH=450&amp;","START_MAXIMIZED=FALSE&amp;VAR:CALENDAR=US&amp;VAR:SYMBOL=OPNT&amp;VAR:INDEX=0"}</definedName>
    <definedName name="_3295__FDSAUDITLINK__" localSheetId="7" hidden="1">{"fdsup://directions/FAT Viewer?action=UPDATE&amp;creator=factset&amp;DYN_ARGS=TRUE&amp;DOC_NAME=FAT:FQL_AUDITING_CLIENT_TEMPLATE.FAT&amp;display_string=Audit&amp;VAR:KEY=PQVSJEFMNY&amp;VAR:QUERY=UkdGX1RBWF9SQVRFKEFOTiwwLCwsLCwsTk9BVURJVCk=&amp;WINDOW=FIRST_POPUP&amp;HEIGHT=450&amp;WIDTH=450&amp;","START_MAXIMIZED=FALSE&amp;VAR:CALENDAR=US&amp;VAR:SYMBOL=OPNT&amp;VAR:INDEX=0"}</definedName>
    <definedName name="_3295__FDSAUDITLINK__" hidden="1">{"fdsup://directions/FAT Viewer?action=UPDATE&amp;creator=factset&amp;DYN_ARGS=TRUE&amp;DOC_NAME=FAT:FQL_AUDITING_CLIENT_TEMPLATE.FAT&amp;display_string=Audit&amp;VAR:KEY=PQVSJEFMNY&amp;VAR:QUERY=UkdGX1RBWF9SQVRFKEFOTiwwLCwsLCwsTk9BVURJVCk=&amp;WINDOW=FIRST_POPUP&amp;HEIGHT=450&amp;WIDTH=450&amp;","START_MAXIMIZED=FALSE&amp;VAR:CALENDAR=US&amp;VAR:SYMBOL=OPNT&amp;VAR:INDEX=0"}</definedName>
    <definedName name="_3296__FDSAUDITLINK__" localSheetId="3" hidden="1">{"fdsup://directions/FAT Viewer?action=UPDATE&amp;creator=factset&amp;DYN_ARGS=TRUE&amp;DOC_NAME=FAT:FQL_AUDITING_CLIENT_TEMPLATE.FAT&amp;display_string=Audit&amp;VAR:KEY=PQVSJEFMNY&amp;VAR:QUERY=UkdGX1RBWF9SQVRFKEFOTiwwLCwsLCwsTk9BVURJVCk=&amp;WINDOW=FIRST_POPUP&amp;HEIGHT=450&amp;WIDTH=450&amp;","START_MAXIMIZED=FALSE&amp;VAR:CALENDAR=US&amp;VAR:SYMBOL=OPNT&amp;VAR:INDEX=0"}</definedName>
    <definedName name="_3296__FDSAUDITLINK__" localSheetId="7" hidden="1">{"fdsup://directions/FAT Viewer?action=UPDATE&amp;creator=factset&amp;DYN_ARGS=TRUE&amp;DOC_NAME=FAT:FQL_AUDITING_CLIENT_TEMPLATE.FAT&amp;display_string=Audit&amp;VAR:KEY=PQVSJEFMNY&amp;VAR:QUERY=UkdGX1RBWF9SQVRFKEFOTiwwLCwsLCwsTk9BVURJVCk=&amp;WINDOW=FIRST_POPUP&amp;HEIGHT=450&amp;WIDTH=450&amp;","START_MAXIMIZED=FALSE&amp;VAR:CALENDAR=US&amp;VAR:SYMBOL=OPNT&amp;VAR:INDEX=0"}</definedName>
    <definedName name="_3296__FDSAUDITLINK__" hidden="1">{"fdsup://directions/FAT Viewer?action=UPDATE&amp;creator=factset&amp;DYN_ARGS=TRUE&amp;DOC_NAME=FAT:FQL_AUDITING_CLIENT_TEMPLATE.FAT&amp;display_string=Audit&amp;VAR:KEY=PQVSJEFMNY&amp;VAR:QUERY=UkdGX1RBWF9SQVRFKEFOTiwwLCwsLCwsTk9BVURJVCk=&amp;WINDOW=FIRST_POPUP&amp;HEIGHT=450&amp;WIDTH=450&amp;","START_MAXIMIZED=FALSE&amp;VAR:CALENDAR=US&amp;VAR:SYMBOL=OPNT&amp;VAR:INDEX=0"}</definedName>
    <definedName name="_3297__FDSAUDITLINK__" localSheetId="3" hidden="1">{"fdsup://directions/FAT Viewer?action=UPDATE&amp;creator=factset&amp;DYN_ARGS=TRUE&amp;DOC_NAME=FAT:FQL_AUDITING_CLIENT_TEMPLATE.FAT&amp;display_string=Audit&amp;VAR:KEY=NMLSZSVQJQ&amp;VAR:QUERY=UkdGX1RBWF9SQVRFKEFOTiwwLCwsLCwsTk9BVURJVCk=&amp;WINDOW=FIRST_POPUP&amp;HEIGHT=450&amp;WIDTH=450&amp;","START_MAXIMIZED=FALSE&amp;VAR:CALENDAR=US&amp;VAR:SYMBOL=705772&amp;VAR:INDEX=0"}</definedName>
    <definedName name="_3297__FDSAUDITLINK__" localSheetId="7" hidden="1">{"fdsup://directions/FAT Viewer?action=UPDATE&amp;creator=factset&amp;DYN_ARGS=TRUE&amp;DOC_NAME=FAT:FQL_AUDITING_CLIENT_TEMPLATE.FAT&amp;display_string=Audit&amp;VAR:KEY=NMLSZSVQJQ&amp;VAR:QUERY=UkdGX1RBWF9SQVRFKEFOTiwwLCwsLCwsTk9BVURJVCk=&amp;WINDOW=FIRST_POPUP&amp;HEIGHT=450&amp;WIDTH=450&amp;","START_MAXIMIZED=FALSE&amp;VAR:CALENDAR=US&amp;VAR:SYMBOL=705772&amp;VAR:INDEX=0"}</definedName>
    <definedName name="_3297__FDSAUDITLINK__" hidden="1">{"fdsup://directions/FAT Viewer?action=UPDATE&amp;creator=factset&amp;DYN_ARGS=TRUE&amp;DOC_NAME=FAT:FQL_AUDITING_CLIENT_TEMPLATE.FAT&amp;display_string=Audit&amp;VAR:KEY=NMLSZSVQJQ&amp;VAR:QUERY=UkdGX1RBWF9SQVRFKEFOTiwwLCwsLCwsTk9BVURJVCk=&amp;WINDOW=FIRST_POPUP&amp;HEIGHT=450&amp;WIDTH=450&amp;","START_MAXIMIZED=FALSE&amp;VAR:CALENDAR=US&amp;VAR:SYMBOL=705772&amp;VAR:INDEX=0"}</definedName>
    <definedName name="_3298__FDSAUDITLINK__" localSheetId="3" hidden="1">{"fdsup://directions/FAT Viewer?action=UPDATE&amp;creator=factset&amp;DYN_ARGS=TRUE&amp;DOC_NAME=FAT:FQL_AUDITING_CLIENT_TEMPLATE.FAT&amp;display_string=Audit&amp;VAR:KEY=NMLSZSVQJQ&amp;VAR:QUERY=UkdGX1RBWF9SQVRFKEFOTiwwLCwsLCwsTk9BVURJVCk=&amp;WINDOW=FIRST_POPUP&amp;HEIGHT=450&amp;WIDTH=450&amp;","START_MAXIMIZED=FALSE&amp;VAR:CALENDAR=US&amp;VAR:SYMBOL=705772&amp;VAR:INDEX=0"}</definedName>
    <definedName name="_3298__FDSAUDITLINK__" localSheetId="7" hidden="1">{"fdsup://directions/FAT Viewer?action=UPDATE&amp;creator=factset&amp;DYN_ARGS=TRUE&amp;DOC_NAME=FAT:FQL_AUDITING_CLIENT_TEMPLATE.FAT&amp;display_string=Audit&amp;VAR:KEY=NMLSZSVQJQ&amp;VAR:QUERY=UkdGX1RBWF9SQVRFKEFOTiwwLCwsLCwsTk9BVURJVCk=&amp;WINDOW=FIRST_POPUP&amp;HEIGHT=450&amp;WIDTH=450&amp;","START_MAXIMIZED=FALSE&amp;VAR:CALENDAR=US&amp;VAR:SYMBOL=705772&amp;VAR:INDEX=0"}</definedName>
    <definedName name="_3298__FDSAUDITLINK__" hidden="1">{"fdsup://directions/FAT Viewer?action=UPDATE&amp;creator=factset&amp;DYN_ARGS=TRUE&amp;DOC_NAME=FAT:FQL_AUDITING_CLIENT_TEMPLATE.FAT&amp;display_string=Audit&amp;VAR:KEY=NMLSZSVQJQ&amp;VAR:QUERY=UkdGX1RBWF9SQVRFKEFOTiwwLCwsLCwsTk9BVURJVCk=&amp;WINDOW=FIRST_POPUP&amp;HEIGHT=450&amp;WIDTH=450&amp;","START_MAXIMIZED=FALSE&amp;VAR:CALENDAR=US&amp;VAR:SYMBOL=705772&amp;VAR:INDEX=0"}</definedName>
    <definedName name="_3299__FDSAUDITLINK__" localSheetId="3" hidden="1">{"fdsup://directions/FAT Viewer?action=UPDATE&amp;creator=factset&amp;DYN_ARGS=TRUE&amp;DOC_NAME=FAT:FQL_AUDITING_CLIENT_TEMPLATE.FAT&amp;display_string=Audit&amp;VAR:KEY=VIZWXEHSLK&amp;VAR:QUERY=UkdGX1RBWF9SQVRFKEFOTiwwLCwsLCwsTk9BVURJVCk=&amp;WINDOW=FIRST_POPUP&amp;HEIGHT=450&amp;WIDTH=450&amp;","START_MAXIMIZED=FALSE&amp;VAR:CALENDAR=US&amp;VAR:SYMBOL=OTEX&amp;VAR:INDEX=0"}</definedName>
    <definedName name="_3299__FDSAUDITLINK__" localSheetId="7" hidden="1">{"fdsup://directions/FAT Viewer?action=UPDATE&amp;creator=factset&amp;DYN_ARGS=TRUE&amp;DOC_NAME=FAT:FQL_AUDITING_CLIENT_TEMPLATE.FAT&amp;display_string=Audit&amp;VAR:KEY=VIZWXEHSLK&amp;VAR:QUERY=UkdGX1RBWF9SQVRFKEFOTiwwLCwsLCwsTk9BVURJVCk=&amp;WINDOW=FIRST_POPUP&amp;HEIGHT=450&amp;WIDTH=450&amp;","START_MAXIMIZED=FALSE&amp;VAR:CALENDAR=US&amp;VAR:SYMBOL=OTEX&amp;VAR:INDEX=0"}</definedName>
    <definedName name="_3299__FDSAUDITLINK__" hidden="1">{"fdsup://directions/FAT Viewer?action=UPDATE&amp;creator=factset&amp;DYN_ARGS=TRUE&amp;DOC_NAME=FAT:FQL_AUDITING_CLIENT_TEMPLATE.FAT&amp;display_string=Audit&amp;VAR:KEY=VIZWXEHSLK&amp;VAR:QUERY=UkdGX1RBWF9SQVRFKEFOTiwwLCwsLCwsTk9BVURJVCk=&amp;WINDOW=FIRST_POPUP&amp;HEIGHT=450&amp;WIDTH=450&amp;","START_MAXIMIZED=FALSE&amp;VAR:CALENDAR=US&amp;VAR:SYMBOL=OTEX&amp;VAR:INDEX=0"}</definedName>
    <definedName name="_33__FDSAUDITLINK__" localSheetId="3" hidden="1">{"fdsup://Directions/FactSet Auditing Viewer?action=AUDIT_VALUE&amp;DB=129&amp;ID1=B17MHG&amp;VALUEID=01001_YTD&amp;SDATE=201002&amp;PERIODTYPE=QTR_STD&amp;SCFT=3&amp;window=popup_no_bar&amp;width=385&amp;height=120&amp;START_MAXIMIZED=FALSE&amp;creator=factset&amp;display_string=Audit"}</definedName>
    <definedName name="_33__FDSAUDITLINK__" localSheetId="7" hidden="1">{"fdsup://Directions/FactSet Auditing Viewer?action=AUDIT_VALUE&amp;DB=129&amp;ID1=B17MHG&amp;VALUEID=01001_YTD&amp;SDATE=201002&amp;PERIODTYPE=QTR_STD&amp;SCFT=3&amp;window=popup_no_bar&amp;width=385&amp;height=120&amp;START_MAXIMIZED=FALSE&amp;creator=factset&amp;display_string=Audit"}</definedName>
    <definedName name="_33__FDSAUDITLINK__" hidden="1">{"fdsup://Directions/FactSet Auditing Viewer?action=AUDIT_VALUE&amp;DB=129&amp;ID1=B17MHG&amp;VALUEID=01001_YTD&amp;SDATE=201002&amp;PERIODTYPE=QTR_STD&amp;SCFT=3&amp;window=popup_no_bar&amp;width=385&amp;height=120&amp;START_MAXIMIZED=FALSE&amp;creator=factset&amp;display_string=Audit"}</definedName>
    <definedName name="_330__FDSAUDITLINK__" localSheetId="3" hidden="1">{"fdsup://directions/FAT Viewer?action=UPDATE&amp;creator=factset&amp;DYN_ARGS=TRUE&amp;DOC_NAME=FAT:FQL_AUDITING_CLIENT_TEMPLATE.FAT&amp;display_string=Audit&amp;VAR:KEY=UZSBADSPAB&amp;VAR:QUERY=RkZfTkVUX0lOQyhMVE0sMCwsLCwsTSk=&amp;WINDOW=FIRST_POPUP&amp;HEIGHT=450&amp;WIDTH=450&amp;START_MAXIMI","ZED=FALSE&amp;VAR:CALENDAR=US&amp;VAR:SYMBOL=B0D749&amp;VAR:INDEX=0"}</definedName>
    <definedName name="_330__FDSAUDITLINK__" localSheetId="7" hidden="1">{"fdsup://directions/FAT Viewer?action=UPDATE&amp;creator=factset&amp;DYN_ARGS=TRUE&amp;DOC_NAME=FAT:FQL_AUDITING_CLIENT_TEMPLATE.FAT&amp;display_string=Audit&amp;VAR:KEY=UZSBADSPAB&amp;VAR:QUERY=RkZfTkVUX0lOQyhMVE0sMCwsLCwsTSk=&amp;WINDOW=FIRST_POPUP&amp;HEIGHT=450&amp;WIDTH=450&amp;START_MAXIMI","ZED=FALSE&amp;VAR:CALENDAR=US&amp;VAR:SYMBOL=B0D749&amp;VAR:INDEX=0"}</definedName>
    <definedName name="_330__FDSAUDITLINK__" hidden="1">{"fdsup://directions/FAT Viewer?action=UPDATE&amp;creator=factset&amp;DYN_ARGS=TRUE&amp;DOC_NAME=FAT:FQL_AUDITING_CLIENT_TEMPLATE.FAT&amp;display_string=Audit&amp;VAR:KEY=UZSBADSPAB&amp;VAR:QUERY=RkZfTkVUX0lOQyhMVE0sMCwsLCwsTSk=&amp;WINDOW=FIRST_POPUP&amp;HEIGHT=450&amp;WIDTH=450&amp;START_MAXIMI","ZED=FALSE&amp;VAR:CALENDAR=US&amp;VAR:SYMBOL=B0D749&amp;VAR:INDEX=0"}</definedName>
    <definedName name="_3300__FDSAUDITLINK__" localSheetId="3" hidden="1">{"fdsup://directions/FAT Viewer?action=UPDATE&amp;creator=factset&amp;DYN_ARGS=TRUE&amp;DOC_NAME=FAT:FQL_AUDITING_CLIENT_TEMPLATE.FAT&amp;display_string=Audit&amp;VAR:KEY=VIZWXEHSLK&amp;VAR:QUERY=UkdGX1RBWF9SQVRFKEFOTiwwLCwsLCwsTk9BVURJVCk=&amp;WINDOW=FIRST_POPUP&amp;HEIGHT=450&amp;WIDTH=450&amp;","START_MAXIMIZED=FALSE&amp;VAR:CALENDAR=US&amp;VAR:SYMBOL=OTEX&amp;VAR:INDEX=0"}</definedName>
    <definedName name="_3300__FDSAUDITLINK__" localSheetId="7" hidden="1">{"fdsup://directions/FAT Viewer?action=UPDATE&amp;creator=factset&amp;DYN_ARGS=TRUE&amp;DOC_NAME=FAT:FQL_AUDITING_CLIENT_TEMPLATE.FAT&amp;display_string=Audit&amp;VAR:KEY=VIZWXEHSLK&amp;VAR:QUERY=UkdGX1RBWF9SQVRFKEFOTiwwLCwsLCwsTk9BVURJVCk=&amp;WINDOW=FIRST_POPUP&amp;HEIGHT=450&amp;WIDTH=450&amp;","START_MAXIMIZED=FALSE&amp;VAR:CALENDAR=US&amp;VAR:SYMBOL=OTEX&amp;VAR:INDEX=0"}</definedName>
    <definedName name="_3300__FDSAUDITLINK__" hidden="1">{"fdsup://directions/FAT Viewer?action=UPDATE&amp;creator=factset&amp;DYN_ARGS=TRUE&amp;DOC_NAME=FAT:FQL_AUDITING_CLIENT_TEMPLATE.FAT&amp;display_string=Audit&amp;VAR:KEY=VIZWXEHSLK&amp;VAR:QUERY=UkdGX1RBWF9SQVRFKEFOTiwwLCwsLCwsTk9BVURJVCk=&amp;WINDOW=FIRST_POPUP&amp;HEIGHT=450&amp;WIDTH=450&amp;","START_MAXIMIZED=FALSE&amp;VAR:CALENDAR=US&amp;VAR:SYMBOL=OTEX&amp;VAR:INDEX=0"}</definedName>
    <definedName name="_3301__FDSAUDITLINK__" localSheetId="3" hidden="1">{"fdsup://directions/FAT Viewer?action=UPDATE&amp;creator=factset&amp;DYN_ARGS=TRUE&amp;DOC_NAME=FAT:FQL_AUDITING_CLIENT_TEMPLATE.FAT&amp;display_string=Audit&amp;VAR:KEY=BCHKRSNERK&amp;VAR:QUERY=UkdGX1RBWF9SQVRFKEFOTiwwLCwsLCwsTk9BVURJVCk=&amp;WINDOW=FIRST_POPUP&amp;HEIGHT=450&amp;WIDTH=450&amp;","START_MAXIMIZED=FALSE&amp;VAR:CALENDAR=US&amp;VAR:SYMBOL=OPEN&amp;VAR:INDEX=0"}</definedName>
    <definedName name="_3301__FDSAUDITLINK__" localSheetId="7" hidden="1">{"fdsup://directions/FAT Viewer?action=UPDATE&amp;creator=factset&amp;DYN_ARGS=TRUE&amp;DOC_NAME=FAT:FQL_AUDITING_CLIENT_TEMPLATE.FAT&amp;display_string=Audit&amp;VAR:KEY=BCHKRSNERK&amp;VAR:QUERY=UkdGX1RBWF9SQVRFKEFOTiwwLCwsLCwsTk9BVURJVCk=&amp;WINDOW=FIRST_POPUP&amp;HEIGHT=450&amp;WIDTH=450&amp;","START_MAXIMIZED=FALSE&amp;VAR:CALENDAR=US&amp;VAR:SYMBOL=OPEN&amp;VAR:INDEX=0"}</definedName>
    <definedName name="_3301__FDSAUDITLINK__" hidden="1">{"fdsup://directions/FAT Viewer?action=UPDATE&amp;creator=factset&amp;DYN_ARGS=TRUE&amp;DOC_NAME=FAT:FQL_AUDITING_CLIENT_TEMPLATE.FAT&amp;display_string=Audit&amp;VAR:KEY=BCHKRSNERK&amp;VAR:QUERY=UkdGX1RBWF9SQVRFKEFOTiwwLCwsLCwsTk9BVURJVCk=&amp;WINDOW=FIRST_POPUP&amp;HEIGHT=450&amp;WIDTH=450&amp;","START_MAXIMIZED=FALSE&amp;VAR:CALENDAR=US&amp;VAR:SYMBOL=OPEN&amp;VAR:INDEX=0"}</definedName>
    <definedName name="_3302__FDSAUDITLINK__" localSheetId="3" hidden="1">{"fdsup://directions/FAT Viewer?action=UPDATE&amp;creator=factset&amp;DYN_ARGS=TRUE&amp;DOC_NAME=FAT:FQL_AUDITING_CLIENT_TEMPLATE.FAT&amp;display_string=Audit&amp;VAR:KEY=BCHKRSNERK&amp;VAR:QUERY=UkdGX1RBWF9SQVRFKEFOTiwwLCwsLCwsTk9BVURJVCk=&amp;WINDOW=FIRST_POPUP&amp;HEIGHT=450&amp;WIDTH=450&amp;","START_MAXIMIZED=FALSE&amp;VAR:CALENDAR=US&amp;VAR:SYMBOL=OPEN&amp;VAR:INDEX=0"}</definedName>
    <definedName name="_3302__FDSAUDITLINK__" localSheetId="7" hidden="1">{"fdsup://directions/FAT Viewer?action=UPDATE&amp;creator=factset&amp;DYN_ARGS=TRUE&amp;DOC_NAME=FAT:FQL_AUDITING_CLIENT_TEMPLATE.FAT&amp;display_string=Audit&amp;VAR:KEY=BCHKRSNERK&amp;VAR:QUERY=UkdGX1RBWF9SQVRFKEFOTiwwLCwsLCwsTk9BVURJVCk=&amp;WINDOW=FIRST_POPUP&amp;HEIGHT=450&amp;WIDTH=450&amp;","START_MAXIMIZED=FALSE&amp;VAR:CALENDAR=US&amp;VAR:SYMBOL=OPEN&amp;VAR:INDEX=0"}</definedName>
    <definedName name="_3302__FDSAUDITLINK__" hidden="1">{"fdsup://directions/FAT Viewer?action=UPDATE&amp;creator=factset&amp;DYN_ARGS=TRUE&amp;DOC_NAME=FAT:FQL_AUDITING_CLIENT_TEMPLATE.FAT&amp;display_string=Audit&amp;VAR:KEY=BCHKRSNERK&amp;VAR:QUERY=UkdGX1RBWF9SQVRFKEFOTiwwLCwsLCwsTk9BVURJVCk=&amp;WINDOW=FIRST_POPUP&amp;HEIGHT=450&amp;WIDTH=450&amp;","START_MAXIMIZED=FALSE&amp;VAR:CALENDAR=US&amp;VAR:SYMBOL=OPEN&amp;VAR:INDEX=0"}</definedName>
    <definedName name="_3303__FDSAUDITLINK__" localSheetId="3" hidden="1">{"fdsup://directions/FAT Viewer?action=UPDATE&amp;creator=factset&amp;DYN_ARGS=TRUE&amp;DOC_NAME=FAT:FQL_AUDITING_CLIENT_TEMPLATE.FAT&amp;display_string=Audit&amp;VAR:KEY=HGBEXIHSZK&amp;VAR:QUERY=UkdGX1RBWF9SQVRFKEFOTiwwLCwsLCwsTk9BVURJVCk=&amp;WINDOW=FIRST_POPUP&amp;HEIGHT=450&amp;WIDTH=450&amp;","START_MAXIMIZED=FALSE&amp;VAR:CALENDAR=US&amp;VAR:SYMBOL=NUAN&amp;VAR:INDEX=0"}</definedName>
    <definedName name="_3303__FDSAUDITLINK__" localSheetId="7" hidden="1">{"fdsup://directions/FAT Viewer?action=UPDATE&amp;creator=factset&amp;DYN_ARGS=TRUE&amp;DOC_NAME=FAT:FQL_AUDITING_CLIENT_TEMPLATE.FAT&amp;display_string=Audit&amp;VAR:KEY=HGBEXIHSZK&amp;VAR:QUERY=UkdGX1RBWF9SQVRFKEFOTiwwLCwsLCwsTk9BVURJVCk=&amp;WINDOW=FIRST_POPUP&amp;HEIGHT=450&amp;WIDTH=450&amp;","START_MAXIMIZED=FALSE&amp;VAR:CALENDAR=US&amp;VAR:SYMBOL=NUAN&amp;VAR:INDEX=0"}</definedName>
    <definedName name="_3303__FDSAUDITLINK__" hidden="1">{"fdsup://directions/FAT Viewer?action=UPDATE&amp;creator=factset&amp;DYN_ARGS=TRUE&amp;DOC_NAME=FAT:FQL_AUDITING_CLIENT_TEMPLATE.FAT&amp;display_string=Audit&amp;VAR:KEY=HGBEXIHSZK&amp;VAR:QUERY=UkdGX1RBWF9SQVRFKEFOTiwwLCwsLCwsTk9BVURJVCk=&amp;WINDOW=FIRST_POPUP&amp;HEIGHT=450&amp;WIDTH=450&amp;","START_MAXIMIZED=FALSE&amp;VAR:CALENDAR=US&amp;VAR:SYMBOL=NUAN&amp;VAR:INDEX=0"}</definedName>
    <definedName name="_3304__FDSAUDITLINK__" localSheetId="3" hidden="1">{"fdsup://directions/FAT Viewer?action=UPDATE&amp;creator=factset&amp;DYN_ARGS=TRUE&amp;DOC_NAME=FAT:FQL_AUDITING_CLIENT_TEMPLATE.FAT&amp;display_string=Audit&amp;VAR:KEY=PEBWXMPCTU&amp;VAR:QUERY=UkdGX1RBWF9SQVRFKEFOTiwwLCwsLCwsTk9BVURJVCk=&amp;WINDOW=FIRST_POPUP&amp;HEIGHT=450&amp;WIDTH=450&amp;","START_MAXIMIZED=FALSE&amp;VAR:CALENDAR=US&amp;VAR:SYMBOL=NOVL&amp;VAR:INDEX=0"}</definedName>
    <definedName name="_3304__FDSAUDITLINK__" localSheetId="7" hidden="1">{"fdsup://directions/FAT Viewer?action=UPDATE&amp;creator=factset&amp;DYN_ARGS=TRUE&amp;DOC_NAME=FAT:FQL_AUDITING_CLIENT_TEMPLATE.FAT&amp;display_string=Audit&amp;VAR:KEY=PEBWXMPCTU&amp;VAR:QUERY=UkdGX1RBWF9SQVRFKEFOTiwwLCwsLCwsTk9BVURJVCk=&amp;WINDOW=FIRST_POPUP&amp;HEIGHT=450&amp;WIDTH=450&amp;","START_MAXIMIZED=FALSE&amp;VAR:CALENDAR=US&amp;VAR:SYMBOL=NOVL&amp;VAR:INDEX=0"}</definedName>
    <definedName name="_3304__FDSAUDITLINK__" hidden="1">{"fdsup://directions/FAT Viewer?action=UPDATE&amp;creator=factset&amp;DYN_ARGS=TRUE&amp;DOC_NAME=FAT:FQL_AUDITING_CLIENT_TEMPLATE.FAT&amp;display_string=Audit&amp;VAR:KEY=PEBWXMPCTU&amp;VAR:QUERY=UkdGX1RBWF9SQVRFKEFOTiwwLCwsLCwsTk9BVURJVCk=&amp;WINDOW=FIRST_POPUP&amp;HEIGHT=450&amp;WIDTH=450&amp;","START_MAXIMIZED=FALSE&amp;VAR:CALENDAR=US&amp;VAR:SYMBOL=NOVL&amp;VAR:INDEX=0"}</definedName>
    <definedName name="_3305__FDSAUDITLINK__" localSheetId="3" hidden="1">{"fdsup://directions/FAT Viewer?action=UPDATE&amp;creator=factset&amp;DYN_ARGS=TRUE&amp;DOC_NAME=FAT:FQL_AUDITING_CLIENT_TEMPLATE.FAT&amp;display_string=Audit&amp;VAR:KEY=PEBWXMPCTU&amp;VAR:QUERY=UkdGX1RBWF9SQVRFKEFOTiwwLCwsLCwsTk9BVURJVCk=&amp;WINDOW=FIRST_POPUP&amp;HEIGHT=450&amp;WIDTH=450&amp;","START_MAXIMIZED=FALSE&amp;VAR:CALENDAR=US&amp;VAR:SYMBOL=NOVL&amp;VAR:INDEX=0"}</definedName>
    <definedName name="_3305__FDSAUDITLINK__" localSheetId="7" hidden="1">{"fdsup://directions/FAT Viewer?action=UPDATE&amp;creator=factset&amp;DYN_ARGS=TRUE&amp;DOC_NAME=FAT:FQL_AUDITING_CLIENT_TEMPLATE.FAT&amp;display_string=Audit&amp;VAR:KEY=PEBWXMPCTU&amp;VAR:QUERY=UkdGX1RBWF9SQVRFKEFOTiwwLCwsLCwsTk9BVURJVCk=&amp;WINDOW=FIRST_POPUP&amp;HEIGHT=450&amp;WIDTH=450&amp;","START_MAXIMIZED=FALSE&amp;VAR:CALENDAR=US&amp;VAR:SYMBOL=NOVL&amp;VAR:INDEX=0"}</definedName>
    <definedName name="_3305__FDSAUDITLINK__" hidden="1">{"fdsup://directions/FAT Viewer?action=UPDATE&amp;creator=factset&amp;DYN_ARGS=TRUE&amp;DOC_NAME=FAT:FQL_AUDITING_CLIENT_TEMPLATE.FAT&amp;display_string=Audit&amp;VAR:KEY=PEBWXMPCTU&amp;VAR:QUERY=UkdGX1RBWF9SQVRFKEFOTiwwLCwsLCwsTk9BVURJVCk=&amp;WINDOW=FIRST_POPUP&amp;HEIGHT=450&amp;WIDTH=450&amp;","START_MAXIMIZED=FALSE&amp;VAR:CALENDAR=US&amp;VAR:SYMBOL=NOVL&amp;VAR:INDEX=0"}</definedName>
    <definedName name="_3306__FDSAUDITLINK__" localSheetId="3" hidden="1">{"fdsup://directions/FAT Viewer?action=UPDATE&amp;creator=factset&amp;DYN_ARGS=TRUE&amp;DOC_NAME=FAT:FQL_AUDITING_CLIENT_TEMPLATE.FAT&amp;display_string=Audit&amp;VAR:KEY=NIFEDYVUTM&amp;VAR:QUERY=UkdGX1RBWF9SQVRFKEFOTiwwLCwsLCwsTk9BVURJVCk=&amp;WINDOW=FIRST_POPUP&amp;HEIGHT=450&amp;WIDTH=450&amp;","START_MAXIMIZED=FALSE&amp;VAR:CALENDAR=US&amp;VAR:SYMBOL=590294&amp;VAR:INDEX=0"}</definedName>
    <definedName name="_3306__FDSAUDITLINK__" localSheetId="7" hidden="1">{"fdsup://directions/FAT Viewer?action=UPDATE&amp;creator=factset&amp;DYN_ARGS=TRUE&amp;DOC_NAME=FAT:FQL_AUDITING_CLIENT_TEMPLATE.FAT&amp;display_string=Audit&amp;VAR:KEY=NIFEDYVUTM&amp;VAR:QUERY=UkdGX1RBWF9SQVRFKEFOTiwwLCwsLCwsTk9BVURJVCk=&amp;WINDOW=FIRST_POPUP&amp;HEIGHT=450&amp;WIDTH=450&amp;","START_MAXIMIZED=FALSE&amp;VAR:CALENDAR=US&amp;VAR:SYMBOL=590294&amp;VAR:INDEX=0"}</definedName>
    <definedName name="_3306__FDSAUDITLINK__" hidden="1">{"fdsup://directions/FAT Viewer?action=UPDATE&amp;creator=factset&amp;DYN_ARGS=TRUE&amp;DOC_NAME=FAT:FQL_AUDITING_CLIENT_TEMPLATE.FAT&amp;display_string=Audit&amp;VAR:KEY=NIFEDYVUTM&amp;VAR:QUERY=UkdGX1RBWF9SQVRFKEFOTiwwLCwsLCwsTk9BVURJVCk=&amp;WINDOW=FIRST_POPUP&amp;HEIGHT=450&amp;WIDTH=450&amp;","START_MAXIMIZED=FALSE&amp;VAR:CALENDAR=US&amp;VAR:SYMBOL=590294&amp;VAR:INDEX=0"}</definedName>
    <definedName name="_3307__FDSAUDITLINK__" localSheetId="3" hidden="1">{"fdsup://directions/FAT Viewer?action=UPDATE&amp;creator=factset&amp;DYN_ARGS=TRUE&amp;DOC_NAME=FAT:FQL_AUDITING_CLIENT_TEMPLATE.FAT&amp;display_string=Audit&amp;VAR:KEY=NIFEDYVUTM&amp;VAR:QUERY=UkdGX1RBWF9SQVRFKEFOTiwwLCwsLCwsTk9BVURJVCk=&amp;WINDOW=FIRST_POPUP&amp;HEIGHT=450&amp;WIDTH=450&amp;","START_MAXIMIZED=FALSE&amp;VAR:CALENDAR=US&amp;VAR:SYMBOL=590294&amp;VAR:INDEX=0"}</definedName>
    <definedName name="_3307__FDSAUDITLINK__" localSheetId="7" hidden="1">{"fdsup://directions/FAT Viewer?action=UPDATE&amp;creator=factset&amp;DYN_ARGS=TRUE&amp;DOC_NAME=FAT:FQL_AUDITING_CLIENT_TEMPLATE.FAT&amp;display_string=Audit&amp;VAR:KEY=NIFEDYVUTM&amp;VAR:QUERY=UkdGX1RBWF9SQVRFKEFOTiwwLCwsLCwsTk9BVURJVCk=&amp;WINDOW=FIRST_POPUP&amp;HEIGHT=450&amp;WIDTH=450&amp;","START_MAXIMIZED=FALSE&amp;VAR:CALENDAR=US&amp;VAR:SYMBOL=590294&amp;VAR:INDEX=0"}</definedName>
    <definedName name="_3307__FDSAUDITLINK__" hidden="1">{"fdsup://directions/FAT Viewer?action=UPDATE&amp;creator=factset&amp;DYN_ARGS=TRUE&amp;DOC_NAME=FAT:FQL_AUDITING_CLIENT_TEMPLATE.FAT&amp;display_string=Audit&amp;VAR:KEY=NIFEDYVUTM&amp;VAR:QUERY=UkdGX1RBWF9SQVRFKEFOTiwwLCwsLCwsTk9BVURJVCk=&amp;WINDOW=FIRST_POPUP&amp;HEIGHT=450&amp;WIDTH=450&amp;","START_MAXIMIZED=FALSE&amp;VAR:CALENDAR=US&amp;VAR:SYMBOL=590294&amp;VAR:INDEX=0"}</definedName>
    <definedName name="_3308__FDSAUDITLINK__" localSheetId="3" hidden="1">{"fdsup://directions/FAT Viewer?action=UPDATE&amp;creator=factset&amp;DYN_ARGS=TRUE&amp;DOC_NAME=FAT:FQL_AUDITING_CLIENT_TEMPLATE.FAT&amp;display_string=Audit&amp;VAR:KEY=BEJSXAZCRS&amp;VAR:QUERY=UkdGX1RBWF9SQVRFKEFOTiwwLCwsLCwsTk9BVURJVCk=&amp;WINDOW=FIRST_POPUP&amp;HEIGHT=450&amp;WIDTH=450&amp;","START_MAXIMIZED=FALSE&amp;VAR:CALENDAR=US&amp;VAR:SYMBOL=NSR&amp;VAR:INDEX=0"}</definedName>
    <definedName name="_3308__FDSAUDITLINK__" localSheetId="7" hidden="1">{"fdsup://directions/FAT Viewer?action=UPDATE&amp;creator=factset&amp;DYN_ARGS=TRUE&amp;DOC_NAME=FAT:FQL_AUDITING_CLIENT_TEMPLATE.FAT&amp;display_string=Audit&amp;VAR:KEY=BEJSXAZCRS&amp;VAR:QUERY=UkdGX1RBWF9SQVRFKEFOTiwwLCwsLCwsTk9BVURJVCk=&amp;WINDOW=FIRST_POPUP&amp;HEIGHT=450&amp;WIDTH=450&amp;","START_MAXIMIZED=FALSE&amp;VAR:CALENDAR=US&amp;VAR:SYMBOL=NSR&amp;VAR:INDEX=0"}</definedName>
    <definedName name="_3308__FDSAUDITLINK__" hidden="1">{"fdsup://directions/FAT Viewer?action=UPDATE&amp;creator=factset&amp;DYN_ARGS=TRUE&amp;DOC_NAME=FAT:FQL_AUDITING_CLIENT_TEMPLATE.FAT&amp;display_string=Audit&amp;VAR:KEY=BEJSXAZCRS&amp;VAR:QUERY=UkdGX1RBWF9SQVRFKEFOTiwwLCwsLCwsTk9BVURJVCk=&amp;WINDOW=FIRST_POPUP&amp;HEIGHT=450&amp;WIDTH=450&amp;","START_MAXIMIZED=FALSE&amp;VAR:CALENDAR=US&amp;VAR:SYMBOL=NSR&amp;VAR:INDEX=0"}</definedName>
    <definedName name="_3309__FDSAUDITLINK__" localSheetId="3" hidden="1">{"fdsup://directions/FAT Viewer?action=UPDATE&amp;creator=factset&amp;DYN_ARGS=TRUE&amp;DOC_NAME=FAT:FQL_AUDITING_CLIENT_TEMPLATE.FAT&amp;display_string=Audit&amp;VAR:KEY=BEJSXAZCRS&amp;VAR:QUERY=UkdGX1RBWF9SQVRFKEFOTiwwLCwsLCwsTk9BVURJVCk=&amp;WINDOW=FIRST_POPUP&amp;HEIGHT=450&amp;WIDTH=450&amp;","START_MAXIMIZED=FALSE&amp;VAR:CALENDAR=US&amp;VAR:SYMBOL=NSR&amp;VAR:INDEX=0"}</definedName>
    <definedName name="_3309__FDSAUDITLINK__" localSheetId="7" hidden="1">{"fdsup://directions/FAT Viewer?action=UPDATE&amp;creator=factset&amp;DYN_ARGS=TRUE&amp;DOC_NAME=FAT:FQL_AUDITING_CLIENT_TEMPLATE.FAT&amp;display_string=Audit&amp;VAR:KEY=BEJSXAZCRS&amp;VAR:QUERY=UkdGX1RBWF9SQVRFKEFOTiwwLCwsLCwsTk9BVURJVCk=&amp;WINDOW=FIRST_POPUP&amp;HEIGHT=450&amp;WIDTH=450&amp;","START_MAXIMIZED=FALSE&amp;VAR:CALENDAR=US&amp;VAR:SYMBOL=NSR&amp;VAR:INDEX=0"}</definedName>
    <definedName name="_3309__FDSAUDITLINK__" hidden="1">{"fdsup://directions/FAT Viewer?action=UPDATE&amp;creator=factset&amp;DYN_ARGS=TRUE&amp;DOC_NAME=FAT:FQL_AUDITING_CLIENT_TEMPLATE.FAT&amp;display_string=Audit&amp;VAR:KEY=BEJSXAZCRS&amp;VAR:QUERY=UkdGX1RBWF9SQVRFKEFOTiwwLCwsLCwsTk9BVURJVCk=&amp;WINDOW=FIRST_POPUP&amp;HEIGHT=450&amp;WIDTH=450&amp;","START_MAXIMIZED=FALSE&amp;VAR:CALENDAR=US&amp;VAR:SYMBOL=NSR&amp;VAR:INDEX=0"}</definedName>
    <definedName name="_331__FDSAUDITLINK__" localSheetId="3" hidden="1">{"fdsup://directions/FAT Viewer?action=UPDATE&amp;creator=factset&amp;DYN_ARGS=TRUE&amp;DOC_NAME=FAT:FQL_AUDITING_CLIENT_TEMPLATE.FAT&amp;display_string=Audit&amp;VAR:KEY=JWLCLABSDO&amp;VAR:QUERY=RkZfRUJJVERBX09QRVIoTFRNLDAsLCwsLE0p&amp;WINDOW=FIRST_POPUP&amp;HEIGHT=450&amp;WIDTH=450&amp;START_MA","XIMIZED=FALSE&amp;VAR:CALENDAR=US&amp;VAR:SYMBOL=B0D749&amp;VAR:INDEX=0"}</definedName>
    <definedName name="_331__FDSAUDITLINK__" localSheetId="7" hidden="1">{"fdsup://directions/FAT Viewer?action=UPDATE&amp;creator=factset&amp;DYN_ARGS=TRUE&amp;DOC_NAME=FAT:FQL_AUDITING_CLIENT_TEMPLATE.FAT&amp;display_string=Audit&amp;VAR:KEY=JWLCLABSDO&amp;VAR:QUERY=RkZfRUJJVERBX09QRVIoTFRNLDAsLCwsLE0p&amp;WINDOW=FIRST_POPUP&amp;HEIGHT=450&amp;WIDTH=450&amp;START_MA","XIMIZED=FALSE&amp;VAR:CALENDAR=US&amp;VAR:SYMBOL=B0D749&amp;VAR:INDEX=0"}</definedName>
    <definedName name="_331__FDSAUDITLINK__" hidden="1">{"fdsup://directions/FAT Viewer?action=UPDATE&amp;creator=factset&amp;DYN_ARGS=TRUE&amp;DOC_NAME=FAT:FQL_AUDITING_CLIENT_TEMPLATE.FAT&amp;display_string=Audit&amp;VAR:KEY=JWLCLABSDO&amp;VAR:QUERY=RkZfRUJJVERBX09QRVIoTFRNLDAsLCwsLE0p&amp;WINDOW=FIRST_POPUP&amp;HEIGHT=450&amp;WIDTH=450&amp;START_MA","XIMIZED=FALSE&amp;VAR:CALENDAR=US&amp;VAR:SYMBOL=B0D749&amp;VAR:INDEX=0"}</definedName>
    <definedName name="_3310__FDSAUDITLINK__" localSheetId="3" hidden="1">{"fdsup://directions/FAT Viewer?action=UPDATE&amp;creator=factset&amp;DYN_ARGS=TRUE&amp;DOC_NAME=FAT:FQL_AUDITING_CLIENT_TEMPLATE.FAT&amp;display_string=Audit&amp;VAR:KEY=HAFMTKZGTA&amp;VAR:QUERY=UkdGX1RBWF9SQVRFKEFOTiwwLCwsLCwsTk9BVURJVCk=&amp;WINDOW=FIRST_POPUP&amp;HEIGHT=450&amp;WIDTH=450&amp;","START_MAXIMIZED=FALSE&amp;VAR:CALENDAR=US&amp;VAR:SYMBOL=N&amp;VAR:INDEX=0"}</definedName>
    <definedName name="_3310__FDSAUDITLINK__" localSheetId="7" hidden="1">{"fdsup://directions/FAT Viewer?action=UPDATE&amp;creator=factset&amp;DYN_ARGS=TRUE&amp;DOC_NAME=FAT:FQL_AUDITING_CLIENT_TEMPLATE.FAT&amp;display_string=Audit&amp;VAR:KEY=HAFMTKZGTA&amp;VAR:QUERY=UkdGX1RBWF9SQVRFKEFOTiwwLCwsLCwsTk9BVURJVCk=&amp;WINDOW=FIRST_POPUP&amp;HEIGHT=450&amp;WIDTH=450&amp;","START_MAXIMIZED=FALSE&amp;VAR:CALENDAR=US&amp;VAR:SYMBOL=N&amp;VAR:INDEX=0"}</definedName>
    <definedName name="_3310__FDSAUDITLINK__" hidden="1">{"fdsup://directions/FAT Viewer?action=UPDATE&amp;creator=factset&amp;DYN_ARGS=TRUE&amp;DOC_NAME=FAT:FQL_AUDITING_CLIENT_TEMPLATE.FAT&amp;display_string=Audit&amp;VAR:KEY=HAFMTKZGTA&amp;VAR:QUERY=UkdGX1RBWF9SQVRFKEFOTiwwLCwsLCwsTk9BVURJVCk=&amp;WINDOW=FIRST_POPUP&amp;HEIGHT=450&amp;WIDTH=450&amp;","START_MAXIMIZED=FALSE&amp;VAR:CALENDAR=US&amp;VAR:SYMBOL=N&amp;VAR:INDEX=0"}</definedName>
    <definedName name="_3311__FDSAUDITLINK__" localSheetId="3" hidden="1">{"fdsup://directions/FAT Viewer?action=UPDATE&amp;creator=factset&amp;DYN_ARGS=TRUE&amp;DOC_NAME=FAT:FQL_AUDITING_CLIENT_TEMPLATE.FAT&amp;display_string=Audit&amp;VAR:KEY=NANMFEZWRW&amp;VAR:QUERY=UkdGX1RBWF9SQVRFKEFOTiwwLCwsLCwsTk9BVURJVCk=&amp;WINDOW=FIRST_POPUP&amp;HEIGHT=450&amp;WIDTH=450&amp;","START_MAXIMIZED=FALSE&amp;VAR:CALENDAR=US&amp;VAR:SYMBOL=NFLX&amp;VAR:INDEX=0"}</definedName>
    <definedName name="_3311__FDSAUDITLINK__" localSheetId="7" hidden="1">{"fdsup://directions/FAT Viewer?action=UPDATE&amp;creator=factset&amp;DYN_ARGS=TRUE&amp;DOC_NAME=FAT:FQL_AUDITING_CLIENT_TEMPLATE.FAT&amp;display_string=Audit&amp;VAR:KEY=NANMFEZWRW&amp;VAR:QUERY=UkdGX1RBWF9SQVRFKEFOTiwwLCwsLCwsTk9BVURJVCk=&amp;WINDOW=FIRST_POPUP&amp;HEIGHT=450&amp;WIDTH=450&amp;","START_MAXIMIZED=FALSE&amp;VAR:CALENDAR=US&amp;VAR:SYMBOL=NFLX&amp;VAR:INDEX=0"}</definedName>
    <definedName name="_3311__FDSAUDITLINK__" hidden="1">{"fdsup://directions/FAT Viewer?action=UPDATE&amp;creator=factset&amp;DYN_ARGS=TRUE&amp;DOC_NAME=FAT:FQL_AUDITING_CLIENT_TEMPLATE.FAT&amp;display_string=Audit&amp;VAR:KEY=NANMFEZWRW&amp;VAR:QUERY=UkdGX1RBWF9SQVRFKEFOTiwwLCwsLCwsTk9BVURJVCk=&amp;WINDOW=FIRST_POPUP&amp;HEIGHT=450&amp;WIDTH=450&amp;","START_MAXIMIZED=FALSE&amp;VAR:CALENDAR=US&amp;VAR:SYMBOL=NFLX&amp;VAR:INDEX=0"}</definedName>
    <definedName name="_3312__FDSAUDITLINK__" localSheetId="3" hidden="1">{"fdsup://directions/FAT Viewer?action=UPDATE&amp;creator=factset&amp;DYN_ARGS=TRUE&amp;DOC_NAME=FAT:FQL_AUDITING_CLIENT_TEMPLATE.FAT&amp;display_string=Audit&amp;VAR:KEY=NANMFEZWRW&amp;VAR:QUERY=UkdGX1RBWF9SQVRFKEFOTiwwLCwsLCwsTk9BVURJVCk=&amp;WINDOW=FIRST_POPUP&amp;HEIGHT=450&amp;WIDTH=450&amp;","START_MAXIMIZED=FALSE&amp;VAR:CALENDAR=US&amp;VAR:SYMBOL=NFLX&amp;VAR:INDEX=0"}</definedName>
    <definedName name="_3312__FDSAUDITLINK__" localSheetId="7" hidden="1">{"fdsup://directions/FAT Viewer?action=UPDATE&amp;creator=factset&amp;DYN_ARGS=TRUE&amp;DOC_NAME=FAT:FQL_AUDITING_CLIENT_TEMPLATE.FAT&amp;display_string=Audit&amp;VAR:KEY=NANMFEZWRW&amp;VAR:QUERY=UkdGX1RBWF9SQVRFKEFOTiwwLCwsLCwsTk9BVURJVCk=&amp;WINDOW=FIRST_POPUP&amp;HEIGHT=450&amp;WIDTH=450&amp;","START_MAXIMIZED=FALSE&amp;VAR:CALENDAR=US&amp;VAR:SYMBOL=NFLX&amp;VAR:INDEX=0"}</definedName>
    <definedName name="_3312__FDSAUDITLINK__" hidden="1">{"fdsup://directions/FAT Viewer?action=UPDATE&amp;creator=factset&amp;DYN_ARGS=TRUE&amp;DOC_NAME=FAT:FQL_AUDITING_CLIENT_TEMPLATE.FAT&amp;display_string=Audit&amp;VAR:KEY=NANMFEZWRW&amp;VAR:QUERY=UkdGX1RBWF9SQVRFKEFOTiwwLCwsLCwsTk9BVURJVCk=&amp;WINDOW=FIRST_POPUP&amp;HEIGHT=450&amp;WIDTH=450&amp;","START_MAXIMIZED=FALSE&amp;VAR:CALENDAR=US&amp;VAR:SYMBOL=NFLX&amp;VAR:INDEX=0"}</definedName>
    <definedName name="_3313__FDSAUDITLINK__" localSheetId="3" hidden="1">{"fdsup://directions/FAT Viewer?action=UPDATE&amp;creator=factset&amp;DYN_ARGS=TRUE&amp;DOC_NAME=FAT:FQL_AUDITING_CLIENT_TEMPLATE.FAT&amp;display_string=Audit&amp;VAR:KEY=ZUFOFKREJI&amp;VAR:QUERY=UkdGX1RBWF9SQVRFKEFOTiwwLCwsLCwsTk9BVURJVCk=&amp;WINDOW=FIRST_POPUP&amp;HEIGHT=450&amp;WIDTH=450&amp;","START_MAXIMIZED=FALSE&amp;VAR:CALENDAR=US&amp;VAR:SYMBOL=NTAP&amp;VAR:INDEX=0"}</definedName>
    <definedName name="_3313__FDSAUDITLINK__" localSheetId="7" hidden="1">{"fdsup://directions/FAT Viewer?action=UPDATE&amp;creator=factset&amp;DYN_ARGS=TRUE&amp;DOC_NAME=FAT:FQL_AUDITING_CLIENT_TEMPLATE.FAT&amp;display_string=Audit&amp;VAR:KEY=ZUFOFKREJI&amp;VAR:QUERY=UkdGX1RBWF9SQVRFKEFOTiwwLCwsLCwsTk9BVURJVCk=&amp;WINDOW=FIRST_POPUP&amp;HEIGHT=450&amp;WIDTH=450&amp;","START_MAXIMIZED=FALSE&amp;VAR:CALENDAR=US&amp;VAR:SYMBOL=NTAP&amp;VAR:INDEX=0"}</definedName>
    <definedName name="_3313__FDSAUDITLINK__" hidden="1">{"fdsup://directions/FAT Viewer?action=UPDATE&amp;creator=factset&amp;DYN_ARGS=TRUE&amp;DOC_NAME=FAT:FQL_AUDITING_CLIENT_TEMPLATE.FAT&amp;display_string=Audit&amp;VAR:KEY=ZUFOFKREJI&amp;VAR:QUERY=UkdGX1RBWF9SQVRFKEFOTiwwLCwsLCwsTk9BVURJVCk=&amp;WINDOW=FIRST_POPUP&amp;HEIGHT=450&amp;WIDTH=450&amp;","START_MAXIMIZED=FALSE&amp;VAR:CALENDAR=US&amp;VAR:SYMBOL=NTAP&amp;VAR:INDEX=0"}</definedName>
    <definedName name="_3314__FDSAUDITLINK__" localSheetId="3" hidden="1">{"fdsup://directions/FAT Viewer?action=UPDATE&amp;creator=factset&amp;DYN_ARGS=TRUE&amp;DOC_NAME=FAT:FQL_AUDITING_CLIENT_TEMPLATE.FAT&amp;display_string=Audit&amp;VAR:KEY=ZUFOFKREJI&amp;VAR:QUERY=UkdGX1RBWF9SQVRFKEFOTiwwLCwsLCwsTk9BVURJVCk=&amp;WINDOW=FIRST_POPUP&amp;HEIGHT=450&amp;WIDTH=450&amp;","START_MAXIMIZED=FALSE&amp;VAR:CALENDAR=US&amp;VAR:SYMBOL=NTAP&amp;VAR:INDEX=0"}</definedName>
    <definedName name="_3314__FDSAUDITLINK__" localSheetId="7" hidden="1">{"fdsup://directions/FAT Viewer?action=UPDATE&amp;creator=factset&amp;DYN_ARGS=TRUE&amp;DOC_NAME=FAT:FQL_AUDITING_CLIENT_TEMPLATE.FAT&amp;display_string=Audit&amp;VAR:KEY=ZUFOFKREJI&amp;VAR:QUERY=UkdGX1RBWF9SQVRFKEFOTiwwLCwsLCwsTk9BVURJVCk=&amp;WINDOW=FIRST_POPUP&amp;HEIGHT=450&amp;WIDTH=450&amp;","START_MAXIMIZED=FALSE&amp;VAR:CALENDAR=US&amp;VAR:SYMBOL=NTAP&amp;VAR:INDEX=0"}</definedName>
    <definedName name="_3314__FDSAUDITLINK__" hidden="1">{"fdsup://directions/FAT Viewer?action=UPDATE&amp;creator=factset&amp;DYN_ARGS=TRUE&amp;DOC_NAME=FAT:FQL_AUDITING_CLIENT_TEMPLATE.FAT&amp;display_string=Audit&amp;VAR:KEY=ZUFOFKREJI&amp;VAR:QUERY=UkdGX1RBWF9SQVRFKEFOTiwwLCwsLCwsTk9BVURJVCk=&amp;WINDOW=FIRST_POPUP&amp;HEIGHT=450&amp;WIDTH=450&amp;","START_MAXIMIZED=FALSE&amp;VAR:CALENDAR=US&amp;VAR:SYMBOL=NTAP&amp;VAR:INDEX=0"}</definedName>
    <definedName name="_3315__FDSAUDITLINK__" localSheetId="3" hidden="1">{"fdsup://directions/FAT Viewer?action=UPDATE&amp;creator=factset&amp;DYN_ARGS=TRUE&amp;DOC_NAME=FAT:FQL_AUDITING_CLIENT_TEMPLATE.FAT&amp;display_string=Audit&amp;VAR:KEY=BQHKVSDMTW&amp;VAR:QUERY=UkdGX1RBWF9SQVRFKEFOTiwwLCwsLCwsTk9BVURJVCk=&amp;WINDOW=FIRST_POPUP&amp;HEIGHT=450&amp;WIDTH=450&amp;","START_MAXIMIZED=FALSE&amp;VAR:CALENDAR=US&amp;VAR:SYMBOL=563396&amp;VAR:INDEX=0"}</definedName>
    <definedName name="_3315__FDSAUDITLINK__" localSheetId="7" hidden="1">{"fdsup://directions/FAT Viewer?action=UPDATE&amp;creator=factset&amp;DYN_ARGS=TRUE&amp;DOC_NAME=FAT:FQL_AUDITING_CLIENT_TEMPLATE.FAT&amp;display_string=Audit&amp;VAR:KEY=BQHKVSDMTW&amp;VAR:QUERY=UkdGX1RBWF9SQVRFKEFOTiwwLCwsLCwsTk9BVURJVCk=&amp;WINDOW=FIRST_POPUP&amp;HEIGHT=450&amp;WIDTH=450&amp;","START_MAXIMIZED=FALSE&amp;VAR:CALENDAR=US&amp;VAR:SYMBOL=563396&amp;VAR:INDEX=0"}</definedName>
    <definedName name="_3315__FDSAUDITLINK__" hidden="1">{"fdsup://directions/FAT Viewer?action=UPDATE&amp;creator=factset&amp;DYN_ARGS=TRUE&amp;DOC_NAME=FAT:FQL_AUDITING_CLIENT_TEMPLATE.FAT&amp;display_string=Audit&amp;VAR:KEY=BQHKVSDMTW&amp;VAR:QUERY=UkdGX1RBWF9SQVRFKEFOTiwwLCwsLCwsTk9BVURJVCk=&amp;WINDOW=FIRST_POPUP&amp;HEIGHT=450&amp;WIDTH=450&amp;","START_MAXIMIZED=FALSE&amp;VAR:CALENDAR=US&amp;VAR:SYMBOL=563396&amp;VAR:INDEX=0"}</definedName>
    <definedName name="_3316__FDSAUDITLINK__" localSheetId="3" hidden="1">{"fdsup://directions/FAT Viewer?action=UPDATE&amp;creator=factset&amp;DYN_ARGS=TRUE&amp;DOC_NAME=FAT:FQL_AUDITING_CLIENT_TEMPLATE.FAT&amp;display_string=Audit&amp;VAR:KEY=BQHKVSDMTW&amp;VAR:QUERY=UkdGX1RBWF9SQVRFKEFOTiwwLCwsLCwsTk9BVURJVCk=&amp;WINDOW=FIRST_POPUP&amp;HEIGHT=450&amp;WIDTH=450&amp;","START_MAXIMIZED=FALSE&amp;VAR:CALENDAR=US&amp;VAR:SYMBOL=563396&amp;VAR:INDEX=0"}</definedName>
    <definedName name="_3316__FDSAUDITLINK__" localSheetId="7" hidden="1">{"fdsup://directions/FAT Viewer?action=UPDATE&amp;creator=factset&amp;DYN_ARGS=TRUE&amp;DOC_NAME=FAT:FQL_AUDITING_CLIENT_TEMPLATE.FAT&amp;display_string=Audit&amp;VAR:KEY=BQHKVSDMTW&amp;VAR:QUERY=UkdGX1RBWF9SQVRFKEFOTiwwLCwsLCwsTk9BVURJVCk=&amp;WINDOW=FIRST_POPUP&amp;HEIGHT=450&amp;WIDTH=450&amp;","START_MAXIMIZED=FALSE&amp;VAR:CALENDAR=US&amp;VAR:SYMBOL=563396&amp;VAR:INDEX=0"}</definedName>
    <definedName name="_3316__FDSAUDITLINK__" hidden="1">{"fdsup://directions/FAT Viewer?action=UPDATE&amp;creator=factset&amp;DYN_ARGS=TRUE&amp;DOC_NAME=FAT:FQL_AUDITING_CLIENT_TEMPLATE.FAT&amp;display_string=Audit&amp;VAR:KEY=BQHKVSDMTW&amp;VAR:QUERY=UkdGX1RBWF9SQVRFKEFOTiwwLCwsLCwsTk9BVURJVCk=&amp;WINDOW=FIRST_POPUP&amp;HEIGHT=450&amp;WIDTH=450&amp;","START_MAXIMIZED=FALSE&amp;VAR:CALENDAR=US&amp;VAR:SYMBOL=563396&amp;VAR:INDEX=0"}</definedName>
    <definedName name="_3317__FDSAUDITLINK__" localSheetId="3" hidden="1">{"fdsup://directions/FAT Viewer?action=UPDATE&amp;creator=factset&amp;DYN_ARGS=TRUE&amp;DOC_NAME=FAT:FQL_AUDITING_CLIENT_TEMPLATE.FAT&amp;display_string=Audit&amp;VAR:KEY=TQBGPCHUJE&amp;VAR:QUERY=UkdGX1RBWF9SQVRFKEFOTiwwLCwsLCwsTk9BVURJVCk=&amp;WINDOW=FIRST_POPUP&amp;HEIGHT=450&amp;WIDTH=450&amp;","START_MAXIMIZED=FALSE&amp;VAR:CALENDAR=US&amp;VAR:SYMBOL=MOTR&amp;VAR:INDEX=0"}</definedName>
    <definedName name="_3317__FDSAUDITLINK__" localSheetId="7" hidden="1">{"fdsup://directions/FAT Viewer?action=UPDATE&amp;creator=factset&amp;DYN_ARGS=TRUE&amp;DOC_NAME=FAT:FQL_AUDITING_CLIENT_TEMPLATE.FAT&amp;display_string=Audit&amp;VAR:KEY=TQBGPCHUJE&amp;VAR:QUERY=UkdGX1RBWF9SQVRFKEFOTiwwLCwsLCwsTk9BVURJVCk=&amp;WINDOW=FIRST_POPUP&amp;HEIGHT=450&amp;WIDTH=450&amp;","START_MAXIMIZED=FALSE&amp;VAR:CALENDAR=US&amp;VAR:SYMBOL=MOTR&amp;VAR:INDEX=0"}</definedName>
    <definedName name="_3317__FDSAUDITLINK__" hidden="1">{"fdsup://directions/FAT Viewer?action=UPDATE&amp;creator=factset&amp;DYN_ARGS=TRUE&amp;DOC_NAME=FAT:FQL_AUDITING_CLIENT_TEMPLATE.FAT&amp;display_string=Audit&amp;VAR:KEY=TQBGPCHUJE&amp;VAR:QUERY=UkdGX1RBWF9SQVRFKEFOTiwwLCwsLCwsTk9BVURJVCk=&amp;WINDOW=FIRST_POPUP&amp;HEIGHT=450&amp;WIDTH=450&amp;","START_MAXIMIZED=FALSE&amp;VAR:CALENDAR=US&amp;VAR:SYMBOL=MOTR&amp;VAR:INDEX=0"}</definedName>
    <definedName name="_3318__FDSAUDITLINK__" localSheetId="3" hidden="1">{"fdsup://directions/FAT Viewer?action=UPDATE&amp;creator=factset&amp;DYN_ARGS=TRUE&amp;DOC_NAME=FAT:FQL_AUDITING_CLIENT_TEMPLATE.FAT&amp;display_string=Audit&amp;VAR:KEY=DQPCPOPOJE&amp;VAR:QUERY=UkdGX1RBWF9SQVRFKEFOTiwwLCwsLCwsTk9BVURJVCk=&amp;WINDOW=FIRST_POPUP&amp;HEIGHT=450&amp;WIDTH=450&amp;","START_MAXIMIZED=FALSE&amp;VAR:CALENDAR=US&amp;VAR:SYMBOL=MOT&amp;VAR:INDEX=0"}</definedName>
    <definedName name="_3318__FDSAUDITLINK__" localSheetId="7" hidden="1">{"fdsup://directions/FAT Viewer?action=UPDATE&amp;creator=factset&amp;DYN_ARGS=TRUE&amp;DOC_NAME=FAT:FQL_AUDITING_CLIENT_TEMPLATE.FAT&amp;display_string=Audit&amp;VAR:KEY=DQPCPOPOJE&amp;VAR:QUERY=UkdGX1RBWF9SQVRFKEFOTiwwLCwsLCwsTk9BVURJVCk=&amp;WINDOW=FIRST_POPUP&amp;HEIGHT=450&amp;WIDTH=450&amp;","START_MAXIMIZED=FALSE&amp;VAR:CALENDAR=US&amp;VAR:SYMBOL=MOT&amp;VAR:INDEX=0"}</definedName>
    <definedName name="_3318__FDSAUDITLINK__" hidden="1">{"fdsup://directions/FAT Viewer?action=UPDATE&amp;creator=factset&amp;DYN_ARGS=TRUE&amp;DOC_NAME=FAT:FQL_AUDITING_CLIENT_TEMPLATE.FAT&amp;display_string=Audit&amp;VAR:KEY=DQPCPOPOJE&amp;VAR:QUERY=UkdGX1RBWF9SQVRFKEFOTiwwLCwsLCwsTk9BVURJVCk=&amp;WINDOW=FIRST_POPUP&amp;HEIGHT=450&amp;WIDTH=450&amp;","START_MAXIMIZED=FALSE&amp;VAR:CALENDAR=US&amp;VAR:SYMBOL=MOT&amp;VAR:INDEX=0"}</definedName>
    <definedName name="_3319__FDSAUDITLINK__" localSheetId="3" hidden="1">{"fdsup://directions/FAT Viewer?action=UPDATE&amp;creator=factset&amp;DYN_ARGS=TRUE&amp;DOC_NAME=FAT:FQL_AUDITING_CLIENT_TEMPLATE.FAT&amp;display_string=Audit&amp;VAR:KEY=DQPCPOPOJE&amp;VAR:QUERY=UkdGX1RBWF9SQVRFKEFOTiwwLCwsLCwsTk9BVURJVCk=&amp;WINDOW=FIRST_POPUP&amp;HEIGHT=450&amp;WIDTH=450&amp;","START_MAXIMIZED=FALSE&amp;VAR:CALENDAR=US&amp;VAR:SYMBOL=MOT&amp;VAR:INDEX=0"}</definedName>
    <definedName name="_3319__FDSAUDITLINK__" localSheetId="7" hidden="1">{"fdsup://directions/FAT Viewer?action=UPDATE&amp;creator=factset&amp;DYN_ARGS=TRUE&amp;DOC_NAME=FAT:FQL_AUDITING_CLIENT_TEMPLATE.FAT&amp;display_string=Audit&amp;VAR:KEY=DQPCPOPOJE&amp;VAR:QUERY=UkdGX1RBWF9SQVRFKEFOTiwwLCwsLCwsTk9BVURJVCk=&amp;WINDOW=FIRST_POPUP&amp;HEIGHT=450&amp;WIDTH=450&amp;","START_MAXIMIZED=FALSE&amp;VAR:CALENDAR=US&amp;VAR:SYMBOL=MOT&amp;VAR:INDEX=0"}</definedName>
    <definedName name="_3319__FDSAUDITLINK__" hidden="1">{"fdsup://directions/FAT Viewer?action=UPDATE&amp;creator=factset&amp;DYN_ARGS=TRUE&amp;DOC_NAME=FAT:FQL_AUDITING_CLIENT_TEMPLATE.FAT&amp;display_string=Audit&amp;VAR:KEY=DQPCPOPOJE&amp;VAR:QUERY=UkdGX1RBWF9SQVRFKEFOTiwwLCwsLCwsTk9BVURJVCk=&amp;WINDOW=FIRST_POPUP&amp;HEIGHT=450&amp;WIDTH=450&amp;","START_MAXIMIZED=FALSE&amp;VAR:CALENDAR=US&amp;VAR:SYMBOL=MOT&amp;VAR:INDEX=0"}</definedName>
    <definedName name="_3320__FDSAUDITLINK__" localSheetId="3" hidden="1">{"fdsup://directions/FAT Viewer?action=UPDATE&amp;creator=factset&amp;DYN_ARGS=TRUE&amp;DOC_NAME=FAT:FQL_AUDITING_CLIENT_TEMPLATE.FAT&amp;display_string=Audit&amp;VAR:KEY=HEDARYBKBY&amp;VAR:QUERY=UkdGX1RBWF9SQVRFKEFOTiwwLCwsLCwsTk9BVURJVCk=&amp;WINDOW=FIRST_POPUP&amp;HEIGHT=450&amp;WIDTH=450&amp;","START_MAXIMIZED=FALSE&amp;VAR:CALENDAR=US&amp;VAR:SYMBOL=MNST&amp;VAR:INDEX=0"}</definedName>
    <definedName name="_3320__FDSAUDITLINK__" localSheetId="7" hidden="1">{"fdsup://directions/FAT Viewer?action=UPDATE&amp;creator=factset&amp;DYN_ARGS=TRUE&amp;DOC_NAME=FAT:FQL_AUDITING_CLIENT_TEMPLATE.FAT&amp;display_string=Audit&amp;VAR:KEY=HEDARYBKBY&amp;VAR:QUERY=UkdGX1RBWF9SQVRFKEFOTiwwLCwsLCwsTk9BVURJVCk=&amp;WINDOW=FIRST_POPUP&amp;HEIGHT=450&amp;WIDTH=450&amp;","START_MAXIMIZED=FALSE&amp;VAR:CALENDAR=US&amp;VAR:SYMBOL=MNST&amp;VAR:INDEX=0"}</definedName>
    <definedName name="_3320__FDSAUDITLINK__" hidden="1">{"fdsup://directions/FAT Viewer?action=UPDATE&amp;creator=factset&amp;DYN_ARGS=TRUE&amp;DOC_NAME=FAT:FQL_AUDITING_CLIENT_TEMPLATE.FAT&amp;display_string=Audit&amp;VAR:KEY=HEDARYBKBY&amp;VAR:QUERY=UkdGX1RBWF9SQVRFKEFOTiwwLCwsLCwsTk9BVURJVCk=&amp;WINDOW=FIRST_POPUP&amp;HEIGHT=450&amp;WIDTH=450&amp;","START_MAXIMIZED=FALSE&amp;VAR:CALENDAR=US&amp;VAR:SYMBOL=MNST&amp;VAR:INDEX=0"}</definedName>
    <definedName name="_3321__FDSAUDITLINK__" localSheetId="3" hidden="1">{"fdsup://directions/FAT Viewer?action=UPDATE&amp;creator=factset&amp;DYN_ARGS=TRUE&amp;DOC_NAME=FAT:FQL_AUDITING_CLIENT_TEMPLATE.FAT&amp;display_string=Audit&amp;VAR:KEY=NMFGBOHKTM&amp;VAR:QUERY=UkdGX1RBWF9SQVRFKEFOTiwwLCwsLCwsTk9BVURJVCk=&amp;WINDOW=FIRST_POPUP&amp;HEIGHT=450&amp;WIDTH=450&amp;","START_MAXIMIZED=FALSE&amp;VAR:CALENDAR=US&amp;VAR:SYMBOL=MIPS&amp;VAR:INDEX=0"}</definedName>
    <definedName name="_3321__FDSAUDITLINK__" localSheetId="7" hidden="1">{"fdsup://directions/FAT Viewer?action=UPDATE&amp;creator=factset&amp;DYN_ARGS=TRUE&amp;DOC_NAME=FAT:FQL_AUDITING_CLIENT_TEMPLATE.FAT&amp;display_string=Audit&amp;VAR:KEY=NMFGBOHKTM&amp;VAR:QUERY=UkdGX1RBWF9SQVRFKEFOTiwwLCwsLCwsTk9BVURJVCk=&amp;WINDOW=FIRST_POPUP&amp;HEIGHT=450&amp;WIDTH=450&amp;","START_MAXIMIZED=FALSE&amp;VAR:CALENDAR=US&amp;VAR:SYMBOL=MIPS&amp;VAR:INDEX=0"}</definedName>
    <definedName name="_3321__FDSAUDITLINK__" hidden="1">{"fdsup://directions/FAT Viewer?action=UPDATE&amp;creator=factset&amp;DYN_ARGS=TRUE&amp;DOC_NAME=FAT:FQL_AUDITING_CLIENT_TEMPLATE.FAT&amp;display_string=Audit&amp;VAR:KEY=NMFGBOHKTM&amp;VAR:QUERY=UkdGX1RBWF9SQVRFKEFOTiwwLCwsLCwsTk9BVURJVCk=&amp;WINDOW=FIRST_POPUP&amp;HEIGHT=450&amp;WIDTH=450&amp;","START_MAXIMIZED=FALSE&amp;VAR:CALENDAR=US&amp;VAR:SYMBOL=MIPS&amp;VAR:INDEX=0"}</definedName>
    <definedName name="_3322__FDSAUDITLINK__" localSheetId="3" hidden="1">{"fdsup://directions/FAT Viewer?action=UPDATE&amp;creator=factset&amp;DYN_ARGS=TRUE&amp;DOC_NAME=FAT:FQL_AUDITING_CLIENT_TEMPLATE.FAT&amp;display_string=Audit&amp;VAR:KEY=NMFGBOHKTM&amp;VAR:QUERY=UkdGX1RBWF9SQVRFKEFOTiwwLCwsLCwsTk9BVURJVCk=&amp;WINDOW=FIRST_POPUP&amp;HEIGHT=450&amp;WIDTH=450&amp;","START_MAXIMIZED=FALSE&amp;VAR:CALENDAR=US&amp;VAR:SYMBOL=MIPS&amp;VAR:INDEX=0"}</definedName>
    <definedName name="_3322__FDSAUDITLINK__" localSheetId="7" hidden="1">{"fdsup://directions/FAT Viewer?action=UPDATE&amp;creator=factset&amp;DYN_ARGS=TRUE&amp;DOC_NAME=FAT:FQL_AUDITING_CLIENT_TEMPLATE.FAT&amp;display_string=Audit&amp;VAR:KEY=NMFGBOHKTM&amp;VAR:QUERY=UkdGX1RBWF9SQVRFKEFOTiwwLCwsLCwsTk9BVURJVCk=&amp;WINDOW=FIRST_POPUP&amp;HEIGHT=450&amp;WIDTH=450&amp;","START_MAXIMIZED=FALSE&amp;VAR:CALENDAR=US&amp;VAR:SYMBOL=MIPS&amp;VAR:INDEX=0"}</definedName>
    <definedName name="_3322__FDSAUDITLINK__" hidden="1">{"fdsup://directions/FAT Viewer?action=UPDATE&amp;creator=factset&amp;DYN_ARGS=TRUE&amp;DOC_NAME=FAT:FQL_AUDITING_CLIENT_TEMPLATE.FAT&amp;display_string=Audit&amp;VAR:KEY=NMFGBOHKTM&amp;VAR:QUERY=UkdGX1RBWF9SQVRFKEFOTiwwLCwsLCwsTk9BVURJVCk=&amp;WINDOW=FIRST_POPUP&amp;HEIGHT=450&amp;WIDTH=450&amp;","START_MAXIMIZED=FALSE&amp;VAR:CALENDAR=US&amp;VAR:SYMBOL=MIPS&amp;VAR:INDEX=0"}</definedName>
    <definedName name="_3323__FDSAUDITLINK__" localSheetId="3" hidden="1">{"fdsup://directions/FAT Viewer?action=UPDATE&amp;creator=factset&amp;DYN_ARGS=TRUE&amp;DOC_NAME=FAT:FQL_AUDITING_CLIENT_TEMPLATE.FAT&amp;display_string=Audit&amp;VAR:KEY=XKPQPMFUBY&amp;VAR:QUERY=UkdGX1RBWF9SQVRFKEFOTiwwLCwsLCwsTk9BVURJVCk=&amp;WINDOW=FIRST_POPUP&amp;HEIGHT=450&amp;WIDTH=450&amp;","START_MAXIMIZED=FALSE&amp;VAR:CALENDAR=US&amp;VAR:SYMBOL=MSTR&amp;VAR:INDEX=0"}</definedName>
    <definedName name="_3323__FDSAUDITLINK__" localSheetId="7" hidden="1">{"fdsup://directions/FAT Viewer?action=UPDATE&amp;creator=factset&amp;DYN_ARGS=TRUE&amp;DOC_NAME=FAT:FQL_AUDITING_CLIENT_TEMPLATE.FAT&amp;display_string=Audit&amp;VAR:KEY=XKPQPMFUBY&amp;VAR:QUERY=UkdGX1RBWF9SQVRFKEFOTiwwLCwsLCwsTk9BVURJVCk=&amp;WINDOW=FIRST_POPUP&amp;HEIGHT=450&amp;WIDTH=450&amp;","START_MAXIMIZED=FALSE&amp;VAR:CALENDAR=US&amp;VAR:SYMBOL=MSTR&amp;VAR:INDEX=0"}</definedName>
    <definedName name="_3323__FDSAUDITLINK__" hidden="1">{"fdsup://directions/FAT Viewer?action=UPDATE&amp;creator=factset&amp;DYN_ARGS=TRUE&amp;DOC_NAME=FAT:FQL_AUDITING_CLIENT_TEMPLATE.FAT&amp;display_string=Audit&amp;VAR:KEY=XKPQPMFUBY&amp;VAR:QUERY=UkdGX1RBWF9SQVRFKEFOTiwwLCwsLCwsTk9BVURJVCk=&amp;WINDOW=FIRST_POPUP&amp;HEIGHT=450&amp;WIDTH=450&amp;","START_MAXIMIZED=FALSE&amp;VAR:CALENDAR=US&amp;VAR:SYMBOL=MSTR&amp;VAR:INDEX=0"}</definedName>
    <definedName name="_3324__FDSAUDITLINK__" localSheetId="3" hidden="1">{"fdsup://directions/FAT Viewer?action=UPDATE&amp;creator=factset&amp;DYN_ARGS=TRUE&amp;DOC_NAME=FAT:FQL_AUDITING_CLIENT_TEMPLATE.FAT&amp;display_string=Audit&amp;VAR:KEY=XKPQPMFUBY&amp;VAR:QUERY=UkdGX1RBWF9SQVRFKEFOTiwwLCwsLCwsTk9BVURJVCk=&amp;WINDOW=FIRST_POPUP&amp;HEIGHT=450&amp;WIDTH=450&amp;","START_MAXIMIZED=FALSE&amp;VAR:CALENDAR=US&amp;VAR:SYMBOL=MSTR&amp;VAR:INDEX=0"}</definedName>
    <definedName name="_3324__FDSAUDITLINK__" localSheetId="7" hidden="1">{"fdsup://directions/FAT Viewer?action=UPDATE&amp;creator=factset&amp;DYN_ARGS=TRUE&amp;DOC_NAME=FAT:FQL_AUDITING_CLIENT_TEMPLATE.FAT&amp;display_string=Audit&amp;VAR:KEY=XKPQPMFUBY&amp;VAR:QUERY=UkdGX1RBWF9SQVRFKEFOTiwwLCwsLCwsTk9BVURJVCk=&amp;WINDOW=FIRST_POPUP&amp;HEIGHT=450&amp;WIDTH=450&amp;","START_MAXIMIZED=FALSE&amp;VAR:CALENDAR=US&amp;VAR:SYMBOL=MSTR&amp;VAR:INDEX=0"}</definedName>
    <definedName name="_3324__FDSAUDITLINK__" hidden="1">{"fdsup://directions/FAT Viewer?action=UPDATE&amp;creator=factset&amp;DYN_ARGS=TRUE&amp;DOC_NAME=FAT:FQL_AUDITING_CLIENT_TEMPLATE.FAT&amp;display_string=Audit&amp;VAR:KEY=XKPQPMFUBY&amp;VAR:QUERY=UkdGX1RBWF9SQVRFKEFOTiwwLCwsLCwsTk9BVURJVCk=&amp;WINDOW=FIRST_POPUP&amp;HEIGHT=450&amp;WIDTH=450&amp;","START_MAXIMIZED=FALSE&amp;VAR:CALENDAR=US&amp;VAR:SYMBOL=MSTR&amp;VAR:INDEX=0"}</definedName>
    <definedName name="_3325__FDSAUDITLINK__" localSheetId="3" hidden="1">{"fdsup://directions/FAT Viewer?action=UPDATE&amp;creator=factset&amp;DYN_ARGS=TRUE&amp;DOC_NAME=FAT:FQL_AUDITING_CLIENT_TEMPLATE.FAT&amp;display_string=Audit&amp;VAR:KEY=HGPOFQRWNA&amp;VAR:QUERY=UkdGX1RBWF9SQVRFKEFOTiwwLCwsLCwsTk9BVURJVCk=&amp;WINDOW=FIRST_POPUP&amp;HEIGHT=450&amp;WIDTH=450&amp;","START_MAXIMIZED=FALSE&amp;VAR:CALENDAR=US&amp;VAR:SYMBOL=MSFT&amp;VAR:INDEX=0"}</definedName>
    <definedName name="_3325__FDSAUDITLINK__" localSheetId="7" hidden="1">{"fdsup://directions/FAT Viewer?action=UPDATE&amp;creator=factset&amp;DYN_ARGS=TRUE&amp;DOC_NAME=FAT:FQL_AUDITING_CLIENT_TEMPLATE.FAT&amp;display_string=Audit&amp;VAR:KEY=HGPOFQRWNA&amp;VAR:QUERY=UkdGX1RBWF9SQVRFKEFOTiwwLCwsLCwsTk9BVURJVCk=&amp;WINDOW=FIRST_POPUP&amp;HEIGHT=450&amp;WIDTH=450&amp;","START_MAXIMIZED=FALSE&amp;VAR:CALENDAR=US&amp;VAR:SYMBOL=MSFT&amp;VAR:INDEX=0"}</definedName>
    <definedName name="_3325__FDSAUDITLINK__" hidden="1">{"fdsup://directions/FAT Viewer?action=UPDATE&amp;creator=factset&amp;DYN_ARGS=TRUE&amp;DOC_NAME=FAT:FQL_AUDITING_CLIENT_TEMPLATE.FAT&amp;display_string=Audit&amp;VAR:KEY=HGPOFQRWNA&amp;VAR:QUERY=UkdGX1RBWF9SQVRFKEFOTiwwLCwsLCwsTk9BVURJVCk=&amp;WINDOW=FIRST_POPUP&amp;HEIGHT=450&amp;WIDTH=450&amp;","START_MAXIMIZED=FALSE&amp;VAR:CALENDAR=US&amp;VAR:SYMBOL=MSFT&amp;VAR:INDEX=0"}</definedName>
    <definedName name="_3326__FDSAUDITLINK__" localSheetId="3" hidden="1">{"fdsup://directions/FAT Viewer?action=UPDATE&amp;creator=factset&amp;DYN_ARGS=TRUE&amp;DOC_NAME=FAT:FQL_AUDITING_CLIENT_TEMPLATE.FAT&amp;display_string=Audit&amp;VAR:KEY=HGPOFQRWNA&amp;VAR:QUERY=UkdGX1RBWF9SQVRFKEFOTiwwLCwsLCwsTk9BVURJVCk=&amp;WINDOW=FIRST_POPUP&amp;HEIGHT=450&amp;WIDTH=450&amp;","START_MAXIMIZED=FALSE&amp;VAR:CALENDAR=US&amp;VAR:SYMBOL=MSFT&amp;VAR:INDEX=0"}</definedName>
    <definedName name="_3326__FDSAUDITLINK__" localSheetId="7" hidden="1">{"fdsup://directions/FAT Viewer?action=UPDATE&amp;creator=factset&amp;DYN_ARGS=TRUE&amp;DOC_NAME=FAT:FQL_AUDITING_CLIENT_TEMPLATE.FAT&amp;display_string=Audit&amp;VAR:KEY=HGPOFQRWNA&amp;VAR:QUERY=UkdGX1RBWF9SQVRFKEFOTiwwLCwsLCwsTk9BVURJVCk=&amp;WINDOW=FIRST_POPUP&amp;HEIGHT=450&amp;WIDTH=450&amp;","START_MAXIMIZED=FALSE&amp;VAR:CALENDAR=US&amp;VAR:SYMBOL=MSFT&amp;VAR:INDEX=0"}</definedName>
    <definedName name="_3326__FDSAUDITLINK__" hidden="1">{"fdsup://directions/FAT Viewer?action=UPDATE&amp;creator=factset&amp;DYN_ARGS=TRUE&amp;DOC_NAME=FAT:FQL_AUDITING_CLIENT_TEMPLATE.FAT&amp;display_string=Audit&amp;VAR:KEY=HGPOFQRWNA&amp;VAR:QUERY=UkdGX1RBWF9SQVRFKEFOTiwwLCwsLCwsTk9BVURJVCk=&amp;WINDOW=FIRST_POPUP&amp;HEIGHT=450&amp;WIDTH=450&amp;","START_MAXIMIZED=FALSE&amp;VAR:CALENDAR=US&amp;VAR:SYMBOL=MSFT&amp;VAR:INDEX=0"}</definedName>
    <definedName name="_3327__FDSAUDITLINK__" localSheetId="3" hidden="1">{"fdsup://directions/FAT Viewer?action=UPDATE&amp;creator=factset&amp;DYN_ARGS=TRUE&amp;DOC_NAME=FAT:FQL_AUDITING_CLIENT_TEMPLATE.FAT&amp;display_string=Audit&amp;VAR:KEY=BOVGFARCVG&amp;VAR:QUERY=UkdGX1RBWF9SQVRFKEFOTiwwLCwsLCwsTk9BVURJVCk=&amp;WINDOW=FIRST_POPUP&amp;HEIGHT=450&amp;WIDTH=450&amp;","START_MAXIMIZED=FALSE&amp;VAR:CALENDAR=US&amp;VAR:SYMBOL=B079W5&amp;VAR:INDEX=0"}</definedName>
    <definedName name="_3327__FDSAUDITLINK__" localSheetId="7" hidden="1">{"fdsup://directions/FAT Viewer?action=UPDATE&amp;creator=factset&amp;DYN_ARGS=TRUE&amp;DOC_NAME=FAT:FQL_AUDITING_CLIENT_TEMPLATE.FAT&amp;display_string=Audit&amp;VAR:KEY=BOVGFARCVG&amp;VAR:QUERY=UkdGX1RBWF9SQVRFKEFOTiwwLCwsLCwsTk9BVURJVCk=&amp;WINDOW=FIRST_POPUP&amp;HEIGHT=450&amp;WIDTH=450&amp;","START_MAXIMIZED=FALSE&amp;VAR:CALENDAR=US&amp;VAR:SYMBOL=B079W5&amp;VAR:INDEX=0"}</definedName>
    <definedName name="_3327__FDSAUDITLINK__" hidden="1">{"fdsup://directions/FAT Viewer?action=UPDATE&amp;creator=factset&amp;DYN_ARGS=TRUE&amp;DOC_NAME=FAT:FQL_AUDITING_CLIENT_TEMPLATE.FAT&amp;display_string=Audit&amp;VAR:KEY=BOVGFARCVG&amp;VAR:QUERY=UkdGX1RBWF9SQVRFKEFOTiwwLCwsLCwsTk9BVURJVCk=&amp;WINDOW=FIRST_POPUP&amp;HEIGHT=450&amp;WIDTH=450&amp;","START_MAXIMIZED=FALSE&amp;VAR:CALENDAR=US&amp;VAR:SYMBOL=B079W5&amp;VAR:INDEX=0"}</definedName>
    <definedName name="_3328__FDSAUDITLINK__" localSheetId="3" hidden="1">{"fdsup://directions/FAT Viewer?action=UPDATE&amp;creator=factset&amp;DYN_ARGS=TRUE&amp;DOC_NAME=FAT:FQL_AUDITING_CLIENT_TEMPLATE.FAT&amp;display_string=Audit&amp;VAR:KEY=BOVGFARCVG&amp;VAR:QUERY=UkdGX1RBWF9SQVRFKEFOTiwwLCwsLCwsTk9BVURJVCk=&amp;WINDOW=FIRST_POPUP&amp;HEIGHT=450&amp;WIDTH=450&amp;","START_MAXIMIZED=FALSE&amp;VAR:CALENDAR=US&amp;VAR:SYMBOL=B079W5&amp;VAR:INDEX=0"}</definedName>
    <definedName name="_3328__FDSAUDITLINK__" localSheetId="7" hidden="1">{"fdsup://directions/FAT Viewer?action=UPDATE&amp;creator=factset&amp;DYN_ARGS=TRUE&amp;DOC_NAME=FAT:FQL_AUDITING_CLIENT_TEMPLATE.FAT&amp;display_string=Audit&amp;VAR:KEY=BOVGFARCVG&amp;VAR:QUERY=UkdGX1RBWF9SQVRFKEFOTiwwLCwsLCwsTk9BVURJVCk=&amp;WINDOW=FIRST_POPUP&amp;HEIGHT=450&amp;WIDTH=450&amp;","START_MAXIMIZED=FALSE&amp;VAR:CALENDAR=US&amp;VAR:SYMBOL=B079W5&amp;VAR:INDEX=0"}</definedName>
    <definedName name="_3328__FDSAUDITLINK__" hidden="1">{"fdsup://directions/FAT Viewer?action=UPDATE&amp;creator=factset&amp;DYN_ARGS=TRUE&amp;DOC_NAME=FAT:FQL_AUDITING_CLIENT_TEMPLATE.FAT&amp;display_string=Audit&amp;VAR:KEY=BOVGFARCVG&amp;VAR:QUERY=UkdGX1RBWF9SQVRFKEFOTiwwLCwsLCwsTk9BVURJVCk=&amp;WINDOW=FIRST_POPUP&amp;HEIGHT=450&amp;WIDTH=450&amp;","START_MAXIMIZED=FALSE&amp;VAR:CALENDAR=US&amp;VAR:SYMBOL=B079W5&amp;VAR:INDEX=0"}</definedName>
    <definedName name="_3329__FDSAUDITLINK__" localSheetId="3" hidden="1">{"fdsup://directions/FAT Viewer?action=UPDATE&amp;creator=factset&amp;DYN_ARGS=TRUE&amp;DOC_NAME=FAT:FQL_AUDITING_CLIENT_TEMPLATE.FAT&amp;display_string=Audit&amp;VAR:KEY=JWXUJMRWLY&amp;VAR:QUERY=UkdGX1RBWF9SQVRFKEFOTiwwLCwsLCwsTk9BVURJVCk=&amp;WINDOW=FIRST_POPUP&amp;HEIGHT=450&amp;WIDTH=450&amp;","START_MAXIMIZED=FALSE&amp;VAR:CALENDAR=US&amp;VAR:SYMBOL=MERU&amp;VAR:INDEX=0"}</definedName>
    <definedName name="_3329__FDSAUDITLINK__" localSheetId="7" hidden="1">{"fdsup://directions/FAT Viewer?action=UPDATE&amp;creator=factset&amp;DYN_ARGS=TRUE&amp;DOC_NAME=FAT:FQL_AUDITING_CLIENT_TEMPLATE.FAT&amp;display_string=Audit&amp;VAR:KEY=JWXUJMRWLY&amp;VAR:QUERY=UkdGX1RBWF9SQVRFKEFOTiwwLCwsLCwsTk9BVURJVCk=&amp;WINDOW=FIRST_POPUP&amp;HEIGHT=450&amp;WIDTH=450&amp;","START_MAXIMIZED=FALSE&amp;VAR:CALENDAR=US&amp;VAR:SYMBOL=MERU&amp;VAR:INDEX=0"}</definedName>
    <definedName name="_3329__FDSAUDITLINK__" hidden="1">{"fdsup://directions/FAT Viewer?action=UPDATE&amp;creator=factset&amp;DYN_ARGS=TRUE&amp;DOC_NAME=FAT:FQL_AUDITING_CLIENT_TEMPLATE.FAT&amp;display_string=Audit&amp;VAR:KEY=JWXUJMRWLY&amp;VAR:QUERY=UkdGX1RBWF9SQVRFKEFOTiwwLCwsLCwsTk9BVURJVCk=&amp;WINDOW=FIRST_POPUP&amp;HEIGHT=450&amp;WIDTH=450&amp;","START_MAXIMIZED=FALSE&amp;VAR:CALENDAR=US&amp;VAR:SYMBOL=MERU&amp;VAR:INDEX=0"}</definedName>
    <definedName name="_3330__FDSAUDITLINK__" localSheetId="3" hidden="1">{"fdsup://directions/FAT Viewer?action=UPDATE&amp;creator=factset&amp;DYN_ARGS=TRUE&amp;DOC_NAME=FAT:FQL_AUDITING_CLIENT_TEMPLATE.FAT&amp;display_string=Audit&amp;VAR:KEY=PWXILGHGDI&amp;VAR:QUERY=UkdGX1RBWF9SQVRFKEFOTiwwLCwsLCwsTk9BVURJVCk=&amp;WINDOW=FIRST_POPUP&amp;HEIGHT=450&amp;WIDTH=450&amp;","START_MAXIMIZED=FALSE&amp;VAR:CALENDAR=US&amp;VAR:SYMBOL=58733R10&amp;VAR:INDEX=0"}</definedName>
    <definedName name="_3330__FDSAUDITLINK__" localSheetId="7" hidden="1">{"fdsup://directions/FAT Viewer?action=UPDATE&amp;creator=factset&amp;DYN_ARGS=TRUE&amp;DOC_NAME=FAT:FQL_AUDITING_CLIENT_TEMPLATE.FAT&amp;display_string=Audit&amp;VAR:KEY=PWXILGHGDI&amp;VAR:QUERY=UkdGX1RBWF9SQVRFKEFOTiwwLCwsLCwsTk9BVURJVCk=&amp;WINDOW=FIRST_POPUP&amp;HEIGHT=450&amp;WIDTH=450&amp;","START_MAXIMIZED=FALSE&amp;VAR:CALENDAR=US&amp;VAR:SYMBOL=58733R10&amp;VAR:INDEX=0"}</definedName>
    <definedName name="_3330__FDSAUDITLINK__" hidden="1">{"fdsup://directions/FAT Viewer?action=UPDATE&amp;creator=factset&amp;DYN_ARGS=TRUE&amp;DOC_NAME=FAT:FQL_AUDITING_CLIENT_TEMPLATE.FAT&amp;display_string=Audit&amp;VAR:KEY=PWXILGHGDI&amp;VAR:QUERY=UkdGX1RBWF9SQVRFKEFOTiwwLCwsLCwsTk9BVURJVCk=&amp;WINDOW=FIRST_POPUP&amp;HEIGHT=450&amp;WIDTH=450&amp;","START_MAXIMIZED=FALSE&amp;VAR:CALENDAR=US&amp;VAR:SYMBOL=58733R10&amp;VAR:INDEX=0"}</definedName>
    <definedName name="_3331__FDSAUDITLINK__" localSheetId="3" hidden="1">{"fdsup://directions/FAT Viewer?action=UPDATE&amp;creator=factset&amp;DYN_ARGS=TRUE&amp;DOC_NAME=FAT:FQL_AUDITING_CLIENT_TEMPLATE.FAT&amp;display_string=Audit&amp;VAR:KEY=PWXILGHGDI&amp;VAR:QUERY=UkdGX1RBWF9SQVRFKEFOTiwwLCwsLCwsTk9BVURJVCk=&amp;WINDOW=FIRST_POPUP&amp;HEIGHT=450&amp;WIDTH=450&amp;","START_MAXIMIZED=FALSE&amp;VAR:CALENDAR=US&amp;VAR:SYMBOL=58733R10&amp;VAR:INDEX=0"}</definedName>
    <definedName name="_3331__FDSAUDITLINK__" localSheetId="7" hidden="1">{"fdsup://directions/FAT Viewer?action=UPDATE&amp;creator=factset&amp;DYN_ARGS=TRUE&amp;DOC_NAME=FAT:FQL_AUDITING_CLIENT_TEMPLATE.FAT&amp;display_string=Audit&amp;VAR:KEY=PWXILGHGDI&amp;VAR:QUERY=UkdGX1RBWF9SQVRFKEFOTiwwLCwsLCwsTk9BVURJVCk=&amp;WINDOW=FIRST_POPUP&amp;HEIGHT=450&amp;WIDTH=450&amp;","START_MAXIMIZED=FALSE&amp;VAR:CALENDAR=US&amp;VAR:SYMBOL=58733R10&amp;VAR:INDEX=0"}</definedName>
    <definedName name="_3331__FDSAUDITLINK__" hidden="1">{"fdsup://directions/FAT Viewer?action=UPDATE&amp;creator=factset&amp;DYN_ARGS=TRUE&amp;DOC_NAME=FAT:FQL_AUDITING_CLIENT_TEMPLATE.FAT&amp;display_string=Audit&amp;VAR:KEY=PWXILGHGDI&amp;VAR:QUERY=UkdGX1RBWF9SQVRFKEFOTiwwLCwsLCwsTk9BVURJVCk=&amp;WINDOW=FIRST_POPUP&amp;HEIGHT=450&amp;WIDTH=450&amp;","START_MAXIMIZED=FALSE&amp;VAR:CALENDAR=US&amp;VAR:SYMBOL=58733R10&amp;VAR:INDEX=0"}</definedName>
    <definedName name="_3332__FDSAUDITLINK__" localSheetId="3" hidden="1">{"fdsup://directions/FAT Viewer?action=UPDATE&amp;creator=factset&amp;DYN_ARGS=TRUE&amp;DOC_NAME=FAT:FQL_AUDITING_CLIENT_TEMPLATE.FAT&amp;display_string=Audit&amp;VAR:KEY=NQTMVGPSFK&amp;VAR:QUERY=UkdGX1RBWF9SQVRFKEFOTiwwLCwsLCwsTk9BVURJVCk=&amp;WINDOW=FIRST_POPUP&amp;HEIGHT=450&amp;WIDTH=450&amp;","START_MAXIMIZED=FALSE&amp;VAR:CALENDAR=US&amp;VAR:SYMBOL=MENT&amp;VAR:INDEX=0"}</definedName>
    <definedName name="_3332__FDSAUDITLINK__" localSheetId="7" hidden="1">{"fdsup://directions/FAT Viewer?action=UPDATE&amp;creator=factset&amp;DYN_ARGS=TRUE&amp;DOC_NAME=FAT:FQL_AUDITING_CLIENT_TEMPLATE.FAT&amp;display_string=Audit&amp;VAR:KEY=NQTMVGPSFK&amp;VAR:QUERY=UkdGX1RBWF9SQVRFKEFOTiwwLCwsLCwsTk9BVURJVCk=&amp;WINDOW=FIRST_POPUP&amp;HEIGHT=450&amp;WIDTH=450&amp;","START_MAXIMIZED=FALSE&amp;VAR:CALENDAR=US&amp;VAR:SYMBOL=MENT&amp;VAR:INDEX=0"}</definedName>
    <definedName name="_3332__FDSAUDITLINK__" hidden="1">{"fdsup://directions/FAT Viewer?action=UPDATE&amp;creator=factset&amp;DYN_ARGS=TRUE&amp;DOC_NAME=FAT:FQL_AUDITING_CLIENT_TEMPLATE.FAT&amp;display_string=Audit&amp;VAR:KEY=NQTMVGPSFK&amp;VAR:QUERY=UkdGX1RBWF9SQVRFKEFOTiwwLCwsLCwsTk9BVURJVCk=&amp;WINDOW=FIRST_POPUP&amp;HEIGHT=450&amp;WIDTH=450&amp;","START_MAXIMIZED=FALSE&amp;VAR:CALENDAR=US&amp;VAR:SYMBOL=MENT&amp;VAR:INDEX=0"}</definedName>
    <definedName name="_3333__FDSAUDITLINK__" localSheetId="3" hidden="1">{"fdsup://directions/FAT Viewer?action=UPDATE&amp;creator=factset&amp;DYN_ARGS=TRUE&amp;DOC_NAME=FAT:FQL_AUDITING_CLIENT_TEMPLATE.FAT&amp;display_string=Audit&amp;VAR:KEY=NQTMVGPSFK&amp;VAR:QUERY=UkdGX1RBWF9SQVRFKEFOTiwwLCwsLCwsTk9BVURJVCk=&amp;WINDOW=FIRST_POPUP&amp;HEIGHT=450&amp;WIDTH=450&amp;","START_MAXIMIZED=FALSE&amp;VAR:CALENDAR=US&amp;VAR:SYMBOL=MENT&amp;VAR:INDEX=0"}</definedName>
    <definedName name="_3333__FDSAUDITLINK__" localSheetId="7" hidden="1">{"fdsup://directions/FAT Viewer?action=UPDATE&amp;creator=factset&amp;DYN_ARGS=TRUE&amp;DOC_NAME=FAT:FQL_AUDITING_CLIENT_TEMPLATE.FAT&amp;display_string=Audit&amp;VAR:KEY=NQTMVGPSFK&amp;VAR:QUERY=UkdGX1RBWF9SQVRFKEFOTiwwLCwsLCwsTk9BVURJVCk=&amp;WINDOW=FIRST_POPUP&amp;HEIGHT=450&amp;WIDTH=450&amp;","START_MAXIMIZED=FALSE&amp;VAR:CALENDAR=US&amp;VAR:SYMBOL=MENT&amp;VAR:INDEX=0"}</definedName>
    <definedName name="_3333__FDSAUDITLINK__" hidden="1">{"fdsup://directions/FAT Viewer?action=UPDATE&amp;creator=factset&amp;DYN_ARGS=TRUE&amp;DOC_NAME=FAT:FQL_AUDITING_CLIENT_TEMPLATE.FAT&amp;display_string=Audit&amp;VAR:KEY=NQTMVGPSFK&amp;VAR:QUERY=UkdGX1RBWF9SQVRFKEFOTiwwLCwsLCwsTk9BVURJVCk=&amp;WINDOW=FIRST_POPUP&amp;HEIGHT=450&amp;WIDTH=450&amp;","START_MAXIMIZED=FALSE&amp;VAR:CALENDAR=US&amp;VAR:SYMBOL=MENT&amp;VAR:INDEX=0"}</definedName>
    <definedName name="_3334__FDSAUDITLINK__" localSheetId="3" hidden="1">{"fdsup://directions/FAT Viewer?action=UPDATE&amp;creator=factset&amp;DYN_ARGS=TRUE&amp;DOC_NAME=FAT:FQL_AUDITING_CLIENT_TEMPLATE.FAT&amp;display_string=Audit&amp;VAR:KEY=FEDOBCTUPW&amp;VAR:QUERY=UkdGX1RBWF9SQVRFKEFOTiwwLCwsLCwsTk9BVURJVCk=&amp;WINDOW=FIRST_POPUP&amp;HEIGHT=450&amp;WIDTH=450&amp;","START_MAXIMIZED=FALSE&amp;VAR:CALENDAR=US&amp;VAR:SYMBOL=MDSO&amp;VAR:INDEX=0"}</definedName>
    <definedName name="_3334__FDSAUDITLINK__" localSheetId="7" hidden="1">{"fdsup://directions/FAT Viewer?action=UPDATE&amp;creator=factset&amp;DYN_ARGS=TRUE&amp;DOC_NAME=FAT:FQL_AUDITING_CLIENT_TEMPLATE.FAT&amp;display_string=Audit&amp;VAR:KEY=FEDOBCTUPW&amp;VAR:QUERY=UkdGX1RBWF9SQVRFKEFOTiwwLCwsLCwsTk9BVURJVCk=&amp;WINDOW=FIRST_POPUP&amp;HEIGHT=450&amp;WIDTH=450&amp;","START_MAXIMIZED=FALSE&amp;VAR:CALENDAR=US&amp;VAR:SYMBOL=MDSO&amp;VAR:INDEX=0"}</definedName>
    <definedName name="_3334__FDSAUDITLINK__" hidden="1">{"fdsup://directions/FAT Viewer?action=UPDATE&amp;creator=factset&amp;DYN_ARGS=TRUE&amp;DOC_NAME=FAT:FQL_AUDITING_CLIENT_TEMPLATE.FAT&amp;display_string=Audit&amp;VAR:KEY=FEDOBCTUPW&amp;VAR:QUERY=UkdGX1RBWF9SQVRFKEFOTiwwLCwsLCwsTk9BVURJVCk=&amp;WINDOW=FIRST_POPUP&amp;HEIGHT=450&amp;WIDTH=450&amp;","START_MAXIMIZED=FALSE&amp;VAR:CALENDAR=US&amp;VAR:SYMBOL=MDSO&amp;VAR:INDEX=0"}</definedName>
    <definedName name="_3335__FDSAUDITLINK__" localSheetId="3" hidden="1">{"fdsup://directions/FAT Viewer?action=UPDATE&amp;creator=factset&amp;DYN_ARGS=TRUE&amp;DOC_NAME=FAT:FQL_AUDITING_CLIENT_TEMPLATE.FAT&amp;display_string=Audit&amp;VAR:KEY=FEDOBCTUPW&amp;VAR:QUERY=UkdGX1RBWF9SQVRFKEFOTiwwLCwsLCwsTk9BVURJVCk=&amp;WINDOW=FIRST_POPUP&amp;HEIGHT=450&amp;WIDTH=450&amp;","START_MAXIMIZED=FALSE&amp;VAR:CALENDAR=US&amp;VAR:SYMBOL=MDSO&amp;VAR:INDEX=0"}</definedName>
    <definedName name="_3335__FDSAUDITLINK__" localSheetId="7" hidden="1">{"fdsup://directions/FAT Viewer?action=UPDATE&amp;creator=factset&amp;DYN_ARGS=TRUE&amp;DOC_NAME=FAT:FQL_AUDITING_CLIENT_TEMPLATE.FAT&amp;display_string=Audit&amp;VAR:KEY=FEDOBCTUPW&amp;VAR:QUERY=UkdGX1RBWF9SQVRFKEFOTiwwLCwsLCwsTk9BVURJVCk=&amp;WINDOW=FIRST_POPUP&amp;HEIGHT=450&amp;WIDTH=450&amp;","START_MAXIMIZED=FALSE&amp;VAR:CALENDAR=US&amp;VAR:SYMBOL=MDSO&amp;VAR:INDEX=0"}</definedName>
    <definedName name="_3335__FDSAUDITLINK__" hidden="1">{"fdsup://directions/FAT Viewer?action=UPDATE&amp;creator=factset&amp;DYN_ARGS=TRUE&amp;DOC_NAME=FAT:FQL_AUDITING_CLIENT_TEMPLATE.FAT&amp;display_string=Audit&amp;VAR:KEY=FEDOBCTUPW&amp;VAR:QUERY=UkdGX1RBWF9SQVRFKEFOTiwwLCwsLCwsTk9BVURJVCk=&amp;WINDOW=FIRST_POPUP&amp;HEIGHT=450&amp;WIDTH=450&amp;","START_MAXIMIZED=FALSE&amp;VAR:CALENDAR=US&amp;VAR:SYMBOL=MDSO&amp;VAR:INDEX=0"}</definedName>
    <definedName name="_3336__FDSAUDITLINK__" localSheetId="3" hidden="1">{"fdsup://directions/FAT Viewer?action=UPDATE&amp;creator=factset&amp;DYN_ARGS=TRUE&amp;DOC_NAME=FAT:FQL_AUDITING_CLIENT_TEMPLATE.FAT&amp;display_string=Audit&amp;VAR:KEY=NUFSLEDMXI&amp;VAR:QUERY=UkdGX1RBWF9SQVRFKEFOTiwwLCwsLCwsTk9BVURJVCk=&amp;WINDOW=FIRST_POPUP&amp;HEIGHT=450&amp;WIDTH=450&amp;","START_MAXIMIZED=FALSE&amp;VAR:CALENDAR=US&amp;VAR:SYMBOL=MCK&amp;VAR:INDEX=0"}</definedName>
    <definedName name="_3336__FDSAUDITLINK__" localSheetId="7" hidden="1">{"fdsup://directions/FAT Viewer?action=UPDATE&amp;creator=factset&amp;DYN_ARGS=TRUE&amp;DOC_NAME=FAT:FQL_AUDITING_CLIENT_TEMPLATE.FAT&amp;display_string=Audit&amp;VAR:KEY=NUFSLEDMXI&amp;VAR:QUERY=UkdGX1RBWF9SQVRFKEFOTiwwLCwsLCwsTk9BVURJVCk=&amp;WINDOW=FIRST_POPUP&amp;HEIGHT=450&amp;WIDTH=450&amp;","START_MAXIMIZED=FALSE&amp;VAR:CALENDAR=US&amp;VAR:SYMBOL=MCK&amp;VAR:INDEX=0"}</definedName>
    <definedName name="_3336__FDSAUDITLINK__" hidden="1">{"fdsup://directions/FAT Viewer?action=UPDATE&amp;creator=factset&amp;DYN_ARGS=TRUE&amp;DOC_NAME=FAT:FQL_AUDITING_CLIENT_TEMPLATE.FAT&amp;display_string=Audit&amp;VAR:KEY=NUFSLEDMXI&amp;VAR:QUERY=UkdGX1RBWF9SQVRFKEFOTiwwLCwsLCwsTk9BVURJVCk=&amp;WINDOW=FIRST_POPUP&amp;HEIGHT=450&amp;WIDTH=450&amp;","START_MAXIMIZED=FALSE&amp;VAR:CALENDAR=US&amp;VAR:SYMBOL=MCK&amp;VAR:INDEX=0"}</definedName>
    <definedName name="_3337__FDSAUDITLINK__" localSheetId="3" hidden="1">{"fdsup://directions/FAT Viewer?action=UPDATE&amp;creator=factset&amp;DYN_ARGS=TRUE&amp;DOC_NAME=FAT:FQL_AUDITING_CLIENT_TEMPLATE.FAT&amp;display_string=Audit&amp;VAR:KEY=NUFSLEDMXI&amp;VAR:QUERY=UkdGX1RBWF9SQVRFKEFOTiwwLCwsLCwsTk9BVURJVCk=&amp;WINDOW=FIRST_POPUP&amp;HEIGHT=450&amp;WIDTH=450&amp;","START_MAXIMIZED=FALSE&amp;VAR:CALENDAR=US&amp;VAR:SYMBOL=MCK&amp;VAR:INDEX=0"}</definedName>
    <definedName name="_3337__FDSAUDITLINK__" localSheetId="7" hidden="1">{"fdsup://directions/FAT Viewer?action=UPDATE&amp;creator=factset&amp;DYN_ARGS=TRUE&amp;DOC_NAME=FAT:FQL_AUDITING_CLIENT_TEMPLATE.FAT&amp;display_string=Audit&amp;VAR:KEY=NUFSLEDMXI&amp;VAR:QUERY=UkdGX1RBWF9SQVRFKEFOTiwwLCwsLCwsTk9BVURJVCk=&amp;WINDOW=FIRST_POPUP&amp;HEIGHT=450&amp;WIDTH=450&amp;","START_MAXIMIZED=FALSE&amp;VAR:CALENDAR=US&amp;VAR:SYMBOL=MCK&amp;VAR:INDEX=0"}</definedName>
    <definedName name="_3337__FDSAUDITLINK__" hidden="1">{"fdsup://directions/FAT Viewer?action=UPDATE&amp;creator=factset&amp;DYN_ARGS=TRUE&amp;DOC_NAME=FAT:FQL_AUDITING_CLIENT_TEMPLATE.FAT&amp;display_string=Audit&amp;VAR:KEY=NUFSLEDMXI&amp;VAR:QUERY=UkdGX1RBWF9SQVRFKEFOTiwwLCwsLCwsTk9BVURJVCk=&amp;WINDOW=FIRST_POPUP&amp;HEIGHT=450&amp;WIDTH=450&amp;","START_MAXIMIZED=FALSE&amp;VAR:CALENDAR=US&amp;VAR:SYMBOL=MCK&amp;VAR:INDEX=0"}</definedName>
    <definedName name="_3338__FDSAUDITLINK__" localSheetId="3" hidden="1">{"fdsup://directions/FAT Viewer?action=UPDATE&amp;creator=factset&amp;DYN_ARGS=TRUE&amp;DOC_NAME=FAT:FQL_AUDITING_CLIENT_TEMPLATE.FAT&amp;display_string=Audit&amp;VAR:KEY=NWHOHQNQBQ&amp;VAR:QUERY=UkdGX1RBWF9SQVRFKEFOTiwwLCwsLCwsTk9BVURJVCk=&amp;WINDOW=FIRST_POPUP&amp;HEIGHT=450&amp;WIDTH=450&amp;","START_MAXIMIZED=FALSE&amp;VAR:CALENDAR=US&amp;VAR:SYMBOL=MFE&amp;VAR:INDEX=0"}</definedName>
    <definedName name="_3338__FDSAUDITLINK__" localSheetId="7" hidden="1">{"fdsup://directions/FAT Viewer?action=UPDATE&amp;creator=factset&amp;DYN_ARGS=TRUE&amp;DOC_NAME=FAT:FQL_AUDITING_CLIENT_TEMPLATE.FAT&amp;display_string=Audit&amp;VAR:KEY=NWHOHQNQBQ&amp;VAR:QUERY=UkdGX1RBWF9SQVRFKEFOTiwwLCwsLCwsTk9BVURJVCk=&amp;WINDOW=FIRST_POPUP&amp;HEIGHT=450&amp;WIDTH=450&amp;","START_MAXIMIZED=FALSE&amp;VAR:CALENDAR=US&amp;VAR:SYMBOL=MFE&amp;VAR:INDEX=0"}</definedName>
    <definedName name="_3338__FDSAUDITLINK__" hidden="1">{"fdsup://directions/FAT Viewer?action=UPDATE&amp;creator=factset&amp;DYN_ARGS=TRUE&amp;DOC_NAME=FAT:FQL_AUDITING_CLIENT_TEMPLATE.FAT&amp;display_string=Audit&amp;VAR:KEY=NWHOHQNQBQ&amp;VAR:QUERY=UkdGX1RBWF9SQVRFKEFOTiwwLCwsLCwsTk9BVURJVCk=&amp;WINDOW=FIRST_POPUP&amp;HEIGHT=450&amp;WIDTH=450&amp;","START_MAXIMIZED=FALSE&amp;VAR:CALENDAR=US&amp;VAR:SYMBOL=MFE&amp;VAR:INDEX=0"}</definedName>
    <definedName name="_3339__FDSAUDITLINK__" localSheetId="3" hidden="1">{"fdsup://directions/FAT Viewer?action=UPDATE&amp;creator=factset&amp;DYN_ARGS=TRUE&amp;DOC_NAME=FAT:FQL_AUDITING_CLIENT_TEMPLATE.FAT&amp;display_string=Audit&amp;VAR:KEY=NWHOHQNQBQ&amp;VAR:QUERY=UkdGX1RBWF9SQVRFKEFOTiwwLCwsLCwsTk9BVURJVCk=&amp;WINDOW=FIRST_POPUP&amp;HEIGHT=450&amp;WIDTH=450&amp;","START_MAXIMIZED=FALSE&amp;VAR:CALENDAR=US&amp;VAR:SYMBOL=MFE&amp;VAR:INDEX=0"}</definedName>
    <definedName name="_3339__FDSAUDITLINK__" localSheetId="7" hidden="1">{"fdsup://directions/FAT Viewer?action=UPDATE&amp;creator=factset&amp;DYN_ARGS=TRUE&amp;DOC_NAME=FAT:FQL_AUDITING_CLIENT_TEMPLATE.FAT&amp;display_string=Audit&amp;VAR:KEY=NWHOHQNQBQ&amp;VAR:QUERY=UkdGX1RBWF9SQVRFKEFOTiwwLCwsLCwsTk9BVURJVCk=&amp;WINDOW=FIRST_POPUP&amp;HEIGHT=450&amp;WIDTH=450&amp;","START_MAXIMIZED=FALSE&amp;VAR:CALENDAR=US&amp;VAR:SYMBOL=MFE&amp;VAR:INDEX=0"}</definedName>
    <definedName name="_3339__FDSAUDITLINK__" hidden="1">{"fdsup://directions/FAT Viewer?action=UPDATE&amp;creator=factset&amp;DYN_ARGS=TRUE&amp;DOC_NAME=FAT:FQL_AUDITING_CLIENT_TEMPLATE.FAT&amp;display_string=Audit&amp;VAR:KEY=NWHOHQNQBQ&amp;VAR:QUERY=UkdGX1RBWF9SQVRFKEFOTiwwLCwsLCwsTk9BVURJVCk=&amp;WINDOW=FIRST_POPUP&amp;HEIGHT=450&amp;WIDTH=450&amp;","START_MAXIMIZED=FALSE&amp;VAR:CALENDAR=US&amp;VAR:SYMBOL=MFE&amp;VAR:INDEX=0"}</definedName>
    <definedName name="_3340__FDSAUDITLINK__" localSheetId="3" hidden="1">{"fdsup://directions/FAT Viewer?action=UPDATE&amp;creator=factset&amp;DYN_ARGS=TRUE&amp;DOC_NAME=FAT:FQL_AUDITING_CLIENT_TEMPLATE.FAT&amp;display_string=Audit&amp;VAR:KEY=BINEBAHURG&amp;VAR:QUERY=UkdGX1RBWF9SQVRFKEFOTiwwLCwsLCwsTk9BVURJVCk=&amp;WINDOW=FIRST_POPUP&amp;HEIGHT=450&amp;WIDTH=450&amp;","START_MAXIMIZED=FALSE&amp;VAR:CALENDAR=US&amp;VAR:SYMBOL=MCHX&amp;VAR:INDEX=0"}</definedName>
    <definedName name="_3340__FDSAUDITLINK__" localSheetId="7" hidden="1">{"fdsup://directions/FAT Viewer?action=UPDATE&amp;creator=factset&amp;DYN_ARGS=TRUE&amp;DOC_NAME=FAT:FQL_AUDITING_CLIENT_TEMPLATE.FAT&amp;display_string=Audit&amp;VAR:KEY=BINEBAHURG&amp;VAR:QUERY=UkdGX1RBWF9SQVRFKEFOTiwwLCwsLCwsTk9BVURJVCk=&amp;WINDOW=FIRST_POPUP&amp;HEIGHT=450&amp;WIDTH=450&amp;","START_MAXIMIZED=FALSE&amp;VAR:CALENDAR=US&amp;VAR:SYMBOL=MCHX&amp;VAR:INDEX=0"}</definedName>
    <definedName name="_3340__FDSAUDITLINK__" hidden="1">{"fdsup://directions/FAT Viewer?action=UPDATE&amp;creator=factset&amp;DYN_ARGS=TRUE&amp;DOC_NAME=FAT:FQL_AUDITING_CLIENT_TEMPLATE.FAT&amp;display_string=Audit&amp;VAR:KEY=BINEBAHURG&amp;VAR:QUERY=UkdGX1RBWF9SQVRFKEFOTiwwLCwsLCwsTk9BVURJVCk=&amp;WINDOW=FIRST_POPUP&amp;HEIGHT=450&amp;WIDTH=450&amp;","START_MAXIMIZED=FALSE&amp;VAR:CALENDAR=US&amp;VAR:SYMBOL=MCHX&amp;VAR:INDEX=0"}</definedName>
    <definedName name="_3341__FDSAUDITLINK__" localSheetId="3" hidden="1">{"fdsup://directions/FAT Viewer?action=UPDATE&amp;creator=factset&amp;DYN_ARGS=TRUE&amp;DOC_NAME=FAT:FQL_AUDITING_CLIENT_TEMPLATE.FAT&amp;display_string=Audit&amp;VAR:KEY=XQZSROXKZS&amp;VAR:QUERY=UkdGX1RBWF9SQVRFKEFOTiwwLCwsLCwsTk9BVURJVCk=&amp;WINDOW=FIRST_POPUP&amp;HEIGHT=450&amp;WIDTH=450&amp;","START_MAXIMIZED=FALSE&amp;VAR:CALENDAR=US&amp;VAR:SYMBOL=MANH&amp;VAR:INDEX=0"}</definedName>
    <definedName name="_3341__FDSAUDITLINK__" localSheetId="7" hidden="1">{"fdsup://directions/FAT Viewer?action=UPDATE&amp;creator=factset&amp;DYN_ARGS=TRUE&amp;DOC_NAME=FAT:FQL_AUDITING_CLIENT_TEMPLATE.FAT&amp;display_string=Audit&amp;VAR:KEY=XQZSROXKZS&amp;VAR:QUERY=UkdGX1RBWF9SQVRFKEFOTiwwLCwsLCwsTk9BVURJVCk=&amp;WINDOW=FIRST_POPUP&amp;HEIGHT=450&amp;WIDTH=450&amp;","START_MAXIMIZED=FALSE&amp;VAR:CALENDAR=US&amp;VAR:SYMBOL=MANH&amp;VAR:INDEX=0"}</definedName>
    <definedName name="_3341__FDSAUDITLINK__" hidden="1">{"fdsup://directions/FAT Viewer?action=UPDATE&amp;creator=factset&amp;DYN_ARGS=TRUE&amp;DOC_NAME=FAT:FQL_AUDITING_CLIENT_TEMPLATE.FAT&amp;display_string=Audit&amp;VAR:KEY=XQZSROXKZS&amp;VAR:QUERY=UkdGX1RBWF9SQVRFKEFOTiwwLCwsLCwsTk9BVURJVCk=&amp;WINDOW=FIRST_POPUP&amp;HEIGHT=450&amp;WIDTH=450&amp;","START_MAXIMIZED=FALSE&amp;VAR:CALENDAR=US&amp;VAR:SYMBOL=MANH&amp;VAR:INDEX=0"}</definedName>
    <definedName name="_3342__FDSAUDITLINK__" localSheetId="3" hidden="1">{"fdsup://directions/FAT Viewer?action=UPDATE&amp;creator=factset&amp;DYN_ARGS=TRUE&amp;DOC_NAME=FAT:FQL_AUDITING_CLIENT_TEMPLATE.FAT&amp;display_string=Audit&amp;VAR:KEY=XQZSROXKZS&amp;VAR:QUERY=UkdGX1RBWF9SQVRFKEFOTiwwLCwsLCwsTk9BVURJVCk=&amp;WINDOW=FIRST_POPUP&amp;HEIGHT=450&amp;WIDTH=450&amp;","START_MAXIMIZED=FALSE&amp;VAR:CALENDAR=US&amp;VAR:SYMBOL=MANH&amp;VAR:INDEX=0"}</definedName>
    <definedName name="_3342__FDSAUDITLINK__" localSheetId="7" hidden="1">{"fdsup://directions/FAT Viewer?action=UPDATE&amp;creator=factset&amp;DYN_ARGS=TRUE&amp;DOC_NAME=FAT:FQL_AUDITING_CLIENT_TEMPLATE.FAT&amp;display_string=Audit&amp;VAR:KEY=XQZSROXKZS&amp;VAR:QUERY=UkdGX1RBWF9SQVRFKEFOTiwwLCwsLCwsTk9BVURJVCk=&amp;WINDOW=FIRST_POPUP&amp;HEIGHT=450&amp;WIDTH=450&amp;","START_MAXIMIZED=FALSE&amp;VAR:CALENDAR=US&amp;VAR:SYMBOL=MANH&amp;VAR:INDEX=0"}</definedName>
    <definedName name="_3342__FDSAUDITLINK__" hidden="1">{"fdsup://directions/FAT Viewer?action=UPDATE&amp;creator=factset&amp;DYN_ARGS=TRUE&amp;DOC_NAME=FAT:FQL_AUDITING_CLIENT_TEMPLATE.FAT&amp;display_string=Audit&amp;VAR:KEY=XQZSROXKZS&amp;VAR:QUERY=UkdGX1RBWF9SQVRFKEFOTiwwLCwsLCwsTk9BVURJVCk=&amp;WINDOW=FIRST_POPUP&amp;HEIGHT=450&amp;WIDTH=450&amp;","START_MAXIMIZED=FALSE&amp;VAR:CALENDAR=US&amp;VAR:SYMBOL=MANH&amp;VAR:INDEX=0"}</definedName>
    <definedName name="_3343__FDSAUDITLINK__" localSheetId="3" hidden="1">{"fdsup://directions/FAT Viewer?action=UPDATE&amp;creator=factset&amp;DYN_ARGS=TRUE&amp;DOC_NAME=FAT:FQL_AUDITING_CLIENT_TEMPLATE.FAT&amp;display_string=Audit&amp;VAR:KEY=PCNIBYBWZU&amp;VAR:QUERY=UkdGX1RBWF9SQVRFKEFOTiwwLCwsLCwsTk9BVURJVCk=&amp;WINDOW=FIRST_POPUP&amp;HEIGHT=450&amp;WIDTH=450&amp;","START_MAXIMIZED=FALSE&amp;VAR:CALENDAR=US&amp;VAR:SYMBOL=LAVA&amp;VAR:INDEX=0"}</definedName>
    <definedName name="_3343__FDSAUDITLINK__" localSheetId="7" hidden="1">{"fdsup://directions/FAT Viewer?action=UPDATE&amp;creator=factset&amp;DYN_ARGS=TRUE&amp;DOC_NAME=FAT:FQL_AUDITING_CLIENT_TEMPLATE.FAT&amp;display_string=Audit&amp;VAR:KEY=PCNIBYBWZU&amp;VAR:QUERY=UkdGX1RBWF9SQVRFKEFOTiwwLCwsLCwsTk9BVURJVCk=&amp;WINDOW=FIRST_POPUP&amp;HEIGHT=450&amp;WIDTH=450&amp;","START_MAXIMIZED=FALSE&amp;VAR:CALENDAR=US&amp;VAR:SYMBOL=LAVA&amp;VAR:INDEX=0"}</definedName>
    <definedName name="_3343__FDSAUDITLINK__" hidden="1">{"fdsup://directions/FAT Viewer?action=UPDATE&amp;creator=factset&amp;DYN_ARGS=TRUE&amp;DOC_NAME=FAT:FQL_AUDITING_CLIENT_TEMPLATE.FAT&amp;display_string=Audit&amp;VAR:KEY=PCNIBYBWZU&amp;VAR:QUERY=UkdGX1RBWF9SQVRFKEFOTiwwLCwsLCwsTk9BVURJVCk=&amp;WINDOW=FIRST_POPUP&amp;HEIGHT=450&amp;WIDTH=450&amp;","START_MAXIMIZED=FALSE&amp;VAR:CALENDAR=US&amp;VAR:SYMBOL=LAVA&amp;VAR:INDEX=0"}</definedName>
    <definedName name="_3344__FDSAUDITLINK__" localSheetId="3" hidden="1">{"fdsup://directions/FAT Viewer?action=UPDATE&amp;creator=factset&amp;DYN_ARGS=TRUE&amp;DOC_NAME=FAT:FQL_AUDITING_CLIENT_TEMPLATE.FAT&amp;display_string=Audit&amp;VAR:KEY=FGBODYDIBW&amp;VAR:QUERY=UkdGX1RBWF9SQVRFKEFOTiwwLCwsLCwsTk9BVURJVCk=&amp;WINDOW=FIRST_POPUP&amp;HEIGHT=450&amp;WIDTH=450&amp;","START_MAXIMIZED=FALSE&amp;VAR:CALENDAR=US&amp;VAR:SYMBOL=LOOP&amp;VAR:INDEX=0"}</definedName>
    <definedName name="_3344__FDSAUDITLINK__" localSheetId="7" hidden="1">{"fdsup://directions/FAT Viewer?action=UPDATE&amp;creator=factset&amp;DYN_ARGS=TRUE&amp;DOC_NAME=FAT:FQL_AUDITING_CLIENT_TEMPLATE.FAT&amp;display_string=Audit&amp;VAR:KEY=FGBODYDIBW&amp;VAR:QUERY=UkdGX1RBWF9SQVRFKEFOTiwwLCwsLCwsTk9BVURJVCk=&amp;WINDOW=FIRST_POPUP&amp;HEIGHT=450&amp;WIDTH=450&amp;","START_MAXIMIZED=FALSE&amp;VAR:CALENDAR=US&amp;VAR:SYMBOL=LOOP&amp;VAR:INDEX=0"}</definedName>
    <definedName name="_3344__FDSAUDITLINK__" hidden="1">{"fdsup://directions/FAT Viewer?action=UPDATE&amp;creator=factset&amp;DYN_ARGS=TRUE&amp;DOC_NAME=FAT:FQL_AUDITING_CLIENT_TEMPLATE.FAT&amp;display_string=Audit&amp;VAR:KEY=FGBODYDIBW&amp;VAR:QUERY=UkdGX1RBWF9SQVRFKEFOTiwwLCwsLCwsTk9BVURJVCk=&amp;WINDOW=FIRST_POPUP&amp;HEIGHT=450&amp;WIDTH=450&amp;","START_MAXIMIZED=FALSE&amp;VAR:CALENDAR=US&amp;VAR:SYMBOL=LOOP&amp;VAR:INDEX=0"}</definedName>
    <definedName name="_3345__FDSAUDITLINK__" localSheetId="3" hidden="1">{"fdsup://directions/FAT Viewer?action=UPDATE&amp;creator=factset&amp;DYN_ARGS=TRUE&amp;DOC_NAME=FAT:FQL_AUDITING_CLIENT_TEMPLATE.FAT&amp;display_string=Audit&amp;VAR:KEY=FGBODYDIBW&amp;VAR:QUERY=UkdGX1RBWF9SQVRFKEFOTiwwLCwsLCwsTk9BVURJVCk=&amp;WINDOW=FIRST_POPUP&amp;HEIGHT=450&amp;WIDTH=450&amp;","START_MAXIMIZED=FALSE&amp;VAR:CALENDAR=US&amp;VAR:SYMBOL=LOOP&amp;VAR:INDEX=0"}</definedName>
    <definedName name="_3345__FDSAUDITLINK__" localSheetId="7" hidden="1">{"fdsup://directions/FAT Viewer?action=UPDATE&amp;creator=factset&amp;DYN_ARGS=TRUE&amp;DOC_NAME=FAT:FQL_AUDITING_CLIENT_TEMPLATE.FAT&amp;display_string=Audit&amp;VAR:KEY=FGBODYDIBW&amp;VAR:QUERY=UkdGX1RBWF9SQVRFKEFOTiwwLCwsLCwsTk9BVURJVCk=&amp;WINDOW=FIRST_POPUP&amp;HEIGHT=450&amp;WIDTH=450&amp;","START_MAXIMIZED=FALSE&amp;VAR:CALENDAR=US&amp;VAR:SYMBOL=LOOP&amp;VAR:INDEX=0"}</definedName>
    <definedName name="_3345__FDSAUDITLINK__" hidden="1">{"fdsup://directions/FAT Viewer?action=UPDATE&amp;creator=factset&amp;DYN_ARGS=TRUE&amp;DOC_NAME=FAT:FQL_AUDITING_CLIENT_TEMPLATE.FAT&amp;display_string=Audit&amp;VAR:KEY=FGBODYDIBW&amp;VAR:QUERY=UkdGX1RBWF9SQVRFKEFOTiwwLCwsLCwsTk9BVURJVCk=&amp;WINDOW=FIRST_POPUP&amp;HEIGHT=450&amp;WIDTH=450&amp;","START_MAXIMIZED=FALSE&amp;VAR:CALENDAR=US&amp;VAR:SYMBOL=LOOP&amp;VAR:INDEX=0"}</definedName>
    <definedName name="_3346__FDSAUDITLINK__" localSheetId="3" hidden="1">{"fdsup://directions/FAT Viewer?action=UPDATE&amp;creator=factset&amp;DYN_ARGS=TRUE&amp;DOC_NAME=FAT:FQL_AUDITING_CLIENT_TEMPLATE.FAT&amp;display_string=Audit&amp;VAR:KEY=NQBGJMJSDI&amp;VAR:QUERY=UkdGX1RBWF9SQVRFKEFOTiwwLCwsLCwsTk9BVURJVCk=&amp;WINDOW=FIRST_POPUP&amp;HEIGHT=450&amp;WIDTH=450&amp;","START_MAXIMIZED=FALSE&amp;VAR:CALENDAR=US&amp;VAR:SYMBOL=LPSN&amp;VAR:INDEX=0"}</definedName>
    <definedName name="_3346__FDSAUDITLINK__" localSheetId="7" hidden="1">{"fdsup://directions/FAT Viewer?action=UPDATE&amp;creator=factset&amp;DYN_ARGS=TRUE&amp;DOC_NAME=FAT:FQL_AUDITING_CLIENT_TEMPLATE.FAT&amp;display_string=Audit&amp;VAR:KEY=NQBGJMJSDI&amp;VAR:QUERY=UkdGX1RBWF9SQVRFKEFOTiwwLCwsLCwsTk9BVURJVCk=&amp;WINDOW=FIRST_POPUP&amp;HEIGHT=450&amp;WIDTH=450&amp;","START_MAXIMIZED=FALSE&amp;VAR:CALENDAR=US&amp;VAR:SYMBOL=LPSN&amp;VAR:INDEX=0"}</definedName>
    <definedName name="_3346__FDSAUDITLINK__" hidden="1">{"fdsup://directions/FAT Viewer?action=UPDATE&amp;creator=factset&amp;DYN_ARGS=TRUE&amp;DOC_NAME=FAT:FQL_AUDITING_CLIENT_TEMPLATE.FAT&amp;display_string=Audit&amp;VAR:KEY=NQBGJMJSDI&amp;VAR:QUERY=UkdGX1RBWF9SQVRFKEFOTiwwLCwsLCwsTk9BVURJVCk=&amp;WINDOW=FIRST_POPUP&amp;HEIGHT=450&amp;WIDTH=450&amp;","START_MAXIMIZED=FALSE&amp;VAR:CALENDAR=US&amp;VAR:SYMBOL=LPSN&amp;VAR:INDEX=0"}</definedName>
    <definedName name="_3347__FDSAUDITLINK__" localSheetId="3" hidden="1">{"fdsup://directions/FAT Viewer?action=UPDATE&amp;creator=factset&amp;DYN_ARGS=TRUE&amp;DOC_NAME=FAT:FQL_AUDITING_CLIENT_TEMPLATE.FAT&amp;display_string=Audit&amp;VAR:KEY=NQBGJMJSDI&amp;VAR:QUERY=UkdGX1RBWF9SQVRFKEFOTiwwLCwsLCwsTk9BVURJVCk=&amp;WINDOW=FIRST_POPUP&amp;HEIGHT=450&amp;WIDTH=450&amp;","START_MAXIMIZED=FALSE&amp;VAR:CALENDAR=US&amp;VAR:SYMBOL=LPSN&amp;VAR:INDEX=0"}</definedName>
    <definedName name="_3347__FDSAUDITLINK__" localSheetId="7" hidden="1">{"fdsup://directions/FAT Viewer?action=UPDATE&amp;creator=factset&amp;DYN_ARGS=TRUE&amp;DOC_NAME=FAT:FQL_AUDITING_CLIENT_TEMPLATE.FAT&amp;display_string=Audit&amp;VAR:KEY=NQBGJMJSDI&amp;VAR:QUERY=UkdGX1RBWF9SQVRFKEFOTiwwLCwsLCwsTk9BVURJVCk=&amp;WINDOW=FIRST_POPUP&amp;HEIGHT=450&amp;WIDTH=450&amp;","START_MAXIMIZED=FALSE&amp;VAR:CALENDAR=US&amp;VAR:SYMBOL=LPSN&amp;VAR:INDEX=0"}</definedName>
    <definedName name="_3347__FDSAUDITLINK__" hidden="1">{"fdsup://directions/FAT Viewer?action=UPDATE&amp;creator=factset&amp;DYN_ARGS=TRUE&amp;DOC_NAME=FAT:FQL_AUDITING_CLIENT_TEMPLATE.FAT&amp;display_string=Audit&amp;VAR:KEY=NQBGJMJSDI&amp;VAR:QUERY=UkdGX1RBWF9SQVRFKEFOTiwwLCwsLCwsTk9BVURJVCk=&amp;WINDOW=FIRST_POPUP&amp;HEIGHT=450&amp;WIDTH=450&amp;","START_MAXIMIZED=FALSE&amp;VAR:CALENDAR=US&amp;VAR:SYMBOL=LPSN&amp;VAR:INDEX=0"}</definedName>
    <definedName name="_3348__FDSAUDITLINK__" localSheetId="3" hidden="1">{"fdsup://directions/FAT Viewer?action=UPDATE&amp;creator=factset&amp;DYN_ARGS=TRUE&amp;DOC_NAME=FAT:FQL_AUDITING_CLIENT_TEMPLATE.FAT&amp;display_string=Audit&amp;VAR:KEY=JILMZKJGXY&amp;VAR:QUERY=UkdGX1RBWF9SQVRFKEFOTiwwLCwsLCwsTk9BVURJVCk=&amp;WINDOW=FIRST_POPUP&amp;HEIGHT=450&amp;WIDTH=450&amp;","START_MAXIMIZED=FALSE&amp;VAR:CALENDAR=US&amp;VAR:SYMBOL=LOGM&amp;VAR:INDEX=0"}</definedName>
    <definedName name="_3348__FDSAUDITLINK__" localSheetId="7" hidden="1">{"fdsup://directions/FAT Viewer?action=UPDATE&amp;creator=factset&amp;DYN_ARGS=TRUE&amp;DOC_NAME=FAT:FQL_AUDITING_CLIENT_TEMPLATE.FAT&amp;display_string=Audit&amp;VAR:KEY=JILMZKJGXY&amp;VAR:QUERY=UkdGX1RBWF9SQVRFKEFOTiwwLCwsLCwsTk9BVURJVCk=&amp;WINDOW=FIRST_POPUP&amp;HEIGHT=450&amp;WIDTH=450&amp;","START_MAXIMIZED=FALSE&amp;VAR:CALENDAR=US&amp;VAR:SYMBOL=LOGM&amp;VAR:INDEX=0"}</definedName>
    <definedName name="_3348__FDSAUDITLINK__" hidden="1">{"fdsup://directions/FAT Viewer?action=UPDATE&amp;creator=factset&amp;DYN_ARGS=TRUE&amp;DOC_NAME=FAT:FQL_AUDITING_CLIENT_TEMPLATE.FAT&amp;display_string=Audit&amp;VAR:KEY=JILMZKJGXY&amp;VAR:QUERY=UkdGX1RBWF9SQVRFKEFOTiwwLCwsLCwsTk9BVURJVCk=&amp;WINDOW=FIRST_POPUP&amp;HEIGHT=450&amp;WIDTH=450&amp;","START_MAXIMIZED=FALSE&amp;VAR:CALENDAR=US&amp;VAR:SYMBOL=LOGM&amp;VAR:INDEX=0"}</definedName>
    <definedName name="_3349__FDSAUDITLINK__" localSheetId="3" hidden="1">{"fdsup://directions/FAT Viewer?action=UPDATE&amp;creator=factset&amp;DYN_ARGS=TRUE&amp;DOC_NAME=FAT:FQL_AUDITING_CLIENT_TEMPLATE.FAT&amp;display_string=Audit&amp;VAR:KEY=JILMZKJGXY&amp;VAR:QUERY=UkdGX1RBWF9SQVRFKEFOTiwwLCwsLCwsTk9BVURJVCk=&amp;WINDOW=FIRST_POPUP&amp;HEIGHT=450&amp;WIDTH=450&amp;","START_MAXIMIZED=FALSE&amp;VAR:CALENDAR=US&amp;VAR:SYMBOL=LOGM&amp;VAR:INDEX=0"}</definedName>
    <definedName name="_3349__FDSAUDITLINK__" localSheetId="7" hidden="1">{"fdsup://directions/FAT Viewer?action=UPDATE&amp;creator=factset&amp;DYN_ARGS=TRUE&amp;DOC_NAME=FAT:FQL_AUDITING_CLIENT_TEMPLATE.FAT&amp;display_string=Audit&amp;VAR:KEY=JILMZKJGXY&amp;VAR:QUERY=UkdGX1RBWF9SQVRFKEFOTiwwLCwsLCwsTk9BVURJVCk=&amp;WINDOW=FIRST_POPUP&amp;HEIGHT=450&amp;WIDTH=450&amp;","START_MAXIMIZED=FALSE&amp;VAR:CALENDAR=US&amp;VAR:SYMBOL=LOGM&amp;VAR:INDEX=0"}</definedName>
    <definedName name="_3349__FDSAUDITLINK__" hidden="1">{"fdsup://directions/FAT Viewer?action=UPDATE&amp;creator=factset&amp;DYN_ARGS=TRUE&amp;DOC_NAME=FAT:FQL_AUDITING_CLIENT_TEMPLATE.FAT&amp;display_string=Audit&amp;VAR:KEY=JILMZKJGXY&amp;VAR:QUERY=UkdGX1RBWF9SQVRFKEFOTiwwLCwsLCwsTk9BVURJVCk=&amp;WINDOW=FIRST_POPUP&amp;HEIGHT=450&amp;WIDTH=450&amp;","START_MAXIMIZED=FALSE&amp;VAR:CALENDAR=US&amp;VAR:SYMBOL=LOGM&amp;VAR:INDEX=0"}</definedName>
    <definedName name="_335__FDSAUDITLINK__" localSheetId="3" hidden="1">{"fdsup://directions/FAT Viewer?action=UPDATE&amp;creator=factset&amp;DYN_ARGS=TRUE&amp;DOC_NAME=FAT:FQL_AUDITING_CLIENT_TEMPLATE.FAT&amp;display_string=Audit&amp;VAR:KEY=YDUVQDEJAF&amp;VAR:QUERY=RkZfRUJJVERBX09QRVIoTFRNLDAsLCwsLE0p&amp;WINDOW=FIRST_POPUP&amp;HEIGHT=450&amp;WIDTH=450&amp;START_MA","XIMIZED=FALSE&amp;VAR:CALENDAR=US&amp;VAR:SYMBOL=B1G8KX&amp;VAR:INDEX=0"}</definedName>
    <definedName name="_335__FDSAUDITLINK__" localSheetId="7" hidden="1">{"fdsup://directions/FAT Viewer?action=UPDATE&amp;creator=factset&amp;DYN_ARGS=TRUE&amp;DOC_NAME=FAT:FQL_AUDITING_CLIENT_TEMPLATE.FAT&amp;display_string=Audit&amp;VAR:KEY=YDUVQDEJAF&amp;VAR:QUERY=RkZfRUJJVERBX09QRVIoTFRNLDAsLCwsLE0p&amp;WINDOW=FIRST_POPUP&amp;HEIGHT=450&amp;WIDTH=450&amp;START_MA","XIMIZED=FALSE&amp;VAR:CALENDAR=US&amp;VAR:SYMBOL=B1G8KX&amp;VAR:INDEX=0"}</definedName>
    <definedName name="_335__FDSAUDITLINK__" hidden="1">{"fdsup://directions/FAT Viewer?action=UPDATE&amp;creator=factset&amp;DYN_ARGS=TRUE&amp;DOC_NAME=FAT:FQL_AUDITING_CLIENT_TEMPLATE.FAT&amp;display_string=Audit&amp;VAR:KEY=YDUVQDEJAF&amp;VAR:QUERY=RkZfRUJJVERBX09QRVIoTFRNLDAsLCwsLE0p&amp;WINDOW=FIRST_POPUP&amp;HEIGHT=450&amp;WIDTH=450&amp;START_MA","XIMIZED=FALSE&amp;VAR:CALENDAR=US&amp;VAR:SYMBOL=B1G8KX&amp;VAR:INDEX=0"}</definedName>
    <definedName name="_3350__FDSAUDITLINK__" localSheetId="3" hidden="1">{"fdsup://directions/FAT Viewer?action=UPDATE&amp;creator=factset&amp;DYN_ARGS=TRUE&amp;DOC_NAME=FAT:FQL_AUDITING_CLIENT_TEMPLATE.FAT&amp;display_string=Audit&amp;VAR:KEY=LOLIHKVIVM&amp;VAR:QUERY=UkdGX1RBWF9SQVRFKEFOTiwwLCwsLCwsTk9BVURJVCk=&amp;WINDOW=FIRST_POPUP&amp;HEIGHT=450&amp;WIDTH=450&amp;","START_MAXIMIZED=FALSE&amp;VAR:CALENDAR=US&amp;VAR:SYMBOL=LIOX&amp;VAR:INDEX=0"}</definedName>
    <definedName name="_3350__FDSAUDITLINK__" localSheetId="7" hidden="1">{"fdsup://directions/FAT Viewer?action=UPDATE&amp;creator=factset&amp;DYN_ARGS=TRUE&amp;DOC_NAME=FAT:FQL_AUDITING_CLIENT_TEMPLATE.FAT&amp;display_string=Audit&amp;VAR:KEY=LOLIHKVIVM&amp;VAR:QUERY=UkdGX1RBWF9SQVRFKEFOTiwwLCwsLCwsTk9BVURJVCk=&amp;WINDOW=FIRST_POPUP&amp;HEIGHT=450&amp;WIDTH=450&amp;","START_MAXIMIZED=FALSE&amp;VAR:CALENDAR=US&amp;VAR:SYMBOL=LIOX&amp;VAR:INDEX=0"}</definedName>
    <definedName name="_3350__FDSAUDITLINK__" hidden="1">{"fdsup://directions/FAT Viewer?action=UPDATE&amp;creator=factset&amp;DYN_ARGS=TRUE&amp;DOC_NAME=FAT:FQL_AUDITING_CLIENT_TEMPLATE.FAT&amp;display_string=Audit&amp;VAR:KEY=LOLIHKVIVM&amp;VAR:QUERY=UkdGX1RBWF9SQVRFKEFOTiwwLCwsLCwsTk9BVURJVCk=&amp;WINDOW=FIRST_POPUP&amp;HEIGHT=450&amp;WIDTH=450&amp;","START_MAXIMIZED=FALSE&amp;VAR:CALENDAR=US&amp;VAR:SYMBOL=LIOX&amp;VAR:INDEX=0"}</definedName>
    <definedName name="_3351__FDSAUDITLINK__" localSheetId="3" hidden="1">{"fdsup://directions/FAT Viewer?action=UPDATE&amp;creator=factset&amp;DYN_ARGS=TRUE&amp;DOC_NAME=FAT:FQL_AUDITING_CLIENT_TEMPLATE.FAT&amp;display_string=Audit&amp;VAR:KEY=LOLIHKVIVM&amp;VAR:QUERY=UkdGX1RBWF9SQVRFKEFOTiwwLCwsLCwsTk9BVURJVCk=&amp;WINDOW=FIRST_POPUP&amp;HEIGHT=450&amp;WIDTH=450&amp;","START_MAXIMIZED=FALSE&amp;VAR:CALENDAR=US&amp;VAR:SYMBOL=LIOX&amp;VAR:INDEX=0"}</definedName>
    <definedName name="_3351__FDSAUDITLINK__" localSheetId="7" hidden="1">{"fdsup://directions/FAT Viewer?action=UPDATE&amp;creator=factset&amp;DYN_ARGS=TRUE&amp;DOC_NAME=FAT:FQL_AUDITING_CLIENT_TEMPLATE.FAT&amp;display_string=Audit&amp;VAR:KEY=LOLIHKVIVM&amp;VAR:QUERY=UkdGX1RBWF9SQVRFKEFOTiwwLCwsLCwsTk9BVURJVCk=&amp;WINDOW=FIRST_POPUP&amp;HEIGHT=450&amp;WIDTH=450&amp;","START_MAXIMIZED=FALSE&amp;VAR:CALENDAR=US&amp;VAR:SYMBOL=LIOX&amp;VAR:INDEX=0"}</definedName>
    <definedName name="_3351__FDSAUDITLINK__" hidden="1">{"fdsup://directions/FAT Viewer?action=UPDATE&amp;creator=factset&amp;DYN_ARGS=TRUE&amp;DOC_NAME=FAT:FQL_AUDITING_CLIENT_TEMPLATE.FAT&amp;display_string=Audit&amp;VAR:KEY=LOLIHKVIVM&amp;VAR:QUERY=UkdGX1RBWF9SQVRFKEFOTiwwLCwsLCwsTk9BVURJVCk=&amp;WINDOW=FIRST_POPUP&amp;HEIGHT=450&amp;WIDTH=450&amp;","START_MAXIMIZED=FALSE&amp;VAR:CALENDAR=US&amp;VAR:SYMBOL=LIOX&amp;VAR:INDEX=0"}</definedName>
    <definedName name="_3352__FDSAUDITLINK__" localSheetId="3" hidden="1">{"fdsup://directions/FAT Viewer?action=UPDATE&amp;creator=factset&amp;DYN_ARGS=TRUE&amp;DOC_NAME=FAT:FQL_AUDITING_CLIENT_TEMPLATE.FAT&amp;display_string=Audit&amp;VAR:KEY=BAZIBOXGHK&amp;VAR:QUERY=UkdGX1RBWF9SQVRFKEFOTiwwLCwsLCwsTk9BVURJVCk=&amp;WINDOW=FIRST_POPUP&amp;HEIGHT=450&amp;WIDTH=450&amp;","START_MAXIMIZED=FALSE&amp;VAR:CALENDAR=US&amp;VAR:SYMBOL=LLNW&amp;VAR:INDEX=0"}</definedName>
    <definedName name="_3352__FDSAUDITLINK__" localSheetId="7" hidden="1">{"fdsup://directions/FAT Viewer?action=UPDATE&amp;creator=factset&amp;DYN_ARGS=TRUE&amp;DOC_NAME=FAT:FQL_AUDITING_CLIENT_TEMPLATE.FAT&amp;display_string=Audit&amp;VAR:KEY=BAZIBOXGHK&amp;VAR:QUERY=UkdGX1RBWF9SQVRFKEFOTiwwLCwsLCwsTk9BVURJVCk=&amp;WINDOW=FIRST_POPUP&amp;HEIGHT=450&amp;WIDTH=450&amp;","START_MAXIMIZED=FALSE&amp;VAR:CALENDAR=US&amp;VAR:SYMBOL=LLNW&amp;VAR:INDEX=0"}</definedName>
    <definedName name="_3352__FDSAUDITLINK__" hidden="1">{"fdsup://directions/FAT Viewer?action=UPDATE&amp;creator=factset&amp;DYN_ARGS=TRUE&amp;DOC_NAME=FAT:FQL_AUDITING_CLIENT_TEMPLATE.FAT&amp;display_string=Audit&amp;VAR:KEY=BAZIBOXGHK&amp;VAR:QUERY=UkdGX1RBWF9SQVRFKEFOTiwwLCwsLCwsTk9BVURJVCk=&amp;WINDOW=FIRST_POPUP&amp;HEIGHT=450&amp;WIDTH=450&amp;","START_MAXIMIZED=FALSE&amp;VAR:CALENDAR=US&amp;VAR:SYMBOL=LLNW&amp;VAR:INDEX=0"}</definedName>
    <definedName name="_3353__FDSAUDITLINK__" localSheetId="3" hidden="1">{"fdsup://directions/FAT Viewer?action=UPDATE&amp;creator=factset&amp;DYN_ARGS=TRUE&amp;DOC_NAME=FAT:FQL_AUDITING_CLIENT_TEMPLATE.FAT&amp;display_string=Audit&amp;VAR:KEY=BSHIPIJEDA&amp;VAR:QUERY=UkdGX1RBWF9SQVRFKEFOTiwwLCwsLCwsTk9BVURJVCk=&amp;WINDOW=FIRST_POPUP&amp;HEIGHT=450&amp;WIDTH=450&amp;","START_MAXIMIZED=FALSE&amp;VAR:CALENDAR=US&amp;VAR:SYMBOL=LVLT&amp;VAR:INDEX=0"}</definedName>
    <definedName name="_3353__FDSAUDITLINK__" localSheetId="7" hidden="1">{"fdsup://directions/FAT Viewer?action=UPDATE&amp;creator=factset&amp;DYN_ARGS=TRUE&amp;DOC_NAME=FAT:FQL_AUDITING_CLIENT_TEMPLATE.FAT&amp;display_string=Audit&amp;VAR:KEY=BSHIPIJEDA&amp;VAR:QUERY=UkdGX1RBWF9SQVRFKEFOTiwwLCwsLCwsTk9BVURJVCk=&amp;WINDOW=FIRST_POPUP&amp;HEIGHT=450&amp;WIDTH=450&amp;","START_MAXIMIZED=FALSE&amp;VAR:CALENDAR=US&amp;VAR:SYMBOL=LVLT&amp;VAR:INDEX=0"}</definedName>
    <definedName name="_3353__FDSAUDITLINK__" hidden="1">{"fdsup://directions/FAT Viewer?action=UPDATE&amp;creator=factset&amp;DYN_ARGS=TRUE&amp;DOC_NAME=FAT:FQL_AUDITING_CLIENT_TEMPLATE.FAT&amp;display_string=Audit&amp;VAR:KEY=BSHIPIJEDA&amp;VAR:QUERY=UkdGX1RBWF9SQVRFKEFOTiwwLCwsLCwsTk9BVURJVCk=&amp;WINDOW=FIRST_POPUP&amp;HEIGHT=450&amp;WIDTH=450&amp;","START_MAXIMIZED=FALSE&amp;VAR:CALENDAR=US&amp;VAR:SYMBOL=LVLT&amp;VAR:INDEX=0"}</definedName>
    <definedName name="_3354__FDSAUDITLINK__" localSheetId="3" hidden="1">{"fdsup://directions/FAT Viewer?action=UPDATE&amp;creator=factset&amp;DYN_ARGS=TRUE&amp;DOC_NAME=FAT:FQL_AUDITING_CLIENT_TEMPLATE.FAT&amp;display_string=Audit&amp;VAR:KEY=NOLCHOFCLI&amp;VAR:QUERY=UkdGX1RBWF9SQVRFKEFOTiwwLCwsLCwsTk9BVURJVCk=&amp;WINDOW=FIRST_POPUP&amp;HEIGHT=450&amp;WIDTH=450&amp;","START_MAXIMIZED=FALSE&amp;VAR:CALENDAR=US&amp;VAR:SYMBOL=LWSN&amp;VAR:INDEX=0"}</definedName>
    <definedName name="_3354__FDSAUDITLINK__" localSheetId="7" hidden="1">{"fdsup://directions/FAT Viewer?action=UPDATE&amp;creator=factset&amp;DYN_ARGS=TRUE&amp;DOC_NAME=FAT:FQL_AUDITING_CLIENT_TEMPLATE.FAT&amp;display_string=Audit&amp;VAR:KEY=NOLCHOFCLI&amp;VAR:QUERY=UkdGX1RBWF9SQVRFKEFOTiwwLCwsLCwsTk9BVURJVCk=&amp;WINDOW=FIRST_POPUP&amp;HEIGHT=450&amp;WIDTH=450&amp;","START_MAXIMIZED=FALSE&amp;VAR:CALENDAR=US&amp;VAR:SYMBOL=LWSN&amp;VAR:INDEX=0"}</definedName>
    <definedName name="_3354__FDSAUDITLINK__" hidden="1">{"fdsup://directions/FAT Viewer?action=UPDATE&amp;creator=factset&amp;DYN_ARGS=TRUE&amp;DOC_NAME=FAT:FQL_AUDITING_CLIENT_TEMPLATE.FAT&amp;display_string=Audit&amp;VAR:KEY=NOLCHOFCLI&amp;VAR:QUERY=UkdGX1RBWF9SQVRFKEFOTiwwLCwsLCwsTk9BVURJVCk=&amp;WINDOW=FIRST_POPUP&amp;HEIGHT=450&amp;WIDTH=450&amp;","START_MAXIMIZED=FALSE&amp;VAR:CALENDAR=US&amp;VAR:SYMBOL=LWSN&amp;VAR:INDEX=0"}</definedName>
    <definedName name="_3355__FDSAUDITLINK__" localSheetId="3" hidden="1">{"fdsup://directions/FAT Viewer?action=UPDATE&amp;creator=factset&amp;DYN_ARGS=TRUE&amp;DOC_NAME=FAT:FQL_AUDITING_CLIENT_TEMPLATE.FAT&amp;display_string=Audit&amp;VAR:KEY=NOLCHOFCLI&amp;VAR:QUERY=UkdGX1RBWF9SQVRFKEFOTiwwLCwsLCwsTk9BVURJVCk=&amp;WINDOW=FIRST_POPUP&amp;HEIGHT=450&amp;WIDTH=450&amp;","START_MAXIMIZED=FALSE&amp;VAR:CALENDAR=US&amp;VAR:SYMBOL=LWSN&amp;VAR:INDEX=0"}</definedName>
    <definedName name="_3355__FDSAUDITLINK__" localSheetId="7" hidden="1">{"fdsup://directions/FAT Viewer?action=UPDATE&amp;creator=factset&amp;DYN_ARGS=TRUE&amp;DOC_NAME=FAT:FQL_AUDITING_CLIENT_TEMPLATE.FAT&amp;display_string=Audit&amp;VAR:KEY=NOLCHOFCLI&amp;VAR:QUERY=UkdGX1RBWF9SQVRFKEFOTiwwLCwsLCwsTk9BVURJVCk=&amp;WINDOW=FIRST_POPUP&amp;HEIGHT=450&amp;WIDTH=450&amp;","START_MAXIMIZED=FALSE&amp;VAR:CALENDAR=US&amp;VAR:SYMBOL=LWSN&amp;VAR:INDEX=0"}</definedName>
    <definedName name="_3355__FDSAUDITLINK__" hidden="1">{"fdsup://directions/FAT Viewer?action=UPDATE&amp;creator=factset&amp;DYN_ARGS=TRUE&amp;DOC_NAME=FAT:FQL_AUDITING_CLIENT_TEMPLATE.FAT&amp;display_string=Audit&amp;VAR:KEY=NOLCHOFCLI&amp;VAR:QUERY=UkdGX1RBWF9SQVRFKEFOTiwwLCwsLCwsTk9BVURJVCk=&amp;WINDOW=FIRST_POPUP&amp;HEIGHT=450&amp;WIDTH=450&amp;","START_MAXIMIZED=FALSE&amp;VAR:CALENDAR=US&amp;VAR:SYMBOL=LWSN&amp;VAR:INDEX=0"}</definedName>
    <definedName name="_3356__FDSAUDITLINK__" localSheetId="3" hidden="1">{"fdsup://directions/FAT Viewer?action=UPDATE&amp;creator=factset&amp;DYN_ARGS=TRUE&amp;DOC_NAME=FAT:FQL_AUDITING_CLIENT_TEMPLATE.FAT&amp;display_string=Audit&amp;VAR:KEY=HEBQLIJKBG&amp;VAR:QUERY=UkdGX1RBWF9SQVRFKEFOTiwwLCwsLCwsTk9BVURJVCk=&amp;WINDOW=FIRST_POPUP&amp;HEIGHT=450&amp;WIDTH=450&amp;","START_MAXIMIZED=FALSE&amp;VAR:CALENDAR=US&amp;VAR:SYMBOL=712125&amp;VAR:INDEX=0"}</definedName>
    <definedName name="_3356__FDSAUDITLINK__" localSheetId="7" hidden="1">{"fdsup://directions/FAT Viewer?action=UPDATE&amp;creator=factset&amp;DYN_ARGS=TRUE&amp;DOC_NAME=FAT:FQL_AUDITING_CLIENT_TEMPLATE.FAT&amp;display_string=Audit&amp;VAR:KEY=HEBQLIJKBG&amp;VAR:QUERY=UkdGX1RBWF9SQVRFKEFOTiwwLCwsLCwsTk9BVURJVCk=&amp;WINDOW=FIRST_POPUP&amp;HEIGHT=450&amp;WIDTH=450&amp;","START_MAXIMIZED=FALSE&amp;VAR:CALENDAR=US&amp;VAR:SYMBOL=712125&amp;VAR:INDEX=0"}</definedName>
    <definedName name="_3356__FDSAUDITLINK__" hidden="1">{"fdsup://directions/FAT Viewer?action=UPDATE&amp;creator=factset&amp;DYN_ARGS=TRUE&amp;DOC_NAME=FAT:FQL_AUDITING_CLIENT_TEMPLATE.FAT&amp;display_string=Audit&amp;VAR:KEY=HEBQLIJKBG&amp;VAR:QUERY=UkdGX1RBWF9SQVRFKEFOTiwwLCwsLCwsTk9BVURJVCk=&amp;WINDOW=FIRST_POPUP&amp;HEIGHT=450&amp;WIDTH=450&amp;","START_MAXIMIZED=FALSE&amp;VAR:CALENDAR=US&amp;VAR:SYMBOL=712125&amp;VAR:INDEX=0"}</definedName>
    <definedName name="_3357__FDSAUDITLINK__" localSheetId="3" hidden="1">{"fdsup://directions/FAT Viewer?action=UPDATE&amp;creator=factset&amp;DYN_ARGS=TRUE&amp;DOC_NAME=FAT:FQL_AUDITING_CLIENT_TEMPLATE.FAT&amp;display_string=Audit&amp;VAR:KEY=HEBQLIJKBG&amp;VAR:QUERY=UkdGX1RBWF9SQVRFKEFOTiwwLCwsLCwsTk9BVURJVCk=&amp;WINDOW=FIRST_POPUP&amp;HEIGHT=450&amp;WIDTH=450&amp;","START_MAXIMIZED=FALSE&amp;VAR:CALENDAR=US&amp;VAR:SYMBOL=712125&amp;VAR:INDEX=0"}</definedName>
    <definedName name="_3357__FDSAUDITLINK__" localSheetId="7" hidden="1">{"fdsup://directions/FAT Viewer?action=UPDATE&amp;creator=factset&amp;DYN_ARGS=TRUE&amp;DOC_NAME=FAT:FQL_AUDITING_CLIENT_TEMPLATE.FAT&amp;display_string=Audit&amp;VAR:KEY=HEBQLIJKBG&amp;VAR:QUERY=UkdGX1RBWF9SQVRFKEFOTiwwLCwsLCwsTk9BVURJVCk=&amp;WINDOW=FIRST_POPUP&amp;HEIGHT=450&amp;WIDTH=450&amp;","START_MAXIMIZED=FALSE&amp;VAR:CALENDAR=US&amp;VAR:SYMBOL=712125&amp;VAR:INDEX=0"}</definedName>
    <definedName name="_3357__FDSAUDITLINK__" hidden="1">{"fdsup://directions/FAT Viewer?action=UPDATE&amp;creator=factset&amp;DYN_ARGS=TRUE&amp;DOC_NAME=FAT:FQL_AUDITING_CLIENT_TEMPLATE.FAT&amp;display_string=Audit&amp;VAR:KEY=HEBQLIJKBG&amp;VAR:QUERY=UkdGX1RBWF9SQVRFKEFOTiwwLCwsLCwsTk9BVURJVCk=&amp;WINDOW=FIRST_POPUP&amp;HEIGHT=450&amp;WIDTH=450&amp;","START_MAXIMIZED=FALSE&amp;VAR:CALENDAR=US&amp;VAR:SYMBOL=712125&amp;VAR:INDEX=0"}</definedName>
    <definedName name="_3358__FDSAUDITLINK__" localSheetId="3" hidden="1">{"fdsup://directions/FAT Viewer?action=UPDATE&amp;creator=factset&amp;DYN_ARGS=TRUE&amp;DOC_NAME=FAT:FQL_AUDITING_CLIENT_TEMPLATE.FAT&amp;display_string=Audit&amp;VAR:KEY=BIBYFEJENM&amp;VAR:QUERY=UkdGX1RBWF9SQVRFKEFOTiwwLCwsLCwsTk9BVURJVCk=&amp;WINDOW=FIRST_POPUP&amp;HEIGHT=450&amp;WIDTH=450&amp;","START_MAXIMIZED=FALSE&amp;VAR:CALENDAR=US&amp;VAR:SYMBOL=KEYN&amp;VAR:INDEX=0"}</definedName>
    <definedName name="_3358__FDSAUDITLINK__" localSheetId="7" hidden="1">{"fdsup://directions/FAT Viewer?action=UPDATE&amp;creator=factset&amp;DYN_ARGS=TRUE&amp;DOC_NAME=FAT:FQL_AUDITING_CLIENT_TEMPLATE.FAT&amp;display_string=Audit&amp;VAR:KEY=BIBYFEJENM&amp;VAR:QUERY=UkdGX1RBWF9SQVRFKEFOTiwwLCwsLCwsTk9BVURJVCk=&amp;WINDOW=FIRST_POPUP&amp;HEIGHT=450&amp;WIDTH=450&amp;","START_MAXIMIZED=FALSE&amp;VAR:CALENDAR=US&amp;VAR:SYMBOL=KEYN&amp;VAR:INDEX=0"}</definedName>
    <definedName name="_3358__FDSAUDITLINK__" hidden="1">{"fdsup://directions/FAT Viewer?action=UPDATE&amp;creator=factset&amp;DYN_ARGS=TRUE&amp;DOC_NAME=FAT:FQL_AUDITING_CLIENT_TEMPLATE.FAT&amp;display_string=Audit&amp;VAR:KEY=BIBYFEJENM&amp;VAR:QUERY=UkdGX1RBWF9SQVRFKEFOTiwwLCwsLCwsTk9BVURJVCk=&amp;WINDOW=FIRST_POPUP&amp;HEIGHT=450&amp;WIDTH=450&amp;","START_MAXIMIZED=FALSE&amp;VAR:CALENDAR=US&amp;VAR:SYMBOL=KEYN&amp;VAR:INDEX=0"}</definedName>
    <definedName name="_3359__FDSAUDITLINK__" localSheetId="3" hidden="1">{"fdsup://directions/FAT Viewer?action=UPDATE&amp;creator=factset&amp;DYN_ARGS=TRUE&amp;DOC_NAME=FAT:FQL_AUDITING_CLIENT_TEMPLATE.FAT&amp;display_string=Audit&amp;VAR:KEY=BIBYFEJENM&amp;VAR:QUERY=UkdGX1RBWF9SQVRFKEFOTiwwLCwsLCwsTk9BVURJVCk=&amp;WINDOW=FIRST_POPUP&amp;HEIGHT=450&amp;WIDTH=450&amp;","START_MAXIMIZED=FALSE&amp;VAR:CALENDAR=US&amp;VAR:SYMBOL=KEYN&amp;VAR:INDEX=0"}</definedName>
    <definedName name="_3359__FDSAUDITLINK__" localSheetId="7" hidden="1">{"fdsup://directions/FAT Viewer?action=UPDATE&amp;creator=factset&amp;DYN_ARGS=TRUE&amp;DOC_NAME=FAT:FQL_AUDITING_CLIENT_TEMPLATE.FAT&amp;display_string=Audit&amp;VAR:KEY=BIBYFEJENM&amp;VAR:QUERY=UkdGX1RBWF9SQVRFKEFOTiwwLCwsLCwsTk9BVURJVCk=&amp;WINDOW=FIRST_POPUP&amp;HEIGHT=450&amp;WIDTH=450&amp;","START_MAXIMIZED=FALSE&amp;VAR:CALENDAR=US&amp;VAR:SYMBOL=KEYN&amp;VAR:INDEX=0"}</definedName>
    <definedName name="_3359__FDSAUDITLINK__" hidden="1">{"fdsup://directions/FAT Viewer?action=UPDATE&amp;creator=factset&amp;DYN_ARGS=TRUE&amp;DOC_NAME=FAT:FQL_AUDITING_CLIENT_TEMPLATE.FAT&amp;display_string=Audit&amp;VAR:KEY=BIBYFEJENM&amp;VAR:QUERY=UkdGX1RBWF9SQVRFKEFOTiwwLCwsLCwsTk9BVURJVCk=&amp;WINDOW=FIRST_POPUP&amp;HEIGHT=450&amp;WIDTH=450&amp;","START_MAXIMIZED=FALSE&amp;VAR:CALENDAR=US&amp;VAR:SYMBOL=KEYN&amp;VAR:INDEX=0"}</definedName>
    <definedName name="_336__FDSAUDITLINK__" localSheetId="3" hidden="1">{"fdsup://directions/FAT Viewer?action=UPDATE&amp;creator=factset&amp;DYN_ARGS=TRUE&amp;DOC_NAME=FAT:FQL_AUDITING_CLIENT_TEMPLATE.FAT&amp;display_string=Audit&amp;VAR:KEY=XSFIPQNGHY&amp;VAR:QUERY=RkZfU0FMRVMoTFRNLDAsLCwsLE0p&amp;WINDOW=FIRST_POPUP&amp;HEIGHT=450&amp;WIDTH=450&amp;START_MAXIMIZED=","FALSE&amp;VAR:CALENDAR=US&amp;VAR:SYMBOL=B1G8KX&amp;VAR:INDEX=0"}</definedName>
    <definedName name="_336__FDSAUDITLINK__" localSheetId="7" hidden="1">{"fdsup://directions/FAT Viewer?action=UPDATE&amp;creator=factset&amp;DYN_ARGS=TRUE&amp;DOC_NAME=FAT:FQL_AUDITING_CLIENT_TEMPLATE.FAT&amp;display_string=Audit&amp;VAR:KEY=XSFIPQNGHY&amp;VAR:QUERY=RkZfU0FMRVMoTFRNLDAsLCwsLE0p&amp;WINDOW=FIRST_POPUP&amp;HEIGHT=450&amp;WIDTH=450&amp;START_MAXIMIZED=","FALSE&amp;VAR:CALENDAR=US&amp;VAR:SYMBOL=B1G8KX&amp;VAR:INDEX=0"}</definedName>
    <definedName name="_336__FDSAUDITLINK__" hidden="1">{"fdsup://directions/FAT Viewer?action=UPDATE&amp;creator=factset&amp;DYN_ARGS=TRUE&amp;DOC_NAME=FAT:FQL_AUDITING_CLIENT_TEMPLATE.FAT&amp;display_string=Audit&amp;VAR:KEY=XSFIPQNGHY&amp;VAR:QUERY=RkZfU0FMRVMoTFRNLDAsLCwsLE0p&amp;WINDOW=FIRST_POPUP&amp;HEIGHT=450&amp;WIDTH=450&amp;START_MAXIMIZED=","FALSE&amp;VAR:CALENDAR=US&amp;VAR:SYMBOL=B1G8KX&amp;VAR:INDEX=0"}</definedName>
    <definedName name="_3360__FDSAUDITLINK__" localSheetId="3" hidden="1">{"fdsup://directions/FAT Viewer?action=UPDATE&amp;creator=factset&amp;DYN_ARGS=TRUE&amp;DOC_NAME=FAT:FQL_AUDITING_CLIENT_TEMPLATE.FAT&amp;display_string=Audit&amp;VAR:KEY=DSPSBCBUBO&amp;VAR:QUERY=UkdGX1RBWF9SQVRFKEFOTiwwLCwsLCwsTk9BVURJVCk=&amp;WINDOW=FIRST_POPUP&amp;HEIGHT=450&amp;WIDTH=450&amp;","START_MAXIMIZED=FALSE&amp;VAR:CALENDAR=US&amp;VAR:SYMBOL=KNXA&amp;VAR:INDEX=0"}</definedName>
    <definedName name="_3360__FDSAUDITLINK__" localSheetId="7" hidden="1">{"fdsup://directions/FAT Viewer?action=UPDATE&amp;creator=factset&amp;DYN_ARGS=TRUE&amp;DOC_NAME=FAT:FQL_AUDITING_CLIENT_TEMPLATE.FAT&amp;display_string=Audit&amp;VAR:KEY=DSPSBCBUBO&amp;VAR:QUERY=UkdGX1RBWF9SQVRFKEFOTiwwLCwsLCwsTk9BVURJVCk=&amp;WINDOW=FIRST_POPUP&amp;HEIGHT=450&amp;WIDTH=450&amp;","START_MAXIMIZED=FALSE&amp;VAR:CALENDAR=US&amp;VAR:SYMBOL=KNXA&amp;VAR:INDEX=0"}</definedName>
    <definedName name="_3360__FDSAUDITLINK__" hidden="1">{"fdsup://directions/FAT Viewer?action=UPDATE&amp;creator=factset&amp;DYN_ARGS=TRUE&amp;DOC_NAME=FAT:FQL_AUDITING_CLIENT_TEMPLATE.FAT&amp;display_string=Audit&amp;VAR:KEY=DSPSBCBUBO&amp;VAR:QUERY=UkdGX1RBWF9SQVRFKEFOTiwwLCwsLCwsTk9BVURJVCk=&amp;WINDOW=FIRST_POPUP&amp;HEIGHT=450&amp;WIDTH=450&amp;","START_MAXIMIZED=FALSE&amp;VAR:CALENDAR=US&amp;VAR:SYMBOL=KNXA&amp;VAR:INDEX=0"}</definedName>
    <definedName name="_3361__FDSAUDITLINK__" localSheetId="3" hidden="1">{"fdsup://directions/FAT Viewer?action=UPDATE&amp;creator=factset&amp;DYN_ARGS=TRUE&amp;DOC_NAME=FAT:FQL_AUDITING_CLIENT_TEMPLATE.FAT&amp;display_string=Audit&amp;VAR:KEY=NQVYTWFKPQ&amp;VAR:QUERY=UkdGX1RBWF9SQVRFKEFOTiwwLCwsLCwsTk9BVURJVCk=&amp;WINDOW=FIRST_POPUP&amp;HEIGHT=450&amp;WIDTH=450&amp;","START_MAXIMIZED=FALSE&amp;VAR:CALENDAR=US&amp;VAR:SYMBOL=KANA&amp;VAR:INDEX=0"}</definedName>
    <definedName name="_3361__FDSAUDITLINK__" localSheetId="7" hidden="1">{"fdsup://directions/FAT Viewer?action=UPDATE&amp;creator=factset&amp;DYN_ARGS=TRUE&amp;DOC_NAME=FAT:FQL_AUDITING_CLIENT_TEMPLATE.FAT&amp;display_string=Audit&amp;VAR:KEY=NQVYTWFKPQ&amp;VAR:QUERY=UkdGX1RBWF9SQVRFKEFOTiwwLCwsLCwsTk9BVURJVCk=&amp;WINDOW=FIRST_POPUP&amp;HEIGHT=450&amp;WIDTH=450&amp;","START_MAXIMIZED=FALSE&amp;VAR:CALENDAR=US&amp;VAR:SYMBOL=KANA&amp;VAR:INDEX=0"}</definedName>
    <definedName name="_3361__FDSAUDITLINK__" hidden="1">{"fdsup://directions/FAT Viewer?action=UPDATE&amp;creator=factset&amp;DYN_ARGS=TRUE&amp;DOC_NAME=FAT:FQL_AUDITING_CLIENT_TEMPLATE.FAT&amp;display_string=Audit&amp;VAR:KEY=NQVYTWFKPQ&amp;VAR:QUERY=UkdGX1RBWF9SQVRFKEFOTiwwLCwsLCwsTk9BVURJVCk=&amp;WINDOW=FIRST_POPUP&amp;HEIGHT=450&amp;WIDTH=450&amp;","START_MAXIMIZED=FALSE&amp;VAR:CALENDAR=US&amp;VAR:SYMBOL=KANA&amp;VAR:INDEX=0"}</definedName>
    <definedName name="_3362__FDSAUDITLINK__" localSheetId="3" hidden="1">{"fdsup://directions/FAT Viewer?action=UPDATE&amp;creator=factset&amp;DYN_ARGS=TRUE&amp;DOC_NAME=FAT:FQL_AUDITING_CLIENT_TEMPLATE.FAT&amp;display_string=Audit&amp;VAR:KEY=NQVYTWFKPQ&amp;VAR:QUERY=UkdGX1RBWF9SQVRFKEFOTiwwLCwsLCwsTk9BVURJVCk=&amp;WINDOW=FIRST_POPUP&amp;HEIGHT=450&amp;WIDTH=450&amp;","START_MAXIMIZED=FALSE&amp;VAR:CALENDAR=US&amp;VAR:SYMBOL=KANA&amp;VAR:INDEX=0"}</definedName>
    <definedName name="_3362__FDSAUDITLINK__" localSheetId="7" hidden="1">{"fdsup://directions/FAT Viewer?action=UPDATE&amp;creator=factset&amp;DYN_ARGS=TRUE&amp;DOC_NAME=FAT:FQL_AUDITING_CLIENT_TEMPLATE.FAT&amp;display_string=Audit&amp;VAR:KEY=NQVYTWFKPQ&amp;VAR:QUERY=UkdGX1RBWF9SQVRFKEFOTiwwLCwsLCwsTk9BVURJVCk=&amp;WINDOW=FIRST_POPUP&amp;HEIGHT=450&amp;WIDTH=450&amp;","START_MAXIMIZED=FALSE&amp;VAR:CALENDAR=US&amp;VAR:SYMBOL=KANA&amp;VAR:INDEX=0"}</definedName>
    <definedName name="_3362__FDSAUDITLINK__" hidden="1">{"fdsup://directions/FAT Viewer?action=UPDATE&amp;creator=factset&amp;DYN_ARGS=TRUE&amp;DOC_NAME=FAT:FQL_AUDITING_CLIENT_TEMPLATE.FAT&amp;display_string=Audit&amp;VAR:KEY=NQVYTWFKPQ&amp;VAR:QUERY=UkdGX1RBWF9SQVRFKEFOTiwwLCwsLCwsTk9BVURJVCk=&amp;WINDOW=FIRST_POPUP&amp;HEIGHT=450&amp;WIDTH=450&amp;","START_MAXIMIZED=FALSE&amp;VAR:CALENDAR=US&amp;VAR:SYMBOL=KANA&amp;VAR:INDEX=0"}</definedName>
    <definedName name="_3363__FDSAUDITLINK__" localSheetId="3" hidden="1">{"fdsup://directions/FAT Viewer?action=UPDATE&amp;creator=factset&amp;DYN_ARGS=TRUE&amp;DOC_NAME=FAT:FQL_AUDITING_CLIENT_TEMPLATE.FAT&amp;display_string=Audit&amp;VAR:KEY=FSVODYRQVQ&amp;VAR:QUERY=UkdGX1RBWF9SQVRFKEFOTiwwLCwsLCwsTk9BVURJVCk=&amp;WINDOW=FIRST_POPUP&amp;HEIGHT=450&amp;WIDTH=450&amp;","START_MAXIMIZED=FALSE&amp;VAR:CALENDAR=US&amp;VAR:SYMBOL=JUPM&amp;VAR:INDEX=0"}</definedName>
    <definedName name="_3363__FDSAUDITLINK__" localSheetId="7" hidden="1">{"fdsup://directions/FAT Viewer?action=UPDATE&amp;creator=factset&amp;DYN_ARGS=TRUE&amp;DOC_NAME=FAT:FQL_AUDITING_CLIENT_TEMPLATE.FAT&amp;display_string=Audit&amp;VAR:KEY=FSVODYRQVQ&amp;VAR:QUERY=UkdGX1RBWF9SQVRFKEFOTiwwLCwsLCwsTk9BVURJVCk=&amp;WINDOW=FIRST_POPUP&amp;HEIGHT=450&amp;WIDTH=450&amp;","START_MAXIMIZED=FALSE&amp;VAR:CALENDAR=US&amp;VAR:SYMBOL=JUPM&amp;VAR:INDEX=0"}</definedName>
    <definedName name="_3363__FDSAUDITLINK__" hidden="1">{"fdsup://directions/FAT Viewer?action=UPDATE&amp;creator=factset&amp;DYN_ARGS=TRUE&amp;DOC_NAME=FAT:FQL_AUDITING_CLIENT_TEMPLATE.FAT&amp;display_string=Audit&amp;VAR:KEY=FSVODYRQVQ&amp;VAR:QUERY=UkdGX1RBWF9SQVRFKEFOTiwwLCwsLCwsTk9BVURJVCk=&amp;WINDOW=FIRST_POPUP&amp;HEIGHT=450&amp;WIDTH=450&amp;","START_MAXIMIZED=FALSE&amp;VAR:CALENDAR=US&amp;VAR:SYMBOL=JUPM&amp;VAR:INDEX=0"}</definedName>
    <definedName name="_3364__FDSAUDITLINK__" localSheetId="3" hidden="1">{"fdsup://directions/FAT Viewer?action=UPDATE&amp;creator=factset&amp;DYN_ARGS=TRUE&amp;DOC_NAME=FAT:FQL_AUDITING_CLIENT_TEMPLATE.FAT&amp;display_string=Audit&amp;VAR:KEY=LMTUTGXUPS&amp;VAR:QUERY=UkdGX1RBWF9SQVRFKEFOTiwwLCwsLCwsTk9BVURJVCk=&amp;WINDOW=FIRST_POPUP&amp;HEIGHT=450&amp;WIDTH=450&amp;","START_MAXIMIZED=FALSE&amp;VAR:CALENDAR=US&amp;VAR:SYMBOL=JNPR&amp;VAR:INDEX=0"}</definedName>
    <definedName name="_3364__FDSAUDITLINK__" localSheetId="7" hidden="1">{"fdsup://directions/FAT Viewer?action=UPDATE&amp;creator=factset&amp;DYN_ARGS=TRUE&amp;DOC_NAME=FAT:FQL_AUDITING_CLIENT_TEMPLATE.FAT&amp;display_string=Audit&amp;VAR:KEY=LMTUTGXUPS&amp;VAR:QUERY=UkdGX1RBWF9SQVRFKEFOTiwwLCwsLCwsTk9BVURJVCk=&amp;WINDOW=FIRST_POPUP&amp;HEIGHT=450&amp;WIDTH=450&amp;","START_MAXIMIZED=FALSE&amp;VAR:CALENDAR=US&amp;VAR:SYMBOL=JNPR&amp;VAR:INDEX=0"}</definedName>
    <definedName name="_3364__FDSAUDITLINK__" hidden="1">{"fdsup://directions/FAT Viewer?action=UPDATE&amp;creator=factset&amp;DYN_ARGS=TRUE&amp;DOC_NAME=FAT:FQL_AUDITING_CLIENT_TEMPLATE.FAT&amp;display_string=Audit&amp;VAR:KEY=LMTUTGXUPS&amp;VAR:QUERY=UkdGX1RBWF9SQVRFKEFOTiwwLCwsLCwsTk9BVURJVCk=&amp;WINDOW=FIRST_POPUP&amp;HEIGHT=450&amp;WIDTH=450&amp;","START_MAXIMIZED=FALSE&amp;VAR:CALENDAR=US&amp;VAR:SYMBOL=JNPR&amp;VAR:INDEX=0"}</definedName>
    <definedName name="_3365__FDSAUDITLINK__" localSheetId="3" hidden="1">{"fdsup://directions/FAT Viewer?action=UPDATE&amp;creator=factset&amp;DYN_ARGS=TRUE&amp;DOC_NAME=FAT:FQL_AUDITING_CLIENT_TEMPLATE.FAT&amp;display_string=Audit&amp;VAR:KEY=LMTUTGXUPS&amp;VAR:QUERY=UkdGX1RBWF9SQVRFKEFOTiwwLCwsLCwsTk9BVURJVCk=&amp;WINDOW=FIRST_POPUP&amp;HEIGHT=450&amp;WIDTH=450&amp;","START_MAXIMIZED=FALSE&amp;VAR:CALENDAR=US&amp;VAR:SYMBOL=JNPR&amp;VAR:INDEX=0"}</definedName>
    <definedName name="_3365__FDSAUDITLINK__" localSheetId="7" hidden="1">{"fdsup://directions/FAT Viewer?action=UPDATE&amp;creator=factset&amp;DYN_ARGS=TRUE&amp;DOC_NAME=FAT:FQL_AUDITING_CLIENT_TEMPLATE.FAT&amp;display_string=Audit&amp;VAR:KEY=LMTUTGXUPS&amp;VAR:QUERY=UkdGX1RBWF9SQVRFKEFOTiwwLCwsLCwsTk9BVURJVCk=&amp;WINDOW=FIRST_POPUP&amp;HEIGHT=450&amp;WIDTH=450&amp;","START_MAXIMIZED=FALSE&amp;VAR:CALENDAR=US&amp;VAR:SYMBOL=JNPR&amp;VAR:INDEX=0"}</definedName>
    <definedName name="_3365__FDSAUDITLINK__" hidden="1">{"fdsup://directions/FAT Viewer?action=UPDATE&amp;creator=factset&amp;DYN_ARGS=TRUE&amp;DOC_NAME=FAT:FQL_AUDITING_CLIENT_TEMPLATE.FAT&amp;display_string=Audit&amp;VAR:KEY=LMTUTGXUPS&amp;VAR:QUERY=UkdGX1RBWF9SQVRFKEFOTiwwLCwsLCwsTk9BVURJVCk=&amp;WINDOW=FIRST_POPUP&amp;HEIGHT=450&amp;WIDTH=450&amp;","START_MAXIMIZED=FALSE&amp;VAR:CALENDAR=US&amp;VAR:SYMBOL=JNPR&amp;VAR:INDEX=0"}</definedName>
    <definedName name="_3366__FDSAUDITLINK__" localSheetId="3" hidden="1">{"fdsup://directions/FAT Viewer?action=UPDATE&amp;creator=factset&amp;DYN_ARGS=TRUE&amp;DOC_NAME=FAT:FQL_AUDITING_CLIENT_TEMPLATE.FAT&amp;display_string=Audit&amp;VAR:KEY=RILMDUTAJG&amp;VAR:QUERY=UkdGX1RBWF9SQVRFKEFOTiwwLCwsLCwsTk9BVURJVCk=&amp;WINDOW=FIRST_POPUP&amp;HEIGHT=450&amp;WIDTH=450&amp;","START_MAXIMIZED=FALSE&amp;VAR:CALENDAR=US&amp;VAR:SYMBOL=JDAS&amp;VAR:INDEX=0"}</definedName>
    <definedName name="_3366__FDSAUDITLINK__" localSheetId="7" hidden="1">{"fdsup://directions/FAT Viewer?action=UPDATE&amp;creator=factset&amp;DYN_ARGS=TRUE&amp;DOC_NAME=FAT:FQL_AUDITING_CLIENT_TEMPLATE.FAT&amp;display_string=Audit&amp;VAR:KEY=RILMDUTAJG&amp;VAR:QUERY=UkdGX1RBWF9SQVRFKEFOTiwwLCwsLCwsTk9BVURJVCk=&amp;WINDOW=FIRST_POPUP&amp;HEIGHT=450&amp;WIDTH=450&amp;","START_MAXIMIZED=FALSE&amp;VAR:CALENDAR=US&amp;VAR:SYMBOL=JDAS&amp;VAR:INDEX=0"}</definedName>
    <definedName name="_3366__FDSAUDITLINK__" hidden="1">{"fdsup://directions/FAT Viewer?action=UPDATE&amp;creator=factset&amp;DYN_ARGS=TRUE&amp;DOC_NAME=FAT:FQL_AUDITING_CLIENT_TEMPLATE.FAT&amp;display_string=Audit&amp;VAR:KEY=RILMDUTAJG&amp;VAR:QUERY=UkdGX1RBWF9SQVRFKEFOTiwwLCwsLCwsTk9BVURJVCk=&amp;WINDOW=FIRST_POPUP&amp;HEIGHT=450&amp;WIDTH=450&amp;","START_MAXIMIZED=FALSE&amp;VAR:CALENDAR=US&amp;VAR:SYMBOL=JDAS&amp;VAR:INDEX=0"}</definedName>
    <definedName name="_3367__FDSAUDITLINK__" localSheetId="3" hidden="1">{"fdsup://directions/FAT Viewer?action=UPDATE&amp;creator=factset&amp;DYN_ARGS=TRUE&amp;DOC_NAME=FAT:FQL_AUDITING_CLIENT_TEMPLATE.FAT&amp;display_string=Audit&amp;VAR:KEY=RILMDUTAJG&amp;VAR:QUERY=UkdGX1RBWF9SQVRFKEFOTiwwLCwsLCwsTk9BVURJVCk=&amp;WINDOW=FIRST_POPUP&amp;HEIGHT=450&amp;WIDTH=450&amp;","START_MAXIMIZED=FALSE&amp;VAR:CALENDAR=US&amp;VAR:SYMBOL=JDAS&amp;VAR:INDEX=0"}</definedName>
    <definedName name="_3367__FDSAUDITLINK__" localSheetId="7" hidden="1">{"fdsup://directions/FAT Viewer?action=UPDATE&amp;creator=factset&amp;DYN_ARGS=TRUE&amp;DOC_NAME=FAT:FQL_AUDITING_CLIENT_TEMPLATE.FAT&amp;display_string=Audit&amp;VAR:KEY=RILMDUTAJG&amp;VAR:QUERY=UkdGX1RBWF9SQVRFKEFOTiwwLCwsLCwsTk9BVURJVCk=&amp;WINDOW=FIRST_POPUP&amp;HEIGHT=450&amp;WIDTH=450&amp;","START_MAXIMIZED=FALSE&amp;VAR:CALENDAR=US&amp;VAR:SYMBOL=JDAS&amp;VAR:INDEX=0"}</definedName>
    <definedName name="_3367__FDSAUDITLINK__" hidden="1">{"fdsup://directions/FAT Viewer?action=UPDATE&amp;creator=factset&amp;DYN_ARGS=TRUE&amp;DOC_NAME=FAT:FQL_AUDITING_CLIENT_TEMPLATE.FAT&amp;display_string=Audit&amp;VAR:KEY=RILMDUTAJG&amp;VAR:QUERY=UkdGX1RBWF9SQVRFKEFOTiwwLCwsLCwsTk9BVURJVCk=&amp;WINDOW=FIRST_POPUP&amp;HEIGHT=450&amp;WIDTH=450&amp;","START_MAXIMIZED=FALSE&amp;VAR:CALENDAR=US&amp;VAR:SYMBOL=JDAS&amp;VAR:INDEX=0"}</definedName>
    <definedName name="_3368__FDSAUDITLINK__" localSheetId="3" hidden="1">{"fdsup://directions/FAT Viewer?action=UPDATE&amp;creator=factset&amp;DYN_ARGS=TRUE&amp;DOC_NAME=FAT:FQL_AUDITING_CLIENT_TEMPLATE.FAT&amp;display_string=Audit&amp;VAR:KEY=BSHCZALADY&amp;VAR:QUERY=UkdGX1RBWF9SQVRFKEFOTiwwLCwsLCwsTk9BVURJVCk=&amp;WINDOW=FIRST_POPUP&amp;HEIGHT=450&amp;WIDTH=450&amp;","START_MAXIMIZED=FALSE&amp;VAR:CALENDAR=US&amp;VAR:SYMBOL=JCOM&amp;VAR:INDEX=0"}</definedName>
    <definedName name="_3368__FDSAUDITLINK__" localSheetId="7" hidden="1">{"fdsup://directions/FAT Viewer?action=UPDATE&amp;creator=factset&amp;DYN_ARGS=TRUE&amp;DOC_NAME=FAT:FQL_AUDITING_CLIENT_TEMPLATE.FAT&amp;display_string=Audit&amp;VAR:KEY=BSHCZALADY&amp;VAR:QUERY=UkdGX1RBWF9SQVRFKEFOTiwwLCwsLCwsTk9BVURJVCk=&amp;WINDOW=FIRST_POPUP&amp;HEIGHT=450&amp;WIDTH=450&amp;","START_MAXIMIZED=FALSE&amp;VAR:CALENDAR=US&amp;VAR:SYMBOL=JCOM&amp;VAR:INDEX=0"}</definedName>
    <definedName name="_3368__FDSAUDITLINK__" hidden="1">{"fdsup://directions/FAT Viewer?action=UPDATE&amp;creator=factset&amp;DYN_ARGS=TRUE&amp;DOC_NAME=FAT:FQL_AUDITING_CLIENT_TEMPLATE.FAT&amp;display_string=Audit&amp;VAR:KEY=BSHCZALADY&amp;VAR:QUERY=UkdGX1RBWF9SQVRFKEFOTiwwLCwsLCwsTk9BVURJVCk=&amp;WINDOW=FIRST_POPUP&amp;HEIGHT=450&amp;WIDTH=450&amp;","START_MAXIMIZED=FALSE&amp;VAR:CALENDAR=US&amp;VAR:SYMBOL=JCOM&amp;VAR:INDEX=0"}</definedName>
    <definedName name="_3369__FDSAUDITLINK__" localSheetId="3" hidden="1">{"fdsup://directions/FAT Viewer?action=UPDATE&amp;creator=factset&amp;DYN_ARGS=TRUE&amp;DOC_NAME=FAT:FQL_AUDITING_CLIENT_TEMPLATE.FAT&amp;display_string=Audit&amp;VAR:KEY=BSHCZALADY&amp;VAR:QUERY=UkdGX1RBWF9SQVRFKEFOTiwwLCwsLCwsTk9BVURJVCk=&amp;WINDOW=FIRST_POPUP&amp;HEIGHT=450&amp;WIDTH=450&amp;","START_MAXIMIZED=FALSE&amp;VAR:CALENDAR=US&amp;VAR:SYMBOL=JCOM&amp;VAR:INDEX=0"}</definedName>
    <definedName name="_3369__FDSAUDITLINK__" localSheetId="7" hidden="1">{"fdsup://directions/FAT Viewer?action=UPDATE&amp;creator=factset&amp;DYN_ARGS=TRUE&amp;DOC_NAME=FAT:FQL_AUDITING_CLIENT_TEMPLATE.FAT&amp;display_string=Audit&amp;VAR:KEY=BSHCZALADY&amp;VAR:QUERY=UkdGX1RBWF9SQVRFKEFOTiwwLCwsLCwsTk9BVURJVCk=&amp;WINDOW=FIRST_POPUP&amp;HEIGHT=450&amp;WIDTH=450&amp;","START_MAXIMIZED=FALSE&amp;VAR:CALENDAR=US&amp;VAR:SYMBOL=JCOM&amp;VAR:INDEX=0"}</definedName>
    <definedName name="_3369__FDSAUDITLINK__" hidden="1">{"fdsup://directions/FAT Viewer?action=UPDATE&amp;creator=factset&amp;DYN_ARGS=TRUE&amp;DOC_NAME=FAT:FQL_AUDITING_CLIENT_TEMPLATE.FAT&amp;display_string=Audit&amp;VAR:KEY=BSHCZALADY&amp;VAR:QUERY=UkdGX1RBWF9SQVRFKEFOTiwwLCwsLCwsTk9BVURJVCk=&amp;WINDOW=FIRST_POPUP&amp;HEIGHT=450&amp;WIDTH=450&amp;","START_MAXIMIZED=FALSE&amp;VAR:CALENDAR=US&amp;VAR:SYMBOL=JCOM&amp;VAR:INDEX=0"}</definedName>
    <definedName name="_3370__FDSAUDITLINK__" localSheetId="3" hidden="1">{"fdsup://directions/FAT Viewer?action=UPDATE&amp;creator=factset&amp;DYN_ARGS=TRUE&amp;DOC_NAME=FAT:FQL_AUDITING_CLIENT_TEMPLATE.FAT&amp;display_string=Audit&amp;VAR:KEY=FOHIVCZCTM&amp;VAR:QUERY=UkdGX1RBWF9SQVRFKEFOTiwwLCwsLCwsTk9BVURJVCk=&amp;WINDOW=FIRST_POPUP&amp;HEIGHT=450&amp;WIDTH=450&amp;","START_MAXIMIZED=FALSE&amp;VAR:CALENDAR=US&amp;VAR:SYMBOL=B188NJ&amp;VAR:INDEX=0"}</definedName>
    <definedName name="_3370__FDSAUDITLINK__" localSheetId="7" hidden="1">{"fdsup://directions/FAT Viewer?action=UPDATE&amp;creator=factset&amp;DYN_ARGS=TRUE&amp;DOC_NAME=FAT:FQL_AUDITING_CLIENT_TEMPLATE.FAT&amp;display_string=Audit&amp;VAR:KEY=FOHIVCZCTM&amp;VAR:QUERY=UkdGX1RBWF9SQVRFKEFOTiwwLCwsLCwsTk9BVURJVCk=&amp;WINDOW=FIRST_POPUP&amp;HEIGHT=450&amp;WIDTH=450&amp;","START_MAXIMIZED=FALSE&amp;VAR:CALENDAR=US&amp;VAR:SYMBOL=B188NJ&amp;VAR:INDEX=0"}</definedName>
    <definedName name="_3370__FDSAUDITLINK__" hidden="1">{"fdsup://directions/FAT Viewer?action=UPDATE&amp;creator=factset&amp;DYN_ARGS=TRUE&amp;DOC_NAME=FAT:FQL_AUDITING_CLIENT_TEMPLATE.FAT&amp;display_string=Audit&amp;VAR:KEY=FOHIVCZCTM&amp;VAR:QUERY=UkdGX1RBWF9SQVRFKEFOTiwwLCwsLCwsTk9BVURJVCk=&amp;WINDOW=FIRST_POPUP&amp;HEIGHT=450&amp;WIDTH=450&amp;","START_MAXIMIZED=FALSE&amp;VAR:CALENDAR=US&amp;VAR:SYMBOL=B188NJ&amp;VAR:INDEX=0"}</definedName>
    <definedName name="_3371__FDSAUDITLINK__" localSheetId="3" hidden="1">{"fdsup://directions/FAT Viewer?action=UPDATE&amp;creator=factset&amp;DYN_ARGS=TRUE&amp;DOC_NAME=FAT:FQL_AUDITING_CLIENT_TEMPLATE.FAT&amp;display_string=Audit&amp;VAR:KEY=FOHIVCZCTM&amp;VAR:QUERY=UkdGX1RBWF9SQVRFKEFOTiwwLCwsLCwsTk9BVURJVCk=&amp;WINDOW=FIRST_POPUP&amp;HEIGHT=450&amp;WIDTH=450&amp;","START_MAXIMIZED=FALSE&amp;VAR:CALENDAR=US&amp;VAR:SYMBOL=B188NJ&amp;VAR:INDEX=0"}</definedName>
    <definedName name="_3371__FDSAUDITLINK__" localSheetId="7" hidden="1">{"fdsup://directions/FAT Viewer?action=UPDATE&amp;creator=factset&amp;DYN_ARGS=TRUE&amp;DOC_NAME=FAT:FQL_AUDITING_CLIENT_TEMPLATE.FAT&amp;display_string=Audit&amp;VAR:KEY=FOHIVCZCTM&amp;VAR:QUERY=UkdGX1RBWF9SQVRFKEFOTiwwLCwsLCwsTk9BVURJVCk=&amp;WINDOW=FIRST_POPUP&amp;HEIGHT=450&amp;WIDTH=450&amp;","START_MAXIMIZED=FALSE&amp;VAR:CALENDAR=US&amp;VAR:SYMBOL=B188NJ&amp;VAR:INDEX=0"}</definedName>
    <definedName name="_3371__FDSAUDITLINK__" hidden="1">{"fdsup://directions/FAT Viewer?action=UPDATE&amp;creator=factset&amp;DYN_ARGS=TRUE&amp;DOC_NAME=FAT:FQL_AUDITING_CLIENT_TEMPLATE.FAT&amp;display_string=Audit&amp;VAR:KEY=FOHIVCZCTM&amp;VAR:QUERY=UkdGX1RBWF9SQVRFKEFOTiwwLCwsLCwsTk9BVURJVCk=&amp;WINDOW=FIRST_POPUP&amp;HEIGHT=450&amp;WIDTH=450&amp;","START_MAXIMIZED=FALSE&amp;VAR:CALENDAR=US&amp;VAR:SYMBOL=B188NJ&amp;VAR:INDEX=0"}</definedName>
    <definedName name="_3372__FDSAUDITLINK__" localSheetId="3" hidden="1">{"fdsup://directions/FAT Viewer?action=UPDATE&amp;creator=factset&amp;DYN_ARGS=TRUE&amp;DOC_NAME=FAT:FQL_AUDITING_CLIENT_TEMPLATE.FAT&amp;display_string=Audit&amp;VAR:KEY=PWLYHMZKRS&amp;VAR:QUERY=UkdGX1RBWF9SQVRFKEFOTiwwLCwsLCwsTk9BVURJVCk=&amp;WINDOW=FIRST_POPUP&amp;HEIGHT=450&amp;WIDTH=450&amp;","START_MAXIMIZED=FALSE&amp;VAR:CALENDAR=US&amp;VAR:SYMBOL=INTU&amp;VAR:INDEX=0"}</definedName>
    <definedName name="_3372__FDSAUDITLINK__" localSheetId="7" hidden="1">{"fdsup://directions/FAT Viewer?action=UPDATE&amp;creator=factset&amp;DYN_ARGS=TRUE&amp;DOC_NAME=FAT:FQL_AUDITING_CLIENT_TEMPLATE.FAT&amp;display_string=Audit&amp;VAR:KEY=PWLYHMZKRS&amp;VAR:QUERY=UkdGX1RBWF9SQVRFKEFOTiwwLCwsLCwsTk9BVURJVCk=&amp;WINDOW=FIRST_POPUP&amp;HEIGHT=450&amp;WIDTH=450&amp;","START_MAXIMIZED=FALSE&amp;VAR:CALENDAR=US&amp;VAR:SYMBOL=INTU&amp;VAR:INDEX=0"}</definedName>
    <definedName name="_3372__FDSAUDITLINK__" hidden="1">{"fdsup://directions/FAT Viewer?action=UPDATE&amp;creator=factset&amp;DYN_ARGS=TRUE&amp;DOC_NAME=FAT:FQL_AUDITING_CLIENT_TEMPLATE.FAT&amp;display_string=Audit&amp;VAR:KEY=PWLYHMZKRS&amp;VAR:QUERY=UkdGX1RBWF9SQVRFKEFOTiwwLCwsLCwsTk9BVURJVCk=&amp;WINDOW=FIRST_POPUP&amp;HEIGHT=450&amp;WIDTH=450&amp;","START_MAXIMIZED=FALSE&amp;VAR:CALENDAR=US&amp;VAR:SYMBOL=INTU&amp;VAR:INDEX=0"}</definedName>
    <definedName name="_3373__FDSAUDITLINK__" localSheetId="3" hidden="1">{"fdsup://directions/FAT Viewer?action=UPDATE&amp;creator=factset&amp;DYN_ARGS=TRUE&amp;DOC_NAME=FAT:FQL_AUDITING_CLIENT_TEMPLATE.FAT&amp;display_string=Audit&amp;VAR:KEY=PWLYHMZKRS&amp;VAR:QUERY=UkdGX1RBWF9SQVRFKEFOTiwwLCwsLCwsTk9BVURJVCk=&amp;WINDOW=FIRST_POPUP&amp;HEIGHT=450&amp;WIDTH=450&amp;","START_MAXIMIZED=FALSE&amp;VAR:CALENDAR=US&amp;VAR:SYMBOL=INTU&amp;VAR:INDEX=0"}</definedName>
    <definedName name="_3373__FDSAUDITLINK__" localSheetId="7" hidden="1">{"fdsup://directions/FAT Viewer?action=UPDATE&amp;creator=factset&amp;DYN_ARGS=TRUE&amp;DOC_NAME=FAT:FQL_AUDITING_CLIENT_TEMPLATE.FAT&amp;display_string=Audit&amp;VAR:KEY=PWLYHMZKRS&amp;VAR:QUERY=UkdGX1RBWF9SQVRFKEFOTiwwLCwsLCwsTk9BVURJVCk=&amp;WINDOW=FIRST_POPUP&amp;HEIGHT=450&amp;WIDTH=450&amp;","START_MAXIMIZED=FALSE&amp;VAR:CALENDAR=US&amp;VAR:SYMBOL=INTU&amp;VAR:INDEX=0"}</definedName>
    <definedName name="_3373__FDSAUDITLINK__" hidden="1">{"fdsup://directions/FAT Viewer?action=UPDATE&amp;creator=factset&amp;DYN_ARGS=TRUE&amp;DOC_NAME=FAT:FQL_AUDITING_CLIENT_TEMPLATE.FAT&amp;display_string=Audit&amp;VAR:KEY=PWLYHMZKRS&amp;VAR:QUERY=UkdGX1RBWF9SQVRFKEFOTiwwLCwsLCwsTk9BVURJVCk=&amp;WINDOW=FIRST_POPUP&amp;HEIGHT=450&amp;WIDTH=450&amp;","START_MAXIMIZED=FALSE&amp;VAR:CALENDAR=US&amp;VAR:SYMBOL=INTU&amp;VAR:INDEX=0"}</definedName>
    <definedName name="_3374__FDSAUDITLINK__" localSheetId="3" hidden="1">{"fdsup://directions/FAT Viewer?action=UPDATE&amp;creator=factset&amp;DYN_ARGS=TRUE&amp;DOC_NAME=FAT:FQL_AUDITING_CLIENT_TEMPLATE.FAT&amp;display_string=Audit&amp;VAR:KEY=TSHCNURAVK&amp;VAR:QUERY=UkdGX1RBWF9SQVRFKEFOTiwwLCwsLCwsTk9BVURJVCk=&amp;WINDOW=FIRST_POPUP&amp;HEIGHT=450&amp;WIDTH=450&amp;","START_MAXIMIZED=FALSE&amp;VAR:CALENDAR=US&amp;VAR:SYMBOL=IL&amp;VAR:INDEX=0"}</definedName>
    <definedName name="_3374__FDSAUDITLINK__" localSheetId="7" hidden="1">{"fdsup://directions/FAT Viewer?action=UPDATE&amp;creator=factset&amp;DYN_ARGS=TRUE&amp;DOC_NAME=FAT:FQL_AUDITING_CLIENT_TEMPLATE.FAT&amp;display_string=Audit&amp;VAR:KEY=TSHCNURAVK&amp;VAR:QUERY=UkdGX1RBWF9SQVRFKEFOTiwwLCwsLCwsTk9BVURJVCk=&amp;WINDOW=FIRST_POPUP&amp;HEIGHT=450&amp;WIDTH=450&amp;","START_MAXIMIZED=FALSE&amp;VAR:CALENDAR=US&amp;VAR:SYMBOL=IL&amp;VAR:INDEX=0"}</definedName>
    <definedName name="_3374__FDSAUDITLINK__" hidden="1">{"fdsup://directions/FAT Viewer?action=UPDATE&amp;creator=factset&amp;DYN_ARGS=TRUE&amp;DOC_NAME=FAT:FQL_AUDITING_CLIENT_TEMPLATE.FAT&amp;display_string=Audit&amp;VAR:KEY=TSHCNURAVK&amp;VAR:QUERY=UkdGX1RBWF9SQVRFKEFOTiwwLCwsLCwsTk9BVURJVCk=&amp;WINDOW=FIRST_POPUP&amp;HEIGHT=450&amp;WIDTH=450&amp;","START_MAXIMIZED=FALSE&amp;VAR:CALENDAR=US&amp;VAR:SYMBOL=IL&amp;VAR:INDEX=0"}</definedName>
    <definedName name="_3375__FDSAUDITLINK__" localSheetId="3" hidden="1">{"fdsup://directions/FAT Viewer?action=UPDATE&amp;creator=factset&amp;DYN_ARGS=TRUE&amp;DOC_NAME=FAT:FQL_AUDITING_CLIENT_TEMPLATE.FAT&amp;display_string=Audit&amp;VAR:KEY=PQTGNWDSHW&amp;VAR:QUERY=UkdGX1RBWF9SQVRFKEFOTiwwLCwsLCwsTk9BVURJVCk=&amp;WINDOW=FIRST_POPUP&amp;HEIGHT=450&amp;WIDTH=450&amp;","START_MAXIMIZED=FALSE&amp;VAR:CALENDAR=US&amp;VAR:SYMBOL=IBM&amp;VAR:INDEX=0"}</definedName>
    <definedName name="_3375__FDSAUDITLINK__" localSheetId="7" hidden="1">{"fdsup://directions/FAT Viewer?action=UPDATE&amp;creator=factset&amp;DYN_ARGS=TRUE&amp;DOC_NAME=FAT:FQL_AUDITING_CLIENT_TEMPLATE.FAT&amp;display_string=Audit&amp;VAR:KEY=PQTGNWDSHW&amp;VAR:QUERY=UkdGX1RBWF9SQVRFKEFOTiwwLCwsLCwsTk9BVURJVCk=&amp;WINDOW=FIRST_POPUP&amp;HEIGHT=450&amp;WIDTH=450&amp;","START_MAXIMIZED=FALSE&amp;VAR:CALENDAR=US&amp;VAR:SYMBOL=IBM&amp;VAR:INDEX=0"}</definedName>
    <definedName name="_3375__FDSAUDITLINK__" hidden="1">{"fdsup://directions/FAT Viewer?action=UPDATE&amp;creator=factset&amp;DYN_ARGS=TRUE&amp;DOC_NAME=FAT:FQL_AUDITING_CLIENT_TEMPLATE.FAT&amp;display_string=Audit&amp;VAR:KEY=PQTGNWDSHW&amp;VAR:QUERY=UkdGX1RBWF9SQVRFKEFOTiwwLCwsLCwsTk9BVURJVCk=&amp;WINDOW=FIRST_POPUP&amp;HEIGHT=450&amp;WIDTH=450&amp;","START_MAXIMIZED=FALSE&amp;VAR:CALENDAR=US&amp;VAR:SYMBOL=IBM&amp;VAR:INDEX=0"}</definedName>
    <definedName name="_3376__FDSAUDITLINK__" localSheetId="3" hidden="1">{"fdsup://directions/FAT Viewer?action=UPDATE&amp;creator=factset&amp;DYN_ARGS=TRUE&amp;DOC_NAME=FAT:FQL_AUDITING_CLIENT_TEMPLATE.FAT&amp;display_string=Audit&amp;VAR:KEY=PQTGNWDSHW&amp;VAR:QUERY=UkdGX1RBWF9SQVRFKEFOTiwwLCwsLCwsTk9BVURJVCk=&amp;WINDOW=FIRST_POPUP&amp;HEIGHT=450&amp;WIDTH=450&amp;","START_MAXIMIZED=FALSE&amp;VAR:CALENDAR=US&amp;VAR:SYMBOL=IBM&amp;VAR:INDEX=0"}</definedName>
    <definedName name="_3376__FDSAUDITLINK__" localSheetId="7" hidden="1">{"fdsup://directions/FAT Viewer?action=UPDATE&amp;creator=factset&amp;DYN_ARGS=TRUE&amp;DOC_NAME=FAT:FQL_AUDITING_CLIENT_TEMPLATE.FAT&amp;display_string=Audit&amp;VAR:KEY=PQTGNWDSHW&amp;VAR:QUERY=UkdGX1RBWF9SQVRFKEFOTiwwLCwsLCwsTk9BVURJVCk=&amp;WINDOW=FIRST_POPUP&amp;HEIGHT=450&amp;WIDTH=450&amp;","START_MAXIMIZED=FALSE&amp;VAR:CALENDAR=US&amp;VAR:SYMBOL=IBM&amp;VAR:INDEX=0"}</definedName>
    <definedName name="_3376__FDSAUDITLINK__" hidden="1">{"fdsup://directions/FAT Viewer?action=UPDATE&amp;creator=factset&amp;DYN_ARGS=TRUE&amp;DOC_NAME=FAT:FQL_AUDITING_CLIENT_TEMPLATE.FAT&amp;display_string=Audit&amp;VAR:KEY=PQTGNWDSHW&amp;VAR:QUERY=UkdGX1RBWF9SQVRFKEFOTiwwLCwsLCwsTk9BVURJVCk=&amp;WINDOW=FIRST_POPUP&amp;HEIGHT=450&amp;WIDTH=450&amp;","START_MAXIMIZED=FALSE&amp;VAR:CALENDAR=US&amp;VAR:SYMBOL=IBM&amp;VAR:INDEX=0"}</definedName>
    <definedName name="_3377__FDSAUDITLINK__" localSheetId="3" hidden="1">{"fdsup://directions/FAT Viewer?action=UPDATE&amp;creator=factset&amp;DYN_ARGS=TRUE&amp;DOC_NAME=FAT:FQL_AUDITING_CLIENT_TEMPLATE.FAT&amp;display_string=Audit&amp;VAR:KEY=ZMJIBARIVC&amp;VAR:QUERY=UkdGX1RBWF9SQVRFKEFOTiwwLCwsLCwsTk9BVURJVCk=&amp;WINDOW=FIRST_POPUP&amp;HEIGHT=450&amp;WIDTH=450&amp;","START_MAXIMIZED=FALSE&amp;VAR:CALENDAR=US&amp;VAR:SYMBOL=INAP&amp;VAR:INDEX=0"}</definedName>
    <definedName name="_3377__FDSAUDITLINK__" localSheetId="7" hidden="1">{"fdsup://directions/FAT Viewer?action=UPDATE&amp;creator=factset&amp;DYN_ARGS=TRUE&amp;DOC_NAME=FAT:FQL_AUDITING_CLIENT_TEMPLATE.FAT&amp;display_string=Audit&amp;VAR:KEY=ZMJIBARIVC&amp;VAR:QUERY=UkdGX1RBWF9SQVRFKEFOTiwwLCwsLCwsTk9BVURJVCk=&amp;WINDOW=FIRST_POPUP&amp;HEIGHT=450&amp;WIDTH=450&amp;","START_MAXIMIZED=FALSE&amp;VAR:CALENDAR=US&amp;VAR:SYMBOL=INAP&amp;VAR:INDEX=0"}</definedName>
    <definedName name="_3377__FDSAUDITLINK__" hidden="1">{"fdsup://directions/FAT Viewer?action=UPDATE&amp;creator=factset&amp;DYN_ARGS=TRUE&amp;DOC_NAME=FAT:FQL_AUDITING_CLIENT_TEMPLATE.FAT&amp;display_string=Audit&amp;VAR:KEY=ZMJIBARIVC&amp;VAR:QUERY=UkdGX1RBWF9SQVRFKEFOTiwwLCwsLCwsTk9BVURJVCk=&amp;WINDOW=FIRST_POPUP&amp;HEIGHT=450&amp;WIDTH=450&amp;","START_MAXIMIZED=FALSE&amp;VAR:CALENDAR=US&amp;VAR:SYMBOL=INAP&amp;VAR:INDEX=0"}</definedName>
    <definedName name="_3378__FDSAUDITLINK__" localSheetId="3" hidden="1">{"fdsup://directions/FAT Viewer?action=UPDATE&amp;creator=factset&amp;DYN_ARGS=TRUE&amp;DOC_NAME=FAT:FQL_AUDITING_CLIENT_TEMPLATE.FAT&amp;display_string=Audit&amp;VAR:KEY=BKNAXQHCFA&amp;VAR:QUERY=UkdGX1RBWF9SQVRFKEFOTiwwLCwsLCwsTk9BVURJVCk=&amp;WINDOW=FIRST_POPUP&amp;HEIGHT=450&amp;WIDTH=450&amp;","START_MAXIMIZED=FALSE&amp;VAR:CALENDAR=US&amp;VAR:SYMBOL=ININ&amp;VAR:INDEX=0"}</definedName>
    <definedName name="_3378__FDSAUDITLINK__" localSheetId="7" hidden="1">{"fdsup://directions/FAT Viewer?action=UPDATE&amp;creator=factset&amp;DYN_ARGS=TRUE&amp;DOC_NAME=FAT:FQL_AUDITING_CLIENT_TEMPLATE.FAT&amp;display_string=Audit&amp;VAR:KEY=BKNAXQHCFA&amp;VAR:QUERY=UkdGX1RBWF9SQVRFKEFOTiwwLCwsLCwsTk9BVURJVCk=&amp;WINDOW=FIRST_POPUP&amp;HEIGHT=450&amp;WIDTH=450&amp;","START_MAXIMIZED=FALSE&amp;VAR:CALENDAR=US&amp;VAR:SYMBOL=ININ&amp;VAR:INDEX=0"}</definedName>
    <definedName name="_3378__FDSAUDITLINK__" hidden="1">{"fdsup://directions/FAT Viewer?action=UPDATE&amp;creator=factset&amp;DYN_ARGS=TRUE&amp;DOC_NAME=FAT:FQL_AUDITING_CLIENT_TEMPLATE.FAT&amp;display_string=Audit&amp;VAR:KEY=BKNAXQHCFA&amp;VAR:QUERY=UkdGX1RBWF9SQVRFKEFOTiwwLCwsLCwsTk9BVURJVCk=&amp;WINDOW=FIRST_POPUP&amp;HEIGHT=450&amp;WIDTH=450&amp;","START_MAXIMIZED=FALSE&amp;VAR:CALENDAR=US&amp;VAR:SYMBOL=ININ&amp;VAR:INDEX=0"}</definedName>
    <definedName name="_3379__FDSAUDITLINK__" localSheetId="3" hidden="1">{"fdsup://directions/FAT Viewer?action=UPDATE&amp;creator=factset&amp;DYN_ARGS=TRUE&amp;DOC_NAME=FAT:FQL_AUDITING_CLIENT_TEMPLATE.FAT&amp;display_string=Audit&amp;VAR:KEY=BKNAXQHCFA&amp;VAR:QUERY=UkdGX1RBWF9SQVRFKEFOTiwwLCwsLCwsTk9BVURJVCk=&amp;WINDOW=FIRST_POPUP&amp;HEIGHT=450&amp;WIDTH=450&amp;","START_MAXIMIZED=FALSE&amp;VAR:CALENDAR=US&amp;VAR:SYMBOL=ININ&amp;VAR:INDEX=0"}</definedName>
    <definedName name="_3379__FDSAUDITLINK__" localSheetId="7" hidden="1">{"fdsup://directions/FAT Viewer?action=UPDATE&amp;creator=factset&amp;DYN_ARGS=TRUE&amp;DOC_NAME=FAT:FQL_AUDITING_CLIENT_TEMPLATE.FAT&amp;display_string=Audit&amp;VAR:KEY=BKNAXQHCFA&amp;VAR:QUERY=UkdGX1RBWF9SQVRFKEFOTiwwLCwsLCwsTk9BVURJVCk=&amp;WINDOW=FIRST_POPUP&amp;HEIGHT=450&amp;WIDTH=450&amp;","START_MAXIMIZED=FALSE&amp;VAR:CALENDAR=US&amp;VAR:SYMBOL=ININ&amp;VAR:INDEX=0"}</definedName>
    <definedName name="_3379__FDSAUDITLINK__" hidden="1">{"fdsup://directions/FAT Viewer?action=UPDATE&amp;creator=factset&amp;DYN_ARGS=TRUE&amp;DOC_NAME=FAT:FQL_AUDITING_CLIENT_TEMPLATE.FAT&amp;display_string=Audit&amp;VAR:KEY=BKNAXQHCFA&amp;VAR:QUERY=UkdGX1RBWF9SQVRFKEFOTiwwLCwsLCwsTk9BVURJVCk=&amp;WINDOW=FIRST_POPUP&amp;HEIGHT=450&amp;WIDTH=450&amp;","START_MAXIMIZED=FALSE&amp;VAR:CALENDAR=US&amp;VAR:SYMBOL=ININ&amp;VAR:INDEX=0"}</definedName>
    <definedName name="_3380__FDSAUDITLINK__" localSheetId="3" hidden="1">{"fdsup://directions/FAT Viewer?action=UPDATE&amp;creator=factset&amp;DYN_ARGS=TRUE&amp;DOC_NAME=FAT:FQL_AUDITING_CLIENT_TEMPLATE.FAT&amp;display_string=Audit&amp;VAR:KEY=FWVGRGJUPO&amp;VAR:QUERY=UkdGX1RBWF9SQVRFKEFOTiwwLCwsLCwsTk9BVURJVCk=&amp;WINDOW=FIRST_POPUP&amp;HEIGHT=450&amp;WIDTH=450&amp;","START_MAXIMIZED=FALSE&amp;VAR:CALENDAR=US&amp;VAR:SYMBOL=401870&amp;VAR:INDEX=0"}</definedName>
    <definedName name="_3380__FDSAUDITLINK__" localSheetId="7" hidden="1">{"fdsup://directions/FAT Viewer?action=UPDATE&amp;creator=factset&amp;DYN_ARGS=TRUE&amp;DOC_NAME=FAT:FQL_AUDITING_CLIENT_TEMPLATE.FAT&amp;display_string=Audit&amp;VAR:KEY=FWVGRGJUPO&amp;VAR:QUERY=UkdGX1RBWF9SQVRFKEFOTiwwLCwsLCwsTk9BVURJVCk=&amp;WINDOW=FIRST_POPUP&amp;HEIGHT=450&amp;WIDTH=450&amp;","START_MAXIMIZED=FALSE&amp;VAR:CALENDAR=US&amp;VAR:SYMBOL=401870&amp;VAR:INDEX=0"}</definedName>
    <definedName name="_3380__FDSAUDITLINK__" hidden="1">{"fdsup://directions/FAT Viewer?action=UPDATE&amp;creator=factset&amp;DYN_ARGS=TRUE&amp;DOC_NAME=FAT:FQL_AUDITING_CLIENT_TEMPLATE.FAT&amp;display_string=Audit&amp;VAR:KEY=FWVGRGJUPO&amp;VAR:QUERY=UkdGX1RBWF9SQVRFKEFOTiwwLCwsLCwsTk9BVURJVCk=&amp;WINDOW=FIRST_POPUP&amp;HEIGHT=450&amp;WIDTH=450&amp;","START_MAXIMIZED=FALSE&amp;VAR:CALENDAR=US&amp;VAR:SYMBOL=401870&amp;VAR:INDEX=0"}</definedName>
    <definedName name="_3381__FDSAUDITLINK__" localSheetId="3" hidden="1">{"fdsup://directions/FAT Viewer?action=UPDATE&amp;creator=factset&amp;DYN_ARGS=TRUE&amp;DOC_NAME=FAT:FQL_AUDITING_CLIENT_TEMPLATE.FAT&amp;display_string=Audit&amp;VAR:KEY=FWVGRGJUPO&amp;VAR:QUERY=UkdGX1RBWF9SQVRFKEFOTiwwLCwsLCwsTk9BVURJVCk=&amp;WINDOW=FIRST_POPUP&amp;HEIGHT=450&amp;WIDTH=450&amp;","START_MAXIMIZED=FALSE&amp;VAR:CALENDAR=US&amp;VAR:SYMBOL=401870&amp;VAR:INDEX=0"}</definedName>
    <definedName name="_3381__FDSAUDITLINK__" localSheetId="7" hidden="1">{"fdsup://directions/FAT Viewer?action=UPDATE&amp;creator=factset&amp;DYN_ARGS=TRUE&amp;DOC_NAME=FAT:FQL_AUDITING_CLIENT_TEMPLATE.FAT&amp;display_string=Audit&amp;VAR:KEY=FWVGRGJUPO&amp;VAR:QUERY=UkdGX1RBWF9SQVRFKEFOTiwwLCwsLCwsTk9BVURJVCk=&amp;WINDOW=FIRST_POPUP&amp;HEIGHT=450&amp;WIDTH=450&amp;","START_MAXIMIZED=FALSE&amp;VAR:CALENDAR=US&amp;VAR:SYMBOL=401870&amp;VAR:INDEX=0"}</definedName>
    <definedName name="_3381__FDSAUDITLINK__" hidden="1">{"fdsup://directions/FAT Viewer?action=UPDATE&amp;creator=factset&amp;DYN_ARGS=TRUE&amp;DOC_NAME=FAT:FQL_AUDITING_CLIENT_TEMPLATE.FAT&amp;display_string=Audit&amp;VAR:KEY=FWVGRGJUPO&amp;VAR:QUERY=UkdGX1RBWF9SQVRFKEFOTiwwLCwsLCwsTk9BVURJVCk=&amp;WINDOW=FIRST_POPUP&amp;HEIGHT=450&amp;WIDTH=450&amp;","START_MAXIMIZED=FALSE&amp;VAR:CALENDAR=US&amp;VAR:SYMBOL=401870&amp;VAR:INDEX=0"}</definedName>
    <definedName name="_3382__FDSAUDITLINK__" localSheetId="3" hidden="1">{"fdsup://directions/FAT Viewer?action=UPDATE&amp;creator=factset&amp;DYN_ARGS=TRUE&amp;DOC_NAME=FAT:FQL_AUDITING_CLIENT_TEMPLATE.FAT&amp;display_string=Audit&amp;VAR:KEY=TGXGJOFEHM&amp;VAR:QUERY=UkdGX1RBWF9SQVRFKEFOTiwwLCwsLCwsTk9BVURJVCk=&amp;WINDOW=FIRST_POPUP&amp;HEIGHT=450&amp;WIDTH=450&amp;","START_MAXIMIZED=FALSE&amp;VAR:CALENDAR=US&amp;VAR:SYMBOL=INTC&amp;VAR:INDEX=0"}</definedName>
    <definedName name="_3382__FDSAUDITLINK__" localSheetId="7" hidden="1">{"fdsup://directions/FAT Viewer?action=UPDATE&amp;creator=factset&amp;DYN_ARGS=TRUE&amp;DOC_NAME=FAT:FQL_AUDITING_CLIENT_TEMPLATE.FAT&amp;display_string=Audit&amp;VAR:KEY=TGXGJOFEHM&amp;VAR:QUERY=UkdGX1RBWF9SQVRFKEFOTiwwLCwsLCwsTk9BVURJVCk=&amp;WINDOW=FIRST_POPUP&amp;HEIGHT=450&amp;WIDTH=450&amp;","START_MAXIMIZED=FALSE&amp;VAR:CALENDAR=US&amp;VAR:SYMBOL=INTC&amp;VAR:INDEX=0"}</definedName>
    <definedName name="_3382__FDSAUDITLINK__" hidden="1">{"fdsup://directions/FAT Viewer?action=UPDATE&amp;creator=factset&amp;DYN_ARGS=TRUE&amp;DOC_NAME=FAT:FQL_AUDITING_CLIENT_TEMPLATE.FAT&amp;display_string=Audit&amp;VAR:KEY=TGXGJOFEHM&amp;VAR:QUERY=UkdGX1RBWF9SQVRFKEFOTiwwLCwsLCwsTk9BVURJVCk=&amp;WINDOW=FIRST_POPUP&amp;HEIGHT=450&amp;WIDTH=450&amp;","START_MAXIMIZED=FALSE&amp;VAR:CALENDAR=US&amp;VAR:SYMBOL=INTC&amp;VAR:INDEX=0"}</definedName>
    <definedName name="_3383__FDSAUDITLINK__" localSheetId="3" hidden="1">{"fdsup://directions/FAT Viewer?action=UPDATE&amp;creator=factset&amp;DYN_ARGS=TRUE&amp;DOC_NAME=FAT:FQL_AUDITING_CLIENT_TEMPLATE.FAT&amp;display_string=Audit&amp;VAR:KEY=TGXGJOFEHM&amp;VAR:QUERY=UkdGX1RBWF9SQVRFKEFOTiwwLCwsLCwsTk9BVURJVCk=&amp;WINDOW=FIRST_POPUP&amp;HEIGHT=450&amp;WIDTH=450&amp;","START_MAXIMIZED=FALSE&amp;VAR:CALENDAR=US&amp;VAR:SYMBOL=INTC&amp;VAR:INDEX=0"}</definedName>
    <definedName name="_3383__FDSAUDITLINK__" localSheetId="7" hidden="1">{"fdsup://directions/FAT Viewer?action=UPDATE&amp;creator=factset&amp;DYN_ARGS=TRUE&amp;DOC_NAME=FAT:FQL_AUDITING_CLIENT_TEMPLATE.FAT&amp;display_string=Audit&amp;VAR:KEY=TGXGJOFEHM&amp;VAR:QUERY=UkdGX1RBWF9SQVRFKEFOTiwwLCwsLCwsTk9BVURJVCk=&amp;WINDOW=FIRST_POPUP&amp;HEIGHT=450&amp;WIDTH=450&amp;","START_MAXIMIZED=FALSE&amp;VAR:CALENDAR=US&amp;VAR:SYMBOL=INTC&amp;VAR:INDEX=0"}</definedName>
    <definedName name="_3383__FDSAUDITLINK__" hidden="1">{"fdsup://directions/FAT Viewer?action=UPDATE&amp;creator=factset&amp;DYN_ARGS=TRUE&amp;DOC_NAME=FAT:FQL_AUDITING_CLIENT_TEMPLATE.FAT&amp;display_string=Audit&amp;VAR:KEY=TGXGJOFEHM&amp;VAR:QUERY=UkdGX1RBWF9SQVRFKEFOTiwwLCwsLCwsTk9BVURJVCk=&amp;WINDOW=FIRST_POPUP&amp;HEIGHT=450&amp;WIDTH=450&amp;","START_MAXIMIZED=FALSE&amp;VAR:CALENDAR=US&amp;VAR:SYMBOL=INTC&amp;VAR:INDEX=0"}</definedName>
    <definedName name="_3384__FDSAUDITLINK__" localSheetId="3" hidden="1">{"fdsup://directions/FAT Viewer?action=UPDATE&amp;creator=factset&amp;DYN_ARGS=TRUE&amp;DOC_NAME=FAT:FQL_AUDITING_CLIENT_TEMPLATE.FAT&amp;display_string=Audit&amp;VAR:KEY=BYNYBUVQHC&amp;VAR:QUERY=UkdGX1RBWF9SQVRFKEFOTiwwLCwsLCwsTk9BVURJVCk=&amp;WINDOW=FIRST_POPUP&amp;HEIGHT=450&amp;WIDTH=450&amp;","START_MAXIMIZED=FALSE&amp;VAR:CALENDAR=US&amp;VAR:SYMBOL=INFA&amp;VAR:INDEX=0"}</definedName>
    <definedName name="_3384__FDSAUDITLINK__" localSheetId="7" hidden="1">{"fdsup://directions/FAT Viewer?action=UPDATE&amp;creator=factset&amp;DYN_ARGS=TRUE&amp;DOC_NAME=FAT:FQL_AUDITING_CLIENT_TEMPLATE.FAT&amp;display_string=Audit&amp;VAR:KEY=BYNYBUVQHC&amp;VAR:QUERY=UkdGX1RBWF9SQVRFKEFOTiwwLCwsLCwsTk9BVURJVCk=&amp;WINDOW=FIRST_POPUP&amp;HEIGHT=450&amp;WIDTH=450&amp;","START_MAXIMIZED=FALSE&amp;VAR:CALENDAR=US&amp;VAR:SYMBOL=INFA&amp;VAR:INDEX=0"}</definedName>
    <definedName name="_3384__FDSAUDITLINK__" hidden="1">{"fdsup://directions/FAT Viewer?action=UPDATE&amp;creator=factset&amp;DYN_ARGS=TRUE&amp;DOC_NAME=FAT:FQL_AUDITING_CLIENT_TEMPLATE.FAT&amp;display_string=Audit&amp;VAR:KEY=BYNYBUVQHC&amp;VAR:QUERY=UkdGX1RBWF9SQVRFKEFOTiwwLCwsLCwsTk9BVURJVCk=&amp;WINDOW=FIRST_POPUP&amp;HEIGHT=450&amp;WIDTH=450&amp;","START_MAXIMIZED=FALSE&amp;VAR:CALENDAR=US&amp;VAR:SYMBOL=INFA&amp;VAR:INDEX=0"}</definedName>
    <definedName name="_3385__FDSAUDITLINK__" localSheetId="3" hidden="1">{"fdsup://directions/FAT Viewer?action=UPDATE&amp;creator=factset&amp;DYN_ARGS=TRUE&amp;DOC_NAME=FAT:FQL_AUDITING_CLIENT_TEMPLATE.FAT&amp;display_string=Audit&amp;VAR:KEY=BYNYBUVQHC&amp;VAR:QUERY=UkdGX1RBWF9SQVRFKEFOTiwwLCwsLCwsTk9BVURJVCk=&amp;WINDOW=FIRST_POPUP&amp;HEIGHT=450&amp;WIDTH=450&amp;","START_MAXIMIZED=FALSE&amp;VAR:CALENDAR=US&amp;VAR:SYMBOL=INFA&amp;VAR:INDEX=0"}</definedName>
    <definedName name="_3385__FDSAUDITLINK__" localSheetId="7" hidden="1">{"fdsup://directions/FAT Viewer?action=UPDATE&amp;creator=factset&amp;DYN_ARGS=TRUE&amp;DOC_NAME=FAT:FQL_AUDITING_CLIENT_TEMPLATE.FAT&amp;display_string=Audit&amp;VAR:KEY=BYNYBUVQHC&amp;VAR:QUERY=UkdGX1RBWF9SQVRFKEFOTiwwLCwsLCwsTk9BVURJVCk=&amp;WINDOW=FIRST_POPUP&amp;HEIGHT=450&amp;WIDTH=450&amp;","START_MAXIMIZED=FALSE&amp;VAR:CALENDAR=US&amp;VAR:SYMBOL=INFA&amp;VAR:INDEX=0"}</definedName>
    <definedName name="_3385__FDSAUDITLINK__" hidden="1">{"fdsup://directions/FAT Viewer?action=UPDATE&amp;creator=factset&amp;DYN_ARGS=TRUE&amp;DOC_NAME=FAT:FQL_AUDITING_CLIENT_TEMPLATE.FAT&amp;display_string=Audit&amp;VAR:KEY=BYNYBUVQHC&amp;VAR:QUERY=UkdGX1RBWF9SQVRFKEFOTiwwLCwsLCwsTk9BVURJVCk=&amp;WINDOW=FIRST_POPUP&amp;HEIGHT=450&amp;WIDTH=450&amp;","START_MAXIMIZED=FALSE&amp;VAR:CALENDAR=US&amp;VAR:SYMBOL=INFA&amp;VAR:INDEX=0"}</definedName>
    <definedName name="_3386__FDSAUDITLINK__" localSheetId="3" hidden="1">{"fdsup://directions/FAT Viewer?action=UPDATE&amp;creator=factset&amp;DYN_ARGS=TRUE&amp;DOC_NAME=FAT:FQL_AUDITING_CLIENT_TEMPLATE.FAT&amp;display_string=Audit&amp;VAR:KEY=DONGNWNKJG&amp;VAR:QUERY=UkdGX1RBWF9SQVRFKEFOTiwwLCwsLCwsTk9BVURJVCk=&amp;WINDOW=FIRST_POPUP&amp;HEIGHT=450&amp;WIDTH=450&amp;","START_MAXIMIZED=FALSE&amp;VAR:CALENDAR=US&amp;VAR:SYMBOL=567075&amp;VAR:INDEX=0"}</definedName>
    <definedName name="_3386__FDSAUDITLINK__" localSheetId="7" hidden="1">{"fdsup://directions/FAT Viewer?action=UPDATE&amp;creator=factset&amp;DYN_ARGS=TRUE&amp;DOC_NAME=FAT:FQL_AUDITING_CLIENT_TEMPLATE.FAT&amp;display_string=Audit&amp;VAR:KEY=DONGNWNKJG&amp;VAR:QUERY=UkdGX1RBWF9SQVRFKEFOTiwwLCwsLCwsTk9BVURJVCk=&amp;WINDOW=FIRST_POPUP&amp;HEIGHT=450&amp;WIDTH=450&amp;","START_MAXIMIZED=FALSE&amp;VAR:CALENDAR=US&amp;VAR:SYMBOL=567075&amp;VAR:INDEX=0"}</definedName>
    <definedName name="_3386__FDSAUDITLINK__" hidden="1">{"fdsup://directions/FAT Viewer?action=UPDATE&amp;creator=factset&amp;DYN_ARGS=TRUE&amp;DOC_NAME=FAT:FQL_AUDITING_CLIENT_TEMPLATE.FAT&amp;display_string=Audit&amp;VAR:KEY=DONGNWNKJG&amp;VAR:QUERY=UkdGX1RBWF9SQVRFKEFOTiwwLCwsLCwsTk9BVURJVCk=&amp;WINDOW=FIRST_POPUP&amp;HEIGHT=450&amp;WIDTH=450&amp;","START_MAXIMIZED=FALSE&amp;VAR:CALENDAR=US&amp;VAR:SYMBOL=567075&amp;VAR:INDEX=0"}</definedName>
    <definedName name="_3387__FDSAUDITLINK__" localSheetId="3" hidden="1">{"fdsup://directions/FAT Viewer?action=UPDATE&amp;creator=factset&amp;DYN_ARGS=TRUE&amp;DOC_NAME=FAT:FQL_AUDITING_CLIENT_TEMPLATE.FAT&amp;display_string=Audit&amp;VAR:KEY=DONGNWNKJG&amp;VAR:QUERY=UkdGX1RBWF9SQVRFKEFOTiwwLCwsLCwsTk9BVURJVCk=&amp;WINDOW=FIRST_POPUP&amp;HEIGHT=450&amp;WIDTH=450&amp;","START_MAXIMIZED=FALSE&amp;VAR:CALENDAR=US&amp;VAR:SYMBOL=567075&amp;VAR:INDEX=0"}</definedName>
    <definedName name="_3387__FDSAUDITLINK__" localSheetId="7" hidden="1">{"fdsup://directions/FAT Viewer?action=UPDATE&amp;creator=factset&amp;DYN_ARGS=TRUE&amp;DOC_NAME=FAT:FQL_AUDITING_CLIENT_TEMPLATE.FAT&amp;display_string=Audit&amp;VAR:KEY=DONGNWNKJG&amp;VAR:QUERY=UkdGX1RBWF9SQVRFKEFOTiwwLCwsLCwsTk9BVURJVCk=&amp;WINDOW=FIRST_POPUP&amp;HEIGHT=450&amp;WIDTH=450&amp;","START_MAXIMIZED=FALSE&amp;VAR:CALENDAR=US&amp;VAR:SYMBOL=567075&amp;VAR:INDEX=0"}</definedName>
    <definedName name="_3387__FDSAUDITLINK__" hidden="1">{"fdsup://directions/FAT Viewer?action=UPDATE&amp;creator=factset&amp;DYN_ARGS=TRUE&amp;DOC_NAME=FAT:FQL_AUDITING_CLIENT_TEMPLATE.FAT&amp;display_string=Audit&amp;VAR:KEY=DONGNWNKJG&amp;VAR:QUERY=UkdGX1RBWF9SQVRFKEFOTiwwLCwsLCwsTk9BVURJVCk=&amp;WINDOW=FIRST_POPUP&amp;HEIGHT=450&amp;WIDTH=450&amp;","START_MAXIMIZED=FALSE&amp;VAR:CALENDAR=US&amp;VAR:SYMBOL=567075&amp;VAR:INDEX=0"}</definedName>
    <definedName name="_3388__FDSAUDITLINK__" localSheetId="3" hidden="1">{"fdsup://directions/FAT Viewer?action=UPDATE&amp;creator=factset&amp;DYN_ARGS=TRUE&amp;DOC_NAME=FAT:FQL_AUDITING_CLIENT_TEMPLATE.FAT&amp;display_string=Audit&amp;VAR:KEY=NEFIDGBEZU&amp;VAR:QUERY=UkdGX1RBWF9SQVRFKEFOTiwwLCwsLCwsTk9BVURJVCk=&amp;WINDOW=FIRST_POPUP&amp;HEIGHT=450&amp;WIDTH=450&amp;","START_MAXIMIZED=FALSE&amp;VAR:CALENDAR=US&amp;VAR:SYMBOL=IRM&amp;VAR:INDEX=0"}</definedName>
    <definedName name="_3388__FDSAUDITLINK__" localSheetId="7" hidden="1">{"fdsup://directions/FAT Viewer?action=UPDATE&amp;creator=factset&amp;DYN_ARGS=TRUE&amp;DOC_NAME=FAT:FQL_AUDITING_CLIENT_TEMPLATE.FAT&amp;display_string=Audit&amp;VAR:KEY=NEFIDGBEZU&amp;VAR:QUERY=UkdGX1RBWF9SQVRFKEFOTiwwLCwsLCwsTk9BVURJVCk=&amp;WINDOW=FIRST_POPUP&amp;HEIGHT=450&amp;WIDTH=450&amp;","START_MAXIMIZED=FALSE&amp;VAR:CALENDAR=US&amp;VAR:SYMBOL=IRM&amp;VAR:INDEX=0"}</definedName>
    <definedName name="_3388__FDSAUDITLINK__" hidden="1">{"fdsup://directions/FAT Viewer?action=UPDATE&amp;creator=factset&amp;DYN_ARGS=TRUE&amp;DOC_NAME=FAT:FQL_AUDITING_CLIENT_TEMPLATE.FAT&amp;display_string=Audit&amp;VAR:KEY=NEFIDGBEZU&amp;VAR:QUERY=UkdGX1RBWF9SQVRFKEFOTiwwLCwsLCwsTk9BVURJVCk=&amp;WINDOW=FIRST_POPUP&amp;HEIGHT=450&amp;WIDTH=450&amp;","START_MAXIMIZED=FALSE&amp;VAR:CALENDAR=US&amp;VAR:SYMBOL=IRM&amp;VAR:INDEX=0"}</definedName>
    <definedName name="_3389__FDSAUDITLINK__" localSheetId="3" hidden="1">{"fdsup://directions/FAT Viewer?action=UPDATE&amp;creator=factset&amp;DYN_ARGS=TRUE&amp;DOC_NAME=FAT:FQL_AUDITING_CLIENT_TEMPLATE.FAT&amp;display_string=Audit&amp;VAR:KEY=NEFIDGBEZU&amp;VAR:QUERY=UkdGX1RBWF9SQVRFKEFOTiwwLCwsLCwsTk9BVURJVCk=&amp;WINDOW=FIRST_POPUP&amp;HEIGHT=450&amp;WIDTH=450&amp;","START_MAXIMIZED=FALSE&amp;VAR:CALENDAR=US&amp;VAR:SYMBOL=IRM&amp;VAR:INDEX=0"}</definedName>
    <definedName name="_3389__FDSAUDITLINK__" localSheetId="7" hidden="1">{"fdsup://directions/FAT Viewer?action=UPDATE&amp;creator=factset&amp;DYN_ARGS=TRUE&amp;DOC_NAME=FAT:FQL_AUDITING_CLIENT_TEMPLATE.FAT&amp;display_string=Audit&amp;VAR:KEY=NEFIDGBEZU&amp;VAR:QUERY=UkdGX1RBWF9SQVRFKEFOTiwwLCwsLCwsTk9BVURJVCk=&amp;WINDOW=FIRST_POPUP&amp;HEIGHT=450&amp;WIDTH=450&amp;","START_MAXIMIZED=FALSE&amp;VAR:CALENDAR=US&amp;VAR:SYMBOL=IRM&amp;VAR:INDEX=0"}</definedName>
    <definedName name="_3389__FDSAUDITLINK__" hidden="1">{"fdsup://directions/FAT Viewer?action=UPDATE&amp;creator=factset&amp;DYN_ARGS=TRUE&amp;DOC_NAME=FAT:FQL_AUDITING_CLIENT_TEMPLATE.FAT&amp;display_string=Audit&amp;VAR:KEY=NEFIDGBEZU&amp;VAR:QUERY=UkdGX1RBWF9SQVRFKEFOTiwwLCwsLCwsTk9BVURJVCk=&amp;WINDOW=FIRST_POPUP&amp;HEIGHT=450&amp;WIDTH=450&amp;","START_MAXIMIZED=FALSE&amp;VAR:CALENDAR=US&amp;VAR:SYMBOL=IRM&amp;VAR:INDEX=0"}</definedName>
    <definedName name="_3390__FDSAUDITLINK__" localSheetId="3" hidden="1">{"fdsup://directions/FAT Viewer?action=UPDATE&amp;creator=factset&amp;DYN_ARGS=TRUE&amp;DOC_NAME=FAT:FQL_AUDITING_CLIENT_TEMPLATE.FAT&amp;display_string=Audit&amp;VAR:KEY=ZQBYTQRELC&amp;VAR:QUERY=UkdGX1RBWF9SQVRFKEFOTiwwLCwsLCwsTk9BVURJVCk=&amp;WINDOW=FIRST_POPUP&amp;HEIGHT=450&amp;WIDTH=450&amp;","START_MAXIMIZED=FALSE&amp;VAR:CALENDAR=US&amp;VAR:SYMBOL=HPQ&amp;VAR:INDEX=0"}</definedName>
    <definedName name="_3390__FDSAUDITLINK__" localSheetId="7" hidden="1">{"fdsup://directions/FAT Viewer?action=UPDATE&amp;creator=factset&amp;DYN_ARGS=TRUE&amp;DOC_NAME=FAT:FQL_AUDITING_CLIENT_TEMPLATE.FAT&amp;display_string=Audit&amp;VAR:KEY=ZQBYTQRELC&amp;VAR:QUERY=UkdGX1RBWF9SQVRFKEFOTiwwLCwsLCwsTk9BVURJVCk=&amp;WINDOW=FIRST_POPUP&amp;HEIGHT=450&amp;WIDTH=450&amp;","START_MAXIMIZED=FALSE&amp;VAR:CALENDAR=US&amp;VAR:SYMBOL=HPQ&amp;VAR:INDEX=0"}</definedName>
    <definedName name="_3390__FDSAUDITLINK__" hidden="1">{"fdsup://directions/FAT Viewer?action=UPDATE&amp;creator=factset&amp;DYN_ARGS=TRUE&amp;DOC_NAME=FAT:FQL_AUDITING_CLIENT_TEMPLATE.FAT&amp;display_string=Audit&amp;VAR:KEY=ZQBYTQRELC&amp;VAR:QUERY=UkdGX1RBWF9SQVRFKEFOTiwwLCwsLCwsTk9BVURJVCk=&amp;WINDOW=FIRST_POPUP&amp;HEIGHT=450&amp;WIDTH=450&amp;","START_MAXIMIZED=FALSE&amp;VAR:CALENDAR=US&amp;VAR:SYMBOL=HPQ&amp;VAR:INDEX=0"}</definedName>
    <definedName name="_3391__FDSAUDITLINK__" localSheetId="3" hidden="1">{"fdsup://directions/FAT Viewer?action=UPDATE&amp;creator=factset&amp;DYN_ARGS=TRUE&amp;DOC_NAME=FAT:FQL_AUDITING_CLIENT_TEMPLATE.FAT&amp;display_string=Audit&amp;VAR:KEY=ZQBYTQRELC&amp;VAR:QUERY=UkdGX1RBWF9SQVRFKEFOTiwwLCwsLCwsTk9BVURJVCk=&amp;WINDOW=FIRST_POPUP&amp;HEIGHT=450&amp;WIDTH=450&amp;","START_MAXIMIZED=FALSE&amp;VAR:CALENDAR=US&amp;VAR:SYMBOL=HPQ&amp;VAR:INDEX=0"}</definedName>
    <definedName name="_3391__FDSAUDITLINK__" localSheetId="7" hidden="1">{"fdsup://directions/FAT Viewer?action=UPDATE&amp;creator=factset&amp;DYN_ARGS=TRUE&amp;DOC_NAME=FAT:FQL_AUDITING_CLIENT_TEMPLATE.FAT&amp;display_string=Audit&amp;VAR:KEY=ZQBYTQRELC&amp;VAR:QUERY=UkdGX1RBWF9SQVRFKEFOTiwwLCwsLCwsTk9BVURJVCk=&amp;WINDOW=FIRST_POPUP&amp;HEIGHT=450&amp;WIDTH=450&amp;","START_MAXIMIZED=FALSE&amp;VAR:CALENDAR=US&amp;VAR:SYMBOL=HPQ&amp;VAR:INDEX=0"}</definedName>
    <definedName name="_3391__FDSAUDITLINK__" hidden="1">{"fdsup://directions/FAT Viewer?action=UPDATE&amp;creator=factset&amp;DYN_ARGS=TRUE&amp;DOC_NAME=FAT:FQL_AUDITING_CLIENT_TEMPLATE.FAT&amp;display_string=Audit&amp;VAR:KEY=ZQBYTQRELC&amp;VAR:QUERY=UkdGX1RBWF9SQVRFKEFOTiwwLCwsLCwsTk9BVURJVCk=&amp;WINDOW=FIRST_POPUP&amp;HEIGHT=450&amp;WIDTH=450&amp;","START_MAXIMIZED=FALSE&amp;VAR:CALENDAR=US&amp;VAR:SYMBOL=HPQ&amp;VAR:INDEX=0"}</definedName>
    <definedName name="_3392__FDSAUDITLINK__" localSheetId="3" hidden="1">{"fdsup://directions/FAT Viewer?action=UPDATE&amp;creator=factset&amp;DYN_ARGS=TRUE&amp;DOC_NAME=FAT:FQL_AUDITING_CLIENT_TEMPLATE.FAT&amp;display_string=Audit&amp;VAR:KEY=JQNWHONUXG&amp;VAR:QUERY=UkdGX1RBWF9SQVRFKEFOTiwwLCwsLCwsTk9BVURJVCk=&amp;WINDOW=FIRST_POPUP&amp;HEIGHT=450&amp;WIDTH=450&amp;","START_MAXIMIZED=FALSE&amp;VAR:CALENDAR=US&amp;VAR:SYMBOL=HPOL&amp;VAR:INDEX=0"}</definedName>
    <definedName name="_3392__FDSAUDITLINK__" localSheetId="7" hidden="1">{"fdsup://directions/FAT Viewer?action=UPDATE&amp;creator=factset&amp;DYN_ARGS=TRUE&amp;DOC_NAME=FAT:FQL_AUDITING_CLIENT_TEMPLATE.FAT&amp;display_string=Audit&amp;VAR:KEY=JQNWHONUXG&amp;VAR:QUERY=UkdGX1RBWF9SQVRFKEFOTiwwLCwsLCwsTk9BVURJVCk=&amp;WINDOW=FIRST_POPUP&amp;HEIGHT=450&amp;WIDTH=450&amp;","START_MAXIMIZED=FALSE&amp;VAR:CALENDAR=US&amp;VAR:SYMBOL=HPOL&amp;VAR:INDEX=0"}</definedName>
    <definedName name="_3392__FDSAUDITLINK__" hidden="1">{"fdsup://directions/FAT Viewer?action=UPDATE&amp;creator=factset&amp;DYN_ARGS=TRUE&amp;DOC_NAME=FAT:FQL_AUDITING_CLIENT_TEMPLATE.FAT&amp;display_string=Audit&amp;VAR:KEY=JQNWHONUXG&amp;VAR:QUERY=UkdGX1RBWF9SQVRFKEFOTiwwLCwsLCwsTk9BVURJVCk=&amp;WINDOW=FIRST_POPUP&amp;HEIGHT=450&amp;WIDTH=450&amp;","START_MAXIMIZED=FALSE&amp;VAR:CALENDAR=US&amp;VAR:SYMBOL=HPOL&amp;VAR:INDEX=0"}</definedName>
    <definedName name="_3393__FDSAUDITLINK__" localSheetId="3" hidden="1">{"fdsup://directions/FAT Viewer?action=UPDATE&amp;creator=factset&amp;DYN_ARGS=TRUE&amp;DOC_NAME=FAT:FQL_AUDITING_CLIENT_TEMPLATE.FAT&amp;display_string=Audit&amp;VAR:KEY=BITIFQZMPU&amp;VAR:QUERY=UkdGX1RBWF9SQVRFKEFOTiwwLCwsLCwsTk9BVURJVCk=&amp;WINDOW=FIRST_POPUP&amp;HEIGHT=450&amp;WIDTH=450&amp;","START_MAXIMIZED=FALSE&amp;VAR:CALENDAR=US&amp;VAR:SYMBOL=GUID&amp;VAR:INDEX=0"}</definedName>
    <definedName name="_3393__FDSAUDITLINK__" localSheetId="7" hidden="1">{"fdsup://directions/FAT Viewer?action=UPDATE&amp;creator=factset&amp;DYN_ARGS=TRUE&amp;DOC_NAME=FAT:FQL_AUDITING_CLIENT_TEMPLATE.FAT&amp;display_string=Audit&amp;VAR:KEY=BITIFQZMPU&amp;VAR:QUERY=UkdGX1RBWF9SQVRFKEFOTiwwLCwsLCwsTk9BVURJVCk=&amp;WINDOW=FIRST_POPUP&amp;HEIGHT=450&amp;WIDTH=450&amp;","START_MAXIMIZED=FALSE&amp;VAR:CALENDAR=US&amp;VAR:SYMBOL=GUID&amp;VAR:INDEX=0"}</definedName>
    <definedName name="_3393__FDSAUDITLINK__" hidden="1">{"fdsup://directions/FAT Viewer?action=UPDATE&amp;creator=factset&amp;DYN_ARGS=TRUE&amp;DOC_NAME=FAT:FQL_AUDITING_CLIENT_TEMPLATE.FAT&amp;display_string=Audit&amp;VAR:KEY=BITIFQZMPU&amp;VAR:QUERY=UkdGX1RBWF9SQVRFKEFOTiwwLCwsLCwsTk9BVURJVCk=&amp;WINDOW=FIRST_POPUP&amp;HEIGHT=450&amp;WIDTH=450&amp;","START_MAXIMIZED=FALSE&amp;VAR:CALENDAR=US&amp;VAR:SYMBOL=GUID&amp;VAR:INDEX=0"}</definedName>
    <definedName name="_3394__FDSAUDITLINK__" localSheetId="3" hidden="1">{"fdsup://directions/FAT Viewer?action=UPDATE&amp;creator=factset&amp;DYN_ARGS=TRUE&amp;DOC_NAME=FAT:FQL_AUDITING_CLIENT_TEMPLATE.FAT&amp;display_string=Audit&amp;VAR:KEY=RQNSNMHULA&amp;VAR:QUERY=UkdGX1RBWF9SQVRFKEFOTiwwLCwsLCwsTk9BVURJVCk=&amp;WINDOW=FIRST_POPUP&amp;HEIGHT=450&amp;WIDTH=450&amp;","START_MAXIMIZED=FALSE&amp;VAR:CALENDAR=US&amp;VAR:SYMBOL=GDOT&amp;VAR:INDEX=0"}</definedName>
    <definedName name="_3394__FDSAUDITLINK__" localSheetId="7" hidden="1">{"fdsup://directions/FAT Viewer?action=UPDATE&amp;creator=factset&amp;DYN_ARGS=TRUE&amp;DOC_NAME=FAT:FQL_AUDITING_CLIENT_TEMPLATE.FAT&amp;display_string=Audit&amp;VAR:KEY=RQNSNMHULA&amp;VAR:QUERY=UkdGX1RBWF9SQVRFKEFOTiwwLCwsLCwsTk9BVURJVCk=&amp;WINDOW=FIRST_POPUP&amp;HEIGHT=450&amp;WIDTH=450&amp;","START_MAXIMIZED=FALSE&amp;VAR:CALENDAR=US&amp;VAR:SYMBOL=GDOT&amp;VAR:INDEX=0"}</definedName>
    <definedName name="_3394__FDSAUDITLINK__" hidden="1">{"fdsup://directions/FAT Viewer?action=UPDATE&amp;creator=factset&amp;DYN_ARGS=TRUE&amp;DOC_NAME=FAT:FQL_AUDITING_CLIENT_TEMPLATE.FAT&amp;display_string=Audit&amp;VAR:KEY=RQNSNMHULA&amp;VAR:QUERY=UkdGX1RBWF9SQVRFKEFOTiwwLCwsLCwsTk9BVURJVCk=&amp;WINDOW=FIRST_POPUP&amp;HEIGHT=450&amp;WIDTH=450&amp;","START_MAXIMIZED=FALSE&amp;VAR:CALENDAR=US&amp;VAR:SYMBOL=GDOT&amp;VAR:INDEX=0"}</definedName>
    <definedName name="_3395__FDSAUDITLINK__" localSheetId="3" hidden="1">{"fdsup://directions/FAT Viewer?action=UPDATE&amp;creator=factset&amp;DYN_ARGS=TRUE&amp;DOC_NAME=FAT:FQL_AUDITING_CLIENT_TEMPLATE.FAT&amp;display_string=Audit&amp;VAR:KEY=RQNSNMHULA&amp;VAR:QUERY=UkdGX1RBWF9SQVRFKEFOTiwwLCwsLCwsTk9BVURJVCk=&amp;WINDOW=FIRST_POPUP&amp;HEIGHT=450&amp;WIDTH=450&amp;","START_MAXIMIZED=FALSE&amp;VAR:CALENDAR=US&amp;VAR:SYMBOL=GDOT&amp;VAR:INDEX=0"}</definedName>
    <definedName name="_3395__FDSAUDITLINK__" localSheetId="7" hidden="1">{"fdsup://directions/FAT Viewer?action=UPDATE&amp;creator=factset&amp;DYN_ARGS=TRUE&amp;DOC_NAME=FAT:FQL_AUDITING_CLIENT_TEMPLATE.FAT&amp;display_string=Audit&amp;VAR:KEY=RQNSNMHULA&amp;VAR:QUERY=UkdGX1RBWF9SQVRFKEFOTiwwLCwsLCwsTk9BVURJVCk=&amp;WINDOW=FIRST_POPUP&amp;HEIGHT=450&amp;WIDTH=450&amp;","START_MAXIMIZED=FALSE&amp;VAR:CALENDAR=US&amp;VAR:SYMBOL=GDOT&amp;VAR:INDEX=0"}</definedName>
    <definedName name="_3395__FDSAUDITLINK__" hidden="1">{"fdsup://directions/FAT Viewer?action=UPDATE&amp;creator=factset&amp;DYN_ARGS=TRUE&amp;DOC_NAME=FAT:FQL_AUDITING_CLIENT_TEMPLATE.FAT&amp;display_string=Audit&amp;VAR:KEY=RQNSNMHULA&amp;VAR:QUERY=UkdGX1RBWF9SQVRFKEFOTiwwLCwsLCwsTk9BVURJVCk=&amp;WINDOW=FIRST_POPUP&amp;HEIGHT=450&amp;WIDTH=450&amp;","START_MAXIMIZED=FALSE&amp;VAR:CALENDAR=US&amp;VAR:SYMBOL=GDOT&amp;VAR:INDEX=0"}</definedName>
    <definedName name="_3396__FDSAUDITLINK__" localSheetId="3" hidden="1">{"fdsup://directions/FAT Viewer?action=UPDATE&amp;creator=factset&amp;DYN_ARGS=TRUE&amp;DOC_NAME=FAT:FQL_AUDITING_CLIENT_TEMPLATE.FAT&amp;display_string=Audit&amp;VAR:KEY=RORETIVAZO&amp;VAR:QUERY=UkdGX1RBWF9SQVRFKEFOTiwwLCwsLCwsTk9BVURJVCk=&amp;WINDOW=FIRST_POPUP&amp;HEIGHT=450&amp;WIDTH=450&amp;","START_MAXIMIZED=FALSE&amp;VAR:CALENDAR=US&amp;VAR:SYMBOL=GOOG&amp;VAR:INDEX=0"}</definedName>
    <definedName name="_3396__FDSAUDITLINK__" localSheetId="7" hidden="1">{"fdsup://directions/FAT Viewer?action=UPDATE&amp;creator=factset&amp;DYN_ARGS=TRUE&amp;DOC_NAME=FAT:FQL_AUDITING_CLIENT_TEMPLATE.FAT&amp;display_string=Audit&amp;VAR:KEY=RORETIVAZO&amp;VAR:QUERY=UkdGX1RBWF9SQVRFKEFOTiwwLCwsLCwsTk9BVURJVCk=&amp;WINDOW=FIRST_POPUP&amp;HEIGHT=450&amp;WIDTH=450&amp;","START_MAXIMIZED=FALSE&amp;VAR:CALENDAR=US&amp;VAR:SYMBOL=GOOG&amp;VAR:INDEX=0"}</definedName>
    <definedName name="_3396__FDSAUDITLINK__" hidden="1">{"fdsup://directions/FAT Viewer?action=UPDATE&amp;creator=factset&amp;DYN_ARGS=TRUE&amp;DOC_NAME=FAT:FQL_AUDITING_CLIENT_TEMPLATE.FAT&amp;display_string=Audit&amp;VAR:KEY=RORETIVAZO&amp;VAR:QUERY=UkdGX1RBWF9SQVRFKEFOTiwwLCwsLCwsTk9BVURJVCk=&amp;WINDOW=FIRST_POPUP&amp;HEIGHT=450&amp;WIDTH=450&amp;","START_MAXIMIZED=FALSE&amp;VAR:CALENDAR=US&amp;VAR:SYMBOL=GOOG&amp;VAR:INDEX=0"}</definedName>
    <definedName name="_3397__FDSAUDITLINK__" localSheetId="3" hidden="1">{"fdsup://directions/FAT Viewer?action=UPDATE&amp;creator=factset&amp;DYN_ARGS=TRUE&amp;DOC_NAME=FAT:FQL_AUDITING_CLIENT_TEMPLATE.FAT&amp;display_string=Audit&amp;VAR:KEY=RORETIVAZO&amp;VAR:QUERY=UkdGX1RBWF9SQVRFKEFOTiwwLCwsLCwsTk9BVURJVCk=&amp;WINDOW=FIRST_POPUP&amp;HEIGHT=450&amp;WIDTH=450&amp;","START_MAXIMIZED=FALSE&amp;VAR:CALENDAR=US&amp;VAR:SYMBOL=GOOG&amp;VAR:INDEX=0"}</definedName>
    <definedName name="_3397__FDSAUDITLINK__" localSheetId="7" hidden="1">{"fdsup://directions/FAT Viewer?action=UPDATE&amp;creator=factset&amp;DYN_ARGS=TRUE&amp;DOC_NAME=FAT:FQL_AUDITING_CLIENT_TEMPLATE.FAT&amp;display_string=Audit&amp;VAR:KEY=RORETIVAZO&amp;VAR:QUERY=UkdGX1RBWF9SQVRFKEFOTiwwLCwsLCwsTk9BVURJVCk=&amp;WINDOW=FIRST_POPUP&amp;HEIGHT=450&amp;WIDTH=450&amp;","START_MAXIMIZED=FALSE&amp;VAR:CALENDAR=US&amp;VAR:SYMBOL=GOOG&amp;VAR:INDEX=0"}</definedName>
    <definedName name="_3397__FDSAUDITLINK__" hidden="1">{"fdsup://directions/FAT Viewer?action=UPDATE&amp;creator=factset&amp;DYN_ARGS=TRUE&amp;DOC_NAME=FAT:FQL_AUDITING_CLIENT_TEMPLATE.FAT&amp;display_string=Audit&amp;VAR:KEY=RORETIVAZO&amp;VAR:QUERY=UkdGX1RBWF9SQVRFKEFOTiwwLCwsLCwsTk9BVURJVCk=&amp;WINDOW=FIRST_POPUP&amp;HEIGHT=450&amp;WIDTH=450&amp;","START_MAXIMIZED=FALSE&amp;VAR:CALENDAR=US&amp;VAR:SYMBOL=GOOG&amp;VAR:INDEX=0"}</definedName>
    <definedName name="_3398__FDSAUDITLINK__" localSheetId="3" hidden="1">{"fdsup://directions/FAT Viewer?action=UPDATE&amp;creator=factset&amp;DYN_ARGS=TRUE&amp;DOC_NAME=FAT:FQL_AUDITING_CLIENT_TEMPLATE.FAT&amp;display_string=Audit&amp;VAR:KEY=RMTQPYBYTW&amp;VAR:QUERY=UkdGX1RBWF9SQVRFKEFOTiwwLCwsLCwsTk9BVURJVCk=&amp;WINDOW=FIRST_POPUP&amp;HEIGHT=450&amp;WIDTH=450&amp;","START_MAXIMIZED=FALSE&amp;VAR:CALENDAR=US&amp;VAR:SYMBOL=IT&amp;VAR:INDEX=0"}</definedName>
    <definedName name="_3398__FDSAUDITLINK__" localSheetId="7" hidden="1">{"fdsup://directions/FAT Viewer?action=UPDATE&amp;creator=factset&amp;DYN_ARGS=TRUE&amp;DOC_NAME=FAT:FQL_AUDITING_CLIENT_TEMPLATE.FAT&amp;display_string=Audit&amp;VAR:KEY=RMTQPYBYTW&amp;VAR:QUERY=UkdGX1RBWF9SQVRFKEFOTiwwLCwsLCwsTk9BVURJVCk=&amp;WINDOW=FIRST_POPUP&amp;HEIGHT=450&amp;WIDTH=450&amp;","START_MAXIMIZED=FALSE&amp;VAR:CALENDAR=US&amp;VAR:SYMBOL=IT&amp;VAR:INDEX=0"}</definedName>
    <definedName name="_3398__FDSAUDITLINK__" hidden="1">{"fdsup://directions/FAT Viewer?action=UPDATE&amp;creator=factset&amp;DYN_ARGS=TRUE&amp;DOC_NAME=FAT:FQL_AUDITING_CLIENT_TEMPLATE.FAT&amp;display_string=Audit&amp;VAR:KEY=RMTQPYBYTW&amp;VAR:QUERY=UkdGX1RBWF9SQVRFKEFOTiwwLCwsLCwsTk9BVURJVCk=&amp;WINDOW=FIRST_POPUP&amp;HEIGHT=450&amp;WIDTH=450&amp;","START_MAXIMIZED=FALSE&amp;VAR:CALENDAR=US&amp;VAR:SYMBOL=IT&amp;VAR:INDEX=0"}</definedName>
    <definedName name="_3399__FDSAUDITLINK__" localSheetId="3" hidden="1">{"fdsup://directions/FAT Viewer?action=UPDATE&amp;creator=factset&amp;DYN_ARGS=TRUE&amp;DOC_NAME=FAT:FQL_AUDITING_CLIENT_TEMPLATE.FAT&amp;display_string=Audit&amp;VAR:KEY=RMTQPYBYTW&amp;VAR:QUERY=UkdGX1RBWF9SQVRFKEFOTiwwLCwsLCwsTk9BVURJVCk=&amp;WINDOW=FIRST_POPUP&amp;HEIGHT=450&amp;WIDTH=450&amp;","START_MAXIMIZED=FALSE&amp;VAR:CALENDAR=US&amp;VAR:SYMBOL=IT&amp;VAR:INDEX=0"}</definedName>
    <definedName name="_3399__FDSAUDITLINK__" localSheetId="7" hidden="1">{"fdsup://directions/FAT Viewer?action=UPDATE&amp;creator=factset&amp;DYN_ARGS=TRUE&amp;DOC_NAME=FAT:FQL_AUDITING_CLIENT_TEMPLATE.FAT&amp;display_string=Audit&amp;VAR:KEY=RMTQPYBYTW&amp;VAR:QUERY=UkdGX1RBWF9SQVRFKEFOTiwwLCwsLCwsTk9BVURJVCk=&amp;WINDOW=FIRST_POPUP&amp;HEIGHT=450&amp;WIDTH=450&amp;","START_MAXIMIZED=FALSE&amp;VAR:CALENDAR=US&amp;VAR:SYMBOL=IT&amp;VAR:INDEX=0"}</definedName>
    <definedName name="_3399__FDSAUDITLINK__" hidden="1">{"fdsup://directions/FAT Viewer?action=UPDATE&amp;creator=factset&amp;DYN_ARGS=TRUE&amp;DOC_NAME=FAT:FQL_AUDITING_CLIENT_TEMPLATE.FAT&amp;display_string=Audit&amp;VAR:KEY=RMTQPYBYTW&amp;VAR:QUERY=UkdGX1RBWF9SQVRFKEFOTiwwLCwsLCwsTk9BVURJVCk=&amp;WINDOW=FIRST_POPUP&amp;HEIGHT=450&amp;WIDTH=450&amp;","START_MAXIMIZED=FALSE&amp;VAR:CALENDAR=US&amp;VAR:SYMBOL=IT&amp;VAR:INDEX=0"}</definedName>
    <definedName name="_34__FDSAUDITLINK__" localSheetId="3" hidden="1">{"fdsup://directions/FAT Viewer?action=UPDATE&amp;creator=factset&amp;DYN_ARGS=TRUE&amp;DOC_NAME=FAT:FQL_AUDITING_CLIENT_TEMPLATE.FAT&amp;display_string=Audit&amp;VAR:KEY=DWJIHCNWFC&amp;VAR:QUERY=RkZfU0FMRVMoTFRNLDAsLCwsLE0p&amp;WINDOW=FIRST_POPUP&amp;HEIGHT=450&amp;WIDTH=450&amp;START_MAXIMIZED=","FALSE&amp;VAR:CALENDAR=US&amp;VAR:SYMBOL=B07C76&amp;VAR:INDEX=0"}</definedName>
    <definedName name="_34__FDSAUDITLINK__" localSheetId="7" hidden="1">{"fdsup://directions/FAT Viewer?action=UPDATE&amp;creator=factset&amp;DYN_ARGS=TRUE&amp;DOC_NAME=FAT:FQL_AUDITING_CLIENT_TEMPLATE.FAT&amp;display_string=Audit&amp;VAR:KEY=DWJIHCNWFC&amp;VAR:QUERY=RkZfU0FMRVMoTFRNLDAsLCwsLE0p&amp;WINDOW=FIRST_POPUP&amp;HEIGHT=450&amp;WIDTH=450&amp;START_MAXIMIZED=","FALSE&amp;VAR:CALENDAR=US&amp;VAR:SYMBOL=B07C76&amp;VAR:INDEX=0"}</definedName>
    <definedName name="_34__FDSAUDITLINK__" hidden="1">{"fdsup://directions/FAT Viewer?action=UPDATE&amp;creator=factset&amp;DYN_ARGS=TRUE&amp;DOC_NAME=FAT:FQL_AUDITING_CLIENT_TEMPLATE.FAT&amp;display_string=Audit&amp;VAR:KEY=DWJIHCNWFC&amp;VAR:QUERY=RkZfU0FMRVMoTFRNLDAsLCwsLE0p&amp;WINDOW=FIRST_POPUP&amp;HEIGHT=450&amp;WIDTH=450&amp;START_MAXIMIZED=","FALSE&amp;VAR:CALENDAR=US&amp;VAR:SYMBOL=B07C76&amp;VAR:INDEX=0"}</definedName>
    <definedName name="_3400__FDSAUDITLINK__" localSheetId="3" hidden="1">{"fdsup://directions/FAT Viewer?action=UPDATE&amp;creator=factset&amp;DYN_ARGS=TRUE&amp;DOC_NAME=FAT:FQL_AUDITING_CLIENT_TEMPLATE.FAT&amp;display_string=Audit&amp;VAR:KEY=VCNYPCVYLM&amp;VAR:QUERY=UkdGX1RBWF9SQVRFKEFOTiwwLCwsLCwsTk9BVURJVCk=&amp;WINDOW=FIRST_POPUP&amp;HEIGHT=450&amp;WIDTH=450&amp;","START_MAXIMIZED=FALSE&amp;VAR:CALENDAR=US&amp;VAR:SYMBOL=FTNT&amp;VAR:INDEX=0"}</definedName>
    <definedName name="_3400__FDSAUDITLINK__" localSheetId="7" hidden="1">{"fdsup://directions/FAT Viewer?action=UPDATE&amp;creator=factset&amp;DYN_ARGS=TRUE&amp;DOC_NAME=FAT:FQL_AUDITING_CLIENT_TEMPLATE.FAT&amp;display_string=Audit&amp;VAR:KEY=VCNYPCVYLM&amp;VAR:QUERY=UkdGX1RBWF9SQVRFKEFOTiwwLCwsLCwsTk9BVURJVCk=&amp;WINDOW=FIRST_POPUP&amp;HEIGHT=450&amp;WIDTH=450&amp;","START_MAXIMIZED=FALSE&amp;VAR:CALENDAR=US&amp;VAR:SYMBOL=FTNT&amp;VAR:INDEX=0"}</definedName>
    <definedName name="_3400__FDSAUDITLINK__" hidden="1">{"fdsup://directions/FAT Viewer?action=UPDATE&amp;creator=factset&amp;DYN_ARGS=TRUE&amp;DOC_NAME=FAT:FQL_AUDITING_CLIENT_TEMPLATE.FAT&amp;display_string=Audit&amp;VAR:KEY=VCNYPCVYLM&amp;VAR:QUERY=UkdGX1RBWF9SQVRFKEFOTiwwLCwsLCwsTk9BVURJVCk=&amp;WINDOW=FIRST_POPUP&amp;HEIGHT=450&amp;WIDTH=450&amp;","START_MAXIMIZED=FALSE&amp;VAR:CALENDAR=US&amp;VAR:SYMBOL=FTNT&amp;VAR:INDEX=0"}</definedName>
    <definedName name="_3401__FDSAUDITLINK__" localSheetId="3" hidden="1">{"fdsup://directions/FAT Viewer?action=UPDATE&amp;creator=factset&amp;DYN_ARGS=TRUE&amp;DOC_NAME=FAT:FQL_AUDITING_CLIENT_TEMPLATE.FAT&amp;display_string=Audit&amp;VAR:KEY=VCNYPCVYLM&amp;VAR:QUERY=UkdGX1RBWF9SQVRFKEFOTiwwLCwsLCwsTk9BVURJVCk=&amp;WINDOW=FIRST_POPUP&amp;HEIGHT=450&amp;WIDTH=450&amp;","START_MAXIMIZED=FALSE&amp;VAR:CALENDAR=US&amp;VAR:SYMBOL=FTNT&amp;VAR:INDEX=0"}</definedName>
    <definedName name="_3401__FDSAUDITLINK__" localSheetId="7" hidden="1">{"fdsup://directions/FAT Viewer?action=UPDATE&amp;creator=factset&amp;DYN_ARGS=TRUE&amp;DOC_NAME=FAT:FQL_AUDITING_CLIENT_TEMPLATE.FAT&amp;display_string=Audit&amp;VAR:KEY=VCNYPCVYLM&amp;VAR:QUERY=UkdGX1RBWF9SQVRFKEFOTiwwLCwsLCwsTk9BVURJVCk=&amp;WINDOW=FIRST_POPUP&amp;HEIGHT=450&amp;WIDTH=450&amp;","START_MAXIMIZED=FALSE&amp;VAR:CALENDAR=US&amp;VAR:SYMBOL=FTNT&amp;VAR:INDEX=0"}</definedName>
    <definedName name="_3401__FDSAUDITLINK__" hidden="1">{"fdsup://directions/FAT Viewer?action=UPDATE&amp;creator=factset&amp;DYN_ARGS=TRUE&amp;DOC_NAME=FAT:FQL_AUDITING_CLIENT_TEMPLATE.FAT&amp;display_string=Audit&amp;VAR:KEY=VCNYPCVYLM&amp;VAR:QUERY=UkdGX1RBWF9SQVRFKEFOTiwwLCwsLCwsTk9BVURJVCk=&amp;WINDOW=FIRST_POPUP&amp;HEIGHT=450&amp;WIDTH=450&amp;","START_MAXIMIZED=FALSE&amp;VAR:CALENDAR=US&amp;VAR:SYMBOL=FTNT&amp;VAR:INDEX=0"}</definedName>
    <definedName name="_3402__FDSAUDITLINK__" localSheetId="3" hidden="1">{"fdsup://directions/FAT Viewer?action=UPDATE&amp;creator=factset&amp;DYN_ARGS=TRUE&amp;DOC_NAME=FAT:FQL_AUDITING_CLIENT_TEMPLATE.FAT&amp;display_string=Audit&amp;VAR:KEY=XEZERWLSXY&amp;VAR:QUERY=UkdGX1RBWF9SQVRFKEFOTiwwLCwsLCwsTk9BVURJVCk=&amp;WINDOW=FIRST_POPUP&amp;HEIGHT=450&amp;WIDTH=450&amp;","START_MAXIMIZED=FALSE&amp;VAR:CALENDAR=US&amp;VAR:SYMBOL=580685&amp;VAR:INDEX=0"}</definedName>
    <definedName name="_3402__FDSAUDITLINK__" localSheetId="7" hidden="1">{"fdsup://directions/FAT Viewer?action=UPDATE&amp;creator=factset&amp;DYN_ARGS=TRUE&amp;DOC_NAME=FAT:FQL_AUDITING_CLIENT_TEMPLATE.FAT&amp;display_string=Audit&amp;VAR:KEY=XEZERWLSXY&amp;VAR:QUERY=UkdGX1RBWF9SQVRFKEFOTiwwLCwsLCwsTk9BVURJVCk=&amp;WINDOW=FIRST_POPUP&amp;HEIGHT=450&amp;WIDTH=450&amp;","START_MAXIMIZED=FALSE&amp;VAR:CALENDAR=US&amp;VAR:SYMBOL=580685&amp;VAR:INDEX=0"}</definedName>
    <definedName name="_3402__FDSAUDITLINK__" hidden="1">{"fdsup://directions/FAT Viewer?action=UPDATE&amp;creator=factset&amp;DYN_ARGS=TRUE&amp;DOC_NAME=FAT:FQL_AUDITING_CLIENT_TEMPLATE.FAT&amp;display_string=Audit&amp;VAR:KEY=XEZERWLSXY&amp;VAR:QUERY=UkdGX1RBWF9SQVRFKEFOTiwwLCwsLCwsTk9BVURJVCk=&amp;WINDOW=FIRST_POPUP&amp;HEIGHT=450&amp;WIDTH=450&amp;","START_MAXIMIZED=FALSE&amp;VAR:CALENDAR=US&amp;VAR:SYMBOL=580685&amp;VAR:INDEX=0"}</definedName>
    <definedName name="_3403__FDSAUDITLINK__" localSheetId="3" hidden="1">{"fdsup://directions/FAT Viewer?action=UPDATE&amp;creator=factset&amp;DYN_ARGS=TRUE&amp;DOC_NAME=FAT:FQL_AUDITING_CLIENT_TEMPLATE.FAT&amp;display_string=Audit&amp;VAR:KEY=XEZERWLSXY&amp;VAR:QUERY=UkdGX1RBWF9SQVRFKEFOTiwwLCwsLCwsTk9BVURJVCk=&amp;WINDOW=FIRST_POPUP&amp;HEIGHT=450&amp;WIDTH=450&amp;","START_MAXIMIZED=FALSE&amp;VAR:CALENDAR=US&amp;VAR:SYMBOL=580685&amp;VAR:INDEX=0"}</definedName>
    <definedName name="_3403__FDSAUDITLINK__" localSheetId="7" hidden="1">{"fdsup://directions/FAT Viewer?action=UPDATE&amp;creator=factset&amp;DYN_ARGS=TRUE&amp;DOC_NAME=FAT:FQL_AUDITING_CLIENT_TEMPLATE.FAT&amp;display_string=Audit&amp;VAR:KEY=XEZERWLSXY&amp;VAR:QUERY=UkdGX1RBWF9SQVRFKEFOTiwwLCwsLCwsTk9BVURJVCk=&amp;WINDOW=FIRST_POPUP&amp;HEIGHT=450&amp;WIDTH=450&amp;","START_MAXIMIZED=FALSE&amp;VAR:CALENDAR=US&amp;VAR:SYMBOL=580685&amp;VAR:INDEX=0"}</definedName>
    <definedName name="_3403__FDSAUDITLINK__" hidden="1">{"fdsup://directions/FAT Viewer?action=UPDATE&amp;creator=factset&amp;DYN_ARGS=TRUE&amp;DOC_NAME=FAT:FQL_AUDITING_CLIENT_TEMPLATE.FAT&amp;display_string=Audit&amp;VAR:KEY=XEZERWLSXY&amp;VAR:QUERY=UkdGX1RBWF9SQVRFKEFOTiwwLCwsLCwsTk9BVURJVCk=&amp;WINDOW=FIRST_POPUP&amp;HEIGHT=450&amp;WIDTH=450&amp;","START_MAXIMIZED=FALSE&amp;VAR:CALENDAR=US&amp;VAR:SYMBOL=580685&amp;VAR:INDEX=0"}</definedName>
    <definedName name="_3404__FDSAUDITLINK__" localSheetId="3" hidden="1">{"fdsup://directions/FAT Viewer?action=UPDATE&amp;creator=factset&amp;DYN_ARGS=TRUE&amp;DOC_NAME=FAT:FQL_AUDITING_CLIENT_TEMPLATE.FAT&amp;display_string=Audit&amp;VAR:KEY=VUZGREPYNC&amp;VAR:QUERY=UkdGX1RBWF9SQVRFKEFOTiwwLCwsLCwsTk9BVURJVCk=&amp;WINDOW=FIRST_POPUP&amp;HEIGHT=450&amp;WIDTH=450&amp;","START_MAXIMIZED=FALSE&amp;VAR:CALENDAR=US&amp;VAR:SYMBOL=FORR&amp;VAR:INDEX=0"}</definedName>
    <definedName name="_3404__FDSAUDITLINK__" localSheetId="7" hidden="1">{"fdsup://directions/FAT Viewer?action=UPDATE&amp;creator=factset&amp;DYN_ARGS=TRUE&amp;DOC_NAME=FAT:FQL_AUDITING_CLIENT_TEMPLATE.FAT&amp;display_string=Audit&amp;VAR:KEY=VUZGREPYNC&amp;VAR:QUERY=UkdGX1RBWF9SQVRFKEFOTiwwLCwsLCwsTk9BVURJVCk=&amp;WINDOW=FIRST_POPUP&amp;HEIGHT=450&amp;WIDTH=450&amp;","START_MAXIMIZED=FALSE&amp;VAR:CALENDAR=US&amp;VAR:SYMBOL=FORR&amp;VAR:INDEX=0"}</definedName>
    <definedName name="_3404__FDSAUDITLINK__" hidden="1">{"fdsup://directions/FAT Viewer?action=UPDATE&amp;creator=factset&amp;DYN_ARGS=TRUE&amp;DOC_NAME=FAT:FQL_AUDITING_CLIENT_TEMPLATE.FAT&amp;display_string=Audit&amp;VAR:KEY=VUZGREPYNC&amp;VAR:QUERY=UkdGX1RBWF9SQVRFKEFOTiwwLCwsLCwsTk9BVURJVCk=&amp;WINDOW=FIRST_POPUP&amp;HEIGHT=450&amp;WIDTH=450&amp;","START_MAXIMIZED=FALSE&amp;VAR:CALENDAR=US&amp;VAR:SYMBOL=FORR&amp;VAR:INDEX=0"}</definedName>
    <definedName name="_3405__FDSAUDITLINK__" localSheetId="3" hidden="1">{"fdsup://directions/FAT Viewer?action=UPDATE&amp;creator=factset&amp;DYN_ARGS=TRUE&amp;DOC_NAME=FAT:FQL_AUDITING_CLIENT_TEMPLATE.FAT&amp;display_string=Audit&amp;VAR:KEY=VUZGREPYNC&amp;VAR:QUERY=UkdGX1RBWF9SQVRFKEFOTiwwLCwsLCwsTk9BVURJVCk=&amp;WINDOW=FIRST_POPUP&amp;HEIGHT=450&amp;WIDTH=450&amp;","START_MAXIMIZED=FALSE&amp;VAR:CALENDAR=US&amp;VAR:SYMBOL=FORR&amp;VAR:INDEX=0"}</definedName>
    <definedName name="_3405__FDSAUDITLINK__" localSheetId="7" hidden="1">{"fdsup://directions/FAT Viewer?action=UPDATE&amp;creator=factset&amp;DYN_ARGS=TRUE&amp;DOC_NAME=FAT:FQL_AUDITING_CLIENT_TEMPLATE.FAT&amp;display_string=Audit&amp;VAR:KEY=VUZGREPYNC&amp;VAR:QUERY=UkdGX1RBWF9SQVRFKEFOTiwwLCwsLCwsTk9BVURJVCk=&amp;WINDOW=FIRST_POPUP&amp;HEIGHT=450&amp;WIDTH=450&amp;","START_MAXIMIZED=FALSE&amp;VAR:CALENDAR=US&amp;VAR:SYMBOL=FORR&amp;VAR:INDEX=0"}</definedName>
    <definedName name="_3405__FDSAUDITLINK__" hidden="1">{"fdsup://directions/FAT Viewer?action=UPDATE&amp;creator=factset&amp;DYN_ARGS=TRUE&amp;DOC_NAME=FAT:FQL_AUDITING_CLIENT_TEMPLATE.FAT&amp;display_string=Audit&amp;VAR:KEY=VUZGREPYNC&amp;VAR:QUERY=UkdGX1RBWF9SQVRFKEFOTiwwLCwsLCwsTk9BVURJVCk=&amp;WINDOW=FIRST_POPUP&amp;HEIGHT=450&amp;WIDTH=450&amp;","START_MAXIMIZED=FALSE&amp;VAR:CALENDAR=US&amp;VAR:SYMBOL=FORR&amp;VAR:INDEX=0"}</definedName>
    <definedName name="_3406__FDSAUDITLINK__" localSheetId="3" hidden="1">{"fdsup://directions/FAT Viewer?action=UPDATE&amp;creator=factset&amp;DYN_ARGS=TRUE&amp;DOC_NAME=FAT:FQL_AUDITING_CLIENT_TEMPLATE.FAT&amp;display_string=Audit&amp;VAR:KEY=PAXOLQHAPO&amp;VAR:QUERY=UkdGX1RBWF9SQVRFKEFOTiwwLCwsLCwsTk9BVURJVCk=&amp;WINDOW=FIRST_POPUP&amp;HEIGHT=450&amp;WIDTH=450&amp;","START_MAXIMIZED=FALSE&amp;VAR:CALENDAR=US&amp;VAR:SYMBOL=FISV&amp;VAR:INDEX=0"}</definedName>
    <definedName name="_3406__FDSAUDITLINK__" localSheetId="7" hidden="1">{"fdsup://directions/FAT Viewer?action=UPDATE&amp;creator=factset&amp;DYN_ARGS=TRUE&amp;DOC_NAME=FAT:FQL_AUDITING_CLIENT_TEMPLATE.FAT&amp;display_string=Audit&amp;VAR:KEY=PAXOLQHAPO&amp;VAR:QUERY=UkdGX1RBWF9SQVRFKEFOTiwwLCwsLCwsTk9BVURJVCk=&amp;WINDOW=FIRST_POPUP&amp;HEIGHT=450&amp;WIDTH=450&amp;","START_MAXIMIZED=FALSE&amp;VAR:CALENDAR=US&amp;VAR:SYMBOL=FISV&amp;VAR:INDEX=0"}</definedName>
    <definedName name="_3406__FDSAUDITLINK__" hidden="1">{"fdsup://directions/FAT Viewer?action=UPDATE&amp;creator=factset&amp;DYN_ARGS=TRUE&amp;DOC_NAME=FAT:FQL_AUDITING_CLIENT_TEMPLATE.FAT&amp;display_string=Audit&amp;VAR:KEY=PAXOLQHAPO&amp;VAR:QUERY=UkdGX1RBWF9SQVRFKEFOTiwwLCwsLCwsTk9BVURJVCk=&amp;WINDOW=FIRST_POPUP&amp;HEIGHT=450&amp;WIDTH=450&amp;","START_MAXIMIZED=FALSE&amp;VAR:CALENDAR=US&amp;VAR:SYMBOL=FISV&amp;VAR:INDEX=0"}</definedName>
    <definedName name="_3407__FDSAUDITLINK__" localSheetId="3" hidden="1">{"fdsup://directions/FAT Viewer?action=UPDATE&amp;creator=factset&amp;DYN_ARGS=TRUE&amp;DOC_NAME=FAT:FQL_AUDITING_CLIENT_TEMPLATE.FAT&amp;display_string=Audit&amp;VAR:KEY=PAXOLQHAPO&amp;VAR:QUERY=UkdGX1RBWF9SQVRFKEFOTiwwLCwsLCwsTk9BVURJVCk=&amp;WINDOW=FIRST_POPUP&amp;HEIGHT=450&amp;WIDTH=450&amp;","START_MAXIMIZED=FALSE&amp;VAR:CALENDAR=US&amp;VAR:SYMBOL=FISV&amp;VAR:INDEX=0"}</definedName>
    <definedName name="_3407__FDSAUDITLINK__" localSheetId="7" hidden="1">{"fdsup://directions/FAT Viewer?action=UPDATE&amp;creator=factset&amp;DYN_ARGS=TRUE&amp;DOC_NAME=FAT:FQL_AUDITING_CLIENT_TEMPLATE.FAT&amp;display_string=Audit&amp;VAR:KEY=PAXOLQHAPO&amp;VAR:QUERY=UkdGX1RBWF9SQVRFKEFOTiwwLCwsLCwsTk9BVURJVCk=&amp;WINDOW=FIRST_POPUP&amp;HEIGHT=450&amp;WIDTH=450&amp;","START_MAXIMIZED=FALSE&amp;VAR:CALENDAR=US&amp;VAR:SYMBOL=FISV&amp;VAR:INDEX=0"}</definedName>
    <definedName name="_3407__FDSAUDITLINK__" hidden="1">{"fdsup://directions/FAT Viewer?action=UPDATE&amp;creator=factset&amp;DYN_ARGS=TRUE&amp;DOC_NAME=FAT:FQL_AUDITING_CLIENT_TEMPLATE.FAT&amp;display_string=Audit&amp;VAR:KEY=PAXOLQHAPO&amp;VAR:QUERY=UkdGX1RBWF9SQVRFKEFOTiwwLCwsLCwsTk9BVURJVCk=&amp;WINDOW=FIRST_POPUP&amp;HEIGHT=450&amp;WIDTH=450&amp;","START_MAXIMIZED=FALSE&amp;VAR:CALENDAR=US&amp;VAR:SYMBOL=FISV&amp;VAR:INDEX=0"}</definedName>
    <definedName name="_3408__FDSAUDITLINK__" localSheetId="3" hidden="1">{"fdsup://directions/FAT Viewer?action=UPDATE&amp;creator=factset&amp;DYN_ARGS=TRUE&amp;DOC_NAME=FAT:FQL_AUDITING_CLIENT_TEMPLATE.FAT&amp;display_string=Audit&amp;VAR:KEY=RKJKVCTOLG&amp;VAR:QUERY=UkdGX1RBWF9SQVRFKEFOTiwwLCwsLCwsTk9BVURJVCk=&amp;WINDOW=FIRST_POPUP&amp;HEIGHT=450&amp;WIDTH=450&amp;","START_MAXIMIZED=FALSE&amp;VAR:CALENDAR=US&amp;VAR:SYMBOL=FALC&amp;VAR:INDEX=0"}</definedName>
    <definedName name="_3408__FDSAUDITLINK__" localSheetId="7" hidden="1">{"fdsup://directions/FAT Viewer?action=UPDATE&amp;creator=factset&amp;DYN_ARGS=TRUE&amp;DOC_NAME=FAT:FQL_AUDITING_CLIENT_TEMPLATE.FAT&amp;display_string=Audit&amp;VAR:KEY=RKJKVCTOLG&amp;VAR:QUERY=UkdGX1RBWF9SQVRFKEFOTiwwLCwsLCwsTk9BVURJVCk=&amp;WINDOW=FIRST_POPUP&amp;HEIGHT=450&amp;WIDTH=450&amp;","START_MAXIMIZED=FALSE&amp;VAR:CALENDAR=US&amp;VAR:SYMBOL=FALC&amp;VAR:INDEX=0"}</definedName>
    <definedName name="_3408__FDSAUDITLINK__" hidden="1">{"fdsup://directions/FAT Viewer?action=UPDATE&amp;creator=factset&amp;DYN_ARGS=TRUE&amp;DOC_NAME=FAT:FQL_AUDITING_CLIENT_TEMPLATE.FAT&amp;display_string=Audit&amp;VAR:KEY=RKJKVCTOLG&amp;VAR:QUERY=UkdGX1RBWF9SQVRFKEFOTiwwLCwsLCwsTk9BVURJVCk=&amp;WINDOW=FIRST_POPUP&amp;HEIGHT=450&amp;WIDTH=450&amp;","START_MAXIMIZED=FALSE&amp;VAR:CALENDAR=US&amp;VAR:SYMBOL=FALC&amp;VAR:INDEX=0"}</definedName>
    <definedName name="_3409__FDSAUDITLINK__" localSheetId="3" hidden="1">{"fdsup://directions/FAT Viewer?action=UPDATE&amp;creator=factset&amp;DYN_ARGS=TRUE&amp;DOC_NAME=FAT:FQL_AUDITING_CLIENT_TEMPLATE.FAT&amp;display_string=Audit&amp;VAR:KEY=TIFWDWDUVC&amp;VAR:QUERY=UkdGX1RBWF9SQVRFKEFOTiwwLCwsLCwsTk9BVURJVCk=&amp;WINDOW=FIRST_POPUP&amp;HEIGHT=450&amp;WIDTH=450&amp;","START_MAXIMIZED=FALSE&amp;VAR:CALENDAR=US&amp;VAR:SYMBOL=FICO&amp;VAR:INDEX=0"}</definedName>
    <definedName name="_3409__FDSAUDITLINK__" localSheetId="7" hidden="1">{"fdsup://directions/FAT Viewer?action=UPDATE&amp;creator=factset&amp;DYN_ARGS=TRUE&amp;DOC_NAME=FAT:FQL_AUDITING_CLIENT_TEMPLATE.FAT&amp;display_string=Audit&amp;VAR:KEY=TIFWDWDUVC&amp;VAR:QUERY=UkdGX1RBWF9SQVRFKEFOTiwwLCwsLCwsTk9BVURJVCk=&amp;WINDOW=FIRST_POPUP&amp;HEIGHT=450&amp;WIDTH=450&amp;","START_MAXIMIZED=FALSE&amp;VAR:CALENDAR=US&amp;VAR:SYMBOL=FICO&amp;VAR:INDEX=0"}</definedName>
    <definedName name="_3409__FDSAUDITLINK__" hidden="1">{"fdsup://directions/FAT Viewer?action=UPDATE&amp;creator=factset&amp;DYN_ARGS=TRUE&amp;DOC_NAME=FAT:FQL_AUDITING_CLIENT_TEMPLATE.FAT&amp;display_string=Audit&amp;VAR:KEY=TIFWDWDUVC&amp;VAR:QUERY=UkdGX1RBWF9SQVRFKEFOTiwwLCwsLCwsTk9BVURJVCk=&amp;WINDOW=FIRST_POPUP&amp;HEIGHT=450&amp;WIDTH=450&amp;","START_MAXIMIZED=FALSE&amp;VAR:CALENDAR=US&amp;VAR:SYMBOL=FICO&amp;VAR:INDEX=0"}</definedName>
    <definedName name="_3410__FDSAUDITLINK__" localSheetId="3" hidden="1">{"fdsup://directions/FAT Viewer?action=UPDATE&amp;creator=factset&amp;DYN_ARGS=TRUE&amp;DOC_NAME=FAT:FQL_AUDITING_CLIENT_TEMPLATE.FAT&amp;display_string=Audit&amp;VAR:KEY=TIFWDWDUVC&amp;VAR:QUERY=UkdGX1RBWF9SQVRFKEFOTiwwLCwsLCwsTk9BVURJVCk=&amp;WINDOW=FIRST_POPUP&amp;HEIGHT=450&amp;WIDTH=450&amp;","START_MAXIMIZED=FALSE&amp;VAR:CALENDAR=US&amp;VAR:SYMBOL=FICO&amp;VAR:INDEX=0"}</definedName>
    <definedName name="_3410__FDSAUDITLINK__" localSheetId="7" hidden="1">{"fdsup://directions/FAT Viewer?action=UPDATE&amp;creator=factset&amp;DYN_ARGS=TRUE&amp;DOC_NAME=FAT:FQL_AUDITING_CLIENT_TEMPLATE.FAT&amp;display_string=Audit&amp;VAR:KEY=TIFWDWDUVC&amp;VAR:QUERY=UkdGX1RBWF9SQVRFKEFOTiwwLCwsLCwsTk9BVURJVCk=&amp;WINDOW=FIRST_POPUP&amp;HEIGHT=450&amp;WIDTH=450&amp;","START_MAXIMIZED=FALSE&amp;VAR:CALENDAR=US&amp;VAR:SYMBOL=FICO&amp;VAR:INDEX=0"}</definedName>
    <definedName name="_3410__FDSAUDITLINK__" hidden="1">{"fdsup://directions/FAT Viewer?action=UPDATE&amp;creator=factset&amp;DYN_ARGS=TRUE&amp;DOC_NAME=FAT:FQL_AUDITING_CLIENT_TEMPLATE.FAT&amp;display_string=Audit&amp;VAR:KEY=TIFWDWDUVC&amp;VAR:QUERY=UkdGX1RBWF9SQVRFKEFOTiwwLCwsLCwsTk9BVURJVCk=&amp;WINDOW=FIRST_POPUP&amp;HEIGHT=450&amp;WIDTH=450&amp;","START_MAXIMIZED=FALSE&amp;VAR:CALENDAR=US&amp;VAR:SYMBOL=FICO&amp;VAR:INDEX=0"}</definedName>
    <definedName name="_3411__FDSAUDITLINK__" localSheetId="3" hidden="1">{"fdsup://directions/FAT Viewer?action=UPDATE&amp;creator=factset&amp;DYN_ARGS=TRUE&amp;DOC_NAME=FAT:FQL_AUDITING_CLIENT_TEMPLATE.FAT&amp;display_string=Audit&amp;VAR:KEY=TKFKJSJUPS&amp;VAR:QUERY=UkdGX1RBWF9SQVRFKEFOTiwwLCwsLCwsTk9BVURJVCk=&amp;WINDOW=FIRST_POPUP&amp;HEIGHT=450&amp;WIDTH=450&amp;","START_MAXIMIZED=FALSE&amp;VAR:CALENDAR=US&amp;VAR:SYMBOL=FFIV&amp;VAR:INDEX=0"}</definedName>
    <definedName name="_3411__FDSAUDITLINK__" localSheetId="7" hidden="1">{"fdsup://directions/FAT Viewer?action=UPDATE&amp;creator=factset&amp;DYN_ARGS=TRUE&amp;DOC_NAME=FAT:FQL_AUDITING_CLIENT_TEMPLATE.FAT&amp;display_string=Audit&amp;VAR:KEY=TKFKJSJUPS&amp;VAR:QUERY=UkdGX1RBWF9SQVRFKEFOTiwwLCwsLCwsTk9BVURJVCk=&amp;WINDOW=FIRST_POPUP&amp;HEIGHT=450&amp;WIDTH=450&amp;","START_MAXIMIZED=FALSE&amp;VAR:CALENDAR=US&amp;VAR:SYMBOL=FFIV&amp;VAR:INDEX=0"}</definedName>
    <definedName name="_3411__FDSAUDITLINK__" hidden="1">{"fdsup://directions/FAT Viewer?action=UPDATE&amp;creator=factset&amp;DYN_ARGS=TRUE&amp;DOC_NAME=FAT:FQL_AUDITING_CLIENT_TEMPLATE.FAT&amp;display_string=Audit&amp;VAR:KEY=TKFKJSJUPS&amp;VAR:QUERY=UkdGX1RBWF9SQVRFKEFOTiwwLCwsLCwsTk9BVURJVCk=&amp;WINDOW=FIRST_POPUP&amp;HEIGHT=450&amp;WIDTH=450&amp;","START_MAXIMIZED=FALSE&amp;VAR:CALENDAR=US&amp;VAR:SYMBOL=FFIV&amp;VAR:INDEX=0"}</definedName>
    <definedName name="_3412__FDSAUDITLINK__" localSheetId="3" hidden="1">{"fdsup://directions/FAT Viewer?action=UPDATE&amp;creator=factset&amp;DYN_ARGS=TRUE&amp;DOC_NAME=FAT:FQL_AUDITING_CLIENT_TEMPLATE.FAT&amp;display_string=Audit&amp;VAR:KEY=TKFKJSJUPS&amp;VAR:QUERY=UkdGX1RBWF9SQVRFKEFOTiwwLCwsLCwsTk9BVURJVCk=&amp;WINDOW=FIRST_POPUP&amp;HEIGHT=450&amp;WIDTH=450&amp;","START_MAXIMIZED=FALSE&amp;VAR:CALENDAR=US&amp;VAR:SYMBOL=FFIV&amp;VAR:INDEX=0"}</definedName>
    <definedName name="_3412__FDSAUDITLINK__" localSheetId="7" hidden="1">{"fdsup://directions/FAT Viewer?action=UPDATE&amp;creator=factset&amp;DYN_ARGS=TRUE&amp;DOC_NAME=FAT:FQL_AUDITING_CLIENT_TEMPLATE.FAT&amp;display_string=Audit&amp;VAR:KEY=TKFKJSJUPS&amp;VAR:QUERY=UkdGX1RBWF9SQVRFKEFOTiwwLCwsLCwsTk9BVURJVCk=&amp;WINDOW=FIRST_POPUP&amp;HEIGHT=450&amp;WIDTH=450&amp;","START_MAXIMIZED=FALSE&amp;VAR:CALENDAR=US&amp;VAR:SYMBOL=FFIV&amp;VAR:INDEX=0"}</definedName>
    <definedName name="_3412__FDSAUDITLINK__" hidden="1">{"fdsup://directions/FAT Viewer?action=UPDATE&amp;creator=factset&amp;DYN_ARGS=TRUE&amp;DOC_NAME=FAT:FQL_AUDITING_CLIENT_TEMPLATE.FAT&amp;display_string=Audit&amp;VAR:KEY=TKFKJSJUPS&amp;VAR:QUERY=UkdGX1RBWF9SQVRFKEFOTiwwLCwsLCwsTk9BVURJVCk=&amp;WINDOW=FIRST_POPUP&amp;HEIGHT=450&amp;WIDTH=450&amp;","START_MAXIMIZED=FALSE&amp;VAR:CALENDAR=US&amp;VAR:SYMBOL=FFIV&amp;VAR:INDEX=0"}</definedName>
    <definedName name="_3413__FDSAUDITLINK__" localSheetId="3" hidden="1">{"fdsup://directions/FAT Viewer?action=UPDATE&amp;creator=factset&amp;DYN_ARGS=TRUE&amp;DOC_NAME=FAT:FQL_AUDITING_CLIENT_TEMPLATE.FAT&amp;display_string=Audit&amp;VAR:KEY=HIBEBWHURM&amp;VAR:QUERY=UkdGX1RBWF9SQVRFKEFOTiwwLCwsLCwsTk9BVURJVCk=&amp;WINDOW=FIRST_POPUP&amp;HEIGHT=450&amp;WIDTH=450&amp;","START_MAXIMIZED=FALSE&amp;VAR:CALENDAR=US&amp;VAR:SYMBOL=B19NLV&amp;VAR:INDEX=0"}</definedName>
    <definedName name="_3413__FDSAUDITLINK__" localSheetId="7" hidden="1">{"fdsup://directions/FAT Viewer?action=UPDATE&amp;creator=factset&amp;DYN_ARGS=TRUE&amp;DOC_NAME=FAT:FQL_AUDITING_CLIENT_TEMPLATE.FAT&amp;display_string=Audit&amp;VAR:KEY=HIBEBWHURM&amp;VAR:QUERY=UkdGX1RBWF9SQVRFKEFOTiwwLCwsLCwsTk9BVURJVCk=&amp;WINDOW=FIRST_POPUP&amp;HEIGHT=450&amp;WIDTH=450&amp;","START_MAXIMIZED=FALSE&amp;VAR:CALENDAR=US&amp;VAR:SYMBOL=B19NLV&amp;VAR:INDEX=0"}</definedName>
    <definedName name="_3413__FDSAUDITLINK__" hidden="1">{"fdsup://directions/FAT Viewer?action=UPDATE&amp;creator=factset&amp;DYN_ARGS=TRUE&amp;DOC_NAME=FAT:FQL_AUDITING_CLIENT_TEMPLATE.FAT&amp;display_string=Audit&amp;VAR:KEY=HIBEBWHURM&amp;VAR:QUERY=UkdGX1RBWF9SQVRFKEFOTiwwLCwsLCwsTk9BVURJVCk=&amp;WINDOW=FIRST_POPUP&amp;HEIGHT=450&amp;WIDTH=450&amp;","START_MAXIMIZED=FALSE&amp;VAR:CALENDAR=US&amp;VAR:SYMBOL=B19NLV&amp;VAR:INDEX=0"}</definedName>
    <definedName name="_3414__FDSAUDITLINK__" localSheetId="3" hidden="1">{"fdsup://directions/FAT Viewer?action=UPDATE&amp;creator=factset&amp;DYN_ARGS=TRUE&amp;DOC_NAME=FAT:FQL_AUDITING_CLIENT_TEMPLATE.FAT&amp;display_string=Audit&amp;VAR:KEY=HIBEBWHURM&amp;VAR:QUERY=UkdGX1RBWF9SQVRFKEFOTiwwLCwsLCwsTk9BVURJVCk=&amp;WINDOW=FIRST_POPUP&amp;HEIGHT=450&amp;WIDTH=450&amp;","START_MAXIMIZED=FALSE&amp;VAR:CALENDAR=US&amp;VAR:SYMBOL=B19NLV&amp;VAR:INDEX=0"}</definedName>
    <definedName name="_3414__FDSAUDITLINK__" localSheetId="7" hidden="1">{"fdsup://directions/FAT Viewer?action=UPDATE&amp;creator=factset&amp;DYN_ARGS=TRUE&amp;DOC_NAME=FAT:FQL_AUDITING_CLIENT_TEMPLATE.FAT&amp;display_string=Audit&amp;VAR:KEY=HIBEBWHURM&amp;VAR:QUERY=UkdGX1RBWF9SQVRFKEFOTiwwLCwsLCwsTk9BVURJVCk=&amp;WINDOW=FIRST_POPUP&amp;HEIGHT=450&amp;WIDTH=450&amp;","START_MAXIMIZED=FALSE&amp;VAR:CALENDAR=US&amp;VAR:SYMBOL=B19NLV&amp;VAR:INDEX=0"}</definedName>
    <definedName name="_3414__FDSAUDITLINK__" hidden="1">{"fdsup://directions/FAT Viewer?action=UPDATE&amp;creator=factset&amp;DYN_ARGS=TRUE&amp;DOC_NAME=FAT:FQL_AUDITING_CLIENT_TEMPLATE.FAT&amp;display_string=Audit&amp;VAR:KEY=HIBEBWHURM&amp;VAR:QUERY=UkdGX1RBWF9SQVRFKEFOTiwwLCwsLCwsTk9BVURJVCk=&amp;WINDOW=FIRST_POPUP&amp;HEIGHT=450&amp;WIDTH=450&amp;","START_MAXIMIZED=FALSE&amp;VAR:CALENDAR=US&amp;VAR:SYMBOL=B19NLV&amp;VAR:INDEX=0"}</definedName>
    <definedName name="_3415__FDSAUDITLINK__" localSheetId="3" hidden="1">{"fdsup://directions/FAT Viewer?action=UPDATE&amp;creator=factset&amp;DYN_ARGS=TRUE&amp;DOC_NAME=FAT:FQL_AUDITING_CLIENT_TEMPLATE.FAT&amp;display_string=Audit&amp;VAR:KEY=HEZEXSXGPW&amp;VAR:QUERY=UkdGX1RBWF9SQVRFKEFOTiwwLCwsLCwsTk9BVURJVCk=&amp;WINDOW=FIRST_POPUP&amp;HEIGHT=450&amp;WIDTH=450&amp;","START_MAXIMIZED=FALSE&amp;VAR:CALENDAR=US&amp;VAR:SYMBOL=EXPE&amp;VAR:INDEX=0"}</definedName>
    <definedName name="_3415__FDSAUDITLINK__" localSheetId="7" hidden="1">{"fdsup://directions/FAT Viewer?action=UPDATE&amp;creator=factset&amp;DYN_ARGS=TRUE&amp;DOC_NAME=FAT:FQL_AUDITING_CLIENT_TEMPLATE.FAT&amp;display_string=Audit&amp;VAR:KEY=HEZEXSXGPW&amp;VAR:QUERY=UkdGX1RBWF9SQVRFKEFOTiwwLCwsLCwsTk9BVURJVCk=&amp;WINDOW=FIRST_POPUP&amp;HEIGHT=450&amp;WIDTH=450&amp;","START_MAXIMIZED=FALSE&amp;VAR:CALENDAR=US&amp;VAR:SYMBOL=EXPE&amp;VAR:INDEX=0"}</definedName>
    <definedName name="_3415__FDSAUDITLINK__" hidden="1">{"fdsup://directions/FAT Viewer?action=UPDATE&amp;creator=factset&amp;DYN_ARGS=TRUE&amp;DOC_NAME=FAT:FQL_AUDITING_CLIENT_TEMPLATE.FAT&amp;display_string=Audit&amp;VAR:KEY=HEZEXSXGPW&amp;VAR:QUERY=UkdGX1RBWF9SQVRFKEFOTiwwLCwsLCwsTk9BVURJVCk=&amp;WINDOW=FIRST_POPUP&amp;HEIGHT=450&amp;WIDTH=450&amp;","START_MAXIMIZED=FALSE&amp;VAR:CALENDAR=US&amp;VAR:SYMBOL=EXPE&amp;VAR:INDEX=0"}</definedName>
    <definedName name="_3416__FDSAUDITLINK__" localSheetId="3" hidden="1">{"fdsup://directions/FAT Viewer?action=UPDATE&amp;creator=factset&amp;DYN_ARGS=TRUE&amp;DOC_NAME=FAT:FQL_AUDITING_CLIENT_TEMPLATE.FAT&amp;display_string=Audit&amp;VAR:KEY=HEZEXSXGPW&amp;VAR:QUERY=UkdGX1RBWF9SQVRFKEFOTiwwLCwsLCwsTk9BVURJVCk=&amp;WINDOW=FIRST_POPUP&amp;HEIGHT=450&amp;WIDTH=450&amp;","START_MAXIMIZED=FALSE&amp;VAR:CALENDAR=US&amp;VAR:SYMBOL=EXPE&amp;VAR:INDEX=0"}</definedName>
    <definedName name="_3416__FDSAUDITLINK__" localSheetId="7" hidden="1">{"fdsup://directions/FAT Viewer?action=UPDATE&amp;creator=factset&amp;DYN_ARGS=TRUE&amp;DOC_NAME=FAT:FQL_AUDITING_CLIENT_TEMPLATE.FAT&amp;display_string=Audit&amp;VAR:KEY=HEZEXSXGPW&amp;VAR:QUERY=UkdGX1RBWF9SQVRFKEFOTiwwLCwsLCwsTk9BVURJVCk=&amp;WINDOW=FIRST_POPUP&amp;HEIGHT=450&amp;WIDTH=450&amp;","START_MAXIMIZED=FALSE&amp;VAR:CALENDAR=US&amp;VAR:SYMBOL=EXPE&amp;VAR:INDEX=0"}</definedName>
    <definedName name="_3416__FDSAUDITLINK__" hidden="1">{"fdsup://directions/FAT Viewer?action=UPDATE&amp;creator=factset&amp;DYN_ARGS=TRUE&amp;DOC_NAME=FAT:FQL_AUDITING_CLIENT_TEMPLATE.FAT&amp;display_string=Audit&amp;VAR:KEY=HEZEXSXGPW&amp;VAR:QUERY=UkdGX1RBWF9SQVRFKEFOTiwwLCwsLCwsTk9BVURJVCk=&amp;WINDOW=FIRST_POPUP&amp;HEIGHT=450&amp;WIDTH=450&amp;","START_MAXIMIZED=FALSE&amp;VAR:CALENDAR=US&amp;VAR:SYMBOL=EXPE&amp;VAR:INDEX=0"}</definedName>
    <definedName name="_3417__FDSAUDITLINK__" localSheetId="3" hidden="1">{"fdsup://directions/FAT Viewer?action=UPDATE&amp;creator=factset&amp;DYN_ARGS=TRUE&amp;DOC_NAME=FAT:FQL_AUDITING_CLIENT_TEMPLATE.FAT&amp;display_string=Audit&amp;VAR:KEY=BWFQNKDOFM&amp;VAR:QUERY=UkdGX1RBWF9SQVRFKEFOTiwwLCwsLCwsTk9BVURJVCk=&amp;WINDOW=FIRST_POPUP&amp;HEIGHT=450&amp;WIDTH=450&amp;","START_MAXIMIZED=FALSE&amp;VAR:CALENDAR=US&amp;VAR:SYMBOL=569496&amp;VAR:INDEX=0"}</definedName>
    <definedName name="_3417__FDSAUDITLINK__" localSheetId="7" hidden="1">{"fdsup://directions/FAT Viewer?action=UPDATE&amp;creator=factset&amp;DYN_ARGS=TRUE&amp;DOC_NAME=FAT:FQL_AUDITING_CLIENT_TEMPLATE.FAT&amp;display_string=Audit&amp;VAR:KEY=BWFQNKDOFM&amp;VAR:QUERY=UkdGX1RBWF9SQVRFKEFOTiwwLCwsLCwsTk9BVURJVCk=&amp;WINDOW=FIRST_POPUP&amp;HEIGHT=450&amp;WIDTH=450&amp;","START_MAXIMIZED=FALSE&amp;VAR:CALENDAR=US&amp;VAR:SYMBOL=569496&amp;VAR:INDEX=0"}</definedName>
    <definedName name="_3417__FDSAUDITLINK__" hidden="1">{"fdsup://directions/FAT Viewer?action=UPDATE&amp;creator=factset&amp;DYN_ARGS=TRUE&amp;DOC_NAME=FAT:FQL_AUDITING_CLIENT_TEMPLATE.FAT&amp;display_string=Audit&amp;VAR:KEY=BWFQNKDOFM&amp;VAR:QUERY=UkdGX1RBWF9SQVRFKEFOTiwwLCwsLCwsTk9BVURJVCk=&amp;WINDOW=FIRST_POPUP&amp;HEIGHT=450&amp;WIDTH=450&amp;","START_MAXIMIZED=FALSE&amp;VAR:CALENDAR=US&amp;VAR:SYMBOL=569496&amp;VAR:INDEX=0"}</definedName>
    <definedName name="_3418__FDSAUDITLINK__" localSheetId="3" hidden="1">{"fdsup://directions/FAT Viewer?action=UPDATE&amp;creator=factset&amp;DYN_ARGS=TRUE&amp;DOC_NAME=FAT:FQL_AUDITING_CLIENT_TEMPLATE.FAT&amp;display_string=Audit&amp;VAR:KEY=BWFQNKDOFM&amp;VAR:QUERY=UkdGX1RBWF9SQVRFKEFOTiwwLCwsLCwsTk9BVURJVCk=&amp;WINDOW=FIRST_POPUP&amp;HEIGHT=450&amp;WIDTH=450&amp;","START_MAXIMIZED=FALSE&amp;VAR:CALENDAR=US&amp;VAR:SYMBOL=569496&amp;VAR:INDEX=0"}</definedName>
    <definedName name="_3418__FDSAUDITLINK__" localSheetId="7" hidden="1">{"fdsup://directions/FAT Viewer?action=UPDATE&amp;creator=factset&amp;DYN_ARGS=TRUE&amp;DOC_NAME=FAT:FQL_AUDITING_CLIENT_TEMPLATE.FAT&amp;display_string=Audit&amp;VAR:KEY=BWFQNKDOFM&amp;VAR:QUERY=UkdGX1RBWF9SQVRFKEFOTiwwLCwsLCwsTk9BVURJVCk=&amp;WINDOW=FIRST_POPUP&amp;HEIGHT=450&amp;WIDTH=450&amp;","START_MAXIMIZED=FALSE&amp;VAR:CALENDAR=US&amp;VAR:SYMBOL=569496&amp;VAR:INDEX=0"}</definedName>
    <definedName name="_3418__FDSAUDITLINK__" hidden="1">{"fdsup://directions/FAT Viewer?action=UPDATE&amp;creator=factset&amp;DYN_ARGS=TRUE&amp;DOC_NAME=FAT:FQL_AUDITING_CLIENT_TEMPLATE.FAT&amp;display_string=Audit&amp;VAR:KEY=BWFQNKDOFM&amp;VAR:QUERY=UkdGX1RBWF9SQVRFKEFOTiwwLCwsLCwsTk9BVURJVCk=&amp;WINDOW=FIRST_POPUP&amp;HEIGHT=450&amp;WIDTH=450&amp;","START_MAXIMIZED=FALSE&amp;VAR:CALENDAR=US&amp;VAR:SYMBOL=569496&amp;VAR:INDEX=0"}</definedName>
    <definedName name="_3419__FDSAUDITLINK__" localSheetId="3" hidden="1">{"fdsup://directions/FAT Viewer?action=UPDATE&amp;creator=factset&amp;DYN_ARGS=TRUE&amp;DOC_NAME=FAT:FQL_AUDITING_CLIENT_TEMPLATE.FAT&amp;display_string=Audit&amp;VAR:KEY=NIVILOFGFY&amp;VAR:QUERY=UkdGX1RBWF9SQVRFKEFOTiwwLCwsLCwsTk9BVURJVCk=&amp;WINDOW=FIRST_POPUP&amp;HEIGHT=450&amp;WIDTH=450&amp;","START_MAXIMIZED=FALSE&amp;VAR:CALENDAR=US&amp;VAR:SYMBOL=EQIX&amp;VAR:INDEX=0"}</definedName>
    <definedName name="_3419__FDSAUDITLINK__" localSheetId="7" hidden="1">{"fdsup://directions/FAT Viewer?action=UPDATE&amp;creator=factset&amp;DYN_ARGS=TRUE&amp;DOC_NAME=FAT:FQL_AUDITING_CLIENT_TEMPLATE.FAT&amp;display_string=Audit&amp;VAR:KEY=NIVILOFGFY&amp;VAR:QUERY=UkdGX1RBWF9SQVRFKEFOTiwwLCwsLCwsTk9BVURJVCk=&amp;WINDOW=FIRST_POPUP&amp;HEIGHT=450&amp;WIDTH=450&amp;","START_MAXIMIZED=FALSE&amp;VAR:CALENDAR=US&amp;VAR:SYMBOL=EQIX&amp;VAR:INDEX=0"}</definedName>
    <definedName name="_3419__FDSAUDITLINK__" hidden="1">{"fdsup://directions/FAT Viewer?action=UPDATE&amp;creator=factset&amp;DYN_ARGS=TRUE&amp;DOC_NAME=FAT:FQL_AUDITING_CLIENT_TEMPLATE.FAT&amp;display_string=Audit&amp;VAR:KEY=NIVILOFGFY&amp;VAR:QUERY=UkdGX1RBWF9SQVRFKEFOTiwwLCwsLCwsTk9BVURJVCk=&amp;WINDOW=FIRST_POPUP&amp;HEIGHT=450&amp;WIDTH=450&amp;","START_MAXIMIZED=FALSE&amp;VAR:CALENDAR=US&amp;VAR:SYMBOL=EQIX&amp;VAR:INDEX=0"}</definedName>
    <definedName name="_3420__FDSAUDITLINK__" localSheetId="3" hidden="1">{"fdsup://directions/FAT Viewer?action=UPDATE&amp;creator=factset&amp;DYN_ARGS=TRUE&amp;DOC_NAME=FAT:FQL_AUDITING_CLIENT_TEMPLATE.FAT&amp;display_string=Audit&amp;VAR:KEY=NIVILOFGFY&amp;VAR:QUERY=UkdGX1RBWF9SQVRFKEFOTiwwLCwsLCwsTk9BVURJVCk=&amp;WINDOW=FIRST_POPUP&amp;HEIGHT=450&amp;WIDTH=450&amp;","START_MAXIMIZED=FALSE&amp;VAR:CALENDAR=US&amp;VAR:SYMBOL=EQIX&amp;VAR:INDEX=0"}</definedName>
    <definedName name="_3420__FDSAUDITLINK__" localSheetId="7" hidden="1">{"fdsup://directions/FAT Viewer?action=UPDATE&amp;creator=factset&amp;DYN_ARGS=TRUE&amp;DOC_NAME=FAT:FQL_AUDITING_CLIENT_TEMPLATE.FAT&amp;display_string=Audit&amp;VAR:KEY=NIVILOFGFY&amp;VAR:QUERY=UkdGX1RBWF9SQVRFKEFOTiwwLCwsLCwsTk9BVURJVCk=&amp;WINDOW=FIRST_POPUP&amp;HEIGHT=450&amp;WIDTH=450&amp;","START_MAXIMIZED=FALSE&amp;VAR:CALENDAR=US&amp;VAR:SYMBOL=EQIX&amp;VAR:INDEX=0"}</definedName>
    <definedName name="_3420__FDSAUDITLINK__" hidden="1">{"fdsup://directions/FAT Viewer?action=UPDATE&amp;creator=factset&amp;DYN_ARGS=TRUE&amp;DOC_NAME=FAT:FQL_AUDITING_CLIENT_TEMPLATE.FAT&amp;display_string=Audit&amp;VAR:KEY=NIVILOFGFY&amp;VAR:QUERY=UkdGX1RBWF9SQVRFKEFOTiwwLCwsLCwsTk9BVURJVCk=&amp;WINDOW=FIRST_POPUP&amp;HEIGHT=450&amp;WIDTH=450&amp;","START_MAXIMIZED=FALSE&amp;VAR:CALENDAR=US&amp;VAR:SYMBOL=EQIX&amp;VAR:INDEX=0"}</definedName>
    <definedName name="_3421__FDSAUDITLINK__" localSheetId="3" hidden="1">{"fdsup://directions/FAT Viewer?action=UPDATE&amp;creator=factset&amp;DYN_ARGS=TRUE&amp;DOC_NAME=FAT:FQL_AUDITING_CLIENT_TEMPLATE.FAT&amp;display_string=Audit&amp;VAR:KEY=FSFQZYROJS&amp;VAR:QUERY=UkdGX1RBWF9SQVRFKEFOTiwwLCwsLCwsTk9BVURJVCk=&amp;WINDOW=FIRST_POPUP&amp;HEIGHT=450&amp;WIDTH=450&amp;","START_MAXIMIZED=FALSE&amp;VAR:CALENDAR=US&amp;VAR:SYMBOL=EPIQ&amp;VAR:INDEX=0"}</definedName>
    <definedName name="_3421__FDSAUDITLINK__" localSheetId="7" hidden="1">{"fdsup://directions/FAT Viewer?action=UPDATE&amp;creator=factset&amp;DYN_ARGS=TRUE&amp;DOC_NAME=FAT:FQL_AUDITING_CLIENT_TEMPLATE.FAT&amp;display_string=Audit&amp;VAR:KEY=FSFQZYROJS&amp;VAR:QUERY=UkdGX1RBWF9SQVRFKEFOTiwwLCwsLCwsTk9BVURJVCk=&amp;WINDOW=FIRST_POPUP&amp;HEIGHT=450&amp;WIDTH=450&amp;","START_MAXIMIZED=FALSE&amp;VAR:CALENDAR=US&amp;VAR:SYMBOL=EPIQ&amp;VAR:INDEX=0"}</definedName>
    <definedName name="_3421__FDSAUDITLINK__" hidden="1">{"fdsup://directions/FAT Viewer?action=UPDATE&amp;creator=factset&amp;DYN_ARGS=TRUE&amp;DOC_NAME=FAT:FQL_AUDITING_CLIENT_TEMPLATE.FAT&amp;display_string=Audit&amp;VAR:KEY=FSFQZYROJS&amp;VAR:QUERY=UkdGX1RBWF9SQVRFKEFOTiwwLCwsLCwsTk9BVURJVCk=&amp;WINDOW=FIRST_POPUP&amp;HEIGHT=450&amp;WIDTH=450&amp;","START_MAXIMIZED=FALSE&amp;VAR:CALENDAR=US&amp;VAR:SYMBOL=EPIQ&amp;VAR:INDEX=0"}</definedName>
    <definedName name="_3422__FDSAUDITLINK__" localSheetId="3" hidden="1">{"fdsup://directions/FAT Viewer?action=UPDATE&amp;creator=factset&amp;DYN_ARGS=TRUE&amp;DOC_NAME=FAT:FQL_AUDITING_CLIENT_TEMPLATE.FAT&amp;display_string=Audit&amp;VAR:KEY=FSFQZYROJS&amp;VAR:QUERY=UkdGX1RBWF9SQVRFKEFOTiwwLCwsLCwsTk9BVURJVCk=&amp;WINDOW=FIRST_POPUP&amp;HEIGHT=450&amp;WIDTH=450&amp;","START_MAXIMIZED=FALSE&amp;VAR:CALENDAR=US&amp;VAR:SYMBOL=EPIQ&amp;VAR:INDEX=0"}</definedName>
    <definedName name="_3422__FDSAUDITLINK__" localSheetId="7" hidden="1">{"fdsup://directions/FAT Viewer?action=UPDATE&amp;creator=factset&amp;DYN_ARGS=TRUE&amp;DOC_NAME=FAT:FQL_AUDITING_CLIENT_TEMPLATE.FAT&amp;display_string=Audit&amp;VAR:KEY=FSFQZYROJS&amp;VAR:QUERY=UkdGX1RBWF9SQVRFKEFOTiwwLCwsLCwsTk9BVURJVCk=&amp;WINDOW=FIRST_POPUP&amp;HEIGHT=450&amp;WIDTH=450&amp;","START_MAXIMIZED=FALSE&amp;VAR:CALENDAR=US&amp;VAR:SYMBOL=EPIQ&amp;VAR:INDEX=0"}</definedName>
    <definedName name="_3422__FDSAUDITLINK__" hidden="1">{"fdsup://directions/FAT Viewer?action=UPDATE&amp;creator=factset&amp;DYN_ARGS=TRUE&amp;DOC_NAME=FAT:FQL_AUDITING_CLIENT_TEMPLATE.FAT&amp;display_string=Audit&amp;VAR:KEY=FSFQZYROJS&amp;VAR:QUERY=UkdGX1RBWF9SQVRFKEFOTiwwLCwsLCwsTk9BVURJVCk=&amp;WINDOW=FIRST_POPUP&amp;HEIGHT=450&amp;WIDTH=450&amp;","START_MAXIMIZED=FALSE&amp;VAR:CALENDAR=US&amp;VAR:SYMBOL=EPIQ&amp;VAR:INDEX=0"}</definedName>
    <definedName name="_3423__FDSAUDITLINK__" localSheetId="3" hidden="1">{"fdsup://directions/FAT Viewer?action=UPDATE&amp;creator=factset&amp;DYN_ARGS=TRUE&amp;DOC_NAME=FAT:FQL_AUDITING_CLIENT_TEMPLATE.FAT&amp;display_string=Audit&amp;VAR:KEY=VSJWZMLMFM&amp;VAR:QUERY=UkdGX1RBWF9SQVRFKEFOTiwwLCwsLCwsTk9BVURJVCk=&amp;WINDOW=FIRST_POPUP&amp;HEIGHT=450&amp;WIDTH=450&amp;","START_MAXIMIZED=FALSE&amp;VAR:CALENDAR=US&amp;VAR:SYMBOL=EPIC&amp;VAR:INDEX=0"}</definedName>
    <definedName name="_3423__FDSAUDITLINK__" localSheetId="7" hidden="1">{"fdsup://directions/FAT Viewer?action=UPDATE&amp;creator=factset&amp;DYN_ARGS=TRUE&amp;DOC_NAME=FAT:FQL_AUDITING_CLIENT_TEMPLATE.FAT&amp;display_string=Audit&amp;VAR:KEY=VSJWZMLMFM&amp;VAR:QUERY=UkdGX1RBWF9SQVRFKEFOTiwwLCwsLCwsTk9BVURJVCk=&amp;WINDOW=FIRST_POPUP&amp;HEIGHT=450&amp;WIDTH=450&amp;","START_MAXIMIZED=FALSE&amp;VAR:CALENDAR=US&amp;VAR:SYMBOL=EPIC&amp;VAR:INDEX=0"}</definedName>
    <definedName name="_3423__FDSAUDITLINK__" hidden="1">{"fdsup://directions/FAT Viewer?action=UPDATE&amp;creator=factset&amp;DYN_ARGS=TRUE&amp;DOC_NAME=FAT:FQL_AUDITING_CLIENT_TEMPLATE.FAT&amp;display_string=Audit&amp;VAR:KEY=VSJWZMLMFM&amp;VAR:QUERY=UkdGX1RBWF9SQVRFKEFOTiwwLCwsLCwsTk9BVURJVCk=&amp;WINDOW=FIRST_POPUP&amp;HEIGHT=450&amp;WIDTH=450&amp;","START_MAXIMIZED=FALSE&amp;VAR:CALENDAR=US&amp;VAR:SYMBOL=EPIC&amp;VAR:INDEX=0"}</definedName>
    <definedName name="_3424__FDSAUDITLINK__" localSheetId="3" hidden="1">{"fdsup://directions/FAT Viewer?action=UPDATE&amp;creator=factset&amp;DYN_ARGS=TRUE&amp;DOC_NAME=FAT:FQL_AUDITING_CLIENT_TEMPLATE.FAT&amp;display_string=Audit&amp;VAR:KEY=TYBSJIRGZM&amp;VAR:QUERY=UkdGX1RBWF9SQVRFKEFOTiwwLCwsLCwsTk9BVURJVCk=&amp;WINDOW=FIRST_POPUP&amp;HEIGHT=450&amp;WIDTH=450&amp;","START_MAXIMIZED=FALSE&amp;VAR:CALENDAR=US&amp;VAR:SYMBOL=EMC&amp;VAR:INDEX=0"}</definedName>
    <definedName name="_3424__FDSAUDITLINK__" localSheetId="7" hidden="1">{"fdsup://directions/FAT Viewer?action=UPDATE&amp;creator=factset&amp;DYN_ARGS=TRUE&amp;DOC_NAME=FAT:FQL_AUDITING_CLIENT_TEMPLATE.FAT&amp;display_string=Audit&amp;VAR:KEY=TYBSJIRGZM&amp;VAR:QUERY=UkdGX1RBWF9SQVRFKEFOTiwwLCwsLCwsTk9BVURJVCk=&amp;WINDOW=FIRST_POPUP&amp;HEIGHT=450&amp;WIDTH=450&amp;","START_MAXIMIZED=FALSE&amp;VAR:CALENDAR=US&amp;VAR:SYMBOL=EMC&amp;VAR:INDEX=0"}</definedName>
    <definedName name="_3424__FDSAUDITLINK__" hidden="1">{"fdsup://directions/FAT Viewer?action=UPDATE&amp;creator=factset&amp;DYN_ARGS=TRUE&amp;DOC_NAME=FAT:FQL_AUDITING_CLIENT_TEMPLATE.FAT&amp;display_string=Audit&amp;VAR:KEY=TYBSJIRGZM&amp;VAR:QUERY=UkdGX1RBWF9SQVRFKEFOTiwwLCwsLCwsTk9BVURJVCk=&amp;WINDOW=FIRST_POPUP&amp;HEIGHT=450&amp;WIDTH=450&amp;","START_MAXIMIZED=FALSE&amp;VAR:CALENDAR=US&amp;VAR:SYMBOL=EMC&amp;VAR:INDEX=0"}</definedName>
    <definedName name="_3425__FDSAUDITLINK__" localSheetId="3" hidden="1">{"fdsup://directions/FAT Viewer?action=UPDATE&amp;creator=factset&amp;DYN_ARGS=TRUE&amp;DOC_NAME=FAT:FQL_AUDITING_CLIENT_TEMPLATE.FAT&amp;display_string=Audit&amp;VAR:KEY=TYBSJIRGZM&amp;VAR:QUERY=UkdGX1RBWF9SQVRFKEFOTiwwLCwsLCwsTk9BVURJVCk=&amp;WINDOW=FIRST_POPUP&amp;HEIGHT=450&amp;WIDTH=450&amp;","START_MAXIMIZED=FALSE&amp;VAR:CALENDAR=US&amp;VAR:SYMBOL=EMC&amp;VAR:INDEX=0"}</definedName>
    <definedName name="_3425__FDSAUDITLINK__" localSheetId="7" hidden="1">{"fdsup://directions/FAT Viewer?action=UPDATE&amp;creator=factset&amp;DYN_ARGS=TRUE&amp;DOC_NAME=FAT:FQL_AUDITING_CLIENT_TEMPLATE.FAT&amp;display_string=Audit&amp;VAR:KEY=TYBSJIRGZM&amp;VAR:QUERY=UkdGX1RBWF9SQVRFKEFOTiwwLCwsLCwsTk9BVURJVCk=&amp;WINDOW=FIRST_POPUP&amp;HEIGHT=450&amp;WIDTH=450&amp;","START_MAXIMIZED=FALSE&amp;VAR:CALENDAR=US&amp;VAR:SYMBOL=EMC&amp;VAR:INDEX=0"}</definedName>
    <definedName name="_3425__FDSAUDITLINK__" hidden="1">{"fdsup://directions/FAT Viewer?action=UPDATE&amp;creator=factset&amp;DYN_ARGS=TRUE&amp;DOC_NAME=FAT:FQL_AUDITING_CLIENT_TEMPLATE.FAT&amp;display_string=Audit&amp;VAR:KEY=TYBSJIRGZM&amp;VAR:QUERY=UkdGX1RBWF9SQVRFKEFOTiwwLCwsLCwsTk9BVURJVCk=&amp;WINDOW=FIRST_POPUP&amp;HEIGHT=450&amp;WIDTH=450&amp;","START_MAXIMIZED=FALSE&amp;VAR:CALENDAR=US&amp;VAR:SYMBOL=EMC&amp;VAR:INDEX=0"}</definedName>
    <definedName name="_3426__FDSAUDITLINK__" localSheetId="3" hidden="1">{"fdsup://directions/FAT Viewer?action=UPDATE&amp;creator=factset&amp;DYN_ARGS=TRUE&amp;DOC_NAME=FAT:FQL_AUDITING_CLIENT_TEMPLATE.FAT&amp;display_string=Audit&amp;VAR:KEY=LWRILGFAZI&amp;VAR:QUERY=UkdGX1RBWF9SQVRFKEFOTiwwLCwsLCwsTk9BVURJVCk=&amp;WINDOW=FIRST_POPUP&amp;HEIGHT=450&amp;WIDTH=450&amp;","START_MAXIMIZED=FALSE&amp;VAR:CALENDAR=US&amp;VAR:SYMBOL=EBAY&amp;VAR:INDEX=0"}</definedName>
    <definedName name="_3426__FDSAUDITLINK__" localSheetId="7" hidden="1">{"fdsup://directions/FAT Viewer?action=UPDATE&amp;creator=factset&amp;DYN_ARGS=TRUE&amp;DOC_NAME=FAT:FQL_AUDITING_CLIENT_TEMPLATE.FAT&amp;display_string=Audit&amp;VAR:KEY=LWRILGFAZI&amp;VAR:QUERY=UkdGX1RBWF9SQVRFKEFOTiwwLCwsLCwsTk9BVURJVCk=&amp;WINDOW=FIRST_POPUP&amp;HEIGHT=450&amp;WIDTH=450&amp;","START_MAXIMIZED=FALSE&amp;VAR:CALENDAR=US&amp;VAR:SYMBOL=EBAY&amp;VAR:INDEX=0"}</definedName>
    <definedName name="_3426__FDSAUDITLINK__" hidden="1">{"fdsup://directions/FAT Viewer?action=UPDATE&amp;creator=factset&amp;DYN_ARGS=TRUE&amp;DOC_NAME=FAT:FQL_AUDITING_CLIENT_TEMPLATE.FAT&amp;display_string=Audit&amp;VAR:KEY=LWRILGFAZI&amp;VAR:QUERY=UkdGX1RBWF9SQVRFKEFOTiwwLCwsLCwsTk9BVURJVCk=&amp;WINDOW=FIRST_POPUP&amp;HEIGHT=450&amp;WIDTH=450&amp;","START_MAXIMIZED=FALSE&amp;VAR:CALENDAR=US&amp;VAR:SYMBOL=EBAY&amp;VAR:INDEX=0"}</definedName>
    <definedName name="_3427__FDSAUDITLINK__" localSheetId="3" hidden="1">{"fdsup://directions/FAT Viewer?action=UPDATE&amp;creator=factset&amp;DYN_ARGS=TRUE&amp;DOC_NAME=FAT:FQL_AUDITING_CLIENT_TEMPLATE.FAT&amp;display_string=Audit&amp;VAR:KEY=LWRILGFAZI&amp;VAR:QUERY=UkdGX1RBWF9SQVRFKEFOTiwwLCwsLCwsTk9BVURJVCk=&amp;WINDOW=FIRST_POPUP&amp;HEIGHT=450&amp;WIDTH=450&amp;","START_MAXIMIZED=FALSE&amp;VAR:CALENDAR=US&amp;VAR:SYMBOL=EBAY&amp;VAR:INDEX=0"}</definedName>
    <definedName name="_3427__FDSAUDITLINK__" localSheetId="7" hidden="1">{"fdsup://directions/FAT Viewer?action=UPDATE&amp;creator=factset&amp;DYN_ARGS=TRUE&amp;DOC_NAME=FAT:FQL_AUDITING_CLIENT_TEMPLATE.FAT&amp;display_string=Audit&amp;VAR:KEY=LWRILGFAZI&amp;VAR:QUERY=UkdGX1RBWF9SQVRFKEFOTiwwLCwsLCwsTk9BVURJVCk=&amp;WINDOW=FIRST_POPUP&amp;HEIGHT=450&amp;WIDTH=450&amp;","START_MAXIMIZED=FALSE&amp;VAR:CALENDAR=US&amp;VAR:SYMBOL=EBAY&amp;VAR:INDEX=0"}</definedName>
    <definedName name="_3427__FDSAUDITLINK__" hidden="1">{"fdsup://directions/FAT Viewer?action=UPDATE&amp;creator=factset&amp;DYN_ARGS=TRUE&amp;DOC_NAME=FAT:FQL_AUDITING_CLIENT_TEMPLATE.FAT&amp;display_string=Audit&amp;VAR:KEY=LWRILGFAZI&amp;VAR:QUERY=UkdGX1RBWF9SQVRFKEFOTiwwLCwsLCwsTk9BVURJVCk=&amp;WINDOW=FIRST_POPUP&amp;HEIGHT=450&amp;WIDTH=450&amp;","START_MAXIMIZED=FALSE&amp;VAR:CALENDAR=US&amp;VAR:SYMBOL=EBAY&amp;VAR:INDEX=0"}</definedName>
    <definedName name="_3428__FDSAUDITLINK__" localSheetId="3" hidden="1">{"fdsup://directions/FAT Viewer?action=UPDATE&amp;creator=factset&amp;DYN_ARGS=TRUE&amp;DOC_NAME=FAT:FQL_AUDITING_CLIENT_TEMPLATE.FAT&amp;display_string=Audit&amp;VAR:KEY=BSBOJWZEVY&amp;VAR:QUERY=UkdGX1RBWF9SQVRFKEFOTiwwLCwsLCwsTk9BVURJVCk=&amp;WINDOW=FIRST_POPUP&amp;HEIGHT=450&amp;WIDTH=450&amp;","START_MAXIMIZED=FALSE&amp;VAR:CALENDAR=US&amp;VAR:SYMBOL=DTSI&amp;VAR:INDEX=0"}</definedName>
    <definedName name="_3428__FDSAUDITLINK__" localSheetId="7" hidden="1">{"fdsup://directions/FAT Viewer?action=UPDATE&amp;creator=factset&amp;DYN_ARGS=TRUE&amp;DOC_NAME=FAT:FQL_AUDITING_CLIENT_TEMPLATE.FAT&amp;display_string=Audit&amp;VAR:KEY=BSBOJWZEVY&amp;VAR:QUERY=UkdGX1RBWF9SQVRFKEFOTiwwLCwsLCwsTk9BVURJVCk=&amp;WINDOW=FIRST_POPUP&amp;HEIGHT=450&amp;WIDTH=450&amp;","START_MAXIMIZED=FALSE&amp;VAR:CALENDAR=US&amp;VAR:SYMBOL=DTSI&amp;VAR:INDEX=0"}</definedName>
    <definedName name="_3428__FDSAUDITLINK__" hidden="1">{"fdsup://directions/FAT Viewer?action=UPDATE&amp;creator=factset&amp;DYN_ARGS=TRUE&amp;DOC_NAME=FAT:FQL_AUDITING_CLIENT_TEMPLATE.FAT&amp;display_string=Audit&amp;VAR:KEY=BSBOJWZEVY&amp;VAR:QUERY=UkdGX1RBWF9SQVRFKEFOTiwwLCwsLCwsTk9BVURJVCk=&amp;WINDOW=FIRST_POPUP&amp;HEIGHT=450&amp;WIDTH=450&amp;","START_MAXIMIZED=FALSE&amp;VAR:CALENDAR=US&amp;VAR:SYMBOL=DTSI&amp;VAR:INDEX=0"}</definedName>
    <definedName name="_3429__FDSAUDITLINK__" localSheetId="3" hidden="1">{"fdsup://directions/FAT Viewer?action=UPDATE&amp;creator=factset&amp;DYN_ARGS=TRUE&amp;DOC_NAME=FAT:FQL_AUDITING_CLIENT_TEMPLATE.FAT&amp;display_string=Audit&amp;VAR:KEY=BSBOJWZEVY&amp;VAR:QUERY=UkdGX1RBWF9SQVRFKEFOTiwwLCwsLCwsTk9BVURJVCk=&amp;WINDOW=FIRST_POPUP&amp;HEIGHT=450&amp;WIDTH=450&amp;","START_MAXIMIZED=FALSE&amp;VAR:CALENDAR=US&amp;VAR:SYMBOL=DTSI&amp;VAR:INDEX=0"}</definedName>
    <definedName name="_3429__FDSAUDITLINK__" localSheetId="7" hidden="1">{"fdsup://directions/FAT Viewer?action=UPDATE&amp;creator=factset&amp;DYN_ARGS=TRUE&amp;DOC_NAME=FAT:FQL_AUDITING_CLIENT_TEMPLATE.FAT&amp;display_string=Audit&amp;VAR:KEY=BSBOJWZEVY&amp;VAR:QUERY=UkdGX1RBWF9SQVRFKEFOTiwwLCwsLCwsTk9BVURJVCk=&amp;WINDOW=FIRST_POPUP&amp;HEIGHT=450&amp;WIDTH=450&amp;","START_MAXIMIZED=FALSE&amp;VAR:CALENDAR=US&amp;VAR:SYMBOL=DTSI&amp;VAR:INDEX=0"}</definedName>
    <definedName name="_3429__FDSAUDITLINK__" hidden="1">{"fdsup://directions/FAT Viewer?action=UPDATE&amp;creator=factset&amp;DYN_ARGS=TRUE&amp;DOC_NAME=FAT:FQL_AUDITING_CLIENT_TEMPLATE.FAT&amp;display_string=Audit&amp;VAR:KEY=BSBOJWZEVY&amp;VAR:QUERY=UkdGX1RBWF9SQVRFKEFOTiwwLCwsLCwsTk9BVURJVCk=&amp;WINDOW=FIRST_POPUP&amp;HEIGHT=450&amp;WIDTH=450&amp;","START_MAXIMIZED=FALSE&amp;VAR:CALENDAR=US&amp;VAR:SYMBOL=DTSI&amp;VAR:INDEX=0"}</definedName>
    <definedName name="_3430__FDSAUDITLINK__" localSheetId="3" hidden="1">{"fdsup://directions/FAT Viewer?action=UPDATE&amp;creator=factset&amp;DYN_ARGS=TRUE&amp;DOC_NAME=FAT:FQL_AUDITING_CLIENT_TEMPLATE.FAT&amp;display_string=Audit&amp;VAR:KEY=RUFWTUVOFY&amp;VAR:QUERY=UkdGX1RBWF9SQVRFKEFOTiwwLCwsLCwsTk9BVURJVCk=&amp;WINDOW=FIRST_POPUP&amp;HEIGHT=450&amp;WIDTH=450&amp;","START_MAXIMIZED=FALSE&amp;VAR:CALENDAR=US&amp;VAR:SYMBOL=DST&amp;VAR:INDEX=0"}</definedName>
    <definedName name="_3430__FDSAUDITLINK__" localSheetId="7" hidden="1">{"fdsup://directions/FAT Viewer?action=UPDATE&amp;creator=factset&amp;DYN_ARGS=TRUE&amp;DOC_NAME=FAT:FQL_AUDITING_CLIENT_TEMPLATE.FAT&amp;display_string=Audit&amp;VAR:KEY=RUFWTUVOFY&amp;VAR:QUERY=UkdGX1RBWF9SQVRFKEFOTiwwLCwsLCwsTk9BVURJVCk=&amp;WINDOW=FIRST_POPUP&amp;HEIGHT=450&amp;WIDTH=450&amp;","START_MAXIMIZED=FALSE&amp;VAR:CALENDAR=US&amp;VAR:SYMBOL=DST&amp;VAR:INDEX=0"}</definedName>
    <definedName name="_3430__FDSAUDITLINK__" hidden="1">{"fdsup://directions/FAT Viewer?action=UPDATE&amp;creator=factset&amp;DYN_ARGS=TRUE&amp;DOC_NAME=FAT:FQL_AUDITING_CLIENT_TEMPLATE.FAT&amp;display_string=Audit&amp;VAR:KEY=RUFWTUVOFY&amp;VAR:QUERY=UkdGX1RBWF9SQVRFKEFOTiwwLCwsLCwsTk9BVURJVCk=&amp;WINDOW=FIRST_POPUP&amp;HEIGHT=450&amp;WIDTH=450&amp;","START_MAXIMIZED=FALSE&amp;VAR:CALENDAR=US&amp;VAR:SYMBOL=DST&amp;VAR:INDEX=0"}</definedName>
    <definedName name="_3431__FDSAUDITLINK__" localSheetId="3" hidden="1">{"fdsup://directions/FAT Viewer?action=UPDATE&amp;creator=factset&amp;DYN_ARGS=TRUE&amp;DOC_NAME=FAT:FQL_AUDITING_CLIENT_TEMPLATE.FAT&amp;display_string=Audit&amp;VAR:KEY=RUFWTUVOFY&amp;VAR:QUERY=UkdGX1RBWF9SQVRFKEFOTiwwLCwsLCwsTk9BVURJVCk=&amp;WINDOW=FIRST_POPUP&amp;HEIGHT=450&amp;WIDTH=450&amp;","START_MAXIMIZED=FALSE&amp;VAR:CALENDAR=US&amp;VAR:SYMBOL=DST&amp;VAR:INDEX=0"}</definedName>
    <definedName name="_3431__FDSAUDITLINK__" localSheetId="7" hidden="1">{"fdsup://directions/FAT Viewer?action=UPDATE&amp;creator=factset&amp;DYN_ARGS=TRUE&amp;DOC_NAME=FAT:FQL_AUDITING_CLIENT_TEMPLATE.FAT&amp;display_string=Audit&amp;VAR:KEY=RUFWTUVOFY&amp;VAR:QUERY=UkdGX1RBWF9SQVRFKEFOTiwwLCwsLCwsTk9BVURJVCk=&amp;WINDOW=FIRST_POPUP&amp;HEIGHT=450&amp;WIDTH=450&amp;","START_MAXIMIZED=FALSE&amp;VAR:CALENDAR=US&amp;VAR:SYMBOL=DST&amp;VAR:INDEX=0"}</definedName>
    <definedName name="_3431__FDSAUDITLINK__" hidden="1">{"fdsup://directions/FAT Viewer?action=UPDATE&amp;creator=factset&amp;DYN_ARGS=TRUE&amp;DOC_NAME=FAT:FQL_AUDITING_CLIENT_TEMPLATE.FAT&amp;display_string=Audit&amp;VAR:KEY=RUFWTUVOFY&amp;VAR:QUERY=UkdGX1RBWF9SQVRFKEFOTiwwLCwsLCwsTk9BVURJVCk=&amp;WINDOW=FIRST_POPUP&amp;HEIGHT=450&amp;WIDTH=450&amp;","START_MAXIMIZED=FALSE&amp;VAR:CALENDAR=US&amp;VAR:SYMBOL=DST&amp;VAR:INDEX=0"}</definedName>
    <definedName name="_3432__FDSAUDITLINK__" localSheetId="3" hidden="1">{"fdsup://directions/FAT Viewer?action=UPDATE&amp;creator=factset&amp;DYN_ARGS=TRUE&amp;DOC_NAME=FAT:FQL_AUDITING_CLIENT_TEMPLATE.FAT&amp;display_string=Audit&amp;VAR:KEY=ZYXMFIHAHE&amp;VAR:QUERY=UkdGX1RBWF9SQVRFKEFOTiwwLCwsLCwsTk9BVURJVCk=&amp;WINDOW=FIRST_POPUP&amp;HEIGHT=450&amp;WIDTH=450&amp;","START_MAXIMIZED=FALSE&amp;VAR:CALENDAR=US&amp;VAR:SYMBOL=DNB&amp;VAR:INDEX=0"}</definedName>
    <definedName name="_3432__FDSAUDITLINK__" localSheetId="7" hidden="1">{"fdsup://directions/FAT Viewer?action=UPDATE&amp;creator=factset&amp;DYN_ARGS=TRUE&amp;DOC_NAME=FAT:FQL_AUDITING_CLIENT_TEMPLATE.FAT&amp;display_string=Audit&amp;VAR:KEY=ZYXMFIHAHE&amp;VAR:QUERY=UkdGX1RBWF9SQVRFKEFOTiwwLCwsLCwsTk9BVURJVCk=&amp;WINDOW=FIRST_POPUP&amp;HEIGHT=450&amp;WIDTH=450&amp;","START_MAXIMIZED=FALSE&amp;VAR:CALENDAR=US&amp;VAR:SYMBOL=DNB&amp;VAR:INDEX=0"}</definedName>
    <definedName name="_3432__FDSAUDITLINK__" hidden="1">{"fdsup://directions/FAT Viewer?action=UPDATE&amp;creator=factset&amp;DYN_ARGS=TRUE&amp;DOC_NAME=FAT:FQL_AUDITING_CLIENT_TEMPLATE.FAT&amp;display_string=Audit&amp;VAR:KEY=ZYXMFIHAHE&amp;VAR:QUERY=UkdGX1RBWF9SQVRFKEFOTiwwLCwsLCwsTk9BVURJVCk=&amp;WINDOW=FIRST_POPUP&amp;HEIGHT=450&amp;WIDTH=450&amp;","START_MAXIMIZED=FALSE&amp;VAR:CALENDAR=US&amp;VAR:SYMBOL=DNB&amp;VAR:INDEX=0"}</definedName>
    <definedName name="_3433__FDSAUDITLINK__" localSheetId="3" hidden="1">{"fdsup://directions/FAT Viewer?action=UPDATE&amp;creator=factset&amp;DYN_ARGS=TRUE&amp;DOC_NAME=FAT:FQL_AUDITING_CLIENT_TEMPLATE.FAT&amp;display_string=Audit&amp;VAR:KEY=ZYXMFIHAHE&amp;VAR:QUERY=UkdGX1RBWF9SQVRFKEFOTiwwLCwsLCwsTk9BVURJVCk=&amp;WINDOW=FIRST_POPUP&amp;HEIGHT=450&amp;WIDTH=450&amp;","START_MAXIMIZED=FALSE&amp;VAR:CALENDAR=US&amp;VAR:SYMBOL=DNB&amp;VAR:INDEX=0"}</definedName>
    <definedName name="_3433__FDSAUDITLINK__" localSheetId="7" hidden="1">{"fdsup://directions/FAT Viewer?action=UPDATE&amp;creator=factset&amp;DYN_ARGS=TRUE&amp;DOC_NAME=FAT:FQL_AUDITING_CLIENT_TEMPLATE.FAT&amp;display_string=Audit&amp;VAR:KEY=ZYXMFIHAHE&amp;VAR:QUERY=UkdGX1RBWF9SQVRFKEFOTiwwLCwsLCwsTk9BVURJVCk=&amp;WINDOW=FIRST_POPUP&amp;HEIGHT=450&amp;WIDTH=450&amp;","START_MAXIMIZED=FALSE&amp;VAR:CALENDAR=US&amp;VAR:SYMBOL=DNB&amp;VAR:INDEX=0"}</definedName>
    <definedName name="_3433__FDSAUDITLINK__" hidden="1">{"fdsup://directions/FAT Viewer?action=UPDATE&amp;creator=factset&amp;DYN_ARGS=TRUE&amp;DOC_NAME=FAT:FQL_AUDITING_CLIENT_TEMPLATE.FAT&amp;display_string=Audit&amp;VAR:KEY=ZYXMFIHAHE&amp;VAR:QUERY=UkdGX1RBWF9SQVRFKEFOTiwwLCwsLCwsTk9BVURJVCk=&amp;WINDOW=FIRST_POPUP&amp;HEIGHT=450&amp;WIDTH=450&amp;","START_MAXIMIZED=FALSE&amp;VAR:CALENDAR=US&amp;VAR:SYMBOL=DNB&amp;VAR:INDEX=0"}</definedName>
    <definedName name="_3434__FDSAUDITLINK__" localSheetId="3" hidden="1">{"fdsup://directions/FAT Viewer?action=UPDATE&amp;creator=factset&amp;DYN_ARGS=TRUE&amp;DOC_NAME=FAT:FQL_AUDITING_CLIENT_TEMPLATE.FAT&amp;display_string=Audit&amp;VAR:KEY=BYBGTERAFQ&amp;VAR:QUERY=UkdGX1RBWF9SQVRFKEFOTiwwLCwsLCwsTk9BVURJVCk=&amp;WINDOW=FIRST_POPUP&amp;HEIGHT=450&amp;WIDTH=450&amp;","START_MAXIMIZED=FALSE&amp;VAR:CALENDAR=US&amp;VAR:SYMBOL=DLB&amp;VAR:INDEX=0"}</definedName>
    <definedName name="_3434__FDSAUDITLINK__" localSheetId="7" hidden="1">{"fdsup://directions/FAT Viewer?action=UPDATE&amp;creator=factset&amp;DYN_ARGS=TRUE&amp;DOC_NAME=FAT:FQL_AUDITING_CLIENT_TEMPLATE.FAT&amp;display_string=Audit&amp;VAR:KEY=BYBGTERAFQ&amp;VAR:QUERY=UkdGX1RBWF9SQVRFKEFOTiwwLCwsLCwsTk9BVURJVCk=&amp;WINDOW=FIRST_POPUP&amp;HEIGHT=450&amp;WIDTH=450&amp;","START_MAXIMIZED=FALSE&amp;VAR:CALENDAR=US&amp;VAR:SYMBOL=DLB&amp;VAR:INDEX=0"}</definedName>
    <definedName name="_3434__FDSAUDITLINK__" hidden="1">{"fdsup://directions/FAT Viewer?action=UPDATE&amp;creator=factset&amp;DYN_ARGS=TRUE&amp;DOC_NAME=FAT:FQL_AUDITING_CLIENT_TEMPLATE.FAT&amp;display_string=Audit&amp;VAR:KEY=BYBGTERAFQ&amp;VAR:QUERY=UkdGX1RBWF9SQVRFKEFOTiwwLCwsLCwsTk9BVURJVCk=&amp;WINDOW=FIRST_POPUP&amp;HEIGHT=450&amp;WIDTH=450&amp;","START_MAXIMIZED=FALSE&amp;VAR:CALENDAR=US&amp;VAR:SYMBOL=DLB&amp;VAR:INDEX=0"}</definedName>
    <definedName name="_3435__FDSAUDITLINK__" localSheetId="3" hidden="1">{"fdsup://directions/FAT Viewer?action=UPDATE&amp;creator=factset&amp;DYN_ARGS=TRUE&amp;DOC_NAME=FAT:FQL_AUDITING_CLIENT_TEMPLATE.FAT&amp;display_string=Audit&amp;VAR:KEY=BYBGTERAFQ&amp;VAR:QUERY=UkdGX1RBWF9SQVRFKEFOTiwwLCwsLCwsTk9BVURJVCk=&amp;WINDOW=FIRST_POPUP&amp;HEIGHT=450&amp;WIDTH=450&amp;","START_MAXIMIZED=FALSE&amp;VAR:CALENDAR=US&amp;VAR:SYMBOL=DLB&amp;VAR:INDEX=0"}</definedName>
    <definedName name="_3435__FDSAUDITLINK__" localSheetId="7" hidden="1">{"fdsup://directions/FAT Viewer?action=UPDATE&amp;creator=factset&amp;DYN_ARGS=TRUE&amp;DOC_NAME=FAT:FQL_AUDITING_CLIENT_TEMPLATE.FAT&amp;display_string=Audit&amp;VAR:KEY=BYBGTERAFQ&amp;VAR:QUERY=UkdGX1RBWF9SQVRFKEFOTiwwLCwsLCwsTk9BVURJVCk=&amp;WINDOW=FIRST_POPUP&amp;HEIGHT=450&amp;WIDTH=450&amp;","START_MAXIMIZED=FALSE&amp;VAR:CALENDAR=US&amp;VAR:SYMBOL=DLB&amp;VAR:INDEX=0"}</definedName>
    <definedName name="_3435__FDSAUDITLINK__" hidden="1">{"fdsup://directions/FAT Viewer?action=UPDATE&amp;creator=factset&amp;DYN_ARGS=TRUE&amp;DOC_NAME=FAT:FQL_AUDITING_CLIENT_TEMPLATE.FAT&amp;display_string=Audit&amp;VAR:KEY=BYBGTERAFQ&amp;VAR:QUERY=UkdGX1RBWF9SQVRFKEFOTiwwLCwsLCwsTk9BVURJVCk=&amp;WINDOW=FIRST_POPUP&amp;HEIGHT=450&amp;WIDTH=450&amp;","START_MAXIMIZED=FALSE&amp;VAR:CALENDAR=US&amp;VAR:SYMBOL=DLB&amp;VAR:INDEX=0"}</definedName>
    <definedName name="_3436__FDSAUDITLINK__" localSheetId="3" hidden="1">{"fdsup://directions/FAT Viewer?action=UPDATE&amp;creator=factset&amp;DYN_ARGS=TRUE&amp;DOC_NAME=FAT:FQL_AUDITING_CLIENT_TEMPLATE.FAT&amp;display_string=Audit&amp;VAR:KEY=LOBKJYNIXC&amp;VAR:QUERY=UkdGX1RBWF9SQVRFKEFOTiwwLCwsLCwsTk9BVURJVCk=&amp;WINDOW=FIRST_POPUP&amp;HEIGHT=450&amp;WIDTH=450&amp;","START_MAXIMIZED=FALSE&amp;VAR:CALENDAR=US&amp;VAR:SYMBOL=DRIV&amp;VAR:INDEX=0"}</definedName>
    <definedName name="_3436__FDSAUDITLINK__" localSheetId="7" hidden="1">{"fdsup://directions/FAT Viewer?action=UPDATE&amp;creator=factset&amp;DYN_ARGS=TRUE&amp;DOC_NAME=FAT:FQL_AUDITING_CLIENT_TEMPLATE.FAT&amp;display_string=Audit&amp;VAR:KEY=LOBKJYNIXC&amp;VAR:QUERY=UkdGX1RBWF9SQVRFKEFOTiwwLCwsLCwsTk9BVURJVCk=&amp;WINDOW=FIRST_POPUP&amp;HEIGHT=450&amp;WIDTH=450&amp;","START_MAXIMIZED=FALSE&amp;VAR:CALENDAR=US&amp;VAR:SYMBOL=DRIV&amp;VAR:INDEX=0"}</definedName>
    <definedName name="_3436__FDSAUDITLINK__" hidden="1">{"fdsup://directions/FAT Viewer?action=UPDATE&amp;creator=factset&amp;DYN_ARGS=TRUE&amp;DOC_NAME=FAT:FQL_AUDITING_CLIENT_TEMPLATE.FAT&amp;display_string=Audit&amp;VAR:KEY=LOBKJYNIXC&amp;VAR:QUERY=UkdGX1RBWF9SQVRFKEFOTiwwLCwsLCwsTk9BVURJVCk=&amp;WINDOW=FIRST_POPUP&amp;HEIGHT=450&amp;WIDTH=450&amp;","START_MAXIMIZED=FALSE&amp;VAR:CALENDAR=US&amp;VAR:SYMBOL=DRIV&amp;VAR:INDEX=0"}</definedName>
    <definedName name="_3437__FDSAUDITLINK__" localSheetId="3" hidden="1">{"fdsup://directions/FAT Viewer?action=UPDATE&amp;creator=factset&amp;DYN_ARGS=TRUE&amp;DOC_NAME=FAT:FQL_AUDITING_CLIENT_TEMPLATE.FAT&amp;display_string=Audit&amp;VAR:KEY=LOBKJYNIXC&amp;VAR:QUERY=UkdGX1RBWF9SQVRFKEFOTiwwLCwsLCwsTk9BVURJVCk=&amp;WINDOW=FIRST_POPUP&amp;HEIGHT=450&amp;WIDTH=450&amp;","START_MAXIMIZED=FALSE&amp;VAR:CALENDAR=US&amp;VAR:SYMBOL=DRIV&amp;VAR:INDEX=0"}</definedName>
    <definedName name="_3437__FDSAUDITLINK__" localSheetId="7" hidden="1">{"fdsup://directions/FAT Viewer?action=UPDATE&amp;creator=factset&amp;DYN_ARGS=TRUE&amp;DOC_NAME=FAT:FQL_AUDITING_CLIENT_TEMPLATE.FAT&amp;display_string=Audit&amp;VAR:KEY=LOBKJYNIXC&amp;VAR:QUERY=UkdGX1RBWF9SQVRFKEFOTiwwLCwsLCwsTk9BVURJVCk=&amp;WINDOW=FIRST_POPUP&amp;HEIGHT=450&amp;WIDTH=450&amp;","START_MAXIMIZED=FALSE&amp;VAR:CALENDAR=US&amp;VAR:SYMBOL=DRIV&amp;VAR:INDEX=0"}</definedName>
    <definedName name="_3437__FDSAUDITLINK__" hidden="1">{"fdsup://directions/FAT Viewer?action=UPDATE&amp;creator=factset&amp;DYN_ARGS=TRUE&amp;DOC_NAME=FAT:FQL_AUDITING_CLIENT_TEMPLATE.FAT&amp;display_string=Audit&amp;VAR:KEY=LOBKJYNIXC&amp;VAR:QUERY=UkdGX1RBWF9SQVRFKEFOTiwwLCwsLCwsTk9BVURJVCk=&amp;WINDOW=FIRST_POPUP&amp;HEIGHT=450&amp;WIDTH=450&amp;","START_MAXIMIZED=FALSE&amp;VAR:CALENDAR=US&amp;VAR:SYMBOL=DRIV&amp;VAR:INDEX=0"}</definedName>
    <definedName name="_3438__FDSAUDITLINK__" localSheetId="3" hidden="1">{"fdsup://directions/FAT Viewer?action=UPDATE&amp;creator=factset&amp;DYN_ARGS=TRUE&amp;DOC_NAME=FAT:FQL_AUDITING_CLIENT_TEMPLATE.FAT&amp;display_string=Audit&amp;VAR:KEY=LWDEXYNINW&amp;VAR:QUERY=UkdGX1RBWF9SQVRFKEFOTiwwLCwsLCwsTk9BVURJVCk=&amp;WINDOW=FIRST_POPUP&amp;HEIGHT=450&amp;WIDTH=450&amp;","START_MAXIMIZED=FALSE&amp;VAR:CALENDAR=US&amp;VAR:SYMBOL=DGI&amp;VAR:INDEX=0"}</definedName>
    <definedName name="_3438__FDSAUDITLINK__" localSheetId="7" hidden="1">{"fdsup://directions/FAT Viewer?action=UPDATE&amp;creator=factset&amp;DYN_ARGS=TRUE&amp;DOC_NAME=FAT:FQL_AUDITING_CLIENT_TEMPLATE.FAT&amp;display_string=Audit&amp;VAR:KEY=LWDEXYNINW&amp;VAR:QUERY=UkdGX1RBWF9SQVRFKEFOTiwwLCwsLCwsTk9BVURJVCk=&amp;WINDOW=FIRST_POPUP&amp;HEIGHT=450&amp;WIDTH=450&amp;","START_MAXIMIZED=FALSE&amp;VAR:CALENDAR=US&amp;VAR:SYMBOL=DGI&amp;VAR:INDEX=0"}</definedName>
    <definedName name="_3438__FDSAUDITLINK__" hidden="1">{"fdsup://directions/FAT Viewer?action=UPDATE&amp;creator=factset&amp;DYN_ARGS=TRUE&amp;DOC_NAME=FAT:FQL_AUDITING_CLIENT_TEMPLATE.FAT&amp;display_string=Audit&amp;VAR:KEY=LWDEXYNINW&amp;VAR:QUERY=UkdGX1RBWF9SQVRFKEFOTiwwLCwsLCwsTk9BVURJVCk=&amp;WINDOW=FIRST_POPUP&amp;HEIGHT=450&amp;WIDTH=450&amp;","START_MAXIMIZED=FALSE&amp;VAR:CALENDAR=US&amp;VAR:SYMBOL=DGI&amp;VAR:INDEX=0"}</definedName>
    <definedName name="_3439__FDSAUDITLINK__" localSheetId="3" hidden="1">{"fdsup://directions/FAT Viewer?action=UPDATE&amp;creator=factset&amp;DYN_ARGS=TRUE&amp;DOC_NAME=FAT:FQL_AUDITING_CLIENT_TEMPLATE.FAT&amp;display_string=Audit&amp;VAR:KEY=LWDEXYNINW&amp;VAR:QUERY=UkdGX1RBWF9SQVRFKEFOTiwwLCwsLCwsTk9BVURJVCk=&amp;WINDOW=FIRST_POPUP&amp;HEIGHT=450&amp;WIDTH=450&amp;","START_MAXIMIZED=FALSE&amp;VAR:CALENDAR=US&amp;VAR:SYMBOL=DGI&amp;VAR:INDEX=0"}</definedName>
    <definedName name="_3439__FDSAUDITLINK__" localSheetId="7" hidden="1">{"fdsup://directions/FAT Viewer?action=UPDATE&amp;creator=factset&amp;DYN_ARGS=TRUE&amp;DOC_NAME=FAT:FQL_AUDITING_CLIENT_TEMPLATE.FAT&amp;display_string=Audit&amp;VAR:KEY=LWDEXYNINW&amp;VAR:QUERY=UkdGX1RBWF9SQVRFKEFOTiwwLCwsLCwsTk9BVURJVCk=&amp;WINDOW=FIRST_POPUP&amp;HEIGHT=450&amp;WIDTH=450&amp;","START_MAXIMIZED=FALSE&amp;VAR:CALENDAR=US&amp;VAR:SYMBOL=DGI&amp;VAR:INDEX=0"}</definedName>
    <definedName name="_3439__FDSAUDITLINK__" hidden="1">{"fdsup://directions/FAT Viewer?action=UPDATE&amp;creator=factset&amp;DYN_ARGS=TRUE&amp;DOC_NAME=FAT:FQL_AUDITING_CLIENT_TEMPLATE.FAT&amp;display_string=Audit&amp;VAR:KEY=LWDEXYNINW&amp;VAR:QUERY=UkdGX1RBWF9SQVRFKEFOTiwwLCwsLCwsTk9BVURJVCk=&amp;WINDOW=FIRST_POPUP&amp;HEIGHT=450&amp;WIDTH=450&amp;","START_MAXIMIZED=FALSE&amp;VAR:CALENDAR=US&amp;VAR:SYMBOL=DGI&amp;VAR:INDEX=0"}</definedName>
    <definedName name="_3440__FDSAUDITLINK__" localSheetId="3" hidden="1">{"fdsup://directions/FAT Viewer?action=UPDATE&amp;creator=factset&amp;DYN_ARGS=TRUE&amp;DOC_NAME=FAT:FQL_AUDITING_CLIENT_TEMPLATE.FAT&amp;display_string=Audit&amp;VAR:KEY=JMLETCVKJY&amp;VAR:QUERY=UkdGX1RBWF9SQVRFKEFOTiwwLCwsLCwsTk9BVURJVCk=&amp;WINDOW=FIRST_POPUP&amp;HEIGHT=450&amp;WIDTH=450&amp;","START_MAXIMIZED=FALSE&amp;VAR:CALENDAR=US&amp;VAR:SYMBOL=DMAN&amp;VAR:INDEX=0"}</definedName>
    <definedName name="_3440__FDSAUDITLINK__" localSheetId="7" hidden="1">{"fdsup://directions/FAT Viewer?action=UPDATE&amp;creator=factset&amp;DYN_ARGS=TRUE&amp;DOC_NAME=FAT:FQL_AUDITING_CLIENT_TEMPLATE.FAT&amp;display_string=Audit&amp;VAR:KEY=JMLETCVKJY&amp;VAR:QUERY=UkdGX1RBWF9SQVRFKEFOTiwwLCwsLCwsTk9BVURJVCk=&amp;WINDOW=FIRST_POPUP&amp;HEIGHT=450&amp;WIDTH=450&amp;","START_MAXIMIZED=FALSE&amp;VAR:CALENDAR=US&amp;VAR:SYMBOL=DMAN&amp;VAR:INDEX=0"}</definedName>
    <definedName name="_3440__FDSAUDITLINK__" hidden="1">{"fdsup://directions/FAT Viewer?action=UPDATE&amp;creator=factset&amp;DYN_ARGS=TRUE&amp;DOC_NAME=FAT:FQL_AUDITING_CLIENT_TEMPLATE.FAT&amp;display_string=Audit&amp;VAR:KEY=JMLETCVKJY&amp;VAR:QUERY=UkdGX1RBWF9SQVRFKEFOTiwwLCwsLCwsTk9BVURJVCk=&amp;WINDOW=FIRST_POPUP&amp;HEIGHT=450&amp;WIDTH=450&amp;","START_MAXIMIZED=FALSE&amp;VAR:CALENDAR=US&amp;VAR:SYMBOL=DMAN&amp;VAR:INDEX=0"}</definedName>
    <definedName name="_3441__FDSAUDITLINK__" localSheetId="3" hidden="1">{"fdsup://directions/FAT Viewer?action=UPDATE&amp;creator=factset&amp;DYN_ARGS=TRUE&amp;DOC_NAME=FAT:FQL_AUDITING_CLIENT_TEMPLATE.FAT&amp;display_string=Audit&amp;VAR:KEY=VCJUDQFWZY&amp;VAR:QUERY=UkdGX1RBWF9SQVRFKEFOTiwwLCwsLCwsTk9BVURJVCk=&amp;WINDOW=FIRST_POPUP&amp;HEIGHT=450&amp;WIDTH=450&amp;","START_MAXIMIZED=FALSE&amp;VAR:CALENDAR=US&amp;VAR:SYMBOL=PROJ&amp;VAR:INDEX=0"}</definedName>
    <definedName name="_3441__FDSAUDITLINK__" localSheetId="7" hidden="1">{"fdsup://directions/FAT Viewer?action=UPDATE&amp;creator=factset&amp;DYN_ARGS=TRUE&amp;DOC_NAME=FAT:FQL_AUDITING_CLIENT_TEMPLATE.FAT&amp;display_string=Audit&amp;VAR:KEY=VCJUDQFWZY&amp;VAR:QUERY=UkdGX1RBWF9SQVRFKEFOTiwwLCwsLCwsTk9BVURJVCk=&amp;WINDOW=FIRST_POPUP&amp;HEIGHT=450&amp;WIDTH=450&amp;","START_MAXIMIZED=FALSE&amp;VAR:CALENDAR=US&amp;VAR:SYMBOL=PROJ&amp;VAR:INDEX=0"}</definedName>
    <definedName name="_3441__FDSAUDITLINK__" hidden="1">{"fdsup://directions/FAT Viewer?action=UPDATE&amp;creator=factset&amp;DYN_ARGS=TRUE&amp;DOC_NAME=FAT:FQL_AUDITING_CLIENT_TEMPLATE.FAT&amp;display_string=Audit&amp;VAR:KEY=VCJUDQFWZY&amp;VAR:QUERY=UkdGX1RBWF9SQVRFKEFOTiwwLCwsLCwsTk9BVURJVCk=&amp;WINDOW=FIRST_POPUP&amp;HEIGHT=450&amp;WIDTH=450&amp;","START_MAXIMIZED=FALSE&amp;VAR:CALENDAR=US&amp;VAR:SYMBOL=PROJ&amp;VAR:INDEX=0"}</definedName>
    <definedName name="_3442__FDSAUDITLINK__" localSheetId="3" hidden="1">{"fdsup://directions/FAT Viewer?action=UPDATE&amp;creator=factset&amp;DYN_ARGS=TRUE&amp;DOC_NAME=FAT:FQL_AUDITING_CLIENT_TEMPLATE.FAT&amp;display_string=Audit&amp;VAR:KEY=JUFIPMROBQ&amp;VAR:QUERY=UkdGX1RBWF9SQVRFKEFOTiwwLCwsLCwsTk9BVURJVCk=&amp;WINDOW=FIRST_POPUP&amp;HEIGHT=450&amp;WIDTH=450&amp;","START_MAXIMIZED=FALSE&amp;VAR:CALENDAR=US&amp;VAR:SYMBOL=DELL&amp;VAR:INDEX=0"}</definedName>
    <definedName name="_3442__FDSAUDITLINK__" localSheetId="7" hidden="1">{"fdsup://directions/FAT Viewer?action=UPDATE&amp;creator=factset&amp;DYN_ARGS=TRUE&amp;DOC_NAME=FAT:FQL_AUDITING_CLIENT_TEMPLATE.FAT&amp;display_string=Audit&amp;VAR:KEY=JUFIPMROBQ&amp;VAR:QUERY=UkdGX1RBWF9SQVRFKEFOTiwwLCwsLCwsTk9BVURJVCk=&amp;WINDOW=FIRST_POPUP&amp;HEIGHT=450&amp;WIDTH=450&amp;","START_MAXIMIZED=FALSE&amp;VAR:CALENDAR=US&amp;VAR:SYMBOL=DELL&amp;VAR:INDEX=0"}</definedName>
    <definedName name="_3442__FDSAUDITLINK__" hidden="1">{"fdsup://directions/FAT Viewer?action=UPDATE&amp;creator=factset&amp;DYN_ARGS=TRUE&amp;DOC_NAME=FAT:FQL_AUDITING_CLIENT_TEMPLATE.FAT&amp;display_string=Audit&amp;VAR:KEY=JUFIPMROBQ&amp;VAR:QUERY=UkdGX1RBWF9SQVRFKEFOTiwwLCwsLCwsTk9BVURJVCk=&amp;WINDOW=FIRST_POPUP&amp;HEIGHT=450&amp;WIDTH=450&amp;","START_MAXIMIZED=FALSE&amp;VAR:CALENDAR=US&amp;VAR:SYMBOL=DELL&amp;VAR:INDEX=0"}</definedName>
    <definedName name="_3443__FDSAUDITLINK__" localSheetId="3" hidden="1">{"fdsup://directions/FAT Viewer?action=UPDATE&amp;creator=factset&amp;DYN_ARGS=TRUE&amp;DOC_NAME=FAT:FQL_AUDITING_CLIENT_TEMPLATE.FAT&amp;display_string=Audit&amp;VAR:KEY=JUFIPMROBQ&amp;VAR:QUERY=UkdGX1RBWF9SQVRFKEFOTiwwLCwsLCwsTk9BVURJVCk=&amp;WINDOW=FIRST_POPUP&amp;HEIGHT=450&amp;WIDTH=450&amp;","START_MAXIMIZED=FALSE&amp;VAR:CALENDAR=US&amp;VAR:SYMBOL=DELL&amp;VAR:INDEX=0"}</definedName>
    <definedName name="_3443__FDSAUDITLINK__" localSheetId="7" hidden="1">{"fdsup://directions/FAT Viewer?action=UPDATE&amp;creator=factset&amp;DYN_ARGS=TRUE&amp;DOC_NAME=FAT:FQL_AUDITING_CLIENT_TEMPLATE.FAT&amp;display_string=Audit&amp;VAR:KEY=JUFIPMROBQ&amp;VAR:QUERY=UkdGX1RBWF9SQVRFKEFOTiwwLCwsLCwsTk9BVURJVCk=&amp;WINDOW=FIRST_POPUP&amp;HEIGHT=450&amp;WIDTH=450&amp;","START_MAXIMIZED=FALSE&amp;VAR:CALENDAR=US&amp;VAR:SYMBOL=DELL&amp;VAR:INDEX=0"}</definedName>
    <definedName name="_3443__FDSAUDITLINK__" hidden="1">{"fdsup://directions/FAT Viewer?action=UPDATE&amp;creator=factset&amp;DYN_ARGS=TRUE&amp;DOC_NAME=FAT:FQL_AUDITING_CLIENT_TEMPLATE.FAT&amp;display_string=Audit&amp;VAR:KEY=JUFIPMROBQ&amp;VAR:QUERY=UkdGX1RBWF9SQVRFKEFOTiwwLCwsLCwsTk9BVURJVCk=&amp;WINDOW=FIRST_POPUP&amp;HEIGHT=450&amp;WIDTH=450&amp;","START_MAXIMIZED=FALSE&amp;VAR:CALENDAR=US&amp;VAR:SYMBOL=DELL&amp;VAR:INDEX=0"}</definedName>
    <definedName name="_3444__FDSAUDITLINK__" localSheetId="3" hidden="1">{"fdsup://directions/FAT Viewer?action=UPDATE&amp;creator=factset&amp;DYN_ARGS=TRUE&amp;DOC_NAME=FAT:FQL_AUDITING_CLIENT_TEMPLATE.FAT&amp;display_string=Audit&amp;VAR:KEY=NWREHITGDK&amp;VAR:QUERY=UkdGX1RBWF9SQVRFKEFOTiwwLCwsLCwsTk9BVURJVCk=&amp;WINDOW=FIRST_POPUP&amp;HEIGHT=450&amp;WIDTH=450&amp;","START_MAXIMIZED=FALSE&amp;VAR:CALENDAR=US&amp;VAR:SYMBOL=TRAK&amp;VAR:INDEX=0"}</definedName>
    <definedName name="_3444__FDSAUDITLINK__" localSheetId="7" hidden="1">{"fdsup://directions/FAT Viewer?action=UPDATE&amp;creator=factset&amp;DYN_ARGS=TRUE&amp;DOC_NAME=FAT:FQL_AUDITING_CLIENT_TEMPLATE.FAT&amp;display_string=Audit&amp;VAR:KEY=NWREHITGDK&amp;VAR:QUERY=UkdGX1RBWF9SQVRFKEFOTiwwLCwsLCwsTk9BVURJVCk=&amp;WINDOW=FIRST_POPUP&amp;HEIGHT=450&amp;WIDTH=450&amp;","START_MAXIMIZED=FALSE&amp;VAR:CALENDAR=US&amp;VAR:SYMBOL=TRAK&amp;VAR:INDEX=0"}</definedName>
    <definedName name="_3444__FDSAUDITLINK__" hidden="1">{"fdsup://directions/FAT Viewer?action=UPDATE&amp;creator=factset&amp;DYN_ARGS=TRUE&amp;DOC_NAME=FAT:FQL_AUDITING_CLIENT_TEMPLATE.FAT&amp;display_string=Audit&amp;VAR:KEY=NWREHITGDK&amp;VAR:QUERY=UkdGX1RBWF9SQVRFKEFOTiwwLCwsLCwsTk9BVURJVCk=&amp;WINDOW=FIRST_POPUP&amp;HEIGHT=450&amp;WIDTH=450&amp;","START_MAXIMIZED=FALSE&amp;VAR:CALENDAR=US&amp;VAR:SYMBOL=TRAK&amp;VAR:INDEX=0"}</definedName>
    <definedName name="_3445__FDSAUDITLINK__" localSheetId="3" hidden="1">{"fdsup://directions/FAT Viewer?action=UPDATE&amp;creator=factset&amp;DYN_ARGS=TRUE&amp;DOC_NAME=FAT:FQL_AUDITING_CLIENT_TEMPLATE.FAT&amp;display_string=Audit&amp;VAR:KEY=NWREHITGDK&amp;VAR:QUERY=UkdGX1RBWF9SQVRFKEFOTiwwLCwsLCwsTk9BVURJVCk=&amp;WINDOW=FIRST_POPUP&amp;HEIGHT=450&amp;WIDTH=450&amp;","START_MAXIMIZED=FALSE&amp;VAR:CALENDAR=US&amp;VAR:SYMBOL=TRAK&amp;VAR:INDEX=0"}</definedName>
    <definedName name="_3445__FDSAUDITLINK__" localSheetId="7" hidden="1">{"fdsup://directions/FAT Viewer?action=UPDATE&amp;creator=factset&amp;DYN_ARGS=TRUE&amp;DOC_NAME=FAT:FQL_AUDITING_CLIENT_TEMPLATE.FAT&amp;display_string=Audit&amp;VAR:KEY=NWREHITGDK&amp;VAR:QUERY=UkdGX1RBWF9SQVRFKEFOTiwwLCwsLCwsTk9BVURJVCk=&amp;WINDOW=FIRST_POPUP&amp;HEIGHT=450&amp;WIDTH=450&amp;","START_MAXIMIZED=FALSE&amp;VAR:CALENDAR=US&amp;VAR:SYMBOL=TRAK&amp;VAR:INDEX=0"}</definedName>
    <definedName name="_3445__FDSAUDITLINK__" hidden="1">{"fdsup://directions/FAT Viewer?action=UPDATE&amp;creator=factset&amp;DYN_ARGS=TRUE&amp;DOC_NAME=FAT:FQL_AUDITING_CLIENT_TEMPLATE.FAT&amp;display_string=Audit&amp;VAR:KEY=NWREHITGDK&amp;VAR:QUERY=UkdGX1RBWF9SQVRFKEFOTiwwLCwsLCwsTk9BVURJVCk=&amp;WINDOW=FIRST_POPUP&amp;HEIGHT=450&amp;WIDTH=450&amp;","START_MAXIMIZED=FALSE&amp;VAR:CALENDAR=US&amp;VAR:SYMBOL=TRAK&amp;VAR:INDEX=0"}</definedName>
    <definedName name="_3446__FDSAUDITLINK__" localSheetId="3" hidden="1">{"fdsup://directions/FAT Viewer?action=UPDATE&amp;creator=factset&amp;DYN_ARGS=TRUE&amp;DOC_NAME=FAT:FQL_AUDITING_CLIENT_TEMPLATE.FAT&amp;display_string=Audit&amp;VAR:KEY=ZCRMVGXSNU&amp;VAR:QUERY=UkdGX1RBWF9SQVRFKEFOTiwwLCwsLCwsTk9BVURJVCk=&amp;WINDOW=FIRST_POPUP&amp;HEIGHT=450&amp;WIDTH=450&amp;","START_MAXIMIZED=FALSE&amp;VAR:CALENDAR=US&amp;VAR:SYMBOL=DWSN&amp;VAR:INDEX=0"}</definedName>
    <definedName name="_3446__FDSAUDITLINK__" localSheetId="7" hidden="1">{"fdsup://directions/FAT Viewer?action=UPDATE&amp;creator=factset&amp;DYN_ARGS=TRUE&amp;DOC_NAME=FAT:FQL_AUDITING_CLIENT_TEMPLATE.FAT&amp;display_string=Audit&amp;VAR:KEY=ZCRMVGXSNU&amp;VAR:QUERY=UkdGX1RBWF9SQVRFKEFOTiwwLCwsLCwsTk9BVURJVCk=&amp;WINDOW=FIRST_POPUP&amp;HEIGHT=450&amp;WIDTH=450&amp;","START_MAXIMIZED=FALSE&amp;VAR:CALENDAR=US&amp;VAR:SYMBOL=DWSN&amp;VAR:INDEX=0"}</definedName>
    <definedName name="_3446__FDSAUDITLINK__" hidden="1">{"fdsup://directions/FAT Viewer?action=UPDATE&amp;creator=factset&amp;DYN_ARGS=TRUE&amp;DOC_NAME=FAT:FQL_AUDITING_CLIENT_TEMPLATE.FAT&amp;display_string=Audit&amp;VAR:KEY=ZCRMVGXSNU&amp;VAR:QUERY=UkdGX1RBWF9SQVRFKEFOTiwwLCwsLCwsTk9BVURJVCk=&amp;WINDOW=FIRST_POPUP&amp;HEIGHT=450&amp;WIDTH=450&amp;","START_MAXIMIZED=FALSE&amp;VAR:CALENDAR=US&amp;VAR:SYMBOL=DWSN&amp;VAR:INDEX=0"}</definedName>
    <definedName name="_3447__FDSAUDITLINK__" localSheetId="3" hidden="1">{"fdsup://directions/FAT Viewer?action=UPDATE&amp;creator=factset&amp;DYN_ARGS=TRUE&amp;DOC_NAME=FAT:FQL_AUDITING_CLIENT_TEMPLATE.FAT&amp;display_string=Audit&amp;VAR:KEY=LSBIBANIDI&amp;VAR:QUERY=UkdGX1RBWF9SQVRFKEFOTiwwLCwsLCwsTk9BVURJVCk=&amp;WINDOW=FIRST_POPUP&amp;HEIGHT=450&amp;WIDTH=450&amp;","START_MAXIMIZED=FALSE&amp;VAR:CALENDAR=US&amp;VAR:SYMBOL=DTLK&amp;VAR:INDEX=0"}</definedName>
    <definedName name="_3447__FDSAUDITLINK__" localSheetId="7" hidden="1">{"fdsup://directions/FAT Viewer?action=UPDATE&amp;creator=factset&amp;DYN_ARGS=TRUE&amp;DOC_NAME=FAT:FQL_AUDITING_CLIENT_TEMPLATE.FAT&amp;display_string=Audit&amp;VAR:KEY=LSBIBANIDI&amp;VAR:QUERY=UkdGX1RBWF9SQVRFKEFOTiwwLCwsLCwsTk9BVURJVCk=&amp;WINDOW=FIRST_POPUP&amp;HEIGHT=450&amp;WIDTH=450&amp;","START_MAXIMIZED=FALSE&amp;VAR:CALENDAR=US&amp;VAR:SYMBOL=DTLK&amp;VAR:INDEX=0"}</definedName>
    <definedName name="_3447__FDSAUDITLINK__" hidden="1">{"fdsup://directions/FAT Viewer?action=UPDATE&amp;creator=factset&amp;DYN_ARGS=TRUE&amp;DOC_NAME=FAT:FQL_AUDITING_CLIENT_TEMPLATE.FAT&amp;display_string=Audit&amp;VAR:KEY=LSBIBANIDI&amp;VAR:QUERY=UkdGX1RBWF9SQVRFKEFOTiwwLCwsLCwsTk9BVURJVCk=&amp;WINDOW=FIRST_POPUP&amp;HEIGHT=450&amp;WIDTH=450&amp;","START_MAXIMIZED=FALSE&amp;VAR:CALENDAR=US&amp;VAR:SYMBOL=DTLK&amp;VAR:INDEX=0"}</definedName>
    <definedName name="_3448__FDSAUDITLINK__" localSheetId="3" hidden="1">{"fdsup://directions/FAT Viewer?action=UPDATE&amp;creator=factset&amp;DYN_ARGS=TRUE&amp;DOC_NAME=FAT:FQL_AUDITING_CLIENT_TEMPLATE.FAT&amp;display_string=Audit&amp;VAR:KEY=LSBIBANIDI&amp;VAR:QUERY=UkdGX1RBWF9SQVRFKEFOTiwwLCwsLCwsTk9BVURJVCk=&amp;WINDOW=FIRST_POPUP&amp;HEIGHT=450&amp;WIDTH=450&amp;","START_MAXIMIZED=FALSE&amp;VAR:CALENDAR=US&amp;VAR:SYMBOL=DTLK&amp;VAR:INDEX=0"}</definedName>
    <definedName name="_3448__FDSAUDITLINK__" localSheetId="7" hidden="1">{"fdsup://directions/FAT Viewer?action=UPDATE&amp;creator=factset&amp;DYN_ARGS=TRUE&amp;DOC_NAME=FAT:FQL_AUDITING_CLIENT_TEMPLATE.FAT&amp;display_string=Audit&amp;VAR:KEY=LSBIBANIDI&amp;VAR:QUERY=UkdGX1RBWF9SQVRFKEFOTiwwLCwsLCwsTk9BVURJVCk=&amp;WINDOW=FIRST_POPUP&amp;HEIGHT=450&amp;WIDTH=450&amp;","START_MAXIMIZED=FALSE&amp;VAR:CALENDAR=US&amp;VAR:SYMBOL=DTLK&amp;VAR:INDEX=0"}</definedName>
    <definedName name="_3448__FDSAUDITLINK__" hidden="1">{"fdsup://directions/FAT Viewer?action=UPDATE&amp;creator=factset&amp;DYN_ARGS=TRUE&amp;DOC_NAME=FAT:FQL_AUDITING_CLIENT_TEMPLATE.FAT&amp;display_string=Audit&amp;VAR:KEY=LSBIBANIDI&amp;VAR:QUERY=UkdGX1RBWF9SQVRFKEFOTiwwLCwsLCwsTk9BVURJVCk=&amp;WINDOW=FIRST_POPUP&amp;HEIGHT=450&amp;WIDTH=450&amp;","START_MAXIMIZED=FALSE&amp;VAR:CALENDAR=US&amp;VAR:SYMBOL=DTLK&amp;VAR:INDEX=0"}</definedName>
    <definedName name="_3449__FDSAUDITLINK__" localSheetId="3" hidden="1">{"fdsup://directions/FAT Viewer?action=UPDATE&amp;creator=factset&amp;DYN_ARGS=TRUE&amp;DOC_NAME=FAT:FQL_AUDITING_CLIENT_TEMPLATE.FAT&amp;display_string=Audit&amp;VAR:KEY=JIVQTQVIRY&amp;VAR:QUERY=UkdGX1RBWF9SQVRFKEFOTiwwLCwsLCwsTk9BVURJVCk=&amp;WINDOW=FIRST_POPUP&amp;HEIGHT=450&amp;WIDTH=450&amp;","START_MAXIMIZED=FALSE&amp;VAR:CALENDAR=US&amp;VAR:SYMBOL=533004&amp;VAR:INDEX=0"}</definedName>
    <definedName name="_3449__FDSAUDITLINK__" localSheetId="7" hidden="1">{"fdsup://directions/FAT Viewer?action=UPDATE&amp;creator=factset&amp;DYN_ARGS=TRUE&amp;DOC_NAME=FAT:FQL_AUDITING_CLIENT_TEMPLATE.FAT&amp;display_string=Audit&amp;VAR:KEY=JIVQTQVIRY&amp;VAR:QUERY=UkdGX1RBWF9SQVRFKEFOTiwwLCwsLCwsTk9BVURJVCk=&amp;WINDOW=FIRST_POPUP&amp;HEIGHT=450&amp;WIDTH=450&amp;","START_MAXIMIZED=FALSE&amp;VAR:CALENDAR=US&amp;VAR:SYMBOL=533004&amp;VAR:INDEX=0"}</definedName>
    <definedName name="_3449__FDSAUDITLINK__" hidden="1">{"fdsup://directions/FAT Viewer?action=UPDATE&amp;creator=factset&amp;DYN_ARGS=TRUE&amp;DOC_NAME=FAT:FQL_AUDITING_CLIENT_TEMPLATE.FAT&amp;display_string=Audit&amp;VAR:KEY=JIVQTQVIRY&amp;VAR:QUERY=UkdGX1RBWF9SQVRFKEFOTiwwLCwsLCwsTk9BVURJVCk=&amp;WINDOW=FIRST_POPUP&amp;HEIGHT=450&amp;WIDTH=450&amp;","START_MAXIMIZED=FALSE&amp;VAR:CALENDAR=US&amp;VAR:SYMBOL=533004&amp;VAR:INDEX=0"}</definedName>
    <definedName name="_3450__FDSAUDITLINK__" localSheetId="3" hidden="1">{"fdsup://directions/FAT Viewer?action=UPDATE&amp;creator=factset&amp;DYN_ARGS=TRUE&amp;DOC_NAME=FAT:FQL_AUDITING_CLIENT_TEMPLATE.FAT&amp;display_string=Audit&amp;VAR:KEY=JIVQTQVIRY&amp;VAR:QUERY=UkdGX1RBWF9SQVRFKEFOTiwwLCwsLCwsTk9BVURJVCk=&amp;WINDOW=FIRST_POPUP&amp;HEIGHT=450&amp;WIDTH=450&amp;","START_MAXIMIZED=FALSE&amp;VAR:CALENDAR=US&amp;VAR:SYMBOL=533004&amp;VAR:INDEX=0"}</definedName>
    <definedName name="_3450__FDSAUDITLINK__" localSheetId="7" hidden="1">{"fdsup://directions/FAT Viewer?action=UPDATE&amp;creator=factset&amp;DYN_ARGS=TRUE&amp;DOC_NAME=FAT:FQL_AUDITING_CLIENT_TEMPLATE.FAT&amp;display_string=Audit&amp;VAR:KEY=JIVQTQVIRY&amp;VAR:QUERY=UkdGX1RBWF9SQVRFKEFOTiwwLCwsLCwsTk9BVURJVCk=&amp;WINDOW=FIRST_POPUP&amp;HEIGHT=450&amp;WIDTH=450&amp;","START_MAXIMIZED=FALSE&amp;VAR:CALENDAR=US&amp;VAR:SYMBOL=533004&amp;VAR:INDEX=0"}</definedName>
    <definedName name="_3450__FDSAUDITLINK__" hidden="1">{"fdsup://directions/FAT Viewer?action=UPDATE&amp;creator=factset&amp;DYN_ARGS=TRUE&amp;DOC_NAME=FAT:FQL_AUDITING_CLIENT_TEMPLATE.FAT&amp;display_string=Audit&amp;VAR:KEY=JIVQTQVIRY&amp;VAR:QUERY=UkdGX1RBWF9SQVRFKEFOTiwwLCwsLCwsTk9BVURJVCk=&amp;WINDOW=FIRST_POPUP&amp;HEIGHT=450&amp;WIDTH=450&amp;","START_MAXIMIZED=FALSE&amp;VAR:CALENDAR=US&amp;VAR:SYMBOL=533004&amp;VAR:INDEX=0"}</definedName>
    <definedName name="_3451__FDSAUDITLINK__" localSheetId="3" hidden="1">{"fdsup://directions/FAT Viewer?action=UPDATE&amp;creator=factset&amp;DYN_ARGS=TRUE&amp;DOC_NAME=FAT:FQL_AUDITING_CLIENT_TEMPLATE.FAT&amp;display_string=Audit&amp;VAR:KEY=LAZSRCDCLK&amp;VAR:QUERY=UkdGX1RBWF9SQVRFKEFOTiwwLCwsLCwsTk9BVURJVCk=&amp;WINDOW=FIRST_POPUP&amp;HEIGHT=450&amp;WIDTH=450&amp;","START_MAXIMIZED=FALSE&amp;VAR:CALENDAR=US&amp;VAR:SYMBOL=629247&amp;VAR:INDEX=0"}</definedName>
    <definedName name="_3451__FDSAUDITLINK__" localSheetId="7" hidden="1">{"fdsup://directions/FAT Viewer?action=UPDATE&amp;creator=factset&amp;DYN_ARGS=TRUE&amp;DOC_NAME=FAT:FQL_AUDITING_CLIENT_TEMPLATE.FAT&amp;display_string=Audit&amp;VAR:KEY=LAZSRCDCLK&amp;VAR:QUERY=UkdGX1RBWF9SQVRFKEFOTiwwLCwsLCwsTk9BVURJVCk=&amp;WINDOW=FIRST_POPUP&amp;HEIGHT=450&amp;WIDTH=450&amp;","START_MAXIMIZED=FALSE&amp;VAR:CALENDAR=US&amp;VAR:SYMBOL=629247&amp;VAR:INDEX=0"}</definedName>
    <definedName name="_3451__FDSAUDITLINK__" hidden="1">{"fdsup://directions/FAT Viewer?action=UPDATE&amp;creator=factset&amp;DYN_ARGS=TRUE&amp;DOC_NAME=FAT:FQL_AUDITING_CLIENT_TEMPLATE.FAT&amp;display_string=Audit&amp;VAR:KEY=LAZSRCDCLK&amp;VAR:QUERY=UkdGX1RBWF9SQVRFKEFOTiwwLCwsLCwsTk9BVURJVCk=&amp;WINDOW=FIRST_POPUP&amp;HEIGHT=450&amp;WIDTH=450&amp;","START_MAXIMIZED=FALSE&amp;VAR:CALENDAR=US&amp;VAR:SYMBOL=629247&amp;VAR:INDEX=0"}</definedName>
    <definedName name="_3452__FDSAUDITLINK__" localSheetId="3" hidden="1">{"fdsup://directions/FAT Viewer?action=UPDATE&amp;creator=factset&amp;DYN_ARGS=TRUE&amp;DOC_NAME=FAT:FQL_AUDITING_CLIENT_TEMPLATE.FAT&amp;display_string=Audit&amp;VAR:KEY=LAZSRCDCLK&amp;VAR:QUERY=UkdGX1RBWF9SQVRFKEFOTiwwLCwsLCwsTk9BVURJVCk=&amp;WINDOW=FIRST_POPUP&amp;HEIGHT=450&amp;WIDTH=450&amp;","START_MAXIMIZED=FALSE&amp;VAR:CALENDAR=US&amp;VAR:SYMBOL=629247&amp;VAR:INDEX=0"}</definedName>
    <definedName name="_3452__FDSAUDITLINK__" localSheetId="7" hidden="1">{"fdsup://directions/FAT Viewer?action=UPDATE&amp;creator=factset&amp;DYN_ARGS=TRUE&amp;DOC_NAME=FAT:FQL_AUDITING_CLIENT_TEMPLATE.FAT&amp;display_string=Audit&amp;VAR:KEY=LAZSRCDCLK&amp;VAR:QUERY=UkdGX1RBWF9SQVRFKEFOTiwwLCwsLCwsTk9BVURJVCk=&amp;WINDOW=FIRST_POPUP&amp;HEIGHT=450&amp;WIDTH=450&amp;","START_MAXIMIZED=FALSE&amp;VAR:CALENDAR=US&amp;VAR:SYMBOL=629247&amp;VAR:INDEX=0"}</definedName>
    <definedName name="_3452__FDSAUDITLINK__" hidden="1">{"fdsup://directions/FAT Viewer?action=UPDATE&amp;creator=factset&amp;DYN_ARGS=TRUE&amp;DOC_NAME=FAT:FQL_AUDITING_CLIENT_TEMPLATE.FAT&amp;display_string=Audit&amp;VAR:KEY=LAZSRCDCLK&amp;VAR:QUERY=UkdGX1RBWF9SQVRFKEFOTiwwLCwsLCwsTk9BVURJVCk=&amp;WINDOW=FIRST_POPUP&amp;HEIGHT=450&amp;WIDTH=450&amp;","START_MAXIMIZED=FALSE&amp;VAR:CALENDAR=US&amp;VAR:SYMBOL=629247&amp;VAR:INDEX=0"}</definedName>
    <definedName name="_3453__FDSAUDITLINK__" localSheetId="3" hidden="1">{"fdsup://directions/FAT Viewer?action=UPDATE&amp;creator=factset&amp;DYN_ARGS=TRUE&amp;DOC_NAME=FAT:FQL_AUDITING_CLIENT_TEMPLATE.FAT&amp;display_string=Audit&amp;VAR:KEY=LGXUXUNKZI&amp;VAR:QUERY=UkdGX1RBWF9SQVRFKEFOTiwwLCwsLCwsTk9BVURJVCk=&amp;WINDOW=FIRST_POPUP&amp;HEIGHT=450&amp;WIDTH=450&amp;","START_MAXIMIZED=FALSE&amp;VAR:CALENDAR=US&amp;VAR:SYMBOL=CSGS&amp;VAR:INDEX=0"}</definedName>
    <definedName name="_3453__FDSAUDITLINK__" localSheetId="7" hidden="1">{"fdsup://directions/FAT Viewer?action=UPDATE&amp;creator=factset&amp;DYN_ARGS=TRUE&amp;DOC_NAME=FAT:FQL_AUDITING_CLIENT_TEMPLATE.FAT&amp;display_string=Audit&amp;VAR:KEY=LGXUXUNKZI&amp;VAR:QUERY=UkdGX1RBWF9SQVRFKEFOTiwwLCwsLCwsTk9BVURJVCk=&amp;WINDOW=FIRST_POPUP&amp;HEIGHT=450&amp;WIDTH=450&amp;","START_MAXIMIZED=FALSE&amp;VAR:CALENDAR=US&amp;VAR:SYMBOL=CSGS&amp;VAR:INDEX=0"}</definedName>
    <definedName name="_3453__FDSAUDITLINK__" hidden="1">{"fdsup://directions/FAT Viewer?action=UPDATE&amp;creator=factset&amp;DYN_ARGS=TRUE&amp;DOC_NAME=FAT:FQL_AUDITING_CLIENT_TEMPLATE.FAT&amp;display_string=Audit&amp;VAR:KEY=LGXUXUNKZI&amp;VAR:QUERY=UkdGX1RBWF9SQVRFKEFOTiwwLCwsLCwsTk9BVURJVCk=&amp;WINDOW=FIRST_POPUP&amp;HEIGHT=450&amp;WIDTH=450&amp;","START_MAXIMIZED=FALSE&amp;VAR:CALENDAR=US&amp;VAR:SYMBOL=CSGS&amp;VAR:INDEX=0"}</definedName>
    <definedName name="_3454__FDSAUDITLINK__" localSheetId="3" hidden="1">{"fdsup://directions/FAT Viewer?action=UPDATE&amp;creator=factset&amp;DYN_ARGS=TRUE&amp;DOC_NAME=FAT:FQL_AUDITING_CLIENT_TEMPLATE.FAT&amp;display_string=Audit&amp;VAR:KEY=LGXUXUNKZI&amp;VAR:QUERY=UkdGX1RBWF9SQVRFKEFOTiwwLCwsLCwsTk9BVURJVCk=&amp;WINDOW=FIRST_POPUP&amp;HEIGHT=450&amp;WIDTH=450&amp;","START_MAXIMIZED=FALSE&amp;VAR:CALENDAR=US&amp;VAR:SYMBOL=CSGS&amp;VAR:INDEX=0"}</definedName>
    <definedName name="_3454__FDSAUDITLINK__" localSheetId="7" hidden="1">{"fdsup://directions/FAT Viewer?action=UPDATE&amp;creator=factset&amp;DYN_ARGS=TRUE&amp;DOC_NAME=FAT:FQL_AUDITING_CLIENT_TEMPLATE.FAT&amp;display_string=Audit&amp;VAR:KEY=LGXUXUNKZI&amp;VAR:QUERY=UkdGX1RBWF9SQVRFKEFOTiwwLCwsLCwsTk9BVURJVCk=&amp;WINDOW=FIRST_POPUP&amp;HEIGHT=450&amp;WIDTH=450&amp;","START_MAXIMIZED=FALSE&amp;VAR:CALENDAR=US&amp;VAR:SYMBOL=CSGS&amp;VAR:INDEX=0"}</definedName>
    <definedName name="_3454__FDSAUDITLINK__" hidden="1">{"fdsup://directions/FAT Viewer?action=UPDATE&amp;creator=factset&amp;DYN_ARGS=TRUE&amp;DOC_NAME=FAT:FQL_AUDITING_CLIENT_TEMPLATE.FAT&amp;display_string=Audit&amp;VAR:KEY=LGXUXUNKZI&amp;VAR:QUERY=UkdGX1RBWF9SQVRFKEFOTiwwLCwsLCwsTk9BVURJVCk=&amp;WINDOW=FIRST_POPUP&amp;HEIGHT=450&amp;WIDTH=450&amp;","START_MAXIMIZED=FALSE&amp;VAR:CALENDAR=US&amp;VAR:SYMBOL=CSGS&amp;VAR:INDEX=0"}</definedName>
    <definedName name="_3455__FDSAUDITLINK__" localSheetId="3" hidden="1">{"fdsup://directions/FAT Viewer?action=UPDATE&amp;creator=factset&amp;DYN_ARGS=TRUE&amp;DOC_NAME=FAT:FQL_AUDITING_CLIENT_TEMPLATE.FAT&amp;display_string=Audit&amp;VAR:KEY=HAZILMHOVU&amp;VAR:QUERY=UkdGX1RBWF9SQVRFKEFOTiwwLCwsLCwsTk9BVURJVCk=&amp;WINDOW=FIRST_POPUP&amp;HEIGHT=450&amp;WIDTH=450&amp;","START_MAXIMIZED=FALSE&amp;VAR:CALENDAR=US&amp;VAR:SYMBOL=CSGP&amp;VAR:INDEX=0"}</definedName>
    <definedName name="_3455__FDSAUDITLINK__" localSheetId="7" hidden="1">{"fdsup://directions/FAT Viewer?action=UPDATE&amp;creator=factset&amp;DYN_ARGS=TRUE&amp;DOC_NAME=FAT:FQL_AUDITING_CLIENT_TEMPLATE.FAT&amp;display_string=Audit&amp;VAR:KEY=HAZILMHOVU&amp;VAR:QUERY=UkdGX1RBWF9SQVRFKEFOTiwwLCwsLCwsTk9BVURJVCk=&amp;WINDOW=FIRST_POPUP&amp;HEIGHT=450&amp;WIDTH=450&amp;","START_MAXIMIZED=FALSE&amp;VAR:CALENDAR=US&amp;VAR:SYMBOL=CSGP&amp;VAR:INDEX=0"}</definedName>
    <definedName name="_3455__FDSAUDITLINK__" hidden="1">{"fdsup://directions/FAT Viewer?action=UPDATE&amp;creator=factset&amp;DYN_ARGS=TRUE&amp;DOC_NAME=FAT:FQL_AUDITING_CLIENT_TEMPLATE.FAT&amp;display_string=Audit&amp;VAR:KEY=HAZILMHOVU&amp;VAR:QUERY=UkdGX1RBWF9SQVRFKEFOTiwwLCwsLCwsTk9BVURJVCk=&amp;WINDOW=FIRST_POPUP&amp;HEIGHT=450&amp;WIDTH=450&amp;","START_MAXIMIZED=FALSE&amp;VAR:CALENDAR=US&amp;VAR:SYMBOL=CSGP&amp;VAR:INDEX=0"}</definedName>
    <definedName name="_3456__FDSAUDITLINK__" localSheetId="3" hidden="1">{"fdsup://directions/FAT Viewer?action=UPDATE&amp;creator=factset&amp;DYN_ARGS=TRUE&amp;DOC_NAME=FAT:FQL_AUDITING_CLIENT_TEMPLATE.FAT&amp;display_string=Audit&amp;VAR:KEY=HAZILMHOVU&amp;VAR:QUERY=UkdGX1RBWF9SQVRFKEFOTiwwLCwsLCwsTk9BVURJVCk=&amp;WINDOW=FIRST_POPUP&amp;HEIGHT=450&amp;WIDTH=450&amp;","START_MAXIMIZED=FALSE&amp;VAR:CALENDAR=US&amp;VAR:SYMBOL=CSGP&amp;VAR:INDEX=0"}</definedName>
    <definedName name="_3456__FDSAUDITLINK__" localSheetId="7" hidden="1">{"fdsup://directions/FAT Viewer?action=UPDATE&amp;creator=factset&amp;DYN_ARGS=TRUE&amp;DOC_NAME=FAT:FQL_AUDITING_CLIENT_TEMPLATE.FAT&amp;display_string=Audit&amp;VAR:KEY=HAZILMHOVU&amp;VAR:QUERY=UkdGX1RBWF9SQVRFKEFOTiwwLCwsLCwsTk9BVURJVCk=&amp;WINDOW=FIRST_POPUP&amp;HEIGHT=450&amp;WIDTH=450&amp;","START_MAXIMIZED=FALSE&amp;VAR:CALENDAR=US&amp;VAR:SYMBOL=CSGP&amp;VAR:INDEX=0"}</definedName>
    <definedName name="_3456__FDSAUDITLINK__" hidden="1">{"fdsup://directions/FAT Viewer?action=UPDATE&amp;creator=factset&amp;DYN_ARGS=TRUE&amp;DOC_NAME=FAT:FQL_AUDITING_CLIENT_TEMPLATE.FAT&amp;display_string=Audit&amp;VAR:KEY=HAZILMHOVU&amp;VAR:QUERY=UkdGX1RBWF9SQVRFKEFOTiwwLCwsLCwsTk9BVURJVCk=&amp;WINDOW=FIRST_POPUP&amp;HEIGHT=450&amp;WIDTH=450&amp;","START_MAXIMIZED=FALSE&amp;VAR:CALENDAR=US&amp;VAR:SYMBOL=CSGP&amp;VAR:INDEX=0"}</definedName>
    <definedName name="_3457__FDSAUDITLINK__" localSheetId="3" hidden="1">{"fdsup://directions/FAT Viewer?action=UPDATE&amp;creator=factset&amp;DYN_ARGS=TRUE&amp;DOC_NAME=FAT:FQL_AUDITING_CLIENT_TEMPLATE.FAT&amp;display_string=Audit&amp;VAR:KEY=JIFCVARIRA&amp;VAR:QUERY=UkdGX1RBWF9SQVRFKEFOTiwwLCwsLCwsTk9BVURJVCk=&amp;WINDOW=FIRST_POPUP&amp;HEIGHT=450&amp;WIDTH=450&amp;","START_MAXIMIZED=FALSE&amp;VAR:CALENDAR=US&amp;VAR:SYMBOL=EXBD&amp;VAR:INDEX=0"}</definedName>
    <definedName name="_3457__FDSAUDITLINK__" localSheetId="7" hidden="1">{"fdsup://directions/FAT Viewer?action=UPDATE&amp;creator=factset&amp;DYN_ARGS=TRUE&amp;DOC_NAME=FAT:FQL_AUDITING_CLIENT_TEMPLATE.FAT&amp;display_string=Audit&amp;VAR:KEY=JIFCVARIRA&amp;VAR:QUERY=UkdGX1RBWF9SQVRFKEFOTiwwLCwsLCwsTk9BVURJVCk=&amp;WINDOW=FIRST_POPUP&amp;HEIGHT=450&amp;WIDTH=450&amp;","START_MAXIMIZED=FALSE&amp;VAR:CALENDAR=US&amp;VAR:SYMBOL=EXBD&amp;VAR:INDEX=0"}</definedName>
    <definedName name="_3457__FDSAUDITLINK__" hidden="1">{"fdsup://directions/FAT Viewer?action=UPDATE&amp;creator=factset&amp;DYN_ARGS=TRUE&amp;DOC_NAME=FAT:FQL_AUDITING_CLIENT_TEMPLATE.FAT&amp;display_string=Audit&amp;VAR:KEY=JIFCVARIRA&amp;VAR:QUERY=UkdGX1RBWF9SQVRFKEFOTiwwLCwsLCwsTk9BVURJVCk=&amp;WINDOW=FIRST_POPUP&amp;HEIGHT=450&amp;WIDTH=450&amp;","START_MAXIMIZED=FALSE&amp;VAR:CALENDAR=US&amp;VAR:SYMBOL=EXBD&amp;VAR:INDEX=0"}</definedName>
    <definedName name="_3458__FDSAUDITLINK__" localSheetId="3" hidden="1">{"fdsup://directions/FAT Viewer?action=UPDATE&amp;creator=factset&amp;DYN_ARGS=TRUE&amp;DOC_NAME=FAT:FQL_AUDITING_CLIENT_TEMPLATE.FAT&amp;display_string=Audit&amp;VAR:KEY=JIFCVARIRA&amp;VAR:QUERY=UkdGX1RBWF9SQVRFKEFOTiwwLCwsLCwsTk9BVURJVCk=&amp;WINDOW=FIRST_POPUP&amp;HEIGHT=450&amp;WIDTH=450&amp;","START_MAXIMIZED=FALSE&amp;VAR:CALENDAR=US&amp;VAR:SYMBOL=EXBD&amp;VAR:INDEX=0"}</definedName>
    <definedName name="_3458__FDSAUDITLINK__" localSheetId="7" hidden="1">{"fdsup://directions/FAT Viewer?action=UPDATE&amp;creator=factset&amp;DYN_ARGS=TRUE&amp;DOC_NAME=FAT:FQL_AUDITING_CLIENT_TEMPLATE.FAT&amp;display_string=Audit&amp;VAR:KEY=JIFCVARIRA&amp;VAR:QUERY=UkdGX1RBWF9SQVRFKEFOTiwwLCwsLCwsTk9BVURJVCk=&amp;WINDOW=FIRST_POPUP&amp;HEIGHT=450&amp;WIDTH=450&amp;","START_MAXIMIZED=FALSE&amp;VAR:CALENDAR=US&amp;VAR:SYMBOL=EXBD&amp;VAR:INDEX=0"}</definedName>
    <definedName name="_3458__FDSAUDITLINK__" hidden="1">{"fdsup://directions/FAT Viewer?action=UPDATE&amp;creator=factset&amp;DYN_ARGS=TRUE&amp;DOC_NAME=FAT:FQL_AUDITING_CLIENT_TEMPLATE.FAT&amp;display_string=Audit&amp;VAR:KEY=JIFCVARIRA&amp;VAR:QUERY=UkdGX1RBWF9SQVRFKEFOTiwwLCwsLCwsTk9BVURJVCk=&amp;WINDOW=FIRST_POPUP&amp;HEIGHT=450&amp;WIDTH=450&amp;","START_MAXIMIZED=FALSE&amp;VAR:CALENDAR=US&amp;VAR:SYMBOL=EXBD&amp;VAR:INDEX=0"}</definedName>
    <definedName name="_3459__FDSAUDITLINK__" localSheetId="3" hidden="1">{"fdsup://directions/FAT Viewer?action=UPDATE&amp;creator=factset&amp;DYN_ARGS=TRUE&amp;DOC_NAME=FAT:FQL_AUDITING_CLIENT_TEMPLATE.FAT&amp;display_string=Audit&amp;VAR:KEY=TQDQZEHQVU&amp;VAR:QUERY=UkdGX1RBWF9SQVRFKEFOTiwwLCwsLCwsTk9BVURJVCk=&amp;WINDOW=FIRST_POPUP&amp;HEIGHT=450&amp;WIDTH=450&amp;","START_MAXIMIZED=FALSE&amp;VAR:CALENDAR=US&amp;VAR:SYMBOL=CNVO&amp;VAR:INDEX=0"}</definedName>
    <definedName name="_3459__FDSAUDITLINK__" localSheetId="7" hidden="1">{"fdsup://directions/FAT Viewer?action=UPDATE&amp;creator=factset&amp;DYN_ARGS=TRUE&amp;DOC_NAME=FAT:FQL_AUDITING_CLIENT_TEMPLATE.FAT&amp;display_string=Audit&amp;VAR:KEY=TQDQZEHQVU&amp;VAR:QUERY=UkdGX1RBWF9SQVRFKEFOTiwwLCwsLCwsTk9BVURJVCk=&amp;WINDOW=FIRST_POPUP&amp;HEIGHT=450&amp;WIDTH=450&amp;","START_MAXIMIZED=FALSE&amp;VAR:CALENDAR=US&amp;VAR:SYMBOL=CNVO&amp;VAR:INDEX=0"}</definedName>
    <definedName name="_3459__FDSAUDITLINK__" hidden="1">{"fdsup://directions/FAT Viewer?action=UPDATE&amp;creator=factset&amp;DYN_ARGS=TRUE&amp;DOC_NAME=FAT:FQL_AUDITING_CLIENT_TEMPLATE.FAT&amp;display_string=Audit&amp;VAR:KEY=TQDQZEHQVU&amp;VAR:QUERY=UkdGX1RBWF9SQVRFKEFOTiwwLCwsLCwsTk9BVURJVCk=&amp;WINDOW=FIRST_POPUP&amp;HEIGHT=450&amp;WIDTH=450&amp;","START_MAXIMIZED=FALSE&amp;VAR:CALENDAR=US&amp;VAR:SYMBOL=CNVO&amp;VAR:INDEX=0"}</definedName>
    <definedName name="_346__FDSAUDITLINK__" localSheetId="3" hidden="1">{"fdsup://directions/FAT Viewer?action=UPDATE&amp;creator=factset&amp;DYN_ARGS=TRUE&amp;DOC_NAME=FAT:FQL_AUDITING_CLIENT_TEMPLATE.FAT&amp;display_string=Audit&amp;VAR:KEY=XSFIPQNGHY&amp;VAR:QUERY=RkZfU0FMRVMoTFRNLDAsLCwsLE0p&amp;WINDOW=FIRST_POPUP&amp;HEIGHT=450&amp;WIDTH=450&amp;START_MAXIMIZED=","FALSE&amp;VAR:CALENDAR=US&amp;VAR:SYMBOL=B1G8KX&amp;VAR:INDEX=0"}</definedName>
    <definedName name="_346__FDSAUDITLINK__" localSheetId="7" hidden="1">{"fdsup://directions/FAT Viewer?action=UPDATE&amp;creator=factset&amp;DYN_ARGS=TRUE&amp;DOC_NAME=FAT:FQL_AUDITING_CLIENT_TEMPLATE.FAT&amp;display_string=Audit&amp;VAR:KEY=XSFIPQNGHY&amp;VAR:QUERY=RkZfU0FMRVMoTFRNLDAsLCwsLE0p&amp;WINDOW=FIRST_POPUP&amp;HEIGHT=450&amp;WIDTH=450&amp;START_MAXIMIZED=","FALSE&amp;VAR:CALENDAR=US&amp;VAR:SYMBOL=B1G8KX&amp;VAR:INDEX=0"}</definedName>
    <definedName name="_346__FDSAUDITLINK__" hidden="1">{"fdsup://directions/FAT Viewer?action=UPDATE&amp;creator=factset&amp;DYN_ARGS=TRUE&amp;DOC_NAME=FAT:FQL_AUDITING_CLIENT_TEMPLATE.FAT&amp;display_string=Audit&amp;VAR:KEY=XSFIPQNGHY&amp;VAR:QUERY=RkZfU0FMRVMoTFRNLDAsLCwsLE0p&amp;WINDOW=FIRST_POPUP&amp;HEIGHT=450&amp;WIDTH=450&amp;START_MAXIMIZED=","FALSE&amp;VAR:CALENDAR=US&amp;VAR:SYMBOL=B1G8KX&amp;VAR:INDEX=0"}</definedName>
    <definedName name="_3460__FDSAUDITLINK__" localSheetId="3" hidden="1">{"fdsup://directions/FAT Viewer?action=UPDATE&amp;creator=factset&amp;DYN_ARGS=TRUE&amp;DOC_NAME=FAT:FQL_AUDITING_CLIENT_TEMPLATE.FAT&amp;display_string=Audit&amp;VAR:KEY=TQDQZEHQVU&amp;VAR:QUERY=UkdGX1RBWF9SQVRFKEFOTiwwLCwsLCwsTk9BVURJVCk=&amp;WINDOW=FIRST_POPUP&amp;HEIGHT=450&amp;WIDTH=450&amp;","START_MAXIMIZED=FALSE&amp;VAR:CALENDAR=US&amp;VAR:SYMBOL=CNVO&amp;VAR:INDEX=0"}</definedName>
    <definedName name="_3460__FDSAUDITLINK__" localSheetId="7" hidden="1">{"fdsup://directions/FAT Viewer?action=UPDATE&amp;creator=factset&amp;DYN_ARGS=TRUE&amp;DOC_NAME=FAT:FQL_AUDITING_CLIENT_TEMPLATE.FAT&amp;display_string=Audit&amp;VAR:KEY=TQDQZEHQVU&amp;VAR:QUERY=UkdGX1RBWF9SQVRFKEFOTiwwLCwsLCwsTk9BVURJVCk=&amp;WINDOW=FIRST_POPUP&amp;HEIGHT=450&amp;WIDTH=450&amp;","START_MAXIMIZED=FALSE&amp;VAR:CALENDAR=US&amp;VAR:SYMBOL=CNVO&amp;VAR:INDEX=0"}</definedName>
    <definedName name="_3460__FDSAUDITLINK__" hidden="1">{"fdsup://directions/FAT Viewer?action=UPDATE&amp;creator=factset&amp;DYN_ARGS=TRUE&amp;DOC_NAME=FAT:FQL_AUDITING_CLIENT_TEMPLATE.FAT&amp;display_string=Audit&amp;VAR:KEY=TQDQZEHQVU&amp;VAR:QUERY=UkdGX1RBWF9SQVRFKEFOTiwwLCwsLCwsTk9BVURJVCk=&amp;WINDOW=FIRST_POPUP&amp;HEIGHT=450&amp;WIDTH=450&amp;","START_MAXIMIZED=FALSE&amp;VAR:CALENDAR=US&amp;VAR:SYMBOL=CNVO&amp;VAR:INDEX=0"}</definedName>
    <definedName name="_3461__FDSAUDITLINK__" localSheetId="3" hidden="1">{"fdsup://directions/FAT Viewer?action=UPDATE&amp;creator=factset&amp;DYN_ARGS=TRUE&amp;DOC_NAME=FAT:FQL_AUDITING_CLIENT_TEMPLATE.FAT&amp;display_string=Audit&amp;VAR:KEY=HYJQZARIPA&amp;VAR:QUERY=UkdGX1RBWF9SQVRFKEFOTiwwLCwsLCwsTk9BVURJVCk=&amp;WINDOW=FIRST_POPUP&amp;HEIGHT=450&amp;WIDTH=450&amp;","START_MAXIMIZED=FALSE&amp;VAR:CALENDAR=US&amp;VAR:SYMBOL=CTCT&amp;VAR:INDEX=0"}</definedName>
    <definedName name="_3461__FDSAUDITLINK__" localSheetId="7" hidden="1">{"fdsup://directions/FAT Viewer?action=UPDATE&amp;creator=factset&amp;DYN_ARGS=TRUE&amp;DOC_NAME=FAT:FQL_AUDITING_CLIENT_TEMPLATE.FAT&amp;display_string=Audit&amp;VAR:KEY=HYJQZARIPA&amp;VAR:QUERY=UkdGX1RBWF9SQVRFKEFOTiwwLCwsLCwsTk9BVURJVCk=&amp;WINDOW=FIRST_POPUP&amp;HEIGHT=450&amp;WIDTH=450&amp;","START_MAXIMIZED=FALSE&amp;VAR:CALENDAR=US&amp;VAR:SYMBOL=CTCT&amp;VAR:INDEX=0"}</definedName>
    <definedName name="_3461__FDSAUDITLINK__" hidden="1">{"fdsup://directions/FAT Viewer?action=UPDATE&amp;creator=factset&amp;DYN_ARGS=TRUE&amp;DOC_NAME=FAT:FQL_AUDITING_CLIENT_TEMPLATE.FAT&amp;display_string=Audit&amp;VAR:KEY=HYJQZARIPA&amp;VAR:QUERY=UkdGX1RBWF9SQVRFKEFOTiwwLCwsLCwsTk9BVURJVCk=&amp;WINDOW=FIRST_POPUP&amp;HEIGHT=450&amp;WIDTH=450&amp;","START_MAXIMIZED=FALSE&amp;VAR:CALENDAR=US&amp;VAR:SYMBOL=CTCT&amp;VAR:INDEX=0"}</definedName>
    <definedName name="_3462__FDSAUDITLINK__" localSheetId="3" hidden="1">{"fdsup://directions/FAT Viewer?action=UPDATE&amp;creator=factset&amp;DYN_ARGS=TRUE&amp;DOC_NAME=FAT:FQL_AUDITING_CLIENT_TEMPLATE.FAT&amp;display_string=Audit&amp;VAR:KEY=HYJQZARIPA&amp;VAR:QUERY=UkdGX1RBWF9SQVRFKEFOTiwwLCwsLCwsTk9BVURJVCk=&amp;WINDOW=FIRST_POPUP&amp;HEIGHT=450&amp;WIDTH=450&amp;","START_MAXIMIZED=FALSE&amp;VAR:CALENDAR=US&amp;VAR:SYMBOL=CTCT&amp;VAR:INDEX=0"}</definedName>
    <definedName name="_3462__FDSAUDITLINK__" localSheetId="7" hidden="1">{"fdsup://directions/FAT Viewer?action=UPDATE&amp;creator=factset&amp;DYN_ARGS=TRUE&amp;DOC_NAME=FAT:FQL_AUDITING_CLIENT_TEMPLATE.FAT&amp;display_string=Audit&amp;VAR:KEY=HYJQZARIPA&amp;VAR:QUERY=UkdGX1RBWF9SQVRFKEFOTiwwLCwsLCwsTk9BVURJVCk=&amp;WINDOW=FIRST_POPUP&amp;HEIGHT=450&amp;WIDTH=450&amp;","START_MAXIMIZED=FALSE&amp;VAR:CALENDAR=US&amp;VAR:SYMBOL=CTCT&amp;VAR:INDEX=0"}</definedName>
    <definedName name="_3462__FDSAUDITLINK__" hidden="1">{"fdsup://directions/FAT Viewer?action=UPDATE&amp;creator=factset&amp;DYN_ARGS=TRUE&amp;DOC_NAME=FAT:FQL_AUDITING_CLIENT_TEMPLATE.FAT&amp;display_string=Audit&amp;VAR:KEY=HYJQZARIPA&amp;VAR:QUERY=UkdGX1RBWF9SQVRFKEFOTiwwLCwsLCwsTk9BVURJVCk=&amp;WINDOW=FIRST_POPUP&amp;HEIGHT=450&amp;WIDTH=450&amp;","START_MAXIMIZED=FALSE&amp;VAR:CALENDAR=US&amp;VAR:SYMBOL=CTCT&amp;VAR:INDEX=0"}</definedName>
    <definedName name="_3463__FDSAUDITLINK__" localSheetId="3" hidden="1">{"fdsup://directions/FAT Viewer?action=UPDATE&amp;creator=factset&amp;DYN_ARGS=TRUE&amp;DOC_NAME=FAT:FQL_AUDITING_CLIENT_TEMPLATE.FAT&amp;display_string=Audit&amp;VAR:KEY=VMBMXMXQJW&amp;VAR:QUERY=UkdGX1RBWF9SQVRFKEFOTiwwLCwsLCwsTk9BVURJVCk=&amp;WINDOW=FIRST_POPUP&amp;HEIGHT=450&amp;WIDTH=450&amp;","START_MAXIMIZED=FALSE&amp;VAR:CALENDAR=US&amp;VAR:SYMBOL=CNQR&amp;VAR:INDEX=0"}</definedName>
    <definedName name="_3463__FDSAUDITLINK__" localSheetId="7" hidden="1">{"fdsup://directions/FAT Viewer?action=UPDATE&amp;creator=factset&amp;DYN_ARGS=TRUE&amp;DOC_NAME=FAT:FQL_AUDITING_CLIENT_TEMPLATE.FAT&amp;display_string=Audit&amp;VAR:KEY=VMBMXMXQJW&amp;VAR:QUERY=UkdGX1RBWF9SQVRFKEFOTiwwLCwsLCwsTk9BVURJVCk=&amp;WINDOW=FIRST_POPUP&amp;HEIGHT=450&amp;WIDTH=450&amp;","START_MAXIMIZED=FALSE&amp;VAR:CALENDAR=US&amp;VAR:SYMBOL=CNQR&amp;VAR:INDEX=0"}</definedName>
    <definedName name="_3463__FDSAUDITLINK__" hidden="1">{"fdsup://directions/FAT Viewer?action=UPDATE&amp;creator=factset&amp;DYN_ARGS=TRUE&amp;DOC_NAME=FAT:FQL_AUDITING_CLIENT_TEMPLATE.FAT&amp;display_string=Audit&amp;VAR:KEY=VMBMXMXQJW&amp;VAR:QUERY=UkdGX1RBWF9SQVRFKEFOTiwwLCwsLCwsTk9BVURJVCk=&amp;WINDOW=FIRST_POPUP&amp;HEIGHT=450&amp;WIDTH=450&amp;","START_MAXIMIZED=FALSE&amp;VAR:CALENDAR=US&amp;VAR:SYMBOL=CNQR&amp;VAR:INDEX=0"}</definedName>
    <definedName name="_3464__FDSAUDITLINK__" localSheetId="3" hidden="1">{"fdsup://directions/FAT Viewer?action=UPDATE&amp;creator=factset&amp;DYN_ARGS=TRUE&amp;DOC_NAME=FAT:FQL_AUDITING_CLIENT_TEMPLATE.FAT&amp;display_string=Audit&amp;VAR:KEY=VMBMXMXQJW&amp;VAR:QUERY=UkdGX1RBWF9SQVRFKEFOTiwwLCwsLCwsTk9BVURJVCk=&amp;WINDOW=FIRST_POPUP&amp;HEIGHT=450&amp;WIDTH=450&amp;","START_MAXIMIZED=FALSE&amp;VAR:CALENDAR=US&amp;VAR:SYMBOL=CNQR&amp;VAR:INDEX=0"}</definedName>
    <definedName name="_3464__FDSAUDITLINK__" localSheetId="7" hidden="1">{"fdsup://directions/FAT Viewer?action=UPDATE&amp;creator=factset&amp;DYN_ARGS=TRUE&amp;DOC_NAME=FAT:FQL_AUDITING_CLIENT_TEMPLATE.FAT&amp;display_string=Audit&amp;VAR:KEY=VMBMXMXQJW&amp;VAR:QUERY=UkdGX1RBWF9SQVRFKEFOTiwwLCwsLCwsTk9BVURJVCk=&amp;WINDOW=FIRST_POPUP&amp;HEIGHT=450&amp;WIDTH=450&amp;","START_MAXIMIZED=FALSE&amp;VAR:CALENDAR=US&amp;VAR:SYMBOL=CNQR&amp;VAR:INDEX=0"}</definedName>
    <definedName name="_3464__FDSAUDITLINK__" hidden="1">{"fdsup://directions/FAT Viewer?action=UPDATE&amp;creator=factset&amp;DYN_ARGS=TRUE&amp;DOC_NAME=FAT:FQL_AUDITING_CLIENT_TEMPLATE.FAT&amp;display_string=Audit&amp;VAR:KEY=VMBMXMXQJW&amp;VAR:QUERY=UkdGX1RBWF9SQVRFKEFOTiwwLCwsLCwsTk9BVURJVCk=&amp;WINDOW=FIRST_POPUP&amp;HEIGHT=450&amp;WIDTH=450&amp;","START_MAXIMIZED=FALSE&amp;VAR:CALENDAR=US&amp;VAR:SYMBOL=CNQR&amp;VAR:INDEX=0"}</definedName>
    <definedName name="_3465__FDSAUDITLINK__" localSheetId="3" hidden="1">{"fdsup://directions/FAT Viewer?action=UPDATE&amp;creator=factset&amp;DYN_ARGS=TRUE&amp;DOC_NAME=FAT:FQL_AUDITING_CLIENT_TEMPLATE.FAT&amp;display_string=Audit&amp;VAR:KEY=FMPADMNSXC&amp;VAR:QUERY=UkdGX1RBWF9SQVRFKEFOTiwwLCwsLCwsTk9BVURJVCk=&amp;WINDOW=FIRST_POPUP&amp;HEIGHT=450&amp;WIDTH=450&amp;","START_MAXIMIZED=FALSE&amp;VAR:CALENDAR=US&amp;VAR:SYMBOL=SCOR&amp;VAR:INDEX=0"}</definedName>
    <definedName name="_3465__FDSAUDITLINK__" localSheetId="7" hidden="1">{"fdsup://directions/FAT Viewer?action=UPDATE&amp;creator=factset&amp;DYN_ARGS=TRUE&amp;DOC_NAME=FAT:FQL_AUDITING_CLIENT_TEMPLATE.FAT&amp;display_string=Audit&amp;VAR:KEY=FMPADMNSXC&amp;VAR:QUERY=UkdGX1RBWF9SQVRFKEFOTiwwLCwsLCwsTk9BVURJVCk=&amp;WINDOW=FIRST_POPUP&amp;HEIGHT=450&amp;WIDTH=450&amp;","START_MAXIMIZED=FALSE&amp;VAR:CALENDAR=US&amp;VAR:SYMBOL=SCOR&amp;VAR:INDEX=0"}</definedName>
    <definedName name="_3465__FDSAUDITLINK__" hidden="1">{"fdsup://directions/FAT Viewer?action=UPDATE&amp;creator=factset&amp;DYN_ARGS=TRUE&amp;DOC_NAME=FAT:FQL_AUDITING_CLIENT_TEMPLATE.FAT&amp;display_string=Audit&amp;VAR:KEY=FMPADMNSXC&amp;VAR:QUERY=UkdGX1RBWF9SQVRFKEFOTiwwLCwsLCwsTk9BVURJVCk=&amp;WINDOW=FIRST_POPUP&amp;HEIGHT=450&amp;WIDTH=450&amp;","START_MAXIMIZED=FALSE&amp;VAR:CALENDAR=US&amp;VAR:SYMBOL=SCOR&amp;VAR:INDEX=0"}</definedName>
    <definedName name="_3466__FDSAUDITLINK__" localSheetId="3" hidden="1">{"fdsup://directions/FAT Viewer?action=UPDATE&amp;creator=factset&amp;DYN_ARGS=TRUE&amp;DOC_NAME=FAT:FQL_AUDITING_CLIENT_TEMPLATE.FAT&amp;display_string=Audit&amp;VAR:KEY=TOFMHUXAXI&amp;VAR:QUERY=UkdGX1RBWF9SQVRFKEFOTiwwLCwsLCwsTk9BVURJVCk=&amp;WINDOW=FIRST_POPUP&amp;HEIGHT=450&amp;WIDTH=450&amp;","START_MAXIMIZED=FALSE&amp;VAR:CALENDAR=US&amp;VAR:SYMBOL=CPWR&amp;VAR:INDEX=0"}</definedName>
    <definedName name="_3466__FDSAUDITLINK__" localSheetId="7" hidden="1">{"fdsup://directions/FAT Viewer?action=UPDATE&amp;creator=factset&amp;DYN_ARGS=TRUE&amp;DOC_NAME=FAT:FQL_AUDITING_CLIENT_TEMPLATE.FAT&amp;display_string=Audit&amp;VAR:KEY=TOFMHUXAXI&amp;VAR:QUERY=UkdGX1RBWF9SQVRFKEFOTiwwLCwsLCwsTk9BVURJVCk=&amp;WINDOW=FIRST_POPUP&amp;HEIGHT=450&amp;WIDTH=450&amp;","START_MAXIMIZED=FALSE&amp;VAR:CALENDAR=US&amp;VAR:SYMBOL=CPWR&amp;VAR:INDEX=0"}</definedName>
    <definedName name="_3466__FDSAUDITLINK__" hidden="1">{"fdsup://directions/FAT Viewer?action=UPDATE&amp;creator=factset&amp;DYN_ARGS=TRUE&amp;DOC_NAME=FAT:FQL_AUDITING_CLIENT_TEMPLATE.FAT&amp;display_string=Audit&amp;VAR:KEY=TOFMHUXAXI&amp;VAR:QUERY=UkdGX1RBWF9SQVRFKEFOTiwwLCwsLCwsTk9BVURJVCk=&amp;WINDOW=FIRST_POPUP&amp;HEIGHT=450&amp;WIDTH=450&amp;","START_MAXIMIZED=FALSE&amp;VAR:CALENDAR=US&amp;VAR:SYMBOL=CPWR&amp;VAR:INDEX=0"}</definedName>
    <definedName name="_3467__FDSAUDITLINK__" localSheetId="3" hidden="1">{"fdsup://directions/FAT Viewer?action=UPDATE&amp;creator=factset&amp;DYN_ARGS=TRUE&amp;DOC_NAME=FAT:FQL_AUDITING_CLIENT_TEMPLATE.FAT&amp;display_string=Audit&amp;VAR:KEY=TOFMHUXAXI&amp;VAR:QUERY=UkdGX1RBWF9SQVRFKEFOTiwwLCwsLCwsTk9BVURJVCk=&amp;WINDOW=FIRST_POPUP&amp;HEIGHT=450&amp;WIDTH=450&amp;","START_MAXIMIZED=FALSE&amp;VAR:CALENDAR=US&amp;VAR:SYMBOL=CPWR&amp;VAR:INDEX=0"}</definedName>
    <definedName name="_3467__FDSAUDITLINK__" localSheetId="7" hidden="1">{"fdsup://directions/FAT Viewer?action=UPDATE&amp;creator=factset&amp;DYN_ARGS=TRUE&amp;DOC_NAME=FAT:FQL_AUDITING_CLIENT_TEMPLATE.FAT&amp;display_string=Audit&amp;VAR:KEY=TOFMHUXAXI&amp;VAR:QUERY=UkdGX1RBWF9SQVRFKEFOTiwwLCwsLCwsTk9BVURJVCk=&amp;WINDOW=FIRST_POPUP&amp;HEIGHT=450&amp;WIDTH=450&amp;","START_MAXIMIZED=FALSE&amp;VAR:CALENDAR=US&amp;VAR:SYMBOL=CPWR&amp;VAR:INDEX=0"}</definedName>
    <definedName name="_3467__FDSAUDITLINK__" hidden="1">{"fdsup://directions/FAT Viewer?action=UPDATE&amp;creator=factset&amp;DYN_ARGS=TRUE&amp;DOC_NAME=FAT:FQL_AUDITING_CLIENT_TEMPLATE.FAT&amp;display_string=Audit&amp;VAR:KEY=TOFMHUXAXI&amp;VAR:QUERY=UkdGX1RBWF9SQVRFKEFOTiwwLCwsLCwsTk9BVURJVCk=&amp;WINDOW=FIRST_POPUP&amp;HEIGHT=450&amp;WIDTH=450&amp;","START_MAXIMIZED=FALSE&amp;VAR:CALENDAR=US&amp;VAR:SYMBOL=CPWR&amp;VAR:INDEX=0"}</definedName>
    <definedName name="_3468__FDSAUDITLINK__" localSheetId="3" hidden="1">{"fdsup://directions/FAT Viewer?action=UPDATE&amp;creator=factset&amp;DYN_ARGS=TRUE&amp;DOC_NAME=FAT:FQL_AUDITING_CLIENT_TEMPLATE.FAT&amp;display_string=Audit&amp;VAR:KEY=FGDSDANSFC&amp;VAR:QUERY=UkdGX1RBWF9SQVRFKEFOTiwwLCwsLCwsTk9BVURJVCk=&amp;WINDOW=FIRST_POPUP&amp;HEIGHT=450&amp;WIDTH=450&amp;","START_MAXIMIZED=FALSE&amp;VAR:CALENDAR=US&amp;VAR:SYMBOL=509453&amp;VAR:INDEX=0"}</definedName>
    <definedName name="_3468__FDSAUDITLINK__" localSheetId="7" hidden="1">{"fdsup://directions/FAT Viewer?action=UPDATE&amp;creator=factset&amp;DYN_ARGS=TRUE&amp;DOC_NAME=FAT:FQL_AUDITING_CLIENT_TEMPLATE.FAT&amp;display_string=Audit&amp;VAR:KEY=FGDSDANSFC&amp;VAR:QUERY=UkdGX1RBWF9SQVRFKEFOTiwwLCwsLCwsTk9BVURJVCk=&amp;WINDOW=FIRST_POPUP&amp;HEIGHT=450&amp;WIDTH=450&amp;","START_MAXIMIZED=FALSE&amp;VAR:CALENDAR=US&amp;VAR:SYMBOL=509453&amp;VAR:INDEX=0"}</definedName>
    <definedName name="_3468__FDSAUDITLINK__" hidden="1">{"fdsup://directions/FAT Viewer?action=UPDATE&amp;creator=factset&amp;DYN_ARGS=TRUE&amp;DOC_NAME=FAT:FQL_AUDITING_CLIENT_TEMPLATE.FAT&amp;display_string=Audit&amp;VAR:KEY=FGDSDANSFC&amp;VAR:QUERY=UkdGX1RBWF9SQVRFKEFOTiwwLCwsLCwsTk9BVURJVCk=&amp;WINDOW=FIRST_POPUP&amp;HEIGHT=450&amp;WIDTH=450&amp;","START_MAXIMIZED=FALSE&amp;VAR:CALENDAR=US&amp;VAR:SYMBOL=509453&amp;VAR:INDEX=0"}</definedName>
    <definedName name="_3469__FDSAUDITLINK__" localSheetId="3" hidden="1">{"fdsup://directions/FAT Viewer?action=UPDATE&amp;creator=factset&amp;DYN_ARGS=TRUE&amp;DOC_NAME=FAT:FQL_AUDITING_CLIENT_TEMPLATE.FAT&amp;display_string=Audit&amp;VAR:KEY=FGDSDANSFC&amp;VAR:QUERY=UkdGX1RBWF9SQVRFKEFOTiwwLCwsLCwsTk9BVURJVCk=&amp;WINDOW=FIRST_POPUP&amp;HEIGHT=450&amp;WIDTH=450&amp;","START_MAXIMIZED=FALSE&amp;VAR:CALENDAR=US&amp;VAR:SYMBOL=509453&amp;VAR:INDEX=0"}</definedName>
    <definedName name="_3469__FDSAUDITLINK__" localSheetId="7" hidden="1">{"fdsup://directions/FAT Viewer?action=UPDATE&amp;creator=factset&amp;DYN_ARGS=TRUE&amp;DOC_NAME=FAT:FQL_AUDITING_CLIENT_TEMPLATE.FAT&amp;display_string=Audit&amp;VAR:KEY=FGDSDANSFC&amp;VAR:QUERY=UkdGX1RBWF9SQVRFKEFOTiwwLCwsLCwsTk9BVURJVCk=&amp;WINDOW=FIRST_POPUP&amp;HEIGHT=450&amp;WIDTH=450&amp;","START_MAXIMIZED=FALSE&amp;VAR:CALENDAR=US&amp;VAR:SYMBOL=509453&amp;VAR:INDEX=0"}</definedName>
    <definedName name="_3469__FDSAUDITLINK__" hidden="1">{"fdsup://directions/FAT Viewer?action=UPDATE&amp;creator=factset&amp;DYN_ARGS=TRUE&amp;DOC_NAME=FAT:FQL_AUDITING_CLIENT_TEMPLATE.FAT&amp;display_string=Audit&amp;VAR:KEY=FGDSDANSFC&amp;VAR:QUERY=UkdGX1RBWF9SQVRFKEFOTiwwLCwsLCwsTk9BVURJVCk=&amp;WINDOW=FIRST_POPUP&amp;HEIGHT=450&amp;WIDTH=450&amp;","START_MAXIMIZED=FALSE&amp;VAR:CALENDAR=US&amp;VAR:SYMBOL=509453&amp;VAR:INDEX=0"}</definedName>
    <definedName name="_347__FDSAUDITLINK__" localSheetId="3" hidden="1">{"fdsup://directions/FAT Viewer?action=UPDATE&amp;creator=factset&amp;DYN_ARGS=TRUE&amp;DOC_NAME=FAT:FQL_AUDITING_CLIENT_TEMPLATE.FAT&amp;display_string=Audit&amp;VAR:KEY=ARUJGLWZYH&amp;VAR:QUERY=RkZfREVCVF9BU1NFVFMoQU5OLDAsLTksWSxSUCk=&amp;WINDOW=FIRST_POPUP&amp;HEIGHT=450&amp;WIDTH=450&amp;STAR","T_MAXIMIZED=FALSE&amp;VAR:CALENDAR=US&amp;VAR:SYMBOL=B10LQP&amp;VAR:INDEX=4"}</definedName>
    <definedName name="_347__FDSAUDITLINK__" localSheetId="7" hidden="1">{"fdsup://directions/FAT Viewer?action=UPDATE&amp;creator=factset&amp;DYN_ARGS=TRUE&amp;DOC_NAME=FAT:FQL_AUDITING_CLIENT_TEMPLATE.FAT&amp;display_string=Audit&amp;VAR:KEY=ARUJGLWZYH&amp;VAR:QUERY=RkZfREVCVF9BU1NFVFMoQU5OLDAsLTksWSxSUCk=&amp;WINDOW=FIRST_POPUP&amp;HEIGHT=450&amp;WIDTH=450&amp;STAR","T_MAXIMIZED=FALSE&amp;VAR:CALENDAR=US&amp;VAR:SYMBOL=B10LQP&amp;VAR:INDEX=4"}</definedName>
    <definedName name="_347__FDSAUDITLINK__" hidden="1">{"fdsup://directions/FAT Viewer?action=UPDATE&amp;creator=factset&amp;DYN_ARGS=TRUE&amp;DOC_NAME=FAT:FQL_AUDITING_CLIENT_TEMPLATE.FAT&amp;display_string=Audit&amp;VAR:KEY=ARUJGLWZYH&amp;VAR:QUERY=RkZfREVCVF9BU1NFVFMoQU5OLDAsLTksWSxSUCk=&amp;WINDOW=FIRST_POPUP&amp;HEIGHT=450&amp;WIDTH=450&amp;STAR","T_MAXIMIZED=FALSE&amp;VAR:CALENDAR=US&amp;VAR:SYMBOL=B10LQP&amp;VAR:INDEX=4"}</definedName>
    <definedName name="_3470__FDSAUDITLINK__" localSheetId="3" hidden="1">{"fdsup://directions/FAT Viewer?action=UPDATE&amp;creator=factset&amp;DYN_ARGS=TRUE&amp;DOC_NAME=FAT:FQL_AUDITING_CLIENT_TEMPLATE.FAT&amp;display_string=Audit&amp;VAR:KEY=PSTSNATILE&amp;VAR:QUERY=UkdGX1RBWF9SQVRFKEFOTiwwLCwsLCwsTk9BVURJVCk=&amp;WINDOW=FIRST_POPUP&amp;HEIGHT=450&amp;WIDTH=450&amp;","START_MAXIMIZED=FALSE&amp;VAR:CALENDAR=US&amp;VAR:SYMBOL=CVLT&amp;VAR:INDEX=0"}</definedName>
    <definedName name="_3470__FDSAUDITLINK__" localSheetId="7" hidden="1">{"fdsup://directions/FAT Viewer?action=UPDATE&amp;creator=factset&amp;DYN_ARGS=TRUE&amp;DOC_NAME=FAT:FQL_AUDITING_CLIENT_TEMPLATE.FAT&amp;display_string=Audit&amp;VAR:KEY=PSTSNATILE&amp;VAR:QUERY=UkdGX1RBWF9SQVRFKEFOTiwwLCwsLCwsTk9BVURJVCk=&amp;WINDOW=FIRST_POPUP&amp;HEIGHT=450&amp;WIDTH=450&amp;","START_MAXIMIZED=FALSE&amp;VAR:CALENDAR=US&amp;VAR:SYMBOL=CVLT&amp;VAR:INDEX=0"}</definedName>
    <definedName name="_3470__FDSAUDITLINK__" hidden="1">{"fdsup://directions/FAT Viewer?action=UPDATE&amp;creator=factset&amp;DYN_ARGS=TRUE&amp;DOC_NAME=FAT:FQL_AUDITING_CLIENT_TEMPLATE.FAT&amp;display_string=Audit&amp;VAR:KEY=PSTSNATILE&amp;VAR:QUERY=UkdGX1RBWF9SQVRFKEFOTiwwLCwsLCwsTk9BVURJVCk=&amp;WINDOW=FIRST_POPUP&amp;HEIGHT=450&amp;WIDTH=450&amp;","START_MAXIMIZED=FALSE&amp;VAR:CALENDAR=US&amp;VAR:SYMBOL=CVLT&amp;VAR:INDEX=0"}</definedName>
    <definedName name="_3471__FDSAUDITLINK__" localSheetId="3" hidden="1">{"fdsup://directions/FAT Viewer?action=UPDATE&amp;creator=factset&amp;DYN_ARGS=TRUE&amp;DOC_NAME=FAT:FQL_AUDITING_CLIENT_TEMPLATE.FAT&amp;display_string=Audit&amp;VAR:KEY=PSTSNATILE&amp;VAR:QUERY=UkdGX1RBWF9SQVRFKEFOTiwwLCwsLCwsTk9BVURJVCk=&amp;WINDOW=FIRST_POPUP&amp;HEIGHT=450&amp;WIDTH=450&amp;","START_MAXIMIZED=FALSE&amp;VAR:CALENDAR=US&amp;VAR:SYMBOL=CVLT&amp;VAR:INDEX=0"}</definedName>
    <definedName name="_3471__FDSAUDITLINK__" localSheetId="7" hidden="1">{"fdsup://directions/FAT Viewer?action=UPDATE&amp;creator=factset&amp;DYN_ARGS=TRUE&amp;DOC_NAME=FAT:FQL_AUDITING_CLIENT_TEMPLATE.FAT&amp;display_string=Audit&amp;VAR:KEY=PSTSNATILE&amp;VAR:QUERY=UkdGX1RBWF9SQVRFKEFOTiwwLCwsLCwsTk9BVURJVCk=&amp;WINDOW=FIRST_POPUP&amp;HEIGHT=450&amp;WIDTH=450&amp;","START_MAXIMIZED=FALSE&amp;VAR:CALENDAR=US&amp;VAR:SYMBOL=CVLT&amp;VAR:INDEX=0"}</definedName>
    <definedName name="_3471__FDSAUDITLINK__" hidden="1">{"fdsup://directions/FAT Viewer?action=UPDATE&amp;creator=factset&amp;DYN_ARGS=TRUE&amp;DOC_NAME=FAT:FQL_AUDITING_CLIENT_TEMPLATE.FAT&amp;display_string=Audit&amp;VAR:KEY=PSTSNATILE&amp;VAR:QUERY=UkdGX1RBWF9SQVRFKEFOTiwwLCwsLCwsTk9BVURJVCk=&amp;WINDOW=FIRST_POPUP&amp;HEIGHT=450&amp;WIDTH=450&amp;","START_MAXIMIZED=FALSE&amp;VAR:CALENDAR=US&amp;VAR:SYMBOL=CVLT&amp;VAR:INDEX=0"}</definedName>
    <definedName name="_3472__FDSAUDITLINK__" localSheetId="3" hidden="1">{"fdsup://directions/FAT Viewer?action=UPDATE&amp;creator=factset&amp;DYN_ARGS=TRUE&amp;DOC_NAME=FAT:FQL_AUDITING_CLIENT_TEMPLATE.FAT&amp;display_string=Audit&amp;VAR:KEY=ZWHOTCDEJY&amp;VAR:QUERY=UkdGX1RBWF9SQVRFKEFOTiwwLCwsLCwsTk9BVURJVCk=&amp;WINDOW=FIRST_POPUP&amp;HEIGHT=450&amp;WIDTH=450&amp;","START_MAXIMIZED=FALSE&amp;VAR:CALENDAR=US&amp;VAR:SYMBOL=CTXS&amp;VAR:INDEX=0"}</definedName>
    <definedName name="_3472__FDSAUDITLINK__" localSheetId="7" hidden="1">{"fdsup://directions/FAT Viewer?action=UPDATE&amp;creator=factset&amp;DYN_ARGS=TRUE&amp;DOC_NAME=FAT:FQL_AUDITING_CLIENT_TEMPLATE.FAT&amp;display_string=Audit&amp;VAR:KEY=ZWHOTCDEJY&amp;VAR:QUERY=UkdGX1RBWF9SQVRFKEFOTiwwLCwsLCwsTk9BVURJVCk=&amp;WINDOW=FIRST_POPUP&amp;HEIGHT=450&amp;WIDTH=450&amp;","START_MAXIMIZED=FALSE&amp;VAR:CALENDAR=US&amp;VAR:SYMBOL=CTXS&amp;VAR:INDEX=0"}</definedName>
    <definedName name="_3472__FDSAUDITLINK__" hidden="1">{"fdsup://directions/FAT Viewer?action=UPDATE&amp;creator=factset&amp;DYN_ARGS=TRUE&amp;DOC_NAME=FAT:FQL_AUDITING_CLIENT_TEMPLATE.FAT&amp;display_string=Audit&amp;VAR:KEY=ZWHOTCDEJY&amp;VAR:QUERY=UkdGX1RBWF9SQVRFKEFOTiwwLCwsLCwsTk9BVURJVCk=&amp;WINDOW=FIRST_POPUP&amp;HEIGHT=450&amp;WIDTH=450&amp;","START_MAXIMIZED=FALSE&amp;VAR:CALENDAR=US&amp;VAR:SYMBOL=CTXS&amp;VAR:INDEX=0"}</definedName>
    <definedName name="_3473__FDSAUDITLINK__" localSheetId="3" hidden="1">{"fdsup://directions/FAT Viewer?action=UPDATE&amp;creator=factset&amp;DYN_ARGS=TRUE&amp;DOC_NAME=FAT:FQL_AUDITING_CLIENT_TEMPLATE.FAT&amp;display_string=Audit&amp;VAR:KEY=ZWHOTCDEJY&amp;VAR:QUERY=UkdGX1RBWF9SQVRFKEFOTiwwLCwsLCwsTk9BVURJVCk=&amp;WINDOW=FIRST_POPUP&amp;HEIGHT=450&amp;WIDTH=450&amp;","START_MAXIMIZED=FALSE&amp;VAR:CALENDAR=US&amp;VAR:SYMBOL=CTXS&amp;VAR:INDEX=0"}</definedName>
    <definedName name="_3473__FDSAUDITLINK__" localSheetId="7" hidden="1">{"fdsup://directions/FAT Viewer?action=UPDATE&amp;creator=factset&amp;DYN_ARGS=TRUE&amp;DOC_NAME=FAT:FQL_AUDITING_CLIENT_TEMPLATE.FAT&amp;display_string=Audit&amp;VAR:KEY=ZWHOTCDEJY&amp;VAR:QUERY=UkdGX1RBWF9SQVRFKEFOTiwwLCwsLCwsTk9BVURJVCk=&amp;WINDOW=FIRST_POPUP&amp;HEIGHT=450&amp;WIDTH=450&amp;","START_MAXIMIZED=FALSE&amp;VAR:CALENDAR=US&amp;VAR:SYMBOL=CTXS&amp;VAR:INDEX=0"}</definedName>
    <definedName name="_3473__FDSAUDITLINK__" hidden="1">{"fdsup://directions/FAT Viewer?action=UPDATE&amp;creator=factset&amp;DYN_ARGS=TRUE&amp;DOC_NAME=FAT:FQL_AUDITING_CLIENT_TEMPLATE.FAT&amp;display_string=Audit&amp;VAR:KEY=ZWHOTCDEJY&amp;VAR:QUERY=UkdGX1RBWF9SQVRFKEFOTiwwLCwsLCwsTk9BVURJVCk=&amp;WINDOW=FIRST_POPUP&amp;HEIGHT=450&amp;WIDTH=450&amp;","START_MAXIMIZED=FALSE&amp;VAR:CALENDAR=US&amp;VAR:SYMBOL=CTXS&amp;VAR:INDEX=0"}</definedName>
    <definedName name="_3474__FDSAUDITLINK__" localSheetId="3" hidden="1">{"fdsup://directions/FAT Viewer?action=UPDATE&amp;creator=factset&amp;DYN_ARGS=TRUE&amp;DOC_NAME=FAT:FQL_AUDITING_CLIENT_TEMPLATE.FAT&amp;display_string=Audit&amp;VAR:KEY=ZMHSZAHAVE&amp;VAR:QUERY=UkdGX1RBWF9SQVRFKEFOTiwwLCwsLCwsTk9BVURJVCk=&amp;WINDOW=FIRST_POPUP&amp;HEIGHT=450&amp;WIDTH=450&amp;","START_MAXIMIZED=FALSE&amp;VAR:CALENDAR=US&amp;VAR:SYMBOL=CSOD&amp;VAR:INDEX=0"}</definedName>
    <definedName name="_3474__FDSAUDITLINK__" localSheetId="7" hidden="1">{"fdsup://directions/FAT Viewer?action=UPDATE&amp;creator=factset&amp;DYN_ARGS=TRUE&amp;DOC_NAME=FAT:FQL_AUDITING_CLIENT_TEMPLATE.FAT&amp;display_string=Audit&amp;VAR:KEY=ZMHSZAHAVE&amp;VAR:QUERY=UkdGX1RBWF9SQVRFKEFOTiwwLCwsLCwsTk9BVURJVCk=&amp;WINDOW=FIRST_POPUP&amp;HEIGHT=450&amp;WIDTH=450&amp;","START_MAXIMIZED=FALSE&amp;VAR:CALENDAR=US&amp;VAR:SYMBOL=CSOD&amp;VAR:INDEX=0"}</definedName>
    <definedName name="_3474__FDSAUDITLINK__" hidden="1">{"fdsup://directions/FAT Viewer?action=UPDATE&amp;creator=factset&amp;DYN_ARGS=TRUE&amp;DOC_NAME=FAT:FQL_AUDITING_CLIENT_TEMPLATE.FAT&amp;display_string=Audit&amp;VAR:KEY=ZMHSZAHAVE&amp;VAR:QUERY=UkdGX1RBWF9SQVRFKEFOTiwwLCwsLCwsTk9BVURJVCk=&amp;WINDOW=FIRST_POPUP&amp;HEIGHT=450&amp;WIDTH=450&amp;","START_MAXIMIZED=FALSE&amp;VAR:CALENDAR=US&amp;VAR:SYMBOL=CSOD&amp;VAR:INDEX=0"}</definedName>
    <definedName name="_3475__FDSAUDITLINK__" localSheetId="3" hidden="1">{"fdsup://directions/FAT Viewer?action=UPDATE&amp;creator=factset&amp;DYN_ARGS=TRUE&amp;DOC_NAME=FAT:FQL_AUDITING_CLIENT_TEMPLATE.FAT&amp;display_string=Audit&amp;VAR:KEY=BADATSTKFK&amp;VAR:QUERY=UkdGX1RBWF9SQVRFKEFOTiwwLCwsLCwsTk9BVURJVCk=&amp;WINDOW=FIRST_POPUP&amp;HEIGHT=450&amp;WIDTH=450&amp;","START_MAXIMIZED=FALSE&amp;VAR:CALENDAR=US&amp;VAR:SYMBOL=CSCO&amp;VAR:INDEX=0"}</definedName>
    <definedName name="_3475__FDSAUDITLINK__" localSheetId="7" hidden="1">{"fdsup://directions/FAT Viewer?action=UPDATE&amp;creator=factset&amp;DYN_ARGS=TRUE&amp;DOC_NAME=FAT:FQL_AUDITING_CLIENT_TEMPLATE.FAT&amp;display_string=Audit&amp;VAR:KEY=BADATSTKFK&amp;VAR:QUERY=UkdGX1RBWF9SQVRFKEFOTiwwLCwsLCwsTk9BVURJVCk=&amp;WINDOW=FIRST_POPUP&amp;HEIGHT=450&amp;WIDTH=450&amp;","START_MAXIMIZED=FALSE&amp;VAR:CALENDAR=US&amp;VAR:SYMBOL=CSCO&amp;VAR:INDEX=0"}</definedName>
    <definedName name="_3475__FDSAUDITLINK__" hidden="1">{"fdsup://directions/FAT Viewer?action=UPDATE&amp;creator=factset&amp;DYN_ARGS=TRUE&amp;DOC_NAME=FAT:FQL_AUDITING_CLIENT_TEMPLATE.FAT&amp;display_string=Audit&amp;VAR:KEY=BADATSTKFK&amp;VAR:QUERY=UkdGX1RBWF9SQVRFKEFOTiwwLCwsLCwsTk9BVURJVCk=&amp;WINDOW=FIRST_POPUP&amp;HEIGHT=450&amp;WIDTH=450&amp;","START_MAXIMIZED=FALSE&amp;VAR:CALENDAR=US&amp;VAR:SYMBOL=CSCO&amp;VAR:INDEX=0"}</definedName>
    <definedName name="_3476__FDSAUDITLINK__" localSheetId="3" hidden="1">{"fdsup://directions/FAT Viewer?action=UPDATE&amp;creator=factset&amp;DYN_ARGS=TRUE&amp;DOC_NAME=FAT:FQL_AUDITING_CLIENT_TEMPLATE.FAT&amp;display_string=Audit&amp;VAR:KEY=BADATSTKFK&amp;VAR:QUERY=UkdGX1RBWF9SQVRFKEFOTiwwLCwsLCwsTk9BVURJVCk=&amp;WINDOW=FIRST_POPUP&amp;HEIGHT=450&amp;WIDTH=450&amp;","START_MAXIMIZED=FALSE&amp;VAR:CALENDAR=US&amp;VAR:SYMBOL=CSCO&amp;VAR:INDEX=0"}</definedName>
    <definedName name="_3476__FDSAUDITLINK__" localSheetId="7" hidden="1">{"fdsup://directions/FAT Viewer?action=UPDATE&amp;creator=factset&amp;DYN_ARGS=TRUE&amp;DOC_NAME=FAT:FQL_AUDITING_CLIENT_TEMPLATE.FAT&amp;display_string=Audit&amp;VAR:KEY=BADATSTKFK&amp;VAR:QUERY=UkdGX1RBWF9SQVRFKEFOTiwwLCwsLCwsTk9BVURJVCk=&amp;WINDOW=FIRST_POPUP&amp;HEIGHT=450&amp;WIDTH=450&amp;","START_MAXIMIZED=FALSE&amp;VAR:CALENDAR=US&amp;VAR:SYMBOL=CSCO&amp;VAR:INDEX=0"}</definedName>
    <definedName name="_3476__FDSAUDITLINK__" hidden="1">{"fdsup://directions/FAT Viewer?action=UPDATE&amp;creator=factset&amp;DYN_ARGS=TRUE&amp;DOC_NAME=FAT:FQL_AUDITING_CLIENT_TEMPLATE.FAT&amp;display_string=Audit&amp;VAR:KEY=BADATSTKFK&amp;VAR:QUERY=UkdGX1RBWF9SQVRFKEFOTiwwLCwsLCwsTk9BVURJVCk=&amp;WINDOW=FIRST_POPUP&amp;HEIGHT=450&amp;WIDTH=450&amp;","START_MAXIMIZED=FALSE&amp;VAR:CALENDAR=US&amp;VAR:SYMBOL=CSCO&amp;VAR:INDEX=0"}</definedName>
    <definedName name="_3477__FDSAUDITLINK__" localSheetId="3" hidden="1">{"fdsup://directions/FAT Viewer?action=UPDATE&amp;creator=factset&amp;DYN_ARGS=TRUE&amp;DOC_NAME=FAT:FQL_AUDITING_CLIENT_TEMPLATE.FAT&amp;display_string=Audit&amp;VAR:KEY=FAZANGXEZW&amp;VAR:QUERY=UkdGX1RBWF9SQVRFKEFOTiwwLCwsLCwsTk9BVURJVCk=&amp;WINDOW=FIRST_POPUP&amp;HEIGHT=450&amp;WIDTH=450&amp;","START_MAXIMIZED=FALSE&amp;VAR:CALENDAR=US&amp;VAR:SYMBOL=CSC&amp;VAR:INDEX=0"}</definedName>
    <definedName name="_3477__FDSAUDITLINK__" localSheetId="7" hidden="1">{"fdsup://directions/FAT Viewer?action=UPDATE&amp;creator=factset&amp;DYN_ARGS=TRUE&amp;DOC_NAME=FAT:FQL_AUDITING_CLIENT_TEMPLATE.FAT&amp;display_string=Audit&amp;VAR:KEY=FAZANGXEZW&amp;VAR:QUERY=UkdGX1RBWF9SQVRFKEFOTiwwLCwsLCwsTk9BVURJVCk=&amp;WINDOW=FIRST_POPUP&amp;HEIGHT=450&amp;WIDTH=450&amp;","START_MAXIMIZED=FALSE&amp;VAR:CALENDAR=US&amp;VAR:SYMBOL=CSC&amp;VAR:INDEX=0"}</definedName>
    <definedName name="_3477__FDSAUDITLINK__" hidden="1">{"fdsup://directions/FAT Viewer?action=UPDATE&amp;creator=factset&amp;DYN_ARGS=TRUE&amp;DOC_NAME=FAT:FQL_AUDITING_CLIENT_TEMPLATE.FAT&amp;display_string=Audit&amp;VAR:KEY=FAZANGXEZW&amp;VAR:QUERY=UkdGX1RBWF9SQVRFKEFOTiwwLCwsLCwsTk9BVURJVCk=&amp;WINDOW=FIRST_POPUP&amp;HEIGHT=450&amp;WIDTH=450&amp;","START_MAXIMIZED=FALSE&amp;VAR:CALENDAR=US&amp;VAR:SYMBOL=CSC&amp;VAR:INDEX=0"}</definedName>
    <definedName name="_3478__FDSAUDITLINK__" localSheetId="3" hidden="1">{"fdsup://directions/FAT Viewer?action=UPDATE&amp;creator=factset&amp;DYN_ARGS=TRUE&amp;DOC_NAME=FAT:FQL_AUDITING_CLIENT_TEMPLATE.FAT&amp;display_string=Audit&amp;VAR:KEY=FAZANGXEZW&amp;VAR:QUERY=UkdGX1RBWF9SQVRFKEFOTiwwLCwsLCwsTk9BVURJVCk=&amp;WINDOW=FIRST_POPUP&amp;HEIGHT=450&amp;WIDTH=450&amp;","START_MAXIMIZED=FALSE&amp;VAR:CALENDAR=US&amp;VAR:SYMBOL=CSC&amp;VAR:INDEX=0"}</definedName>
    <definedName name="_3478__FDSAUDITLINK__" localSheetId="7" hidden="1">{"fdsup://directions/FAT Viewer?action=UPDATE&amp;creator=factset&amp;DYN_ARGS=TRUE&amp;DOC_NAME=FAT:FQL_AUDITING_CLIENT_TEMPLATE.FAT&amp;display_string=Audit&amp;VAR:KEY=FAZANGXEZW&amp;VAR:QUERY=UkdGX1RBWF9SQVRFKEFOTiwwLCwsLCwsTk9BVURJVCk=&amp;WINDOW=FIRST_POPUP&amp;HEIGHT=450&amp;WIDTH=450&amp;","START_MAXIMIZED=FALSE&amp;VAR:CALENDAR=US&amp;VAR:SYMBOL=CSC&amp;VAR:INDEX=0"}</definedName>
    <definedName name="_3478__FDSAUDITLINK__" hidden="1">{"fdsup://directions/FAT Viewer?action=UPDATE&amp;creator=factset&amp;DYN_ARGS=TRUE&amp;DOC_NAME=FAT:FQL_AUDITING_CLIENT_TEMPLATE.FAT&amp;display_string=Audit&amp;VAR:KEY=FAZANGXEZW&amp;VAR:QUERY=UkdGX1RBWF9SQVRFKEFOTiwwLCwsLCwsTk9BVURJVCk=&amp;WINDOW=FIRST_POPUP&amp;HEIGHT=450&amp;WIDTH=450&amp;","START_MAXIMIZED=FALSE&amp;VAR:CALENDAR=US&amp;VAR:SYMBOL=CSC&amp;VAR:INDEX=0"}</definedName>
    <definedName name="_3479__FDSAUDITLINK__" localSheetId="3" hidden="1">{"fdsup://directions/FAT Viewer?action=UPDATE&amp;creator=factset&amp;DYN_ARGS=TRUE&amp;DOC_NAME=FAT:FQL_AUDITING_CLIENT_TEMPLATE.FAT&amp;display_string=Audit&amp;VAR:KEY=DABQXCRQJA&amp;VAR:QUERY=UkdGX1RBWF9SQVRFKEFOTiwwLCwsLCwsTk9BVURJVCk=&amp;WINDOW=FIRST_POPUP&amp;HEIGHT=450&amp;WIDTH=450&amp;","START_MAXIMIZED=FALSE&amp;VAR:CALENDAR=US&amp;VAR:SYMBOL=CHKP&amp;VAR:INDEX=0"}</definedName>
    <definedName name="_3479__FDSAUDITLINK__" localSheetId="7" hidden="1">{"fdsup://directions/FAT Viewer?action=UPDATE&amp;creator=factset&amp;DYN_ARGS=TRUE&amp;DOC_NAME=FAT:FQL_AUDITING_CLIENT_TEMPLATE.FAT&amp;display_string=Audit&amp;VAR:KEY=DABQXCRQJA&amp;VAR:QUERY=UkdGX1RBWF9SQVRFKEFOTiwwLCwsLCwsTk9BVURJVCk=&amp;WINDOW=FIRST_POPUP&amp;HEIGHT=450&amp;WIDTH=450&amp;","START_MAXIMIZED=FALSE&amp;VAR:CALENDAR=US&amp;VAR:SYMBOL=CHKP&amp;VAR:INDEX=0"}</definedName>
    <definedName name="_3479__FDSAUDITLINK__" hidden="1">{"fdsup://directions/FAT Viewer?action=UPDATE&amp;creator=factset&amp;DYN_ARGS=TRUE&amp;DOC_NAME=FAT:FQL_AUDITING_CLIENT_TEMPLATE.FAT&amp;display_string=Audit&amp;VAR:KEY=DABQXCRQJA&amp;VAR:QUERY=UkdGX1RBWF9SQVRFKEFOTiwwLCwsLCwsTk9BVURJVCk=&amp;WINDOW=FIRST_POPUP&amp;HEIGHT=450&amp;WIDTH=450&amp;","START_MAXIMIZED=FALSE&amp;VAR:CALENDAR=US&amp;VAR:SYMBOL=CHKP&amp;VAR:INDEX=0"}</definedName>
    <definedName name="_348__FDSAUDITLINK__" localSheetId="3" hidden="1">{"fdsup://directions/FAT Viewer?action=UPDATE&amp;creator=factset&amp;DYN_ARGS=TRUE&amp;DOC_NAME=FAT:FQL_AUDITING_CLIENT_TEMPLATE.FAT&amp;display_string=Audit&amp;VAR:KEY=ARUJGLWZYH&amp;VAR:QUERY=RkZfREVCVF9BU1NFVFMoQU5OLDAsLTksWSxSUCk=&amp;WINDOW=FIRST_POPUP&amp;HEIGHT=450&amp;WIDTH=450&amp;STAR","T_MAXIMIZED=FALSE&amp;VAR:CALENDAR=US&amp;VAR:SYMBOL=B10LQP&amp;VAR:INDEX=3"}</definedName>
    <definedName name="_348__FDSAUDITLINK__" localSheetId="7" hidden="1">{"fdsup://directions/FAT Viewer?action=UPDATE&amp;creator=factset&amp;DYN_ARGS=TRUE&amp;DOC_NAME=FAT:FQL_AUDITING_CLIENT_TEMPLATE.FAT&amp;display_string=Audit&amp;VAR:KEY=ARUJGLWZYH&amp;VAR:QUERY=RkZfREVCVF9BU1NFVFMoQU5OLDAsLTksWSxSUCk=&amp;WINDOW=FIRST_POPUP&amp;HEIGHT=450&amp;WIDTH=450&amp;STAR","T_MAXIMIZED=FALSE&amp;VAR:CALENDAR=US&amp;VAR:SYMBOL=B10LQP&amp;VAR:INDEX=3"}</definedName>
    <definedName name="_348__FDSAUDITLINK__" hidden="1">{"fdsup://directions/FAT Viewer?action=UPDATE&amp;creator=factset&amp;DYN_ARGS=TRUE&amp;DOC_NAME=FAT:FQL_AUDITING_CLIENT_TEMPLATE.FAT&amp;display_string=Audit&amp;VAR:KEY=ARUJGLWZYH&amp;VAR:QUERY=RkZfREVCVF9BU1NFVFMoQU5OLDAsLTksWSxSUCk=&amp;WINDOW=FIRST_POPUP&amp;HEIGHT=450&amp;WIDTH=450&amp;STAR","T_MAXIMIZED=FALSE&amp;VAR:CALENDAR=US&amp;VAR:SYMBOL=B10LQP&amp;VAR:INDEX=3"}</definedName>
    <definedName name="_3480__FDSAUDITLINK__" localSheetId="3" hidden="1">{"fdsup://directions/FAT Viewer?action=UPDATE&amp;creator=factset&amp;DYN_ARGS=TRUE&amp;DOC_NAME=FAT:FQL_AUDITING_CLIENT_TEMPLATE.FAT&amp;display_string=Audit&amp;VAR:KEY=DABQXCRQJA&amp;VAR:QUERY=UkdGX1RBWF9SQVRFKEFOTiwwLCwsLCwsTk9BVURJVCk=&amp;WINDOW=FIRST_POPUP&amp;HEIGHT=450&amp;WIDTH=450&amp;","START_MAXIMIZED=FALSE&amp;VAR:CALENDAR=US&amp;VAR:SYMBOL=CHKP&amp;VAR:INDEX=0"}</definedName>
    <definedName name="_3480__FDSAUDITLINK__" localSheetId="7" hidden="1">{"fdsup://directions/FAT Viewer?action=UPDATE&amp;creator=factset&amp;DYN_ARGS=TRUE&amp;DOC_NAME=FAT:FQL_AUDITING_CLIENT_TEMPLATE.FAT&amp;display_string=Audit&amp;VAR:KEY=DABQXCRQJA&amp;VAR:QUERY=UkdGX1RBWF9SQVRFKEFOTiwwLCwsLCwsTk9BVURJVCk=&amp;WINDOW=FIRST_POPUP&amp;HEIGHT=450&amp;WIDTH=450&amp;","START_MAXIMIZED=FALSE&amp;VAR:CALENDAR=US&amp;VAR:SYMBOL=CHKP&amp;VAR:INDEX=0"}</definedName>
    <definedName name="_3480__FDSAUDITLINK__" hidden="1">{"fdsup://directions/FAT Viewer?action=UPDATE&amp;creator=factset&amp;DYN_ARGS=TRUE&amp;DOC_NAME=FAT:FQL_AUDITING_CLIENT_TEMPLATE.FAT&amp;display_string=Audit&amp;VAR:KEY=DABQXCRQJA&amp;VAR:QUERY=UkdGX1RBWF9SQVRFKEFOTiwwLCwsLCwsTk9BVURJVCk=&amp;WINDOW=FIRST_POPUP&amp;HEIGHT=450&amp;WIDTH=450&amp;","START_MAXIMIZED=FALSE&amp;VAR:CALENDAR=US&amp;VAR:SYMBOL=CHKP&amp;VAR:INDEX=0"}</definedName>
    <definedName name="_3481__FDSAUDITLINK__" localSheetId="3" hidden="1">{"fdsup://directions/FAT Viewer?action=UPDATE&amp;creator=factset&amp;DYN_ARGS=TRUE&amp;DOC_NAME=FAT:FQL_AUDITING_CLIENT_TEMPLATE.FAT&amp;display_string=Audit&amp;VAR:KEY=FMTCHEBSDC&amp;VAR:QUERY=UkdGX1RBWF9SQVRFKEFOTiwwLCwsLCwsTk9BVURJVCk=&amp;WINDOW=FIRST_POPUP&amp;HEIGHT=450&amp;WIDTH=450&amp;","START_MAXIMIZED=FALSE&amp;VAR:CALENDAR=US&amp;VAR:SYMBOL=CERN&amp;VAR:INDEX=0"}</definedName>
    <definedName name="_3481__FDSAUDITLINK__" localSheetId="7" hidden="1">{"fdsup://directions/FAT Viewer?action=UPDATE&amp;creator=factset&amp;DYN_ARGS=TRUE&amp;DOC_NAME=FAT:FQL_AUDITING_CLIENT_TEMPLATE.FAT&amp;display_string=Audit&amp;VAR:KEY=FMTCHEBSDC&amp;VAR:QUERY=UkdGX1RBWF9SQVRFKEFOTiwwLCwsLCwsTk9BVURJVCk=&amp;WINDOW=FIRST_POPUP&amp;HEIGHT=450&amp;WIDTH=450&amp;","START_MAXIMIZED=FALSE&amp;VAR:CALENDAR=US&amp;VAR:SYMBOL=CERN&amp;VAR:INDEX=0"}</definedName>
    <definedName name="_3481__FDSAUDITLINK__" hidden="1">{"fdsup://directions/FAT Viewer?action=UPDATE&amp;creator=factset&amp;DYN_ARGS=TRUE&amp;DOC_NAME=FAT:FQL_AUDITING_CLIENT_TEMPLATE.FAT&amp;display_string=Audit&amp;VAR:KEY=FMTCHEBSDC&amp;VAR:QUERY=UkdGX1RBWF9SQVRFKEFOTiwwLCwsLCwsTk9BVURJVCk=&amp;WINDOW=FIRST_POPUP&amp;HEIGHT=450&amp;WIDTH=450&amp;","START_MAXIMIZED=FALSE&amp;VAR:CALENDAR=US&amp;VAR:SYMBOL=CERN&amp;VAR:INDEX=0"}</definedName>
    <definedName name="_3482__FDSAUDITLINK__" localSheetId="3" hidden="1">{"fdsup://directions/FAT Viewer?action=UPDATE&amp;creator=factset&amp;DYN_ARGS=TRUE&amp;DOC_NAME=FAT:FQL_AUDITING_CLIENT_TEMPLATE.FAT&amp;display_string=Audit&amp;VAR:KEY=FMTCHEBSDC&amp;VAR:QUERY=UkdGX1RBWF9SQVRFKEFOTiwwLCwsLCwsTk9BVURJVCk=&amp;WINDOW=FIRST_POPUP&amp;HEIGHT=450&amp;WIDTH=450&amp;","START_MAXIMIZED=FALSE&amp;VAR:CALENDAR=US&amp;VAR:SYMBOL=CERN&amp;VAR:INDEX=0"}</definedName>
    <definedName name="_3482__FDSAUDITLINK__" localSheetId="7" hidden="1">{"fdsup://directions/FAT Viewer?action=UPDATE&amp;creator=factset&amp;DYN_ARGS=TRUE&amp;DOC_NAME=FAT:FQL_AUDITING_CLIENT_TEMPLATE.FAT&amp;display_string=Audit&amp;VAR:KEY=FMTCHEBSDC&amp;VAR:QUERY=UkdGX1RBWF9SQVRFKEFOTiwwLCwsLCwsTk9BVURJVCk=&amp;WINDOW=FIRST_POPUP&amp;HEIGHT=450&amp;WIDTH=450&amp;","START_MAXIMIZED=FALSE&amp;VAR:CALENDAR=US&amp;VAR:SYMBOL=CERN&amp;VAR:INDEX=0"}</definedName>
    <definedName name="_3482__FDSAUDITLINK__" hidden="1">{"fdsup://directions/FAT Viewer?action=UPDATE&amp;creator=factset&amp;DYN_ARGS=TRUE&amp;DOC_NAME=FAT:FQL_AUDITING_CLIENT_TEMPLATE.FAT&amp;display_string=Audit&amp;VAR:KEY=FMTCHEBSDC&amp;VAR:QUERY=UkdGX1RBWF9SQVRFKEFOTiwwLCwsLCwsTk9BVURJVCk=&amp;WINDOW=FIRST_POPUP&amp;HEIGHT=450&amp;WIDTH=450&amp;","START_MAXIMIZED=FALSE&amp;VAR:CALENDAR=US&amp;VAR:SYMBOL=CERN&amp;VAR:INDEX=0"}</definedName>
    <definedName name="_3483__FDSAUDITLINK__" localSheetId="3" hidden="1">{"fdsup://directions/FAT Viewer?action=UPDATE&amp;creator=factset&amp;DYN_ARGS=TRUE&amp;DOC_NAME=FAT:FQL_AUDITING_CLIENT_TEMPLATE.FAT&amp;display_string=Audit&amp;VAR:KEY=ROJQNOJITU&amp;VAR:QUERY=UkdGX1RBWF9SQVRFKEFOTiwwLCwsLCwsTk9BVURJVCk=&amp;WINDOW=FIRST_POPUP&amp;HEIGHT=450&amp;WIDTH=450&amp;","START_MAXIMIZED=FALSE&amp;VAR:CALENDAR=US&amp;VAR:SYMBOL=CHINA&amp;VAR:INDEX=0"}</definedName>
    <definedName name="_3483__FDSAUDITLINK__" localSheetId="7" hidden="1">{"fdsup://directions/FAT Viewer?action=UPDATE&amp;creator=factset&amp;DYN_ARGS=TRUE&amp;DOC_NAME=FAT:FQL_AUDITING_CLIENT_TEMPLATE.FAT&amp;display_string=Audit&amp;VAR:KEY=ROJQNOJITU&amp;VAR:QUERY=UkdGX1RBWF9SQVRFKEFOTiwwLCwsLCwsTk9BVURJVCk=&amp;WINDOW=FIRST_POPUP&amp;HEIGHT=450&amp;WIDTH=450&amp;","START_MAXIMIZED=FALSE&amp;VAR:CALENDAR=US&amp;VAR:SYMBOL=CHINA&amp;VAR:INDEX=0"}</definedName>
    <definedName name="_3483__FDSAUDITLINK__" hidden="1">{"fdsup://directions/FAT Viewer?action=UPDATE&amp;creator=factset&amp;DYN_ARGS=TRUE&amp;DOC_NAME=FAT:FQL_AUDITING_CLIENT_TEMPLATE.FAT&amp;display_string=Audit&amp;VAR:KEY=ROJQNOJITU&amp;VAR:QUERY=UkdGX1RBWF9SQVRFKEFOTiwwLCwsLCwsTk9BVURJVCk=&amp;WINDOW=FIRST_POPUP&amp;HEIGHT=450&amp;WIDTH=450&amp;","START_MAXIMIZED=FALSE&amp;VAR:CALENDAR=US&amp;VAR:SYMBOL=CHINA&amp;VAR:INDEX=0"}</definedName>
    <definedName name="_3484__FDSAUDITLINK__" localSheetId="3" hidden="1">{"fdsup://directions/FAT Viewer?action=UPDATE&amp;creator=factset&amp;DYN_ARGS=TRUE&amp;DOC_NAME=FAT:FQL_AUDITING_CLIENT_TEMPLATE.FAT&amp;display_string=Audit&amp;VAR:KEY=ROJQNOJITU&amp;VAR:QUERY=UkdGX1RBWF9SQVRFKEFOTiwwLCwsLCwsTk9BVURJVCk=&amp;WINDOW=FIRST_POPUP&amp;HEIGHT=450&amp;WIDTH=450&amp;","START_MAXIMIZED=FALSE&amp;VAR:CALENDAR=US&amp;VAR:SYMBOL=CHINA&amp;VAR:INDEX=0"}</definedName>
    <definedName name="_3484__FDSAUDITLINK__" localSheetId="7" hidden="1">{"fdsup://directions/FAT Viewer?action=UPDATE&amp;creator=factset&amp;DYN_ARGS=TRUE&amp;DOC_NAME=FAT:FQL_AUDITING_CLIENT_TEMPLATE.FAT&amp;display_string=Audit&amp;VAR:KEY=ROJQNOJITU&amp;VAR:QUERY=UkdGX1RBWF9SQVRFKEFOTiwwLCwsLCwsTk9BVURJVCk=&amp;WINDOW=FIRST_POPUP&amp;HEIGHT=450&amp;WIDTH=450&amp;","START_MAXIMIZED=FALSE&amp;VAR:CALENDAR=US&amp;VAR:SYMBOL=CHINA&amp;VAR:INDEX=0"}</definedName>
    <definedName name="_3484__FDSAUDITLINK__" hidden="1">{"fdsup://directions/FAT Viewer?action=UPDATE&amp;creator=factset&amp;DYN_ARGS=TRUE&amp;DOC_NAME=FAT:FQL_AUDITING_CLIENT_TEMPLATE.FAT&amp;display_string=Audit&amp;VAR:KEY=ROJQNOJITU&amp;VAR:QUERY=UkdGX1RBWF9SQVRFKEFOTiwwLCwsLCwsTk9BVURJVCk=&amp;WINDOW=FIRST_POPUP&amp;HEIGHT=450&amp;WIDTH=450&amp;","START_MAXIMIZED=FALSE&amp;VAR:CALENDAR=US&amp;VAR:SYMBOL=CHINA&amp;VAR:INDEX=0"}</definedName>
    <definedName name="_3485__FDSAUDITLINK__" localSheetId="3" hidden="1">{"fdsup://directions/FAT Viewer?action=UPDATE&amp;creator=factset&amp;DYN_ARGS=TRUE&amp;DOC_NAME=FAT:FQL_AUDITING_CLIENT_TEMPLATE.FAT&amp;display_string=Audit&amp;VAR:KEY=LSHERMLQVU&amp;VAR:QUERY=UkdGX1RBWF9SQVRFKEFOTiwwLCwsLCwsTk9BVURJVCk=&amp;WINDOW=FIRST_POPUP&amp;HEIGHT=450&amp;WIDTH=450&amp;","START_MAXIMIZED=FALSE&amp;VAR:CALENDAR=US&amp;VAR:SYMBOL=CALD&amp;VAR:INDEX=0"}</definedName>
    <definedName name="_3485__FDSAUDITLINK__" localSheetId="7" hidden="1">{"fdsup://directions/FAT Viewer?action=UPDATE&amp;creator=factset&amp;DYN_ARGS=TRUE&amp;DOC_NAME=FAT:FQL_AUDITING_CLIENT_TEMPLATE.FAT&amp;display_string=Audit&amp;VAR:KEY=LSHERMLQVU&amp;VAR:QUERY=UkdGX1RBWF9SQVRFKEFOTiwwLCwsLCwsTk9BVURJVCk=&amp;WINDOW=FIRST_POPUP&amp;HEIGHT=450&amp;WIDTH=450&amp;","START_MAXIMIZED=FALSE&amp;VAR:CALENDAR=US&amp;VAR:SYMBOL=CALD&amp;VAR:INDEX=0"}</definedName>
    <definedName name="_3485__FDSAUDITLINK__" hidden="1">{"fdsup://directions/FAT Viewer?action=UPDATE&amp;creator=factset&amp;DYN_ARGS=TRUE&amp;DOC_NAME=FAT:FQL_AUDITING_CLIENT_TEMPLATE.FAT&amp;display_string=Audit&amp;VAR:KEY=LSHERMLQVU&amp;VAR:QUERY=UkdGX1RBWF9SQVRFKEFOTiwwLCwsLCwsTk9BVURJVCk=&amp;WINDOW=FIRST_POPUP&amp;HEIGHT=450&amp;WIDTH=450&amp;","START_MAXIMIZED=FALSE&amp;VAR:CALENDAR=US&amp;VAR:SYMBOL=CALD&amp;VAR:INDEX=0"}</definedName>
    <definedName name="_3486__FDSAUDITLINK__" localSheetId="3" hidden="1">{"fdsup://directions/FAT Viewer?action=UPDATE&amp;creator=factset&amp;DYN_ARGS=TRUE&amp;DOC_NAME=FAT:FQL_AUDITING_CLIENT_TEMPLATE.FAT&amp;display_string=Audit&amp;VAR:KEY=TKVMDMNGHU&amp;VAR:QUERY=UkdGX1RBWF9SQVRFKEFOTiwwLCwsLCwsTk9BVURJVCk=&amp;WINDOW=FIRST_POPUP&amp;HEIGHT=450&amp;WIDTH=450&amp;","START_MAXIMIZED=FALSE&amp;VAR:CALENDAR=US&amp;VAR:SYMBOL=CDNS&amp;VAR:INDEX=0"}</definedName>
    <definedName name="_3486__FDSAUDITLINK__" localSheetId="7" hidden="1">{"fdsup://directions/FAT Viewer?action=UPDATE&amp;creator=factset&amp;DYN_ARGS=TRUE&amp;DOC_NAME=FAT:FQL_AUDITING_CLIENT_TEMPLATE.FAT&amp;display_string=Audit&amp;VAR:KEY=TKVMDMNGHU&amp;VAR:QUERY=UkdGX1RBWF9SQVRFKEFOTiwwLCwsLCwsTk9BVURJVCk=&amp;WINDOW=FIRST_POPUP&amp;HEIGHT=450&amp;WIDTH=450&amp;","START_MAXIMIZED=FALSE&amp;VAR:CALENDAR=US&amp;VAR:SYMBOL=CDNS&amp;VAR:INDEX=0"}</definedName>
    <definedName name="_3486__FDSAUDITLINK__" hidden="1">{"fdsup://directions/FAT Viewer?action=UPDATE&amp;creator=factset&amp;DYN_ARGS=TRUE&amp;DOC_NAME=FAT:FQL_AUDITING_CLIENT_TEMPLATE.FAT&amp;display_string=Audit&amp;VAR:KEY=TKVMDMNGHU&amp;VAR:QUERY=UkdGX1RBWF9SQVRFKEFOTiwwLCwsLCwsTk9BVURJVCk=&amp;WINDOW=FIRST_POPUP&amp;HEIGHT=450&amp;WIDTH=450&amp;","START_MAXIMIZED=FALSE&amp;VAR:CALENDAR=US&amp;VAR:SYMBOL=CDNS&amp;VAR:INDEX=0"}</definedName>
    <definedName name="_3487__FDSAUDITLINK__" localSheetId="3" hidden="1">{"fdsup://directions/FAT Viewer?action=UPDATE&amp;creator=factset&amp;DYN_ARGS=TRUE&amp;DOC_NAME=FAT:FQL_AUDITING_CLIENT_TEMPLATE.FAT&amp;display_string=Audit&amp;VAR:KEY=JEHARCPEZO&amp;VAR:QUERY=UkdGX1RBWF9SQVRFKEFOTiwwLCwsLCwsTk9BVURJVCk=&amp;WINDOW=FIRST_POPUP&amp;HEIGHT=450&amp;WIDTH=450&amp;","START_MAXIMIZED=FALSE&amp;VAR:CALENDAR=US&amp;VAR:SYMBOL=CA&amp;VAR:INDEX=0"}</definedName>
    <definedName name="_3487__FDSAUDITLINK__" localSheetId="7" hidden="1">{"fdsup://directions/FAT Viewer?action=UPDATE&amp;creator=factset&amp;DYN_ARGS=TRUE&amp;DOC_NAME=FAT:FQL_AUDITING_CLIENT_TEMPLATE.FAT&amp;display_string=Audit&amp;VAR:KEY=JEHARCPEZO&amp;VAR:QUERY=UkdGX1RBWF9SQVRFKEFOTiwwLCwsLCwsTk9BVURJVCk=&amp;WINDOW=FIRST_POPUP&amp;HEIGHT=450&amp;WIDTH=450&amp;","START_MAXIMIZED=FALSE&amp;VAR:CALENDAR=US&amp;VAR:SYMBOL=CA&amp;VAR:INDEX=0"}</definedName>
    <definedName name="_3487__FDSAUDITLINK__" hidden="1">{"fdsup://directions/FAT Viewer?action=UPDATE&amp;creator=factset&amp;DYN_ARGS=TRUE&amp;DOC_NAME=FAT:FQL_AUDITING_CLIENT_TEMPLATE.FAT&amp;display_string=Audit&amp;VAR:KEY=JEHARCPEZO&amp;VAR:QUERY=UkdGX1RBWF9SQVRFKEFOTiwwLCwsLCwsTk9BVURJVCk=&amp;WINDOW=FIRST_POPUP&amp;HEIGHT=450&amp;WIDTH=450&amp;","START_MAXIMIZED=FALSE&amp;VAR:CALENDAR=US&amp;VAR:SYMBOL=CA&amp;VAR:INDEX=0"}</definedName>
    <definedName name="_3488__FDSAUDITLINK__" localSheetId="3" hidden="1">{"fdsup://directions/FAT Viewer?action=UPDATE&amp;creator=factset&amp;DYN_ARGS=TRUE&amp;DOC_NAME=FAT:FQL_AUDITING_CLIENT_TEMPLATE.FAT&amp;display_string=Audit&amp;VAR:KEY=JEHARCPEZO&amp;VAR:QUERY=UkdGX1RBWF9SQVRFKEFOTiwwLCwsLCwsTk9BVURJVCk=&amp;WINDOW=FIRST_POPUP&amp;HEIGHT=450&amp;WIDTH=450&amp;","START_MAXIMIZED=FALSE&amp;VAR:CALENDAR=US&amp;VAR:SYMBOL=CA&amp;VAR:INDEX=0"}</definedName>
    <definedName name="_3488__FDSAUDITLINK__" localSheetId="7" hidden="1">{"fdsup://directions/FAT Viewer?action=UPDATE&amp;creator=factset&amp;DYN_ARGS=TRUE&amp;DOC_NAME=FAT:FQL_AUDITING_CLIENT_TEMPLATE.FAT&amp;display_string=Audit&amp;VAR:KEY=JEHARCPEZO&amp;VAR:QUERY=UkdGX1RBWF9SQVRFKEFOTiwwLCwsLCwsTk9BVURJVCk=&amp;WINDOW=FIRST_POPUP&amp;HEIGHT=450&amp;WIDTH=450&amp;","START_MAXIMIZED=FALSE&amp;VAR:CALENDAR=US&amp;VAR:SYMBOL=CA&amp;VAR:INDEX=0"}</definedName>
    <definedName name="_3488__FDSAUDITLINK__" hidden="1">{"fdsup://directions/FAT Viewer?action=UPDATE&amp;creator=factset&amp;DYN_ARGS=TRUE&amp;DOC_NAME=FAT:FQL_AUDITING_CLIENT_TEMPLATE.FAT&amp;display_string=Audit&amp;VAR:KEY=JEHARCPEZO&amp;VAR:QUERY=UkdGX1RBWF9SQVRFKEFOTiwwLCwsLCwsTk9BVURJVCk=&amp;WINDOW=FIRST_POPUP&amp;HEIGHT=450&amp;WIDTH=450&amp;","START_MAXIMIZED=FALSE&amp;VAR:CALENDAR=US&amp;VAR:SYMBOL=CA&amp;VAR:INDEX=0"}</definedName>
    <definedName name="_3489__FDSAUDITLINK__" localSheetId="3" hidden="1">{"fdsup://directions/FAT Viewer?action=UPDATE&amp;creator=factset&amp;DYN_ARGS=TRUE&amp;DOC_NAME=FAT:FQL_AUDITING_CLIENT_TEMPLATE.FAT&amp;display_string=Audit&amp;VAR:KEY=XOBOPEXQBC&amp;VAR:QUERY=UkdGX1RBWF9SQVRFKEFOTiwwLCwsLCwsTk9BVURJVCk=&amp;WINDOW=FIRST_POPUP&amp;HEIGHT=450&amp;WIDTH=450&amp;","START_MAXIMIZED=FALSE&amp;VAR:CALENDAR=US&amp;VAR:SYMBOL=BVSN&amp;VAR:INDEX=0"}</definedName>
    <definedName name="_3489__FDSAUDITLINK__" localSheetId="7" hidden="1">{"fdsup://directions/FAT Viewer?action=UPDATE&amp;creator=factset&amp;DYN_ARGS=TRUE&amp;DOC_NAME=FAT:FQL_AUDITING_CLIENT_TEMPLATE.FAT&amp;display_string=Audit&amp;VAR:KEY=XOBOPEXQBC&amp;VAR:QUERY=UkdGX1RBWF9SQVRFKEFOTiwwLCwsLCwsTk9BVURJVCk=&amp;WINDOW=FIRST_POPUP&amp;HEIGHT=450&amp;WIDTH=450&amp;","START_MAXIMIZED=FALSE&amp;VAR:CALENDAR=US&amp;VAR:SYMBOL=BVSN&amp;VAR:INDEX=0"}</definedName>
    <definedName name="_3489__FDSAUDITLINK__" hidden="1">{"fdsup://directions/FAT Viewer?action=UPDATE&amp;creator=factset&amp;DYN_ARGS=TRUE&amp;DOC_NAME=FAT:FQL_AUDITING_CLIENT_TEMPLATE.FAT&amp;display_string=Audit&amp;VAR:KEY=XOBOPEXQBC&amp;VAR:QUERY=UkdGX1RBWF9SQVRFKEFOTiwwLCwsLCwsTk9BVURJVCk=&amp;WINDOW=FIRST_POPUP&amp;HEIGHT=450&amp;WIDTH=450&amp;","START_MAXIMIZED=FALSE&amp;VAR:CALENDAR=US&amp;VAR:SYMBOL=BVSN&amp;VAR:INDEX=0"}</definedName>
    <definedName name="_349__FDSAUDITLINK__" localSheetId="3" hidden="1">{"fdsup://directions/FAT Viewer?action=UPDATE&amp;creator=factset&amp;DYN_ARGS=TRUE&amp;DOC_NAME=FAT:FQL_AUDITING_CLIENT_TEMPLATE.FAT&amp;display_string=Audit&amp;VAR:KEY=ARUJGLWZYH&amp;VAR:QUERY=RkZfREVCVF9BU1NFVFMoQU5OLDAsLTksWSxSUCk=&amp;WINDOW=FIRST_POPUP&amp;HEIGHT=450&amp;WIDTH=450&amp;STAR","T_MAXIMIZED=FALSE&amp;VAR:CALENDAR=US&amp;VAR:SYMBOL=B10LQP&amp;VAR:INDEX=2"}</definedName>
    <definedName name="_349__FDSAUDITLINK__" localSheetId="7" hidden="1">{"fdsup://directions/FAT Viewer?action=UPDATE&amp;creator=factset&amp;DYN_ARGS=TRUE&amp;DOC_NAME=FAT:FQL_AUDITING_CLIENT_TEMPLATE.FAT&amp;display_string=Audit&amp;VAR:KEY=ARUJGLWZYH&amp;VAR:QUERY=RkZfREVCVF9BU1NFVFMoQU5OLDAsLTksWSxSUCk=&amp;WINDOW=FIRST_POPUP&amp;HEIGHT=450&amp;WIDTH=450&amp;STAR","T_MAXIMIZED=FALSE&amp;VAR:CALENDAR=US&amp;VAR:SYMBOL=B10LQP&amp;VAR:INDEX=2"}</definedName>
    <definedName name="_349__FDSAUDITLINK__" hidden="1">{"fdsup://directions/FAT Viewer?action=UPDATE&amp;creator=factset&amp;DYN_ARGS=TRUE&amp;DOC_NAME=FAT:FQL_AUDITING_CLIENT_TEMPLATE.FAT&amp;display_string=Audit&amp;VAR:KEY=ARUJGLWZYH&amp;VAR:QUERY=RkZfREVCVF9BU1NFVFMoQU5OLDAsLTksWSxSUCk=&amp;WINDOW=FIRST_POPUP&amp;HEIGHT=450&amp;WIDTH=450&amp;STAR","T_MAXIMIZED=FALSE&amp;VAR:CALENDAR=US&amp;VAR:SYMBOL=B10LQP&amp;VAR:INDEX=2"}</definedName>
    <definedName name="_3490__FDSAUDITLINK__" localSheetId="3" hidden="1">{"fdsup://directions/FAT Viewer?action=UPDATE&amp;creator=factset&amp;DYN_ARGS=TRUE&amp;DOC_NAME=FAT:FQL_AUDITING_CLIENT_TEMPLATE.FAT&amp;display_string=Audit&amp;VAR:KEY=TMFIBYFGJQ&amp;VAR:QUERY=UkdGX1RBWF9SQVRFKEFOTiwwLCwsLCwsTk9BVURJVCk=&amp;WINDOW=FIRST_POPUP&amp;HEIGHT=450&amp;WIDTH=450&amp;","START_MAXIMIZED=FALSE&amp;VAR:CALENDAR=US&amp;VAR:SYMBOL=BSFT&amp;VAR:INDEX=0"}</definedName>
    <definedName name="_3490__FDSAUDITLINK__" localSheetId="7" hidden="1">{"fdsup://directions/FAT Viewer?action=UPDATE&amp;creator=factset&amp;DYN_ARGS=TRUE&amp;DOC_NAME=FAT:FQL_AUDITING_CLIENT_TEMPLATE.FAT&amp;display_string=Audit&amp;VAR:KEY=TMFIBYFGJQ&amp;VAR:QUERY=UkdGX1RBWF9SQVRFKEFOTiwwLCwsLCwsTk9BVURJVCk=&amp;WINDOW=FIRST_POPUP&amp;HEIGHT=450&amp;WIDTH=450&amp;","START_MAXIMIZED=FALSE&amp;VAR:CALENDAR=US&amp;VAR:SYMBOL=BSFT&amp;VAR:INDEX=0"}</definedName>
    <definedName name="_3490__FDSAUDITLINK__" hidden="1">{"fdsup://directions/FAT Viewer?action=UPDATE&amp;creator=factset&amp;DYN_ARGS=TRUE&amp;DOC_NAME=FAT:FQL_AUDITING_CLIENT_TEMPLATE.FAT&amp;display_string=Audit&amp;VAR:KEY=TMFIBYFGJQ&amp;VAR:QUERY=UkdGX1RBWF9SQVRFKEFOTiwwLCwsLCwsTk9BVURJVCk=&amp;WINDOW=FIRST_POPUP&amp;HEIGHT=450&amp;WIDTH=450&amp;","START_MAXIMIZED=FALSE&amp;VAR:CALENDAR=US&amp;VAR:SYMBOL=BSFT&amp;VAR:INDEX=0"}</definedName>
    <definedName name="_3491__FDSAUDITLINK__" localSheetId="3" hidden="1">{"fdsup://directions/FAT Viewer?action=UPDATE&amp;creator=factset&amp;DYN_ARGS=TRUE&amp;DOC_NAME=FAT:FQL_AUDITING_CLIENT_TEMPLATE.FAT&amp;display_string=Audit&amp;VAR:KEY=TMFIBYFGJQ&amp;VAR:QUERY=UkdGX1RBWF9SQVRFKEFOTiwwLCwsLCwsTk9BVURJVCk=&amp;WINDOW=FIRST_POPUP&amp;HEIGHT=450&amp;WIDTH=450&amp;","START_MAXIMIZED=FALSE&amp;VAR:CALENDAR=US&amp;VAR:SYMBOL=BSFT&amp;VAR:INDEX=0"}</definedName>
    <definedName name="_3491__FDSAUDITLINK__" localSheetId="7" hidden="1">{"fdsup://directions/FAT Viewer?action=UPDATE&amp;creator=factset&amp;DYN_ARGS=TRUE&amp;DOC_NAME=FAT:FQL_AUDITING_CLIENT_TEMPLATE.FAT&amp;display_string=Audit&amp;VAR:KEY=TMFIBYFGJQ&amp;VAR:QUERY=UkdGX1RBWF9SQVRFKEFOTiwwLCwsLCwsTk9BVURJVCk=&amp;WINDOW=FIRST_POPUP&amp;HEIGHT=450&amp;WIDTH=450&amp;","START_MAXIMIZED=FALSE&amp;VAR:CALENDAR=US&amp;VAR:SYMBOL=BSFT&amp;VAR:INDEX=0"}</definedName>
    <definedName name="_3491__FDSAUDITLINK__" hidden="1">{"fdsup://directions/FAT Viewer?action=UPDATE&amp;creator=factset&amp;DYN_ARGS=TRUE&amp;DOC_NAME=FAT:FQL_AUDITING_CLIENT_TEMPLATE.FAT&amp;display_string=Audit&amp;VAR:KEY=TMFIBYFGJQ&amp;VAR:QUERY=UkdGX1RBWF9SQVRFKEFOTiwwLCwsLCwsTk9BVURJVCk=&amp;WINDOW=FIRST_POPUP&amp;HEIGHT=450&amp;WIDTH=450&amp;","START_MAXIMIZED=FALSE&amp;VAR:CALENDAR=US&amp;VAR:SYMBOL=BSFT&amp;VAR:INDEX=0"}</definedName>
    <definedName name="_3492__FDSAUDITLINK__" localSheetId="3" hidden="1">{"fdsup://directions/FAT Viewer?action=UPDATE&amp;creator=factset&amp;DYN_ARGS=TRUE&amp;DOC_NAME=FAT:FQL_AUDITING_CLIENT_TEMPLATE.FAT&amp;display_string=Audit&amp;VAR:KEY=JMFWVMVAPK&amp;VAR:QUERY=UkdGX1RBWF9SQVRFKEFOTiwwLCwsLCwsTk9BVURJVCk=&amp;WINDOW=FIRST_POPUP&amp;HEIGHT=450&amp;WIDTH=450&amp;","START_MAXIMIZED=FALSE&amp;VAR:CALENDAR=US&amp;VAR:SYMBOL=BMC&amp;VAR:INDEX=0"}</definedName>
    <definedName name="_3492__FDSAUDITLINK__" localSheetId="7" hidden="1">{"fdsup://directions/FAT Viewer?action=UPDATE&amp;creator=factset&amp;DYN_ARGS=TRUE&amp;DOC_NAME=FAT:FQL_AUDITING_CLIENT_TEMPLATE.FAT&amp;display_string=Audit&amp;VAR:KEY=JMFWVMVAPK&amp;VAR:QUERY=UkdGX1RBWF9SQVRFKEFOTiwwLCwsLCwsTk9BVURJVCk=&amp;WINDOW=FIRST_POPUP&amp;HEIGHT=450&amp;WIDTH=450&amp;","START_MAXIMIZED=FALSE&amp;VAR:CALENDAR=US&amp;VAR:SYMBOL=BMC&amp;VAR:INDEX=0"}</definedName>
    <definedName name="_3492__FDSAUDITLINK__" hidden="1">{"fdsup://directions/FAT Viewer?action=UPDATE&amp;creator=factset&amp;DYN_ARGS=TRUE&amp;DOC_NAME=FAT:FQL_AUDITING_CLIENT_TEMPLATE.FAT&amp;display_string=Audit&amp;VAR:KEY=JMFWVMVAPK&amp;VAR:QUERY=UkdGX1RBWF9SQVRFKEFOTiwwLCwsLCwsTk9BVURJVCk=&amp;WINDOW=FIRST_POPUP&amp;HEIGHT=450&amp;WIDTH=450&amp;","START_MAXIMIZED=FALSE&amp;VAR:CALENDAR=US&amp;VAR:SYMBOL=BMC&amp;VAR:INDEX=0"}</definedName>
    <definedName name="_3493__FDSAUDITLINK__" localSheetId="3" hidden="1">{"fdsup://directions/FAT Viewer?action=UPDATE&amp;creator=factset&amp;DYN_ARGS=TRUE&amp;DOC_NAME=FAT:FQL_AUDITING_CLIENT_TEMPLATE.FAT&amp;display_string=Audit&amp;VAR:KEY=JMFWVMVAPK&amp;VAR:QUERY=UkdGX1RBWF9SQVRFKEFOTiwwLCwsLCwsTk9BVURJVCk=&amp;WINDOW=FIRST_POPUP&amp;HEIGHT=450&amp;WIDTH=450&amp;","START_MAXIMIZED=FALSE&amp;VAR:CALENDAR=US&amp;VAR:SYMBOL=BMC&amp;VAR:INDEX=0"}</definedName>
    <definedName name="_3493__FDSAUDITLINK__" localSheetId="7" hidden="1">{"fdsup://directions/FAT Viewer?action=UPDATE&amp;creator=factset&amp;DYN_ARGS=TRUE&amp;DOC_NAME=FAT:FQL_AUDITING_CLIENT_TEMPLATE.FAT&amp;display_string=Audit&amp;VAR:KEY=JMFWVMVAPK&amp;VAR:QUERY=UkdGX1RBWF9SQVRFKEFOTiwwLCwsLCwsTk9BVURJVCk=&amp;WINDOW=FIRST_POPUP&amp;HEIGHT=450&amp;WIDTH=450&amp;","START_MAXIMIZED=FALSE&amp;VAR:CALENDAR=US&amp;VAR:SYMBOL=BMC&amp;VAR:INDEX=0"}</definedName>
    <definedName name="_3493__FDSAUDITLINK__" hidden="1">{"fdsup://directions/FAT Viewer?action=UPDATE&amp;creator=factset&amp;DYN_ARGS=TRUE&amp;DOC_NAME=FAT:FQL_AUDITING_CLIENT_TEMPLATE.FAT&amp;display_string=Audit&amp;VAR:KEY=JMFWVMVAPK&amp;VAR:QUERY=UkdGX1RBWF9SQVRFKEFOTiwwLCwsLCwsTk9BVURJVCk=&amp;WINDOW=FIRST_POPUP&amp;HEIGHT=450&amp;WIDTH=450&amp;","START_MAXIMIZED=FALSE&amp;VAR:CALENDAR=US&amp;VAR:SYMBOL=BMC&amp;VAR:INDEX=0"}</definedName>
    <definedName name="_3494__FDSAUDITLINK__" localSheetId="3" hidden="1">{"fdsup://directions/FAT Viewer?action=UPDATE&amp;creator=factset&amp;DYN_ARGS=TRUE&amp;DOC_NAME=FAT:FQL_AUDITING_CLIENT_TEMPLATE.FAT&amp;display_string=Audit&amp;VAR:KEY=ZKJKVKPSVG&amp;VAR:QUERY=UkdGX1RBWF9SQVRFKEFOTiwwLCwsLCwsTk9BVURJVCk=&amp;WINDOW=FIRST_POPUP&amp;HEIGHT=450&amp;WIDTH=450&amp;","START_MAXIMIZED=FALSE&amp;VAR:CALENDAR=US&amp;VAR:SYMBOL=BCSI&amp;VAR:INDEX=0"}</definedName>
    <definedName name="_3494__FDSAUDITLINK__" localSheetId="7" hidden="1">{"fdsup://directions/FAT Viewer?action=UPDATE&amp;creator=factset&amp;DYN_ARGS=TRUE&amp;DOC_NAME=FAT:FQL_AUDITING_CLIENT_TEMPLATE.FAT&amp;display_string=Audit&amp;VAR:KEY=ZKJKVKPSVG&amp;VAR:QUERY=UkdGX1RBWF9SQVRFKEFOTiwwLCwsLCwsTk9BVURJVCk=&amp;WINDOW=FIRST_POPUP&amp;HEIGHT=450&amp;WIDTH=450&amp;","START_MAXIMIZED=FALSE&amp;VAR:CALENDAR=US&amp;VAR:SYMBOL=BCSI&amp;VAR:INDEX=0"}</definedName>
    <definedName name="_3494__FDSAUDITLINK__" hidden="1">{"fdsup://directions/FAT Viewer?action=UPDATE&amp;creator=factset&amp;DYN_ARGS=TRUE&amp;DOC_NAME=FAT:FQL_AUDITING_CLIENT_TEMPLATE.FAT&amp;display_string=Audit&amp;VAR:KEY=ZKJKVKPSVG&amp;VAR:QUERY=UkdGX1RBWF9SQVRFKEFOTiwwLCwsLCwsTk9BVURJVCk=&amp;WINDOW=FIRST_POPUP&amp;HEIGHT=450&amp;WIDTH=450&amp;","START_MAXIMIZED=FALSE&amp;VAR:CALENDAR=US&amp;VAR:SYMBOL=BCSI&amp;VAR:INDEX=0"}</definedName>
    <definedName name="_3495__FDSAUDITLINK__" localSheetId="3" hidden="1">{"fdsup://directions/FAT Viewer?action=UPDATE&amp;creator=factset&amp;DYN_ARGS=TRUE&amp;DOC_NAME=FAT:FQL_AUDITING_CLIENT_TEMPLATE.FAT&amp;display_string=Audit&amp;VAR:KEY=ZKJKVKPSVG&amp;VAR:QUERY=UkdGX1RBWF9SQVRFKEFOTiwwLCwsLCwsTk9BVURJVCk=&amp;WINDOW=FIRST_POPUP&amp;HEIGHT=450&amp;WIDTH=450&amp;","START_MAXIMIZED=FALSE&amp;VAR:CALENDAR=US&amp;VAR:SYMBOL=BCSI&amp;VAR:INDEX=0"}</definedName>
    <definedName name="_3495__FDSAUDITLINK__" localSheetId="7" hidden="1">{"fdsup://directions/FAT Viewer?action=UPDATE&amp;creator=factset&amp;DYN_ARGS=TRUE&amp;DOC_NAME=FAT:FQL_AUDITING_CLIENT_TEMPLATE.FAT&amp;display_string=Audit&amp;VAR:KEY=ZKJKVKPSVG&amp;VAR:QUERY=UkdGX1RBWF9SQVRFKEFOTiwwLCwsLCwsTk9BVURJVCk=&amp;WINDOW=FIRST_POPUP&amp;HEIGHT=450&amp;WIDTH=450&amp;","START_MAXIMIZED=FALSE&amp;VAR:CALENDAR=US&amp;VAR:SYMBOL=BCSI&amp;VAR:INDEX=0"}</definedName>
    <definedName name="_3495__FDSAUDITLINK__" hidden="1">{"fdsup://directions/FAT Viewer?action=UPDATE&amp;creator=factset&amp;DYN_ARGS=TRUE&amp;DOC_NAME=FAT:FQL_AUDITING_CLIENT_TEMPLATE.FAT&amp;display_string=Audit&amp;VAR:KEY=ZKJKVKPSVG&amp;VAR:QUERY=UkdGX1RBWF9SQVRFKEFOTiwwLCwsLCwsTk9BVURJVCk=&amp;WINDOW=FIRST_POPUP&amp;HEIGHT=450&amp;WIDTH=450&amp;","START_MAXIMIZED=FALSE&amp;VAR:CALENDAR=US&amp;VAR:SYMBOL=BCSI&amp;VAR:INDEX=0"}</definedName>
    <definedName name="_3496__FDSAUDITLINK__" localSheetId="3" hidden="1">{"fdsup://directions/FAT Viewer?action=UPDATE&amp;creator=factset&amp;DYN_ARGS=TRUE&amp;DOC_NAME=FAT:FQL_AUDITING_CLIENT_TEMPLATE.FAT&amp;display_string=Audit&amp;VAR:KEY=BOZMJWDQDI&amp;VAR:QUERY=UkdGX1RBWF9SQVRFKEFOTiwwLCwsLCwsTk9BVURJVCk=&amp;WINDOW=FIRST_POPUP&amp;HEIGHT=450&amp;WIDTH=450&amp;","START_MAXIMIZED=FALSE&amp;VAR:CALENDAR=US&amp;VAR:SYMBOL=BBBB&amp;VAR:INDEX=0"}</definedName>
    <definedName name="_3496__FDSAUDITLINK__" localSheetId="7" hidden="1">{"fdsup://directions/FAT Viewer?action=UPDATE&amp;creator=factset&amp;DYN_ARGS=TRUE&amp;DOC_NAME=FAT:FQL_AUDITING_CLIENT_TEMPLATE.FAT&amp;display_string=Audit&amp;VAR:KEY=BOZMJWDQDI&amp;VAR:QUERY=UkdGX1RBWF9SQVRFKEFOTiwwLCwsLCwsTk9BVURJVCk=&amp;WINDOW=FIRST_POPUP&amp;HEIGHT=450&amp;WIDTH=450&amp;","START_MAXIMIZED=FALSE&amp;VAR:CALENDAR=US&amp;VAR:SYMBOL=BBBB&amp;VAR:INDEX=0"}</definedName>
    <definedName name="_3496__FDSAUDITLINK__" hidden="1">{"fdsup://directions/FAT Viewer?action=UPDATE&amp;creator=factset&amp;DYN_ARGS=TRUE&amp;DOC_NAME=FAT:FQL_AUDITING_CLIENT_TEMPLATE.FAT&amp;display_string=Audit&amp;VAR:KEY=BOZMJWDQDI&amp;VAR:QUERY=UkdGX1RBWF9SQVRFKEFOTiwwLCwsLCwsTk9BVURJVCk=&amp;WINDOW=FIRST_POPUP&amp;HEIGHT=450&amp;WIDTH=450&amp;","START_MAXIMIZED=FALSE&amp;VAR:CALENDAR=US&amp;VAR:SYMBOL=BBBB&amp;VAR:INDEX=0"}</definedName>
    <definedName name="_3497__FDSAUDITLINK__" localSheetId="3" hidden="1">{"fdsup://directions/FAT Viewer?action=UPDATE&amp;creator=factset&amp;DYN_ARGS=TRUE&amp;DOC_NAME=FAT:FQL_AUDITING_CLIENT_TEMPLATE.FAT&amp;display_string=Audit&amp;VAR:KEY=BOZMJWDQDI&amp;VAR:QUERY=UkdGX1RBWF9SQVRFKEFOTiwwLCwsLCwsTk9BVURJVCk=&amp;WINDOW=FIRST_POPUP&amp;HEIGHT=450&amp;WIDTH=450&amp;","START_MAXIMIZED=FALSE&amp;VAR:CALENDAR=US&amp;VAR:SYMBOL=BBBB&amp;VAR:INDEX=0"}</definedName>
    <definedName name="_3497__FDSAUDITLINK__" localSheetId="7" hidden="1">{"fdsup://directions/FAT Viewer?action=UPDATE&amp;creator=factset&amp;DYN_ARGS=TRUE&amp;DOC_NAME=FAT:FQL_AUDITING_CLIENT_TEMPLATE.FAT&amp;display_string=Audit&amp;VAR:KEY=BOZMJWDQDI&amp;VAR:QUERY=UkdGX1RBWF9SQVRFKEFOTiwwLCwsLCwsTk9BVURJVCk=&amp;WINDOW=FIRST_POPUP&amp;HEIGHT=450&amp;WIDTH=450&amp;","START_MAXIMIZED=FALSE&amp;VAR:CALENDAR=US&amp;VAR:SYMBOL=BBBB&amp;VAR:INDEX=0"}</definedName>
    <definedName name="_3497__FDSAUDITLINK__" hidden="1">{"fdsup://directions/FAT Viewer?action=UPDATE&amp;creator=factset&amp;DYN_ARGS=TRUE&amp;DOC_NAME=FAT:FQL_AUDITING_CLIENT_TEMPLATE.FAT&amp;display_string=Audit&amp;VAR:KEY=BOZMJWDQDI&amp;VAR:QUERY=UkdGX1RBWF9SQVRFKEFOTiwwLCwsLCwsTk9BVURJVCk=&amp;WINDOW=FIRST_POPUP&amp;HEIGHT=450&amp;WIDTH=450&amp;","START_MAXIMIZED=FALSE&amp;VAR:CALENDAR=US&amp;VAR:SYMBOL=BBBB&amp;VAR:INDEX=0"}</definedName>
    <definedName name="_3498__FDSAUDITLINK__" localSheetId="3" hidden="1">{"fdsup://directions/FAT Viewer?action=UPDATE&amp;creator=factset&amp;DYN_ARGS=TRUE&amp;DOC_NAME=FAT:FQL_AUDITING_CLIENT_TEMPLATE.FAT&amp;display_string=Audit&amp;VAR:KEY=ZIPUBKNOJC&amp;VAR:QUERY=UkdGX1RBWF9SQVRFKEFOTiwwLCwsLCwsTk9BVURJVCk=&amp;WINDOW=FIRST_POPUP&amp;HEIGHT=450&amp;WIDTH=450&amp;","START_MAXIMIZED=FALSE&amp;VAR:CALENDAR=US&amp;VAR:SYMBOL=BLKB&amp;VAR:INDEX=0"}</definedName>
    <definedName name="_3498__FDSAUDITLINK__" localSheetId="7" hidden="1">{"fdsup://directions/FAT Viewer?action=UPDATE&amp;creator=factset&amp;DYN_ARGS=TRUE&amp;DOC_NAME=FAT:FQL_AUDITING_CLIENT_TEMPLATE.FAT&amp;display_string=Audit&amp;VAR:KEY=ZIPUBKNOJC&amp;VAR:QUERY=UkdGX1RBWF9SQVRFKEFOTiwwLCwsLCwsTk9BVURJVCk=&amp;WINDOW=FIRST_POPUP&amp;HEIGHT=450&amp;WIDTH=450&amp;","START_MAXIMIZED=FALSE&amp;VAR:CALENDAR=US&amp;VAR:SYMBOL=BLKB&amp;VAR:INDEX=0"}</definedName>
    <definedName name="_3498__FDSAUDITLINK__" hidden="1">{"fdsup://directions/FAT Viewer?action=UPDATE&amp;creator=factset&amp;DYN_ARGS=TRUE&amp;DOC_NAME=FAT:FQL_AUDITING_CLIENT_TEMPLATE.FAT&amp;display_string=Audit&amp;VAR:KEY=ZIPUBKNOJC&amp;VAR:QUERY=UkdGX1RBWF9SQVRFKEFOTiwwLCwsLCwsTk9BVURJVCk=&amp;WINDOW=FIRST_POPUP&amp;HEIGHT=450&amp;WIDTH=450&amp;","START_MAXIMIZED=FALSE&amp;VAR:CALENDAR=US&amp;VAR:SYMBOL=BLKB&amp;VAR:INDEX=0"}</definedName>
    <definedName name="_3499__FDSAUDITLINK__" localSheetId="3" hidden="1">{"fdsup://directions/FAT Viewer?action=UPDATE&amp;creator=factset&amp;DYN_ARGS=TRUE&amp;DOC_NAME=FAT:FQL_AUDITING_CLIENT_TEMPLATE.FAT&amp;display_string=Audit&amp;VAR:KEY=ZIPUBKNOJC&amp;VAR:QUERY=UkdGX1RBWF9SQVRFKEFOTiwwLCwsLCwsTk9BVURJVCk=&amp;WINDOW=FIRST_POPUP&amp;HEIGHT=450&amp;WIDTH=450&amp;","START_MAXIMIZED=FALSE&amp;VAR:CALENDAR=US&amp;VAR:SYMBOL=BLKB&amp;VAR:INDEX=0"}</definedName>
    <definedName name="_3499__FDSAUDITLINK__" localSheetId="7" hidden="1">{"fdsup://directions/FAT Viewer?action=UPDATE&amp;creator=factset&amp;DYN_ARGS=TRUE&amp;DOC_NAME=FAT:FQL_AUDITING_CLIENT_TEMPLATE.FAT&amp;display_string=Audit&amp;VAR:KEY=ZIPUBKNOJC&amp;VAR:QUERY=UkdGX1RBWF9SQVRFKEFOTiwwLCwsLCwsTk9BVURJVCk=&amp;WINDOW=FIRST_POPUP&amp;HEIGHT=450&amp;WIDTH=450&amp;","START_MAXIMIZED=FALSE&amp;VAR:CALENDAR=US&amp;VAR:SYMBOL=BLKB&amp;VAR:INDEX=0"}</definedName>
    <definedName name="_3499__FDSAUDITLINK__" hidden="1">{"fdsup://directions/FAT Viewer?action=UPDATE&amp;creator=factset&amp;DYN_ARGS=TRUE&amp;DOC_NAME=FAT:FQL_AUDITING_CLIENT_TEMPLATE.FAT&amp;display_string=Audit&amp;VAR:KEY=ZIPUBKNOJC&amp;VAR:QUERY=UkdGX1RBWF9SQVRFKEFOTiwwLCwsLCwsTk9BVURJVCk=&amp;WINDOW=FIRST_POPUP&amp;HEIGHT=450&amp;WIDTH=450&amp;","START_MAXIMIZED=FALSE&amp;VAR:CALENDAR=US&amp;VAR:SYMBOL=BLKB&amp;VAR:INDEX=0"}</definedName>
    <definedName name="_35__FDSAUDITLINK__" localSheetId="3" hidden="1">{"fdsup://directions/FAT Viewer?action=UPDATE&amp;creator=factset&amp;DYN_ARGS=TRUE&amp;DOC_NAME=FAT:FQL_AUDITING_CLIENT_TEMPLATE.FAT&amp;display_string=Audit&amp;VAR:KEY=FSRUTEHMNM&amp;VAR:QUERY=RkZfU0FMRVMoTFRNLDAsLCwsTE9DQUwsTSk=&amp;WINDOW=FIRST_POPUP&amp;HEIGHT=450&amp;WIDTH=450&amp;START_MA","XIMIZED=FALSE&amp;VAR:CALENDAR=US&amp;VAR:SYMBOL=B07C76&amp;VAR:INDEX=0"}</definedName>
    <definedName name="_35__FDSAUDITLINK__" localSheetId="7" hidden="1">{"fdsup://directions/FAT Viewer?action=UPDATE&amp;creator=factset&amp;DYN_ARGS=TRUE&amp;DOC_NAME=FAT:FQL_AUDITING_CLIENT_TEMPLATE.FAT&amp;display_string=Audit&amp;VAR:KEY=FSRUTEHMNM&amp;VAR:QUERY=RkZfU0FMRVMoTFRNLDAsLCwsTE9DQUwsTSk=&amp;WINDOW=FIRST_POPUP&amp;HEIGHT=450&amp;WIDTH=450&amp;START_MA","XIMIZED=FALSE&amp;VAR:CALENDAR=US&amp;VAR:SYMBOL=B07C76&amp;VAR:INDEX=0"}</definedName>
    <definedName name="_35__FDSAUDITLINK__" hidden="1">{"fdsup://directions/FAT Viewer?action=UPDATE&amp;creator=factset&amp;DYN_ARGS=TRUE&amp;DOC_NAME=FAT:FQL_AUDITING_CLIENT_TEMPLATE.FAT&amp;display_string=Audit&amp;VAR:KEY=FSRUTEHMNM&amp;VAR:QUERY=RkZfU0FMRVMoTFRNLDAsLCwsTE9DQUwsTSk=&amp;WINDOW=FIRST_POPUP&amp;HEIGHT=450&amp;WIDTH=450&amp;START_MA","XIMIZED=FALSE&amp;VAR:CALENDAR=US&amp;VAR:SYMBOL=B07C76&amp;VAR:INDEX=0"}</definedName>
    <definedName name="_350__FDSAUDITLINK__" localSheetId="3" hidden="1">{"fdsup://directions/FAT Viewer?action=UPDATE&amp;creator=factset&amp;DYN_ARGS=TRUE&amp;DOC_NAME=FAT:FQL_AUDITING_CLIENT_TEMPLATE.FAT&amp;display_string=Audit&amp;VAR:KEY=ARUJGLWZYH&amp;VAR:QUERY=RkZfREVCVF9BU1NFVFMoQU5OLDAsLTksWSxSUCk=&amp;WINDOW=FIRST_POPUP&amp;HEIGHT=450&amp;WIDTH=450&amp;STAR","T_MAXIMIZED=FALSE&amp;VAR:CALENDAR=US&amp;VAR:SYMBOL=B10LQP&amp;VAR:INDEX=1"}</definedName>
    <definedName name="_350__FDSAUDITLINK__" localSheetId="7" hidden="1">{"fdsup://directions/FAT Viewer?action=UPDATE&amp;creator=factset&amp;DYN_ARGS=TRUE&amp;DOC_NAME=FAT:FQL_AUDITING_CLIENT_TEMPLATE.FAT&amp;display_string=Audit&amp;VAR:KEY=ARUJGLWZYH&amp;VAR:QUERY=RkZfREVCVF9BU1NFVFMoQU5OLDAsLTksWSxSUCk=&amp;WINDOW=FIRST_POPUP&amp;HEIGHT=450&amp;WIDTH=450&amp;STAR","T_MAXIMIZED=FALSE&amp;VAR:CALENDAR=US&amp;VAR:SYMBOL=B10LQP&amp;VAR:INDEX=1"}</definedName>
    <definedName name="_350__FDSAUDITLINK__" hidden="1">{"fdsup://directions/FAT Viewer?action=UPDATE&amp;creator=factset&amp;DYN_ARGS=TRUE&amp;DOC_NAME=FAT:FQL_AUDITING_CLIENT_TEMPLATE.FAT&amp;display_string=Audit&amp;VAR:KEY=ARUJGLWZYH&amp;VAR:QUERY=RkZfREVCVF9BU1NFVFMoQU5OLDAsLTksWSxSUCk=&amp;WINDOW=FIRST_POPUP&amp;HEIGHT=450&amp;WIDTH=450&amp;STAR","T_MAXIMIZED=FALSE&amp;VAR:CALENDAR=US&amp;VAR:SYMBOL=B10LQP&amp;VAR:INDEX=1"}</definedName>
    <definedName name="_3500__FDSAUDITLINK__" localSheetId="3" hidden="1">{"fdsup://directions/FAT Viewer?action=UPDATE&amp;creator=factset&amp;DYN_ARGS=TRUE&amp;DOC_NAME=FAT:FQL_AUDITING_CLIENT_TEMPLATE.FAT&amp;display_string=Audit&amp;VAR:KEY=VKNEZADERC&amp;VAR:QUERY=UkdGX1RBWF9SQVRFKEFOTiwwLCwsLCwsTk9BVURJVCk=&amp;WINDOW=FIRST_POPUP&amp;HEIGHT=450&amp;WIDTH=450&amp;","START_MAXIMIZED=FALSE&amp;VAR:CALENDAR=US&amp;VAR:SYMBOL=586161&amp;VAR:INDEX=0"}</definedName>
    <definedName name="_3500__FDSAUDITLINK__" localSheetId="7" hidden="1">{"fdsup://directions/FAT Viewer?action=UPDATE&amp;creator=factset&amp;DYN_ARGS=TRUE&amp;DOC_NAME=FAT:FQL_AUDITING_CLIENT_TEMPLATE.FAT&amp;display_string=Audit&amp;VAR:KEY=VKNEZADERC&amp;VAR:QUERY=UkdGX1RBWF9SQVRFKEFOTiwwLCwsLCwsTk9BVURJVCk=&amp;WINDOW=FIRST_POPUP&amp;HEIGHT=450&amp;WIDTH=450&amp;","START_MAXIMIZED=FALSE&amp;VAR:CALENDAR=US&amp;VAR:SYMBOL=586161&amp;VAR:INDEX=0"}</definedName>
    <definedName name="_3500__FDSAUDITLINK__" hidden="1">{"fdsup://directions/FAT Viewer?action=UPDATE&amp;creator=factset&amp;DYN_ARGS=TRUE&amp;DOC_NAME=FAT:FQL_AUDITING_CLIENT_TEMPLATE.FAT&amp;display_string=Audit&amp;VAR:KEY=VKNEZADERC&amp;VAR:QUERY=UkdGX1RBWF9SQVRFKEFOTiwwLCwsLCwsTk9BVURJVCk=&amp;WINDOW=FIRST_POPUP&amp;HEIGHT=450&amp;WIDTH=450&amp;","START_MAXIMIZED=FALSE&amp;VAR:CALENDAR=US&amp;VAR:SYMBOL=586161&amp;VAR:INDEX=0"}</definedName>
    <definedName name="_3501__FDSAUDITLINK__" localSheetId="3" hidden="1">{"fdsup://directions/FAT Viewer?action=UPDATE&amp;creator=factset&amp;DYN_ARGS=TRUE&amp;DOC_NAME=FAT:FQL_AUDITING_CLIENT_TEMPLATE.FAT&amp;display_string=Audit&amp;VAR:KEY=NOLURKZODI&amp;VAR:QUERY=UkdGX1RBWF9SQVRFKEFOTiwwLCwsLCwsTk9BVURJVCk=&amp;WINDOW=FIRST_POPUP&amp;HEIGHT=450&amp;WIDTH=450&amp;","START_MAXIMIZED=FALSE&amp;VAR:CALENDAR=US&amp;VAR:SYMBOL=AVID&amp;VAR:INDEX=0"}</definedName>
    <definedName name="_3501__FDSAUDITLINK__" localSheetId="7" hidden="1">{"fdsup://directions/FAT Viewer?action=UPDATE&amp;creator=factset&amp;DYN_ARGS=TRUE&amp;DOC_NAME=FAT:FQL_AUDITING_CLIENT_TEMPLATE.FAT&amp;display_string=Audit&amp;VAR:KEY=NOLURKZODI&amp;VAR:QUERY=UkdGX1RBWF9SQVRFKEFOTiwwLCwsLCwsTk9BVURJVCk=&amp;WINDOW=FIRST_POPUP&amp;HEIGHT=450&amp;WIDTH=450&amp;","START_MAXIMIZED=FALSE&amp;VAR:CALENDAR=US&amp;VAR:SYMBOL=AVID&amp;VAR:INDEX=0"}</definedName>
    <definedName name="_3501__FDSAUDITLINK__" hidden="1">{"fdsup://directions/FAT Viewer?action=UPDATE&amp;creator=factset&amp;DYN_ARGS=TRUE&amp;DOC_NAME=FAT:FQL_AUDITING_CLIENT_TEMPLATE.FAT&amp;display_string=Audit&amp;VAR:KEY=NOLURKZODI&amp;VAR:QUERY=UkdGX1RBWF9SQVRFKEFOTiwwLCwsLCwsTk9BVURJVCk=&amp;WINDOW=FIRST_POPUP&amp;HEIGHT=450&amp;WIDTH=450&amp;","START_MAXIMIZED=FALSE&amp;VAR:CALENDAR=US&amp;VAR:SYMBOL=AVID&amp;VAR:INDEX=0"}</definedName>
    <definedName name="_3502__FDSAUDITLINK__" localSheetId="3" hidden="1">{"fdsup://directions/FAT Viewer?action=UPDATE&amp;creator=factset&amp;DYN_ARGS=TRUE&amp;DOC_NAME=FAT:FQL_AUDITING_CLIENT_TEMPLATE.FAT&amp;display_string=Audit&amp;VAR:KEY=NKJADCXGJW&amp;VAR:QUERY=UkdGX1RBWF9SQVRFKEFOTiwwLCwsLCwsTk9BVURJVCk=&amp;WINDOW=FIRST_POPUP&amp;HEIGHT=450&amp;WIDTH=450&amp;","START_MAXIMIZED=FALSE&amp;VAR:CALENDAR=US&amp;VAR:SYMBOL=B15CMQ&amp;VAR:INDEX=0"}</definedName>
    <definedName name="_3502__FDSAUDITLINK__" localSheetId="7" hidden="1">{"fdsup://directions/FAT Viewer?action=UPDATE&amp;creator=factset&amp;DYN_ARGS=TRUE&amp;DOC_NAME=FAT:FQL_AUDITING_CLIENT_TEMPLATE.FAT&amp;display_string=Audit&amp;VAR:KEY=NKJADCXGJW&amp;VAR:QUERY=UkdGX1RBWF9SQVRFKEFOTiwwLCwsLCwsTk9BVURJVCk=&amp;WINDOW=FIRST_POPUP&amp;HEIGHT=450&amp;WIDTH=450&amp;","START_MAXIMIZED=FALSE&amp;VAR:CALENDAR=US&amp;VAR:SYMBOL=B15CMQ&amp;VAR:INDEX=0"}</definedName>
    <definedName name="_3502__FDSAUDITLINK__" hidden="1">{"fdsup://directions/FAT Viewer?action=UPDATE&amp;creator=factset&amp;DYN_ARGS=TRUE&amp;DOC_NAME=FAT:FQL_AUDITING_CLIENT_TEMPLATE.FAT&amp;display_string=Audit&amp;VAR:KEY=NKJADCXGJW&amp;VAR:QUERY=UkdGX1RBWF9SQVRFKEFOTiwwLCwsLCwsTk9BVURJVCk=&amp;WINDOW=FIRST_POPUP&amp;HEIGHT=450&amp;WIDTH=450&amp;","START_MAXIMIZED=FALSE&amp;VAR:CALENDAR=US&amp;VAR:SYMBOL=B15CMQ&amp;VAR:INDEX=0"}</definedName>
    <definedName name="_3503__FDSAUDITLINK__" localSheetId="3" hidden="1">{"fdsup://directions/FAT Viewer?action=UPDATE&amp;creator=factset&amp;DYN_ARGS=TRUE&amp;DOC_NAME=FAT:FQL_AUDITING_CLIENT_TEMPLATE.FAT&amp;display_string=Audit&amp;VAR:KEY=NKJADCXGJW&amp;VAR:QUERY=UkdGX1RBWF9SQVRFKEFOTiwwLCwsLCwsTk9BVURJVCk=&amp;WINDOW=FIRST_POPUP&amp;HEIGHT=450&amp;WIDTH=450&amp;","START_MAXIMIZED=FALSE&amp;VAR:CALENDAR=US&amp;VAR:SYMBOL=B15CMQ&amp;VAR:INDEX=0"}</definedName>
    <definedName name="_3503__FDSAUDITLINK__" localSheetId="7" hidden="1">{"fdsup://directions/FAT Viewer?action=UPDATE&amp;creator=factset&amp;DYN_ARGS=TRUE&amp;DOC_NAME=FAT:FQL_AUDITING_CLIENT_TEMPLATE.FAT&amp;display_string=Audit&amp;VAR:KEY=NKJADCXGJW&amp;VAR:QUERY=UkdGX1RBWF9SQVRFKEFOTiwwLCwsLCwsTk9BVURJVCk=&amp;WINDOW=FIRST_POPUP&amp;HEIGHT=450&amp;WIDTH=450&amp;","START_MAXIMIZED=FALSE&amp;VAR:CALENDAR=US&amp;VAR:SYMBOL=B15CMQ&amp;VAR:INDEX=0"}</definedName>
    <definedName name="_3503__FDSAUDITLINK__" hidden="1">{"fdsup://directions/FAT Viewer?action=UPDATE&amp;creator=factset&amp;DYN_ARGS=TRUE&amp;DOC_NAME=FAT:FQL_AUDITING_CLIENT_TEMPLATE.FAT&amp;display_string=Audit&amp;VAR:KEY=NKJADCXGJW&amp;VAR:QUERY=UkdGX1RBWF9SQVRFKEFOTiwwLCwsLCwsTk9BVURJVCk=&amp;WINDOW=FIRST_POPUP&amp;HEIGHT=450&amp;WIDTH=450&amp;","START_MAXIMIZED=FALSE&amp;VAR:CALENDAR=US&amp;VAR:SYMBOL=B15CMQ&amp;VAR:INDEX=0"}</definedName>
    <definedName name="_3504__FDSAUDITLINK__" localSheetId="3" hidden="1">{"fdsup://directions/FAT Viewer?action=UPDATE&amp;creator=factset&amp;DYN_ARGS=TRUE&amp;DOC_NAME=FAT:FQL_AUDITING_CLIENT_TEMPLATE.FAT&amp;display_string=Audit&amp;VAR:KEY=ZYRYVKFYRS&amp;VAR:QUERY=UkdGX1RBWF9SQVRFKEFOTiwwLCwsLCwsTk9BVURJVCk=&amp;WINDOW=FIRST_POPUP&amp;HEIGHT=450&amp;WIDTH=450&amp;","START_MAXIMIZED=FALSE&amp;VAR:CALENDAR=US&amp;VAR:SYMBOL=011827&amp;VAR:INDEX=0"}</definedName>
    <definedName name="_3504__FDSAUDITLINK__" localSheetId="7" hidden="1">{"fdsup://directions/FAT Viewer?action=UPDATE&amp;creator=factset&amp;DYN_ARGS=TRUE&amp;DOC_NAME=FAT:FQL_AUDITING_CLIENT_TEMPLATE.FAT&amp;display_string=Audit&amp;VAR:KEY=ZYRYVKFYRS&amp;VAR:QUERY=UkdGX1RBWF9SQVRFKEFOTiwwLCwsLCwsTk9BVURJVCk=&amp;WINDOW=FIRST_POPUP&amp;HEIGHT=450&amp;WIDTH=450&amp;","START_MAXIMIZED=FALSE&amp;VAR:CALENDAR=US&amp;VAR:SYMBOL=011827&amp;VAR:INDEX=0"}</definedName>
    <definedName name="_3504__FDSAUDITLINK__" hidden="1">{"fdsup://directions/FAT Viewer?action=UPDATE&amp;creator=factset&amp;DYN_ARGS=TRUE&amp;DOC_NAME=FAT:FQL_AUDITING_CLIENT_TEMPLATE.FAT&amp;display_string=Audit&amp;VAR:KEY=ZYRYVKFYRS&amp;VAR:QUERY=UkdGX1RBWF9SQVRFKEFOTiwwLCwsLCwsTk9BVURJVCk=&amp;WINDOW=FIRST_POPUP&amp;HEIGHT=450&amp;WIDTH=450&amp;","START_MAXIMIZED=FALSE&amp;VAR:CALENDAR=US&amp;VAR:SYMBOL=011827&amp;VAR:INDEX=0"}</definedName>
    <definedName name="_3505__FDSAUDITLINK__" localSheetId="3" hidden="1">{"fdsup://directions/FAT Viewer?action=UPDATE&amp;creator=factset&amp;DYN_ARGS=TRUE&amp;DOC_NAME=FAT:FQL_AUDITING_CLIENT_TEMPLATE.FAT&amp;display_string=Audit&amp;VAR:KEY=ZYRYVKFYRS&amp;VAR:QUERY=UkdGX1RBWF9SQVRFKEFOTiwwLCwsLCwsTk9BVURJVCk=&amp;WINDOW=FIRST_POPUP&amp;HEIGHT=450&amp;WIDTH=450&amp;","START_MAXIMIZED=FALSE&amp;VAR:CALENDAR=US&amp;VAR:SYMBOL=011827&amp;VAR:INDEX=0"}</definedName>
    <definedName name="_3505__FDSAUDITLINK__" localSheetId="7" hidden="1">{"fdsup://directions/FAT Viewer?action=UPDATE&amp;creator=factset&amp;DYN_ARGS=TRUE&amp;DOC_NAME=FAT:FQL_AUDITING_CLIENT_TEMPLATE.FAT&amp;display_string=Audit&amp;VAR:KEY=ZYRYVKFYRS&amp;VAR:QUERY=UkdGX1RBWF9SQVRFKEFOTiwwLCwsLCwsTk9BVURJVCk=&amp;WINDOW=FIRST_POPUP&amp;HEIGHT=450&amp;WIDTH=450&amp;","START_MAXIMIZED=FALSE&amp;VAR:CALENDAR=US&amp;VAR:SYMBOL=011827&amp;VAR:INDEX=0"}</definedName>
    <definedName name="_3505__FDSAUDITLINK__" hidden="1">{"fdsup://directions/FAT Viewer?action=UPDATE&amp;creator=factset&amp;DYN_ARGS=TRUE&amp;DOC_NAME=FAT:FQL_AUDITING_CLIENT_TEMPLATE.FAT&amp;display_string=Audit&amp;VAR:KEY=ZYRYVKFYRS&amp;VAR:QUERY=UkdGX1RBWF9SQVRFKEFOTiwwLCwsLCwsTk9BVURJVCk=&amp;WINDOW=FIRST_POPUP&amp;HEIGHT=450&amp;WIDTH=450&amp;","START_MAXIMIZED=FALSE&amp;VAR:CALENDAR=US&amp;VAR:SYMBOL=011827&amp;VAR:INDEX=0"}</definedName>
    <definedName name="_3506__FDSAUDITLINK__" localSheetId="3" hidden="1">{"fdsup://directions/FAT Viewer?action=UPDATE&amp;creator=factset&amp;DYN_ARGS=TRUE&amp;DOC_NAME=FAT:FQL_AUDITING_CLIENT_TEMPLATE.FAT&amp;display_string=Audit&amp;VAR:KEY=JONIBKLQFI&amp;VAR:QUERY=UkdGX1RBWF9SQVRFKEFOTiwwLCwsLCwsTk9BVURJVCk=&amp;WINDOW=FIRST_POPUP&amp;HEIGHT=450&amp;WIDTH=450&amp;","START_MAXIMIZED=FALSE&amp;VAR:CALENDAR=US&amp;VAR:SYMBOL=ADSK&amp;VAR:INDEX=0"}</definedName>
    <definedName name="_3506__FDSAUDITLINK__" localSheetId="7" hidden="1">{"fdsup://directions/FAT Viewer?action=UPDATE&amp;creator=factset&amp;DYN_ARGS=TRUE&amp;DOC_NAME=FAT:FQL_AUDITING_CLIENT_TEMPLATE.FAT&amp;display_string=Audit&amp;VAR:KEY=JONIBKLQFI&amp;VAR:QUERY=UkdGX1RBWF9SQVRFKEFOTiwwLCwsLCwsTk9BVURJVCk=&amp;WINDOW=FIRST_POPUP&amp;HEIGHT=450&amp;WIDTH=450&amp;","START_MAXIMIZED=FALSE&amp;VAR:CALENDAR=US&amp;VAR:SYMBOL=ADSK&amp;VAR:INDEX=0"}</definedName>
    <definedName name="_3506__FDSAUDITLINK__" hidden="1">{"fdsup://directions/FAT Viewer?action=UPDATE&amp;creator=factset&amp;DYN_ARGS=TRUE&amp;DOC_NAME=FAT:FQL_AUDITING_CLIENT_TEMPLATE.FAT&amp;display_string=Audit&amp;VAR:KEY=JONIBKLQFI&amp;VAR:QUERY=UkdGX1RBWF9SQVRFKEFOTiwwLCwsLCwsTk9BVURJVCk=&amp;WINDOW=FIRST_POPUP&amp;HEIGHT=450&amp;WIDTH=450&amp;","START_MAXIMIZED=FALSE&amp;VAR:CALENDAR=US&amp;VAR:SYMBOL=ADSK&amp;VAR:INDEX=0"}</definedName>
    <definedName name="_3507__FDSAUDITLINK__" localSheetId="3" hidden="1">{"fdsup://directions/FAT Viewer?action=UPDATE&amp;creator=factset&amp;DYN_ARGS=TRUE&amp;DOC_NAME=FAT:FQL_AUDITING_CLIENT_TEMPLATE.FAT&amp;display_string=Audit&amp;VAR:KEY=JONIBKLQFI&amp;VAR:QUERY=UkdGX1RBWF9SQVRFKEFOTiwwLCwsLCwsTk9BVURJVCk=&amp;WINDOW=FIRST_POPUP&amp;HEIGHT=450&amp;WIDTH=450&amp;","START_MAXIMIZED=FALSE&amp;VAR:CALENDAR=US&amp;VAR:SYMBOL=ADSK&amp;VAR:INDEX=0"}</definedName>
    <definedName name="_3507__FDSAUDITLINK__" localSheetId="7" hidden="1">{"fdsup://directions/FAT Viewer?action=UPDATE&amp;creator=factset&amp;DYN_ARGS=TRUE&amp;DOC_NAME=FAT:FQL_AUDITING_CLIENT_TEMPLATE.FAT&amp;display_string=Audit&amp;VAR:KEY=JONIBKLQFI&amp;VAR:QUERY=UkdGX1RBWF9SQVRFKEFOTiwwLCwsLCwsTk9BVURJVCk=&amp;WINDOW=FIRST_POPUP&amp;HEIGHT=450&amp;WIDTH=450&amp;","START_MAXIMIZED=FALSE&amp;VAR:CALENDAR=US&amp;VAR:SYMBOL=ADSK&amp;VAR:INDEX=0"}</definedName>
    <definedName name="_3507__FDSAUDITLINK__" hidden="1">{"fdsup://directions/FAT Viewer?action=UPDATE&amp;creator=factset&amp;DYN_ARGS=TRUE&amp;DOC_NAME=FAT:FQL_AUDITING_CLIENT_TEMPLATE.FAT&amp;display_string=Audit&amp;VAR:KEY=JONIBKLQFI&amp;VAR:QUERY=UkdGX1RBWF9SQVRFKEFOTiwwLCwsLCwsTk9BVURJVCk=&amp;WINDOW=FIRST_POPUP&amp;HEIGHT=450&amp;WIDTH=450&amp;","START_MAXIMIZED=FALSE&amp;VAR:CALENDAR=US&amp;VAR:SYMBOL=ADSK&amp;VAR:INDEX=0"}</definedName>
    <definedName name="_3508__FDSAUDITLINK__" localSheetId="3" hidden="1">{"fdsup://directions/FAT Viewer?action=UPDATE&amp;creator=factset&amp;DYN_ARGS=TRUE&amp;DOC_NAME=FAT:FQL_AUDITING_CLIENT_TEMPLATE.FAT&amp;display_string=Audit&amp;VAR:KEY=HKHUHUDWXC&amp;VAR:QUERY=UkdGX1RBWF9SQVRFKEFOTiwwLCwsLCwsTk9BVURJVCk=&amp;WINDOW=FIRST_POPUP&amp;HEIGHT=450&amp;WIDTH=450&amp;","START_MAXIMIZED=FALSE&amp;VAR:CALENDAR=US&amp;VAR:SYMBOL=ATHN&amp;VAR:INDEX=0"}</definedName>
    <definedName name="_3508__FDSAUDITLINK__" localSheetId="7" hidden="1">{"fdsup://directions/FAT Viewer?action=UPDATE&amp;creator=factset&amp;DYN_ARGS=TRUE&amp;DOC_NAME=FAT:FQL_AUDITING_CLIENT_TEMPLATE.FAT&amp;display_string=Audit&amp;VAR:KEY=HKHUHUDWXC&amp;VAR:QUERY=UkdGX1RBWF9SQVRFKEFOTiwwLCwsLCwsTk9BVURJVCk=&amp;WINDOW=FIRST_POPUP&amp;HEIGHT=450&amp;WIDTH=450&amp;","START_MAXIMIZED=FALSE&amp;VAR:CALENDAR=US&amp;VAR:SYMBOL=ATHN&amp;VAR:INDEX=0"}</definedName>
    <definedName name="_3508__FDSAUDITLINK__" hidden="1">{"fdsup://directions/FAT Viewer?action=UPDATE&amp;creator=factset&amp;DYN_ARGS=TRUE&amp;DOC_NAME=FAT:FQL_AUDITING_CLIENT_TEMPLATE.FAT&amp;display_string=Audit&amp;VAR:KEY=HKHUHUDWXC&amp;VAR:QUERY=UkdGX1RBWF9SQVRFKEFOTiwwLCwsLCwsTk9BVURJVCk=&amp;WINDOW=FIRST_POPUP&amp;HEIGHT=450&amp;WIDTH=450&amp;","START_MAXIMIZED=FALSE&amp;VAR:CALENDAR=US&amp;VAR:SYMBOL=ATHN&amp;VAR:INDEX=0"}</definedName>
    <definedName name="_3509__FDSAUDITLINK__" localSheetId="3" hidden="1">{"fdsup://directions/FAT Viewer?action=UPDATE&amp;creator=factset&amp;DYN_ARGS=TRUE&amp;DOC_NAME=FAT:FQL_AUDITING_CLIENT_TEMPLATE.FAT&amp;display_string=Audit&amp;VAR:KEY=HKHUHUDWXC&amp;VAR:QUERY=UkdGX1RBWF9SQVRFKEFOTiwwLCwsLCwsTk9BVURJVCk=&amp;WINDOW=FIRST_POPUP&amp;HEIGHT=450&amp;WIDTH=450&amp;","START_MAXIMIZED=FALSE&amp;VAR:CALENDAR=US&amp;VAR:SYMBOL=ATHN&amp;VAR:INDEX=0"}</definedName>
    <definedName name="_3509__FDSAUDITLINK__" localSheetId="7" hidden="1">{"fdsup://directions/FAT Viewer?action=UPDATE&amp;creator=factset&amp;DYN_ARGS=TRUE&amp;DOC_NAME=FAT:FQL_AUDITING_CLIENT_TEMPLATE.FAT&amp;display_string=Audit&amp;VAR:KEY=HKHUHUDWXC&amp;VAR:QUERY=UkdGX1RBWF9SQVRFKEFOTiwwLCwsLCwsTk9BVURJVCk=&amp;WINDOW=FIRST_POPUP&amp;HEIGHT=450&amp;WIDTH=450&amp;","START_MAXIMIZED=FALSE&amp;VAR:CALENDAR=US&amp;VAR:SYMBOL=ATHN&amp;VAR:INDEX=0"}</definedName>
    <definedName name="_3509__FDSAUDITLINK__" hidden="1">{"fdsup://directions/FAT Viewer?action=UPDATE&amp;creator=factset&amp;DYN_ARGS=TRUE&amp;DOC_NAME=FAT:FQL_AUDITING_CLIENT_TEMPLATE.FAT&amp;display_string=Audit&amp;VAR:KEY=HKHUHUDWXC&amp;VAR:QUERY=UkdGX1RBWF9SQVRFKEFOTiwwLCwsLCwsTk9BVURJVCk=&amp;WINDOW=FIRST_POPUP&amp;HEIGHT=450&amp;WIDTH=450&amp;","START_MAXIMIZED=FALSE&amp;VAR:CALENDAR=US&amp;VAR:SYMBOL=ATHN&amp;VAR:INDEX=0"}</definedName>
    <definedName name="_351__FDSAUDITLINK__" localSheetId="3" hidden="1">{"fdsup://directions/FAT Viewer?action=UPDATE&amp;creator=factset&amp;DYN_ARGS=TRUE&amp;DOC_NAME=FAT:FQL_AUDITING_CLIENT_TEMPLATE.FAT&amp;display_string=Audit&amp;VAR:KEY=GDIRYVMDCL&amp;VAR:QUERY=RkZfUk9UQyhBTk4sMCwtOSxZLFJQKQ==&amp;WINDOW=FIRST_POPUP&amp;HEIGHT=450&amp;WIDTH=450&amp;START_MAXIMI","ZED=FALSE&amp;VAR:CALENDAR=US&amp;VAR:SYMBOL=B10LQP&amp;VAR:INDEX=0"}</definedName>
    <definedName name="_351__FDSAUDITLINK__" localSheetId="7" hidden="1">{"fdsup://directions/FAT Viewer?action=UPDATE&amp;creator=factset&amp;DYN_ARGS=TRUE&amp;DOC_NAME=FAT:FQL_AUDITING_CLIENT_TEMPLATE.FAT&amp;display_string=Audit&amp;VAR:KEY=GDIRYVMDCL&amp;VAR:QUERY=RkZfUk9UQyhBTk4sMCwtOSxZLFJQKQ==&amp;WINDOW=FIRST_POPUP&amp;HEIGHT=450&amp;WIDTH=450&amp;START_MAXIMI","ZED=FALSE&amp;VAR:CALENDAR=US&amp;VAR:SYMBOL=B10LQP&amp;VAR:INDEX=0"}</definedName>
    <definedName name="_351__FDSAUDITLINK__" hidden="1">{"fdsup://directions/FAT Viewer?action=UPDATE&amp;creator=factset&amp;DYN_ARGS=TRUE&amp;DOC_NAME=FAT:FQL_AUDITING_CLIENT_TEMPLATE.FAT&amp;display_string=Audit&amp;VAR:KEY=GDIRYVMDCL&amp;VAR:QUERY=RkZfUk9UQyhBTk4sMCwtOSxZLFJQKQ==&amp;WINDOW=FIRST_POPUP&amp;HEIGHT=450&amp;WIDTH=450&amp;START_MAXIMI","ZED=FALSE&amp;VAR:CALENDAR=US&amp;VAR:SYMBOL=B10LQP&amp;VAR:INDEX=0"}</definedName>
    <definedName name="_3510__FDSAUDITLINK__" localSheetId="3" hidden="1">{"fdsup://directions/FAT Viewer?action=UPDATE&amp;creator=factset&amp;DYN_ARGS=TRUE&amp;DOC_NAME=FAT:FQL_AUDITING_CLIENT_TEMPLATE.FAT&amp;display_string=Audit&amp;VAR:KEY=BMTMRKNEHA&amp;VAR:QUERY=UkdGX1RBWF9SQVRFKEFOTiwwLCwsLCwsTk9BVURJVCk=&amp;WINDOW=FIRST_POPUP&amp;HEIGHT=450&amp;WIDTH=450&amp;","START_MAXIMIZED=FALSE&amp;VAR:CALENDAR=US&amp;VAR:SYMBOL=AZPN&amp;VAR:INDEX=0"}</definedName>
    <definedName name="_3510__FDSAUDITLINK__" localSheetId="7" hidden="1">{"fdsup://directions/FAT Viewer?action=UPDATE&amp;creator=factset&amp;DYN_ARGS=TRUE&amp;DOC_NAME=FAT:FQL_AUDITING_CLIENT_TEMPLATE.FAT&amp;display_string=Audit&amp;VAR:KEY=BMTMRKNEHA&amp;VAR:QUERY=UkdGX1RBWF9SQVRFKEFOTiwwLCwsLCwsTk9BVURJVCk=&amp;WINDOW=FIRST_POPUP&amp;HEIGHT=450&amp;WIDTH=450&amp;","START_MAXIMIZED=FALSE&amp;VAR:CALENDAR=US&amp;VAR:SYMBOL=AZPN&amp;VAR:INDEX=0"}</definedName>
    <definedName name="_3510__FDSAUDITLINK__" hidden="1">{"fdsup://directions/FAT Viewer?action=UPDATE&amp;creator=factset&amp;DYN_ARGS=TRUE&amp;DOC_NAME=FAT:FQL_AUDITING_CLIENT_TEMPLATE.FAT&amp;display_string=Audit&amp;VAR:KEY=BMTMRKNEHA&amp;VAR:QUERY=UkdGX1RBWF9SQVRFKEFOTiwwLCwsLCwsTk9BVURJVCk=&amp;WINDOW=FIRST_POPUP&amp;HEIGHT=450&amp;WIDTH=450&amp;","START_MAXIMIZED=FALSE&amp;VAR:CALENDAR=US&amp;VAR:SYMBOL=AZPN&amp;VAR:INDEX=0"}</definedName>
    <definedName name="_3511__FDSAUDITLINK__" localSheetId="3" hidden="1">{"fdsup://directions/FAT Viewer?action=UPDATE&amp;creator=factset&amp;DYN_ARGS=TRUE&amp;DOC_NAME=FAT:FQL_AUDITING_CLIENT_TEMPLATE.FAT&amp;display_string=Audit&amp;VAR:KEY=TGNYHWLCJQ&amp;VAR:QUERY=UkdGX1RBWF9SQVRFKEFOTiwwLCwsLCwsTk9BVURJVCk=&amp;WINDOW=FIRST_POPUP&amp;HEIGHT=450&amp;WIDTH=450&amp;","START_MAXIMIZED=FALSE&amp;VAR:CALENDAR=US&amp;VAR:SYMBOL=ARTG&amp;VAR:INDEX=0"}</definedName>
    <definedName name="_3511__FDSAUDITLINK__" localSheetId="7" hidden="1">{"fdsup://directions/FAT Viewer?action=UPDATE&amp;creator=factset&amp;DYN_ARGS=TRUE&amp;DOC_NAME=FAT:FQL_AUDITING_CLIENT_TEMPLATE.FAT&amp;display_string=Audit&amp;VAR:KEY=TGNYHWLCJQ&amp;VAR:QUERY=UkdGX1RBWF9SQVRFKEFOTiwwLCwsLCwsTk9BVURJVCk=&amp;WINDOW=FIRST_POPUP&amp;HEIGHT=450&amp;WIDTH=450&amp;","START_MAXIMIZED=FALSE&amp;VAR:CALENDAR=US&amp;VAR:SYMBOL=ARTG&amp;VAR:INDEX=0"}</definedName>
    <definedName name="_3511__FDSAUDITLINK__" hidden="1">{"fdsup://directions/FAT Viewer?action=UPDATE&amp;creator=factset&amp;DYN_ARGS=TRUE&amp;DOC_NAME=FAT:FQL_AUDITING_CLIENT_TEMPLATE.FAT&amp;display_string=Audit&amp;VAR:KEY=TGNYHWLCJQ&amp;VAR:QUERY=UkdGX1RBWF9SQVRFKEFOTiwwLCwsLCwsTk9BVURJVCk=&amp;WINDOW=FIRST_POPUP&amp;HEIGHT=450&amp;WIDTH=450&amp;","START_MAXIMIZED=FALSE&amp;VAR:CALENDAR=US&amp;VAR:SYMBOL=ARTG&amp;VAR:INDEX=0"}</definedName>
    <definedName name="_3512__FDSAUDITLINK__" localSheetId="3" hidden="1">{"fdsup://directions/FAT Viewer?action=UPDATE&amp;creator=factset&amp;DYN_ARGS=TRUE&amp;DOC_NAME=FAT:FQL_AUDITING_CLIENT_TEMPLATE.FAT&amp;display_string=Audit&amp;VAR:KEY=TGNYHWLCJQ&amp;VAR:QUERY=UkdGX1RBWF9SQVRFKEFOTiwwLCwsLCwsTk9BVURJVCk=&amp;WINDOW=FIRST_POPUP&amp;HEIGHT=450&amp;WIDTH=450&amp;","START_MAXIMIZED=FALSE&amp;VAR:CALENDAR=US&amp;VAR:SYMBOL=ARTG&amp;VAR:INDEX=0"}</definedName>
    <definedName name="_3512__FDSAUDITLINK__" localSheetId="7" hidden="1">{"fdsup://directions/FAT Viewer?action=UPDATE&amp;creator=factset&amp;DYN_ARGS=TRUE&amp;DOC_NAME=FAT:FQL_AUDITING_CLIENT_TEMPLATE.FAT&amp;display_string=Audit&amp;VAR:KEY=TGNYHWLCJQ&amp;VAR:QUERY=UkdGX1RBWF9SQVRFKEFOTiwwLCwsLCwsTk9BVURJVCk=&amp;WINDOW=FIRST_POPUP&amp;HEIGHT=450&amp;WIDTH=450&amp;","START_MAXIMIZED=FALSE&amp;VAR:CALENDAR=US&amp;VAR:SYMBOL=ARTG&amp;VAR:INDEX=0"}</definedName>
    <definedName name="_3512__FDSAUDITLINK__" hidden="1">{"fdsup://directions/FAT Viewer?action=UPDATE&amp;creator=factset&amp;DYN_ARGS=TRUE&amp;DOC_NAME=FAT:FQL_AUDITING_CLIENT_TEMPLATE.FAT&amp;display_string=Audit&amp;VAR:KEY=TGNYHWLCJQ&amp;VAR:QUERY=UkdGX1RBWF9SQVRFKEFOTiwwLCwsLCwsTk9BVURJVCk=&amp;WINDOW=FIRST_POPUP&amp;HEIGHT=450&amp;WIDTH=450&amp;","START_MAXIMIZED=FALSE&amp;VAR:CALENDAR=US&amp;VAR:SYMBOL=ARTG&amp;VAR:INDEX=0"}</definedName>
    <definedName name="_3513__FDSAUDITLINK__" localSheetId="3" hidden="1">{"fdsup://directions/FAT Viewer?action=UPDATE&amp;creator=factset&amp;DYN_ARGS=TRUE&amp;DOC_NAME=FAT:FQL_AUDITING_CLIENT_TEMPLATE.FAT&amp;display_string=Audit&amp;VAR:KEY=PMTUBSDKTW&amp;VAR:QUERY=UkdGX1RBWF9SQVRFKEFOTiwwLCwsLCwsTk9BVURJVCk=&amp;WINDOW=FIRST_POPUP&amp;HEIGHT=450&amp;WIDTH=450&amp;","START_MAXIMIZED=FALSE&amp;VAR:CALENDAR=US&amp;VAR:SYMBOL=005958&amp;VAR:INDEX=0"}</definedName>
    <definedName name="_3513__FDSAUDITLINK__" localSheetId="7" hidden="1">{"fdsup://directions/FAT Viewer?action=UPDATE&amp;creator=factset&amp;DYN_ARGS=TRUE&amp;DOC_NAME=FAT:FQL_AUDITING_CLIENT_TEMPLATE.FAT&amp;display_string=Audit&amp;VAR:KEY=PMTUBSDKTW&amp;VAR:QUERY=UkdGX1RBWF9SQVRFKEFOTiwwLCwsLCwsTk9BVURJVCk=&amp;WINDOW=FIRST_POPUP&amp;HEIGHT=450&amp;WIDTH=450&amp;","START_MAXIMIZED=FALSE&amp;VAR:CALENDAR=US&amp;VAR:SYMBOL=005958&amp;VAR:INDEX=0"}</definedName>
    <definedName name="_3513__FDSAUDITLINK__" hidden="1">{"fdsup://directions/FAT Viewer?action=UPDATE&amp;creator=factset&amp;DYN_ARGS=TRUE&amp;DOC_NAME=FAT:FQL_AUDITING_CLIENT_TEMPLATE.FAT&amp;display_string=Audit&amp;VAR:KEY=PMTUBSDKTW&amp;VAR:QUERY=UkdGX1RBWF9SQVRFKEFOTiwwLCwsLCwsTk9BVURJVCk=&amp;WINDOW=FIRST_POPUP&amp;HEIGHT=450&amp;WIDTH=450&amp;","START_MAXIMIZED=FALSE&amp;VAR:CALENDAR=US&amp;VAR:SYMBOL=005958&amp;VAR:INDEX=0"}</definedName>
    <definedName name="_3514__FDSAUDITLINK__" localSheetId="3" hidden="1">{"fdsup://directions/FAT Viewer?action=UPDATE&amp;creator=factset&amp;DYN_ARGS=TRUE&amp;DOC_NAME=FAT:FQL_AUDITING_CLIENT_TEMPLATE.FAT&amp;display_string=Audit&amp;VAR:KEY=PMTUBSDKTW&amp;VAR:QUERY=UkdGX1RBWF9SQVRFKEFOTiwwLCwsLCwsTk9BVURJVCk=&amp;WINDOW=FIRST_POPUP&amp;HEIGHT=450&amp;WIDTH=450&amp;","START_MAXIMIZED=FALSE&amp;VAR:CALENDAR=US&amp;VAR:SYMBOL=005958&amp;VAR:INDEX=0"}</definedName>
    <definedName name="_3514__FDSAUDITLINK__" localSheetId="7" hidden="1">{"fdsup://directions/FAT Viewer?action=UPDATE&amp;creator=factset&amp;DYN_ARGS=TRUE&amp;DOC_NAME=FAT:FQL_AUDITING_CLIENT_TEMPLATE.FAT&amp;display_string=Audit&amp;VAR:KEY=PMTUBSDKTW&amp;VAR:QUERY=UkdGX1RBWF9SQVRFKEFOTiwwLCwsLCwsTk9BVURJVCk=&amp;WINDOW=FIRST_POPUP&amp;HEIGHT=450&amp;WIDTH=450&amp;","START_MAXIMIZED=FALSE&amp;VAR:CALENDAR=US&amp;VAR:SYMBOL=005958&amp;VAR:INDEX=0"}</definedName>
    <definedName name="_3514__FDSAUDITLINK__" hidden="1">{"fdsup://directions/FAT Viewer?action=UPDATE&amp;creator=factset&amp;DYN_ARGS=TRUE&amp;DOC_NAME=FAT:FQL_AUDITING_CLIENT_TEMPLATE.FAT&amp;display_string=Audit&amp;VAR:KEY=PMTUBSDKTW&amp;VAR:QUERY=UkdGX1RBWF9SQVRFKEFOTiwwLCwsLCwsTk9BVURJVCk=&amp;WINDOW=FIRST_POPUP&amp;HEIGHT=450&amp;WIDTH=450&amp;","START_MAXIMIZED=FALSE&amp;VAR:CALENDAR=US&amp;VAR:SYMBOL=005958&amp;VAR:INDEX=0"}</definedName>
    <definedName name="_3515__FDSAUDITLINK__" localSheetId="3" hidden="1">{"fdsup://directions/FAT Viewer?action=UPDATE&amp;creator=factset&amp;DYN_ARGS=TRUE&amp;DOC_NAME=FAT:FQL_AUDITING_CLIENT_TEMPLATE.FAT&amp;display_string=Audit&amp;VAR:KEY=ZGLIRADCFC&amp;VAR:QUERY=UkdGX1RBWF9SQVRFKEFOTiwwLCwsLCwsTk9BVURJVCk=&amp;WINDOW=FIRST_POPUP&amp;HEIGHT=450&amp;WIDTH=450&amp;","START_MAXIMIZED=FALSE&amp;VAR:CALENDAR=US&amp;VAR:SYMBOL=ARBA&amp;VAR:INDEX=0"}</definedName>
    <definedName name="_3515__FDSAUDITLINK__" localSheetId="7" hidden="1">{"fdsup://directions/FAT Viewer?action=UPDATE&amp;creator=factset&amp;DYN_ARGS=TRUE&amp;DOC_NAME=FAT:FQL_AUDITING_CLIENT_TEMPLATE.FAT&amp;display_string=Audit&amp;VAR:KEY=ZGLIRADCFC&amp;VAR:QUERY=UkdGX1RBWF9SQVRFKEFOTiwwLCwsLCwsTk9BVURJVCk=&amp;WINDOW=FIRST_POPUP&amp;HEIGHT=450&amp;WIDTH=450&amp;","START_MAXIMIZED=FALSE&amp;VAR:CALENDAR=US&amp;VAR:SYMBOL=ARBA&amp;VAR:INDEX=0"}</definedName>
    <definedName name="_3515__FDSAUDITLINK__" hidden="1">{"fdsup://directions/FAT Viewer?action=UPDATE&amp;creator=factset&amp;DYN_ARGS=TRUE&amp;DOC_NAME=FAT:FQL_AUDITING_CLIENT_TEMPLATE.FAT&amp;display_string=Audit&amp;VAR:KEY=ZGLIRADCFC&amp;VAR:QUERY=UkdGX1RBWF9SQVRFKEFOTiwwLCwsLCwsTk9BVURJVCk=&amp;WINDOW=FIRST_POPUP&amp;HEIGHT=450&amp;WIDTH=450&amp;","START_MAXIMIZED=FALSE&amp;VAR:CALENDAR=US&amp;VAR:SYMBOL=ARBA&amp;VAR:INDEX=0"}</definedName>
    <definedName name="_3516__FDSAUDITLINK__" localSheetId="3" hidden="1">{"fdsup://directions/FAT Viewer?action=UPDATE&amp;creator=factset&amp;DYN_ARGS=TRUE&amp;DOC_NAME=FAT:FQL_AUDITING_CLIENT_TEMPLATE.FAT&amp;display_string=Audit&amp;VAR:KEY=ZGLIRADCFC&amp;VAR:QUERY=UkdGX1RBWF9SQVRFKEFOTiwwLCwsLCwsTk9BVURJVCk=&amp;WINDOW=FIRST_POPUP&amp;HEIGHT=450&amp;WIDTH=450&amp;","START_MAXIMIZED=FALSE&amp;VAR:CALENDAR=US&amp;VAR:SYMBOL=ARBA&amp;VAR:INDEX=0"}</definedName>
    <definedName name="_3516__FDSAUDITLINK__" localSheetId="7" hidden="1">{"fdsup://directions/FAT Viewer?action=UPDATE&amp;creator=factset&amp;DYN_ARGS=TRUE&amp;DOC_NAME=FAT:FQL_AUDITING_CLIENT_TEMPLATE.FAT&amp;display_string=Audit&amp;VAR:KEY=ZGLIRADCFC&amp;VAR:QUERY=UkdGX1RBWF9SQVRFKEFOTiwwLCwsLCwsTk9BVURJVCk=&amp;WINDOW=FIRST_POPUP&amp;HEIGHT=450&amp;WIDTH=450&amp;","START_MAXIMIZED=FALSE&amp;VAR:CALENDAR=US&amp;VAR:SYMBOL=ARBA&amp;VAR:INDEX=0"}</definedName>
    <definedName name="_3516__FDSAUDITLINK__" hidden="1">{"fdsup://directions/FAT Viewer?action=UPDATE&amp;creator=factset&amp;DYN_ARGS=TRUE&amp;DOC_NAME=FAT:FQL_AUDITING_CLIENT_TEMPLATE.FAT&amp;display_string=Audit&amp;VAR:KEY=ZGLIRADCFC&amp;VAR:QUERY=UkdGX1RBWF9SQVRFKEFOTiwwLCwsLCwsTk9BVURJVCk=&amp;WINDOW=FIRST_POPUP&amp;HEIGHT=450&amp;WIDTH=450&amp;","START_MAXIMIZED=FALSE&amp;VAR:CALENDAR=US&amp;VAR:SYMBOL=ARBA&amp;VAR:INDEX=0"}</definedName>
    <definedName name="_3517__FDSAUDITLINK__" localSheetId="3" hidden="1">{"fdsup://directions/FAT Viewer?action=UPDATE&amp;creator=factset&amp;DYN_ARGS=TRUE&amp;DOC_NAME=FAT:FQL_AUDITING_CLIENT_TEMPLATE.FAT&amp;display_string=Audit&amp;VAR:KEY=NYXUZYDEHU&amp;VAR:QUERY=UkdGX1RBWF9SQVRFKEFOTiwwLCwsLCwsTk9BVURJVCk=&amp;WINDOW=FIRST_POPUP&amp;HEIGHT=450&amp;WIDTH=450&amp;","START_MAXIMIZED=FALSE&amp;VAR:CALENDAR=US&amp;VAR:SYMBOL=ARB&amp;VAR:INDEX=0"}</definedName>
    <definedName name="_3517__FDSAUDITLINK__" localSheetId="7" hidden="1">{"fdsup://directions/FAT Viewer?action=UPDATE&amp;creator=factset&amp;DYN_ARGS=TRUE&amp;DOC_NAME=FAT:FQL_AUDITING_CLIENT_TEMPLATE.FAT&amp;display_string=Audit&amp;VAR:KEY=NYXUZYDEHU&amp;VAR:QUERY=UkdGX1RBWF9SQVRFKEFOTiwwLCwsLCwsTk9BVURJVCk=&amp;WINDOW=FIRST_POPUP&amp;HEIGHT=450&amp;WIDTH=450&amp;","START_MAXIMIZED=FALSE&amp;VAR:CALENDAR=US&amp;VAR:SYMBOL=ARB&amp;VAR:INDEX=0"}</definedName>
    <definedName name="_3517__FDSAUDITLINK__" hidden="1">{"fdsup://directions/FAT Viewer?action=UPDATE&amp;creator=factset&amp;DYN_ARGS=TRUE&amp;DOC_NAME=FAT:FQL_AUDITING_CLIENT_TEMPLATE.FAT&amp;display_string=Audit&amp;VAR:KEY=NYXUZYDEHU&amp;VAR:QUERY=UkdGX1RBWF9SQVRFKEFOTiwwLCwsLCwsTk9BVURJVCk=&amp;WINDOW=FIRST_POPUP&amp;HEIGHT=450&amp;WIDTH=450&amp;","START_MAXIMIZED=FALSE&amp;VAR:CALENDAR=US&amp;VAR:SYMBOL=ARB&amp;VAR:INDEX=0"}</definedName>
    <definedName name="_3518__FDSAUDITLINK__" localSheetId="3" hidden="1">{"fdsup://directions/FAT Viewer?action=UPDATE&amp;creator=factset&amp;DYN_ARGS=TRUE&amp;DOC_NAME=FAT:FQL_AUDITING_CLIENT_TEMPLATE.FAT&amp;display_string=Audit&amp;VAR:KEY=NYXUZYDEHU&amp;VAR:QUERY=UkdGX1RBWF9SQVRFKEFOTiwwLCwsLCwsTk9BVURJVCk=&amp;WINDOW=FIRST_POPUP&amp;HEIGHT=450&amp;WIDTH=450&amp;","START_MAXIMIZED=FALSE&amp;VAR:CALENDAR=US&amp;VAR:SYMBOL=ARB&amp;VAR:INDEX=0"}</definedName>
    <definedName name="_3518__FDSAUDITLINK__" localSheetId="7" hidden="1">{"fdsup://directions/FAT Viewer?action=UPDATE&amp;creator=factset&amp;DYN_ARGS=TRUE&amp;DOC_NAME=FAT:FQL_AUDITING_CLIENT_TEMPLATE.FAT&amp;display_string=Audit&amp;VAR:KEY=NYXUZYDEHU&amp;VAR:QUERY=UkdGX1RBWF9SQVRFKEFOTiwwLCwsLCwsTk9BVURJVCk=&amp;WINDOW=FIRST_POPUP&amp;HEIGHT=450&amp;WIDTH=450&amp;","START_MAXIMIZED=FALSE&amp;VAR:CALENDAR=US&amp;VAR:SYMBOL=ARB&amp;VAR:INDEX=0"}</definedName>
    <definedName name="_3518__FDSAUDITLINK__" hidden="1">{"fdsup://directions/FAT Viewer?action=UPDATE&amp;creator=factset&amp;DYN_ARGS=TRUE&amp;DOC_NAME=FAT:FQL_AUDITING_CLIENT_TEMPLATE.FAT&amp;display_string=Audit&amp;VAR:KEY=NYXUZYDEHU&amp;VAR:QUERY=UkdGX1RBWF9SQVRFKEFOTiwwLCwsLCwsTk9BVURJVCk=&amp;WINDOW=FIRST_POPUP&amp;HEIGHT=450&amp;WIDTH=450&amp;","START_MAXIMIZED=FALSE&amp;VAR:CALENDAR=US&amp;VAR:SYMBOL=ARB&amp;VAR:INDEX=0"}</definedName>
    <definedName name="_3519__FDSAUDITLINK__" localSheetId="3" hidden="1">{"fdsup://directions/FAT Viewer?action=UPDATE&amp;creator=factset&amp;DYN_ARGS=TRUE&amp;DOC_NAME=FAT:FQL_AUDITING_CLIENT_TEMPLATE.FAT&amp;display_string=Audit&amp;VAR:KEY=DKRIBGLYZG&amp;VAR:QUERY=UkdGX1RBWF9SQVRFKEFOTiwwLCwsLCwsTk9BVURJVCk=&amp;WINDOW=FIRST_POPUP&amp;HEIGHT=450&amp;WIDTH=450&amp;","START_MAXIMIZED=FALSE&amp;VAR:CALENDAR=US&amp;VAR:SYMBOL=ANSS&amp;VAR:INDEX=0"}</definedName>
    <definedName name="_3519__FDSAUDITLINK__" localSheetId="7" hidden="1">{"fdsup://directions/FAT Viewer?action=UPDATE&amp;creator=factset&amp;DYN_ARGS=TRUE&amp;DOC_NAME=FAT:FQL_AUDITING_CLIENT_TEMPLATE.FAT&amp;display_string=Audit&amp;VAR:KEY=DKRIBGLYZG&amp;VAR:QUERY=UkdGX1RBWF9SQVRFKEFOTiwwLCwsLCwsTk9BVURJVCk=&amp;WINDOW=FIRST_POPUP&amp;HEIGHT=450&amp;WIDTH=450&amp;","START_MAXIMIZED=FALSE&amp;VAR:CALENDAR=US&amp;VAR:SYMBOL=ANSS&amp;VAR:INDEX=0"}</definedName>
    <definedName name="_3519__FDSAUDITLINK__" hidden="1">{"fdsup://directions/FAT Viewer?action=UPDATE&amp;creator=factset&amp;DYN_ARGS=TRUE&amp;DOC_NAME=FAT:FQL_AUDITING_CLIENT_TEMPLATE.FAT&amp;display_string=Audit&amp;VAR:KEY=DKRIBGLYZG&amp;VAR:QUERY=UkdGX1RBWF9SQVRFKEFOTiwwLCwsLCwsTk9BVURJVCk=&amp;WINDOW=FIRST_POPUP&amp;HEIGHT=450&amp;WIDTH=450&amp;","START_MAXIMIZED=FALSE&amp;VAR:CALENDAR=US&amp;VAR:SYMBOL=ANSS&amp;VAR:INDEX=0"}</definedName>
    <definedName name="_352__FDSAUDITLINK__" localSheetId="3" hidden="1">{"fdsup://directions/FAT Viewer?action=UPDATE&amp;creator=factset&amp;DYN_ARGS=TRUE&amp;DOC_NAME=FAT:FQL_AUDITING_CLIENT_TEMPLATE.FAT&amp;display_string=Audit&amp;VAR:KEY=BAXYNUNOVM&amp;VAR:QUERY=UENUQ0hHKEZGX0RFQlQoQU5OLDAsLTksWSxSUCxMT0NBTCxNKSxGRl9ERUJUKEFOTiwwIC0gMSwtOSAtIDEsW","SxSUCxMT0NBTCxNKSk=&amp;WINDOW=FIRST_POPUP&amp;HEIGHT=450&amp;WIDTH=450&amp;START_MAXIMIZED=FALSE&amp;VAR:CALENDAR=US&amp;VAR:SYMBOL=B10LQP&amp;VAR:INDEX=7"}</definedName>
    <definedName name="_352__FDSAUDITLINK__" localSheetId="7" hidden="1">{"fdsup://directions/FAT Viewer?action=UPDATE&amp;creator=factset&amp;DYN_ARGS=TRUE&amp;DOC_NAME=FAT:FQL_AUDITING_CLIENT_TEMPLATE.FAT&amp;display_string=Audit&amp;VAR:KEY=BAXYNUNOVM&amp;VAR:QUERY=UENUQ0hHKEZGX0RFQlQoQU5OLDAsLTksWSxSUCxMT0NBTCxNKSxGRl9ERUJUKEFOTiwwIC0gMSwtOSAtIDEsW","SxSUCxMT0NBTCxNKSk=&amp;WINDOW=FIRST_POPUP&amp;HEIGHT=450&amp;WIDTH=450&amp;START_MAXIMIZED=FALSE&amp;VAR:CALENDAR=US&amp;VAR:SYMBOL=B10LQP&amp;VAR:INDEX=7"}</definedName>
    <definedName name="_352__FDSAUDITLINK__" hidden="1">{"fdsup://directions/FAT Viewer?action=UPDATE&amp;creator=factset&amp;DYN_ARGS=TRUE&amp;DOC_NAME=FAT:FQL_AUDITING_CLIENT_TEMPLATE.FAT&amp;display_string=Audit&amp;VAR:KEY=BAXYNUNOVM&amp;VAR:QUERY=UENUQ0hHKEZGX0RFQlQoQU5OLDAsLTksWSxSUCxMT0NBTCxNKSxGRl9ERUJUKEFOTiwwIC0gMSwtOSAtIDEsW","SxSUCxMT0NBTCxNKSk=&amp;WINDOW=FIRST_POPUP&amp;HEIGHT=450&amp;WIDTH=450&amp;START_MAXIMIZED=FALSE&amp;VAR:CALENDAR=US&amp;VAR:SYMBOL=B10LQP&amp;VAR:INDEX=7"}</definedName>
    <definedName name="_3520__FDSAUDITLINK__" localSheetId="3" hidden="1">{"fdsup://directions/FAT Viewer?action=UPDATE&amp;creator=factset&amp;DYN_ARGS=TRUE&amp;DOC_NAME=FAT:FQL_AUDITING_CLIENT_TEMPLATE.FAT&amp;display_string=Audit&amp;VAR:KEY=DKRIBGLYZG&amp;VAR:QUERY=UkdGX1RBWF9SQVRFKEFOTiwwLCwsLCwsTk9BVURJVCk=&amp;WINDOW=FIRST_POPUP&amp;HEIGHT=450&amp;WIDTH=450&amp;","START_MAXIMIZED=FALSE&amp;VAR:CALENDAR=US&amp;VAR:SYMBOL=ANSS&amp;VAR:INDEX=0"}</definedName>
    <definedName name="_3520__FDSAUDITLINK__" localSheetId="7" hidden="1">{"fdsup://directions/FAT Viewer?action=UPDATE&amp;creator=factset&amp;DYN_ARGS=TRUE&amp;DOC_NAME=FAT:FQL_AUDITING_CLIENT_TEMPLATE.FAT&amp;display_string=Audit&amp;VAR:KEY=DKRIBGLYZG&amp;VAR:QUERY=UkdGX1RBWF9SQVRFKEFOTiwwLCwsLCwsTk9BVURJVCk=&amp;WINDOW=FIRST_POPUP&amp;HEIGHT=450&amp;WIDTH=450&amp;","START_MAXIMIZED=FALSE&amp;VAR:CALENDAR=US&amp;VAR:SYMBOL=ANSS&amp;VAR:INDEX=0"}</definedName>
    <definedName name="_3520__FDSAUDITLINK__" hidden="1">{"fdsup://directions/FAT Viewer?action=UPDATE&amp;creator=factset&amp;DYN_ARGS=TRUE&amp;DOC_NAME=FAT:FQL_AUDITING_CLIENT_TEMPLATE.FAT&amp;display_string=Audit&amp;VAR:KEY=DKRIBGLYZG&amp;VAR:QUERY=UkdGX1RBWF9SQVRFKEFOTiwwLCwsLCwsTk9BVURJVCk=&amp;WINDOW=FIRST_POPUP&amp;HEIGHT=450&amp;WIDTH=450&amp;","START_MAXIMIZED=FALSE&amp;VAR:CALENDAR=US&amp;VAR:SYMBOL=ANSS&amp;VAR:INDEX=0"}</definedName>
    <definedName name="_3521__FDSAUDITLINK__" localSheetId="3" hidden="1">{"fdsup://directions/FAT Viewer?action=UPDATE&amp;creator=factset&amp;DYN_ARGS=TRUE&amp;DOC_NAME=FAT:FQL_AUDITING_CLIENT_TEMPLATE.FAT&amp;display_string=Audit&amp;VAR:KEY=NIJYZUHSFW&amp;VAR:QUERY=UkdGX1RBWF9SQVRFKEFOTiwwLCwsLCwsTk9BVURJVCk=&amp;WINDOW=FIRST_POPUP&amp;HEIGHT=450&amp;WIDTH=450&amp;","START_MAXIMIZED=FALSE&amp;VAR:CALENDAR=US&amp;VAR:SYMBOL=DOX&amp;VAR:INDEX=0"}</definedName>
    <definedName name="_3521__FDSAUDITLINK__" localSheetId="7" hidden="1">{"fdsup://directions/FAT Viewer?action=UPDATE&amp;creator=factset&amp;DYN_ARGS=TRUE&amp;DOC_NAME=FAT:FQL_AUDITING_CLIENT_TEMPLATE.FAT&amp;display_string=Audit&amp;VAR:KEY=NIJYZUHSFW&amp;VAR:QUERY=UkdGX1RBWF9SQVRFKEFOTiwwLCwsLCwsTk9BVURJVCk=&amp;WINDOW=FIRST_POPUP&amp;HEIGHT=450&amp;WIDTH=450&amp;","START_MAXIMIZED=FALSE&amp;VAR:CALENDAR=US&amp;VAR:SYMBOL=DOX&amp;VAR:INDEX=0"}</definedName>
    <definedName name="_3521__FDSAUDITLINK__" hidden="1">{"fdsup://directions/FAT Viewer?action=UPDATE&amp;creator=factset&amp;DYN_ARGS=TRUE&amp;DOC_NAME=FAT:FQL_AUDITING_CLIENT_TEMPLATE.FAT&amp;display_string=Audit&amp;VAR:KEY=NIJYZUHSFW&amp;VAR:QUERY=UkdGX1RBWF9SQVRFKEFOTiwwLCwsLCwsTk9BVURJVCk=&amp;WINDOW=FIRST_POPUP&amp;HEIGHT=450&amp;WIDTH=450&amp;","START_MAXIMIZED=FALSE&amp;VAR:CALENDAR=US&amp;VAR:SYMBOL=DOX&amp;VAR:INDEX=0"}</definedName>
    <definedName name="_3522__FDSAUDITLINK__" localSheetId="3" hidden="1">{"fdsup://directions/FAT Viewer?action=UPDATE&amp;creator=factset&amp;DYN_ARGS=TRUE&amp;DOC_NAME=FAT:FQL_AUDITING_CLIENT_TEMPLATE.FAT&amp;display_string=Audit&amp;VAR:KEY=NIJYZUHSFW&amp;VAR:QUERY=UkdGX1RBWF9SQVRFKEFOTiwwLCwsLCwsTk9BVURJVCk=&amp;WINDOW=FIRST_POPUP&amp;HEIGHT=450&amp;WIDTH=450&amp;","START_MAXIMIZED=FALSE&amp;VAR:CALENDAR=US&amp;VAR:SYMBOL=DOX&amp;VAR:INDEX=0"}</definedName>
    <definedName name="_3522__FDSAUDITLINK__" localSheetId="7" hidden="1">{"fdsup://directions/FAT Viewer?action=UPDATE&amp;creator=factset&amp;DYN_ARGS=TRUE&amp;DOC_NAME=FAT:FQL_AUDITING_CLIENT_TEMPLATE.FAT&amp;display_string=Audit&amp;VAR:KEY=NIJYZUHSFW&amp;VAR:QUERY=UkdGX1RBWF9SQVRFKEFOTiwwLCwsLCwsTk9BVURJVCk=&amp;WINDOW=FIRST_POPUP&amp;HEIGHT=450&amp;WIDTH=450&amp;","START_MAXIMIZED=FALSE&amp;VAR:CALENDAR=US&amp;VAR:SYMBOL=DOX&amp;VAR:INDEX=0"}</definedName>
    <definedName name="_3522__FDSAUDITLINK__" hidden="1">{"fdsup://directions/FAT Viewer?action=UPDATE&amp;creator=factset&amp;DYN_ARGS=TRUE&amp;DOC_NAME=FAT:FQL_AUDITING_CLIENT_TEMPLATE.FAT&amp;display_string=Audit&amp;VAR:KEY=NIJYZUHSFW&amp;VAR:QUERY=UkdGX1RBWF9SQVRFKEFOTiwwLCwsLCwsTk9BVURJVCk=&amp;WINDOW=FIRST_POPUP&amp;HEIGHT=450&amp;WIDTH=450&amp;","START_MAXIMIZED=FALSE&amp;VAR:CALENDAR=US&amp;VAR:SYMBOL=DOX&amp;VAR:INDEX=0"}</definedName>
    <definedName name="_3523__FDSAUDITLINK__" localSheetId="3" hidden="1">{"fdsup://directions/FAT Viewer?action=UPDATE&amp;creator=factset&amp;DYN_ARGS=TRUE&amp;DOC_NAME=FAT:FQL_AUDITING_CLIENT_TEMPLATE.FAT&amp;display_string=Audit&amp;VAR:KEY=HAFQLIBOJA&amp;VAR:QUERY=UkdGX1RBWF9SQVRFKEFOTiwwLCwsLCwsTk9BVURJVCk=&amp;WINDOW=FIRST_POPUP&amp;HEIGHT=450&amp;WIDTH=450&amp;","START_MAXIMIZED=FALSE&amp;VAR:CALENDAR=US&amp;VAR:SYMBOL=AMZN&amp;VAR:INDEX=0"}</definedName>
    <definedName name="_3523__FDSAUDITLINK__" localSheetId="7" hidden="1">{"fdsup://directions/FAT Viewer?action=UPDATE&amp;creator=factset&amp;DYN_ARGS=TRUE&amp;DOC_NAME=FAT:FQL_AUDITING_CLIENT_TEMPLATE.FAT&amp;display_string=Audit&amp;VAR:KEY=HAFQLIBOJA&amp;VAR:QUERY=UkdGX1RBWF9SQVRFKEFOTiwwLCwsLCwsTk9BVURJVCk=&amp;WINDOW=FIRST_POPUP&amp;HEIGHT=450&amp;WIDTH=450&amp;","START_MAXIMIZED=FALSE&amp;VAR:CALENDAR=US&amp;VAR:SYMBOL=AMZN&amp;VAR:INDEX=0"}</definedName>
    <definedName name="_3523__FDSAUDITLINK__" hidden="1">{"fdsup://directions/FAT Viewer?action=UPDATE&amp;creator=factset&amp;DYN_ARGS=TRUE&amp;DOC_NAME=FAT:FQL_AUDITING_CLIENT_TEMPLATE.FAT&amp;display_string=Audit&amp;VAR:KEY=HAFQLIBOJA&amp;VAR:QUERY=UkdGX1RBWF9SQVRFKEFOTiwwLCwsLCwsTk9BVURJVCk=&amp;WINDOW=FIRST_POPUP&amp;HEIGHT=450&amp;WIDTH=450&amp;","START_MAXIMIZED=FALSE&amp;VAR:CALENDAR=US&amp;VAR:SYMBOL=AMZN&amp;VAR:INDEX=0"}</definedName>
    <definedName name="_3524__FDSAUDITLINK__" localSheetId="3" hidden="1">{"fdsup://directions/FAT Viewer?action=UPDATE&amp;creator=factset&amp;DYN_ARGS=TRUE&amp;DOC_NAME=FAT:FQL_AUDITING_CLIENT_TEMPLATE.FAT&amp;display_string=Audit&amp;VAR:KEY=HAFQLIBOJA&amp;VAR:QUERY=UkdGX1RBWF9SQVRFKEFOTiwwLCwsLCwsTk9BVURJVCk=&amp;WINDOW=FIRST_POPUP&amp;HEIGHT=450&amp;WIDTH=450&amp;","START_MAXIMIZED=FALSE&amp;VAR:CALENDAR=US&amp;VAR:SYMBOL=AMZN&amp;VAR:INDEX=0"}</definedName>
    <definedName name="_3524__FDSAUDITLINK__" localSheetId="7" hidden="1">{"fdsup://directions/FAT Viewer?action=UPDATE&amp;creator=factset&amp;DYN_ARGS=TRUE&amp;DOC_NAME=FAT:FQL_AUDITING_CLIENT_TEMPLATE.FAT&amp;display_string=Audit&amp;VAR:KEY=HAFQLIBOJA&amp;VAR:QUERY=UkdGX1RBWF9SQVRFKEFOTiwwLCwsLCwsTk9BVURJVCk=&amp;WINDOW=FIRST_POPUP&amp;HEIGHT=450&amp;WIDTH=450&amp;","START_MAXIMIZED=FALSE&amp;VAR:CALENDAR=US&amp;VAR:SYMBOL=AMZN&amp;VAR:INDEX=0"}</definedName>
    <definedName name="_3524__FDSAUDITLINK__" hidden="1">{"fdsup://directions/FAT Viewer?action=UPDATE&amp;creator=factset&amp;DYN_ARGS=TRUE&amp;DOC_NAME=FAT:FQL_AUDITING_CLIENT_TEMPLATE.FAT&amp;display_string=Audit&amp;VAR:KEY=HAFQLIBOJA&amp;VAR:QUERY=UkdGX1RBWF9SQVRFKEFOTiwwLCwsLCwsTk9BVURJVCk=&amp;WINDOW=FIRST_POPUP&amp;HEIGHT=450&amp;WIDTH=450&amp;","START_MAXIMIZED=FALSE&amp;VAR:CALENDAR=US&amp;VAR:SYMBOL=AMZN&amp;VAR:INDEX=0"}</definedName>
    <definedName name="_3525__FDSAUDITLINK__" localSheetId="3" hidden="1">{"fdsup://directions/FAT Viewer?action=UPDATE&amp;creator=factset&amp;DYN_ARGS=TRUE&amp;DOC_NAME=FAT:FQL_AUDITING_CLIENT_TEMPLATE.FAT&amp;display_string=Audit&amp;VAR:KEY=JWFWLCLKLW&amp;VAR:QUERY=UkdGX1RBWF9SQVRFKEFOTiwwLCwsLCwsTk9BVURJVCk=&amp;WINDOW=FIRST_POPUP&amp;HEIGHT=450&amp;WIDTH=450&amp;","START_MAXIMIZED=FALSE&amp;VAR:CALENDAR=US&amp;VAR:SYMBOL=AKAM&amp;VAR:INDEX=0"}</definedName>
    <definedName name="_3525__FDSAUDITLINK__" localSheetId="7" hidden="1">{"fdsup://directions/FAT Viewer?action=UPDATE&amp;creator=factset&amp;DYN_ARGS=TRUE&amp;DOC_NAME=FAT:FQL_AUDITING_CLIENT_TEMPLATE.FAT&amp;display_string=Audit&amp;VAR:KEY=JWFWLCLKLW&amp;VAR:QUERY=UkdGX1RBWF9SQVRFKEFOTiwwLCwsLCwsTk9BVURJVCk=&amp;WINDOW=FIRST_POPUP&amp;HEIGHT=450&amp;WIDTH=450&amp;","START_MAXIMIZED=FALSE&amp;VAR:CALENDAR=US&amp;VAR:SYMBOL=AKAM&amp;VAR:INDEX=0"}</definedName>
    <definedName name="_3525__FDSAUDITLINK__" hidden="1">{"fdsup://directions/FAT Viewer?action=UPDATE&amp;creator=factset&amp;DYN_ARGS=TRUE&amp;DOC_NAME=FAT:FQL_AUDITING_CLIENT_TEMPLATE.FAT&amp;display_string=Audit&amp;VAR:KEY=JWFWLCLKLW&amp;VAR:QUERY=UkdGX1RBWF9SQVRFKEFOTiwwLCwsLCwsTk9BVURJVCk=&amp;WINDOW=FIRST_POPUP&amp;HEIGHT=450&amp;WIDTH=450&amp;","START_MAXIMIZED=FALSE&amp;VAR:CALENDAR=US&amp;VAR:SYMBOL=AKAM&amp;VAR:INDEX=0"}</definedName>
    <definedName name="_3526__FDSAUDITLINK__" localSheetId="3" hidden="1">{"fdsup://directions/FAT Viewer?action=UPDATE&amp;creator=factset&amp;DYN_ARGS=TRUE&amp;DOC_NAME=FAT:FQL_AUDITING_CLIENT_TEMPLATE.FAT&amp;display_string=Audit&amp;VAR:KEY=JWFWLCLKLW&amp;VAR:QUERY=UkdGX1RBWF9SQVRFKEFOTiwwLCwsLCwsTk9BVURJVCk=&amp;WINDOW=FIRST_POPUP&amp;HEIGHT=450&amp;WIDTH=450&amp;","START_MAXIMIZED=FALSE&amp;VAR:CALENDAR=US&amp;VAR:SYMBOL=AKAM&amp;VAR:INDEX=0"}</definedName>
    <definedName name="_3526__FDSAUDITLINK__" localSheetId="7" hidden="1">{"fdsup://directions/FAT Viewer?action=UPDATE&amp;creator=factset&amp;DYN_ARGS=TRUE&amp;DOC_NAME=FAT:FQL_AUDITING_CLIENT_TEMPLATE.FAT&amp;display_string=Audit&amp;VAR:KEY=JWFWLCLKLW&amp;VAR:QUERY=UkdGX1RBWF9SQVRFKEFOTiwwLCwsLCwsTk9BVURJVCk=&amp;WINDOW=FIRST_POPUP&amp;HEIGHT=450&amp;WIDTH=450&amp;","START_MAXIMIZED=FALSE&amp;VAR:CALENDAR=US&amp;VAR:SYMBOL=AKAM&amp;VAR:INDEX=0"}</definedName>
    <definedName name="_3526__FDSAUDITLINK__" hidden="1">{"fdsup://directions/FAT Viewer?action=UPDATE&amp;creator=factset&amp;DYN_ARGS=TRUE&amp;DOC_NAME=FAT:FQL_AUDITING_CLIENT_TEMPLATE.FAT&amp;display_string=Audit&amp;VAR:KEY=JWFWLCLKLW&amp;VAR:QUERY=UkdGX1RBWF9SQVRFKEFOTiwwLCwsLCwsTk9BVURJVCk=&amp;WINDOW=FIRST_POPUP&amp;HEIGHT=450&amp;WIDTH=450&amp;","START_MAXIMIZED=FALSE&amp;VAR:CALENDAR=US&amp;VAR:SYMBOL=AKAM&amp;VAR:INDEX=0"}</definedName>
    <definedName name="_3527__FDSAUDITLINK__" localSheetId="3" hidden="1">{"fdsup://directions/FAT Viewer?action=UPDATE&amp;creator=factset&amp;DYN_ARGS=TRUE&amp;DOC_NAME=FAT:FQL_AUDITING_CLIENT_TEMPLATE.FAT&amp;display_string=Audit&amp;VAR:KEY=LKHSBITUHU&amp;VAR:QUERY=UkdGX1RBWF9SQVRFKEFOTiwwLCwsLCwsTk9BVURJVCk=&amp;WINDOW=FIRST_POPUP&amp;HEIGHT=450&amp;WIDTH=450&amp;","START_MAXIMIZED=FALSE&amp;VAR:CALENDAR=US&amp;VAR:SYMBOL=ADVS&amp;VAR:INDEX=0"}</definedName>
    <definedName name="_3527__FDSAUDITLINK__" localSheetId="7" hidden="1">{"fdsup://directions/FAT Viewer?action=UPDATE&amp;creator=factset&amp;DYN_ARGS=TRUE&amp;DOC_NAME=FAT:FQL_AUDITING_CLIENT_TEMPLATE.FAT&amp;display_string=Audit&amp;VAR:KEY=LKHSBITUHU&amp;VAR:QUERY=UkdGX1RBWF9SQVRFKEFOTiwwLCwsLCwsTk9BVURJVCk=&amp;WINDOW=FIRST_POPUP&amp;HEIGHT=450&amp;WIDTH=450&amp;","START_MAXIMIZED=FALSE&amp;VAR:CALENDAR=US&amp;VAR:SYMBOL=ADVS&amp;VAR:INDEX=0"}</definedName>
    <definedName name="_3527__FDSAUDITLINK__" hidden="1">{"fdsup://directions/FAT Viewer?action=UPDATE&amp;creator=factset&amp;DYN_ARGS=TRUE&amp;DOC_NAME=FAT:FQL_AUDITING_CLIENT_TEMPLATE.FAT&amp;display_string=Audit&amp;VAR:KEY=LKHSBITUHU&amp;VAR:QUERY=UkdGX1RBWF9SQVRFKEFOTiwwLCwsLCwsTk9BVURJVCk=&amp;WINDOW=FIRST_POPUP&amp;HEIGHT=450&amp;WIDTH=450&amp;","START_MAXIMIZED=FALSE&amp;VAR:CALENDAR=US&amp;VAR:SYMBOL=ADVS&amp;VAR:INDEX=0"}</definedName>
    <definedName name="_3528__FDSAUDITLINK__" localSheetId="3" hidden="1">{"fdsup://directions/FAT Viewer?action=UPDATE&amp;creator=factset&amp;DYN_ARGS=TRUE&amp;DOC_NAME=FAT:FQL_AUDITING_CLIENT_TEMPLATE.FAT&amp;display_string=Audit&amp;VAR:KEY=LKHSBITUHU&amp;VAR:QUERY=UkdGX1RBWF9SQVRFKEFOTiwwLCwsLCwsTk9BVURJVCk=&amp;WINDOW=FIRST_POPUP&amp;HEIGHT=450&amp;WIDTH=450&amp;","START_MAXIMIZED=FALSE&amp;VAR:CALENDAR=US&amp;VAR:SYMBOL=ADVS&amp;VAR:INDEX=0"}</definedName>
    <definedName name="_3528__FDSAUDITLINK__" localSheetId="7" hidden="1">{"fdsup://directions/FAT Viewer?action=UPDATE&amp;creator=factset&amp;DYN_ARGS=TRUE&amp;DOC_NAME=FAT:FQL_AUDITING_CLIENT_TEMPLATE.FAT&amp;display_string=Audit&amp;VAR:KEY=LKHSBITUHU&amp;VAR:QUERY=UkdGX1RBWF9SQVRFKEFOTiwwLCwsLCwsTk9BVURJVCk=&amp;WINDOW=FIRST_POPUP&amp;HEIGHT=450&amp;WIDTH=450&amp;","START_MAXIMIZED=FALSE&amp;VAR:CALENDAR=US&amp;VAR:SYMBOL=ADVS&amp;VAR:INDEX=0"}</definedName>
    <definedName name="_3528__FDSAUDITLINK__" hidden="1">{"fdsup://directions/FAT Viewer?action=UPDATE&amp;creator=factset&amp;DYN_ARGS=TRUE&amp;DOC_NAME=FAT:FQL_AUDITING_CLIENT_TEMPLATE.FAT&amp;display_string=Audit&amp;VAR:KEY=LKHSBITUHU&amp;VAR:QUERY=UkdGX1RBWF9SQVRFKEFOTiwwLCwsLCwsTk9BVURJVCk=&amp;WINDOW=FIRST_POPUP&amp;HEIGHT=450&amp;WIDTH=450&amp;","START_MAXIMIZED=FALSE&amp;VAR:CALENDAR=US&amp;VAR:SYMBOL=ADVS&amp;VAR:INDEX=0"}</definedName>
    <definedName name="_3529__FDSAUDITLINK__" localSheetId="3" hidden="1">{"fdsup://directions/FAT Viewer?action=UPDATE&amp;creator=factset&amp;DYN_ARGS=TRUE&amp;DOC_NAME=FAT:FQL_AUDITING_CLIENT_TEMPLATE.FAT&amp;display_string=Audit&amp;VAR:KEY=TOBAHIJUXW&amp;VAR:QUERY=UkdGX1RBWF9SQVRFKEFOTiwwLCwsLCwsTk9BVURJVCk=&amp;WINDOW=FIRST_POPUP&amp;HEIGHT=450&amp;WIDTH=450&amp;","START_MAXIMIZED=FALSE&amp;VAR:CALENDAR=US&amp;VAR:SYMBOL=ADBE&amp;VAR:INDEX=0"}</definedName>
    <definedName name="_3529__FDSAUDITLINK__" localSheetId="7" hidden="1">{"fdsup://directions/FAT Viewer?action=UPDATE&amp;creator=factset&amp;DYN_ARGS=TRUE&amp;DOC_NAME=FAT:FQL_AUDITING_CLIENT_TEMPLATE.FAT&amp;display_string=Audit&amp;VAR:KEY=TOBAHIJUXW&amp;VAR:QUERY=UkdGX1RBWF9SQVRFKEFOTiwwLCwsLCwsTk9BVURJVCk=&amp;WINDOW=FIRST_POPUP&amp;HEIGHT=450&amp;WIDTH=450&amp;","START_MAXIMIZED=FALSE&amp;VAR:CALENDAR=US&amp;VAR:SYMBOL=ADBE&amp;VAR:INDEX=0"}</definedName>
    <definedName name="_3529__FDSAUDITLINK__" hidden="1">{"fdsup://directions/FAT Viewer?action=UPDATE&amp;creator=factset&amp;DYN_ARGS=TRUE&amp;DOC_NAME=FAT:FQL_AUDITING_CLIENT_TEMPLATE.FAT&amp;display_string=Audit&amp;VAR:KEY=TOBAHIJUXW&amp;VAR:QUERY=UkdGX1RBWF9SQVRFKEFOTiwwLCwsLCwsTk9BVURJVCk=&amp;WINDOW=FIRST_POPUP&amp;HEIGHT=450&amp;WIDTH=450&amp;","START_MAXIMIZED=FALSE&amp;VAR:CALENDAR=US&amp;VAR:SYMBOL=ADBE&amp;VAR:INDEX=0"}</definedName>
    <definedName name="_353__FDSAUDITLINK__" localSheetId="3"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 localSheetId="7"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0__FDSAUDITLINK__" localSheetId="3" hidden="1">{"fdsup://directions/FAT Viewer?action=UPDATE&amp;creator=factset&amp;DYN_ARGS=TRUE&amp;DOC_NAME=FAT:FQL_AUDITING_CLIENT_TEMPLATE.FAT&amp;display_string=Audit&amp;VAR:KEY=TOBAHIJUXW&amp;VAR:QUERY=UkdGX1RBWF9SQVRFKEFOTiwwLCwsLCwsTk9BVURJVCk=&amp;WINDOW=FIRST_POPUP&amp;HEIGHT=450&amp;WIDTH=450&amp;","START_MAXIMIZED=FALSE&amp;VAR:CALENDAR=US&amp;VAR:SYMBOL=ADBE&amp;VAR:INDEX=0"}</definedName>
    <definedName name="_3530__FDSAUDITLINK__" localSheetId="7" hidden="1">{"fdsup://directions/FAT Viewer?action=UPDATE&amp;creator=factset&amp;DYN_ARGS=TRUE&amp;DOC_NAME=FAT:FQL_AUDITING_CLIENT_TEMPLATE.FAT&amp;display_string=Audit&amp;VAR:KEY=TOBAHIJUXW&amp;VAR:QUERY=UkdGX1RBWF9SQVRFKEFOTiwwLCwsLCwsTk9BVURJVCk=&amp;WINDOW=FIRST_POPUP&amp;HEIGHT=450&amp;WIDTH=450&amp;","START_MAXIMIZED=FALSE&amp;VAR:CALENDAR=US&amp;VAR:SYMBOL=ADBE&amp;VAR:INDEX=0"}</definedName>
    <definedName name="_3530__FDSAUDITLINK__" hidden="1">{"fdsup://directions/FAT Viewer?action=UPDATE&amp;creator=factset&amp;DYN_ARGS=TRUE&amp;DOC_NAME=FAT:FQL_AUDITING_CLIENT_TEMPLATE.FAT&amp;display_string=Audit&amp;VAR:KEY=TOBAHIJUXW&amp;VAR:QUERY=UkdGX1RBWF9SQVRFKEFOTiwwLCwsLCwsTk9BVURJVCk=&amp;WINDOW=FIRST_POPUP&amp;HEIGHT=450&amp;WIDTH=450&amp;","START_MAXIMIZED=FALSE&amp;VAR:CALENDAR=US&amp;VAR:SYMBOL=ADBE&amp;VAR:INDEX=0"}</definedName>
    <definedName name="_3531__FDSAUDITLINK__" localSheetId="3" hidden="1">{"fdsup://directions/FAT Viewer?action=UPDATE&amp;creator=factset&amp;DYN_ARGS=TRUE&amp;DOC_NAME=FAT:FQL_AUDITING_CLIENT_TEMPLATE.FAT&amp;display_string=Audit&amp;VAR:KEY=VSZEHQHYPW&amp;VAR:QUERY=UkdGX1RBWF9SQVRFKEFOTiwwLCwsLCwsTk9BVURJVCk=&amp;WINDOW=FIRST_POPUP&amp;HEIGHT=450&amp;WIDTH=450&amp;","START_MAXIMIZED=FALSE&amp;VAR:CALENDAR=US&amp;VAR:SYMBOL=ACTU&amp;VAR:INDEX=0"}</definedName>
    <definedName name="_3531__FDSAUDITLINK__" localSheetId="7" hidden="1">{"fdsup://directions/FAT Viewer?action=UPDATE&amp;creator=factset&amp;DYN_ARGS=TRUE&amp;DOC_NAME=FAT:FQL_AUDITING_CLIENT_TEMPLATE.FAT&amp;display_string=Audit&amp;VAR:KEY=VSZEHQHYPW&amp;VAR:QUERY=UkdGX1RBWF9SQVRFKEFOTiwwLCwsLCwsTk9BVURJVCk=&amp;WINDOW=FIRST_POPUP&amp;HEIGHT=450&amp;WIDTH=450&amp;","START_MAXIMIZED=FALSE&amp;VAR:CALENDAR=US&amp;VAR:SYMBOL=ACTU&amp;VAR:INDEX=0"}</definedName>
    <definedName name="_3531__FDSAUDITLINK__" hidden="1">{"fdsup://directions/FAT Viewer?action=UPDATE&amp;creator=factset&amp;DYN_ARGS=TRUE&amp;DOC_NAME=FAT:FQL_AUDITING_CLIENT_TEMPLATE.FAT&amp;display_string=Audit&amp;VAR:KEY=VSZEHQHYPW&amp;VAR:QUERY=UkdGX1RBWF9SQVRFKEFOTiwwLCwsLCwsTk9BVURJVCk=&amp;WINDOW=FIRST_POPUP&amp;HEIGHT=450&amp;WIDTH=450&amp;","START_MAXIMIZED=FALSE&amp;VAR:CALENDAR=US&amp;VAR:SYMBOL=ACTU&amp;VAR:INDEX=0"}</definedName>
    <definedName name="_3532__FDSAUDITLINK__" localSheetId="3" hidden="1">{"fdsup://directions/FAT Viewer?action=UPDATE&amp;creator=factset&amp;DYN_ARGS=TRUE&amp;DOC_NAME=FAT:FQL_AUDITING_CLIENT_TEMPLATE.FAT&amp;display_string=Audit&amp;VAR:KEY=VSZEHQHYPW&amp;VAR:QUERY=UkdGX1RBWF9SQVRFKEFOTiwwLCwsLCwsTk9BVURJVCk=&amp;WINDOW=FIRST_POPUP&amp;HEIGHT=450&amp;WIDTH=450&amp;","START_MAXIMIZED=FALSE&amp;VAR:CALENDAR=US&amp;VAR:SYMBOL=ACTU&amp;VAR:INDEX=0"}</definedName>
    <definedName name="_3532__FDSAUDITLINK__" localSheetId="7" hidden="1">{"fdsup://directions/FAT Viewer?action=UPDATE&amp;creator=factset&amp;DYN_ARGS=TRUE&amp;DOC_NAME=FAT:FQL_AUDITING_CLIENT_TEMPLATE.FAT&amp;display_string=Audit&amp;VAR:KEY=VSZEHQHYPW&amp;VAR:QUERY=UkdGX1RBWF9SQVRFKEFOTiwwLCwsLCwsTk9BVURJVCk=&amp;WINDOW=FIRST_POPUP&amp;HEIGHT=450&amp;WIDTH=450&amp;","START_MAXIMIZED=FALSE&amp;VAR:CALENDAR=US&amp;VAR:SYMBOL=ACTU&amp;VAR:INDEX=0"}</definedName>
    <definedName name="_3532__FDSAUDITLINK__" hidden="1">{"fdsup://directions/FAT Viewer?action=UPDATE&amp;creator=factset&amp;DYN_ARGS=TRUE&amp;DOC_NAME=FAT:FQL_AUDITING_CLIENT_TEMPLATE.FAT&amp;display_string=Audit&amp;VAR:KEY=VSZEHQHYPW&amp;VAR:QUERY=UkdGX1RBWF9SQVRFKEFOTiwwLCwsLCwsTk9BVURJVCk=&amp;WINDOW=FIRST_POPUP&amp;HEIGHT=450&amp;WIDTH=450&amp;","START_MAXIMIZED=FALSE&amp;VAR:CALENDAR=US&amp;VAR:SYMBOL=ACTU&amp;VAR:INDEX=0"}</definedName>
    <definedName name="_3533__FDSAUDITLINK__" localSheetId="3" hidden="1">{"fdsup://directions/FAT Viewer?action=UPDATE&amp;creator=factset&amp;DYN_ARGS=TRUE&amp;DOC_NAME=FAT:FQL_AUDITING_CLIENT_TEMPLATE.FAT&amp;display_string=Audit&amp;VAR:KEY=HWLQVSNWJK&amp;VAR:QUERY=UkdGX1RBWF9SQVRFKEFOTiwwLCwsLCwsTk9BVURJVCk=&amp;WINDOW=FIRST_POPUP&amp;HEIGHT=450&amp;WIDTH=450&amp;","START_MAXIMIZED=FALSE&amp;VAR:CALENDAR=US&amp;VAR:SYMBOL=ACTI&amp;VAR:INDEX=0"}</definedName>
    <definedName name="_3533__FDSAUDITLINK__" localSheetId="7" hidden="1">{"fdsup://directions/FAT Viewer?action=UPDATE&amp;creator=factset&amp;DYN_ARGS=TRUE&amp;DOC_NAME=FAT:FQL_AUDITING_CLIENT_TEMPLATE.FAT&amp;display_string=Audit&amp;VAR:KEY=HWLQVSNWJK&amp;VAR:QUERY=UkdGX1RBWF9SQVRFKEFOTiwwLCwsLCwsTk9BVURJVCk=&amp;WINDOW=FIRST_POPUP&amp;HEIGHT=450&amp;WIDTH=450&amp;","START_MAXIMIZED=FALSE&amp;VAR:CALENDAR=US&amp;VAR:SYMBOL=ACTI&amp;VAR:INDEX=0"}</definedName>
    <definedName name="_3533__FDSAUDITLINK__" hidden="1">{"fdsup://directions/FAT Viewer?action=UPDATE&amp;creator=factset&amp;DYN_ARGS=TRUE&amp;DOC_NAME=FAT:FQL_AUDITING_CLIENT_TEMPLATE.FAT&amp;display_string=Audit&amp;VAR:KEY=HWLQVSNWJK&amp;VAR:QUERY=UkdGX1RBWF9SQVRFKEFOTiwwLCwsLCwsTk9BVURJVCk=&amp;WINDOW=FIRST_POPUP&amp;HEIGHT=450&amp;WIDTH=450&amp;","START_MAXIMIZED=FALSE&amp;VAR:CALENDAR=US&amp;VAR:SYMBOL=ACTI&amp;VAR:INDEX=0"}</definedName>
    <definedName name="_3534__FDSAUDITLINK__" localSheetId="3" hidden="1">{"fdsup://directions/FAT Viewer?action=UPDATE&amp;creator=factset&amp;DYN_ARGS=TRUE&amp;DOC_NAME=FAT:FQL_AUDITING_CLIENT_TEMPLATE.FAT&amp;display_string=Audit&amp;VAR:KEY=VSNUTSZQRM&amp;VAR:QUERY=UkdGX1RBWF9SQVRFKEFOTiwwLCwsLCwsTk9BVURJVCk=&amp;WINDOW=FIRST_POPUP&amp;HEIGHT=450&amp;WIDTH=450&amp;","START_MAXIMIZED=FALSE&amp;VAR:CALENDAR=US&amp;VAR:SYMBOL=632430&amp;VAR:INDEX=0"}</definedName>
    <definedName name="_3534__FDSAUDITLINK__" localSheetId="7" hidden="1">{"fdsup://directions/FAT Viewer?action=UPDATE&amp;creator=factset&amp;DYN_ARGS=TRUE&amp;DOC_NAME=FAT:FQL_AUDITING_CLIENT_TEMPLATE.FAT&amp;display_string=Audit&amp;VAR:KEY=VSNUTSZQRM&amp;VAR:QUERY=UkdGX1RBWF9SQVRFKEFOTiwwLCwsLCwsTk9BVURJVCk=&amp;WINDOW=FIRST_POPUP&amp;HEIGHT=450&amp;WIDTH=450&amp;","START_MAXIMIZED=FALSE&amp;VAR:CALENDAR=US&amp;VAR:SYMBOL=632430&amp;VAR:INDEX=0"}</definedName>
    <definedName name="_3534__FDSAUDITLINK__" hidden="1">{"fdsup://directions/FAT Viewer?action=UPDATE&amp;creator=factset&amp;DYN_ARGS=TRUE&amp;DOC_NAME=FAT:FQL_AUDITING_CLIENT_TEMPLATE.FAT&amp;display_string=Audit&amp;VAR:KEY=VSNUTSZQRM&amp;VAR:QUERY=UkdGX1RBWF9SQVRFKEFOTiwwLCwsLCwsTk9BVURJVCk=&amp;WINDOW=FIRST_POPUP&amp;HEIGHT=450&amp;WIDTH=450&amp;","START_MAXIMIZED=FALSE&amp;VAR:CALENDAR=US&amp;VAR:SYMBOL=632430&amp;VAR:INDEX=0"}</definedName>
    <definedName name="_3535__FDSAUDITLINK__" localSheetId="3" hidden="1">{"fdsup://directions/FAT Viewer?action=UPDATE&amp;creator=factset&amp;DYN_ARGS=TRUE&amp;DOC_NAME=FAT:FQL_AUDITING_CLIENT_TEMPLATE.FAT&amp;display_string=Audit&amp;VAR:KEY=VSNUTSZQRM&amp;VAR:QUERY=UkdGX1RBWF9SQVRFKEFOTiwwLCwsLCwsTk9BVURJVCk=&amp;WINDOW=FIRST_POPUP&amp;HEIGHT=450&amp;WIDTH=450&amp;","START_MAXIMIZED=FALSE&amp;VAR:CALENDAR=US&amp;VAR:SYMBOL=632430&amp;VAR:INDEX=0"}</definedName>
    <definedName name="_3535__FDSAUDITLINK__" localSheetId="7" hidden="1">{"fdsup://directions/FAT Viewer?action=UPDATE&amp;creator=factset&amp;DYN_ARGS=TRUE&amp;DOC_NAME=FAT:FQL_AUDITING_CLIENT_TEMPLATE.FAT&amp;display_string=Audit&amp;VAR:KEY=VSNUTSZQRM&amp;VAR:QUERY=UkdGX1RBWF9SQVRFKEFOTiwwLCwsLCwsTk9BVURJVCk=&amp;WINDOW=FIRST_POPUP&amp;HEIGHT=450&amp;WIDTH=450&amp;","START_MAXIMIZED=FALSE&amp;VAR:CALENDAR=US&amp;VAR:SYMBOL=632430&amp;VAR:INDEX=0"}</definedName>
    <definedName name="_3535__FDSAUDITLINK__" hidden="1">{"fdsup://directions/FAT Viewer?action=UPDATE&amp;creator=factset&amp;DYN_ARGS=TRUE&amp;DOC_NAME=FAT:FQL_AUDITING_CLIENT_TEMPLATE.FAT&amp;display_string=Audit&amp;VAR:KEY=VSNUTSZQRM&amp;VAR:QUERY=UkdGX1RBWF9SQVRFKEFOTiwwLCwsLCwsTk9BVURJVCk=&amp;WINDOW=FIRST_POPUP&amp;HEIGHT=450&amp;WIDTH=450&amp;","START_MAXIMIZED=FALSE&amp;VAR:CALENDAR=US&amp;VAR:SYMBOL=632430&amp;VAR:INDEX=0"}</definedName>
    <definedName name="_3536__FDSAUDITLINK__" localSheetId="3" hidden="1">{"fdsup://directions/FAT Viewer?action=UPDATE&amp;creator=factset&amp;DYN_ARGS=TRUE&amp;DOC_NAME=FAT:FQL_AUDITING_CLIENT_TEMPLATE.FAT&amp;display_string=Audit&amp;VAR:KEY=NWLMTGRATI&amp;VAR:QUERY=UkdGX1RBWF9SQVRFKEFOTiwwLCwsLCwsTk9BVURJVCk=&amp;WINDOW=FIRST_POPUP&amp;HEIGHT=450&amp;WIDTH=450&amp;","START_MAXIMIZED=FALSE&amp;VAR:CALENDAR=US&amp;VAR:SYMBOL=ACCL&amp;VAR:INDEX=0"}</definedName>
    <definedName name="_3536__FDSAUDITLINK__" localSheetId="7" hidden="1">{"fdsup://directions/FAT Viewer?action=UPDATE&amp;creator=factset&amp;DYN_ARGS=TRUE&amp;DOC_NAME=FAT:FQL_AUDITING_CLIENT_TEMPLATE.FAT&amp;display_string=Audit&amp;VAR:KEY=NWLMTGRATI&amp;VAR:QUERY=UkdGX1RBWF9SQVRFKEFOTiwwLCwsLCwsTk9BVURJVCk=&amp;WINDOW=FIRST_POPUP&amp;HEIGHT=450&amp;WIDTH=450&amp;","START_MAXIMIZED=FALSE&amp;VAR:CALENDAR=US&amp;VAR:SYMBOL=ACCL&amp;VAR:INDEX=0"}</definedName>
    <definedName name="_3536__FDSAUDITLINK__" hidden="1">{"fdsup://directions/FAT Viewer?action=UPDATE&amp;creator=factset&amp;DYN_ARGS=TRUE&amp;DOC_NAME=FAT:FQL_AUDITING_CLIENT_TEMPLATE.FAT&amp;display_string=Audit&amp;VAR:KEY=NWLMTGRATI&amp;VAR:QUERY=UkdGX1RBWF9SQVRFKEFOTiwwLCwsLCwsTk9BVURJVCk=&amp;WINDOW=FIRST_POPUP&amp;HEIGHT=450&amp;WIDTH=450&amp;","START_MAXIMIZED=FALSE&amp;VAR:CALENDAR=US&amp;VAR:SYMBOL=ACCL&amp;VAR:INDEX=0"}</definedName>
    <definedName name="_3537__FDSAUDITLINK__" localSheetId="3" hidden="1">{"fdsup://directions/FAT Viewer?action=UPDATE&amp;creator=factset&amp;DYN_ARGS=TRUE&amp;DOC_NAME=FAT:FQL_AUDITING_CLIENT_TEMPLATE.FAT&amp;display_string=Audit&amp;VAR:KEY=VAZMFSRKHW&amp;VAR:QUERY=UkdGX1RBWF9SQVRFKEFOTiwwLCwsLCwsTk9BVURJVCk=&amp;WINDOW=FIRST_POPUP&amp;HEIGHT=450&amp;WIDTH=450&amp;","START_MAXIMIZED=FALSE&amp;VAR:CALENDAR=US&amp;VAR:SYMBOL=257076&amp;VAR:INDEX=0"}</definedName>
    <definedName name="_3537__FDSAUDITLINK__" localSheetId="7" hidden="1">{"fdsup://directions/FAT Viewer?action=UPDATE&amp;creator=factset&amp;DYN_ARGS=TRUE&amp;DOC_NAME=FAT:FQL_AUDITING_CLIENT_TEMPLATE.FAT&amp;display_string=Audit&amp;VAR:KEY=VAZMFSRKHW&amp;VAR:QUERY=UkdGX1RBWF9SQVRFKEFOTiwwLCwsLCwsTk9BVURJVCk=&amp;WINDOW=FIRST_POPUP&amp;HEIGHT=450&amp;WIDTH=450&amp;","START_MAXIMIZED=FALSE&amp;VAR:CALENDAR=US&amp;VAR:SYMBOL=257076&amp;VAR:INDEX=0"}</definedName>
    <definedName name="_3537__FDSAUDITLINK__" hidden="1">{"fdsup://directions/FAT Viewer?action=UPDATE&amp;creator=factset&amp;DYN_ARGS=TRUE&amp;DOC_NAME=FAT:FQL_AUDITING_CLIENT_TEMPLATE.FAT&amp;display_string=Audit&amp;VAR:KEY=VAZMFSRKHW&amp;VAR:QUERY=UkdGX1RBWF9SQVRFKEFOTiwwLCwsLCwsTk9BVURJVCk=&amp;WINDOW=FIRST_POPUP&amp;HEIGHT=450&amp;WIDTH=450&amp;","START_MAXIMIZED=FALSE&amp;VAR:CALENDAR=US&amp;VAR:SYMBOL=257076&amp;VAR:INDEX=0"}</definedName>
    <definedName name="_3538__FDSAUDITLINK__" localSheetId="3" hidden="1">{"fdsup://directions/FAT Viewer?action=UPDATE&amp;creator=factset&amp;DYN_ARGS=TRUE&amp;DOC_NAME=FAT:FQL_AUDITING_CLIENT_TEMPLATE.FAT&amp;display_string=Audit&amp;VAR:KEY=VKZYXOBWDU&amp;VAR:QUERY=UkdGX1RBWF9SQVRFKEFOTiwwLCwsLCwsTk9BVURJVCk=&amp;WINDOW=FIRST_POPUP&amp;HEIGHT=450&amp;WIDTH=450&amp;","START_MAXIMIZED=FALSE&amp;VAR:CALENDAR=US&amp;VAR:SYMBOL=AAPL&amp;VAR:INDEX=0"}</definedName>
    <definedName name="_3538__FDSAUDITLINK__" localSheetId="7" hidden="1">{"fdsup://directions/FAT Viewer?action=UPDATE&amp;creator=factset&amp;DYN_ARGS=TRUE&amp;DOC_NAME=FAT:FQL_AUDITING_CLIENT_TEMPLATE.FAT&amp;display_string=Audit&amp;VAR:KEY=VKZYXOBWDU&amp;VAR:QUERY=UkdGX1RBWF9SQVRFKEFOTiwwLCwsLCwsTk9BVURJVCk=&amp;WINDOW=FIRST_POPUP&amp;HEIGHT=450&amp;WIDTH=450&amp;","START_MAXIMIZED=FALSE&amp;VAR:CALENDAR=US&amp;VAR:SYMBOL=AAPL&amp;VAR:INDEX=0"}</definedName>
    <definedName name="_3538__FDSAUDITLINK__" hidden="1">{"fdsup://directions/FAT Viewer?action=UPDATE&amp;creator=factset&amp;DYN_ARGS=TRUE&amp;DOC_NAME=FAT:FQL_AUDITING_CLIENT_TEMPLATE.FAT&amp;display_string=Audit&amp;VAR:KEY=VKZYXOBWDU&amp;VAR:QUERY=UkdGX1RBWF9SQVRFKEFOTiwwLCwsLCwsTk9BVURJVCk=&amp;WINDOW=FIRST_POPUP&amp;HEIGHT=450&amp;WIDTH=450&amp;","START_MAXIMIZED=FALSE&amp;VAR:CALENDAR=US&amp;VAR:SYMBOL=AAPL&amp;VAR:INDEX=0"}</definedName>
    <definedName name="_3539__FDSAUDITLINK__" localSheetId="3" hidden="1">{"fdsup://directions/FAT Viewer?action=UPDATE&amp;creator=factset&amp;DYN_ARGS=TRUE&amp;DOC_NAME=FAT:FQL_AUDITING_CLIENT_TEMPLATE.FAT&amp;display_string=Audit&amp;VAR:KEY=VKZYXOBWDU&amp;VAR:QUERY=UkdGX1RBWF9SQVRFKEFOTiwwLCwsLCwsTk9BVURJVCk=&amp;WINDOW=FIRST_POPUP&amp;HEIGHT=450&amp;WIDTH=450&amp;","START_MAXIMIZED=FALSE&amp;VAR:CALENDAR=US&amp;VAR:SYMBOL=AAPL&amp;VAR:INDEX=0"}</definedName>
    <definedName name="_3539__FDSAUDITLINK__" localSheetId="7" hidden="1">{"fdsup://directions/FAT Viewer?action=UPDATE&amp;creator=factset&amp;DYN_ARGS=TRUE&amp;DOC_NAME=FAT:FQL_AUDITING_CLIENT_TEMPLATE.FAT&amp;display_string=Audit&amp;VAR:KEY=VKZYXOBWDU&amp;VAR:QUERY=UkdGX1RBWF9SQVRFKEFOTiwwLCwsLCwsTk9BVURJVCk=&amp;WINDOW=FIRST_POPUP&amp;HEIGHT=450&amp;WIDTH=450&amp;","START_MAXIMIZED=FALSE&amp;VAR:CALENDAR=US&amp;VAR:SYMBOL=AAPL&amp;VAR:INDEX=0"}</definedName>
    <definedName name="_3539__FDSAUDITLINK__" hidden="1">{"fdsup://directions/FAT Viewer?action=UPDATE&amp;creator=factset&amp;DYN_ARGS=TRUE&amp;DOC_NAME=FAT:FQL_AUDITING_CLIENT_TEMPLATE.FAT&amp;display_string=Audit&amp;VAR:KEY=VKZYXOBWDU&amp;VAR:QUERY=UkdGX1RBWF9SQVRFKEFOTiwwLCwsLCwsTk9BVURJVCk=&amp;WINDOW=FIRST_POPUP&amp;HEIGHT=450&amp;WIDTH=450&amp;","START_MAXIMIZED=FALSE&amp;VAR:CALENDAR=US&amp;VAR:SYMBOL=AAPL&amp;VAR:INDEX=0"}</definedName>
    <definedName name="_354__FDSAUDITLINK__" localSheetId="3" hidden="1">{"fdsup://directions/FAT Viewer?action=UPDATE&amp;creator=factset&amp;DYN_ARGS=TRUE&amp;DOC_NAME=FAT:FQL_AUDITING_CLIENT_TEMPLATE.FAT&amp;display_string=Audit&amp;VAR:KEY=BAXYNUNOVM&amp;VAR:QUERY=UENUQ0hHKEZGX0RFQlQoQU5OLDAsLTksWSxSUCxMT0NBTCxNKSxGRl9ERUJUKEFOTiwwIC0gMSwtOSAtIDEsW","SxSUCxMT0NBTCxNKSk=&amp;WINDOW=FIRST_POPUP&amp;HEIGHT=450&amp;WIDTH=450&amp;START_MAXIMIZED=FALSE&amp;VAR:CALENDAR=US&amp;VAR:SYMBOL=B10LQP&amp;VAR:INDEX=5"}</definedName>
    <definedName name="_354__FDSAUDITLINK__" localSheetId="7" hidden="1">{"fdsup://directions/FAT Viewer?action=UPDATE&amp;creator=factset&amp;DYN_ARGS=TRUE&amp;DOC_NAME=FAT:FQL_AUDITING_CLIENT_TEMPLATE.FAT&amp;display_string=Audit&amp;VAR:KEY=BAXYNUNOVM&amp;VAR:QUERY=UENUQ0hHKEZGX0RFQlQoQU5OLDAsLTksWSxSUCxMT0NBTCxNKSxGRl9ERUJUKEFOTiwwIC0gMSwtOSAtIDEsW","SxSUCxMT0NBTCxNKSk=&amp;WINDOW=FIRST_POPUP&amp;HEIGHT=450&amp;WIDTH=450&amp;START_MAXIMIZED=FALSE&amp;VAR:CALENDAR=US&amp;VAR:SYMBOL=B10LQP&amp;VAR:INDEX=5"}</definedName>
    <definedName name="_354__FDSAUDITLINK__" hidden="1">{"fdsup://directions/FAT Viewer?action=UPDATE&amp;creator=factset&amp;DYN_ARGS=TRUE&amp;DOC_NAME=FAT:FQL_AUDITING_CLIENT_TEMPLATE.FAT&amp;display_string=Audit&amp;VAR:KEY=BAXYNUNOVM&amp;VAR:QUERY=UENUQ0hHKEZGX0RFQlQoQU5OLDAsLTksWSxSUCxMT0NBTCxNKSxGRl9ERUJUKEFOTiwwIC0gMSwtOSAtIDEsW","SxSUCxMT0NBTCxNKSk=&amp;WINDOW=FIRST_POPUP&amp;HEIGHT=450&amp;WIDTH=450&amp;START_MAXIMIZED=FALSE&amp;VAR:CALENDAR=US&amp;VAR:SYMBOL=B10LQP&amp;VAR:INDEX=5"}</definedName>
    <definedName name="_3540__FDSAUDITLINK__" localSheetId="3" hidden="1">{"fdsup://directions/FAT Viewer?action=UPDATE&amp;creator=factset&amp;DYN_ARGS=TRUE&amp;DOC_NAME=FAT:FQL_AUDITING_CLIENT_TEMPLATE.FAT&amp;display_string=Audit&amp;VAR:KEY=WTGRAJIDOT&amp;VAR:QUERY=UkdGX1RBWF9SQVRFKEFOTiwwLCwsLCwsTk9BVURJVCk=&amp;WINDOW=FIRST_POPUP&amp;HEIGHT=450&amp;WIDTH=450&amp;","START_MAXIMIZED=FALSE&amp;VAR:CALENDAR=US&amp;VAR:SYMBOL=MKTG&amp;VAR:INDEX=0"}</definedName>
    <definedName name="_3540__FDSAUDITLINK__" localSheetId="7" hidden="1">{"fdsup://directions/FAT Viewer?action=UPDATE&amp;creator=factset&amp;DYN_ARGS=TRUE&amp;DOC_NAME=FAT:FQL_AUDITING_CLIENT_TEMPLATE.FAT&amp;display_string=Audit&amp;VAR:KEY=WTGRAJIDOT&amp;VAR:QUERY=UkdGX1RBWF9SQVRFKEFOTiwwLCwsLCwsTk9BVURJVCk=&amp;WINDOW=FIRST_POPUP&amp;HEIGHT=450&amp;WIDTH=450&amp;","START_MAXIMIZED=FALSE&amp;VAR:CALENDAR=US&amp;VAR:SYMBOL=MKTG&amp;VAR:INDEX=0"}</definedName>
    <definedName name="_3540__FDSAUDITLINK__" hidden="1">{"fdsup://directions/FAT Viewer?action=UPDATE&amp;creator=factset&amp;DYN_ARGS=TRUE&amp;DOC_NAME=FAT:FQL_AUDITING_CLIENT_TEMPLATE.FAT&amp;display_string=Audit&amp;VAR:KEY=WTGRAJIDOT&amp;VAR:QUERY=UkdGX1RBWF9SQVRFKEFOTiwwLCwsLCwsTk9BVURJVCk=&amp;WINDOW=FIRST_POPUP&amp;HEIGHT=450&amp;WIDTH=450&amp;","START_MAXIMIZED=FALSE&amp;VAR:CALENDAR=US&amp;VAR:SYMBOL=MKTG&amp;VAR:INDEX=0"}</definedName>
    <definedName name="_3541__FDSAUDITLINK__" localSheetId="3" hidden="1">{"fdsup://directions/FAT Viewer?action=UPDATE&amp;creator=factset&amp;DYN_ARGS=TRUE&amp;DOC_NAME=FAT:FQL_AUDITING_CLIENT_TEMPLATE.FAT&amp;display_string=Audit&amp;VAR:KEY=WTGRAJIDOT&amp;VAR:QUERY=UkdGX1RBWF9SQVRFKEFOTiwwLCwsLCwsTk9BVURJVCk=&amp;WINDOW=FIRST_POPUP&amp;HEIGHT=450&amp;WIDTH=450&amp;","START_MAXIMIZED=FALSE&amp;VAR:CALENDAR=US&amp;VAR:SYMBOL=MKTG&amp;VAR:INDEX=0"}</definedName>
    <definedName name="_3541__FDSAUDITLINK__" localSheetId="7" hidden="1">{"fdsup://directions/FAT Viewer?action=UPDATE&amp;creator=factset&amp;DYN_ARGS=TRUE&amp;DOC_NAME=FAT:FQL_AUDITING_CLIENT_TEMPLATE.FAT&amp;display_string=Audit&amp;VAR:KEY=WTGRAJIDOT&amp;VAR:QUERY=UkdGX1RBWF9SQVRFKEFOTiwwLCwsLCwsTk9BVURJVCk=&amp;WINDOW=FIRST_POPUP&amp;HEIGHT=450&amp;WIDTH=450&amp;","START_MAXIMIZED=FALSE&amp;VAR:CALENDAR=US&amp;VAR:SYMBOL=MKTG&amp;VAR:INDEX=0"}</definedName>
    <definedName name="_3541__FDSAUDITLINK__" hidden="1">{"fdsup://directions/FAT Viewer?action=UPDATE&amp;creator=factset&amp;DYN_ARGS=TRUE&amp;DOC_NAME=FAT:FQL_AUDITING_CLIENT_TEMPLATE.FAT&amp;display_string=Audit&amp;VAR:KEY=WTGRAJIDOT&amp;VAR:QUERY=UkdGX1RBWF9SQVRFKEFOTiwwLCwsLCwsTk9BVURJVCk=&amp;WINDOW=FIRST_POPUP&amp;HEIGHT=450&amp;WIDTH=450&amp;","START_MAXIMIZED=FALSE&amp;VAR:CALENDAR=US&amp;VAR:SYMBOL=MKTG&amp;VAR:INDEX=0"}</definedName>
    <definedName name="_3542__FDSAUDITLINK__" localSheetId="3" hidden="1">{"fdsup://directions/FAT Viewer?action=UPDATE&amp;creator=factset&amp;DYN_ARGS=TRUE&amp;DOC_NAME=FAT:FQL_AUDITING_CLIENT_TEMPLATE.FAT&amp;display_string=Audit&amp;VAR:KEY=SPWVEHEBYT&amp;VAR:QUERY=UkdGX1RBWF9SQVRFKEFOTiwwLCwsLCwsTk9BVURJVCk=&amp;WINDOW=FIRST_POPUP&amp;HEIGHT=450&amp;WIDTH=450&amp;","START_MAXIMIZED=FALSE&amp;VAR:CALENDAR=US&amp;VAR:SYMBOL=FDS&amp;VAR:INDEX=0"}</definedName>
    <definedName name="_3542__FDSAUDITLINK__" localSheetId="7" hidden="1">{"fdsup://directions/FAT Viewer?action=UPDATE&amp;creator=factset&amp;DYN_ARGS=TRUE&amp;DOC_NAME=FAT:FQL_AUDITING_CLIENT_TEMPLATE.FAT&amp;display_string=Audit&amp;VAR:KEY=SPWVEHEBYT&amp;VAR:QUERY=UkdGX1RBWF9SQVRFKEFOTiwwLCwsLCwsTk9BVURJVCk=&amp;WINDOW=FIRST_POPUP&amp;HEIGHT=450&amp;WIDTH=450&amp;","START_MAXIMIZED=FALSE&amp;VAR:CALENDAR=US&amp;VAR:SYMBOL=FDS&amp;VAR:INDEX=0"}</definedName>
    <definedName name="_3542__FDSAUDITLINK__" hidden="1">{"fdsup://directions/FAT Viewer?action=UPDATE&amp;creator=factset&amp;DYN_ARGS=TRUE&amp;DOC_NAME=FAT:FQL_AUDITING_CLIENT_TEMPLATE.FAT&amp;display_string=Audit&amp;VAR:KEY=SPWVEHEBYT&amp;VAR:QUERY=UkdGX1RBWF9SQVRFKEFOTiwwLCwsLCwsTk9BVURJVCk=&amp;WINDOW=FIRST_POPUP&amp;HEIGHT=450&amp;WIDTH=450&amp;","START_MAXIMIZED=FALSE&amp;VAR:CALENDAR=US&amp;VAR:SYMBOL=FDS&amp;VAR:INDEX=0"}</definedName>
    <definedName name="_3543__FDSAUDITLINK__" localSheetId="3" hidden="1">{"fdsup://directions/FAT Viewer?action=UPDATE&amp;creator=factset&amp;DYN_ARGS=TRUE&amp;DOC_NAME=FAT:FQL_AUDITING_CLIENT_TEMPLATE.FAT&amp;display_string=Audit&amp;VAR:KEY=SPWVEHEBYT&amp;VAR:QUERY=UkdGX1RBWF9SQVRFKEFOTiwwLCwsLCwsTk9BVURJVCk=&amp;WINDOW=FIRST_POPUP&amp;HEIGHT=450&amp;WIDTH=450&amp;","START_MAXIMIZED=FALSE&amp;VAR:CALENDAR=US&amp;VAR:SYMBOL=FDS&amp;VAR:INDEX=0"}</definedName>
    <definedName name="_3543__FDSAUDITLINK__" localSheetId="7" hidden="1">{"fdsup://directions/FAT Viewer?action=UPDATE&amp;creator=factset&amp;DYN_ARGS=TRUE&amp;DOC_NAME=FAT:FQL_AUDITING_CLIENT_TEMPLATE.FAT&amp;display_string=Audit&amp;VAR:KEY=SPWVEHEBYT&amp;VAR:QUERY=UkdGX1RBWF9SQVRFKEFOTiwwLCwsLCwsTk9BVURJVCk=&amp;WINDOW=FIRST_POPUP&amp;HEIGHT=450&amp;WIDTH=450&amp;","START_MAXIMIZED=FALSE&amp;VAR:CALENDAR=US&amp;VAR:SYMBOL=FDS&amp;VAR:INDEX=0"}</definedName>
    <definedName name="_3543__FDSAUDITLINK__" hidden="1">{"fdsup://directions/FAT Viewer?action=UPDATE&amp;creator=factset&amp;DYN_ARGS=TRUE&amp;DOC_NAME=FAT:FQL_AUDITING_CLIENT_TEMPLATE.FAT&amp;display_string=Audit&amp;VAR:KEY=SPWVEHEBYT&amp;VAR:QUERY=UkdGX1RBWF9SQVRFKEFOTiwwLCwsLCwsTk9BVURJVCk=&amp;WINDOW=FIRST_POPUP&amp;HEIGHT=450&amp;WIDTH=450&amp;","START_MAXIMIZED=FALSE&amp;VAR:CALENDAR=US&amp;VAR:SYMBOL=FDS&amp;VAR:INDEX=0"}</definedName>
    <definedName name="_3544__FDSAUDITLINK__" localSheetId="3" hidden="1">{"fdsup://directions/FAT Viewer?action=UPDATE&amp;creator=factset&amp;DYN_ARGS=TRUE&amp;DOC_NAME=FAT:FQL_AUDITING_CLIENT_TEMPLATE.FAT&amp;display_string=Audit&amp;VAR:KEY=UDGBUHALGZ&amp;VAR:QUERY=UkdGX1RBWF9SQVRFKEFOTiwwLCwsLCwsTk9BVURJVCk=&amp;WINDOW=FIRST_POPUP&amp;HEIGHT=450&amp;WIDTH=450&amp;","START_MAXIMIZED=FALSE&amp;VAR:CALENDAR=US&amp;VAR:SYMBOL=BLANK&amp;VAR:INDEX=0"}</definedName>
    <definedName name="_3544__FDSAUDITLINK__" localSheetId="7" hidden="1">{"fdsup://directions/FAT Viewer?action=UPDATE&amp;creator=factset&amp;DYN_ARGS=TRUE&amp;DOC_NAME=FAT:FQL_AUDITING_CLIENT_TEMPLATE.FAT&amp;display_string=Audit&amp;VAR:KEY=UDGBUHALGZ&amp;VAR:QUERY=UkdGX1RBWF9SQVRFKEFOTiwwLCwsLCwsTk9BVURJVCk=&amp;WINDOW=FIRST_POPUP&amp;HEIGHT=450&amp;WIDTH=450&amp;","START_MAXIMIZED=FALSE&amp;VAR:CALENDAR=US&amp;VAR:SYMBOL=BLANK&amp;VAR:INDEX=0"}</definedName>
    <definedName name="_3544__FDSAUDITLINK__" hidden="1">{"fdsup://directions/FAT Viewer?action=UPDATE&amp;creator=factset&amp;DYN_ARGS=TRUE&amp;DOC_NAME=FAT:FQL_AUDITING_CLIENT_TEMPLATE.FAT&amp;display_string=Audit&amp;VAR:KEY=UDGBUHALGZ&amp;VAR:QUERY=UkdGX1RBWF9SQVRFKEFOTiwwLCwsLCwsTk9BVURJVCk=&amp;WINDOW=FIRST_POPUP&amp;HEIGHT=450&amp;WIDTH=450&amp;","START_MAXIMIZED=FALSE&amp;VAR:CALENDAR=US&amp;VAR:SYMBOL=BLANK&amp;VAR:INDEX=0"}</definedName>
    <definedName name="_3545__FDSAUDITLINK__" localSheetId="3" hidden="1">{"fdsup://directions/FAT Viewer?action=UPDATE&amp;creator=factset&amp;DYN_ARGS=TRUE&amp;DOC_NAME=FAT:FQL_AUDITING_CLIENT_TEMPLATE.FAT&amp;display_string=Audit&amp;VAR:KEY=EJMTSFANCP&amp;VAR:QUERY=UkdGX1RBWF9SQVRFKEFOTiwwLCwsLCwsTk9BVURJVCk=&amp;WINDOW=FIRST_POPUP&amp;HEIGHT=450&amp;WIDTH=450&amp;","START_MAXIMIZED=FALSE&amp;VAR:CALENDAR=US&amp;VAR:SYMBOL=CMG&amp;VAR:INDEX=0"}</definedName>
    <definedName name="_3545__FDSAUDITLINK__" localSheetId="7" hidden="1">{"fdsup://directions/FAT Viewer?action=UPDATE&amp;creator=factset&amp;DYN_ARGS=TRUE&amp;DOC_NAME=FAT:FQL_AUDITING_CLIENT_TEMPLATE.FAT&amp;display_string=Audit&amp;VAR:KEY=EJMTSFANCP&amp;VAR:QUERY=UkdGX1RBWF9SQVRFKEFOTiwwLCwsLCwsTk9BVURJVCk=&amp;WINDOW=FIRST_POPUP&amp;HEIGHT=450&amp;WIDTH=450&amp;","START_MAXIMIZED=FALSE&amp;VAR:CALENDAR=US&amp;VAR:SYMBOL=CMG&amp;VAR:INDEX=0"}</definedName>
    <definedName name="_3545__FDSAUDITLINK__" hidden="1">{"fdsup://directions/FAT Viewer?action=UPDATE&amp;creator=factset&amp;DYN_ARGS=TRUE&amp;DOC_NAME=FAT:FQL_AUDITING_CLIENT_TEMPLATE.FAT&amp;display_string=Audit&amp;VAR:KEY=EJMTSFANCP&amp;VAR:QUERY=UkdGX1RBWF9SQVRFKEFOTiwwLCwsLCwsTk9BVURJVCk=&amp;WINDOW=FIRST_POPUP&amp;HEIGHT=450&amp;WIDTH=450&amp;","START_MAXIMIZED=FALSE&amp;VAR:CALENDAR=US&amp;VAR:SYMBOL=CMG&amp;VAR:INDEX=0"}</definedName>
    <definedName name="_3546__FDSAUDITLINK__" localSheetId="3" hidden="1">{"fdsup://directions/FAT Viewer?action=UPDATE&amp;creator=factset&amp;DYN_ARGS=TRUE&amp;DOC_NAME=FAT:FQL_AUDITING_CLIENT_TEMPLATE.FAT&amp;display_string=Audit&amp;VAR:KEY=EJMTSFANCP&amp;VAR:QUERY=UkdGX1RBWF9SQVRFKEFOTiwwLCwsLCwsTk9BVURJVCk=&amp;WINDOW=FIRST_POPUP&amp;HEIGHT=450&amp;WIDTH=450&amp;","START_MAXIMIZED=FALSE&amp;VAR:CALENDAR=US&amp;VAR:SYMBOL=CMG&amp;VAR:INDEX=0"}</definedName>
    <definedName name="_3546__FDSAUDITLINK__" localSheetId="7" hidden="1">{"fdsup://directions/FAT Viewer?action=UPDATE&amp;creator=factset&amp;DYN_ARGS=TRUE&amp;DOC_NAME=FAT:FQL_AUDITING_CLIENT_TEMPLATE.FAT&amp;display_string=Audit&amp;VAR:KEY=EJMTSFANCP&amp;VAR:QUERY=UkdGX1RBWF9SQVRFKEFOTiwwLCwsLCwsTk9BVURJVCk=&amp;WINDOW=FIRST_POPUP&amp;HEIGHT=450&amp;WIDTH=450&amp;","START_MAXIMIZED=FALSE&amp;VAR:CALENDAR=US&amp;VAR:SYMBOL=CMG&amp;VAR:INDEX=0"}</definedName>
    <definedName name="_3546__FDSAUDITLINK__" hidden="1">{"fdsup://directions/FAT Viewer?action=UPDATE&amp;creator=factset&amp;DYN_ARGS=TRUE&amp;DOC_NAME=FAT:FQL_AUDITING_CLIENT_TEMPLATE.FAT&amp;display_string=Audit&amp;VAR:KEY=EJMTSFANCP&amp;VAR:QUERY=UkdGX1RBWF9SQVRFKEFOTiwwLCwsLCwsTk9BVURJVCk=&amp;WINDOW=FIRST_POPUP&amp;HEIGHT=450&amp;WIDTH=450&amp;","START_MAXIMIZED=FALSE&amp;VAR:CALENDAR=US&amp;VAR:SYMBOL=CMG&amp;VAR:INDEX=0"}</definedName>
    <definedName name="_3547__FDSAUDITLINK__" localSheetId="3" hidden="1">{"fdsup://directions/FAT Viewer?action=UPDATE&amp;creator=factset&amp;DYN_ARGS=TRUE&amp;DOC_NAME=FAT:FQL_AUDITING_CLIENT_TEMPLATE.FAT&amp;display_string=Audit&amp;VAR:KEY=AXMFULCBIT&amp;VAR:QUERY=UkdGX1RBWF9SQVRFKEFOTiwwLCwsLCwsTk9BVURJVCk=&amp;WINDOW=FIRST_POPUP&amp;HEIGHT=450&amp;WIDTH=450&amp;","START_MAXIMIZED=FALSE&amp;VAR:CALENDAR=US&amp;VAR:SYMBOL=UA&amp;VAR:INDEX=0"}</definedName>
    <definedName name="_3547__FDSAUDITLINK__" localSheetId="7" hidden="1">{"fdsup://directions/FAT Viewer?action=UPDATE&amp;creator=factset&amp;DYN_ARGS=TRUE&amp;DOC_NAME=FAT:FQL_AUDITING_CLIENT_TEMPLATE.FAT&amp;display_string=Audit&amp;VAR:KEY=AXMFULCBIT&amp;VAR:QUERY=UkdGX1RBWF9SQVRFKEFOTiwwLCwsLCwsTk9BVURJVCk=&amp;WINDOW=FIRST_POPUP&amp;HEIGHT=450&amp;WIDTH=450&amp;","START_MAXIMIZED=FALSE&amp;VAR:CALENDAR=US&amp;VAR:SYMBOL=UA&amp;VAR:INDEX=0"}</definedName>
    <definedName name="_3547__FDSAUDITLINK__" hidden="1">{"fdsup://directions/FAT Viewer?action=UPDATE&amp;creator=factset&amp;DYN_ARGS=TRUE&amp;DOC_NAME=FAT:FQL_AUDITING_CLIENT_TEMPLATE.FAT&amp;display_string=Audit&amp;VAR:KEY=AXMFULCBIT&amp;VAR:QUERY=UkdGX1RBWF9SQVRFKEFOTiwwLCwsLCwsTk9BVURJVCk=&amp;WINDOW=FIRST_POPUP&amp;HEIGHT=450&amp;WIDTH=450&amp;","START_MAXIMIZED=FALSE&amp;VAR:CALENDAR=US&amp;VAR:SYMBOL=UA&amp;VAR:INDEX=0"}</definedName>
    <definedName name="_3548__FDSAUDITLINK__" localSheetId="3" hidden="1">{"fdsup://directions/FAT Viewer?action=UPDATE&amp;creator=factset&amp;DYN_ARGS=TRUE&amp;DOC_NAME=FAT:FQL_AUDITING_CLIENT_TEMPLATE.FAT&amp;display_string=Audit&amp;VAR:KEY=AXMFULCBIT&amp;VAR:QUERY=UkdGX1RBWF9SQVRFKEFOTiwwLCwsLCwsTk9BVURJVCk=&amp;WINDOW=FIRST_POPUP&amp;HEIGHT=450&amp;WIDTH=450&amp;","START_MAXIMIZED=FALSE&amp;VAR:CALENDAR=US&amp;VAR:SYMBOL=UA&amp;VAR:INDEX=0"}</definedName>
    <definedName name="_3548__FDSAUDITLINK__" localSheetId="7" hidden="1">{"fdsup://directions/FAT Viewer?action=UPDATE&amp;creator=factset&amp;DYN_ARGS=TRUE&amp;DOC_NAME=FAT:FQL_AUDITING_CLIENT_TEMPLATE.FAT&amp;display_string=Audit&amp;VAR:KEY=AXMFULCBIT&amp;VAR:QUERY=UkdGX1RBWF9SQVRFKEFOTiwwLCwsLCwsTk9BVURJVCk=&amp;WINDOW=FIRST_POPUP&amp;HEIGHT=450&amp;WIDTH=450&amp;","START_MAXIMIZED=FALSE&amp;VAR:CALENDAR=US&amp;VAR:SYMBOL=UA&amp;VAR:INDEX=0"}</definedName>
    <definedName name="_3548__FDSAUDITLINK__" hidden="1">{"fdsup://directions/FAT Viewer?action=UPDATE&amp;creator=factset&amp;DYN_ARGS=TRUE&amp;DOC_NAME=FAT:FQL_AUDITING_CLIENT_TEMPLATE.FAT&amp;display_string=Audit&amp;VAR:KEY=AXMFULCBIT&amp;VAR:QUERY=UkdGX1RBWF9SQVRFKEFOTiwwLCwsLCwsTk9BVURJVCk=&amp;WINDOW=FIRST_POPUP&amp;HEIGHT=450&amp;WIDTH=450&amp;","START_MAXIMIZED=FALSE&amp;VAR:CALENDAR=US&amp;VAR:SYMBOL=UA&amp;VAR:INDEX=0"}</definedName>
    <definedName name="_3549__FDSAUDITLINK__" localSheetId="3" hidden="1">{"fdsup://directions/FAT Viewer?action=UPDATE&amp;creator=factset&amp;DYN_ARGS=TRUE&amp;DOC_NAME=FAT:FQL_AUDITING_CLIENT_TEMPLATE.FAT&amp;display_string=Audit&amp;VAR:KEY=KPSBKHMXUX&amp;VAR:QUERY=UkdGX1RBWF9SQVRFKEFOTiwwLCwsLCwsTk9BVURJVCk=&amp;WINDOW=FIRST_POPUP&amp;HEIGHT=450&amp;WIDTH=450&amp;","START_MAXIMIZED=FALSE&amp;VAR:CALENDAR=US&amp;VAR:SYMBOL=WFMI&amp;VAR:INDEX=0"}</definedName>
    <definedName name="_3549__FDSAUDITLINK__" localSheetId="7" hidden="1">{"fdsup://directions/FAT Viewer?action=UPDATE&amp;creator=factset&amp;DYN_ARGS=TRUE&amp;DOC_NAME=FAT:FQL_AUDITING_CLIENT_TEMPLATE.FAT&amp;display_string=Audit&amp;VAR:KEY=KPSBKHMXUX&amp;VAR:QUERY=UkdGX1RBWF9SQVRFKEFOTiwwLCwsLCwsTk9BVURJVCk=&amp;WINDOW=FIRST_POPUP&amp;HEIGHT=450&amp;WIDTH=450&amp;","START_MAXIMIZED=FALSE&amp;VAR:CALENDAR=US&amp;VAR:SYMBOL=WFMI&amp;VAR:INDEX=0"}</definedName>
    <definedName name="_3549__FDSAUDITLINK__" hidden="1">{"fdsup://directions/FAT Viewer?action=UPDATE&amp;creator=factset&amp;DYN_ARGS=TRUE&amp;DOC_NAME=FAT:FQL_AUDITING_CLIENT_TEMPLATE.FAT&amp;display_string=Audit&amp;VAR:KEY=KPSBKHMXUX&amp;VAR:QUERY=UkdGX1RBWF9SQVRFKEFOTiwwLCwsLCwsTk9BVURJVCk=&amp;WINDOW=FIRST_POPUP&amp;HEIGHT=450&amp;WIDTH=450&amp;","START_MAXIMIZED=FALSE&amp;VAR:CALENDAR=US&amp;VAR:SYMBOL=WFMI&amp;VAR:INDEX=0"}</definedName>
    <definedName name="_355__FDSAUDITLINK__" localSheetId="3" hidden="1">{"fdsup://directions/FAT Viewer?action=UPDATE&amp;creator=factset&amp;DYN_ARGS=TRUE&amp;DOC_NAME=FAT:FQL_AUDITING_CLIENT_TEMPLATE.FAT&amp;display_string=Audit&amp;VAR:KEY=BAXYNUNOVM&amp;VAR:QUERY=UENUQ0hHKEZGX0RFQlQoQU5OLDAsLTksWSxSUCxMT0NBTCxNKSxGRl9ERUJUKEFOTiwwIC0gMSwtOSAtIDEsW","SxSUCxMT0NBTCxNKSk=&amp;WINDOW=FIRST_POPUP&amp;HEIGHT=450&amp;WIDTH=450&amp;START_MAXIMIZED=FALSE&amp;VAR:CALENDAR=US&amp;VAR:SYMBOL=B10LQP&amp;VAR:INDEX=4"}</definedName>
    <definedName name="_355__FDSAUDITLINK__" localSheetId="7" hidden="1">{"fdsup://directions/FAT Viewer?action=UPDATE&amp;creator=factset&amp;DYN_ARGS=TRUE&amp;DOC_NAME=FAT:FQL_AUDITING_CLIENT_TEMPLATE.FAT&amp;display_string=Audit&amp;VAR:KEY=BAXYNUNOVM&amp;VAR:QUERY=UENUQ0hHKEZGX0RFQlQoQU5OLDAsLTksWSxSUCxMT0NBTCxNKSxGRl9ERUJUKEFOTiwwIC0gMSwtOSAtIDEsW","SxSUCxMT0NBTCxNKSk=&amp;WINDOW=FIRST_POPUP&amp;HEIGHT=450&amp;WIDTH=450&amp;START_MAXIMIZED=FALSE&amp;VAR:CALENDAR=US&amp;VAR:SYMBOL=B10LQP&amp;VAR:INDEX=4"}</definedName>
    <definedName name="_355__FDSAUDITLINK__" hidden="1">{"fdsup://directions/FAT Viewer?action=UPDATE&amp;creator=factset&amp;DYN_ARGS=TRUE&amp;DOC_NAME=FAT:FQL_AUDITING_CLIENT_TEMPLATE.FAT&amp;display_string=Audit&amp;VAR:KEY=BAXYNUNOVM&amp;VAR:QUERY=UENUQ0hHKEZGX0RFQlQoQU5OLDAsLTksWSxSUCxMT0NBTCxNKSxGRl9ERUJUKEFOTiwwIC0gMSwtOSAtIDEsW","SxSUCxMT0NBTCxNKSk=&amp;WINDOW=FIRST_POPUP&amp;HEIGHT=450&amp;WIDTH=450&amp;START_MAXIMIZED=FALSE&amp;VAR:CALENDAR=US&amp;VAR:SYMBOL=B10LQP&amp;VAR:INDEX=4"}</definedName>
    <definedName name="_3550__FDSAUDITLINK__" localSheetId="3" hidden="1">{"fdsup://directions/FAT Viewer?action=UPDATE&amp;creator=factset&amp;DYN_ARGS=TRUE&amp;DOC_NAME=FAT:FQL_AUDITING_CLIENT_TEMPLATE.FAT&amp;display_string=Audit&amp;VAR:KEY=KPSBKHMXUX&amp;VAR:QUERY=UkdGX1RBWF9SQVRFKEFOTiwwLCwsLCwsTk9BVURJVCk=&amp;WINDOW=FIRST_POPUP&amp;HEIGHT=450&amp;WIDTH=450&amp;","START_MAXIMIZED=FALSE&amp;VAR:CALENDAR=US&amp;VAR:SYMBOL=WFMI&amp;VAR:INDEX=0"}</definedName>
    <definedName name="_3550__FDSAUDITLINK__" localSheetId="7" hidden="1">{"fdsup://directions/FAT Viewer?action=UPDATE&amp;creator=factset&amp;DYN_ARGS=TRUE&amp;DOC_NAME=FAT:FQL_AUDITING_CLIENT_TEMPLATE.FAT&amp;display_string=Audit&amp;VAR:KEY=KPSBKHMXUX&amp;VAR:QUERY=UkdGX1RBWF9SQVRFKEFOTiwwLCwsLCwsTk9BVURJVCk=&amp;WINDOW=FIRST_POPUP&amp;HEIGHT=450&amp;WIDTH=450&amp;","START_MAXIMIZED=FALSE&amp;VAR:CALENDAR=US&amp;VAR:SYMBOL=WFMI&amp;VAR:INDEX=0"}</definedName>
    <definedName name="_3550__FDSAUDITLINK__" hidden="1">{"fdsup://directions/FAT Viewer?action=UPDATE&amp;creator=factset&amp;DYN_ARGS=TRUE&amp;DOC_NAME=FAT:FQL_AUDITING_CLIENT_TEMPLATE.FAT&amp;display_string=Audit&amp;VAR:KEY=KPSBKHMXUX&amp;VAR:QUERY=UkdGX1RBWF9SQVRFKEFOTiwwLCwsLCwsTk9BVURJVCk=&amp;WINDOW=FIRST_POPUP&amp;HEIGHT=450&amp;WIDTH=450&amp;","START_MAXIMIZED=FALSE&amp;VAR:CALENDAR=US&amp;VAR:SYMBOL=WFMI&amp;VAR:INDEX=0"}</definedName>
    <definedName name="_3551__FDSAUDITLINK__" localSheetId="3" hidden="1">{"fdsup://directions/FAT Viewer?action=UPDATE&amp;creator=factset&amp;DYN_ARGS=TRUE&amp;DOC_NAME=FAT:FQL_AUDITING_CLIENT_TEMPLATE.FAT&amp;display_string=Audit&amp;VAR:KEY=ANSHIJKVOP&amp;VAR:QUERY=UkdGX1RBWF9SQVRFKEFOTiwwLCwsLCwsTk9BVURJVCk=&amp;WINDOW=FIRST_POPUP&amp;HEIGHT=450&amp;WIDTH=450&amp;","START_MAXIMIZED=FALSE&amp;VAR:CALENDAR=US&amp;VAR:SYMBOL=LULU&amp;VAR:INDEX=0"}</definedName>
    <definedName name="_3551__FDSAUDITLINK__" localSheetId="7" hidden="1">{"fdsup://directions/FAT Viewer?action=UPDATE&amp;creator=factset&amp;DYN_ARGS=TRUE&amp;DOC_NAME=FAT:FQL_AUDITING_CLIENT_TEMPLATE.FAT&amp;display_string=Audit&amp;VAR:KEY=ANSHIJKVOP&amp;VAR:QUERY=UkdGX1RBWF9SQVRFKEFOTiwwLCwsLCwsTk9BVURJVCk=&amp;WINDOW=FIRST_POPUP&amp;HEIGHT=450&amp;WIDTH=450&amp;","START_MAXIMIZED=FALSE&amp;VAR:CALENDAR=US&amp;VAR:SYMBOL=LULU&amp;VAR:INDEX=0"}</definedName>
    <definedName name="_3551__FDSAUDITLINK__" hidden="1">{"fdsup://directions/FAT Viewer?action=UPDATE&amp;creator=factset&amp;DYN_ARGS=TRUE&amp;DOC_NAME=FAT:FQL_AUDITING_CLIENT_TEMPLATE.FAT&amp;display_string=Audit&amp;VAR:KEY=ANSHIJKVOP&amp;VAR:QUERY=UkdGX1RBWF9SQVRFKEFOTiwwLCwsLCwsTk9BVURJVCk=&amp;WINDOW=FIRST_POPUP&amp;HEIGHT=450&amp;WIDTH=450&amp;","START_MAXIMIZED=FALSE&amp;VAR:CALENDAR=US&amp;VAR:SYMBOL=LULU&amp;VAR:INDEX=0"}</definedName>
    <definedName name="_3552__FDSAUDITLINK__" localSheetId="3" hidden="1">{"fdsup://directions/FAT Viewer?action=UPDATE&amp;creator=factset&amp;DYN_ARGS=TRUE&amp;DOC_NAME=FAT:FQL_AUDITING_CLIENT_TEMPLATE.FAT&amp;display_string=Audit&amp;VAR:KEY=ANSHIJKVOP&amp;VAR:QUERY=UkdGX1RBWF9SQVRFKEFOTiwwLCwsLCwsTk9BVURJVCk=&amp;WINDOW=FIRST_POPUP&amp;HEIGHT=450&amp;WIDTH=450&amp;","START_MAXIMIZED=FALSE&amp;VAR:CALENDAR=US&amp;VAR:SYMBOL=LULU&amp;VAR:INDEX=0"}</definedName>
    <definedName name="_3552__FDSAUDITLINK__" localSheetId="7" hidden="1">{"fdsup://directions/FAT Viewer?action=UPDATE&amp;creator=factset&amp;DYN_ARGS=TRUE&amp;DOC_NAME=FAT:FQL_AUDITING_CLIENT_TEMPLATE.FAT&amp;display_string=Audit&amp;VAR:KEY=ANSHIJKVOP&amp;VAR:QUERY=UkdGX1RBWF9SQVRFKEFOTiwwLCwsLCwsTk9BVURJVCk=&amp;WINDOW=FIRST_POPUP&amp;HEIGHT=450&amp;WIDTH=450&amp;","START_MAXIMIZED=FALSE&amp;VAR:CALENDAR=US&amp;VAR:SYMBOL=LULU&amp;VAR:INDEX=0"}</definedName>
    <definedName name="_3552__FDSAUDITLINK__" hidden="1">{"fdsup://directions/FAT Viewer?action=UPDATE&amp;creator=factset&amp;DYN_ARGS=TRUE&amp;DOC_NAME=FAT:FQL_AUDITING_CLIENT_TEMPLATE.FAT&amp;display_string=Audit&amp;VAR:KEY=ANSHIJKVOP&amp;VAR:QUERY=UkdGX1RBWF9SQVRFKEFOTiwwLCwsLCwsTk9BVURJVCk=&amp;WINDOW=FIRST_POPUP&amp;HEIGHT=450&amp;WIDTH=450&amp;","START_MAXIMIZED=FALSE&amp;VAR:CALENDAR=US&amp;VAR:SYMBOL=LULU&amp;VAR:INDEX=0"}</definedName>
    <definedName name="_3553__FDSAUDITLINK__" localSheetId="3" hidden="1">{"fdsup://directions/FAT Viewer?action=UPDATE&amp;creator=factset&amp;DYN_ARGS=TRUE&amp;DOC_NAME=FAT:FQL_AUDITING_CLIENT_TEMPLATE.FAT&amp;display_string=Audit&amp;VAR:KEY=INEBAHEHGB&amp;VAR:QUERY=UkdGX1RBWF9SQVRFKEFOTiwwLCwsLCwsTk9BVURJVCk=&amp;WINDOW=FIRST_POPUP&amp;HEIGHT=450&amp;WIDTH=450&amp;","START_MAXIMIZED=FALSE&amp;VAR:CALENDAR=US&amp;VAR:SYMBOL=VPRT&amp;VAR:INDEX=0"}</definedName>
    <definedName name="_3553__FDSAUDITLINK__" localSheetId="7" hidden="1">{"fdsup://directions/FAT Viewer?action=UPDATE&amp;creator=factset&amp;DYN_ARGS=TRUE&amp;DOC_NAME=FAT:FQL_AUDITING_CLIENT_TEMPLATE.FAT&amp;display_string=Audit&amp;VAR:KEY=INEBAHEHGB&amp;VAR:QUERY=UkdGX1RBWF9SQVRFKEFOTiwwLCwsLCwsTk9BVURJVCk=&amp;WINDOW=FIRST_POPUP&amp;HEIGHT=450&amp;WIDTH=450&amp;","START_MAXIMIZED=FALSE&amp;VAR:CALENDAR=US&amp;VAR:SYMBOL=VPRT&amp;VAR:INDEX=0"}</definedName>
    <definedName name="_3553__FDSAUDITLINK__" hidden="1">{"fdsup://directions/FAT Viewer?action=UPDATE&amp;creator=factset&amp;DYN_ARGS=TRUE&amp;DOC_NAME=FAT:FQL_AUDITING_CLIENT_TEMPLATE.FAT&amp;display_string=Audit&amp;VAR:KEY=INEBAHEHGB&amp;VAR:QUERY=UkdGX1RBWF9SQVRFKEFOTiwwLCwsLCwsTk9BVURJVCk=&amp;WINDOW=FIRST_POPUP&amp;HEIGHT=450&amp;WIDTH=450&amp;","START_MAXIMIZED=FALSE&amp;VAR:CALENDAR=US&amp;VAR:SYMBOL=VPRT&amp;VAR:INDEX=0"}</definedName>
    <definedName name="_3554__FDSAUDITLINK__" localSheetId="3" hidden="1">{"fdsup://directions/FAT Viewer?action=UPDATE&amp;creator=factset&amp;DYN_ARGS=TRUE&amp;DOC_NAME=FAT:FQL_AUDITING_CLIENT_TEMPLATE.FAT&amp;display_string=Audit&amp;VAR:KEY=INEBAHEHGB&amp;VAR:QUERY=UkdGX1RBWF9SQVRFKEFOTiwwLCwsLCwsTk9BVURJVCk=&amp;WINDOW=FIRST_POPUP&amp;HEIGHT=450&amp;WIDTH=450&amp;","START_MAXIMIZED=FALSE&amp;VAR:CALENDAR=US&amp;VAR:SYMBOL=VPRT&amp;VAR:INDEX=0"}</definedName>
    <definedName name="_3554__FDSAUDITLINK__" localSheetId="7" hidden="1">{"fdsup://directions/FAT Viewer?action=UPDATE&amp;creator=factset&amp;DYN_ARGS=TRUE&amp;DOC_NAME=FAT:FQL_AUDITING_CLIENT_TEMPLATE.FAT&amp;display_string=Audit&amp;VAR:KEY=INEBAHEHGB&amp;VAR:QUERY=UkdGX1RBWF9SQVRFKEFOTiwwLCwsLCwsTk9BVURJVCk=&amp;WINDOW=FIRST_POPUP&amp;HEIGHT=450&amp;WIDTH=450&amp;","START_MAXIMIZED=FALSE&amp;VAR:CALENDAR=US&amp;VAR:SYMBOL=VPRT&amp;VAR:INDEX=0"}</definedName>
    <definedName name="_3554__FDSAUDITLINK__" hidden="1">{"fdsup://directions/FAT Viewer?action=UPDATE&amp;creator=factset&amp;DYN_ARGS=TRUE&amp;DOC_NAME=FAT:FQL_AUDITING_CLIENT_TEMPLATE.FAT&amp;display_string=Audit&amp;VAR:KEY=INEBAHEHGB&amp;VAR:QUERY=UkdGX1RBWF9SQVRFKEFOTiwwLCwsLCwsTk9BVURJVCk=&amp;WINDOW=FIRST_POPUP&amp;HEIGHT=450&amp;WIDTH=450&amp;","START_MAXIMIZED=FALSE&amp;VAR:CALENDAR=US&amp;VAR:SYMBOL=VPRT&amp;VAR:INDEX=0"}</definedName>
    <definedName name="_3555__FDSAUDITLINK__" localSheetId="3" hidden="1">{"fdsup://directions/FAT Viewer?action=UPDATE&amp;creator=factset&amp;DYN_ARGS=TRUE&amp;DOC_NAME=FAT:FQL_AUDITING_CLIENT_TEMPLATE.FAT&amp;display_string=Audit&amp;VAR:KEY=APWHCFUDMR&amp;VAR:QUERY=UkdGX1RBWF9SQVRFKEFOTiwwLCwsLCwsTk9BVURJVCk=&amp;WINDOW=FIRST_POPUP&amp;HEIGHT=450&amp;WIDTH=450&amp;","START_MAXIMIZED=FALSE&amp;VAR:CALENDAR=US&amp;VAR:SYMBOL=OWW&amp;VAR:INDEX=0"}</definedName>
    <definedName name="_3555__FDSAUDITLINK__" localSheetId="7" hidden="1">{"fdsup://directions/FAT Viewer?action=UPDATE&amp;creator=factset&amp;DYN_ARGS=TRUE&amp;DOC_NAME=FAT:FQL_AUDITING_CLIENT_TEMPLATE.FAT&amp;display_string=Audit&amp;VAR:KEY=APWHCFUDMR&amp;VAR:QUERY=UkdGX1RBWF9SQVRFKEFOTiwwLCwsLCwsTk9BVURJVCk=&amp;WINDOW=FIRST_POPUP&amp;HEIGHT=450&amp;WIDTH=450&amp;","START_MAXIMIZED=FALSE&amp;VAR:CALENDAR=US&amp;VAR:SYMBOL=OWW&amp;VAR:INDEX=0"}</definedName>
    <definedName name="_3555__FDSAUDITLINK__" hidden="1">{"fdsup://directions/FAT Viewer?action=UPDATE&amp;creator=factset&amp;DYN_ARGS=TRUE&amp;DOC_NAME=FAT:FQL_AUDITING_CLIENT_TEMPLATE.FAT&amp;display_string=Audit&amp;VAR:KEY=APWHCFUDMR&amp;VAR:QUERY=UkdGX1RBWF9SQVRFKEFOTiwwLCwsLCwsTk9BVURJVCk=&amp;WINDOW=FIRST_POPUP&amp;HEIGHT=450&amp;WIDTH=450&amp;","START_MAXIMIZED=FALSE&amp;VAR:CALENDAR=US&amp;VAR:SYMBOL=OWW&amp;VAR:INDEX=0"}</definedName>
    <definedName name="_3556__FDSAUDITLINK__" localSheetId="3" hidden="1">{"fdsup://directions/FAT Viewer?action=UPDATE&amp;creator=factset&amp;DYN_ARGS=TRUE&amp;DOC_NAME=FAT:FQL_AUDITING_CLIENT_TEMPLATE.FAT&amp;display_string=Audit&amp;VAR:KEY=MBYFSJCHSL&amp;VAR:QUERY=UkdGX1RBWF9SQVRFKEFOTiwwLCwsLCwsTk9BVURJVCk=&amp;WINDOW=FIRST_POPUP&amp;HEIGHT=450&amp;WIDTH=450&amp;","START_MAXIMIZED=FALSE&amp;VAR:CALENDAR=US&amp;VAR:SYMBOL=NTES&amp;VAR:INDEX=0"}</definedName>
    <definedName name="_3556__FDSAUDITLINK__" localSheetId="7" hidden="1">{"fdsup://directions/FAT Viewer?action=UPDATE&amp;creator=factset&amp;DYN_ARGS=TRUE&amp;DOC_NAME=FAT:FQL_AUDITING_CLIENT_TEMPLATE.FAT&amp;display_string=Audit&amp;VAR:KEY=MBYFSJCHSL&amp;VAR:QUERY=UkdGX1RBWF9SQVRFKEFOTiwwLCwsLCwsTk9BVURJVCk=&amp;WINDOW=FIRST_POPUP&amp;HEIGHT=450&amp;WIDTH=450&amp;","START_MAXIMIZED=FALSE&amp;VAR:CALENDAR=US&amp;VAR:SYMBOL=NTES&amp;VAR:INDEX=0"}</definedName>
    <definedName name="_3556__FDSAUDITLINK__" hidden="1">{"fdsup://directions/FAT Viewer?action=UPDATE&amp;creator=factset&amp;DYN_ARGS=TRUE&amp;DOC_NAME=FAT:FQL_AUDITING_CLIENT_TEMPLATE.FAT&amp;display_string=Audit&amp;VAR:KEY=MBYFSJCHSL&amp;VAR:QUERY=UkdGX1RBWF9SQVRFKEFOTiwwLCwsLCwsTk9BVURJVCk=&amp;WINDOW=FIRST_POPUP&amp;HEIGHT=450&amp;WIDTH=450&amp;","START_MAXIMIZED=FALSE&amp;VAR:CALENDAR=US&amp;VAR:SYMBOL=NTES&amp;VAR:INDEX=0"}</definedName>
    <definedName name="_3557__FDSAUDITLINK__" localSheetId="3" hidden="1">{"fdsup://directions/FAT Viewer?action=UPDATE&amp;creator=factset&amp;DYN_ARGS=TRUE&amp;DOC_NAME=FAT:FQL_AUDITING_CLIENT_TEMPLATE.FAT&amp;display_string=Audit&amp;VAR:KEY=MBYFSJCHSL&amp;VAR:QUERY=UkdGX1RBWF9SQVRFKEFOTiwwLCwsLCwsTk9BVURJVCk=&amp;WINDOW=FIRST_POPUP&amp;HEIGHT=450&amp;WIDTH=450&amp;","START_MAXIMIZED=FALSE&amp;VAR:CALENDAR=US&amp;VAR:SYMBOL=NTES&amp;VAR:INDEX=0"}</definedName>
    <definedName name="_3557__FDSAUDITLINK__" localSheetId="7" hidden="1">{"fdsup://directions/FAT Viewer?action=UPDATE&amp;creator=factset&amp;DYN_ARGS=TRUE&amp;DOC_NAME=FAT:FQL_AUDITING_CLIENT_TEMPLATE.FAT&amp;display_string=Audit&amp;VAR:KEY=MBYFSJCHSL&amp;VAR:QUERY=UkdGX1RBWF9SQVRFKEFOTiwwLCwsLCwsTk9BVURJVCk=&amp;WINDOW=FIRST_POPUP&amp;HEIGHT=450&amp;WIDTH=450&amp;","START_MAXIMIZED=FALSE&amp;VAR:CALENDAR=US&amp;VAR:SYMBOL=NTES&amp;VAR:INDEX=0"}</definedName>
    <definedName name="_3557__FDSAUDITLINK__" hidden="1">{"fdsup://directions/FAT Viewer?action=UPDATE&amp;creator=factset&amp;DYN_ARGS=TRUE&amp;DOC_NAME=FAT:FQL_AUDITING_CLIENT_TEMPLATE.FAT&amp;display_string=Audit&amp;VAR:KEY=MBYFSJCHSL&amp;VAR:QUERY=UkdGX1RBWF9SQVRFKEFOTiwwLCwsLCwsTk9BVURJVCk=&amp;WINDOW=FIRST_POPUP&amp;HEIGHT=450&amp;WIDTH=450&amp;","START_MAXIMIZED=FALSE&amp;VAR:CALENDAR=US&amp;VAR:SYMBOL=NTES&amp;VAR:INDEX=0"}</definedName>
    <definedName name="_3558__FDSAUDITLINK__" localSheetId="3" hidden="1">{"fdsup://directions/FAT Viewer?action=UPDATE&amp;creator=factset&amp;DYN_ARGS=TRUE&amp;DOC_NAME=FAT:FQL_AUDITING_CLIENT_TEMPLATE.FAT&amp;display_string=Audit&amp;VAR:KEY=KVIFMTQFSN&amp;VAR:QUERY=UkdGX1RBWF9SQVRFKEFOTiwwLCwsLCwsTk9BVURJVCk=&amp;WINDOW=FIRST_POPUP&amp;HEIGHT=450&amp;WIDTH=450&amp;","START_MAXIMIZED=FALSE&amp;VAR:CALENDAR=US&amp;VAR:SYMBOL=YHOO&amp;VAR:INDEX=0"}</definedName>
    <definedName name="_3558__FDSAUDITLINK__" localSheetId="7" hidden="1">{"fdsup://directions/FAT Viewer?action=UPDATE&amp;creator=factset&amp;DYN_ARGS=TRUE&amp;DOC_NAME=FAT:FQL_AUDITING_CLIENT_TEMPLATE.FAT&amp;display_string=Audit&amp;VAR:KEY=KVIFMTQFSN&amp;VAR:QUERY=UkdGX1RBWF9SQVRFKEFOTiwwLCwsLCwsTk9BVURJVCk=&amp;WINDOW=FIRST_POPUP&amp;HEIGHT=450&amp;WIDTH=450&amp;","START_MAXIMIZED=FALSE&amp;VAR:CALENDAR=US&amp;VAR:SYMBOL=YHOO&amp;VAR:INDEX=0"}</definedName>
    <definedName name="_3558__FDSAUDITLINK__" hidden="1">{"fdsup://directions/FAT Viewer?action=UPDATE&amp;creator=factset&amp;DYN_ARGS=TRUE&amp;DOC_NAME=FAT:FQL_AUDITING_CLIENT_TEMPLATE.FAT&amp;display_string=Audit&amp;VAR:KEY=KVIFMTQFSN&amp;VAR:QUERY=UkdGX1RBWF9SQVRFKEFOTiwwLCwsLCwsTk9BVURJVCk=&amp;WINDOW=FIRST_POPUP&amp;HEIGHT=450&amp;WIDTH=450&amp;","START_MAXIMIZED=FALSE&amp;VAR:CALENDAR=US&amp;VAR:SYMBOL=YHOO&amp;VAR:INDEX=0"}</definedName>
    <definedName name="_3559__FDSAUDITLINK__" localSheetId="3" hidden="1">{"fdsup://directions/FAT Viewer?action=UPDATE&amp;creator=factset&amp;DYN_ARGS=TRUE&amp;DOC_NAME=FAT:FQL_AUDITING_CLIENT_TEMPLATE.FAT&amp;display_string=Audit&amp;VAR:KEY=KVIFMTQFSN&amp;VAR:QUERY=UkdGX1RBWF9SQVRFKEFOTiwwLCwsLCwsTk9BVURJVCk=&amp;WINDOW=FIRST_POPUP&amp;HEIGHT=450&amp;WIDTH=450&amp;","START_MAXIMIZED=FALSE&amp;VAR:CALENDAR=US&amp;VAR:SYMBOL=YHOO&amp;VAR:INDEX=0"}</definedName>
    <definedName name="_3559__FDSAUDITLINK__" localSheetId="7" hidden="1">{"fdsup://directions/FAT Viewer?action=UPDATE&amp;creator=factset&amp;DYN_ARGS=TRUE&amp;DOC_NAME=FAT:FQL_AUDITING_CLIENT_TEMPLATE.FAT&amp;display_string=Audit&amp;VAR:KEY=KVIFMTQFSN&amp;VAR:QUERY=UkdGX1RBWF9SQVRFKEFOTiwwLCwsLCwsTk9BVURJVCk=&amp;WINDOW=FIRST_POPUP&amp;HEIGHT=450&amp;WIDTH=450&amp;","START_MAXIMIZED=FALSE&amp;VAR:CALENDAR=US&amp;VAR:SYMBOL=YHOO&amp;VAR:INDEX=0"}</definedName>
    <definedName name="_3559__FDSAUDITLINK__" hidden="1">{"fdsup://directions/FAT Viewer?action=UPDATE&amp;creator=factset&amp;DYN_ARGS=TRUE&amp;DOC_NAME=FAT:FQL_AUDITING_CLIENT_TEMPLATE.FAT&amp;display_string=Audit&amp;VAR:KEY=KVIFMTQFSN&amp;VAR:QUERY=UkdGX1RBWF9SQVRFKEFOTiwwLCwsLCwsTk9BVURJVCk=&amp;WINDOW=FIRST_POPUP&amp;HEIGHT=450&amp;WIDTH=450&amp;","START_MAXIMIZED=FALSE&amp;VAR:CALENDAR=US&amp;VAR:SYMBOL=YHOO&amp;VAR:INDEX=0"}</definedName>
    <definedName name="_356__FDSAUDITLINK__" localSheetId="3" hidden="1">{"fdsup://directions/FAT Viewer?action=UPDATE&amp;creator=factset&amp;DYN_ARGS=TRUE&amp;DOC_NAME=FAT:FQL_AUDITING_CLIENT_TEMPLATE.FAT&amp;display_string=Audit&amp;VAR:KEY=BAXYNUNOVM&amp;VAR:QUERY=UENUQ0hHKEZGX0RFQlQoQU5OLDAsLTksWSxSUCxMT0NBTCxNKSxGRl9ERUJUKEFOTiwwIC0gMSwtOSAtIDEsW","SxSUCxMT0NBTCxNKSk=&amp;WINDOW=FIRST_POPUP&amp;HEIGHT=450&amp;WIDTH=450&amp;START_MAXIMIZED=FALSE&amp;VAR:CALENDAR=US&amp;VAR:SYMBOL=B10LQP&amp;VAR:INDEX=3"}</definedName>
    <definedName name="_356__FDSAUDITLINK__" localSheetId="7" hidden="1">{"fdsup://directions/FAT Viewer?action=UPDATE&amp;creator=factset&amp;DYN_ARGS=TRUE&amp;DOC_NAME=FAT:FQL_AUDITING_CLIENT_TEMPLATE.FAT&amp;display_string=Audit&amp;VAR:KEY=BAXYNUNOVM&amp;VAR:QUERY=UENUQ0hHKEZGX0RFQlQoQU5OLDAsLTksWSxSUCxMT0NBTCxNKSxGRl9ERUJUKEFOTiwwIC0gMSwtOSAtIDEsW","SxSUCxMT0NBTCxNKSk=&amp;WINDOW=FIRST_POPUP&amp;HEIGHT=450&amp;WIDTH=450&amp;START_MAXIMIZED=FALSE&amp;VAR:CALENDAR=US&amp;VAR:SYMBOL=B10LQP&amp;VAR:INDEX=3"}</definedName>
    <definedName name="_356__FDSAUDITLINK__" hidden="1">{"fdsup://directions/FAT Viewer?action=UPDATE&amp;creator=factset&amp;DYN_ARGS=TRUE&amp;DOC_NAME=FAT:FQL_AUDITING_CLIENT_TEMPLATE.FAT&amp;display_string=Audit&amp;VAR:KEY=BAXYNUNOVM&amp;VAR:QUERY=UENUQ0hHKEZGX0RFQlQoQU5OLDAsLTksWSxSUCxMT0NBTCxNKSxGRl9ERUJUKEFOTiwwIC0gMSwtOSAtIDEsW","SxSUCxMT0NBTCxNKSk=&amp;WINDOW=FIRST_POPUP&amp;HEIGHT=450&amp;WIDTH=450&amp;START_MAXIMIZED=FALSE&amp;VAR:CALENDAR=US&amp;VAR:SYMBOL=B10LQP&amp;VAR:INDEX=3"}</definedName>
    <definedName name="_3560__FDSAUDITLINK__" localSheetId="3" hidden="1">{"fdsup://directions/FAT Viewer?action=UPDATE&amp;creator=factset&amp;DYN_ARGS=TRUE&amp;DOC_NAME=FAT:FQL_AUDITING_CLIENT_TEMPLATE.FAT&amp;display_string=Audit&amp;VAR:KEY=WVOHOTOJWL&amp;VAR:QUERY=UkdGX1RBWF9SQVRFKEFOTiwwLCwsLCwsTk9BVURJVCk=&amp;WINDOW=FIRST_POPUP&amp;HEIGHT=450&amp;WIDTH=450&amp;","START_MAXIMIZED=FALSE&amp;VAR:CALENDAR=US&amp;VAR:SYMBOL=B3DMTY&amp;VAR:INDEX=0"}</definedName>
    <definedName name="_3560__FDSAUDITLINK__" localSheetId="7" hidden="1">{"fdsup://directions/FAT Viewer?action=UPDATE&amp;creator=factset&amp;DYN_ARGS=TRUE&amp;DOC_NAME=FAT:FQL_AUDITING_CLIENT_TEMPLATE.FAT&amp;display_string=Audit&amp;VAR:KEY=WVOHOTOJWL&amp;VAR:QUERY=UkdGX1RBWF9SQVRFKEFOTiwwLCwsLCwsTk9BVURJVCk=&amp;WINDOW=FIRST_POPUP&amp;HEIGHT=450&amp;WIDTH=450&amp;","START_MAXIMIZED=FALSE&amp;VAR:CALENDAR=US&amp;VAR:SYMBOL=B3DMTY&amp;VAR:INDEX=0"}</definedName>
    <definedName name="_3560__FDSAUDITLINK__" hidden="1">{"fdsup://directions/FAT Viewer?action=UPDATE&amp;creator=factset&amp;DYN_ARGS=TRUE&amp;DOC_NAME=FAT:FQL_AUDITING_CLIENT_TEMPLATE.FAT&amp;display_string=Audit&amp;VAR:KEY=WVOHOTOJWL&amp;VAR:QUERY=UkdGX1RBWF9SQVRFKEFOTiwwLCwsLCwsTk9BVURJVCk=&amp;WINDOW=FIRST_POPUP&amp;HEIGHT=450&amp;WIDTH=450&amp;","START_MAXIMIZED=FALSE&amp;VAR:CALENDAR=US&amp;VAR:SYMBOL=B3DMTY&amp;VAR:INDEX=0"}</definedName>
    <definedName name="_3561__FDSAUDITLINK__" localSheetId="3" hidden="1">{"fdsup://directions/FAT Viewer?action=UPDATE&amp;creator=factset&amp;DYN_ARGS=TRUE&amp;DOC_NAME=FAT:FQL_AUDITING_CLIENT_TEMPLATE.FAT&amp;display_string=Audit&amp;VAR:KEY=WVOHOTOJWL&amp;VAR:QUERY=UkdGX1RBWF9SQVRFKEFOTiwwLCwsLCwsTk9BVURJVCk=&amp;WINDOW=FIRST_POPUP&amp;HEIGHT=450&amp;WIDTH=450&amp;","START_MAXIMIZED=FALSE&amp;VAR:CALENDAR=US&amp;VAR:SYMBOL=B3DMTY&amp;VAR:INDEX=0"}</definedName>
    <definedName name="_3561__FDSAUDITLINK__" localSheetId="7" hidden="1">{"fdsup://directions/FAT Viewer?action=UPDATE&amp;creator=factset&amp;DYN_ARGS=TRUE&amp;DOC_NAME=FAT:FQL_AUDITING_CLIENT_TEMPLATE.FAT&amp;display_string=Audit&amp;VAR:KEY=WVOHOTOJWL&amp;VAR:QUERY=UkdGX1RBWF9SQVRFKEFOTiwwLCwsLCwsTk9BVURJVCk=&amp;WINDOW=FIRST_POPUP&amp;HEIGHT=450&amp;WIDTH=450&amp;","START_MAXIMIZED=FALSE&amp;VAR:CALENDAR=US&amp;VAR:SYMBOL=B3DMTY&amp;VAR:INDEX=0"}</definedName>
    <definedName name="_3561__FDSAUDITLINK__" hidden="1">{"fdsup://directions/FAT Viewer?action=UPDATE&amp;creator=factset&amp;DYN_ARGS=TRUE&amp;DOC_NAME=FAT:FQL_AUDITING_CLIENT_TEMPLATE.FAT&amp;display_string=Audit&amp;VAR:KEY=WVOHOTOJWL&amp;VAR:QUERY=UkdGX1RBWF9SQVRFKEFOTiwwLCwsLCwsTk9BVURJVCk=&amp;WINDOW=FIRST_POPUP&amp;HEIGHT=450&amp;WIDTH=450&amp;","START_MAXIMIZED=FALSE&amp;VAR:CALENDAR=US&amp;VAR:SYMBOL=B3DMTY&amp;VAR:INDEX=0"}</definedName>
    <definedName name="_3562__FDSAUDITLINK__" localSheetId="3" hidden="1">{"fdsup://directions/FAT Viewer?action=UPDATE&amp;creator=factset&amp;DYN_ARGS=TRUE&amp;DOC_NAME=FAT:FQL_AUDITING_CLIENT_TEMPLATE.FAT&amp;display_string=Audit&amp;VAR:KEY=WRMNIZERAJ&amp;VAR:QUERY=UkdGX1RBWF9SQVRFKEFOTiwwLCwsLCwsTk9BVURJVCk=&amp;WINDOW=FIRST_POPUP&amp;HEIGHT=450&amp;WIDTH=450&amp;","START_MAXIMIZED=FALSE&amp;VAR:CALENDAR=US&amp;VAR:SYMBOL=WSTM&amp;VAR:INDEX=0"}</definedName>
    <definedName name="_3562__FDSAUDITLINK__" localSheetId="7" hidden="1">{"fdsup://directions/FAT Viewer?action=UPDATE&amp;creator=factset&amp;DYN_ARGS=TRUE&amp;DOC_NAME=FAT:FQL_AUDITING_CLIENT_TEMPLATE.FAT&amp;display_string=Audit&amp;VAR:KEY=WRMNIZERAJ&amp;VAR:QUERY=UkdGX1RBWF9SQVRFKEFOTiwwLCwsLCwsTk9BVURJVCk=&amp;WINDOW=FIRST_POPUP&amp;HEIGHT=450&amp;WIDTH=450&amp;","START_MAXIMIZED=FALSE&amp;VAR:CALENDAR=US&amp;VAR:SYMBOL=WSTM&amp;VAR:INDEX=0"}</definedName>
    <definedName name="_3562__FDSAUDITLINK__" hidden="1">{"fdsup://directions/FAT Viewer?action=UPDATE&amp;creator=factset&amp;DYN_ARGS=TRUE&amp;DOC_NAME=FAT:FQL_AUDITING_CLIENT_TEMPLATE.FAT&amp;display_string=Audit&amp;VAR:KEY=WRMNIZERAJ&amp;VAR:QUERY=UkdGX1RBWF9SQVRFKEFOTiwwLCwsLCwsTk9BVURJVCk=&amp;WINDOW=FIRST_POPUP&amp;HEIGHT=450&amp;WIDTH=450&amp;","START_MAXIMIZED=FALSE&amp;VAR:CALENDAR=US&amp;VAR:SYMBOL=WSTM&amp;VAR:INDEX=0"}</definedName>
    <definedName name="_3563__FDSAUDITLINK__" localSheetId="3" hidden="1">{"fdsup://directions/FAT Viewer?action=UPDATE&amp;creator=factset&amp;DYN_ARGS=TRUE&amp;DOC_NAME=FAT:FQL_AUDITING_CLIENT_TEMPLATE.FAT&amp;display_string=Audit&amp;VAR:KEY=WRGZSFCFKT&amp;VAR:QUERY=UkdGX1RBWF9SQVRFKEFOTiwwLCwsLCwsTk9BVURJVCk=&amp;WINDOW=FIRST_POPUP&amp;HEIGHT=450&amp;WIDTH=450&amp;","START_MAXIMIZED=FALSE&amp;VAR:CALENDAR=US&amp;VAR:SYMBOL=WSPI&amp;VAR:INDEX=0"}</definedName>
    <definedName name="_3563__FDSAUDITLINK__" localSheetId="7" hidden="1">{"fdsup://directions/FAT Viewer?action=UPDATE&amp;creator=factset&amp;DYN_ARGS=TRUE&amp;DOC_NAME=FAT:FQL_AUDITING_CLIENT_TEMPLATE.FAT&amp;display_string=Audit&amp;VAR:KEY=WRGZSFCFKT&amp;VAR:QUERY=UkdGX1RBWF9SQVRFKEFOTiwwLCwsLCwsTk9BVURJVCk=&amp;WINDOW=FIRST_POPUP&amp;HEIGHT=450&amp;WIDTH=450&amp;","START_MAXIMIZED=FALSE&amp;VAR:CALENDAR=US&amp;VAR:SYMBOL=WSPI&amp;VAR:INDEX=0"}</definedName>
    <definedName name="_3563__FDSAUDITLINK__" hidden="1">{"fdsup://directions/FAT Viewer?action=UPDATE&amp;creator=factset&amp;DYN_ARGS=TRUE&amp;DOC_NAME=FAT:FQL_AUDITING_CLIENT_TEMPLATE.FAT&amp;display_string=Audit&amp;VAR:KEY=WRGZSFCFKT&amp;VAR:QUERY=UkdGX1RBWF9SQVRFKEFOTiwwLCwsLCwsTk9BVURJVCk=&amp;WINDOW=FIRST_POPUP&amp;HEIGHT=450&amp;WIDTH=450&amp;","START_MAXIMIZED=FALSE&amp;VAR:CALENDAR=US&amp;VAR:SYMBOL=WSPI&amp;VAR:INDEX=0"}</definedName>
    <definedName name="_3564__FDSAUDITLINK__" localSheetId="3" hidden="1">{"fdsup://directions/FAT Viewer?action=UPDATE&amp;creator=factset&amp;DYN_ARGS=TRUE&amp;DOC_NAME=FAT:FQL_AUDITING_CLIENT_TEMPLATE.FAT&amp;display_string=Audit&amp;VAR:KEY=WRANOFATGL&amp;VAR:QUERY=UkdGX1RBWF9SQVRFKEFOTiwwLCwsLCwsTk9BVURJVCk=&amp;WINDOW=FIRST_POPUP&amp;HEIGHT=450&amp;WIDTH=450&amp;","START_MAXIMIZED=FALSE&amp;VAR:CALENDAR=US&amp;VAR:SYMBOL=WBSN&amp;VAR:INDEX=0"}</definedName>
    <definedName name="_3564__FDSAUDITLINK__" localSheetId="7" hidden="1">{"fdsup://directions/FAT Viewer?action=UPDATE&amp;creator=factset&amp;DYN_ARGS=TRUE&amp;DOC_NAME=FAT:FQL_AUDITING_CLIENT_TEMPLATE.FAT&amp;display_string=Audit&amp;VAR:KEY=WRANOFATGL&amp;VAR:QUERY=UkdGX1RBWF9SQVRFKEFOTiwwLCwsLCwsTk9BVURJVCk=&amp;WINDOW=FIRST_POPUP&amp;HEIGHT=450&amp;WIDTH=450&amp;","START_MAXIMIZED=FALSE&amp;VAR:CALENDAR=US&amp;VAR:SYMBOL=WBSN&amp;VAR:INDEX=0"}</definedName>
    <definedName name="_3564__FDSAUDITLINK__" hidden="1">{"fdsup://directions/FAT Viewer?action=UPDATE&amp;creator=factset&amp;DYN_ARGS=TRUE&amp;DOC_NAME=FAT:FQL_AUDITING_CLIENT_TEMPLATE.FAT&amp;display_string=Audit&amp;VAR:KEY=WRANOFATGL&amp;VAR:QUERY=UkdGX1RBWF9SQVRFKEFOTiwwLCwsLCwsTk9BVURJVCk=&amp;WINDOW=FIRST_POPUP&amp;HEIGHT=450&amp;WIDTH=450&amp;","START_MAXIMIZED=FALSE&amp;VAR:CALENDAR=US&amp;VAR:SYMBOL=WBSN&amp;VAR:INDEX=0"}</definedName>
    <definedName name="_3565__FDSAUDITLINK__" localSheetId="3" hidden="1">{"fdsup://directions/FAT Viewer?action=UPDATE&amp;creator=factset&amp;DYN_ARGS=TRUE&amp;DOC_NAME=FAT:FQL_AUDITING_CLIENT_TEMPLATE.FAT&amp;display_string=Audit&amp;VAR:KEY=WRANOFATGL&amp;VAR:QUERY=UkdGX1RBWF9SQVRFKEFOTiwwLCwsLCwsTk9BVURJVCk=&amp;WINDOW=FIRST_POPUP&amp;HEIGHT=450&amp;WIDTH=450&amp;","START_MAXIMIZED=FALSE&amp;VAR:CALENDAR=US&amp;VAR:SYMBOL=WBSN&amp;VAR:INDEX=0"}</definedName>
    <definedName name="_3565__FDSAUDITLINK__" localSheetId="7" hidden="1">{"fdsup://directions/FAT Viewer?action=UPDATE&amp;creator=factset&amp;DYN_ARGS=TRUE&amp;DOC_NAME=FAT:FQL_AUDITING_CLIENT_TEMPLATE.FAT&amp;display_string=Audit&amp;VAR:KEY=WRANOFATGL&amp;VAR:QUERY=UkdGX1RBWF9SQVRFKEFOTiwwLCwsLCwsTk9BVURJVCk=&amp;WINDOW=FIRST_POPUP&amp;HEIGHT=450&amp;WIDTH=450&amp;","START_MAXIMIZED=FALSE&amp;VAR:CALENDAR=US&amp;VAR:SYMBOL=WBSN&amp;VAR:INDEX=0"}</definedName>
    <definedName name="_3565__FDSAUDITLINK__" hidden="1">{"fdsup://directions/FAT Viewer?action=UPDATE&amp;creator=factset&amp;DYN_ARGS=TRUE&amp;DOC_NAME=FAT:FQL_AUDITING_CLIENT_TEMPLATE.FAT&amp;display_string=Audit&amp;VAR:KEY=WRANOFATGL&amp;VAR:QUERY=UkdGX1RBWF9SQVRFKEFOTiwwLCwsLCwsTk9BVURJVCk=&amp;WINDOW=FIRST_POPUP&amp;HEIGHT=450&amp;WIDTH=450&amp;","START_MAXIMIZED=FALSE&amp;VAR:CALENDAR=US&amp;VAR:SYMBOL=WBSN&amp;VAR:INDEX=0"}</definedName>
    <definedName name="_3566__FDSAUDITLINK__" localSheetId="3" hidden="1">{"fdsup://directions/FAT Viewer?action=UPDATE&amp;creator=factset&amp;DYN_ARGS=TRUE&amp;DOC_NAME=FAT:FQL_AUDITING_CLIENT_TEMPLATE.FAT&amp;display_string=Audit&amp;VAR:KEY=ENCXKNALAF&amp;VAR:QUERY=UkdGX1RBWF9SQVRFKEFOTiwwLCwsLCwsTk9BVURJVCk=&amp;WINDOW=FIRST_POPUP&amp;HEIGHT=450&amp;WIDTH=450&amp;","START_MAXIMIZED=FALSE&amp;VAR:CALENDAR=US&amp;VAR:SYMBOL=WBMD&amp;VAR:INDEX=0"}</definedName>
    <definedName name="_3566__FDSAUDITLINK__" localSheetId="7" hidden="1">{"fdsup://directions/FAT Viewer?action=UPDATE&amp;creator=factset&amp;DYN_ARGS=TRUE&amp;DOC_NAME=FAT:FQL_AUDITING_CLIENT_TEMPLATE.FAT&amp;display_string=Audit&amp;VAR:KEY=ENCXKNALAF&amp;VAR:QUERY=UkdGX1RBWF9SQVRFKEFOTiwwLCwsLCwsTk9BVURJVCk=&amp;WINDOW=FIRST_POPUP&amp;HEIGHT=450&amp;WIDTH=450&amp;","START_MAXIMIZED=FALSE&amp;VAR:CALENDAR=US&amp;VAR:SYMBOL=WBMD&amp;VAR:INDEX=0"}</definedName>
    <definedName name="_3566__FDSAUDITLINK__" hidden="1">{"fdsup://directions/FAT Viewer?action=UPDATE&amp;creator=factset&amp;DYN_ARGS=TRUE&amp;DOC_NAME=FAT:FQL_AUDITING_CLIENT_TEMPLATE.FAT&amp;display_string=Audit&amp;VAR:KEY=ENCXKNALAF&amp;VAR:QUERY=UkdGX1RBWF9SQVRFKEFOTiwwLCwsLCwsTk9BVURJVCk=&amp;WINDOW=FIRST_POPUP&amp;HEIGHT=450&amp;WIDTH=450&amp;","START_MAXIMIZED=FALSE&amp;VAR:CALENDAR=US&amp;VAR:SYMBOL=WBMD&amp;VAR:INDEX=0"}</definedName>
    <definedName name="_3567__FDSAUDITLINK__" localSheetId="3" hidden="1">{"fdsup://directions/FAT Viewer?action=UPDATE&amp;creator=factset&amp;DYN_ARGS=TRUE&amp;DOC_NAME=FAT:FQL_AUDITING_CLIENT_TEMPLATE.FAT&amp;display_string=Audit&amp;VAR:KEY=ENCXKNALAF&amp;VAR:QUERY=UkdGX1RBWF9SQVRFKEFOTiwwLCwsLCwsTk9BVURJVCk=&amp;WINDOW=FIRST_POPUP&amp;HEIGHT=450&amp;WIDTH=450&amp;","START_MAXIMIZED=FALSE&amp;VAR:CALENDAR=US&amp;VAR:SYMBOL=WBMD&amp;VAR:INDEX=0"}</definedName>
    <definedName name="_3567__FDSAUDITLINK__" localSheetId="7" hidden="1">{"fdsup://directions/FAT Viewer?action=UPDATE&amp;creator=factset&amp;DYN_ARGS=TRUE&amp;DOC_NAME=FAT:FQL_AUDITING_CLIENT_TEMPLATE.FAT&amp;display_string=Audit&amp;VAR:KEY=ENCXKNALAF&amp;VAR:QUERY=UkdGX1RBWF9SQVRFKEFOTiwwLCwsLCwsTk9BVURJVCk=&amp;WINDOW=FIRST_POPUP&amp;HEIGHT=450&amp;WIDTH=450&amp;","START_MAXIMIZED=FALSE&amp;VAR:CALENDAR=US&amp;VAR:SYMBOL=WBMD&amp;VAR:INDEX=0"}</definedName>
    <definedName name="_3567__FDSAUDITLINK__" hidden="1">{"fdsup://directions/FAT Viewer?action=UPDATE&amp;creator=factset&amp;DYN_ARGS=TRUE&amp;DOC_NAME=FAT:FQL_AUDITING_CLIENT_TEMPLATE.FAT&amp;display_string=Audit&amp;VAR:KEY=ENCXKNALAF&amp;VAR:QUERY=UkdGX1RBWF9SQVRFKEFOTiwwLCwsLCwsTk9BVURJVCk=&amp;WINDOW=FIRST_POPUP&amp;HEIGHT=450&amp;WIDTH=450&amp;","START_MAXIMIZED=FALSE&amp;VAR:CALENDAR=US&amp;VAR:SYMBOL=WBMD&amp;VAR:INDEX=0"}</definedName>
    <definedName name="_3568__FDSAUDITLINK__" localSheetId="3" hidden="1">{"fdsup://directions/FAT Viewer?action=UPDATE&amp;creator=factset&amp;DYN_ARGS=TRUE&amp;DOC_NAME=FAT:FQL_AUDITING_CLIENT_TEMPLATE.FAT&amp;display_string=Audit&amp;VAR:KEY=CJWRKTYLMB&amp;VAR:QUERY=UkdGX1RBWF9SQVRFKEFOTiwwLCwsLCwsTk9BVURJVCk=&amp;WINDOW=FIRST_POPUP&amp;HEIGHT=450&amp;WIDTH=450&amp;","START_MAXIMIZED=FALSE&amp;VAR:CALENDAR=US&amp;VAR:SYMBOL=VOLT&amp;VAR:INDEX=0"}</definedName>
    <definedName name="_3568__FDSAUDITLINK__" localSheetId="7" hidden="1">{"fdsup://directions/FAT Viewer?action=UPDATE&amp;creator=factset&amp;DYN_ARGS=TRUE&amp;DOC_NAME=FAT:FQL_AUDITING_CLIENT_TEMPLATE.FAT&amp;display_string=Audit&amp;VAR:KEY=CJWRKTYLMB&amp;VAR:QUERY=UkdGX1RBWF9SQVRFKEFOTiwwLCwsLCwsTk9BVURJVCk=&amp;WINDOW=FIRST_POPUP&amp;HEIGHT=450&amp;WIDTH=450&amp;","START_MAXIMIZED=FALSE&amp;VAR:CALENDAR=US&amp;VAR:SYMBOL=VOLT&amp;VAR:INDEX=0"}</definedName>
    <definedName name="_3568__FDSAUDITLINK__" hidden="1">{"fdsup://directions/FAT Viewer?action=UPDATE&amp;creator=factset&amp;DYN_ARGS=TRUE&amp;DOC_NAME=FAT:FQL_AUDITING_CLIENT_TEMPLATE.FAT&amp;display_string=Audit&amp;VAR:KEY=CJWRKTYLMB&amp;VAR:QUERY=UkdGX1RBWF9SQVRFKEFOTiwwLCwsLCwsTk9BVURJVCk=&amp;WINDOW=FIRST_POPUP&amp;HEIGHT=450&amp;WIDTH=450&amp;","START_MAXIMIZED=FALSE&amp;VAR:CALENDAR=US&amp;VAR:SYMBOL=VOLT&amp;VAR:INDEX=0"}</definedName>
    <definedName name="_3569__FDSAUDITLINK__" localSheetId="3" hidden="1">{"fdsup://directions/FAT Viewer?action=UPDATE&amp;creator=factset&amp;DYN_ARGS=TRUE&amp;DOC_NAME=FAT:FQL_AUDITING_CLIENT_TEMPLATE.FAT&amp;display_string=Audit&amp;VAR:KEY=WFUVQXMLGH&amp;VAR:QUERY=UkdGX1RBWF9SQVRFKEFOTiwwLCwsLCwsTk9BVURJVCk=&amp;WINDOW=FIRST_POPUP&amp;HEIGHT=450&amp;WIDTH=450&amp;","START_MAXIMIZED=FALSE&amp;VAR:CALENDAR=US&amp;VAR:SYMBOL=VOCS&amp;VAR:INDEX=0"}</definedName>
    <definedName name="_3569__FDSAUDITLINK__" localSheetId="7" hidden="1">{"fdsup://directions/FAT Viewer?action=UPDATE&amp;creator=factset&amp;DYN_ARGS=TRUE&amp;DOC_NAME=FAT:FQL_AUDITING_CLIENT_TEMPLATE.FAT&amp;display_string=Audit&amp;VAR:KEY=WFUVQXMLGH&amp;VAR:QUERY=UkdGX1RBWF9SQVRFKEFOTiwwLCwsLCwsTk9BVURJVCk=&amp;WINDOW=FIRST_POPUP&amp;HEIGHT=450&amp;WIDTH=450&amp;","START_MAXIMIZED=FALSE&amp;VAR:CALENDAR=US&amp;VAR:SYMBOL=VOCS&amp;VAR:INDEX=0"}</definedName>
    <definedName name="_3569__FDSAUDITLINK__" hidden="1">{"fdsup://directions/FAT Viewer?action=UPDATE&amp;creator=factset&amp;DYN_ARGS=TRUE&amp;DOC_NAME=FAT:FQL_AUDITING_CLIENT_TEMPLATE.FAT&amp;display_string=Audit&amp;VAR:KEY=WFUVQXMLGH&amp;VAR:QUERY=UkdGX1RBWF9SQVRFKEFOTiwwLCwsLCwsTk9BVURJVCk=&amp;WINDOW=FIRST_POPUP&amp;HEIGHT=450&amp;WIDTH=450&amp;","START_MAXIMIZED=FALSE&amp;VAR:CALENDAR=US&amp;VAR:SYMBOL=VOCS&amp;VAR:INDEX=0"}</definedName>
    <definedName name="_357__FDSAUDITLINK__" localSheetId="3" hidden="1">{"fdsup://directions/FAT Viewer?action=UPDATE&amp;creator=factset&amp;DYN_ARGS=TRUE&amp;DOC_NAME=FAT:FQL_AUDITING_CLIENT_TEMPLATE.FAT&amp;display_string=Audit&amp;VAR:KEY=BAXYNUNOVM&amp;VAR:QUERY=UENUQ0hHKEZGX0RFQlQoQU5OLDAsLTksWSxSUCxMT0NBTCxNKSxGRl9ERUJUKEFOTiwwIC0gMSwtOSAtIDEsW","SxSUCxMT0NBTCxNKSk=&amp;WINDOW=FIRST_POPUP&amp;HEIGHT=450&amp;WIDTH=450&amp;START_MAXIMIZED=FALSE&amp;VAR:CALENDAR=US&amp;VAR:SYMBOL=B10LQP&amp;VAR:INDEX=2"}</definedName>
    <definedName name="_357__FDSAUDITLINK__" localSheetId="7" hidden="1">{"fdsup://directions/FAT Viewer?action=UPDATE&amp;creator=factset&amp;DYN_ARGS=TRUE&amp;DOC_NAME=FAT:FQL_AUDITING_CLIENT_TEMPLATE.FAT&amp;display_string=Audit&amp;VAR:KEY=BAXYNUNOVM&amp;VAR:QUERY=UENUQ0hHKEZGX0RFQlQoQU5OLDAsLTksWSxSUCxMT0NBTCxNKSxGRl9ERUJUKEFOTiwwIC0gMSwtOSAtIDEsW","SxSUCxMT0NBTCxNKSk=&amp;WINDOW=FIRST_POPUP&amp;HEIGHT=450&amp;WIDTH=450&amp;START_MAXIMIZED=FALSE&amp;VAR:CALENDAR=US&amp;VAR:SYMBOL=B10LQP&amp;VAR:INDEX=2"}</definedName>
    <definedName name="_357__FDSAUDITLINK__" hidden="1">{"fdsup://directions/FAT Viewer?action=UPDATE&amp;creator=factset&amp;DYN_ARGS=TRUE&amp;DOC_NAME=FAT:FQL_AUDITING_CLIENT_TEMPLATE.FAT&amp;display_string=Audit&amp;VAR:KEY=BAXYNUNOVM&amp;VAR:QUERY=UENUQ0hHKEZGX0RFQlQoQU5OLDAsLTksWSxSUCxMT0NBTCxNKSxGRl9ERUJUKEFOTiwwIC0gMSwtOSAtIDEsW","SxSUCxMT0NBTCxNKSk=&amp;WINDOW=FIRST_POPUP&amp;HEIGHT=450&amp;WIDTH=450&amp;START_MAXIMIZED=FALSE&amp;VAR:CALENDAR=US&amp;VAR:SYMBOL=B10LQP&amp;VAR:INDEX=2"}</definedName>
    <definedName name="_3570__FDSAUDITLINK__" localSheetId="3" hidden="1">{"fdsup://directions/FAT Viewer?action=UPDATE&amp;creator=factset&amp;DYN_ARGS=TRUE&amp;DOC_NAME=FAT:FQL_AUDITING_CLIENT_TEMPLATE.FAT&amp;display_string=Audit&amp;VAR:KEY=OFOFWVGTEN&amp;VAR:QUERY=UkdGX1RBWF9SQVRFKEFOTiwwLCwsLCwsTk9BVURJVCk=&amp;WINDOW=FIRST_POPUP&amp;HEIGHT=450&amp;WIDTH=450&amp;","START_MAXIMIZED=FALSE&amp;VAR:CALENDAR=US&amp;VAR:SYMBOL=VMW&amp;VAR:INDEX=0"}</definedName>
    <definedName name="_3570__FDSAUDITLINK__" localSheetId="7" hidden="1">{"fdsup://directions/FAT Viewer?action=UPDATE&amp;creator=factset&amp;DYN_ARGS=TRUE&amp;DOC_NAME=FAT:FQL_AUDITING_CLIENT_TEMPLATE.FAT&amp;display_string=Audit&amp;VAR:KEY=OFOFWVGTEN&amp;VAR:QUERY=UkdGX1RBWF9SQVRFKEFOTiwwLCwsLCwsTk9BVURJVCk=&amp;WINDOW=FIRST_POPUP&amp;HEIGHT=450&amp;WIDTH=450&amp;","START_MAXIMIZED=FALSE&amp;VAR:CALENDAR=US&amp;VAR:SYMBOL=VMW&amp;VAR:INDEX=0"}</definedName>
    <definedName name="_3570__FDSAUDITLINK__" hidden="1">{"fdsup://directions/FAT Viewer?action=UPDATE&amp;creator=factset&amp;DYN_ARGS=TRUE&amp;DOC_NAME=FAT:FQL_AUDITING_CLIENT_TEMPLATE.FAT&amp;display_string=Audit&amp;VAR:KEY=OFOFWVGTEN&amp;VAR:QUERY=UkdGX1RBWF9SQVRFKEFOTiwwLCwsLCwsTk9BVURJVCk=&amp;WINDOW=FIRST_POPUP&amp;HEIGHT=450&amp;WIDTH=450&amp;","START_MAXIMIZED=FALSE&amp;VAR:CALENDAR=US&amp;VAR:SYMBOL=VMW&amp;VAR:INDEX=0"}</definedName>
    <definedName name="_3571__FDSAUDITLINK__" localSheetId="3" hidden="1">{"fdsup://directions/FAT Viewer?action=UPDATE&amp;creator=factset&amp;DYN_ARGS=TRUE&amp;DOC_NAME=FAT:FQL_AUDITING_CLIENT_TEMPLATE.FAT&amp;display_string=Audit&amp;VAR:KEY=OFOFWVGTEN&amp;VAR:QUERY=UkdGX1RBWF9SQVRFKEFOTiwwLCwsLCwsTk9BVURJVCk=&amp;WINDOW=FIRST_POPUP&amp;HEIGHT=450&amp;WIDTH=450&amp;","START_MAXIMIZED=FALSE&amp;VAR:CALENDAR=US&amp;VAR:SYMBOL=VMW&amp;VAR:INDEX=0"}</definedName>
    <definedName name="_3571__FDSAUDITLINK__" localSheetId="7" hidden="1">{"fdsup://directions/FAT Viewer?action=UPDATE&amp;creator=factset&amp;DYN_ARGS=TRUE&amp;DOC_NAME=FAT:FQL_AUDITING_CLIENT_TEMPLATE.FAT&amp;display_string=Audit&amp;VAR:KEY=OFOFWVGTEN&amp;VAR:QUERY=UkdGX1RBWF9SQVRFKEFOTiwwLCwsLCwsTk9BVURJVCk=&amp;WINDOW=FIRST_POPUP&amp;HEIGHT=450&amp;WIDTH=450&amp;","START_MAXIMIZED=FALSE&amp;VAR:CALENDAR=US&amp;VAR:SYMBOL=VMW&amp;VAR:INDEX=0"}</definedName>
    <definedName name="_3571__FDSAUDITLINK__" hidden="1">{"fdsup://directions/FAT Viewer?action=UPDATE&amp;creator=factset&amp;DYN_ARGS=TRUE&amp;DOC_NAME=FAT:FQL_AUDITING_CLIENT_TEMPLATE.FAT&amp;display_string=Audit&amp;VAR:KEY=OFOFWVGTEN&amp;VAR:QUERY=UkdGX1RBWF9SQVRFKEFOTiwwLCwsLCwsTk9BVURJVCk=&amp;WINDOW=FIRST_POPUP&amp;HEIGHT=450&amp;WIDTH=450&amp;","START_MAXIMIZED=FALSE&amp;VAR:CALENDAR=US&amp;VAR:SYMBOL=VMW&amp;VAR:INDEX=0"}</definedName>
    <definedName name="_3572__FDSAUDITLINK__" localSheetId="3" hidden="1">{"fdsup://directions/FAT Viewer?action=UPDATE&amp;creator=factset&amp;DYN_ARGS=TRUE&amp;DOC_NAME=FAT:FQL_AUDITING_CLIENT_TEMPLATE.FAT&amp;display_string=Audit&amp;VAR:KEY=EHKRGDGZOF&amp;VAR:QUERY=UkdGX1RBWF9SQVRFKEFOTiwwLCwsLCwsTk9BVURJVCk=&amp;WINDOW=FIRST_POPUP&amp;HEIGHT=450&amp;WIDTH=450&amp;","START_MAXIMIZED=FALSE&amp;VAR:CALENDAR=US&amp;VAR:SYMBOL=VRSN&amp;VAR:INDEX=0"}</definedName>
    <definedName name="_3572__FDSAUDITLINK__" localSheetId="7" hidden="1">{"fdsup://directions/FAT Viewer?action=UPDATE&amp;creator=factset&amp;DYN_ARGS=TRUE&amp;DOC_NAME=FAT:FQL_AUDITING_CLIENT_TEMPLATE.FAT&amp;display_string=Audit&amp;VAR:KEY=EHKRGDGZOF&amp;VAR:QUERY=UkdGX1RBWF9SQVRFKEFOTiwwLCwsLCwsTk9BVURJVCk=&amp;WINDOW=FIRST_POPUP&amp;HEIGHT=450&amp;WIDTH=450&amp;","START_MAXIMIZED=FALSE&amp;VAR:CALENDAR=US&amp;VAR:SYMBOL=VRSN&amp;VAR:INDEX=0"}</definedName>
    <definedName name="_3572__FDSAUDITLINK__" hidden="1">{"fdsup://directions/FAT Viewer?action=UPDATE&amp;creator=factset&amp;DYN_ARGS=TRUE&amp;DOC_NAME=FAT:FQL_AUDITING_CLIENT_TEMPLATE.FAT&amp;display_string=Audit&amp;VAR:KEY=EHKRGDGZOF&amp;VAR:QUERY=UkdGX1RBWF9SQVRFKEFOTiwwLCwsLCwsTk9BVURJVCk=&amp;WINDOW=FIRST_POPUP&amp;HEIGHT=450&amp;WIDTH=450&amp;","START_MAXIMIZED=FALSE&amp;VAR:CALENDAR=US&amp;VAR:SYMBOL=VRSN&amp;VAR:INDEX=0"}</definedName>
    <definedName name="_3573__FDSAUDITLINK__" localSheetId="3" hidden="1">{"fdsup://directions/FAT Viewer?action=UPDATE&amp;creator=factset&amp;DYN_ARGS=TRUE&amp;DOC_NAME=FAT:FQL_AUDITING_CLIENT_TEMPLATE.FAT&amp;display_string=Audit&amp;VAR:KEY=EHKRGDGZOF&amp;VAR:QUERY=UkdGX1RBWF9SQVRFKEFOTiwwLCwsLCwsTk9BVURJVCk=&amp;WINDOW=FIRST_POPUP&amp;HEIGHT=450&amp;WIDTH=450&amp;","START_MAXIMIZED=FALSE&amp;VAR:CALENDAR=US&amp;VAR:SYMBOL=VRSN&amp;VAR:INDEX=0"}</definedName>
    <definedName name="_3573__FDSAUDITLINK__" localSheetId="7" hidden="1">{"fdsup://directions/FAT Viewer?action=UPDATE&amp;creator=factset&amp;DYN_ARGS=TRUE&amp;DOC_NAME=FAT:FQL_AUDITING_CLIENT_TEMPLATE.FAT&amp;display_string=Audit&amp;VAR:KEY=EHKRGDGZOF&amp;VAR:QUERY=UkdGX1RBWF9SQVRFKEFOTiwwLCwsLCwsTk9BVURJVCk=&amp;WINDOW=FIRST_POPUP&amp;HEIGHT=450&amp;WIDTH=450&amp;","START_MAXIMIZED=FALSE&amp;VAR:CALENDAR=US&amp;VAR:SYMBOL=VRSN&amp;VAR:INDEX=0"}</definedName>
    <definedName name="_3573__FDSAUDITLINK__" hidden="1">{"fdsup://directions/FAT Viewer?action=UPDATE&amp;creator=factset&amp;DYN_ARGS=TRUE&amp;DOC_NAME=FAT:FQL_AUDITING_CLIENT_TEMPLATE.FAT&amp;display_string=Audit&amp;VAR:KEY=EHKRGDGZOF&amp;VAR:QUERY=UkdGX1RBWF9SQVRFKEFOTiwwLCwsLCwsTk9BVURJVCk=&amp;WINDOW=FIRST_POPUP&amp;HEIGHT=450&amp;WIDTH=450&amp;","START_MAXIMIZED=FALSE&amp;VAR:CALENDAR=US&amp;VAR:SYMBOL=VRSN&amp;VAR:INDEX=0"}</definedName>
    <definedName name="_3574__FDSAUDITLINK__" localSheetId="3" hidden="1">{"fdsup://directions/FAT Viewer?action=UPDATE&amp;creator=factset&amp;DYN_ARGS=TRUE&amp;DOC_NAME=FAT:FQL_AUDITING_CLIENT_TEMPLATE.FAT&amp;display_string=Audit&amp;VAR:KEY=OPUVAFIFKN&amp;VAR:QUERY=UkdGX1RBWF9SQVRFKEFOTiwwLCwsLCwsTk9BVURJVCk=&amp;WINDOW=FIRST_POPUP&amp;HEIGHT=450&amp;WIDTH=450&amp;","START_MAXIMIZED=FALSE&amp;VAR:CALENDAR=US&amp;VAR:SYMBOL=VDSI&amp;VAR:INDEX=0"}</definedName>
    <definedName name="_3574__FDSAUDITLINK__" localSheetId="7" hidden="1">{"fdsup://directions/FAT Viewer?action=UPDATE&amp;creator=factset&amp;DYN_ARGS=TRUE&amp;DOC_NAME=FAT:FQL_AUDITING_CLIENT_TEMPLATE.FAT&amp;display_string=Audit&amp;VAR:KEY=OPUVAFIFKN&amp;VAR:QUERY=UkdGX1RBWF9SQVRFKEFOTiwwLCwsLCwsTk9BVURJVCk=&amp;WINDOW=FIRST_POPUP&amp;HEIGHT=450&amp;WIDTH=450&amp;","START_MAXIMIZED=FALSE&amp;VAR:CALENDAR=US&amp;VAR:SYMBOL=VDSI&amp;VAR:INDEX=0"}</definedName>
    <definedName name="_3574__FDSAUDITLINK__" hidden="1">{"fdsup://directions/FAT Viewer?action=UPDATE&amp;creator=factset&amp;DYN_ARGS=TRUE&amp;DOC_NAME=FAT:FQL_AUDITING_CLIENT_TEMPLATE.FAT&amp;display_string=Audit&amp;VAR:KEY=OPUVAFIFKN&amp;VAR:QUERY=UkdGX1RBWF9SQVRFKEFOTiwwLCwsLCwsTk9BVURJVCk=&amp;WINDOW=FIRST_POPUP&amp;HEIGHT=450&amp;WIDTH=450&amp;","START_MAXIMIZED=FALSE&amp;VAR:CALENDAR=US&amp;VAR:SYMBOL=VDSI&amp;VAR:INDEX=0"}</definedName>
    <definedName name="_3575__FDSAUDITLINK__" localSheetId="3" hidden="1">{"fdsup://directions/FAT Viewer?action=UPDATE&amp;creator=factset&amp;DYN_ARGS=TRUE&amp;DOC_NAME=FAT:FQL_AUDITING_CLIENT_TEMPLATE.FAT&amp;display_string=Audit&amp;VAR:KEY=OPUVAFIFKN&amp;VAR:QUERY=UkdGX1RBWF9SQVRFKEFOTiwwLCwsLCwsTk9BVURJVCk=&amp;WINDOW=FIRST_POPUP&amp;HEIGHT=450&amp;WIDTH=450&amp;","START_MAXIMIZED=FALSE&amp;VAR:CALENDAR=US&amp;VAR:SYMBOL=VDSI&amp;VAR:INDEX=0"}</definedName>
    <definedName name="_3575__FDSAUDITLINK__" localSheetId="7" hidden="1">{"fdsup://directions/FAT Viewer?action=UPDATE&amp;creator=factset&amp;DYN_ARGS=TRUE&amp;DOC_NAME=FAT:FQL_AUDITING_CLIENT_TEMPLATE.FAT&amp;display_string=Audit&amp;VAR:KEY=OPUVAFIFKN&amp;VAR:QUERY=UkdGX1RBWF9SQVRFKEFOTiwwLCwsLCwsTk9BVURJVCk=&amp;WINDOW=FIRST_POPUP&amp;HEIGHT=450&amp;WIDTH=450&amp;","START_MAXIMIZED=FALSE&amp;VAR:CALENDAR=US&amp;VAR:SYMBOL=VDSI&amp;VAR:INDEX=0"}</definedName>
    <definedName name="_3575__FDSAUDITLINK__" hidden="1">{"fdsup://directions/FAT Viewer?action=UPDATE&amp;creator=factset&amp;DYN_ARGS=TRUE&amp;DOC_NAME=FAT:FQL_AUDITING_CLIENT_TEMPLATE.FAT&amp;display_string=Audit&amp;VAR:KEY=OPUVAFIFKN&amp;VAR:QUERY=UkdGX1RBWF9SQVRFKEFOTiwwLCwsLCwsTk9BVURJVCk=&amp;WINDOW=FIRST_POPUP&amp;HEIGHT=450&amp;WIDTH=450&amp;","START_MAXIMIZED=FALSE&amp;VAR:CALENDAR=US&amp;VAR:SYMBOL=VDSI&amp;VAR:INDEX=0"}</definedName>
    <definedName name="_3576__FDSAUDITLINK__" localSheetId="3" hidden="1">{"fdsup://directions/FAT Viewer?action=UPDATE&amp;creator=factset&amp;DYN_ARGS=TRUE&amp;DOC_NAME=FAT:FQL_AUDITING_CLIENT_TEMPLATE.FAT&amp;display_string=Audit&amp;VAR:KEY=WJUDWRAHWN&amp;VAR:QUERY=UkdGX1RBWF9SQVRFKEFOTiwwLCwsLCwsTk9BVURJVCk=&amp;WINDOW=FIRST_POPUP&amp;HEIGHT=450&amp;WIDTH=450&amp;","START_MAXIMIZED=FALSE&amp;VAR:CALENDAR=US&amp;VAR:SYMBOL=ULTI&amp;VAR:INDEX=0"}</definedName>
    <definedName name="_3576__FDSAUDITLINK__" localSheetId="7" hidden="1">{"fdsup://directions/FAT Viewer?action=UPDATE&amp;creator=factset&amp;DYN_ARGS=TRUE&amp;DOC_NAME=FAT:FQL_AUDITING_CLIENT_TEMPLATE.FAT&amp;display_string=Audit&amp;VAR:KEY=WJUDWRAHWN&amp;VAR:QUERY=UkdGX1RBWF9SQVRFKEFOTiwwLCwsLCwsTk9BVURJVCk=&amp;WINDOW=FIRST_POPUP&amp;HEIGHT=450&amp;WIDTH=450&amp;","START_MAXIMIZED=FALSE&amp;VAR:CALENDAR=US&amp;VAR:SYMBOL=ULTI&amp;VAR:INDEX=0"}</definedName>
    <definedName name="_3576__FDSAUDITLINK__" hidden="1">{"fdsup://directions/FAT Viewer?action=UPDATE&amp;creator=factset&amp;DYN_ARGS=TRUE&amp;DOC_NAME=FAT:FQL_AUDITING_CLIENT_TEMPLATE.FAT&amp;display_string=Audit&amp;VAR:KEY=WJUDWRAHWN&amp;VAR:QUERY=UkdGX1RBWF9SQVRFKEFOTiwwLCwsLCwsTk9BVURJVCk=&amp;WINDOW=FIRST_POPUP&amp;HEIGHT=450&amp;WIDTH=450&amp;","START_MAXIMIZED=FALSE&amp;VAR:CALENDAR=US&amp;VAR:SYMBOL=ULTI&amp;VAR:INDEX=0"}</definedName>
    <definedName name="_3577__FDSAUDITLINK__" localSheetId="3" hidden="1">{"fdsup://directions/FAT Viewer?action=UPDATE&amp;creator=factset&amp;DYN_ARGS=TRUE&amp;DOC_NAME=FAT:FQL_AUDITING_CLIENT_TEMPLATE.FAT&amp;display_string=Audit&amp;VAR:KEY=WJUDWRAHWN&amp;VAR:QUERY=UkdGX1RBWF9SQVRFKEFOTiwwLCwsLCwsTk9BVURJVCk=&amp;WINDOW=FIRST_POPUP&amp;HEIGHT=450&amp;WIDTH=450&amp;","START_MAXIMIZED=FALSE&amp;VAR:CALENDAR=US&amp;VAR:SYMBOL=ULTI&amp;VAR:INDEX=0"}</definedName>
    <definedName name="_3577__FDSAUDITLINK__" localSheetId="7" hidden="1">{"fdsup://directions/FAT Viewer?action=UPDATE&amp;creator=factset&amp;DYN_ARGS=TRUE&amp;DOC_NAME=FAT:FQL_AUDITING_CLIENT_TEMPLATE.FAT&amp;display_string=Audit&amp;VAR:KEY=WJUDWRAHWN&amp;VAR:QUERY=UkdGX1RBWF9SQVRFKEFOTiwwLCwsLCwsTk9BVURJVCk=&amp;WINDOW=FIRST_POPUP&amp;HEIGHT=450&amp;WIDTH=450&amp;","START_MAXIMIZED=FALSE&amp;VAR:CALENDAR=US&amp;VAR:SYMBOL=ULTI&amp;VAR:INDEX=0"}</definedName>
    <definedName name="_3577__FDSAUDITLINK__" hidden="1">{"fdsup://directions/FAT Viewer?action=UPDATE&amp;creator=factset&amp;DYN_ARGS=TRUE&amp;DOC_NAME=FAT:FQL_AUDITING_CLIENT_TEMPLATE.FAT&amp;display_string=Audit&amp;VAR:KEY=WJUDWRAHWN&amp;VAR:QUERY=UkdGX1RBWF9SQVRFKEFOTiwwLCwsLCwsTk9BVURJVCk=&amp;WINDOW=FIRST_POPUP&amp;HEIGHT=450&amp;WIDTH=450&amp;","START_MAXIMIZED=FALSE&amp;VAR:CALENDAR=US&amp;VAR:SYMBOL=ULTI&amp;VAR:INDEX=0"}</definedName>
    <definedName name="_3578__FDSAUDITLINK__" localSheetId="3" hidden="1">{"fdsup://directions/FAT Viewer?action=UPDATE&amp;creator=factset&amp;DYN_ARGS=TRUE&amp;DOC_NAME=FAT:FQL_AUDITING_CLIENT_TEMPLATE.FAT&amp;display_string=Audit&amp;VAR:KEY=GNGPKBQDUZ&amp;VAR:QUERY=UkdGX1RBWF9SQVRFKEFOTiwwLCwsLCwsTk9BVURJVCk=&amp;WINDOW=FIRST_POPUP&amp;HEIGHT=450&amp;WIDTH=450&amp;","START_MAXIMIZED=FALSE&amp;VAR:CALENDAR=US&amp;VAR:SYMBOL=TYPE&amp;VAR:INDEX=0"}</definedName>
    <definedName name="_3578__FDSAUDITLINK__" localSheetId="7" hidden="1">{"fdsup://directions/FAT Viewer?action=UPDATE&amp;creator=factset&amp;DYN_ARGS=TRUE&amp;DOC_NAME=FAT:FQL_AUDITING_CLIENT_TEMPLATE.FAT&amp;display_string=Audit&amp;VAR:KEY=GNGPKBQDUZ&amp;VAR:QUERY=UkdGX1RBWF9SQVRFKEFOTiwwLCwsLCwsTk9BVURJVCk=&amp;WINDOW=FIRST_POPUP&amp;HEIGHT=450&amp;WIDTH=450&amp;","START_MAXIMIZED=FALSE&amp;VAR:CALENDAR=US&amp;VAR:SYMBOL=TYPE&amp;VAR:INDEX=0"}</definedName>
    <definedName name="_3578__FDSAUDITLINK__" hidden="1">{"fdsup://directions/FAT Viewer?action=UPDATE&amp;creator=factset&amp;DYN_ARGS=TRUE&amp;DOC_NAME=FAT:FQL_AUDITING_CLIENT_TEMPLATE.FAT&amp;display_string=Audit&amp;VAR:KEY=GNGPKBQDUZ&amp;VAR:QUERY=UkdGX1RBWF9SQVRFKEFOTiwwLCwsLCwsTk9BVURJVCk=&amp;WINDOW=FIRST_POPUP&amp;HEIGHT=450&amp;WIDTH=450&amp;","START_MAXIMIZED=FALSE&amp;VAR:CALENDAR=US&amp;VAR:SYMBOL=TYPE&amp;VAR:INDEX=0"}</definedName>
    <definedName name="_3579__FDSAUDITLINK__" localSheetId="3" hidden="1">{"fdsup://directions/FAT Viewer?action=UPDATE&amp;creator=factset&amp;DYN_ARGS=TRUE&amp;DOC_NAME=FAT:FQL_AUDITING_CLIENT_TEMPLATE.FAT&amp;display_string=Audit&amp;VAR:KEY=GNGPKBQDUZ&amp;VAR:QUERY=UkdGX1RBWF9SQVRFKEFOTiwwLCwsLCwsTk9BVURJVCk=&amp;WINDOW=FIRST_POPUP&amp;HEIGHT=450&amp;WIDTH=450&amp;","START_MAXIMIZED=FALSE&amp;VAR:CALENDAR=US&amp;VAR:SYMBOL=TYPE&amp;VAR:INDEX=0"}</definedName>
    <definedName name="_3579__FDSAUDITLINK__" localSheetId="7" hidden="1">{"fdsup://directions/FAT Viewer?action=UPDATE&amp;creator=factset&amp;DYN_ARGS=TRUE&amp;DOC_NAME=FAT:FQL_AUDITING_CLIENT_TEMPLATE.FAT&amp;display_string=Audit&amp;VAR:KEY=GNGPKBQDUZ&amp;VAR:QUERY=UkdGX1RBWF9SQVRFKEFOTiwwLCwsLCwsTk9BVURJVCk=&amp;WINDOW=FIRST_POPUP&amp;HEIGHT=450&amp;WIDTH=450&amp;","START_MAXIMIZED=FALSE&amp;VAR:CALENDAR=US&amp;VAR:SYMBOL=TYPE&amp;VAR:INDEX=0"}</definedName>
    <definedName name="_3579__FDSAUDITLINK__" hidden="1">{"fdsup://directions/FAT Viewer?action=UPDATE&amp;creator=factset&amp;DYN_ARGS=TRUE&amp;DOC_NAME=FAT:FQL_AUDITING_CLIENT_TEMPLATE.FAT&amp;display_string=Audit&amp;VAR:KEY=GNGPKBQDUZ&amp;VAR:QUERY=UkdGX1RBWF9SQVRFKEFOTiwwLCwsLCwsTk9BVURJVCk=&amp;WINDOW=FIRST_POPUP&amp;HEIGHT=450&amp;WIDTH=450&amp;","START_MAXIMIZED=FALSE&amp;VAR:CALENDAR=US&amp;VAR:SYMBOL=TYPE&amp;VAR:INDEX=0"}</definedName>
    <definedName name="_358__FDSAUDITLINK__" localSheetId="3" hidden="1">{"fdsup://directions/FAT Viewer?action=UPDATE&amp;creator=factset&amp;DYN_ARGS=TRUE&amp;DOC_NAME=FAT:FQL_AUDITING_CLIENT_TEMPLATE.FAT&amp;display_string=Audit&amp;VAR:KEY=BAXYNUNOVM&amp;VAR:QUERY=UENUQ0hHKEZGX0RFQlQoQU5OLDAsLTksWSxSUCxMT0NBTCxNKSxGRl9ERUJUKEFOTiwwIC0gMSwtOSAtIDEsW","SxSUCxMT0NBTCxNKSk=&amp;WINDOW=FIRST_POPUP&amp;HEIGHT=450&amp;WIDTH=450&amp;START_MAXIMIZED=FALSE&amp;VAR:CALENDAR=US&amp;VAR:SYMBOL=B10LQP&amp;VAR:INDEX=1"}</definedName>
    <definedName name="_358__FDSAUDITLINK__" localSheetId="7" hidden="1">{"fdsup://directions/FAT Viewer?action=UPDATE&amp;creator=factset&amp;DYN_ARGS=TRUE&amp;DOC_NAME=FAT:FQL_AUDITING_CLIENT_TEMPLATE.FAT&amp;display_string=Audit&amp;VAR:KEY=BAXYNUNOVM&amp;VAR:QUERY=UENUQ0hHKEZGX0RFQlQoQU5OLDAsLTksWSxSUCxMT0NBTCxNKSxGRl9ERUJUKEFOTiwwIC0gMSwtOSAtIDEsW","SxSUCxMT0NBTCxNKSk=&amp;WINDOW=FIRST_POPUP&amp;HEIGHT=450&amp;WIDTH=450&amp;START_MAXIMIZED=FALSE&amp;VAR:CALENDAR=US&amp;VAR:SYMBOL=B10LQP&amp;VAR:INDEX=1"}</definedName>
    <definedName name="_358__FDSAUDITLINK__" hidden="1">{"fdsup://directions/FAT Viewer?action=UPDATE&amp;creator=factset&amp;DYN_ARGS=TRUE&amp;DOC_NAME=FAT:FQL_AUDITING_CLIENT_TEMPLATE.FAT&amp;display_string=Audit&amp;VAR:KEY=BAXYNUNOVM&amp;VAR:QUERY=UENUQ0hHKEZGX0RFQlQoQU5OLDAsLTksWSxSUCxMT0NBTCxNKSxGRl9ERUJUKEFOTiwwIC0gMSwtOSAtIDEsW","SxSUCxMT0NBTCxNKSk=&amp;WINDOW=FIRST_POPUP&amp;HEIGHT=450&amp;WIDTH=450&amp;START_MAXIMIZED=FALSE&amp;VAR:CALENDAR=US&amp;VAR:SYMBOL=B10LQP&amp;VAR:INDEX=1"}</definedName>
    <definedName name="_3580__FDSAUDITLINK__" localSheetId="3" hidden="1">{"fdsup://directions/FAT Viewer?action=UPDATE&amp;creator=factset&amp;DYN_ARGS=TRUE&amp;DOC_NAME=FAT:FQL_AUDITING_CLIENT_TEMPLATE.FAT&amp;display_string=Audit&amp;VAR:KEY=OFQDMRMBUB&amp;VAR:QUERY=UkdGX1RBWF9SQVRFKEFOTiwwLCwsLCwsTk9BVURJVCk=&amp;WINDOW=FIRST_POPUP&amp;HEIGHT=450&amp;WIDTH=450&amp;","START_MAXIMIZED=FALSE&amp;VAR:CALENDAR=US&amp;VAR:SYMBOL=TYL&amp;VAR:INDEX=0"}</definedName>
    <definedName name="_3580__FDSAUDITLINK__" localSheetId="7" hidden="1">{"fdsup://directions/FAT Viewer?action=UPDATE&amp;creator=factset&amp;DYN_ARGS=TRUE&amp;DOC_NAME=FAT:FQL_AUDITING_CLIENT_TEMPLATE.FAT&amp;display_string=Audit&amp;VAR:KEY=OFQDMRMBUB&amp;VAR:QUERY=UkdGX1RBWF9SQVRFKEFOTiwwLCwsLCwsTk9BVURJVCk=&amp;WINDOW=FIRST_POPUP&amp;HEIGHT=450&amp;WIDTH=450&amp;","START_MAXIMIZED=FALSE&amp;VAR:CALENDAR=US&amp;VAR:SYMBOL=TYL&amp;VAR:INDEX=0"}</definedName>
    <definedName name="_3580__FDSAUDITLINK__" hidden="1">{"fdsup://directions/FAT Viewer?action=UPDATE&amp;creator=factset&amp;DYN_ARGS=TRUE&amp;DOC_NAME=FAT:FQL_AUDITING_CLIENT_TEMPLATE.FAT&amp;display_string=Audit&amp;VAR:KEY=OFQDMRMBUB&amp;VAR:QUERY=UkdGX1RBWF9SQVRFKEFOTiwwLCwsLCwsTk9BVURJVCk=&amp;WINDOW=FIRST_POPUP&amp;HEIGHT=450&amp;WIDTH=450&amp;","START_MAXIMIZED=FALSE&amp;VAR:CALENDAR=US&amp;VAR:SYMBOL=TYL&amp;VAR:INDEX=0"}</definedName>
    <definedName name="_3581__FDSAUDITLINK__" localSheetId="3" hidden="1">{"fdsup://directions/FAT Viewer?action=UPDATE&amp;creator=factset&amp;DYN_ARGS=TRUE&amp;DOC_NAME=FAT:FQL_AUDITING_CLIENT_TEMPLATE.FAT&amp;display_string=Audit&amp;VAR:KEY=OFQDMRMBUB&amp;VAR:QUERY=UkdGX1RBWF9SQVRFKEFOTiwwLCwsLCwsTk9BVURJVCk=&amp;WINDOW=FIRST_POPUP&amp;HEIGHT=450&amp;WIDTH=450&amp;","START_MAXIMIZED=FALSE&amp;VAR:CALENDAR=US&amp;VAR:SYMBOL=TYL&amp;VAR:INDEX=0"}</definedName>
    <definedName name="_3581__FDSAUDITLINK__" localSheetId="7" hidden="1">{"fdsup://directions/FAT Viewer?action=UPDATE&amp;creator=factset&amp;DYN_ARGS=TRUE&amp;DOC_NAME=FAT:FQL_AUDITING_CLIENT_TEMPLATE.FAT&amp;display_string=Audit&amp;VAR:KEY=OFQDMRMBUB&amp;VAR:QUERY=UkdGX1RBWF9SQVRFKEFOTiwwLCwsLCwsTk9BVURJVCk=&amp;WINDOW=FIRST_POPUP&amp;HEIGHT=450&amp;WIDTH=450&amp;","START_MAXIMIZED=FALSE&amp;VAR:CALENDAR=US&amp;VAR:SYMBOL=TYL&amp;VAR:INDEX=0"}</definedName>
    <definedName name="_3581__FDSAUDITLINK__" hidden="1">{"fdsup://directions/FAT Viewer?action=UPDATE&amp;creator=factset&amp;DYN_ARGS=TRUE&amp;DOC_NAME=FAT:FQL_AUDITING_CLIENT_TEMPLATE.FAT&amp;display_string=Audit&amp;VAR:KEY=OFQDMRMBUB&amp;VAR:QUERY=UkdGX1RBWF9SQVRFKEFOTiwwLCwsLCwsTk9BVURJVCk=&amp;WINDOW=FIRST_POPUP&amp;HEIGHT=450&amp;WIDTH=450&amp;","START_MAXIMIZED=FALSE&amp;VAR:CALENDAR=US&amp;VAR:SYMBOL=TYL&amp;VAR:INDEX=0"}</definedName>
    <definedName name="_3582__FDSAUDITLINK__" localSheetId="3" hidden="1">{"fdsup://directions/FAT Viewer?action=UPDATE&amp;creator=factset&amp;DYN_ARGS=TRUE&amp;DOC_NAME=FAT:FQL_AUDITING_CLIENT_TEMPLATE.FAT&amp;display_string=Audit&amp;VAR:KEY=MBKRWTYBOR&amp;VAR:QUERY=UkdGX1RBWF9SQVRFKEFOTiwwLCwsLCwsTk9BVURJVCk=&amp;WINDOW=FIRST_POPUP&amp;HEIGHT=450&amp;WIDTH=450&amp;","START_MAXIMIZED=FALSE&amp;VAR:CALENDAR=US&amp;VAR:SYMBOL=612528&amp;VAR:INDEX=0"}</definedName>
    <definedName name="_3582__FDSAUDITLINK__" localSheetId="7" hidden="1">{"fdsup://directions/FAT Viewer?action=UPDATE&amp;creator=factset&amp;DYN_ARGS=TRUE&amp;DOC_NAME=FAT:FQL_AUDITING_CLIENT_TEMPLATE.FAT&amp;display_string=Audit&amp;VAR:KEY=MBKRWTYBOR&amp;VAR:QUERY=UkdGX1RBWF9SQVRFKEFOTiwwLCwsLCwsTk9BVURJVCk=&amp;WINDOW=FIRST_POPUP&amp;HEIGHT=450&amp;WIDTH=450&amp;","START_MAXIMIZED=FALSE&amp;VAR:CALENDAR=US&amp;VAR:SYMBOL=612528&amp;VAR:INDEX=0"}</definedName>
    <definedName name="_3582__FDSAUDITLINK__" hidden="1">{"fdsup://directions/FAT Viewer?action=UPDATE&amp;creator=factset&amp;DYN_ARGS=TRUE&amp;DOC_NAME=FAT:FQL_AUDITING_CLIENT_TEMPLATE.FAT&amp;display_string=Audit&amp;VAR:KEY=MBKRWTYBOR&amp;VAR:QUERY=UkdGX1RBWF9SQVRFKEFOTiwwLCwsLCwsTk9BVURJVCk=&amp;WINDOW=FIRST_POPUP&amp;HEIGHT=450&amp;WIDTH=450&amp;","START_MAXIMIZED=FALSE&amp;VAR:CALENDAR=US&amp;VAR:SYMBOL=612528&amp;VAR:INDEX=0"}</definedName>
    <definedName name="_3583__FDSAUDITLINK__" localSheetId="3" hidden="1">{"fdsup://directions/FAT Viewer?action=UPDATE&amp;creator=factset&amp;DYN_ARGS=TRUE&amp;DOC_NAME=FAT:FQL_AUDITING_CLIENT_TEMPLATE.FAT&amp;display_string=Audit&amp;VAR:KEY=MBKRWTYBOR&amp;VAR:QUERY=UkdGX1RBWF9SQVRFKEFOTiwwLCwsLCwsTk9BVURJVCk=&amp;WINDOW=FIRST_POPUP&amp;HEIGHT=450&amp;WIDTH=450&amp;","START_MAXIMIZED=FALSE&amp;VAR:CALENDAR=US&amp;VAR:SYMBOL=612528&amp;VAR:INDEX=0"}</definedName>
    <definedName name="_3583__FDSAUDITLINK__" localSheetId="7" hidden="1">{"fdsup://directions/FAT Viewer?action=UPDATE&amp;creator=factset&amp;DYN_ARGS=TRUE&amp;DOC_NAME=FAT:FQL_AUDITING_CLIENT_TEMPLATE.FAT&amp;display_string=Audit&amp;VAR:KEY=MBKRWTYBOR&amp;VAR:QUERY=UkdGX1RBWF9SQVRFKEFOTiwwLCwsLCwsTk9BVURJVCk=&amp;WINDOW=FIRST_POPUP&amp;HEIGHT=450&amp;WIDTH=450&amp;","START_MAXIMIZED=FALSE&amp;VAR:CALENDAR=US&amp;VAR:SYMBOL=612528&amp;VAR:INDEX=0"}</definedName>
    <definedName name="_3583__FDSAUDITLINK__" hidden="1">{"fdsup://directions/FAT Viewer?action=UPDATE&amp;creator=factset&amp;DYN_ARGS=TRUE&amp;DOC_NAME=FAT:FQL_AUDITING_CLIENT_TEMPLATE.FAT&amp;display_string=Audit&amp;VAR:KEY=MBKRWTYBOR&amp;VAR:QUERY=UkdGX1RBWF9SQVRFKEFOTiwwLCwsLCwsTk9BVURJVCk=&amp;WINDOW=FIRST_POPUP&amp;HEIGHT=450&amp;WIDTH=450&amp;","START_MAXIMIZED=FALSE&amp;VAR:CALENDAR=US&amp;VAR:SYMBOL=612528&amp;VAR:INDEX=0"}</definedName>
    <definedName name="_3584__FDSAUDITLINK__" localSheetId="3" hidden="1">{"fdsup://directions/FAT Viewer?action=UPDATE&amp;creator=factset&amp;DYN_ARGS=TRUE&amp;DOC_NAME=FAT:FQL_AUDITING_CLIENT_TEMPLATE.FAT&amp;display_string=Audit&amp;VAR:KEY=CNSNGZCPCD&amp;VAR:QUERY=UkdGX1RBWF9SQVRFKEFOTiwwLCwsLCwsTk9BVURJVCk=&amp;WINDOW=FIRST_POPUP&amp;HEIGHT=450&amp;WIDTH=450&amp;","START_MAXIMIZED=FALSE&amp;VAR:CALENDAR=US&amp;VAR:SYMBOL=B10LQP&amp;VAR:INDEX=0"}</definedName>
    <definedName name="_3584__FDSAUDITLINK__" localSheetId="7" hidden="1">{"fdsup://directions/FAT Viewer?action=UPDATE&amp;creator=factset&amp;DYN_ARGS=TRUE&amp;DOC_NAME=FAT:FQL_AUDITING_CLIENT_TEMPLATE.FAT&amp;display_string=Audit&amp;VAR:KEY=CNSNGZCPCD&amp;VAR:QUERY=UkdGX1RBWF9SQVRFKEFOTiwwLCwsLCwsTk9BVURJVCk=&amp;WINDOW=FIRST_POPUP&amp;HEIGHT=450&amp;WIDTH=450&amp;","START_MAXIMIZED=FALSE&amp;VAR:CALENDAR=US&amp;VAR:SYMBOL=B10LQP&amp;VAR:INDEX=0"}</definedName>
    <definedName name="_3584__FDSAUDITLINK__" hidden="1">{"fdsup://directions/FAT Viewer?action=UPDATE&amp;creator=factset&amp;DYN_ARGS=TRUE&amp;DOC_NAME=FAT:FQL_AUDITING_CLIENT_TEMPLATE.FAT&amp;display_string=Audit&amp;VAR:KEY=CNSNGZCPCD&amp;VAR:QUERY=UkdGX1RBWF9SQVRFKEFOTiwwLCwsLCwsTk9BVURJVCk=&amp;WINDOW=FIRST_POPUP&amp;HEIGHT=450&amp;WIDTH=450&amp;","START_MAXIMIZED=FALSE&amp;VAR:CALENDAR=US&amp;VAR:SYMBOL=B10LQP&amp;VAR:INDEX=0"}</definedName>
    <definedName name="_3585__FDSAUDITLINK__" localSheetId="3" hidden="1">{"fdsup://directions/FAT Viewer?action=UPDATE&amp;creator=factset&amp;DYN_ARGS=TRUE&amp;DOC_NAME=FAT:FQL_AUDITING_CLIENT_TEMPLATE.FAT&amp;display_string=Audit&amp;VAR:KEY=CNSNGZCPCD&amp;VAR:QUERY=UkdGX1RBWF9SQVRFKEFOTiwwLCwsLCwsTk9BVURJVCk=&amp;WINDOW=FIRST_POPUP&amp;HEIGHT=450&amp;WIDTH=450&amp;","START_MAXIMIZED=FALSE&amp;VAR:CALENDAR=US&amp;VAR:SYMBOL=B10LQP&amp;VAR:INDEX=0"}</definedName>
    <definedName name="_3585__FDSAUDITLINK__" localSheetId="7" hidden="1">{"fdsup://directions/FAT Viewer?action=UPDATE&amp;creator=factset&amp;DYN_ARGS=TRUE&amp;DOC_NAME=FAT:FQL_AUDITING_CLIENT_TEMPLATE.FAT&amp;display_string=Audit&amp;VAR:KEY=CNSNGZCPCD&amp;VAR:QUERY=UkdGX1RBWF9SQVRFKEFOTiwwLCwsLCwsTk9BVURJVCk=&amp;WINDOW=FIRST_POPUP&amp;HEIGHT=450&amp;WIDTH=450&amp;","START_MAXIMIZED=FALSE&amp;VAR:CALENDAR=US&amp;VAR:SYMBOL=B10LQP&amp;VAR:INDEX=0"}</definedName>
    <definedName name="_3585__FDSAUDITLINK__" hidden="1">{"fdsup://directions/FAT Viewer?action=UPDATE&amp;creator=factset&amp;DYN_ARGS=TRUE&amp;DOC_NAME=FAT:FQL_AUDITING_CLIENT_TEMPLATE.FAT&amp;display_string=Audit&amp;VAR:KEY=CNSNGZCPCD&amp;VAR:QUERY=UkdGX1RBWF9SQVRFKEFOTiwwLCwsLCwsTk9BVURJVCk=&amp;WINDOW=FIRST_POPUP&amp;HEIGHT=450&amp;WIDTH=450&amp;","START_MAXIMIZED=FALSE&amp;VAR:CALENDAR=US&amp;VAR:SYMBOL=B10LQP&amp;VAR:INDEX=0"}</definedName>
    <definedName name="_3586__FDSAUDITLINK__" localSheetId="3" hidden="1">{"fdsup://directions/FAT Viewer?action=UPDATE&amp;creator=factset&amp;DYN_ARGS=TRUE&amp;DOC_NAME=FAT:FQL_AUDITING_CLIENT_TEMPLATE.FAT&amp;display_string=Audit&amp;VAR:KEY=ETOBYPYBMR&amp;VAR:QUERY=UkdGX1RBWF9SQVRFKEFOTiwwLCwsLCwsTk9BVURJVCk=&amp;WINDOW=FIRST_POPUP&amp;HEIGHT=450&amp;WIDTH=450&amp;","START_MAXIMIZED=FALSE&amp;VAR:CALENDAR=US&amp;VAR:SYMBOL=TNS&amp;VAR:INDEX=0"}</definedName>
    <definedName name="_3586__FDSAUDITLINK__" localSheetId="7" hidden="1">{"fdsup://directions/FAT Viewer?action=UPDATE&amp;creator=factset&amp;DYN_ARGS=TRUE&amp;DOC_NAME=FAT:FQL_AUDITING_CLIENT_TEMPLATE.FAT&amp;display_string=Audit&amp;VAR:KEY=ETOBYPYBMR&amp;VAR:QUERY=UkdGX1RBWF9SQVRFKEFOTiwwLCwsLCwsTk9BVURJVCk=&amp;WINDOW=FIRST_POPUP&amp;HEIGHT=450&amp;WIDTH=450&amp;","START_MAXIMIZED=FALSE&amp;VAR:CALENDAR=US&amp;VAR:SYMBOL=TNS&amp;VAR:INDEX=0"}</definedName>
    <definedName name="_3586__FDSAUDITLINK__" hidden="1">{"fdsup://directions/FAT Viewer?action=UPDATE&amp;creator=factset&amp;DYN_ARGS=TRUE&amp;DOC_NAME=FAT:FQL_AUDITING_CLIENT_TEMPLATE.FAT&amp;display_string=Audit&amp;VAR:KEY=ETOBYPYBMR&amp;VAR:QUERY=UkdGX1RBWF9SQVRFKEFOTiwwLCwsLCwsTk9BVURJVCk=&amp;WINDOW=FIRST_POPUP&amp;HEIGHT=450&amp;WIDTH=450&amp;","START_MAXIMIZED=FALSE&amp;VAR:CALENDAR=US&amp;VAR:SYMBOL=TNS&amp;VAR:INDEX=0"}</definedName>
    <definedName name="_3587__FDSAUDITLINK__" localSheetId="3" hidden="1">{"fdsup://directions/FAT Viewer?action=UPDATE&amp;creator=factset&amp;DYN_ARGS=TRUE&amp;DOC_NAME=FAT:FQL_AUDITING_CLIENT_TEMPLATE.FAT&amp;display_string=Audit&amp;VAR:KEY=ETOBYPYBMR&amp;VAR:QUERY=UkdGX1RBWF9SQVRFKEFOTiwwLCwsLCwsTk9BVURJVCk=&amp;WINDOW=FIRST_POPUP&amp;HEIGHT=450&amp;WIDTH=450&amp;","START_MAXIMIZED=FALSE&amp;VAR:CALENDAR=US&amp;VAR:SYMBOL=TNS&amp;VAR:INDEX=0"}</definedName>
    <definedName name="_3587__FDSAUDITLINK__" localSheetId="7" hidden="1">{"fdsup://directions/FAT Viewer?action=UPDATE&amp;creator=factset&amp;DYN_ARGS=TRUE&amp;DOC_NAME=FAT:FQL_AUDITING_CLIENT_TEMPLATE.FAT&amp;display_string=Audit&amp;VAR:KEY=ETOBYPYBMR&amp;VAR:QUERY=UkdGX1RBWF9SQVRFKEFOTiwwLCwsLCwsTk9BVURJVCk=&amp;WINDOW=FIRST_POPUP&amp;HEIGHT=450&amp;WIDTH=450&amp;","START_MAXIMIZED=FALSE&amp;VAR:CALENDAR=US&amp;VAR:SYMBOL=TNS&amp;VAR:INDEX=0"}</definedName>
    <definedName name="_3587__FDSAUDITLINK__" hidden="1">{"fdsup://directions/FAT Viewer?action=UPDATE&amp;creator=factset&amp;DYN_ARGS=TRUE&amp;DOC_NAME=FAT:FQL_AUDITING_CLIENT_TEMPLATE.FAT&amp;display_string=Audit&amp;VAR:KEY=ETOBYPYBMR&amp;VAR:QUERY=UkdGX1RBWF9SQVRFKEFOTiwwLCwsLCwsTk9BVURJVCk=&amp;WINDOW=FIRST_POPUP&amp;HEIGHT=450&amp;WIDTH=450&amp;","START_MAXIMIZED=FALSE&amp;VAR:CALENDAR=US&amp;VAR:SYMBOL=TNS&amp;VAR:INDEX=0"}</definedName>
    <definedName name="_3588__FDSAUDITLINK__" localSheetId="3" hidden="1">{"fdsup://directions/FAT Viewer?action=UPDATE&amp;creator=factset&amp;DYN_ARGS=TRUE&amp;DOC_NAME=FAT:FQL_AUDITING_CLIENT_TEMPLATE.FAT&amp;display_string=Audit&amp;VAR:KEY=QNYDWNKRUJ&amp;VAR:QUERY=UkdGX1RBWF9SQVRFKEFOTiwwLCwsLCwsTk9BVURJVCk=&amp;WINDOW=FIRST_POPUP&amp;HEIGHT=450&amp;WIDTH=450&amp;","START_MAXIMIZED=FALSE&amp;VAR:CALENDAR=US&amp;VAR:SYMBOL=TIBX&amp;VAR:INDEX=0"}</definedName>
    <definedName name="_3588__FDSAUDITLINK__" localSheetId="7" hidden="1">{"fdsup://directions/FAT Viewer?action=UPDATE&amp;creator=factset&amp;DYN_ARGS=TRUE&amp;DOC_NAME=FAT:FQL_AUDITING_CLIENT_TEMPLATE.FAT&amp;display_string=Audit&amp;VAR:KEY=QNYDWNKRUJ&amp;VAR:QUERY=UkdGX1RBWF9SQVRFKEFOTiwwLCwsLCwsTk9BVURJVCk=&amp;WINDOW=FIRST_POPUP&amp;HEIGHT=450&amp;WIDTH=450&amp;","START_MAXIMIZED=FALSE&amp;VAR:CALENDAR=US&amp;VAR:SYMBOL=TIBX&amp;VAR:INDEX=0"}</definedName>
    <definedName name="_3588__FDSAUDITLINK__" hidden="1">{"fdsup://directions/FAT Viewer?action=UPDATE&amp;creator=factset&amp;DYN_ARGS=TRUE&amp;DOC_NAME=FAT:FQL_AUDITING_CLIENT_TEMPLATE.FAT&amp;display_string=Audit&amp;VAR:KEY=QNYDWNKRUJ&amp;VAR:QUERY=UkdGX1RBWF9SQVRFKEFOTiwwLCwsLCwsTk9BVURJVCk=&amp;WINDOW=FIRST_POPUP&amp;HEIGHT=450&amp;WIDTH=450&amp;","START_MAXIMIZED=FALSE&amp;VAR:CALENDAR=US&amp;VAR:SYMBOL=TIBX&amp;VAR:INDEX=0"}</definedName>
    <definedName name="_3589__FDSAUDITLINK__" localSheetId="3" hidden="1">{"fdsup://directions/FAT Viewer?action=UPDATE&amp;creator=factset&amp;DYN_ARGS=TRUE&amp;DOC_NAME=FAT:FQL_AUDITING_CLIENT_TEMPLATE.FAT&amp;display_string=Audit&amp;VAR:KEY=QNYDWNKRUJ&amp;VAR:QUERY=UkdGX1RBWF9SQVRFKEFOTiwwLCwsLCwsTk9BVURJVCk=&amp;WINDOW=FIRST_POPUP&amp;HEIGHT=450&amp;WIDTH=450&amp;","START_MAXIMIZED=FALSE&amp;VAR:CALENDAR=US&amp;VAR:SYMBOL=TIBX&amp;VAR:INDEX=0"}</definedName>
    <definedName name="_3589__FDSAUDITLINK__" localSheetId="7" hidden="1">{"fdsup://directions/FAT Viewer?action=UPDATE&amp;creator=factset&amp;DYN_ARGS=TRUE&amp;DOC_NAME=FAT:FQL_AUDITING_CLIENT_TEMPLATE.FAT&amp;display_string=Audit&amp;VAR:KEY=QNYDWNKRUJ&amp;VAR:QUERY=UkdGX1RBWF9SQVRFKEFOTiwwLCwsLCwsTk9BVURJVCk=&amp;WINDOW=FIRST_POPUP&amp;HEIGHT=450&amp;WIDTH=450&amp;","START_MAXIMIZED=FALSE&amp;VAR:CALENDAR=US&amp;VAR:SYMBOL=TIBX&amp;VAR:INDEX=0"}</definedName>
    <definedName name="_3589__FDSAUDITLINK__" hidden="1">{"fdsup://directions/FAT Viewer?action=UPDATE&amp;creator=factset&amp;DYN_ARGS=TRUE&amp;DOC_NAME=FAT:FQL_AUDITING_CLIENT_TEMPLATE.FAT&amp;display_string=Audit&amp;VAR:KEY=QNYDWNKRUJ&amp;VAR:QUERY=UkdGX1RBWF9SQVRFKEFOTiwwLCwsLCwsTk9BVURJVCk=&amp;WINDOW=FIRST_POPUP&amp;HEIGHT=450&amp;WIDTH=450&amp;","START_MAXIMIZED=FALSE&amp;VAR:CALENDAR=US&amp;VAR:SYMBOL=TIBX&amp;VAR:INDEX=0"}</definedName>
    <definedName name="_359__FDSAUDITLINK__" localSheetId="3" hidden="1">{"fdsup://directions/FAT Viewer?action=UPDATE&amp;creator=factset&amp;DYN_ARGS=TRUE&amp;DOC_NAME=FAT:FQL_AUDITING_CLIENT_TEMPLATE.FAT&amp;display_string=Audit&amp;VAR:KEY=DQJUVMXWNE&amp;VAR:QUERY=RkZfUk9FKEFOTiwwLC05LFksUlAp&amp;WINDOW=FIRST_POPUP&amp;HEIGHT=450&amp;WIDTH=450&amp;START_MAXIMIZED=","FALSE&amp;VAR:CALENDAR=US&amp;VAR:SYMBOL=B10LQP&amp;VAR:INDEX=0"}</definedName>
    <definedName name="_359__FDSAUDITLINK__" localSheetId="7" hidden="1">{"fdsup://directions/FAT Viewer?action=UPDATE&amp;creator=factset&amp;DYN_ARGS=TRUE&amp;DOC_NAME=FAT:FQL_AUDITING_CLIENT_TEMPLATE.FAT&amp;display_string=Audit&amp;VAR:KEY=DQJUVMXWNE&amp;VAR:QUERY=RkZfUk9FKEFOTiwwLC05LFksUlAp&amp;WINDOW=FIRST_POPUP&amp;HEIGHT=450&amp;WIDTH=450&amp;START_MAXIMIZED=","FALSE&amp;VAR:CALENDAR=US&amp;VAR:SYMBOL=B10LQP&amp;VAR:INDEX=0"}</definedName>
    <definedName name="_359__FDSAUDITLINK__" hidden="1">{"fdsup://directions/FAT Viewer?action=UPDATE&amp;creator=factset&amp;DYN_ARGS=TRUE&amp;DOC_NAME=FAT:FQL_AUDITING_CLIENT_TEMPLATE.FAT&amp;display_string=Audit&amp;VAR:KEY=DQJUVMXWNE&amp;VAR:QUERY=RkZfUk9FKEFOTiwwLC05LFksUlAp&amp;WINDOW=FIRST_POPUP&amp;HEIGHT=450&amp;WIDTH=450&amp;START_MAXIMIZED=","FALSE&amp;VAR:CALENDAR=US&amp;VAR:SYMBOL=B10LQP&amp;VAR:INDEX=0"}</definedName>
    <definedName name="_3590__FDSAUDITLINK__" localSheetId="3" hidden="1">{"fdsup://directions/FAT Viewer?action=UPDATE&amp;creator=factset&amp;DYN_ARGS=TRUE&amp;DOC_NAME=FAT:FQL_AUDITING_CLIENT_TEMPLATE.FAT&amp;display_string=Audit&amp;VAR:KEY=GZAJARSTOR&amp;VAR:QUERY=UkdGX1RBWF9SQVRFKEFOTiwwLCwsLCwsTk9BVURJVCk=&amp;WINDOW=FIRST_POPUP&amp;HEIGHT=450&amp;WIDTH=450&amp;","START_MAXIMIZED=FALSE&amp;VAR:CALENDAR=US&amp;VAR:SYMBOL=TDC&amp;VAR:INDEX=0"}</definedName>
    <definedName name="_3590__FDSAUDITLINK__" localSheetId="7" hidden="1">{"fdsup://directions/FAT Viewer?action=UPDATE&amp;creator=factset&amp;DYN_ARGS=TRUE&amp;DOC_NAME=FAT:FQL_AUDITING_CLIENT_TEMPLATE.FAT&amp;display_string=Audit&amp;VAR:KEY=GZAJARSTOR&amp;VAR:QUERY=UkdGX1RBWF9SQVRFKEFOTiwwLCwsLCwsTk9BVURJVCk=&amp;WINDOW=FIRST_POPUP&amp;HEIGHT=450&amp;WIDTH=450&amp;","START_MAXIMIZED=FALSE&amp;VAR:CALENDAR=US&amp;VAR:SYMBOL=TDC&amp;VAR:INDEX=0"}</definedName>
    <definedName name="_3590__FDSAUDITLINK__" hidden="1">{"fdsup://directions/FAT Viewer?action=UPDATE&amp;creator=factset&amp;DYN_ARGS=TRUE&amp;DOC_NAME=FAT:FQL_AUDITING_CLIENT_TEMPLATE.FAT&amp;display_string=Audit&amp;VAR:KEY=GZAJARSTOR&amp;VAR:QUERY=UkdGX1RBWF9SQVRFKEFOTiwwLCwsLCwsTk9BVURJVCk=&amp;WINDOW=FIRST_POPUP&amp;HEIGHT=450&amp;WIDTH=450&amp;","START_MAXIMIZED=FALSE&amp;VAR:CALENDAR=US&amp;VAR:SYMBOL=TDC&amp;VAR:INDEX=0"}</definedName>
    <definedName name="_3591__FDSAUDITLINK__" localSheetId="3" hidden="1">{"fdsup://directions/FAT Viewer?action=UPDATE&amp;creator=factset&amp;DYN_ARGS=TRUE&amp;DOC_NAME=FAT:FQL_AUDITING_CLIENT_TEMPLATE.FAT&amp;display_string=Audit&amp;VAR:KEY=GZAJARSTOR&amp;VAR:QUERY=UkdGX1RBWF9SQVRFKEFOTiwwLCwsLCwsTk9BVURJVCk=&amp;WINDOW=FIRST_POPUP&amp;HEIGHT=450&amp;WIDTH=450&amp;","START_MAXIMIZED=FALSE&amp;VAR:CALENDAR=US&amp;VAR:SYMBOL=TDC&amp;VAR:INDEX=0"}</definedName>
    <definedName name="_3591__FDSAUDITLINK__" localSheetId="7" hidden="1">{"fdsup://directions/FAT Viewer?action=UPDATE&amp;creator=factset&amp;DYN_ARGS=TRUE&amp;DOC_NAME=FAT:FQL_AUDITING_CLIENT_TEMPLATE.FAT&amp;display_string=Audit&amp;VAR:KEY=GZAJARSTOR&amp;VAR:QUERY=UkdGX1RBWF9SQVRFKEFOTiwwLCwsLCwsTk9BVURJVCk=&amp;WINDOW=FIRST_POPUP&amp;HEIGHT=450&amp;WIDTH=450&amp;","START_MAXIMIZED=FALSE&amp;VAR:CALENDAR=US&amp;VAR:SYMBOL=TDC&amp;VAR:INDEX=0"}</definedName>
    <definedName name="_3591__FDSAUDITLINK__" hidden="1">{"fdsup://directions/FAT Viewer?action=UPDATE&amp;creator=factset&amp;DYN_ARGS=TRUE&amp;DOC_NAME=FAT:FQL_AUDITING_CLIENT_TEMPLATE.FAT&amp;display_string=Audit&amp;VAR:KEY=GZAJARSTOR&amp;VAR:QUERY=UkdGX1RBWF9SQVRFKEFOTiwwLCwsLCwsTk9BVURJVCk=&amp;WINDOW=FIRST_POPUP&amp;HEIGHT=450&amp;WIDTH=450&amp;","START_MAXIMIZED=FALSE&amp;VAR:CALENDAR=US&amp;VAR:SYMBOL=TDC&amp;VAR:INDEX=0"}</definedName>
    <definedName name="_3592__FDSAUDITLINK__" localSheetId="3" hidden="1">{"fdsup://directions/FAT Viewer?action=UPDATE&amp;creator=factset&amp;DYN_ARGS=TRUE&amp;DOC_NAME=FAT:FQL_AUDITING_CLIENT_TEMPLATE.FAT&amp;display_string=Audit&amp;VAR:KEY=WHWXWZKNAD&amp;VAR:QUERY=UkdGX1RBWF9SQVRFKEFOTiwwLCwsLCwsTk9BVURJVCk=&amp;WINDOW=FIRST_POPUP&amp;HEIGHT=450&amp;WIDTH=450&amp;","START_MAXIMIZED=FALSE&amp;VAR:CALENDAR=US&amp;VAR:SYMBOL=597791&amp;VAR:INDEX=0"}</definedName>
    <definedName name="_3592__FDSAUDITLINK__" localSheetId="7" hidden="1">{"fdsup://directions/FAT Viewer?action=UPDATE&amp;creator=factset&amp;DYN_ARGS=TRUE&amp;DOC_NAME=FAT:FQL_AUDITING_CLIENT_TEMPLATE.FAT&amp;display_string=Audit&amp;VAR:KEY=WHWXWZKNAD&amp;VAR:QUERY=UkdGX1RBWF9SQVRFKEFOTiwwLCwsLCwsTk9BVURJVCk=&amp;WINDOW=FIRST_POPUP&amp;HEIGHT=450&amp;WIDTH=450&amp;","START_MAXIMIZED=FALSE&amp;VAR:CALENDAR=US&amp;VAR:SYMBOL=597791&amp;VAR:INDEX=0"}</definedName>
    <definedName name="_3592__FDSAUDITLINK__" hidden="1">{"fdsup://directions/FAT Viewer?action=UPDATE&amp;creator=factset&amp;DYN_ARGS=TRUE&amp;DOC_NAME=FAT:FQL_AUDITING_CLIENT_TEMPLATE.FAT&amp;display_string=Audit&amp;VAR:KEY=WHWXWZKNAD&amp;VAR:QUERY=UkdGX1RBWF9SQVRFKEFOTiwwLCwsLCwsTk9BVURJVCk=&amp;WINDOW=FIRST_POPUP&amp;HEIGHT=450&amp;WIDTH=450&amp;","START_MAXIMIZED=FALSE&amp;VAR:CALENDAR=US&amp;VAR:SYMBOL=597791&amp;VAR:INDEX=0"}</definedName>
    <definedName name="_3593__FDSAUDITLINK__" localSheetId="3" hidden="1">{"fdsup://directions/FAT Viewer?action=UPDATE&amp;creator=factset&amp;DYN_ARGS=TRUE&amp;DOC_NAME=FAT:FQL_AUDITING_CLIENT_TEMPLATE.FAT&amp;display_string=Audit&amp;VAR:KEY=WHWXWZKNAD&amp;VAR:QUERY=UkdGX1RBWF9SQVRFKEFOTiwwLCwsLCwsTk9BVURJVCk=&amp;WINDOW=FIRST_POPUP&amp;HEIGHT=450&amp;WIDTH=450&amp;","START_MAXIMIZED=FALSE&amp;VAR:CALENDAR=US&amp;VAR:SYMBOL=597791&amp;VAR:INDEX=0"}</definedName>
    <definedName name="_3593__FDSAUDITLINK__" localSheetId="7" hidden="1">{"fdsup://directions/FAT Viewer?action=UPDATE&amp;creator=factset&amp;DYN_ARGS=TRUE&amp;DOC_NAME=FAT:FQL_AUDITING_CLIENT_TEMPLATE.FAT&amp;display_string=Audit&amp;VAR:KEY=WHWXWZKNAD&amp;VAR:QUERY=UkdGX1RBWF9SQVRFKEFOTiwwLCwsLCwsTk9BVURJVCk=&amp;WINDOW=FIRST_POPUP&amp;HEIGHT=450&amp;WIDTH=450&amp;","START_MAXIMIZED=FALSE&amp;VAR:CALENDAR=US&amp;VAR:SYMBOL=597791&amp;VAR:INDEX=0"}</definedName>
    <definedName name="_3593__FDSAUDITLINK__" hidden="1">{"fdsup://directions/FAT Viewer?action=UPDATE&amp;creator=factset&amp;DYN_ARGS=TRUE&amp;DOC_NAME=FAT:FQL_AUDITING_CLIENT_TEMPLATE.FAT&amp;display_string=Audit&amp;VAR:KEY=WHWXWZKNAD&amp;VAR:QUERY=UkdGX1RBWF9SQVRFKEFOTiwwLCwsLCwsTk9BVURJVCk=&amp;WINDOW=FIRST_POPUP&amp;HEIGHT=450&amp;WIDTH=450&amp;","START_MAXIMIZED=FALSE&amp;VAR:CALENDAR=US&amp;VAR:SYMBOL=597791&amp;VAR:INDEX=0"}</definedName>
    <definedName name="_3594__FDSAUDITLINK__" localSheetId="3" hidden="1">{"fdsup://directions/FAT Viewer?action=UPDATE&amp;creator=factset&amp;DYN_ARGS=TRUE&amp;DOC_NAME=FAT:FQL_AUDITING_CLIENT_TEMPLATE.FAT&amp;display_string=Audit&amp;VAR:KEY=SLEJMZYLKR&amp;VAR:QUERY=UkdGX1RBWF9SQVRFKEFOTiwwLCwsLCwsTk9BVURJVCk=&amp;WINDOW=FIRST_POPUP&amp;HEIGHT=450&amp;WIDTH=450&amp;","START_MAXIMIZED=FALSE&amp;VAR:CALENDAR=US&amp;VAR:SYMBOL=B01CT3&amp;VAR:INDEX=0"}</definedName>
    <definedName name="_3594__FDSAUDITLINK__" localSheetId="7" hidden="1">{"fdsup://directions/FAT Viewer?action=UPDATE&amp;creator=factset&amp;DYN_ARGS=TRUE&amp;DOC_NAME=FAT:FQL_AUDITING_CLIENT_TEMPLATE.FAT&amp;display_string=Audit&amp;VAR:KEY=SLEJMZYLKR&amp;VAR:QUERY=UkdGX1RBWF9SQVRFKEFOTiwwLCwsLCwsTk9BVURJVCk=&amp;WINDOW=FIRST_POPUP&amp;HEIGHT=450&amp;WIDTH=450&amp;","START_MAXIMIZED=FALSE&amp;VAR:CALENDAR=US&amp;VAR:SYMBOL=B01CT3&amp;VAR:INDEX=0"}</definedName>
    <definedName name="_3594__FDSAUDITLINK__" hidden="1">{"fdsup://directions/FAT Viewer?action=UPDATE&amp;creator=factset&amp;DYN_ARGS=TRUE&amp;DOC_NAME=FAT:FQL_AUDITING_CLIENT_TEMPLATE.FAT&amp;display_string=Audit&amp;VAR:KEY=SLEJMZYLKR&amp;VAR:QUERY=UkdGX1RBWF9SQVRFKEFOTiwwLCwsLCwsTk9BVURJVCk=&amp;WINDOW=FIRST_POPUP&amp;HEIGHT=450&amp;WIDTH=450&amp;","START_MAXIMIZED=FALSE&amp;VAR:CALENDAR=US&amp;VAR:SYMBOL=B01CT3&amp;VAR:INDEX=0"}</definedName>
    <definedName name="_3595__FDSAUDITLINK__" localSheetId="3" hidden="1">{"fdsup://directions/FAT Viewer?action=UPDATE&amp;creator=factset&amp;DYN_ARGS=TRUE&amp;DOC_NAME=FAT:FQL_AUDITING_CLIENT_TEMPLATE.FAT&amp;display_string=Audit&amp;VAR:KEY=SLEJMZYLKR&amp;VAR:QUERY=UkdGX1RBWF9SQVRFKEFOTiwwLCwsLCwsTk9BVURJVCk=&amp;WINDOW=FIRST_POPUP&amp;HEIGHT=450&amp;WIDTH=450&amp;","START_MAXIMIZED=FALSE&amp;VAR:CALENDAR=US&amp;VAR:SYMBOL=B01CT3&amp;VAR:INDEX=0"}</definedName>
    <definedName name="_3595__FDSAUDITLINK__" localSheetId="7" hidden="1">{"fdsup://directions/FAT Viewer?action=UPDATE&amp;creator=factset&amp;DYN_ARGS=TRUE&amp;DOC_NAME=FAT:FQL_AUDITING_CLIENT_TEMPLATE.FAT&amp;display_string=Audit&amp;VAR:KEY=SLEJMZYLKR&amp;VAR:QUERY=UkdGX1RBWF9SQVRFKEFOTiwwLCwsLCwsTk9BVURJVCk=&amp;WINDOW=FIRST_POPUP&amp;HEIGHT=450&amp;WIDTH=450&amp;","START_MAXIMIZED=FALSE&amp;VAR:CALENDAR=US&amp;VAR:SYMBOL=B01CT3&amp;VAR:INDEX=0"}</definedName>
    <definedName name="_3595__FDSAUDITLINK__" hidden="1">{"fdsup://directions/FAT Viewer?action=UPDATE&amp;creator=factset&amp;DYN_ARGS=TRUE&amp;DOC_NAME=FAT:FQL_AUDITING_CLIENT_TEMPLATE.FAT&amp;display_string=Audit&amp;VAR:KEY=SLEJMZYLKR&amp;VAR:QUERY=UkdGX1RBWF9SQVRFKEFOTiwwLCwsLCwsTk9BVURJVCk=&amp;WINDOW=FIRST_POPUP&amp;HEIGHT=450&amp;WIDTH=450&amp;","START_MAXIMIZED=FALSE&amp;VAR:CALENDAR=US&amp;VAR:SYMBOL=B01CT3&amp;VAR:INDEX=0"}</definedName>
    <definedName name="_3596__FDSAUDITLINK__" localSheetId="3" hidden="1">{"fdsup://directions/FAT Viewer?action=UPDATE&amp;creator=factset&amp;DYN_ARGS=TRUE&amp;DOC_NAME=FAT:FQL_AUDITING_CLIENT_TEMPLATE.FAT&amp;display_string=Audit&amp;VAR:KEY=IVITWLMREX&amp;VAR:QUERY=UkdGX1RBWF9SQVRFKEFOTiwwLCwsLCwsTk9BVURJVCk=&amp;WINDOW=FIRST_POPUP&amp;HEIGHT=450&amp;WIDTH=450&amp;","START_MAXIMIZED=FALSE&amp;VAR:CALENDAR=US&amp;VAR:SYMBOL=TNAV&amp;VAR:INDEX=0"}</definedName>
    <definedName name="_3596__FDSAUDITLINK__" localSheetId="7" hidden="1">{"fdsup://directions/FAT Viewer?action=UPDATE&amp;creator=factset&amp;DYN_ARGS=TRUE&amp;DOC_NAME=FAT:FQL_AUDITING_CLIENT_TEMPLATE.FAT&amp;display_string=Audit&amp;VAR:KEY=IVITWLMREX&amp;VAR:QUERY=UkdGX1RBWF9SQVRFKEFOTiwwLCwsLCwsTk9BVURJVCk=&amp;WINDOW=FIRST_POPUP&amp;HEIGHT=450&amp;WIDTH=450&amp;","START_MAXIMIZED=FALSE&amp;VAR:CALENDAR=US&amp;VAR:SYMBOL=TNAV&amp;VAR:INDEX=0"}</definedName>
    <definedName name="_3596__FDSAUDITLINK__" hidden="1">{"fdsup://directions/FAT Viewer?action=UPDATE&amp;creator=factset&amp;DYN_ARGS=TRUE&amp;DOC_NAME=FAT:FQL_AUDITING_CLIENT_TEMPLATE.FAT&amp;display_string=Audit&amp;VAR:KEY=IVITWLMREX&amp;VAR:QUERY=UkdGX1RBWF9SQVRFKEFOTiwwLCwsLCwsTk9BVURJVCk=&amp;WINDOW=FIRST_POPUP&amp;HEIGHT=450&amp;WIDTH=450&amp;","START_MAXIMIZED=FALSE&amp;VAR:CALENDAR=US&amp;VAR:SYMBOL=TNAV&amp;VAR:INDEX=0"}</definedName>
    <definedName name="_3597__FDSAUDITLINK__" localSheetId="3" hidden="1">{"fdsup://directions/FAT Viewer?action=UPDATE&amp;creator=factset&amp;DYN_ARGS=TRUE&amp;DOC_NAME=FAT:FQL_AUDITING_CLIENT_TEMPLATE.FAT&amp;display_string=Audit&amp;VAR:KEY=IVITWLMREX&amp;VAR:QUERY=UkdGX1RBWF9SQVRFKEFOTiwwLCwsLCwsTk9BVURJVCk=&amp;WINDOW=FIRST_POPUP&amp;HEIGHT=450&amp;WIDTH=450&amp;","START_MAXIMIZED=FALSE&amp;VAR:CALENDAR=US&amp;VAR:SYMBOL=TNAV&amp;VAR:INDEX=0"}</definedName>
    <definedName name="_3597__FDSAUDITLINK__" localSheetId="7" hidden="1">{"fdsup://directions/FAT Viewer?action=UPDATE&amp;creator=factset&amp;DYN_ARGS=TRUE&amp;DOC_NAME=FAT:FQL_AUDITING_CLIENT_TEMPLATE.FAT&amp;display_string=Audit&amp;VAR:KEY=IVITWLMREX&amp;VAR:QUERY=UkdGX1RBWF9SQVRFKEFOTiwwLCwsLCwsTk9BVURJVCk=&amp;WINDOW=FIRST_POPUP&amp;HEIGHT=450&amp;WIDTH=450&amp;","START_MAXIMIZED=FALSE&amp;VAR:CALENDAR=US&amp;VAR:SYMBOL=TNAV&amp;VAR:INDEX=0"}</definedName>
    <definedName name="_3597__FDSAUDITLINK__" hidden="1">{"fdsup://directions/FAT Viewer?action=UPDATE&amp;creator=factset&amp;DYN_ARGS=TRUE&amp;DOC_NAME=FAT:FQL_AUDITING_CLIENT_TEMPLATE.FAT&amp;display_string=Audit&amp;VAR:KEY=IVITWLMREX&amp;VAR:QUERY=UkdGX1RBWF9SQVRFKEFOTiwwLCwsLCwsTk9BVURJVCk=&amp;WINDOW=FIRST_POPUP&amp;HEIGHT=450&amp;WIDTH=450&amp;","START_MAXIMIZED=FALSE&amp;VAR:CALENDAR=US&amp;VAR:SYMBOL=TNAV&amp;VAR:INDEX=0"}</definedName>
    <definedName name="_3598__FDSAUDITLINK__" localSheetId="3" hidden="1">{"fdsup://directions/FAT Viewer?action=UPDATE&amp;creator=factset&amp;DYN_ARGS=TRUE&amp;DOC_NAME=FAT:FQL_AUDITING_CLIENT_TEMPLATE.FAT&amp;display_string=Audit&amp;VAR:KEY=EDYFETUREF&amp;VAR:QUERY=UkdGX1RBWF9SQVRFKEFOTiwwLCwsLCwsTk9BVURJVCk=&amp;WINDOW=FIRST_POPUP&amp;HEIGHT=450&amp;WIDTH=450&amp;","START_MAXIMIZED=FALSE&amp;VAR:CALENDAR=US&amp;VAR:SYMBOL=TTGT&amp;VAR:INDEX=0"}</definedName>
    <definedName name="_3598__FDSAUDITLINK__" localSheetId="7" hidden="1">{"fdsup://directions/FAT Viewer?action=UPDATE&amp;creator=factset&amp;DYN_ARGS=TRUE&amp;DOC_NAME=FAT:FQL_AUDITING_CLIENT_TEMPLATE.FAT&amp;display_string=Audit&amp;VAR:KEY=EDYFETUREF&amp;VAR:QUERY=UkdGX1RBWF9SQVRFKEFOTiwwLCwsLCwsTk9BVURJVCk=&amp;WINDOW=FIRST_POPUP&amp;HEIGHT=450&amp;WIDTH=450&amp;","START_MAXIMIZED=FALSE&amp;VAR:CALENDAR=US&amp;VAR:SYMBOL=TTGT&amp;VAR:INDEX=0"}</definedName>
    <definedName name="_3598__FDSAUDITLINK__" hidden="1">{"fdsup://directions/FAT Viewer?action=UPDATE&amp;creator=factset&amp;DYN_ARGS=TRUE&amp;DOC_NAME=FAT:FQL_AUDITING_CLIENT_TEMPLATE.FAT&amp;display_string=Audit&amp;VAR:KEY=EDYFETUREF&amp;VAR:QUERY=UkdGX1RBWF9SQVRFKEFOTiwwLCwsLCwsTk9BVURJVCk=&amp;WINDOW=FIRST_POPUP&amp;HEIGHT=450&amp;WIDTH=450&amp;","START_MAXIMIZED=FALSE&amp;VAR:CALENDAR=US&amp;VAR:SYMBOL=TTGT&amp;VAR:INDEX=0"}</definedName>
    <definedName name="_3599__FDSAUDITLINK__" localSheetId="3" hidden="1">{"fdsup://directions/FAT Viewer?action=UPDATE&amp;creator=factset&amp;DYN_ARGS=TRUE&amp;DOC_NAME=FAT:FQL_AUDITING_CLIENT_TEMPLATE.FAT&amp;display_string=Audit&amp;VAR:KEY=EDYFETUREF&amp;VAR:QUERY=UkdGX1RBWF9SQVRFKEFOTiwwLCwsLCwsTk9BVURJVCk=&amp;WINDOW=FIRST_POPUP&amp;HEIGHT=450&amp;WIDTH=450&amp;","START_MAXIMIZED=FALSE&amp;VAR:CALENDAR=US&amp;VAR:SYMBOL=TTGT&amp;VAR:INDEX=0"}</definedName>
    <definedName name="_3599__FDSAUDITLINK__" localSheetId="7" hidden="1">{"fdsup://directions/FAT Viewer?action=UPDATE&amp;creator=factset&amp;DYN_ARGS=TRUE&amp;DOC_NAME=FAT:FQL_AUDITING_CLIENT_TEMPLATE.FAT&amp;display_string=Audit&amp;VAR:KEY=EDYFETUREF&amp;VAR:QUERY=UkdGX1RBWF9SQVRFKEFOTiwwLCwsLCwsTk9BVURJVCk=&amp;WINDOW=FIRST_POPUP&amp;HEIGHT=450&amp;WIDTH=450&amp;","START_MAXIMIZED=FALSE&amp;VAR:CALENDAR=US&amp;VAR:SYMBOL=TTGT&amp;VAR:INDEX=0"}</definedName>
    <definedName name="_3599__FDSAUDITLINK__" hidden="1">{"fdsup://directions/FAT Viewer?action=UPDATE&amp;creator=factset&amp;DYN_ARGS=TRUE&amp;DOC_NAME=FAT:FQL_AUDITING_CLIENT_TEMPLATE.FAT&amp;display_string=Audit&amp;VAR:KEY=EDYFETUREF&amp;VAR:QUERY=UkdGX1RBWF9SQVRFKEFOTiwwLCwsLCwsTk9BVURJVCk=&amp;WINDOW=FIRST_POPUP&amp;HEIGHT=450&amp;WIDTH=450&amp;","START_MAXIMIZED=FALSE&amp;VAR:CALENDAR=US&amp;VAR:SYMBOL=TTGT&amp;VAR:INDEX=0"}</definedName>
    <definedName name="_36__FDSAUDITLINK__" localSheetId="3" hidden="1">{"fdsup://directions/FAT Viewer?action=UPDATE&amp;creator=factset&amp;DYN_ARGS=TRUE&amp;DOC_NAME=FAT:FQL_AUDITING_CLIENT_TEMPLATE.FAT&amp;display_string=Audit&amp;VAR:KEY=FSRUTEHMNM&amp;VAR:QUERY=RkZfU0FMRVMoTFRNLDAsLCwsTE9DQUwsTSk=&amp;WINDOW=FIRST_POPUP&amp;HEIGHT=450&amp;WIDTH=450&amp;START_MA","XIMIZED=FALSE&amp;VAR:CALENDAR=US&amp;VAR:SYMBOL=B07C76&amp;VAR:INDEX=0"}</definedName>
    <definedName name="_36__FDSAUDITLINK__" localSheetId="7" hidden="1">{"fdsup://directions/FAT Viewer?action=UPDATE&amp;creator=factset&amp;DYN_ARGS=TRUE&amp;DOC_NAME=FAT:FQL_AUDITING_CLIENT_TEMPLATE.FAT&amp;display_string=Audit&amp;VAR:KEY=FSRUTEHMNM&amp;VAR:QUERY=RkZfU0FMRVMoTFRNLDAsLCwsTE9DQUwsTSk=&amp;WINDOW=FIRST_POPUP&amp;HEIGHT=450&amp;WIDTH=450&amp;START_MA","XIMIZED=FALSE&amp;VAR:CALENDAR=US&amp;VAR:SYMBOL=B07C76&amp;VAR:INDEX=0"}</definedName>
    <definedName name="_36__FDSAUDITLINK__" hidden="1">{"fdsup://directions/FAT Viewer?action=UPDATE&amp;creator=factset&amp;DYN_ARGS=TRUE&amp;DOC_NAME=FAT:FQL_AUDITING_CLIENT_TEMPLATE.FAT&amp;display_string=Audit&amp;VAR:KEY=FSRUTEHMNM&amp;VAR:QUERY=RkZfU0FMRVMoTFRNLDAsLCwsTE9DQUwsTSk=&amp;WINDOW=FIRST_POPUP&amp;HEIGHT=450&amp;WIDTH=450&amp;START_MA","XIMIZED=FALSE&amp;VAR:CALENDAR=US&amp;VAR:SYMBOL=B07C76&amp;VAR:INDEX=0"}</definedName>
    <definedName name="_360__FDSAUDITLINK__" localSheetId="3" hidden="1">{"fdsup://directions/FAT Viewer?action=UPDATE&amp;creator=factset&amp;DYN_ARGS=TRUE&amp;DOC_NAME=FAT:FQL_AUDITING_CLIENT_TEMPLATE.FAT&amp;display_string=Audit&amp;VAR:KEY=QTGTONMHOF&amp;VAR:QUERY=RkZfREVCVChBTk4sMCwtOSxZLFJQLFVTRCxNKQ==&amp;WINDOW=FIRST_POPUP&amp;HEIGHT=450&amp;WIDTH=450&amp;STAR","T_MAXIMIZED=FALSE&amp;VAR:CALENDAR=US&amp;VAR:SYMBOL=B10LQP&amp;VAR:INDEX=7"}</definedName>
    <definedName name="_360__FDSAUDITLINK__" localSheetId="7" hidden="1">{"fdsup://directions/FAT Viewer?action=UPDATE&amp;creator=factset&amp;DYN_ARGS=TRUE&amp;DOC_NAME=FAT:FQL_AUDITING_CLIENT_TEMPLATE.FAT&amp;display_string=Audit&amp;VAR:KEY=QTGTONMHOF&amp;VAR:QUERY=RkZfREVCVChBTk4sMCwtOSxZLFJQLFVTRCxNKQ==&amp;WINDOW=FIRST_POPUP&amp;HEIGHT=450&amp;WIDTH=450&amp;STAR","T_MAXIMIZED=FALSE&amp;VAR:CALENDAR=US&amp;VAR:SYMBOL=B10LQP&amp;VAR:INDEX=7"}</definedName>
    <definedName name="_360__FDSAUDITLINK__" hidden="1">{"fdsup://directions/FAT Viewer?action=UPDATE&amp;creator=factset&amp;DYN_ARGS=TRUE&amp;DOC_NAME=FAT:FQL_AUDITING_CLIENT_TEMPLATE.FAT&amp;display_string=Audit&amp;VAR:KEY=QTGTONMHOF&amp;VAR:QUERY=RkZfREVCVChBTk4sMCwtOSxZLFJQLFVTRCxNKQ==&amp;WINDOW=FIRST_POPUP&amp;HEIGHT=450&amp;WIDTH=450&amp;STAR","T_MAXIMIZED=FALSE&amp;VAR:CALENDAR=US&amp;VAR:SYMBOL=B10LQP&amp;VAR:INDEX=7"}</definedName>
    <definedName name="_3600__FDSAUDITLINK__" localSheetId="3" hidden="1">{"fdsup://directions/FAT Viewer?action=UPDATE&amp;creator=factset&amp;DYN_ARGS=TRUE&amp;DOC_NAME=FAT:FQL_AUDITING_CLIENT_TEMPLATE.FAT&amp;display_string=Audit&amp;VAR:KEY=SBCFWVIDIL&amp;VAR:QUERY=UkdGX1RBWF9SQVRFKEFOTiwwLCwsLCwsTk9BVURJVCk=&amp;WINDOW=FIRST_POPUP&amp;HEIGHT=450&amp;WIDTH=450&amp;","START_MAXIMIZED=FALSE&amp;VAR:CALENDAR=US&amp;VAR:SYMBOL=TLEO&amp;VAR:INDEX=0"}</definedName>
    <definedName name="_3600__FDSAUDITLINK__" localSheetId="7" hidden="1">{"fdsup://directions/FAT Viewer?action=UPDATE&amp;creator=factset&amp;DYN_ARGS=TRUE&amp;DOC_NAME=FAT:FQL_AUDITING_CLIENT_TEMPLATE.FAT&amp;display_string=Audit&amp;VAR:KEY=SBCFWVIDIL&amp;VAR:QUERY=UkdGX1RBWF9SQVRFKEFOTiwwLCwsLCwsTk9BVURJVCk=&amp;WINDOW=FIRST_POPUP&amp;HEIGHT=450&amp;WIDTH=450&amp;","START_MAXIMIZED=FALSE&amp;VAR:CALENDAR=US&amp;VAR:SYMBOL=TLEO&amp;VAR:INDEX=0"}</definedName>
    <definedName name="_3600__FDSAUDITLINK__" hidden="1">{"fdsup://directions/FAT Viewer?action=UPDATE&amp;creator=factset&amp;DYN_ARGS=TRUE&amp;DOC_NAME=FAT:FQL_AUDITING_CLIENT_TEMPLATE.FAT&amp;display_string=Audit&amp;VAR:KEY=SBCFWVIDIL&amp;VAR:QUERY=UkdGX1RBWF9SQVRFKEFOTiwwLCwsLCwsTk9BVURJVCk=&amp;WINDOW=FIRST_POPUP&amp;HEIGHT=450&amp;WIDTH=450&amp;","START_MAXIMIZED=FALSE&amp;VAR:CALENDAR=US&amp;VAR:SYMBOL=TLEO&amp;VAR:INDEX=0"}</definedName>
    <definedName name="_3601__FDSAUDITLINK__" localSheetId="3" hidden="1">{"fdsup://directions/FAT Viewer?action=UPDATE&amp;creator=factset&amp;DYN_ARGS=TRUE&amp;DOC_NAME=FAT:FQL_AUDITING_CLIENT_TEMPLATE.FAT&amp;display_string=Audit&amp;VAR:KEY=WDKRWNMLYD&amp;VAR:QUERY=UkdGX1RBWF9SQVRFKEFOTiwwLCwsLCwsTk9BVURJVCk=&amp;WINDOW=FIRST_POPUP&amp;HEIGHT=450&amp;WIDTH=450&amp;","START_MAXIMIZED=FALSE&amp;VAR:CALENDAR=US&amp;VAR:SYMBOL=SNPS&amp;VAR:INDEX=0"}</definedName>
    <definedName name="_3601__FDSAUDITLINK__" localSheetId="7" hidden="1">{"fdsup://directions/FAT Viewer?action=UPDATE&amp;creator=factset&amp;DYN_ARGS=TRUE&amp;DOC_NAME=FAT:FQL_AUDITING_CLIENT_TEMPLATE.FAT&amp;display_string=Audit&amp;VAR:KEY=WDKRWNMLYD&amp;VAR:QUERY=UkdGX1RBWF9SQVRFKEFOTiwwLCwsLCwsTk9BVURJVCk=&amp;WINDOW=FIRST_POPUP&amp;HEIGHT=450&amp;WIDTH=450&amp;","START_MAXIMIZED=FALSE&amp;VAR:CALENDAR=US&amp;VAR:SYMBOL=SNPS&amp;VAR:INDEX=0"}</definedName>
    <definedName name="_3601__FDSAUDITLINK__" hidden="1">{"fdsup://directions/FAT Viewer?action=UPDATE&amp;creator=factset&amp;DYN_ARGS=TRUE&amp;DOC_NAME=FAT:FQL_AUDITING_CLIENT_TEMPLATE.FAT&amp;display_string=Audit&amp;VAR:KEY=WDKRWNMLYD&amp;VAR:QUERY=UkdGX1RBWF9SQVRFKEFOTiwwLCwsLCwsTk9BVURJVCk=&amp;WINDOW=FIRST_POPUP&amp;HEIGHT=450&amp;WIDTH=450&amp;","START_MAXIMIZED=FALSE&amp;VAR:CALENDAR=US&amp;VAR:SYMBOL=SNPS&amp;VAR:INDEX=0"}</definedName>
    <definedName name="_3602__FDSAUDITLINK__" localSheetId="3" hidden="1">{"fdsup://directions/FAT Viewer?action=UPDATE&amp;creator=factset&amp;DYN_ARGS=TRUE&amp;DOC_NAME=FAT:FQL_AUDITING_CLIENT_TEMPLATE.FAT&amp;display_string=Audit&amp;VAR:KEY=WDKRWNMLYD&amp;VAR:QUERY=UkdGX1RBWF9SQVRFKEFOTiwwLCwsLCwsTk9BVURJVCk=&amp;WINDOW=FIRST_POPUP&amp;HEIGHT=450&amp;WIDTH=450&amp;","START_MAXIMIZED=FALSE&amp;VAR:CALENDAR=US&amp;VAR:SYMBOL=SNPS&amp;VAR:INDEX=0"}</definedName>
    <definedName name="_3602__FDSAUDITLINK__" localSheetId="7" hidden="1">{"fdsup://directions/FAT Viewer?action=UPDATE&amp;creator=factset&amp;DYN_ARGS=TRUE&amp;DOC_NAME=FAT:FQL_AUDITING_CLIENT_TEMPLATE.FAT&amp;display_string=Audit&amp;VAR:KEY=WDKRWNMLYD&amp;VAR:QUERY=UkdGX1RBWF9SQVRFKEFOTiwwLCwsLCwsTk9BVURJVCk=&amp;WINDOW=FIRST_POPUP&amp;HEIGHT=450&amp;WIDTH=450&amp;","START_MAXIMIZED=FALSE&amp;VAR:CALENDAR=US&amp;VAR:SYMBOL=SNPS&amp;VAR:INDEX=0"}</definedName>
    <definedName name="_3602__FDSAUDITLINK__" hidden="1">{"fdsup://directions/FAT Viewer?action=UPDATE&amp;creator=factset&amp;DYN_ARGS=TRUE&amp;DOC_NAME=FAT:FQL_AUDITING_CLIENT_TEMPLATE.FAT&amp;display_string=Audit&amp;VAR:KEY=WDKRWNMLYD&amp;VAR:QUERY=UkdGX1RBWF9SQVRFKEFOTiwwLCwsLCwsTk9BVURJVCk=&amp;WINDOW=FIRST_POPUP&amp;HEIGHT=450&amp;WIDTH=450&amp;","START_MAXIMIZED=FALSE&amp;VAR:CALENDAR=US&amp;VAR:SYMBOL=SNPS&amp;VAR:INDEX=0"}</definedName>
    <definedName name="_3603__FDSAUDITLINK__" localSheetId="3" hidden="1">{"fdsup://directions/FAT Viewer?action=UPDATE&amp;creator=factset&amp;DYN_ARGS=TRUE&amp;DOC_NAME=FAT:FQL_AUDITING_CLIENT_TEMPLATE.FAT&amp;display_string=Audit&amp;VAR:KEY=ODGXOFYNCT&amp;VAR:QUERY=UkdGX1RBWF9SQVRFKEFOTiwwLCwsLCwsTk9BVURJVCk=&amp;WINDOW=FIRST_POPUP&amp;HEIGHT=450&amp;WIDTH=450&amp;","START_MAXIMIZED=FALSE&amp;VAR:CALENDAR=US&amp;VAR:SYMBOL=SVR&amp;VAR:INDEX=0"}</definedName>
    <definedName name="_3603__FDSAUDITLINK__" localSheetId="7" hidden="1">{"fdsup://directions/FAT Viewer?action=UPDATE&amp;creator=factset&amp;DYN_ARGS=TRUE&amp;DOC_NAME=FAT:FQL_AUDITING_CLIENT_TEMPLATE.FAT&amp;display_string=Audit&amp;VAR:KEY=ODGXOFYNCT&amp;VAR:QUERY=UkdGX1RBWF9SQVRFKEFOTiwwLCwsLCwsTk9BVURJVCk=&amp;WINDOW=FIRST_POPUP&amp;HEIGHT=450&amp;WIDTH=450&amp;","START_MAXIMIZED=FALSE&amp;VAR:CALENDAR=US&amp;VAR:SYMBOL=SVR&amp;VAR:INDEX=0"}</definedName>
    <definedName name="_3603__FDSAUDITLINK__" hidden="1">{"fdsup://directions/FAT Viewer?action=UPDATE&amp;creator=factset&amp;DYN_ARGS=TRUE&amp;DOC_NAME=FAT:FQL_AUDITING_CLIENT_TEMPLATE.FAT&amp;display_string=Audit&amp;VAR:KEY=ODGXOFYNCT&amp;VAR:QUERY=UkdGX1RBWF9SQVRFKEFOTiwwLCwsLCwsTk9BVURJVCk=&amp;WINDOW=FIRST_POPUP&amp;HEIGHT=450&amp;WIDTH=450&amp;","START_MAXIMIZED=FALSE&amp;VAR:CALENDAR=US&amp;VAR:SYMBOL=SVR&amp;VAR:INDEX=0"}</definedName>
    <definedName name="_3604__FDSAUDITLINK__" localSheetId="3" hidden="1">{"fdsup://directions/FAT Viewer?action=UPDATE&amp;creator=factset&amp;DYN_ARGS=TRUE&amp;DOC_NAME=FAT:FQL_AUDITING_CLIENT_TEMPLATE.FAT&amp;display_string=Audit&amp;VAR:KEY=ODGXOFYNCT&amp;VAR:QUERY=UkdGX1RBWF9SQVRFKEFOTiwwLCwsLCwsTk9BVURJVCk=&amp;WINDOW=FIRST_POPUP&amp;HEIGHT=450&amp;WIDTH=450&amp;","START_MAXIMIZED=FALSE&amp;VAR:CALENDAR=US&amp;VAR:SYMBOL=SVR&amp;VAR:INDEX=0"}</definedName>
    <definedName name="_3604__FDSAUDITLINK__" localSheetId="7" hidden="1">{"fdsup://directions/FAT Viewer?action=UPDATE&amp;creator=factset&amp;DYN_ARGS=TRUE&amp;DOC_NAME=FAT:FQL_AUDITING_CLIENT_TEMPLATE.FAT&amp;display_string=Audit&amp;VAR:KEY=ODGXOFYNCT&amp;VAR:QUERY=UkdGX1RBWF9SQVRFKEFOTiwwLCwsLCwsTk9BVURJVCk=&amp;WINDOW=FIRST_POPUP&amp;HEIGHT=450&amp;WIDTH=450&amp;","START_MAXIMIZED=FALSE&amp;VAR:CALENDAR=US&amp;VAR:SYMBOL=SVR&amp;VAR:INDEX=0"}</definedName>
    <definedName name="_3604__FDSAUDITLINK__" hidden="1">{"fdsup://directions/FAT Viewer?action=UPDATE&amp;creator=factset&amp;DYN_ARGS=TRUE&amp;DOC_NAME=FAT:FQL_AUDITING_CLIENT_TEMPLATE.FAT&amp;display_string=Audit&amp;VAR:KEY=ODGXOFYNCT&amp;VAR:QUERY=UkdGX1RBWF9SQVRFKEFOTiwwLCwsLCwsTk9BVURJVCk=&amp;WINDOW=FIRST_POPUP&amp;HEIGHT=450&amp;WIDTH=450&amp;","START_MAXIMIZED=FALSE&amp;VAR:CALENDAR=US&amp;VAR:SYMBOL=SVR&amp;VAR:INDEX=0"}</definedName>
    <definedName name="_3605__FDSAUDITLINK__" localSheetId="3" hidden="1">{"fdsup://directions/FAT Viewer?action=UPDATE&amp;creator=factset&amp;DYN_ARGS=TRUE&amp;DOC_NAME=FAT:FQL_AUDITING_CLIENT_TEMPLATE.FAT&amp;display_string=Audit&amp;VAR:KEY=UDANMTUFEL&amp;VAR:QUERY=UkdGX1RBWF9SQVRFKEFOTiwwLCwsLCwsTk9BVURJVCk=&amp;WINDOW=FIRST_POPUP&amp;HEIGHT=450&amp;WIDTH=450&amp;","START_MAXIMIZED=FALSE&amp;VAR:CALENDAR=US&amp;VAR:SYMBOL=SNCR&amp;VAR:INDEX=0"}</definedName>
    <definedName name="_3605__FDSAUDITLINK__" localSheetId="7" hidden="1">{"fdsup://directions/FAT Viewer?action=UPDATE&amp;creator=factset&amp;DYN_ARGS=TRUE&amp;DOC_NAME=FAT:FQL_AUDITING_CLIENT_TEMPLATE.FAT&amp;display_string=Audit&amp;VAR:KEY=UDANMTUFEL&amp;VAR:QUERY=UkdGX1RBWF9SQVRFKEFOTiwwLCwsLCwsTk9BVURJVCk=&amp;WINDOW=FIRST_POPUP&amp;HEIGHT=450&amp;WIDTH=450&amp;","START_MAXIMIZED=FALSE&amp;VAR:CALENDAR=US&amp;VAR:SYMBOL=SNCR&amp;VAR:INDEX=0"}</definedName>
    <definedName name="_3605__FDSAUDITLINK__" hidden="1">{"fdsup://directions/FAT Viewer?action=UPDATE&amp;creator=factset&amp;DYN_ARGS=TRUE&amp;DOC_NAME=FAT:FQL_AUDITING_CLIENT_TEMPLATE.FAT&amp;display_string=Audit&amp;VAR:KEY=UDANMTUFEL&amp;VAR:QUERY=UkdGX1RBWF9SQVRFKEFOTiwwLCwsLCwsTk9BVURJVCk=&amp;WINDOW=FIRST_POPUP&amp;HEIGHT=450&amp;WIDTH=450&amp;","START_MAXIMIZED=FALSE&amp;VAR:CALENDAR=US&amp;VAR:SYMBOL=SNCR&amp;VAR:INDEX=0"}</definedName>
    <definedName name="_3606__FDSAUDITLINK__" localSheetId="3" hidden="1">{"fdsup://directions/FAT Viewer?action=UPDATE&amp;creator=factset&amp;DYN_ARGS=TRUE&amp;DOC_NAME=FAT:FQL_AUDITING_CLIENT_TEMPLATE.FAT&amp;display_string=Audit&amp;VAR:KEY=UDANMTUFEL&amp;VAR:QUERY=UkdGX1RBWF9SQVRFKEFOTiwwLCwsLCwsTk9BVURJVCk=&amp;WINDOW=FIRST_POPUP&amp;HEIGHT=450&amp;WIDTH=450&amp;","START_MAXIMIZED=FALSE&amp;VAR:CALENDAR=US&amp;VAR:SYMBOL=SNCR&amp;VAR:INDEX=0"}</definedName>
    <definedName name="_3606__FDSAUDITLINK__" localSheetId="7" hidden="1">{"fdsup://directions/FAT Viewer?action=UPDATE&amp;creator=factset&amp;DYN_ARGS=TRUE&amp;DOC_NAME=FAT:FQL_AUDITING_CLIENT_TEMPLATE.FAT&amp;display_string=Audit&amp;VAR:KEY=UDANMTUFEL&amp;VAR:QUERY=UkdGX1RBWF9SQVRFKEFOTiwwLCwsLCwsTk9BVURJVCk=&amp;WINDOW=FIRST_POPUP&amp;HEIGHT=450&amp;WIDTH=450&amp;","START_MAXIMIZED=FALSE&amp;VAR:CALENDAR=US&amp;VAR:SYMBOL=SNCR&amp;VAR:INDEX=0"}</definedName>
    <definedName name="_3606__FDSAUDITLINK__" hidden="1">{"fdsup://directions/FAT Viewer?action=UPDATE&amp;creator=factset&amp;DYN_ARGS=TRUE&amp;DOC_NAME=FAT:FQL_AUDITING_CLIENT_TEMPLATE.FAT&amp;display_string=Audit&amp;VAR:KEY=UDANMTUFEL&amp;VAR:QUERY=UkdGX1RBWF9SQVRFKEFOTiwwLCwsLCwsTk9BVURJVCk=&amp;WINDOW=FIRST_POPUP&amp;HEIGHT=450&amp;WIDTH=450&amp;","START_MAXIMIZED=FALSE&amp;VAR:CALENDAR=US&amp;VAR:SYMBOL=SNCR&amp;VAR:INDEX=0"}</definedName>
    <definedName name="_3607__FDSAUDITLINK__" localSheetId="3" hidden="1">{"fdsup://directions/FAT Viewer?action=UPDATE&amp;creator=factset&amp;DYN_ARGS=TRUE&amp;DOC_NAME=FAT:FQL_AUDITING_CLIENT_TEMPLATE.FAT&amp;display_string=Audit&amp;VAR:KEY=YLEPQNAXYV&amp;VAR:QUERY=UkdGX1RBWF9SQVRFKEFOTiwwLCwsLCwsTk9BVURJVCk=&amp;WINDOW=FIRST_POPUP&amp;HEIGHT=450&amp;WIDTH=450&amp;","START_MAXIMIZED=FALSE&amp;VAR:CALENDAR=US&amp;VAR:SYMBOL=SYMC&amp;VAR:INDEX=0"}</definedName>
    <definedName name="_3607__FDSAUDITLINK__" localSheetId="7" hidden="1">{"fdsup://directions/FAT Viewer?action=UPDATE&amp;creator=factset&amp;DYN_ARGS=TRUE&amp;DOC_NAME=FAT:FQL_AUDITING_CLIENT_TEMPLATE.FAT&amp;display_string=Audit&amp;VAR:KEY=YLEPQNAXYV&amp;VAR:QUERY=UkdGX1RBWF9SQVRFKEFOTiwwLCwsLCwsTk9BVURJVCk=&amp;WINDOW=FIRST_POPUP&amp;HEIGHT=450&amp;WIDTH=450&amp;","START_MAXIMIZED=FALSE&amp;VAR:CALENDAR=US&amp;VAR:SYMBOL=SYMC&amp;VAR:INDEX=0"}</definedName>
    <definedName name="_3607__FDSAUDITLINK__" hidden="1">{"fdsup://directions/FAT Viewer?action=UPDATE&amp;creator=factset&amp;DYN_ARGS=TRUE&amp;DOC_NAME=FAT:FQL_AUDITING_CLIENT_TEMPLATE.FAT&amp;display_string=Audit&amp;VAR:KEY=YLEPQNAXYV&amp;VAR:QUERY=UkdGX1RBWF9SQVRFKEFOTiwwLCwsLCwsTk9BVURJVCk=&amp;WINDOW=FIRST_POPUP&amp;HEIGHT=450&amp;WIDTH=450&amp;","START_MAXIMIZED=FALSE&amp;VAR:CALENDAR=US&amp;VAR:SYMBOL=SYMC&amp;VAR:INDEX=0"}</definedName>
    <definedName name="_3608__FDSAUDITLINK__" localSheetId="3" hidden="1">{"fdsup://directions/FAT Viewer?action=UPDATE&amp;creator=factset&amp;DYN_ARGS=TRUE&amp;DOC_NAME=FAT:FQL_AUDITING_CLIENT_TEMPLATE.FAT&amp;display_string=Audit&amp;VAR:KEY=YLEPQNAXYV&amp;VAR:QUERY=UkdGX1RBWF9SQVRFKEFOTiwwLCwsLCwsTk9BVURJVCk=&amp;WINDOW=FIRST_POPUP&amp;HEIGHT=450&amp;WIDTH=450&amp;","START_MAXIMIZED=FALSE&amp;VAR:CALENDAR=US&amp;VAR:SYMBOL=SYMC&amp;VAR:INDEX=0"}</definedName>
    <definedName name="_3608__FDSAUDITLINK__" localSheetId="7" hidden="1">{"fdsup://directions/FAT Viewer?action=UPDATE&amp;creator=factset&amp;DYN_ARGS=TRUE&amp;DOC_NAME=FAT:FQL_AUDITING_CLIENT_TEMPLATE.FAT&amp;display_string=Audit&amp;VAR:KEY=YLEPQNAXYV&amp;VAR:QUERY=UkdGX1RBWF9SQVRFKEFOTiwwLCwsLCwsTk9BVURJVCk=&amp;WINDOW=FIRST_POPUP&amp;HEIGHT=450&amp;WIDTH=450&amp;","START_MAXIMIZED=FALSE&amp;VAR:CALENDAR=US&amp;VAR:SYMBOL=SYMC&amp;VAR:INDEX=0"}</definedName>
    <definedName name="_3608__FDSAUDITLINK__" hidden="1">{"fdsup://directions/FAT Viewer?action=UPDATE&amp;creator=factset&amp;DYN_ARGS=TRUE&amp;DOC_NAME=FAT:FQL_AUDITING_CLIENT_TEMPLATE.FAT&amp;display_string=Audit&amp;VAR:KEY=YLEPQNAXYV&amp;VAR:QUERY=UkdGX1RBWF9SQVRFKEFOTiwwLCwsLCwsTk9BVURJVCk=&amp;WINDOW=FIRST_POPUP&amp;HEIGHT=450&amp;WIDTH=450&amp;","START_MAXIMIZED=FALSE&amp;VAR:CALENDAR=US&amp;VAR:SYMBOL=SYMC&amp;VAR:INDEX=0"}</definedName>
    <definedName name="_3609__FDSAUDITLINK__" localSheetId="3" hidden="1">{"fdsup://directions/FAT Viewer?action=UPDATE&amp;creator=factset&amp;DYN_ARGS=TRUE&amp;DOC_NAME=FAT:FQL_AUDITING_CLIENT_TEMPLATE.FAT&amp;display_string=Audit&amp;VAR:KEY=CJILKPSRYH&amp;VAR:QUERY=UkdGX1RBWF9SQVRFKEFOTiwwLCwsLCwsTk9BVURJVCk=&amp;WINDOW=FIRST_POPUP&amp;HEIGHT=450&amp;WIDTH=450&amp;","START_MAXIMIZED=FALSE&amp;VAR:CALENDAR=US&amp;VAR:SYMBOL=SPRT&amp;VAR:INDEX=0"}</definedName>
    <definedName name="_3609__FDSAUDITLINK__" localSheetId="7" hidden="1">{"fdsup://directions/FAT Viewer?action=UPDATE&amp;creator=factset&amp;DYN_ARGS=TRUE&amp;DOC_NAME=FAT:FQL_AUDITING_CLIENT_TEMPLATE.FAT&amp;display_string=Audit&amp;VAR:KEY=CJILKPSRYH&amp;VAR:QUERY=UkdGX1RBWF9SQVRFKEFOTiwwLCwsLCwsTk9BVURJVCk=&amp;WINDOW=FIRST_POPUP&amp;HEIGHT=450&amp;WIDTH=450&amp;","START_MAXIMIZED=FALSE&amp;VAR:CALENDAR=US&amp;VAR:SYMBOL=SPRT&amp;VAR:INDEX=0"}</definedName>
    <definedName name="_3609__FDSAUDITLINK__" hidden="1">{"fdsup://directions/FAT Viewer?action=UPDATE&amp;creator=factset&amp;DYN_ARGS=TRUE&amp;DOC_NAME=FAT:FQL_AUDITING_CLIENT_TEMPLATE.FAT&amp;display_string=Audit&amp;VAR:KEY=CJILKPSRYH&amp;VAR:QUERY=UkdGX1RBWF9SQVRFKEFOTiwwLCwsLCwsTk9BVURJVCk=&amp;WINDOW=FIRST_POPUP&amp;HEIGHT=450&amp;WIDTH=450&amp;","START_MAXIMIZED=FALSE&amp;VAR:CALENDAR=US&amp;VAR:SYMBOL=SPRT&amp;VAR:INDEX=0"}</definedName>
    <definedName name="_361__FDSAUDITLINK__" localSheetId="3" hidden="1">{"fdsup://directions/FAT Viewer?action=UPDATE&amp;creator=factset&amp;DYN_ARGS=TRUE&amp;DOC_NAME=FAT:FQL_AUDITING_CLIENT_TEMPLATE.FAT&amp;display_string=Audit&amp;VAR:KEY=QTGTONMHOF&amp;VAR:QUERY=RkZfREVCVChBTk4sMCwtOSxZLFJQLFVTRCxNKQ==&amp;WINDOW=FIRST_POPUP&amp;HEIGHT=450&amp;WIDTH=450&amp;STAR","T_MAXIMIZED=FALSE&amp;VAR:CALENDAR=US&amp;VAR:SYMBOL=B10LQP&amp;VAR:INDEX=6"}</definedName>
    <definedName name="_361__FDSAUDITLINK__" localSheetId="7" hidden="1">{"fdsup://directions/FAT Viewer?action=UPDATE&amp;creator=factset&amp;DYN_ARGS=TRUE&amp;DOC_NAME=FAT:FQL_AUDITING_CLIENT_TEMPLATE.FAT&amp;display_string=Audit&amp;VAR:KEY=QTGTONMHOF&amp;VAR:QUERY=RkZfREVCVChBTk4sMCwtOSxZLFJQLFVTRCxNKQ==&amp;WINDOW=FIRST_POPUP&amp;HEIGHT=450&amp;WIDTH=450&amp;STAR","T_MAXIMIZED=FALSE&amp;VAR:CALENDAR=US&amp;VAR:SYMBOL=B10LQP&amp;VAR:INDEX=6"}</definedName>
    <definedName name="_361__FDSAUDITLINK__" hidden="1">{"fdsup://directions/FAT Viewer?action=UPDATE&amp;creator=factset&amp;DYN_ARGS=TRUE&amp;DOC_NAME=FAT:FQL_AUDITING_CLIENT_TEMPLATE.FAT&amp;display_string=Audit&amp;VAR:KEY=QTGTONMHOF&amp;VAR:QUERY=RkZfREVCVChBTk4sMCwtOSxZLFJQLFVTRCxNKQ==&amp;WINDOW=FIRST_POPUP&amp;HEIGHT=450&amp;WIDTH=450&amp;STAR","T_MAXIMIZED=FALSE&amp;VAR:CALENDAR=US&amp;VAR:SYMBOL=B10LQP&amp;VAR:INDEX=6"}</definedName>
    <definedName name="_3610__FDSAUDITLINK__" localSheetId="3" hidden="1">{"fdsup://directions/FAT Viewer?action=UPDATE&amp;creator=factset&amp;DYN_ARGS=TRUE&amp;DOC_NAME=FAT:FQL_AUDITING_CLIENT_TEMPLATE.FAT&amp;display_string=Audit&amp;VAR:KEY=KFCTUXMXED&amp;VAR:QUERY=UkdGX1RBWF9SQVRFKEFOTiwwLCwsLCwsTk9BVURJVCk=&amp;WINDOW=FIRST_POPUP&amp;HEIGHT=450&amp;WIDTH=450&amp;","START_MAXIMIZED=FALSE&amp;VAR:CALENDAR=US&amp;VAR:SYMBOL=SFSF&amp;VAR:INDEX=0"}</definedName>
    <definedName name="_3610__FDSAUDITLINK__" localSheetId="7" hidden="1">{"fdsup://directions/FAT Viewer?action=UPDATE&amp;creator=factset&amp;DYN_ARGS=TRUE&amp;DOC_NAME=FAT:FQL_AUDITING_CLIENT_TEMPLATE.FAT&amp;display_string=Audit&amp;VAR:KEY=KFCTUXMXED&amp;VAR:QUERY=UkdGX1RBWF9SQVRFKEFOTiwwLCwsLCwsTk9BVURJVCk=&amp;WINDOW=FIRST_POPUP&amp;HEIGHT=450&amp;WIDTH=450&amp;","START_MAXIMIZED=FALSE&amp;VAR:CALENDAR=US&amp;VAR:SYMBOL=SFSF&amp;VAR:INDEX=0"}</definedName>
    <definedName name="_3610__FDSAUDITLINK__" hidden="1">{"fdsup://directions/FAT Viewer?action=UPDATE&amp;creator=factset&amp;DYN_ARGS=TRUE&amp;DOC_NAME=FAT:FQL_AUDITING_CLIENT_TEMPLATE.FAT&amp;display_string=Audit&amp;VAR:KEY=KFCTUXMXED&amp;VAR:QUERY=UkdGX1RBWF9SQVRFKEFOTiwwLCwsLCwsTk9BVURJVCk=&amp;WINDOW=FIRST_POPUP&amp;HEIGHT=450&amp;WIDTH=450&amp;","START_MAXIMIZED=FALSE&amp;VAR:CALENDAR=US&amp;VAR:SYMBOL=SFSF&amp;VAR:INDEX=0"}</definedName>
    <definedName name="_3611__FDSAUDITLINK__" localSheetId="3" hidden="1">{"fdsup://directions/FAT Viewer?action=UPDATE&amp;creator=factset&amp;DYN_ARGS=TRUE&amp;DOC_NAME=FAT:FQL_AUDITING_CLIENT_TEMPLATE.FAT&amp;display_string=Audit&amp;VAR:KEY=SHMLIJMJIV&amp;VAR:QUERY=UkdGX1RBWF9SQVRFKEFOTiwwLCwsLCwsTk9BVURJVCk=&amp;WINDOW=FIRST_POPUP&amp;HEIGHT=450&amp;WIDTH=450&amp;","START_MAXIMIZED=FALSE&amp;VAR:CALENDAR=US&amp;VAR:SYMBOL=SSNC&amp;VAR:INDEX=0"}</definedName>
    <definedName name="_3611__FDSAUDITLINK__" localSheetId="7" hidden="1">{"fdsup://directions/FAT Viewer?action=UPDATE&amp;creator=factset&amp;DYN_ARGS=TRUE&amp;DOC_NAME=FAT:FQL_AUDITING_CLIENT_TEMPLATE.FAT&amp;display_string=Audit&amp;VAR:KEY=SHMLIJMJIV&amp;VAR:QUERY=UkdGX1RBWF9SQVRFKEFOTiwwLCwsLCwsTk9BVURJVCk=&amp;WINDOW=FIRST_POPUP&amp;HEIGHT=450&amp;WIDTH=450&amp;","START_MAXIMIZED=FALSE&amp;VAR:CALENDAR=US&amp;VAR:SYMBOL=SSNC&amp;VAR:INDEX=0"}</definedName>
    <definedName name="_3611__FDSAUDITLINK__" hidden="1">{"fdsup://directions/FAT Viewer?action=UPDATE&amp;creator=factset&amp;DYN_ARGS=TRUE&amp;DOC_NAME=FAT:FQL_AUDITING_CLIENT_TEMPLATE.FAT&amp;display_string=Audit&amp;VAR:KEY=SHMLIJMJIV&amp;VAR:QUERY=UkdGX1RBWF9SQVRFKEFOTiwwLCwsLCwsTk9BVURJVCk=&amp;WINDOW=FIRST_POPUP&amp;HEIGHT=450&amp;WIDTH=450&amp;","START_MAXIMIZED=FALSE&amp;VAR:CALENDAR=US&amp;VAR:SYMBOL=SSNC&amp;VAR:INDEX=0"}</definedName>
    <definedName name="_3612__FDSAUDITLINK__" localSheetId="3" hidden="1">{"fdsup://directions/FAT Viewer?action=UPDATE&amp;creator=factset&amp;DYN_ARGS=TRUE&amp;DOC_NAME=FAT:FQL_AUDITING_CLIENT_TEMPLATE.FAT&amp;display_string=Audit&amp;VAR:KEY=SHMLIJMJIV&amp;VAR:QUERY=UkdGX1RBWF9SQVRFKEFOTiwwLCwsLCwsTk9BVURJVCk=&amp;WINDOW=FIRST_POPUP&amp;HEIGHT=450&amp;WIDTH=450&amp;","START_MAXIMIZED=FALSE&amp;VAR:CALENDAR=US&amp;VAR:SYMBOL=SSNC&amp;VAR:INDEX=0"}</definedName>
    <definedName name="_3612__FDSAUDITLINK__" localSheetId="7" hidden="1">{"fdsup://directions/FAT Viewer?action=UPDATE&amp;creator=factset&amp;DYN_ARGS=TRUE&amp;DOC_NAME=FAT:FQL_AUDITING_CLIENT_TEMPLATE.FAT&amp;display_string=Audit&amp;VAR:KEY=SHMLIJMJIV&amp;VAR:QUERY=UkdGX1RBWF9SQVRFKEFOTiwwLCwsLCwsTk9BVURJVCk=&amp;WINDOW=FIRST_POPUP&amp;HEIGHT=450&amp;WIDTH=450&amp;","START_MAXIMIZED=FALSE&amp;VAR:CALENDAR=US&amp;VAR:SYMBOL=SSNC&amp;VAR:INDEX=0"}</definedName>
    <definedName name="_3612__FDSAUDITLINK__" hidden="1">{"fdsup://directions/FAT Viewer?action=UPDATE&amp;creator=factset&amp;DYN_ARGS=TRUE&amp;DOC_NAME=FAT:FQL_AUDITING_CLIENT_TEMPLATE.FAT&amp;display_string=Audit&amp;VAR:KEY=SHMLIJMJIV&amp;VAR:QUERY=UkdGX1RBWF9SQVRFKEFOTiwwLCwsLCwsTk9BVURJVCk=&amp;WINDOW=FIRST_POPUP&amp;HEIGHT=450&amp;WIDTH=450&amp;","START_MAXIMIZED=FALSE&amp;VAR:CALENDAR=US&amp;VAR:SYMBOL=SSNC&amp;VAR:INDEX=0"}</definedName>
    <definedName name="_3613__FDSAUDITLINK__" localSheetId="3" hidden="1">{"fdsup://directions/FAT Viewer?action=UPDATE&amp;creator=factset&amp;DYN_ARGS=TRUE&amp;DOC_NAME=FAT:FQL_AUDITING_CLIENT_TEMPLATE.FAT&amp;display_string=Audit&amp;VAR:KEY=GFMXWVSDMJ&amp;VAR:QUERY=UkdGX1RBWF9SQVRFKEFOTiwwLCwsLCwsTk9BVURJVCk=&amp;WINDOW=FIRST_POPUP&amp;HEIGHT=450&amp;WIDTH=450&amp;","START_MAXIMIZED=FALSE&amp;VAR:CALENDAR=US&amp;VAR:SYMBOL=SPSC&amp;VAR:INDEX=0"}</definedName>
    <definedName name="_3613__FDSAUDITLINK__" localSheetId="7" hidden="1">{"fdsup://directions/FAT Viewer?action=UPDATE&amp;creator=factset&amp;DYN_ARGS=TRUE&amp;DOC_NAME=FAT:FQL_AUDITING_CLIENT_TEMPLATE.FAT&amp;display_string=Audit&amp;VAR:KEY=GFMXWVSDMJ&amp;VAR:QUERY=UkdGX1RBWF9SQVRFKEFOTiwwLCwsLCwsTk9BVURJVCk=&amp;WINDOW=FIRST_POPUP&amp;HEIGHT=450&amp;WIDTH=450&amp;","START_MAXIMIZED=FALSE&amp;VAR:CALENDAR=US&amp;VAR:SYMBOL=SPSC&amp;VAR:INDEX=0"}</definedName>
    <definedName name="_3613__FDSAUDITLINK__" hidden="1">{"fdsup://directions/FAT Viewer?action=UPDATE&amp;creator=factset&amp;DYN_ARGS=TRUE&amp;DOC_NAME=FAT:FQL_AUDITING_CLIENT_TEMPLATE.FAT&amp;display_string=Audit&amp;VAR:KEY=GFMXWVSDMJ&amp;VAR:QUERY=UkdGX1RBWF9SQVRFKEFOTiwwLCwsLCwsTk9BVURJVCk=&amp;WINDOW=FIRST_POPUP&amp;HEIGHT=450&amp;WIDTH=450&amp;","START_MAXIMIZED=FALSE&amp;VAR:CALENDAR=US&amp;VAR:SYMBOL=SPSC&amp;VAR:INDEX=0"}</definedName>
    <definedName name="_3614__FDSAUDITLINK__" localSheetId="3" hidden="1">{"fdsup://directions/FAT Viewer?action=UPDATE&amp;creator=factset&amp;DYN_ARGS=TRUE&amp;DOC_NAME=FAT:FQL_AUDITING_CLIENT_TEMPLATE.FAT&amp;display_string=Audit&amp;VAR:KEY=GFMXWVSDMJ&amp;VAR:QUERY=UkdGX1RBWF9SQVRFKEFOTiwwLCwsLCwsTk9BVURJVCk=&amp;WINDOW=FIRST_POPUP&amp;HEIGHT=450&amp;WIDTH=450&amp;","START_MAXIMIZED=FALSE&amp;VAR:CALENDAR=US&amp;VAR:SYMBOL=SPSC&amp;VAR:INDEX=0"}</definedName>
    <definedName name="_3614__FDSAUDITLINK__" localSheetId="7" hidden="1">{"fdsup://directions/FAT Viewer?action=UPDATE&amp;creator=factset&amp;DYN_ARGS=TRUE&amp;DOC_NAME=FAT:FQL_AUDITING_CLIENT_TEMPLATE.FAT&amp;display_string=Audit&amp;VAR:KEY=GFMXWVSDMJ&amp;VAR:QUERY=UkdGX1RBWF9SQVRFKEFOTiwwLCwsLCwsTk9BVURJVCk=&amp;WINDOW=FIRST_POPUP&amp;HEIGHT=450&amp;WIDTH=450&amp;","START_MAXIMIZED=FALSE&amp;VAR:CALENDAR=US&amp;VAR:SYMBOL=SPSC&amp;VAR:INDEX=0"}</definedName>
    <definedName name="_3614__FDSAUDITLINK__" hidden="1">{"fdsup://directions/FAT Viewer?action=UPDATE&amp;creator=factset&amp;DYN_ARGS=TRUE&amp;DOC_NAME=FAT:FQL_AUDITING_CLIENT_TEMPLATE.FAT&amp;display_string=Audit&amp;VAR:KEY=GFMXWVSDMJ&amp;VAR:QUERY=UkdGX1RBWF9SQVRFKEFOTiwwLCwsLCwsTk9BVURJVCk=&amp;WINDOW=FIRST_POPUP&amp;HEIGHT=450&amp;WIDTH=450&amp;","START_MAXIMIZED=FALSE&amp;VAR:CALENDAR=US&amp;VAR:SYMBOL=SPSC&amp;VAR:INDEX=0"}</definedName>
    <definedName name="_3615__FDSAUDITLINK__" localSheetId="3" hidden="1">{"fdsup://directions/FAT Viewer?action=UPDATE&amp;creator=factset&amp;DYN_ARGS=TRUE&amp;DOC_NAME=FAT:FQL_AUDITING_CLIENT_TEMPLATE.FAT&amp;display_string=Audit&amp;VAR:KEY=KLMTUBOVCR&amp;VAR:QUERY=UkdGX1RBWF9SQVRFKEFOTiwwLCwsLCwsTk9BVURJVCk=&amp;WINDOW=FIRST_POPUP&amp;HEIGHT=450&amp;WIDTH=450&amp;","START_MAXIMIZED=FALSE&amp;VAR:CALENDAR=US&amp;VAR:SYMBOL=LNUX&amp;VAR:INDEX=0"}</definedName>
    <definedName name="_3615__FDSAUDITLINK__" localSheetId="7" hidden="1">{"fdsup://directions/FAT Viewer?action=UPDATE&amp;creator=factset&amp;DYN_ARGS=TRUE&amp;DOC_NAME=FAT:FQL_AUDITING_CLIENT_TEMPLATE.FAT&amp;display_string=Audit&amp;VAR:KEY=KLMTUBOVCR&amp;VAR:QUERY=UkdGX1RBWF9SQVRFKEFOTiwwLCwsLCwsTk9BVURJVCk=&amp;WINDOW=FIRST_POPUP&amp;HEIGHT=450&amp;WIDTH=450&amp;","START_MAXIMIZED=FALSE&amp;VAR:CALENDAR=US&amp;VAR:SYMBOL=LNUX&amp;VAR:INDEX=0"}</definedName>
    <definedName name="_3615__FDSAUDITLINK__" hidden="1">{"fdsup://directions/FAT Viewer?action=UPDATE&amp;creator=factset&amp;DYN_ARGS=TRUE&amp;DOC_NAME=FAT:FQL_AUDITING_CLIENT_TEMPLATE.FAT&amp;display_string=Audit&amp;VAR:KEY=KLMTUBOVCR&amp;VAR:QUERY=UkdGX1RBWF9SQVRFKEFOTiwwLCwsLCwsTk9BVURJVCk=&amp;WINDOW=FIRST_POPUP&amp;HEIGHT=450&amp;WIDTH=450&amp;","START_MAXIMIZED=FALSE&amp;VAR:CALENDAR=US&amp;VAR:SYMBOL=LNUX&amp;VAR:INDEX=0"}</definedName>
    <definedName name="_3616__FDSAUDITLINK__" localSheetId="3" hidden="1">{"fdsup://directions/FAT Viewer?action=UPDATE&amp;creator=factset&amp;DYN_ARGS=TRUE&amp;DOC_NAME=FAT:FQL_AUDITING_CLIENT_TEMPLATE.FAT&amp;display_string=Audit&amp;VAR:KEY=UDAHIVILCH&amp;VAR:QUERY=UkdGX1RBWF9SQVRFKEFOTiwwLCwsLCwsTk9BVURJVCk=&amp;WINDOW=FIRST_POPUP&amp;HEIGHT=450&amp;WIDTH=450&amp;","START_MAXIMIZED=FALSE&amp;VAR:CALENDAR=US&amp;VAR:SYMBOL=FIRE&amp;VAR:INDEX=0"}</definedName>
    <definedName name="_3616__FDSAUDITLINK__" localSheetId="7" hidden="1">{"fdsup://directions/FAT Viewer?action=UPDATE&amp;creator=factset&amp;DYN_ARGS=TRUE&amp;DOC_NAME=FAT:FQL_AUDITING_CLIENT_TEMPLATE.FAT&amp;display_string=Audit&amp;VAR:KEY=UDAHIVILCH&amp;VAR:QUERY=UkdGX1RBWF9SQVRFKEFOTiwwLCwsLCwsTk9BVURJVCk=&amp;WINDOW=FIRST_POPUP&amp;HEIGHT=450&amp;WIDTH=450&amp;","START_MAXIMIZED=FALSE&amp;VAR:CALENDAR=US&amp;VAR:SYMBOL=FIRE&amp;VAR:INDEX=0"}</definedName>
    <definedName name="_3616__FDSAUDITLINK__" hidden="1">{"fdsup://directions/FAT Viewer?action=UPDATE&amp;creator=factset&amp;DYN_ARGS=TRUE&amp;DOC_NAME=FAT:FQL_AUDITING_CLIENT_TEMPLATE.FAT&amp;display_string=Audit&amp;VAR:KEY=UDAHIVILCH&amp;VAR:QUERY=UkdGX1RBWF9SQVRFKEFOTiwwLCwsLCwsTk9BVURJVCk=&amp;WINDOW=FIRST_POPUP&amp;HEIGHT=450&amp;WIDTH=450&amp;","START_MAXIMIZED=FALSE&amp;VAR:CALENDAR=US&amp;VAR:SYMBOL=FIRE&amp;VAR:INDEX=0"}</definedName>
    <definedName name="_3617__FDSAUDITLINK__" localSheetId="3" hidden="1">{"fdsup://directions/FAT Viewer?action=UPDATE&amp;creator=factset&amp;DYN_ARGS=TRUE&amp;DOC_NAME=FAT:FQL_AUDITING_CLIENT_TEMPLATE.FAT&amp;display_string=Audit&amp;VAR:KEY=UDAHIVILCH&amp;VAR:QUERY=UkdGX1RBWF9SQVRFKEFOTiwwLCwsLCwsTk9BVURJVCk=&amp;WINDOW=FIRST_POPUP&amp;HEIGHT=450&amp;WIDTH=450&amp;","START_MAXIMIZED=FALSE&amp;VAR:CALENDAR=US&amp;VAR:SYMBOL=FIRE&amp;VAR:INDEX=0"}</definedName>
    <definedName name="_3617__FDSAUDITLINK__" localSheetId="7" hidden="1">{"fdsup://directions/FAT Viewer?action=UPDATE&amp;creator=factset&amp;DYN_ARGS=TRUE&amp;DOC_NAME=FAT:FQL_AUDITING_CLIENT_TEMPLATE.FAT&amp;display_string=Audit&amp;VAR:KEY=UDAHIVILCH&amp;VAR:QUERY=UkdGX1RBWF9SQVRFKEFOTiwwLCwsLCwsTk9BVURJVCk=&amp;WINDOW=FIRST_POPUP&amp;HEIGHT=450&amp;WIDTH=450&amp;","START_MAXIMIZED=FALSE&amp;VAR:CALENDAR=US&amp;VAR:SYMBOL=FIRE&amp;VAR:INDEX=0"}</definedName>
    <definedName name="_3617__FDSAUDITLINK__" hidden="1">{"fdsup://directions/FAT Viewer?action=UPDATE&amp;creator=factset&amp;DYN_ARGS=TRUE&amp;DOC_NAME=FAT:FQL_AUDITING_CLIENT_TEMPLATE.FAT&amp;display_string=Audit&amp;VAR:KEY=UDAHIVILCH&amp;VAR:QUERY=UkdGX1RBWF9SQVRFKEFOTiwwLCwsLCwsTk9BVURJVCk=&amp;WINDOW=FIRST_POPUP&amp;HEIGHT=450&amp;WIDTH=450&amp;","START_MAXIMIZED=FALSE&amp;VAR:CALENDAR=US&amp;VAR:SYMBOL=FIRE&amp;VAR:INDEX=0"}</definedName>
    <definedName name="_3618__FDSAUDITLINK__" localSheetId="3" hidden="1">{"fdsup://directions/FAT Viewer?action=UPDATE&amp;creator=factset&amp;DYN_ARGS=TRUE&amp;DOC_NAME=FAT:FQL_AUDITING_CLIENT_TEMPLATE.FAT&amp;display_string=Audit&amp;VAR:KEY=ORWLGJEROZ&amp;VAR:QUERY=UkdGX1RBWF9SQVRFKEFOTiwwLCwsLCwsTk9BVURJVCk=&amp;WINDOW=FIRST_POPUP&amp;HEIGHT=450&amp;WIDTH=450&amp;","START_MAXIMIZED=FALSE&amp;VAR:CALENDAR=US&amp;VAR:SYMBOL=SNIC&amp;VAR:INDEX=0"}</definedName>
    <definedName name="_3618__FDSAUDITLINK__" localSheetId="7" hidden="1">{"fdsup://directions/FAT Viewer?action=UPDATE&amp;creator=factset&amp;DYN_ARGS=TRUE&amp;DOC_NAME=FAT:FQL_AUDITING_CLIENT_TEMPLATE.FAT&amp;display_string=Audit&amp;VAR:KEY=ORWLGJEROZ&amp;VAR:QUERY=UkdGX1RBWF9SQVRFKEFOTiwwLCwsLCwsTk9BVURJVCk=&amp;WINDOW=FIRST_POPUP&amp;HEIGHT=450&amp;WIDTH=450&amp;","START_MAXIMIZED=FALSE&amp;VAR:CALENDAR=US&amp;VAR:SYMBOL=SNIC&amp;VAR:INDEX=0"}</definedName>
    <definedName name="_3618__FDSAUDITLINK__" hidden="1">{"fdsup://directions/FAT Viewer?action=UPDATE&amp;creator=factset&amp;DYN_ARGS=TRUE&amp;DOC_NAME=FAT:FQL_AUDITING_CLIENT_TEMPLATE.FAT&amp;display_string=Audit&amp;VAR:KEY=ORWLGJEROZ&amp;VAR:QUERY=UkdGX1RBWF9SQVRFKEFOTiwwLCwsLCwsTk9BVURJVCk=&amp;WINDOW=FIRST_POPUP&amp;HEIGHT=450&amp;WIDTH=450&amp;","START_MAXIMIZED=FALSE&amp;VAR:CALENDAR=US&amp;VAR:SYMBOL=SNIC&amp;VAR:INDEX=0"}</definedName>
    <definedName name="_3619__FDSAUDITLINK__" localSheetId="3" hidden="1">{"fdsup://directions/FAT Viewer?action=UPDATE&amp;creator=factset&amp;DYN_ARGS=TRUE&amp;DOC_NAME=FAT:FQL_AUDITING_CLIENT_TEMPLATE.FAT&amp;display_string=Audit&amp;VAR:KEY=UVQFIDSDMF&amp;VAR:QUERY=UkdGX1RBWF9SQVRFKEFOTiwwLCwsLCwsTk9BVURJVCk=&amp;WINDOW=FIRST_POPUP&amp;HEIGHT=450&amp;WIDTH=450&amp;","START_MAXIMIZED=FALSE&amp;VAR:CALENDAR=US&amp;VAR:SYMBOL=SLH&amp;VAR:INDEX=0"}</definedName>
    <definedName name="_3619__FDSAUDITLINK__" localSheetId="7" hidden="1">{"fdsup://directions/FAT Viewer?action=UPDATE&amp;creator=factset&amp;DYN_ARGS=TRUE&amp;DOC_NAME=FAT:FQL_AUDITING_CLIENT_TEMPLATE.FAT&amp;display_string=Audit&amp;VAR:KEY=UVQFIDSDMF&amp;VAR:QUERY=UkdGX1RBWF9SQVRFKEFOTiwwLCwsLCwsTk9BVURJVCk=&amp;WINDOW=FIRST_POPUP&amp;HEIGHT=450&amp;WIDTH=450&amp;","START_MAXIMIZED=FALSE&amp;VAR:CALENDAR=US&amp;VAR:SYMBOL=SLH&amp;VAR:INDEX=0"}</definedName>
    <definedName name="_3619__FDSAUDITLINK__" hidden="1">{"fdsup://directions/FAT Viewer?action=UPDATE&amp;creator=factset&amp;DYN_ARGS=TRUE&amp;DOC_NAME=FAT:FQL_AUDITING_CLIENT_TEMPLATE.FAT&amp;display_string=Audit&amp;VAR:KEY=UVQFIDSDMF&amp;VAR:QUERY=UkdGX1RBWF9SQVRFKEFOTiwwLCwsLCwsTk9BVURJVCk=&amp;WINDOW=FIRST_POPUP&amp;HEIGHT=450&amp;WIDTH=450&amp;","START_MAXIMIZED=FALSE&amp;VAR:CALENDAR=US&amp;VAR:SYMBOL=SLH&amp;VAR:INDEX=0"}</definedName>
    <definedName name="_362__FDSAUDITLINK__" localSheetId="3" hidden="1">{"fdsup://directions/FAT Viewer?action=UPDATE&amp;creator=factset&amp;DYN_ARGS=TRUE&amp;DOC_NAME=FAT:FQL_AUDITING_CLIENT_TEMPLATE.FAT&amp;display_string=Audit&amp;VAR:KEY=QTGTONMHOF&amp;VAR:QUERY=RkZfREVCVChBTk4sMCwtOSxZLFJQLFVTRCxNKQ==&amp;WINDOW=FIRST_POPUP&amp;HEIGHT=450&amp;WIDTH=450&amp;STAR","T_MAXIMIZED=FALSE&amp;VAR:CALENDAR=US&amp;VAR:SYMBOL=B10LQP&amp;VAR:INDEX=5"}</definedName>
    <definedName name="_362__FDSAUDITLINK__" localSheetId="7" hidden="1">{"fdsup://directions/FAT Viewer?action=UPDATE&amp;creator=factset&amp;DYN_ARGS=TRUE&amp;DOC_NAME=FAT:FQL_AUDITING_CLIENT_TEMPLATE.FAT&amp;display_string=Audit&amp;VAR:KEY=QTGTONMHOF&amp;VAR:QUERY=RkZfREVCVChBTk4sMCwtOSxZLFJQLFVTRCxNKQ==&amp;WINDOW=FIRST_POPUP&amp;HEIGHT=450&amp;WIDTH=450&amp;STAR","T_MAXIMIZED=FALSE&amp;VAR:CALENDAR=US&amp;VAR:SYMBOL=B10LQP&amp;VAR:INDEX=5"}</definedName>
    <definedName name="_362__FDSAUDITLINK__" hidden="1">{"fdsup://directions/FAT Viewer?action=UPDATE&amp;creator=factset&amp;DYN_ARGS=TRUE&amp;DOC_NAME=FAT:FQL_AUDITING_CLIENT_TEMPLATE.FAT&amp;display_string=Audit&amp;VAR:KEY=QTGTONMHOF&amp;VAR:QUERY=RkZfREVCVChBTk4sMCwtOSxZLFJQLFVTRCxNKQ==&amp;WINDOW=FIRST_POPUP&amp;HEIGHT=450&amp;WIDTH=450&amp;STAR","T_MAXIMIZED=FALSE&amp;VAR:CALENDAR=US&amp;VAR:SYMBOL=B10LQP&amp;VAR:INDEX=5"}</definedName>
    <definedName name="_3620__FDSAUDITLINK__" localSheetId="3" hidden="1">{"fdsup://directions/FAT Viewer?action=UPDATE&amp;creator=factset&amp;DYN_ARGS=TRUE&amp;DOC_NAME=FAT:FQL_AUDITING_CLIENT_TEMPLATE.FAT&amp;display_string=Audit&amp;VAR:KEY=UVQFIDSDMF&amp;VAR:QUERY=UkdGX1RBWF9SQVRFKEFOTiwwLCwsLCwsTk9BVURJVCk=&amp;WINDOW=FIRST_POPUP&amp;HEIGHT=450&amp;WIDTH=450&amp;","START_MAXIMIZED=FALSE&amp;VAR:CALENDAR=US&amp;VAR:SYMBOL=SLH&amp;VAR:INDEX=0"}</definedName>
    <definedName name="_3620__FDSAUDITLINK__" localSheetId="7" hidden="1">{"fdsup://directions/FAT Viewer?action=UPDATE&amp;creator=factset&amp;DYN_ARGS=TRUE&amp;DOC_NAME=FAT:FQL_AUDITING_CLIENT_TEMPLATE.FAT&amp;display_string=Audit&amp;VAR:KEY=UVQFIDSDMF&amp;VAR:QUERY=UkdGX1RBWF9SQVRFKEFOTiwwLCwsLCwsTk9BVURJVCk=&amp;WINDOW=FIRST_POPUP&amp;HEIGHT=450&amp;WIDTH=450&amp;","START_MAXIMIZED=FALSE&amp;VAR:CALENDAR=US&amp;VAR:SYMBOL=SLH&amp;VAR:INDEX=0"}</definedName>
    <definedName name="_3620__FDSAUDITLINK__" hidden="1">{"fdsup://directions/FAT Viewer?action=UPDATE&amp;creator=factset&amp;DYN_ARGS=TRUE&amp;DOC_NAME=FAT:FQL_AUDITING_CLIENT_TEMPLATE.FAT&amp;display_string=Audit&amp;VAR:KEY=UVQFIDSDMF&amp;VAR:QUERY=UkdGX1RBWF9SQVRFKEFOTiwwLCwsLCwsTk9BVURJVCk=&amp;WINDOW=FIRST_POPUP&amp;HEIGHT=450&amp;WIDTH=450&amp;","START_MAXIMIZED=FALSE&amp;VAR:CALENDAR=US&amp;VAR:SYMBOL=SLH&amp;VAR:INDEX=0"}</definedName>
    <definedName name="_3621__FDSAUDITLINK__" localSheetId="3" hidden="1">{"fdsup://directions/FAT Viewer?action=UPDATE&amp;creator=factset&amp;DYN_ARGS=TRUE&amp;DOC_NAME=FAT:FQL_AUDITING_CLIENT_TEMPLATE.FAT&amp;display_string=Audit&amp;VAR:KEY=QXCTUPYNER&amp;VAR:QUERY=UkdGX1RBWF9SQVRFKEFOTiwwLCwsLCwsTk9BVURJVCk=&amp;WINDOW=FIRST_POPUP&amp;HEIGHT=450&amp;WIDTH=450&amp;","START_MAXIMIZED=FALSE&amp;VAR:CALENDAR=US&amp;VAR:SYMBOL=SWI&amp;VAR:INDEX=0"}</definedName>
    <definedName name="_3621__FDSAUDITLINK__" localSheetId="7" hidden="1">{"fdsup://directions/FAT Viewer?action=UPDATE&amp;creator=factset&amp;DYN_ARGS=TRUE&amp;DOC_NAME=FAT:FQL_AUDITING_CLIENT_TEMPLATE.FAT&amp;display_string=Audit&amp;VAR:KEY=QXCTUPYNER&amp;VAR:QUERY=UkdGX1RBWF9SQVRFKEFOTiwwLCwsLCwsTk9BVURJVCk=&amp;WINDOW=FIRST_POPUP&amp;HEIGHT=450&amp;WIDTH=450&amp;","START_MAXIMIZED=FALSE&amp;VAR:CALENDAR=US&amp;VAR:SYMBOL=SWI&amp;VAR:INDEX=0"}</definedName>
    <definedName name="_3621__FDSAUDITLINK__" hidden="1">{"fdsup://directions/FAT Viewer?action=UPDATE&amp;creator=factset&amp;DYN_ARGS=TRUE&amp;DOC_NAME=FAT:FQL_AUDITING_CLIENT_TEMPLATE.FAT&amp;display_string=Audit&amp;VAR:KEY=QXCTUPYNER&amp;VAR:QUERY=UkdGX1RBWF9SQVRFKEFOTiwwLCwsLCwsTk9BVURJVCk=&amp;WINDOW=FIRST_POPUP&amp;HEIGHT=450&amp;WIDTH=450&amp;","START_MAXIMIZED=FALSE&amp;VAR:CALENDAR=US&amp;VAR:SYMBOL=SWI&amp;VAR:INDEX=0"}</definedName>
    <definedName name="_3622__FDSAUDITLINK__" localSheetId="3" hidden="1">{"fdsup://directions/FAT Viewer?action=UPDATE&amp;creator=factset&amp;DYN_ARGS=TRUE&amp;DOC_NAME=FAT:FQL_AUDITING_CLIENT_TEMPLATE.FAT&amp;display_string=Audit&amp;VAR:KEY=QXCTUPYNER&amp;VAR:QUERY=UkdGX1RBWF9SQVRFKEFOTiwwLCwsLCwsTk9BVURJVCk=&amp;WINDOW=FIRST_POPUP&amp;HEIGHT=450&amp;WIDTH=450&amp;","START_MAXIMIZED=FALSE&amp;VAR:CALENDAR=US&amp;VAR:SYMBOL=SWI&amp;VAR:INDEX=0"}</definedName>
    <definedName name="_3622__FDSAUDITLINK__" localSheetId="7" hidden="1">{"fdsup://directions/FAT Viewer?action=UPDATE&amp;creator=factset&amp;DYN_ARGS=TRUE&amp;DOC_NAME=FAT:FQL_AUDITING_CLIENT_TEMPLATE.FAT&amp;display_string=Audit&amp;VAR:KEY=QXCTUPYNER&amp;VAR:QUERY=UkdGX1RBWF9SQVRFKEFOTiwwLCwsLCwsTk9BVURJVCk=&amp;WINDOW=FIRST_POPUP&amp;HEIGHT=450&amp;WIDTH=450&amp;","START_MAXIMIZED=FALSE&amp;VAR:CALENDAR=US&amp;VAR:SYMBOL=SWI&amp;VAR:INDEX=0"}</definedName>
    <definedName name="_3622__FDSAUDITLINK__" hidden="1">{"fdsup://directions/FAT Viewer?action=UPDATE&amp;creator=factset&amp;DYN_ARGS=TRUE&amp;DOC_NAME=FAT:FQL_AUDITING_CLIENT_TEMPLATE.FAT&amp;display_string=Audit&amp;VAR:KEY=QXCTUPYNER&amp;VAR:QUERY=UkdGX1RBWF9SQVRFKEFOTiwwLCwsLCwsTk9BVURJVCk=&amp;WINDOW=FIRST_POPUP&amp;HEIGHT=450&amp;WIDTH=450&amp;","START_MAXIMIZED=FALSE&amp;VAR:CALENDAR=US&amp;VAR:SYMBOL=SWI&amp;VAR:INDEX=0"}</definedName>
    <definedName name="_3623__FDSAUDITLINK__" localSheetId="3" hidden="1">{"fdsup://directions/FAT Viewer?action=UPDATE&amp;creator=factset&amp;DYN_ARGS=TRUE&amp;DOC_NAME=FAT:FQL_AUDITING_CLIENT_TEMPLATE.FAT&amp;display_string=Audit&amp;VAR:KEY=OHAJANMFAZ&amp;VAR:QUERY=UkdGX1RBWF9SQVRFKEFOTiwwLCwsLCwsTk9BVURJVCk=&amp;WINDOW=FIRST_POPUP&amp;HEIGHT=450&amp;WIDTH=450&amp;","START_MAXIMIZED=FALSE&amp;VAR:CALENDAR=US&amp;VAR:SYMBOL=475513&amp;VAR:INDEX=0"}</definedName>
    <definedName name="_3623__FDSAUDITLINK__" localSheetId="7" hidden="1">{"fdsup://directions/FAT Viewer?action=UPDATE&amp;creator=factset&amp;DYN_ARGS=TRUE&amp;DOC_NAME=FAT:FQL_AUDITING_CLIENT_TEMPLATE.FAT&amp;display_string=Audit&amp;VAR:KEY=OHAJANMFAZ&amp;VAR:QUERY=UkdGX1RBWF9SQVRFKEFOTiwwLCwsLCwsTk9BVURJVCk=&amp;WINDOW=FIRST_POPUP&amp;HEIGHT=450&amp;WIDTH=450&amp;","START_MAXIMIZED=FALSE&amp;VAR:CALENDAR=US&amp;VAR:SYMBOL=475513&amp;VAR:INDEX=0"}</definedName>
    <definedName name="_3623__FDSAUDITLINK__" hidden="1">{"fdsup://directions/FAT Viewer?action=UPDATE&amp;creator=factset&amp;DYN_ARGS=TRUE&amp;DOC_NAME=FAT:FQL_AUDITING_CLIENT_TEMPLATE.FAT&amp;display_string=Audit&amp;VAR:KEY=OHAJANMFAZ&amp;VAR:QUERY=UkdGX1RBWF9SQVRFKEFOTiwwLCwsLCwsTk9BVURJVCk=&amp;WINDOW=FIRST_POPUP&amp;HEIGHT=450&amp;WIDTH=450&amp;","START_MAXIMIZED=FALSE&amp;VAR:CALENDAR=US&amp;VAR:SYMBOL=475513&amp;VAR:INDEX=0"}</definedName>
    <definedName name="_3624__FDSAUDITLINK__" localSheetId="3" hidden="1">{"fdsup://directions/FAT Viewer?action=UPDATE&amp;creator=factset&amp;DYN_ARGS=TRUE&amp;DOC_NAME=FAT:FQL_AUDITING_CLIENT_TEMPLATE.FAT&amp;display_string=Audit&amp;VAR:KEY=OHAJANMFAZ&amp;VAR:QUERY=UkdGX1RBWF9SQVRFKEFOTiwwLCwsLCwsTk9BVURJVCk=&amp;WINDOW=FIRST_POPUP&amp;HEIGHT=450&amp;WIDTH=450&amp;","START_MAXIMIZED=FALSE&amp;VAR:CALENDAR=US&amp;VAR:SYMBOL=475513&amp;VAR:INDEX=0"}</definedName>
    <definedName name="_3624__FDSAUDITLINK__" localSheetId="7" hidden="1">{"fdsup://directions/FAT Viewer?action=UPDATE&amp;creator=factset&amp;DYN_ARGS=TRUE&amp;DOC_NAME=FAT:FQL_AUDITING_CLIENT_TEMPLATE.FAT&amp;display_string=Audit&amp;VAR:KEY=OHAJANMFAZ&amp;VAR:QUERY=UkdGX1RBWF9SQVRFKEFOTiwwLCwsLCwsTk9BVURJVCk=&amp;WINDOW=FIRST_POPUP&amp;HEIGHT=450&amp;WIDTH=450&amp;","START_MAXIMIZED=FALSE&amp;VAR:CALENDAR=US&amp;VAR:SYMBOL=475513&amp;VAR:INDEX=0"}</definedName>
    <definedName name="_3624__FDSAUDITLINK__" hidden="1">{"fdsup://directions/FAT Viewer?action=UPDATE&amp;creator=factset&amp;DYN_ARGS=TRUE&amp;DOC_NAME=FAT:FQL_AUDITING_CLIENT_TEMPLATE.FAT&amp;display_string=Audit&amp;VAR:KEY=OHAJANMFAZ&amp;VAR:QUERY=UkdGX1RBWF9SQVRFKEFOTiwwLCwsLCwsTk9BVURJVCk=&amp;WINDOW=FIRST_POPUP&amp;HEIGHT=450&amp;WIDTH=450&amp;","START_MAXIMIZED=FALSE&amp;VAR:CALENDAR=US&amp;VAR:SYMBOL=475513&amp;VAR:INDEX=0"}</definedName>
    <definedName name="_3625__FDSAUDITLINK__" localSheetId="3" hidden="1">{"fdsup://directions/FAT Viewer?action=UPDATE&amp;creator=factset&amp;DYN_ARGS=TRUE&amp;DOC_NAME=FAT:FQL_AUDITING_CLIENT_TEMPLATE.FAT&amp;display_string=Audit&amp;VAR:KEY=IVUTQNSDIL&amp;VAR:QUERY=UkdGX1RBWF9SQVRFKEFOTiwwLCwsLCwsTk9BVURJVCk=&amp;WINDOW=FIRST_POPUP&amp;HEIGHT=450&amp;WIDTH=450&amp;","START_MAXIMIZED=FALSE&amp;VAR:CALENDAR=US&amp;VAR:SYMBOL=SMSI&amp;VAR:INDEX=0"}</definedName>
    <definedName name="_3625__FDSAUDITLINK__" localSheetId="7" hidden="1">{"fdsup://directions/FAT Viewer?action=UPDATE&amp;creator=factset&amp;DYN_ARGS=TRUE&amp;DOC_NAME=FAT:FQL_AUDITING_CLIENT_TEMPLATE.FAT&amp;display_string=Audit&amp;VAR:KEY=IVUTQNSDIL&amp;VAR:QUERY=UkdGX1RBWF9SQVRFKEFOTiwwLCwsLCwsTk9BVURJVCk=&amp;WINDOW=FIRST_POPUP&amp;HEIGHT=450&amp;WIDTH=450&amp;","START_MAXIMIZED=FALSE&amp;VAR:CALENDAR=US&amp;VAR:SYMBOL=SMSI&amp;VAR:INDEX=0"}</definedName>
    <definedName name="_3625__FDSAUDITLINK__" hidden="1">{"fdsup://directions/FAT Viewer?action=UPDATE&amp;creator=factset&amp;DYN_ARGS=TRUE&amp;DOC_NAME=FAT:FQL_AUDITING_CLIENT_TEMPLATE.FAT&amp;display_string=Audit&amp;VAR:KEY=IVUTQNSDIL&amp;VAR:QUERY=UkdGX1RBWF9SQVRFKEFOTiwwLCwsLCwsTk9BVURJVCk=&amp;WINDOW=FIRST_POPUP&amp;HEIGHT=450&amp;WIDTH=450&amp;","START_MAXIMIZED=FALSE&amp;VAR:CALENDAR=US&amp;VAR:SYMBOL=SMSI&amp;VAR:INDEX=0"}</definedName>
    <definedName name="_3626__FDSAUDITLINK__" localSheetId="3" hidden="1">{"fdsup://directions/FAT Viewer?action=UPDATE&amp;creator=factset&amp;DYN_ARGS=TRUE&amp;DOC_NAME=FAT:FQL_AUDITING_CLIENT_TEMPLATE.FAT&amp;display_string=Audit&amp;VAR:KEY=IVUTQNSDIL&amp;VAR:QUERY=UkdGX1RBWF9SQVRFKEFOTiwwLCwsLCwsTk9BVURJVCk=&amp;WINDOW=FIRST_POPUP&amp;HEIGHT=450&amp;WIDTH=450&amp;","START_MAXIMIZED=FALSE&amp;VAR:CALENDAR=US&amp;VAR:SYMBOL=SMSI&amp;VAR:INDEX=0"}</definedName>
    <definedName name="_3626__FDSAUDITLINK__" localSheetId="7" hidden="1">{"fdsup://directions/FAT Viewer?action=UPDATE&amp;creator=factset&amp;DYN_ARGS=TRUE&amp;DOC_NAME=FAT:FQL_AUDITING_CLIENT_TEMPLATE.FAT&amp;display_string=Audit&amp;VAR:KEY=IVUTQNSDIL&amp;VAR:QUERY=UkdGX1RBWF9SQVRFKEFOTiwwLCwsLCwsTk9BVURJVCk=&amp;WINDOW=FIRST_POPUP&amp;HEIGHT=450&amp;WIDTH=450&amp;","START_MAXIMIZED=FALSE&amp;VAR:CALENDAR=US&amp;VAR:SYMBOL=SMSI&amp;VAR:INDEX=0"}</definedName>
    <definedName name="_3626__FDSAUDITLINK__" hidden="1">{"fdsup://directions/FAT Viewer?action=UPDATE&amp;creator=factset&amp;DYN_ARGS=TRUE&amp;DOC_NAME=FAT:FQL_AUDITING_CLIENT_TEMPLATE.FAT&amp;display_string=Audit&amp;VAR:KEY=IVUTQNSDIL&amp;VAR:QUERY=UkdGX1RBWF9SQVRFKEFOTiwwLCwsLCwsTk9BVURJVCk=&amp;WINDOW=FIRST_POPUP&amp;HEIGHT=450&amp;WIDTH=450&amp;","START_MAXIMIZED=FALSE&amp;VAR:CALENDAR=US&amp;VAR:SYMBOL=SMSI&amp;VAR:INDEX=0"}</definedName>
    <definedName name="_3627__FDSAUDITLINK__" localSheetId="3" hidden="1">{"fdsup://directions/FAT Viewer?action=UPDATE&amp;creator=factset&amp;DYN_ARGS=TRUE&amp;DOC_NAME=FAT:FQL_AUDITING_CLIENT_TEMPLATE.FAT&amp;display_string=Audit&amp;VAR:KEY=AXKNOFCNON&amp;VAR:QUERY=UkdGX1RBWF9SQVRFKEFOTiwwLCwsLCwsTk9BVURJVCk=&amp;WINDOW=FIRST_POPUP&amp;HEIGHT=450&amp;WIDTH=450&amp;","START_MAXIMIZED=FALSE&amp;VAR:CALENDAR=US&amp;VAR:SYMBOL=SQI&amp;VAR:INDEX=0"}</definedName>
    <definedName name="_3627__FDSAUDITLINK__" localSheetId="7" hidden="1">{"fdsup://directions/FAT Viewer?action=UPDATE&amp;creator=factset&amp;DYN_ARGS=TRUE&amp;DOC_NAME=FAT:FQL_AUDITING_CLIENT_TEMPLATE.FAT&amp;display_string=Audit&amp;VAR:KEY=AXKNOFCNON&amp;VAR:QUERY=UkdGX1RBWF9SQVRFKEFOTiwwLCwsLCwsTk9BVURJVCk=&amp;WINDOW=FIRST_POPUP&amp;HEIGHT=450&amp;WIDTH=450&amp;","START_MAXIMIZED=FALSE&amp;VAR:CALENDAR=US&amp;VAR:SYMBOL=SQI&amp;VAR:INDEX=0"}</definedName>
    <definedName name="_3627__FDSAUDITLINK__" hidden="1">{"fdsup://directions/FAT Viewer?action=UPDATE&amp;creator=factset&amp;DYN_ARGS=TRUE&amp;DOC_NAME=FAT:FQL_AUDITING_CLIENT_TEMPLATE.FAT&amp;display_string=Audit&amp;VAR:KEY=AXKNOFCNON&amp;VAR:QUERY=UkdGX1RBWF9SQVRFKEFOTiwwLCwsLCwsTk9BVURJVCk=&amp;WINDOW=FIRST_POPUP&amp;HEIGHT=450&amp;WIDTH=450&amp;","START_MAXIMIZED=FALSE&amp;VAR:CALENDAR=US&amp;VAR:SYMBOL=SQI&amp;VAR:INDEX=0"}</definedName>
    <definedName name="_3628__FDSAUDITLINK__" localSheetId="3" hidden="1">{"fdsup://directions/FAT Viewer?action=UPDATE&amp;creator=factset&amp;DYN_ARGS=TRUE&amp;DOC_NAME=FAT:FQL_AUDITING_CLIENT_TEMPLATE.FAT&amp;display_string=Audit&amp;VAR:KEY=AXKNOFCNON&amp;VAR:QUERY=UkdGX1RBWF9SQVRFKEFOTiwwLCwsLCwsTk9BVURJVCk=&amp;WINDOW=FIRST_POPUP&amp;HEIGHT=450&amp;WIDTH=450&amp;","START_MAXIMIZED=FALSE&amp;VAR:CALENDAR=US&amp;VAR:SYMBOL=SQI&amp;VAR:INDEX=0"}</definedName>
    <definedName name="_3628__FDSAUDITLINK__" localSheetId="7" hidden="1">{"fdsup://directions/FAT Viewer?action=UPDATE&amp;creator=factset&amp;DYN_ARGS=TRUE&amp;DOC_NAME=FAT:FQL_AUDITING_CLIENT_TEMPLATE.FAT&amp;display_string=Audit&amp;VAR:KEY=AXKNOFCNON&amp;VAR:QUERY=UkdGX1RBWF9SQVRFKEFOTiwwLCwsLCwsTk9BVURJVCk=&amp;WINDOW=FIRST_POPUP&amp;HEIGHT=450&amp;WIDTH=450&amp;","START_MAXIMIZED=FALSE&amp;VAR:CALENDAR=US&amp;VAR:SYMBOL=SQI&amp;VAR:INDEX=0"}</definedName>
    <definedName name="_3628__FDSAUDITLINK__" hidden="1">{"fdsup://directions/FAT Viewer?action=UPDATE&amp;creator=factset&amp;DYN_ARGS=TRUE&amp;DOC_NAME=FAT:FQL_AUDITING_CLIENT_TEMPLATE.FAT&amp;display_string=Audit&amp;VAR:KEY=AXKNOFCNON&amp;VAR:QUERY=UkdGX1RBWF9SQVRFKEFOTiwwLCwsLCwsTk9BVURJVCk=&amp;WINDOW=FIRST_POPUP&amp;HEIGHT=450&amp;WIDTH=450&amp;","START_MAXIMIZED=FALSE&amp;VAR:CALENDAR=US&amp;VAR:SYMBOL=SQI&amp;VAR:INDEX=0"}</definedName>
    <definedName name="_3629__FDSAUDITLINK__" localSheetId="3" hidden="1">{"fdsup://directions/FAT Viewer?action=UPDATE&amp;creator=factset&amp;DYN_ARGS=TRUE&amp;DOC_NAME=FAT:FQL_AUDITING_CLIENT_TEMPLATE.FAT&amp;display_string=Audit&amp;VAR:KEY=UXGPUVEHQD&amp;VAR:QUERY=UkdGX1RBWF9SQVRFKEFOTiwwLCwsLCwsTk9BVURJVCk=&amp;WINDOW=FIRST_POPUP&amp;HEIGHT=450&amp;WIDTH=450&amp;","START_MAXIMIZED=FALSE&amp;VAR:CALENDAR=US&amp;VAR:SYMBOL=SVVS&amp;VAR:INDEX=0"}</definedName>
    <definedName name="_3629__FDSAUDITLINK__" localSheetId="7" hidden="1">{"fdsup://directions/FAT Viewer?action=UPDATE&amp;creator=factset&amp;DYN_ARGS=TRUE&amp;DOC_NAME=FAT:FQL_AUDITING_CLIENT_TEMPLATE.FAT&amp;display_string=Audit&amp;VAR:KEY=UXGPUVEHQD&amp;VAR:QUERY=UkdGX1RBWF9SQVRFKEFOTiwwLCwsLCwsTk9BVURJVCk=&amp;WINDOW=FIRST_POPUP&amp;HEIGHT=450&amp;WIDTH=450&amp;","START_MAXIMIZED=FALSE&amp;VAR:CALENDAR=US&amp;VAR:SYMBOL=SVVS&amp;VAR:INDEX=0"}</definedName>
    <definedName name="_3629__FDSAUDITLINK__" hidden="1">{"fdsup://directions/FAT Viewer?action=UPDATE&amp;creator=factset&amp;DYN_ARGS=TRUE&amp;DOC_NAME=FAT:FQL_AUDITING_CLIENT_TEMPLATE.FAT&amp;display_string=Audit&amp;VAR:KEY=UXGPUVEHQD&amp;VAR:QUERY=UkdGX1RBWF9SQVRFKEFOTiwwLCwsLCwsTk9BVURJVCk=&amp;WINDOW=FIRST_POPUP&amp;HEIGHT=450&amp;WIDTH=450&amp;","START_MAXIMIZED=FALSE&amp;VAR:CALENDAR=US&amp;VAR:SYMBOL=SVVS&amp;VAR:INDEX=0"}</definedName>
    <definedName name="_363__FDSAUDITLINK__" localSheetId="3" hidden="1">{"fdsup://directions/FAT Viewer?action=UPDATE&amp;creator=factset&amp;DYN_ARGS=TRUE&amp;DOC_NAME=FAT:FQL_AUDITING_CLIENT_TEMPLATE.FAT&amp;display_string=Audit&amp;VAR:KEY=QTGTONMHOF&amp;VAR:QUERY=RkZfREVCVChBTk4sMCwtOSxZLFJQLFVTRCxNKQ==&amp;WINDOW=FIRST_POPUP&amp;HEIGHT=450&amp;WIDTH=450&amp;STAR","T_MAXIMIZED=FALSE&amp;VAR:CALENDAR=US&amp;VAR:SYMBOL=B10LQP&amp;VAR:INDEX=4"}</definedName>
    <definedName name="_363__FDSAUDITLINK__" localSheetId="7" hidden="1">{"fdsup://directions/FAT Viewer?action=UPDATE&amp;creator=factset&amp;DYN_ARGS=TRUE&amp;DOC_NAME=FAT:FQL_AUDITING_CLIENT_TEMPLATE.FAT&amp;display_string=Audit&amp;VAR:KEY=QTGTONMHOF&amp;VAR:QUERY=RkZfREVCVChBTk4sMCwtOSxZLFJQLFVTRCxNKQ==&amp;WINDOW=FIRST_POPUP&amp;HEIGHT=450&amp;WIDTH=450&amp;STAR","T_MAXIMIZED=FALSE&amp;VAR:CALENDAR=US&amp;VAR:SYMBOL=B10LQP&amp;VAR:INDEX=4"}</definedName>
    <definedName name="_363__FDSAUDITLINK__" hidden="1">{"fdsup://directions/FAT Viewer?action=UPDATE&amp;creator=factset&amp;DYN_ARGS=TRUE&amp;DOC_NAME=FAT:FQL_AUDITING_CLIENT_TEMPLATE.FAT&amp;display_string=Audit&amp;VAR:KEY=QTGTONMHOF&amp;VAR:QUERY=RkZfREVCVChBTk4sMCwtOSxZLFJQLFVTRCxNKQ==&amp;WINDOW=FIRST_POPUP&amp;HEIGHT=450&amp;WIDTH=450&amp;STAR","T_MAXIMIZED=FALSE&amp;VAR:CALENDAR=US&amp;VAR:SYMBOL=B10LQP&amp;VAR:INDEX=4"}</definedName>
    <definedName name="_3630__FDSAUDITLINK__" localSheetId="3" hidden="1">{"fdsup://directions/FAT Viewer?action=UPDATE&amp;creator=factset&amp;DYN_ARGS=TRUE&amp;DOC_NAME=FAT:FQL_AUDITING_CLIENT_TEMPLATE.FAT&amp;display_string=Audit&amp;VAR:KEY=IBYBCTKVGF&amp;VAR:QUERY=UkdGX1RBWF9SQVRFKEFOTiwwLCwsLCwsTk9BVURJVCk=&amp;WINDOW=FIRST_POPUP&amp;HEIGHT=450&amp;WIDTH=450&amp;","START_MAXIMIZED=FALSE&amp;VAR:CALENDAR=US&amp;VAR:SYMBOL=SAP&amp;VAR:INDEX=0"}</definedName>
    <definedName name="_3630__FDSAUDITLINK__" localSheetId="7" hidden="1">{"fdsup://directions/FAT Viewer?action=UPDATE&amp;creator=factset&amp;DYN_ARGS=TRUE&amp;DOC_NAME=FAT:FQL_AUDITING_CLIENT_TEMPLATE.FAT&amp;display_string=Audit&amp;VAR:KEY=IBYBCTKVGF&amp;VAR:QUERY=UkdGX1RBWF9SQVRFKEFOTiwwLCwsLCwsTk9BVURJVCk=&amp;WINDOW=FIRST_POPUP&amp;HEIGHT=450&amp;WIDTH=450&amp;","START_MAXIMIZED=FALSE&amp;VAR:CALENDAR=US&amp;VAR:SYMBOL=SAP&amp;VAR:INDEX=0"}</definedName>
    <definedName name="_3630__FDSAUDITLINK__" hidden="1">{"fdsup://directions/FAT Viewer?action=UPDATE&amp;creator=factset&amp;DYN_ARGS=TRUE&amp;DOC_NAME=FAT:FQL_AUDITING_CLIENT_TEMPLATE.FAT&amp;display_string=Audit&amp;VAR:KEY=IBYBCTKVGF&amp;VAR:QUERY=UkdGX1RBWF9SQVRFKEFOTiwwLCwsLCwsTk9BVURJVCk=&amp;WINDOW=FIRST_POPUP&amp;HEIGHT=450&amp;WIDTH=450&amp;","START_MAXIMIZED=FALSE&amp;VAR:CALENDAR=US&amp;VAR:SYMBOL=SAP&amp;VAR:INDEX=0"}</definedName>
    <definedName name="_3631__FDSAUDITLINK__" localSheetId="3" hidden="1">{"fdsup://directions/FAT Viewer?action=UPDATE&amp;creator=factset&amp;DYN_ARGS=TRUE&amp;DOC_NAME=FAT:FQL_AUDITING_CLIENT_TEMPLATE.FAT&amp;display_string=Audit&amp;VAR:KEY=IBYBCTKVGF&amp;VAR:QUERY=UkdGX1RBWF9SQVRFKEFOTiwwLCwsLCwsTk9BVURJVCk=&amp;WINDOW=FIRST_POPUP&amp;HEIGHT=450&amp;WIDTH=450&amp;","START_MAXIMIZED=FALSE&amp;VAR:CALENDAR=US&amp;VAR:SYMBOL=SAP&amp;VAR:INDEX=0"}</definedName>
    <definedName name="_3631__FDSAUDITLINK__" localSheetId="7" hidden="1">{"fdsup://directions/FAT Viewer?action=UPDATE&amp;creator=factset&amp;DYN_ARGS=TRUE&amp;DOC_NAME=FAT:FQL_AUDITING_CLIENT_TEMPLATE.FAT&amp;display_string=Audit&amp;VAR:KEY=IBYBCTKVGF&amp;VAR:QUERY=UkdGX1RBWF9SQVRFKEFOTiwwLCwsLCwsTk9BVURJVCk=&amp;WINDOW=FIRST_POPUP&amp;HEIGHT=450&amp;WIDTH=450&amp;","START_MAXIMIZED=FALSE&amp;VAR:CALENDAR=US&amp;VAR:SYMBOL=SAP&amp;VAR:INDEX=0"}</definedName>
    <definedName name="_3631__FDSAUDITLINK__" hidden="1">{"fdsup://directions/FAT Viewer?action=UPDATE&amp;creator=factset&amp;DYN_ARGS=TRUE&amp;DOC_NAME=FAT:FQL_AUDITING_CLIENT_TEMPLATE.FAT&amp;display_string=Audit&amp;VAR:KEY=IBYBCTKVGF&amp;VAR:QUERY=UkdGX1RBWF9SQVRFKEFOTiwwLCwsLCwsTk9BVURJVCk=&amp;WINDOW=FIRST_POPUP&amp;HEIGHT=450&amp;WIDTH=450&amp;","START_MAXIMIZED=FALSE&amp;VAR:CALENDAR=US&amp;VAR:SYMBOL=SAP&amp;VAR:INDEX=0"}</definedName>
    <definedName name="_3632__FDSAUDITLINK__" localSheetId="3" hidden="1">{"fdsup://directions/FAT Viewer?action=UPDATE&amp;creator=factset&amp;DYN_ARGS=TRUE&amp;DOC_NAME=FAT:FQL_AUDITING_CLIENT_TEMPLATE.FAT&amp;display_string=Audit&amp;VAR:KEY=KFUBUPQZGP&amp;VAR:QUERY=UkdGX1RBWF9SQVRFKEFOTiwwLCwsLCwsTk9BVURJVCk=&amp;WINDOW=FIRST_POPUP&amp;HEIGHT=450&amp;WIDTH=450&amp;","START_MAXIMIZED=FALSE&amp;VAR:CALENDAR=US&amp;VAR:SYMBOL=CRM&amp;VAR:INDEX=0"}</definedName>
    <definedName name="_3632__FDSAUDITLINK__" localSheetId="7" hidden="1">{"fdsup://directions/FAT Viewer?action=UPDATE&amp;creator=factset&amp;DYN_ARGS=TRUE&amp;DOC_NAME=FAT:FQL_AUDITING_CLIENT_TEMPLATE.FAT&amp;display_string=Audit&amp;VAR:KEY=KFUBUPQZGP&amp;VAR:QUERY=UkdGX1RBWF9SQVRFKEFOTiwwLCwsLCwsTk9BVURJVCk=&amp;WINDOW=FIRST_POPUP&amp;HEIGHT=450&amp;WIDTH=450&amp;","START_MAXIMIZED=FALSE&amp;VAR:CALENDAR=US&amp;VAR:SYMBOL=CRM&amp;VAR:INDEX=0"}</definedName>
    <definedName name="_3632__FDSAUDITLINK__" hidden="1">{"fdsup://directions/FAT Viewer?action=UPDATE&amp;creator=factset&amp;DYN_ARGS=TRUE&amp;DOC_NAME=FAT:FQL_AUDITING_CLIENT_TEMPLATE.FAT&amp;display_string=Audit&amp;VAR:KEY=KFUBUPQZGP&amp;VAR:QUERY=UkdGX1RBWF9SQVRFKEFOTiwwLCwsLCwsTk9BVURJVCk=&amp;WINDOW=FIRST_POPUP&amp;HEIGHT=450&amp;WIDTH=450&amp;","START_MAXIMIZED=FALSE&amp;VAR:CALENDAR=US&amp;VAR:SYMBOL=CRM&amp;VAR:INDEX=0"}</definedName>
    <definedName name="_3633__FDSAUDITLINK__" localSheetId="3" hidden="1">{"fdsup://directions/FAT Viewer?action=UPDATE&amp;creator=factset&amp;DYN_ARGS=TRUE&amp;DOC_NAME=FAT:FQL_AUDITING_CLIENT_TEMPLATE.FAT&amp;display_string=Audit&amp;VAR:KEY=KFUBUPQZGP&amp;VAR:QUERY=UkdGX1RBWF9SQVRFKEFOTiwwLCwsLCwsTk9BVURJVCk=&amp;WINDOW=FIRST_POPUP&amp;HEIGHT=450&amp;WIDTH=450&amp;","START_MAXIMIZED=FALSE&amp;VAR:CALENDAR=US&amp;VAR:SYMBOL=CRM&amp;VAR:INDEX=0"}</definedName>
    <definedName name="_3633__FDSAUDITLINK__" localSheetId="7" hidden="1">{"fdsup://directions/FAT Viewer?action=UPDATE&amp;creator=factset&amp;DYN_ARGS=TRUE&amp;DOC_NAME=FAT:FQL_AUDITING_CLIENT_TEMPLATE.FAT&amp;display_string=Audit&amp;VAR:KEY=KFUBUPQZGP&amp;VAR:QUERY=UkdGX1RBWF9SQVRFKEFOTiwwLCwsLCwsTk9BVURJVCk=&amp;WINDOW=FIRST_POPUP&amp;HEIGHT=450&amp;WIDTH=450&amp;","START_MAXIMIZED=FALSE&amp;VAR:CALENDAR=US&amp;VAR:SYMBOL=CRM&amp;VAR:INDEX=0"}</definedName>
    <definedName name="_3633__FDSAUDITLINK__" hidden="1">{"fdsup://directions/FAT Viewer?action=UPDATE&amp;creator=factset&amp;DYN_ARGS=TRUE&amp;DOC_NAME=FAT:FQL_AUDITING_CLIENT_TEMPLATE.FAT&amp;display_string=Audit&amp;VAR:KEY=KFUBUPQZGP&amp;VAR:QUERY=UkdGX1RBWF9SQVRFKEFOTiwwLCwsLCwsTk9BVURJVCk=&amp;WINDOW=FIRST_POPUP&amp;HEIGHT=450&amp;WIDTH=450&amp;","START_MAXIMIZED=FALSE&amp;VAR:CALENDAR=US&amp;VAR:SYMBOL=CRM&amp;VAR:INDEX=0"}</definedName>
    <definedName name="_3634__FDSAUDITLINK__" localSheetId="3" hidden="1">{"fdsup://directions/FAT Viewer?action=UPDATE&amp;creator=factset&amp;DYN_ARGS=TRUE&amp;DOC_NAME=FAT:FQL_AUDITING_CLIENT_TEMPLATE.FAT&amp;display_string=Audit&amp;VAR:KEY=IRWNOPUDIB&amp;VAR:QUERY=UkdGX1RBWF9SQVRFKEFOTiwwLCwsLCwsTk9BVURJVCk=&amp;WINDOW=FIRST_POPUP&amp;HEIGHT=450&amp;WIDTH=450&amp;","START_MAXIMIZED=FALSE&amp;VAR:CALENDAR=US&amp;VAR:SYMBOL=080216&amp;VAR:INDEX=0"}</definedName>
    <definedName name="_3634__FDSAUDITLINK__" localSheetId="7" hidden="1">{"fdsup://directions/FAT Viewer?action=UPDATE&amp;creator=factset&amp;DYN_ARGS=TRUE&amp;DOC_NAME=FAT:FQL_AUDITING_CLIENT_TEMPLATE.FAT&amp;display_string=Audit&amp;VAR:KEY=IRWNOPUDIB&amp;VAR:QUERY=UkdGX1RBWF9SQVRFKEFOTiwwLCwsLCwsTk9BVURJVCk=&amp;WINDOW=FIRST_POPUP&amp;HEIGHT=450&amp;WIDTH=450&amp;","START_MAXIMIZED=FALSE&amp;VAR:CALENDAR=US&amp;VAR:SYMBOL=080216&amp;VAR:INDEX=0"}</definedName>
    <definedName name="_3634__FDSAUDITLINK__" hidden="1">{"fdsup://directions/FAT Viewer?action=UPDATE&amp;creator=factset&amp;DYN_ARGS=TRUE&amp;DOC_NAME=FAT:FQL_AUDITING_CLIENT_TEMPLATE.FAT&amp;display_string=Audit&amp;VAR:KEY=IRWNOPUDIB&amp;VAR:QUERY=UkdGX1RBWF9SQVRFKEFOTiwwLCwsLCwsTk9BVURJVCk=&amp;WINDOW=FIRST_POPUP&amp;HEIGHT=450&amp;WIDTH=450&amp;","START_MAXIMIZED=FALSE&amp;VAR:CALENDAR=US&amp;VAR:SYMBOL=080216&amp;VAR:INDEX=0"}</definedName>
    <definedName name="_3635__FDSAUDITLINK__" localSheetId="3" hidden="1">{"fdsup://directions/FAT Viewer?action=UPDATE&amp;creator=factset&amp;DYN_ARGS=TRUE&amp;DOC_NAME=FAT:FQL_AUDITING_CLIENT_TEMPLATE.FAT&amp;display_string=Audit&amp;VAR:KEY=IRWNOPUDIB&amp;VAR:QUERY=UkdGX1RBWF9SQVRFKEFOTiwwLCwsLCwsTk9BVURJVCk=&amp;WINDOW=FIRST_POPUP&amp;HEIGHT=450&amp;WIDTH=450&amp;","START_MAXIMIZED=FALSE&amp;VAR:CALENDAR=US&amp;VAR:SYMBOL=080216&amp;VAR:INDEX=0"}</definedName>
    <definedName name="_3635__FDSAUDITLINK__" localSheetId="7" hidden="1">{"fdsup://directions/FAT Viewer?action=UPDATE&amp;creator=factset&amp;DYN_ARGS=TRUE&amp;DOC_NAME=FAT:FQL_AUDITING_CLIENT_TEMPLATE.FAT&amp;display_string=Audit&amp;VAR:KEY=IRWNOPUDIB&amp;VAR:QUERY=UkdGX1RBWF9SQVRFKEFOTiwwLCwsLCwsTk9BVURJVCk=&amp;WINDOW=FIRST_POPUP&amp;HEIGHT=450&amp;WIDTH=450&amp;","START_MAXIMIZED=FALSE&amp;VAR:CALENDAR=US&amp;VAR:SYMBOL=080216&amp;VAR:INDEX=0"}</definedName>
    <definedName name="_3635__FDSAUDITLINK__" hidden="1">{"fdsup://directions/FAT Viewer?action=UPDATE&amp;creator=factset&amp;DYN_ARGS=TRUE&amp;DOC_NAME=FAT:FQL_AUDITING_CLIENT_TEMPLATE.FAT&amp;display_string=Audit&amp;VAR:KEY=IRWNOPUDIB&amp;VAR:QUERY=UkdGX1RBWF9SQVRFKEFOTiwwLCwsLCwsTk9BVURJVCk=&amp;WINDOW=FIRST_POPUP&amp;HEIGHT=450&amp;WIDTH=450&amp;","START_MAXIMIZED=FALSE&amp;VAR:CALENDAR=US&amp;VAR:SYMBOL=080216&amp;VAR:INDEX=0"}</definedName>
    <definedName name="_3636__FDSAUDITLINK__" localSheetId="3" hidden="1">{"fdsup://directions/FAT Viewer?action=UPDATE&amp;creator=factset&amp;DYN_ARGS=TRUE&amp;DOC_NAME=FAT:FQL_AUDITING_CLIENT_TEMPLATE.FAT&amp;display_string=Audit&amp;VAR:KEY=STERGHSBAX&amp;VAR:QUERY=UkdGX1RBWF9SQVRFKEFOTiwwLCwsLCwsTk9BVURJVCk=&amp;WINDOW=FIRST_POPUP&amp;HEIGHT=450&amp;WIDTH=450&amp;","START_MAXIMIZED=FALSE&amp;VAR:CALENDAR=US&amp;VAR:SYMBOL=SABA&amp;VAR:INDEX=0"}</definedName>
    <definedName name="_3636__FDSAUDITLINK__" localSheetId="7" hidden="1">{"fdsup://directions/FAT Viewer?action=UPDATE&amp;creator=factset&amp;DYN_ARGS=TRUE&amp;DOC_NAME=FAT:FQL_AUDITING_CLIENT_TEMPLATE.FAT&amp;display_string=Audit&amp;VAR:KEY=STERGHSBAX&amp;VAR:QUERY=UkdGX1RBWF9SQVRFKEFOTiwwLCwsLCwsTk9BVURJVCk=&amp;WINDOW=FIRST_POPUP&amp;HEIGHT=450&amp;WIDTH=450&amp;","START_MAXIMIZED=FALSE&amp;VAR:CALENDAR=US&amp;VAR:SYMBOL=SABA&amp;VAR:INDEX=0"}</definedName>
    <definedName name="_3636__FDSAUDITLINK__" hidden="1">{"fdsup://directions/FAT Viewer?action=UPDATE&amp;creator=factset&amp;DYN_ARGS=TRUE&amp;DOC_NAME=FAT:FQL_AUDITING_CLIENT_TEMPLATE.FAT&amp;display_string=Audit&amp;VAR:KEY=STERGHSBAX&amp;VAR:QUERY=UkdGX1RBWF9SQVRFKEFOTiwwLCwsLCwsTk9BVURJVCk=&amp;WINDOW=FIRST_POPUP&amp;HEIGHT=450&amp;WIDTH=450&amp;","START_MAXIMIZED=FALSE&amp;VAR:CALENDAR=US&amp;VAR:SYMBOL=SABA&amp;VAR:INDEX=0"}</definedName>
    <definedName name="_3637__FDSAUDITLINK__" localSheetId="3" hidden="1">{"fdsup://directions/FAT Viewer?action=UPDATE&amp;creator=factset&amp;DYN_ARGS=TRUE&amp;DOC_NAME=FAT:FQL_AUDITING_CLIENT_TEMPLATE.FAT&amp;display_string=Audit&amp;VAR:KEY=STERGHSBAX&amp;VAR:QUERY=UkdGX1RBWF9SQVRFKEFOTiwwLCwsLCwsTk9BVURJVCk=&amp;WINDOW=FIRST_POPUP&amp;HEIGHT=450&amp;WIDTH=450&amp;","START_MAXIMIZED=FALSE&amp;VAR:CALENDAR=US&amp;VAR:SYMBOL=SABA&amp;VAR:INDEX=0"}</definedName>
    <definedName name="_3637__FDSAUDITLINK__" localSheetId="7" hidden="1">{"fdsup://directions/FAT Viewer?action=UPDATE&amp;creator=factset&amp;DYN_ARGS=TRUE&amp;DOC_NAME=FAT:FQL_AUDITING_CLIENT_TEMPLATE.FAT&amp;display_string=Audit&amp;VAR:KEY=STERGHSBAX&amp;VAR:QUERY=UkdGX1RBWF9SQVRFKEFOTiwwLCwsLCwsTk9BVURJVCk=&amp;WINDOW=FIRST_POPUP&amp;HEIGHT=450&amp;WIDTH=450&amp;","START_MAXIMIZED=FALSE&amp;VAR:CALENDAR=US&amp;VAR:SYMBOL=SABA&amp;VAR:INDEX=0"}</definedName>
    <definedName name="_3637__FDSAUDITLINK__" hidden="1">{"fdsup://directions/FAT Viewer?action=UPDATE&amp;creator=factset&amp;DYN_ARGS=TRUE&amp;DOC_NAME=FAT:FQL_AUDITING_CLIENT_TEMPLATE.FAT&amp;display_string=Audit&amp;VAR:KEY=STERGHSBAX&amp;VAR:QUERY=UkdGX1RBWF9SQVRFKEFOTiwwLCwsLCwsTk9BVURJVCk=&amp;WINDOW=FIRST_POPUP&amp;HEIGHT=450&amp;WIDTH=450&amp;","START_MAXIMIZED=FALSE&amp;VAR:CALENDAR=US&amp;VAR:SYMBOL=SABA&amp;VAR:INDEX=0"}</definedName>
    <definedName name="_3638__FDSAUDITLINK__" localSheetId="3" hidden="1">{"fdsup://directions/FAT Viewer?action=UPDATE&amp;creator=factset&amp;DYN_ARGS=TRUE&amp;DOC_NAME=FAT:FQL_AUDITING_CLIENT_TEMPLATE.FAT&amp;display_string=Audit&amp;VAR:KEY=OHIPIZOXMN&amp;VAR:QUERY=UkdGX1RBWF9SQVRFKEFOTiwwLCwsLCwsTk9BVURJVCk=&amp;WINDOW=FIRST_POPUP&amp;HEIGHT=450&amp;WIDTH=450&amp;","START_MAXIMIZED=FALSE&amp;VAR:CALENDAR=US&amp;VAR:SYMBOL=RVBD&amp;VAR:INDEX=0"}</definedName>
    <definedName name="_3638__FDSAUDITLINK__" localSheetId="7" hidden="1">{"fdsup://directions/FAT Viewer?action=UPDATE&amp;creator=factset&amp;DYN_ARGS=TRUE&amp;DOC_NAME=FAT:FQL_AUDITING_CLIENT_TEMPLATE.FAT&amp;display_string=Audit&amp;VAR:KEY=OHIPIZOXMN&amp;VAR:QUERY=UkdGX1RBWF9SQVRFKEFOTiwwLCwsLCwsTk9BVURJVCk=&amp;WINDOW=FIRST_POPUP&amp;HEIGHT=450&amp;WIDTH=450&amp;","START_MAXIMIZED=FALSE&amp;VAR:CALENDAR=US&amp;VAR:SYMBOL=RVBD&amp;VAR:INDEX=0"}</definedName>
    <definedName name="_3638__FDSAUDITLINK__" hidden="1">{"fdsup://directions/FAT Viewer?action=UPDATE&amp;creator=factset&amp;DYN_ARGS=TRUE&amp;DOC_NAME=FAT:FQL_AUDITING_CLIENT_TEMPLATE.FAT&amp;display_string=Audit&amp;VAR:KEY=OHIPIZOXMN&amp;VAR:QUERY=UkdGX1RBWF9SQVRFKEFOTiwwLCwsLCwsTk9BVURJVCk=&amp;WINDOW=FIRST_POPUP&amp;HEIGHT=450&amp;WIDTH=450&amp;","START_MAXIMIZED=FALSE&amp;VAR:CALENDAR=US&amp;VAR:SYMBOL=RVBD&amp;VAR:INDEX=0"}</definedName>
    <definedName name="_3639__FDSAUDITLINK__" localSheetId="3" hidden="1">{"fdsup://directions/FAT Viewer?action=UPDATE&amp;creator=factset&amp;DYN_ARGS=TRUE&amp;DOC_NAME=FAT:FQL_AUDITING_CLIENT_TEMPLATE.FAT&amp;display_string=Audit&amp;VAR:KEY=OHIPIZOXMN&amp;VAR:QUERY=UkdGX1RBWF9SQVRFKEFOTiwwLCwsLCwsTk9BVURJVCk=&amp;WINDOW=FIRST_POPUP&amp;HEIGHT=450&amp;WIDTH=450&amp;","START_MAXIMIZED=FALSE&amp;VAR:CALENDAR=US&amp;VAR:SYMBOL=RVBD&amp;VAR:INDEX=0"}</definedName>
    <definedName name="_3639__FDSAUDITLINK__" localSheetId="7" hidden="1">{"fdsup://directions/FAT Viewer?action=UPDATE&amp;creator=factset&amp;DYN_ARGS=TRUE&amp;DOC_NAME=FAT:FQL_AUDITING_CLIENT_TEMPLATE.FAT&amp;display_string=Audit&amp;VAR:KEY=OHIPIZOXMN&amp;VAR:QUERY=UkdGX1RBWF9SQVRFKEFOTiwwLCwsLCwsTk9BVURJVCk=&amp;WINDOW=FIRST_POPUP&amp;HEIGHT=450&amp;WIDTH=450&amp;","START_MAXIMIZED=FALSE&amp;VAR:CALENDAR=US&amp;VAR:SYMBOL=RVBD&amp;VAR:INDEX=0"}</definedName>
    <definedName name="_3639__FDSAUDITLINK__" hidden="1">{"fdsup://directions/FAT Viewer?action=UPDATE&amp;creator=factset&amp;DYN_ARGS=TRUE&amp;DOC_NAME=FAT:FQL_AUDITING_CLIENT_TEMPLATE.FAT&amp;display_string=Audit&amp;VAR:KEY=OHIPIZOXMN&amp;VAR:QUERY=UkdGX1RBWF9SQVRFKEFOTiwwLCwsLCwsTk9BVURJVCk=&amp;WINDOW=FIRST_POPUP&amp;HEIGHT=450&amp;WIDTH=450&amp;","START_MAXIMIZED=FALSE&amp;VAR:CALENDAR=US&amp;VAR:SYMBOL=RVBD&amp;VAR:INDEX=0"}</definedName>
    <definedName name="_364__FDSAUDITLINK__" localSheetId="3" hidden="1">{"fdsup://directions/FAT Viewer?action=UPDATE&amp;creator=factset&amp;DYN_ARGS=TRUE&amp;DOC_NAME=FAT:FQL_AUDITING_CLIENT_TEMPLATE.FAT&amp;display_string=Audit&amp;VAR:KEY=QTGTONMHOF&amp;VAR:QUERY=RkZfREVCVChBTk4sMCwtOSxZLFJQLFVTRCxNKQ==&amp;WINDOW=FIRST_POPUP&amp;HEIGHT=450&amp;WIDTH=450&amp;STAR","T_MAXIMIZED=FALSE&amp;VAR:CALENDAR=US&amp;VAR:SYMBOL=B10LQP&amp;VAR:INDEX=3"}</definedName>
    <definedName name="_364__FDSAUDITLINK__" localSheetId="7" hidden="1">{"fdsup://directions/FAT Viewer?action=UPDATE&amp;creator=factset&amp;DYN_ARGS=TRUE&amp;DOC_NAME=FAT:FQL_AUDITING_CLIENT_TEMPLATE.FAT&amp;display_string=Audit&amp;VAR:KEY=QTGTONMHOF&amp;VAR:QUERY=RkZfREVCVChBTk4sMCwtOSxZLFJQLFVTRCxNKQ==&amp;WINDOW=FIRST_POPUP&amp;HEIGHT=450&amp;WIDTH=450&amp;STAR","T_MAXIMIZED=FALSE&amp;VAR:CALENDAR=US&amp;VAR:SYMBOL=B10LQP&amp;VAR:INDEX=3"}</definedName>
    <definedName name="_364__FDSAUDITLINK__" hidden="1">{"fdsup://directions/FAT Viewer?action=UPDATE&amp;creator=factset&amp;DYN_ARGS=TRUE&amp;DOC_NAME=FAT:FQL_AUDITING_CLIENT_TEMPLATE.FAT&amp;display_string=Audit&amp;VAR:KEY=QTGTONMHOF&amp;VAR:QUERY=RkZfREVCVChBTk4sMCwtOSxZLFJQLFVTRCxNKQ==&amp;WINDOW=FIRST_POPUP&amp;HEIGHT=450&amp;WIDTH=450&amp;STAR","T_MAXIMIZED=FALSE&amp;VAR:CALENDAR=US&amp;VAR:SYMBOL=B10LQP&amp;VAR:INDEX=3"}</definedName>
    <definedName name="_3640__FDSAUDITLINK__" localSheetId="3" hidden="1">{"fdsup://directions/FAT Viewer?action=UPDATE&amp;creator=factset&amp;DYN_ARGS=TRUE&amp;DOC_NAME=FAT:FQL_AUDITING_CLIENT_TEMPLATE.FAT&amp;display_string=Audit&amp;VAR:KEY=KBGFCXIFAB&amp;VAR:QUERY=UkdGX1RBWF9SQVRFKEFOTiwwLCwsLCwsTk9BVURJVCk=&amp;WINDOW=FIRST_POPUP&amp;HEIGHT=450&amp;WIDTH=450&amp;","START_MAXIMIZED=FALSE&amp;VAR:CALENDAR=US&amp;VAR:SYMBOL=ROVI&amp;VAR:INDEX=0"}</definedName>
    <definedName name="_3640__FDSAUDITLINK__" localSheetId="7" hidden="1">{"fdsup://directions/FAT Viewer?action=UPDATE&amp;creator=factset&amp;DYN_ARGS=TRUE&amp;DOC_NAME=FAT:FQL_AUDITING_CLIENT_TEMPLATE.FAT&amp;display_string=Audit&amp;VAR:KEY=KBGFCXIFAB&amp;VAR:QUERY=UkdGX1RBWF9SQVRFKEFOTiwwLCwsLCwsTk9BVURJVCk=&amp;WINDOW=FIRST_POPUP&amp;HEIGHT=450&amp;WIDTH=450&amp;","START_MAXIMIZED=FALSE&amp;VAR:CALENDAR=US&amp;VAR:SYMBOL=ROVI&amp;VAR:INDEX=0"}</definedName>
    <definedName name="_3640__FDSAUDITLINK__" hidden="1">{"fdsup://directions/FAT Viewer?action=UPDATE&amp;creator=factset&amp;DYN_ARGS=TRUE&amp;DOC_NAME=FAT:FQL_AUDITING_CLIENT_TEMPLATE.FAT&amp;display_string=Audit&amp;VAR:KEY=KBGFCXIFAB&amp;VAR:QUERY=UkdGX1RBWF9SQVRFKEFOTiwwLCwsLCwsTk9BVURJVCk=&amp;WINDOW=FIRST_POPUP&amp;HEIGHT=450&amp;WIDTH=450&amp;","START_MAXIMIZED=FALSE&amp;VAR:CALENDAR=US&amp;VAR:SYMBOL=ROVI&amp;VAR:INDEX=0"}</definedName>
    <definedName name="_3641__FDSAUDITLINK__" localSheetId="3" hidden="1">{"fdsup://directions/FAT Viewer?action=UPDATE&amp;creator=factset&amp;DYN_ARGS=TRUE&amp;DOC_NAME=FAT:FQL_AUDITING_CLIENT_TEMPLATE.FAT&amp;display_string=Audit&amp;VAR:KEY=KBGFCXIFAB&amp;VAR:QUERY=UkdGX1RBWF9SQVRFKEFOTiwwLCwsLCwsTk9BVURJVCk=&amp;WINDOW=FIRST_POPUP&amp;HEIGHT=450&amp;WIDTH=450&amp;","START_MAXIMIZED=FALSE&amp;VAR:CALENDAR=US&amp;VAR:SYMBOL=ROVI&amp;VAR:INDEX=0"}</definedName>
    <definedName name="_3641__FDSAUDITLINK__" localSheetId="7" hidden="1">{"fdsup://directions/FAT Viewer?action=UPDATE&amp;creator=factset&amp;DYN_ARGS=TRUE&amp;DOC_NAME=FAT:FQL_AUDITING_CLIENT_TEMPLATE.FAT&amp;display_string=Audit&amp;VAR:KEY=KBGFCXIFAB&amp;VAR:QUERY=UkdGX1RBWF9SQVRFKEFOTiwwLCwsLCwsTk9BVURJVCk=&amp;WINDOW=FIRST_POPUP&amp;HEIGHT=450&amp;WIDTH=450&amp;","START_MAXIMIZED=FALSE&amp;VAR:CALENDAR=US&amp;VAR:SYMBOL=ROVI&amp;VAR:INDEX=0"}</definedName>
    <definedName name="_3641__FDSAUDITLINK__" hidden="1">{"fdsup://directions/FAT Viewer?action=UPDATE&amp;creator=factset&amp;DYN_ARGS=TRUE&amp;DOC_NAME=FAT:FQL_AUDITING_CLIENT_TEMPLATE.FAT&amp;display_string=Audit&amp;VAR:KEY=KBGFCXIFAB&amp;VAR:QUERY=UkdGX1RBWF9SQVRFKEFOTiwwLCwsLCwsTk9BVURJVCk=&amp;WINDOW=FIRST_POPUP&amp;HEIGHT=450&amp;WIDTH=450&amp;","START_MAXIMIZED=FALSE&amp;VAR:CALENDAR=US&amp;VAR:SYMBOL=ROVI&amp;VAR:INDEX=0"}</definedName>
    <definedName name="_3642__FDSAUDITLINK__" localSheetId="3" hidden="1">{"fdsup://directions/FAT Viewer?action=UPDATE&amp;creator=factset&amp;DYN_ARGS=TRUE&amp;DOC_NAME=FAT:FQL_AUDITING_CLIENT_TEMPLATE.FAT&amp;display_string=Audit&amp;VAR:KEY=IBCTYBCVOB&amp;VAR:QUERY=UkdGX1RBWF9SQVRFKEFOTiwwLCwsLCwsTk9BVURJVCk=&amp;WINDOW=FIRST_POPUP&amp;HEIGHT=450&amp;WIDTH=450&amp;","START_MAXIMIZED=FALSE&amp;VAR:CALENDAR=US&amp;VAR:SYMBOL=RNWK&amp;VAR:INDEX=0"}</definedName>
    <definedName name="_3642__FDSAUDITLINK__" localSheetId="7" hidden="1">{"fdsup://directions/FAT Viewer?action=UPDATE&amp;creator=factset&amp;DYN_ARGS=TRUE&amp;DOC_NAME=FAT:FQL_AUDITING_CLIENT_TEMPLATE.FAT&amp;display_string=Audit&amp;VAR:KEY=IBCTYBCVOB&amp;VAR:QUERY=UkdGX1RBWF9SQVRFKEFOTiwwLCwsLCwsTk9BVURJVCk=&amp;WINDOW=FIRST_POPUP&amp;HEIGHT=450&amp;WIDTH=450&amp;","START_MAXIMIZED=FALSE&amp;VAR:CALENDAR=US&amp;VAR:SYMBOL=RNWK&amp;VAR:INDEX=0"}</definedName>
    <definedName name="_3642__FDSAUDITLINK__" hidden="1">{"fdsup://directions/FAT Viewer?action=UPDATE&amp;creator=factset&amp;DYN_ARGS=TRUE&amp;DOC_NAME=FAT:FQL_AUDITING_CLIENT_TEMPLATE.FAT&amp;display_string=Audit&amp;VAR:KEY=IBCTYBCVOB&amp;VAR:QUERY=UkdGX1RBWF9SQVRFKEFOTiwwLCwsLCwsTk9BVURJVCk=&amp;WINDOW=FIRST_POPUP&amp;HEIGHT=450&amp;WIDTH=450&amp;","START_MAXIMIZED=FALSE&amp;VAR:CALENDAR=US&amp;VAR:SYMBOL=RNWK&amp;VAR:INDEX=0"}</definedName>
    <definedName name="_3643__FDSAUDITLINK__" localSheetId="3" hidden="1">{"fdsup://directions/FAT Viewer?action=UPDATE&amp;creator=factset&amp;DYN_ARGS=TRUE&amp;DOC_NAME=FAT:FQL_AUDITING_CLIENT_TEMPLATE.FAT&amp;display_string=Audit&amp;VAR:KEY=EXCFWHCZGV&amp;VAR:QUERY=UkdGX1RBWF9SQVRFKEFOTiwwLCwsLCwsTk9BVURJVCk=&amp;WINDOW=FIRST_POPUP&amp;HEIGHT=450&amp;WIDTH=450&amp;","START_MAXIMIZED=FALSE&amp;VAR:CALENDAR=US&amp;VAR:SYMBOL=RNOW&amp;VAR:INDEX=0"}</definedName>
    <definedName name="_3643__FDSAUDITLINK__" localSheetId="7" hidden="1">{"fdsup://directions/FAT Viewer?action=UPDATE&amp;creator=factset&amp;DYN_ARGS=TRUE&amp;DOC_NAME=FAT:FQL_AUDITING_CLIENT_TEMPLATE.FAT&amp;display_string=Audit&amp;VAR:KEY=EXCFWHCZGV&amp;VAR:QUERY=UkdGX1RBWF9SQVRFKEFOTiwwLCwsLCwsTk9BVURJVCk=&amp;WINDOW=FIRST_POPUP&amp;HEIGHT=450&amp;WIDTH=450&amp;","START_MAXIMIZED=FALSE&amp;VAR:CALENDAR=US&amp;VAR:SYMBOL=RNOW&amp;VAR:INDEX=0"}</definedName>
    <definedName name="_3643__FDSAUDITLINK__" hidden="1">{"fdsup://directions/FAT Viewer?action=UPDATE&amp;creator=factset&amp;DYN_ARGS=TRUE&amp;DOC_NAME=FAT:FQL_AUDITING_CLIENT_TEMPLATE.FAT&amp;display_string=Audit&amp;VAR:KEY=EXCFWHCZGV&amp;VAR:QUERY=UkdGX1RBWF9SQVRFKEFOTiwwLCwsLCwsTk9BVURJVCk=&amp;WINDOW=FIRST_POPUP&amp;HEIGHT=450&amp;WIDTH=450&amp;","START_MAXIMIZED=FALSE&amp;VAR:CALENDAR=US&amp;VAR:SYMBOL=RNOW&amp;VAR:INDEX=0"}</definedName>
    <definedName name="_3644__FDSAUDITLINK__" localSheetId="3" hidden="1">{"fdsup://directions/FAT Viewer?action=UPDATE&amp;creator=factset&amp;DYN_ARGS=TRUE&amp;DOC_NAME=FAT:FQL_AUDITING_CLIENT_TEMPLATE.FAT&amp;display_string=Audit&amp;VAR:KEY=EXCFWHCZGV&amp;VAR:QUERY=UkdGX1RBWF9SQVRFKEFOTiwwLCwsLCwsTk9BVURJVCk=&amp;WINDOW=FIRST_POPUP&amp;HEIGHT=450&amp;WIDTH=450&amp;","START_MAXIMIZED=FALSE&amp;VAR:CALENDAR=US&amp;VAR:SYMBOL=RNOW&amp;VAR:INDEX=0"}</definedName>
    <definedName name="_3644__FDSAUDITLINK__" localSheetId="7" hidden="1">{"fdsup://directions/FAT Viewer?action=UPDATE&amp;creator=factset&amp;DYN_ARGS=TRUE&amp;DOC_NAME=FAT:FQL_AUDITING_CLIENT_TEMPLATE.FAT&amp;display_string=Audit&amp;VAR:KEY=EXCFWHCZGV&amp;VAR:QUERY=UkdGX1RBWF9SQVRFKEFOTiwwLCwsLCwsTk9BVURJVCk=&amp;WINDOW=FIRST_POPUP&amp;HEIGHT=450&amp;WIDTH=450&amp;","START_MAXIMIZED=FALSE&amp;VAR:CALENDAR=US&amp;VAR:SYMBOL=RNOW&amp;VAR:INDEX=0"}</definedName>
    <definedName name="_3644__FDSAUDITLINK__" hidden="1">{"fdsup://directions/FAT Viewer?action=UPDATE&amp;creator=factset&amp;DYN_ARGS=TRUE&amp;DOC_NAME=FAT:FQL_AUDITING_CLIENT_TEMPLATE.FAT&amp;display_string=Audit&amp;VAR:KEY=EXCFWHCZGV&amp;VAR:QUERY=UkdGX1RBWF9SQVRFKEFOTiwwLCwsLCwsTk9BVURJVCk=&amp;WINDOW=FIRST_POPUP&amp;HEIGHT=450&amp;WIDTH=450&amp;","START_MAXIMIZED=FALSE&amp;VAR:CALENDAR=US&amp;VAR:SYMBOL=RNOW&amp;VAR:INDEX=0"}</definedName>
    <definedName name="_3645__FDSAUDITLINK__" localSheetId="3" hidden="1">{"fdsup://directions/FAT Viewer?action=UPDATE&amp;creator=factset&amp;DYN_ARGS=TRUE&amp;DOC_NAME=FAT:FQL_AUDITING_CLIENT_TEMPLATE.FAT&amp;display_string=Audit&amp;VAR:KEY=QPQBOLIVOL&amp;VAR:QUERY=UkdGX1RBWF9SQVRFKEFOTiwwLCwsLCwsTk9BVURJVCk=&amp;WINDOW=FIRST_POPUP&amp;HEIGHT=450&amp;WIDTH=450&amp;","START_MAXIMIZED=FALSE&amp;VAR:CALENDAR=US&amp;VAR:SYMBOL=MKTG&amp;VAR:INDEX=0"}</definedName>
    <definedName name="_3645__FDSAUDITLINK__" localSheetId="7" hidden="1">{"fdsup://directions/FAT Viewer?action=UPDATE&amp;creator=factset&amp;DYN_ARGS=TRUE&amp;DOC_NAME=FAT:FQL_AUDITING_CLIENT_TEMPLATE.FAT&amp;display_string=Audit&amp;VAR:KEY=QPQBOLIVOL&amp;VAR:QUERY=UkdGX1RBWF9SQVRFKEFOTiwwLCwsLCwsTk9BVURJVCk=&amp;WINDOW=FIRST_POPUP&amp;HEIGHT=450&amp;WIDTH=450&amp;","START_MAXIMIZED=FALSE&amp;VAR:CALENDAR=US&amp;VAR:SYMBOL=MKTG&amp;VAR:INDEX=0"}</definedName>
    <definedName name="_3645__FDSAUDITLINK__" hidden="1">{"fdsup://directions/FAT Viewer?action=UPDATE&amp;creator=factset&amp;DYN_ARGS=TRUE&amp;DOC_NAME=FAT:FQL_AUDITING_CLIENT_TEMPLATE.FAT&amp;display_string=Audit&amp;VAR:KEY=QPQBOLIVOL&amp;VAR:QUERY=UkdGX1RBWF9SQVRFKEFOTiwwLCwsLCwsTk9BVURJVCk=&amp;WINDOW=FIRST_POPUP&amp;HEIGHT=450&amp;WIDTH=450&amp;","START_MAXIMIZED=FALSE&amp;VAR:CALENDAR=US&amp;VAR:SYMBOL=MKTG&amp;VAR:INDEX=0"}</definedName>
    <definedName name="_3646__FDSAUDITLINK__" localSheetId="3" hidden="1">{"fdsup://directions/FAT Viewer?action=UPDATE&amp;creator=factset&amp;DYN_ARGS=TRUE&amp;DOC_NAME=FAT:FQL_AUDITING_CLIENT_TEMPLATE.FAT&amp;display_string=Audit&amp;VAR:KEY=QPQBOLIVOL&amp;VAR:QUERY=UkdGX1RBWF9SQVRFKEFOTiwwLCwsLCwsTk9BVURJVCk=&amp;WINDOW=FIRST_POPUP&amp;HEIGHT=450&amp;WIDTH=450&amp;","START_MAXIMIZED=FALSE&amp;VAR:CALENDAR=US&amp;VAR:SYMBOL=MKTG&amp;VAR:INDEX=0"}</definedName>
    <definedName name="_3646__FDSAUDITLINK__" localSheetId="7" hidden="1">{"fdsup://directions/FAT Viewer?action=UPDATE&amp;creator=factset&amp;DYN_ARGS=TRUE&amp;DOC_NAME=FAT:FQL_AUDITING_CLIENT_TEMPLATE.FAT&amp;display_string=Audit&amp;VAR:KEY=QPQBOLIVOL&amp;VAR:QUERY=UkdGX1RBWF9SQVRFKEFOTiwwLCwsLCwsTk9BVURJVCk=&amp;WINDOW=FIRST_POPUP&amp;HEIGHT=450&amp;WIDTH=450&amp;","START_MAXIMIZED=FALSE&amp;VAR:CALENDAR=US&amp;VAR:SYMBOL=MKTG&amp;VAR:INDEX=0"}</definedName>
    <definedName name="_3646__FDSAUDITLINK__" hidden="1">{"fdsup://directions/FAT Viewer?action=UPDATE&amp;creator=factset&amp;DYN_ARGS=TRUE&amp;DOC_NAME=FAT:FQL_AUDITING_CLIENT_TEMPLATE.FAT&amp;display_string=Audit&amp;VAR:KEY=QPQBOLIVOL&amp;VAR:QUERY=UkdGX1RBWF9SQVRFKEFOTiwwLCwsLCwsTk9BVURJVCk=&amp;WINDOW=FIRST_POPUP&amp;HEIGHT=450&amp;WIDTH=450&amp;","START_MAXIMIZED=FALSE&amp;VAR:CALENDAR=US&amp;VAR:SYMBOL=MKTG&amp;VAR:INDEX=0"}</definedName>
    <definedName name="_3647__FDSAUDITLINK__" localSheetId="3" hidden="1">{"fdsup://directions/FAT Viewer?action=UPDATE&amp;creator=factset&amp;DYN_ARGS=TRUE&amp;DOC_NAME=FAT:FQL_AUDITING_CLIENT_TEMPLATE.FAT&amp;display_string=Audit&amp;VAR:KEY=GHUXGVSVCT&amp;VAR:QUERY=UkdGX1RBWF9SQVRFKEFOTiwwLCwsLCwsTk9BVURJVCk=&amp;WINDOW=FIRST_POPUP&amp;HEIGHT=450&amp;WIDTH=450&amp;","START_MAXIMIZED=FALSE&amp;VAR:CALENDAR=US&amp;VAR:SYMBOL=RLD&amp;VAR:INDEX=0"}</definedName>
    <definedName name="_3647__FDSAUDITLINK__" localSheetId="7" hidden="1">{"fdsup://directions/FAT Viewer?action=UPDATE&amp;creator=factset&amp;DYN_ARGS=TRUE&amp;DOC_NAME=FAT:FQL_AUDITING_CLIENT_TEMPLATE.FAT&amp;display_string=Audit&amp;VAR:KEY=GHUXGVSVCT&amp;VAR:QUERY=UkdGX1RBWF9SQVRFKEFOTiwwLCwsLCwsTk9BVURJVCk=&amp;WINDOW=FIRST_POPUP&amp;HEIGHT=450&amp;WIDTH=450&amp;","START_MAXIMIZED=FALSE&amp;VAR:CALENDAR=US&amp;VAR:SYMBOL=RLD&amp;VAR:INDEX=0"}</definedName>
    <definedName name="_3647__FDSAUDITLINK__" hidden="1">{"fdsup://directions/FAT Viewer?action=UPDATE&amp;creator=factset&amp;DYN_ARGS=TRUE&amp;DOC_NAME=FAT:FQL_AUDITING_CLIENT_TEMPLATE.FAT&amp;display_string=Audit&amp;VAR:KEY=GHUXGVSVCT&amp;VAR:QUERY=UkdGX1RBWF9SQVRFKEFOTiwwLCwsLCwsTk9BVURJVCk=&amp;WINDOW=FIRST_POPUP&amp;HEIGHT=450&amp;WIDTH=450&amp;","START_MAXIMIZED=FALSE&amp;VAR:CALENDAR=US&amp;VAR:SYMBOL=RLD&amp;VAR:INDEX=0"}</definedName>
    <definedName name="_3648__FDSAUDITLINK__" localSheetId="3" hidden="1">{"fdsup://directions/FAT Viewer?action=UPDATE&amp;creator=factset&amp;DYN_ARGS=TRUE&amp;DOC_NAME=FAT:FQL_AUDITING_CLIENT_TEMPLATE.FAT&amp;display_string=Audit&amp;VAR:KEY=OXGNWVWLSH&amp;VAR:QUERY=UkdGX1RBWF9SQVRFKEFOTiwwLCwsLCwsTk9BVURJVCk=&amp;WINDOW=FIRST_POPUP&amp;HEIGHT=450&amp;WIDTH=450&amp;","START_MAXIMIZED=FALSE&amp;VAR:CALENDAR=US&amp;VAR:SYMBOL=RIMM&amp;VAR:INDEX=0"}</definedName>
    <definedName name="_3648__FDSAUDITLINK__" localSheetId="7" hidden="1">{"fdsup://directions/FAT Viewer?action=UPDATE&amp;creator=factset&amp;DYN_ARGS=TRUE&amp;DOC_NAME=FAT:FQL_AUDITING_CLIENT_TEMPLATE.FAT&amp;display_string=Audit&amp;VAR:KEY=OXGNWVWLSH&amp;VAR:QUERY=UkdGX1RBWF9SQVRFKEFOTiwwLCwsLCwsTk9BVURJVCk=&amp;WINDOW=FIRST_POPUP&amp;HEIGHT=450&amp;WIDTH=450&amp;","START_MAXIMIZED=FALSE&amp;VAR:CALENDAR=US&amp;VAR:SYMBOL=RIMM&amp;VAR:INDEX=0"}</definedName>
    <definedName name="_3648__FDSAUDITLINK__" hidden="1">{"fdsup://directions/FAT Viewer?action=UPDATE&amp;creator=factset&amp;DYN_ARGS=TRUE&amp;DOC_NAME=FAT:FQL_AUDITING_CLIENT_TEMPLATE.FAT&amp;display_string=Audit&amp;VAR:KEY=OXGNWVWLSH&amp;VAR:QUERY=UkdGX1RBWF9SQVRFKEFOTiwwLCwsLCwsTk9BVURJVCk=&amp;WINDOW=FIRST_POPUP&amp;HEIGHT=450&amp;WIDTH=450&amp;","START_MAXIMIZED=FALSE&amp;VAR:CALENDAR=US&amp;VAR:SYMBOL=RIMM&amp;VAR:INDEX=0"}</definedName>
    <definedName name="_3649__FDSAUDITLINK__" localSheetId="3" hidden="1">{"fdsup://directions/FAT Viewer?action=UPDATE&amp;creator=factset&amp;DYN_ARGS=TRUE&amp;DOC_NAME=FAT:FQL_AUDITING_CLIENT_TEMPLATE.FAT&amp;display_string=Audit&amp;VAR:KEY=OXGNWVWLSH&amp;VAR:QUERY=UkdGX1RBWF9SQVRFKEFOTiwwLCwsLCwsTk9BVURJVCk=&amp;WINDOW=FIRST_POPUP&amp;HEIGHT=450&amp;WIDTH=450&amp;","START_MAXIMIZED=FALSE&amp;VAR:CALENDAR=US&amp;VAR:SYMBOL=RIMM&amp;VAR:INDEX=0"}</definedName>
    <definedName name="_3649__FDSAUDITLINK__" localSheetId="7" hidden="1">{"fdsup://directions/FAT Viewer?action=UPDATE&amp;creator=factset&amp;DYN_ARGS=TRUE&amp;DOC_NAME=FAT:FQL_AUDITING_CLIENT_TEMPLATE.FAT&amp;display_string=Audit&amp;VAR:KEY=OXGNWVWLSH&amp;VAR:QUERY=UkdGX1RBWF9SQVRFKEFOTiwwLCwsLCwsTk9BVURJVCk=&amp;WINDOW=FIRST_POPUP&amp;HEIGHT=450&amp;WIDTH=450&amp;","START_MAXIMIZED=FALSE&amp;VAR:CALENDAR=US&amp;VAR:SYMBOL=RIMM&amp;VAR:INDEX=0"}</definedName>
    <definedName name="_3649__FDSAUDITLINK__" hidden="1">{"fdsup://directions/FAT Viewer?action=UPDATE&amp;creator=factset&amp;DYN_ARGS=TRUE&amp;DOC_NAME=FAT:FQL_AUDITING_CLIENT_TEMPLATE.FAT&amp;display_string=Audit&amp;VAR:KEY=OXGNWVWLSH&amp;VAR:QUERY=UkdGX1RBWF9SQVRFKEFOTiwwLCwsLCwsTk9BVURJVCk=&amp;WINDOW=FIRST_POPUP&amp;HEIGHT=450&amp;WIDTH=450&amp;","START_MAXIMIZED=FALSE&amp;VAR:CALENDAR=US&amp;VAR:SYMBOL=RIMM&amp;VAR:INDEX=0"}</definedName>
    <definedName name="_365__FDSAUDITLINK__" localSheetId="3" hidden="1">{"fdsup://directions/FAT Viewer?action=UPDATE&amp;creator=factset&amp;DYN_ARGS=TRUE&amp;DOC_NAME=FAT:FQL_AUDITING_CLIENT_TEMPLATE.FAT&amp;display_string=Audit&amp;VAR:KEY=QTGTONMHOF&amp;VAR:QUERY=RkZfREVCVChBTk4sMCwtOSxZLFJQLFVTRCxNKQ==&amp;WINDOW=FIRST_POPUP&amp;HEIGHT=450&amp;WIDTH=450&amp;STAR","T_MAXIMIZED=FALSE&amp;VAR:CALENDAR=US&amp;VAR:SYMBOL=B10LQP&amp;VAR:INDEX=2"}</definedName>
    <definedName name="_365__FDSAUDITLINK__" localSheetId="7" hidden="1">{"fdsup://directions/FAT Viewer?action=UPDATE&amp;creator=factset&amp;DYN_ARGS=TRUE&amp;DOC_NAME=FAT:FQL_AUDITING_CLIENT_TEMPLATE.FAT&amp;display_string=Audit&amp;VAR:KEY=QTGTONMHOF&amp;VAR:QUERY=RkZfREVCVChBTk4sMCwtOSxZLFJQLFVTRCxNKQ==&amp;WINDOW=FIRST_POPUP&amp;HEIGHT=450&amp;WIDTH=450&amp;STAR","T_MAXIMIZED=FALSE&amp;VAR:CALENDAR=US&amp;VAR:SYMBOL=B10LQP&amp;VAR:INDEX=2"}</definedName>
    <definedName name="_365__FDSAUDITLINK__" hidden="1">{"fdsup://directions/FAT Viewer?action=UPDATE&amp;creator=factset&amp;DYN_ARGS=TRUE&amp;DOC_NAME=FAT:FQL_AUDITING_CLIENT_TEMPLATE.FAT&amp;display_string=Audit&amp;VAR:KEY=QTGTONMHOF&amp;VAR:QUERY=RkZfREVCVChBTk4sMCwtOSxZLFJQLFVTRCxNKQ==&amp;WINDOW=FIRST_POPUP&amp;HEIGHT=450&amp;WIDTH=450&amp;STAR","T_MAXIMIZED=FALSE&amp;VAR:CALENDAR=US&amp;VAR:SYMBOL=B10LQP&amp;VAR:INDEX=2"}</definedName>
    <definedName name="_3650__FDSAUDITLINK__" localSheetId="3" hidden="1">{"fdsup://directions/FAT Viewer?action=UPDATE&amp;creator=factset&amp;DYN_ARGS=TRUE&amp;DOC_NAME=FAT:FQL_AUDITING_CLIENT_TEMPLATE.FAT&amp;display_string=Audit&amp;VAR:KEY=ODYRYRYTMV&amp;VAR:QUERY=UkdGX1RBWF9SQVRFKEFOTiwwLCwsLCwsTk9BVURJVCk=&amp;WINDOW=FIRST_POPUP&amp;HEIGHT=450&amp;WIDTH=450&amp;","START_MAXIMIZED=FALSE&amp;VAR:CALENDAR=US&amp;VAR:SYMBOL=RHT&amp;VAR:INDEX=0"}</definedName>
    <definedName name="_3650__FDSAUDITLINK__" localSheetId="7" hidden="1">{"fdsup://directions/FAT Viewer?action=UPDATE&amp;creator=factset&amp;DYN_ARGS=TRUE&amp;DOC_NAME=FAT:FQL_AUDITING_CLIENT_TEMPLATE.FAT&amp;display_string=Audit&amp;VAR:KEY=ODYRYRYTMV&amp;VAR:QUERY=UkdGX1RBWF9SQVRFKEFOTiwwLCwsLCwsTk9BVURJVCk=&amp;WINDOW=FIRST_POPUP&amp;HEIGHT=450&amp;WIDTH=450&amp;","START_MAXIMIZED=FALSE&amp;VAR:CALENDAR=US&amp;VAR:SYMBOL=RHT&amp;VAR:INDEX=0"}</definedName>
    <definedName name="_3650__FDSAUDITLINK__" hidden="1">{"fdsup://directions/FAT Viewer?action=UPDATE&amp;creator=factset&amp;DYN_ARGS=TRUE&amp;DOC_NAME=FAT:FQL_AUDITING_CLIENT_TEMPLATE.FAT&amp;display_string=Audit&amp;VAR:KEY=ODYRYRYTMV&amp;VAR:QUERY=UkdGX1RBWF9SQVRFKEFOTiwwLCwsLCwsTk9BVURJVCk=&amp;WINDOW=FIRST_POPUP&amp;HEIGHT=450&amp;WIDTH=450&amp;","START_MAXIMIZED=FALSE&amp;VAR:CALENDAR=US&amp;VAR:SYMBOL=RHT&amp;VAR:INDEX=0"}</definedName>
    <definedName name="_3651__FDSAUDITLINK__" localSheetId="3" hidden="1">{"fdsup://directions/FAT Viewer?action=UPDATE&amp;creator=factset&amp;DYN_ARGS=TRUE&amp;DOC_NAME=FAT:FQL_AUDITING_CLIENT_TEMPLATE.FAT&amp;display_string=Audit&amp;VAR:KEY=ODYRYRYTMV&amp;VAR:QUERY=UkdGX1RBWF9SQVRFKEFOTiwwLCwsLCwsTk9BVURJVCk=&amp;WINDOW=FIRST_POPUP&amp;HEIGHT=450&amp;WIDTH=450&amp;","START_MAXIMIZED=FALSE&amp;VAR:CALENDAR=US&amp;VAR:SYMBOL=RHT&amp;VAR:INDEX=0"}</definedName>
    <definedName name="_3651__FDSAUDITLINK__" localSheetId="7" hidden="1">{"fdsup://directions/FAT Viewer?action=UPDATE&amp;creator=factset&amp;DYN_ARGS=TRUE&amp;DOC_NAME=FAT:FQL_AUDITING_CLIENT_TEMPLATE.FAT&amp;display_string=Audit&amp;VAR:KEY=ODYRYRYTMV&amp;VAR:QUERY=UkdGX1RBWF9SQVRFKEFOTiwwLCwsLCwsTk9BVURJVCk=&amp;WINDOW=FIRST_POPUP&amp;HEIGHT=450&amp;WIDTH=450&amp;","START_MAXIMIZED=FALSE&amp;VAR:CALENDAR=US&amp;VAR:SYMBOL=RHT&amp;VAR:INDEX=0"}</definedName>
    <definedName name="_3651__FDSAUDITLINK__" hidden="1">{"fdsup://directions/FAT Viewer?action=UPDATE&amp;creator=factset&amp;DYN_ARGS=TRUE&amp;DOC_NAME=FAT:FQL_AUDITING_CLIENT_TEMPLATE.FAT&amp;display_string=Audit&amp;VAR:KEY=ODYRYRYTMV&amp;VAR:QUERY=UkdGX1RBWF9SQVRFKEFOTiwwLCwsLCwsTk9BVURJVCk=&amp;WINDOW=FIRST_POPUP&amp;HEIGHT=450&amp;WIDTH=450&amp;","START_MAXIMIZED=FALSE&amp;VAR:CALENDAR=US&amp;VAR:SYMBOL=RHT&amp;VAR:INDEX=0"}</definedName>
    <definedName name="_3652__FDSAUDITLINK__" localSheetId="3" hidden="1">{"fdsup://directions/FAT Viewer?action=UPDATE&amp;creator=factset&amp;DYN_ARGS=TRUE&amp;DOC_NAME=FAT:FQL_AUDITING_CLIENT_TEMPLATE.FAT&amp;display_string=Audit&amp;VAR:KEY=SZGNWZGBGL&amp;VAR:QUERY=UkdGX1RBWF9SQVRFKEFOTiwwLCwsLCwsTk9BVURJVCk=&amp;WINDOW=FIRST_POPUP&amp;HEIGHT=450&amp;WIDTH=450&amp;","START_MAXIMIZED=FALSE&amp;VAR:CALENDAR=US&amp;VAR:SYMBOL=RP&amp;VAR:INDEX=0"}</definedName>
    <definedName name="_3652__FDSAUDITLINK__" localSheetId="7" hidden="1">{"fdsup://directions/FAT Viewer?action=UPDATE&amp;creator=factset&amp;DYN_ARGS=TRUE&amp;DOC_NAME=FAT:FQL_AUDITING_CLIENT_TEMPLATE.FAT&amp;display_string=Audit&amp;VAR:KEY=SZGNWZGBGL&amp;VAR:QUERY=UkdGX1RBWF9SQVRFKEFOTiwwLCwsLCwsTk9BVURJVCk=&amp;WINDOW=FIRST_POPUP&amp;HEIGHT=450&amp;WIDTH=450&amp;","START_MAXIMIZED=FALSE&amp;VAR:CALENDAR=US&amp;VAR:SYMBOL=RP&amp;VAR:INDEX=0"}</definedName>
    <definedName name="_3652__FDSAUDITLINK__" hidden="1">{"fdsup://directions/FAT Viewer?action=UPDATE&amp;creator=factset&amp;DYN_ARGS=TRUE&amp;DOC_NAME=FAT:FQL_AUDITING_CLIENT_TEMPLATE.FAT&amp;display_string=Audit&amp;VAR:KEY=SZGNWZGBGL&amp;VAR:QUERY=UkdGX1RBWF9SQVRFKEFOTiwwLCwsLCwsTk9BVURJVCk=&amp;WINDOW=FIRST_POPUP&amp;HEIGHT=450&amp;WIDTH=450&amp;","START_MAXIMIZED=FALSE&amp;VAR:CALENDAR=US&amp;VAR:SYMBOL=RP&amp;VAR:INDEX=0"}</definedName>
    <definedName name="_3653__FDSAUDITLINK__" localSheetId="3" hidden="1">{"fdsup://directions/FAT Viewer?action=UPDATE&amp;creator=factset&amp;DYN_ARGS=TRUE&amp;DOC_NAME=FAT:FQL_AUDITING_CLIENT_TEMPLATE.FAT&amp;display_string=Audit&amp;VAR:KEY=SZGNWZGBGL&amp;VAR:QUERY=UkdGX1RBWF9SQVRFKEFOTiwwLCwsLCwsTk9BVURJVCk=&amp;WINDOW=FIRST_POPUP&amp;HEIGHT=450&amp;WIDTH=450&amp;","START_MAXIMIZED=FALSE&amp;VAR:CALENDAR=US&amp;VAR:SYMBOL=RP&amp;VAR:INDEX=0"}</definedName>
    <definedName name="_3653__FDSAUDITLINK__" localSheetId="7" hidden="1">{"fdsup://directions/FAT Viewer?action=UPDATE&amp;creator=factset&amp;DYN_ARGS=TRUE&amp;DOC_NAME=FAT:FQL_AUDITING_CLIENT_TEMPLATE.FAT&amp;display_string=Audit&amp;VAR:KEY=SZGNWZGBGL&amp;VAR:QUERY=UkdGX1RBWF9SQVRFKEFOTiwwLCwsLCwsTk9BVURJVCk=&amp;WINDOW=FIRST_POPUP&amp;HEIGHT=450&amp;WIDTH=450&amp;","START_MAXIMIZED=FALSE&amp;VAR:CALENDAR=US&amp;VAR:SYMBOL=RP&amp;VAR:INDEX=0"}</definedName>
    <definedName name="_3653__FDSAUDITLINK__" hidden="1">{"fdsup://directions/FAT Viewer?action=UPDATE&amp;creator=factset&amp;DYN_ARGS=TRUE&amp;DOC_NAME=FAT:FQL_AUDITING_CLIENT_TEMPLATE.FAT&amp;display_string=Audit&amp;VAR:KEY=SZGNWZGBGL&amp;VAR:QUERY=UkdGX1RBWF9SQVRFKEFOTiwwLCwsLCwsTk9BVURJVCk=&amp;WINDOW=FIRST_POPUP&amp;HEIGHT=450&amp;WIDTH=450&amp;","START_MAXIMIZED=FALSE&amp;VAR:CALENDAR=US&amp;VAR:SYMBOL=RP&amp;VAR:INDEX=0"}</definedName>
    <definedName name="_3654__FDSAUDITLINK__" localSheetId="3" hidden="1">{"fdsup://directions/FAT Viewer?action=UPDATE&amp;creator=factset&amp;DYN_ARGS=TRUE&amp;DOC_NAME=FAT:FQL_AUDITING_CLIENT_TEMPLATE.FAT&amp;display_string=Audit&amp;VAR:KEY=QLOZINYPEF&amp;VAR:QUERY=UkdGX1RBWF9SQVRFKEFOTiwwLCwsLCwsTk9BVURJVCk=&amp;WINDOW=FIRST_POPUP&amp;HEIGHT=450&amp;WIDTH=450&amp;","START_MAXIMIZED=FALSE&amp;VAR:CALENDAR=US&amp;VAR:SYMBOL=RDWR&amp;VAR:INDEX=0"}</definedName>
    <definedName name="_3654__FDSAUDITLINK__" localSheetId="7" hidden="1">{"fdsup://directions/FAT Viewer?action=UPDATE&amp;creator=factset&amp;DYN_ARGS=TRUE&amp;DOC_NAME=FAT:FQL_AUDITING_CLIENT_TEMPLATE.FAT&amp;display_string=Audit&amp;VAR:KEY=QLOZINYPEF&amp;VAR:QUERY=UkdGX1RBWF9SQVRFKEFOTiwwLCwsLCwsTk9BVURJVCk=&amp;WINDOW=FIRST_POPUP&amp;HEIGHT=450&amp;WIDTH=450&amp;","START_MAXIMIZED=FALSE&amp;VAR:CALENDAR=US&amp;VAR:SYMBOL=RDWR&amp;VAR:INDEX=0"}</definedName>
    <definedName name="_3654__FDSAUDITLINK__" hidden="1">{"fdsup://directions/FAT Viewer?action=UPDATE&amp;creator=factset&amp;DYN_ARGS=TRUE&amp;DOC_NAME=FAT:FQL_AUDITING_CLIENT_TEMPLATE.FAT&amp;display_string=Audit&amp;VAR:KEY=QLOZINYPEF&amp;VAR:QUERY=UkdGX1RBWF9SQVRFKEFOTiwwLCwsLCwsTk9BVURJVCk=&amp;WINDOW=FIRST_POPUP&amp;HEIGHT=450&amp;WIDTH=450&amp;","START_MAXIMIZED=FALSE&amp;VAR:CALENDAR=US&amp;VAR:SYMBOL=RDWR&amp;VAR:INDEX=0"}</definedName>
    <definedName name="_3655__FDSAUDITLINK__" localSheetId="3" hidden="1">{"fdsup://directions/FAT Viewer?action=UPDATE&amp;creator=factset&amp;DYN_ARGS=TRUE&amp;DOC_NAME=FAT:FQL_AUDITING_CLIENT_TEMPLATE.FAT&amp;display_string=Audit&amp;VAR:KEY=QLOZINYPEF&amp;VAR:QUERY=UkdGX1RBWF9SQVRFKEFOTiwwLCwsLCwsTk9BVURJVCk=&amp;WINDOW=FIRST_POPUP&amp;HEIGHT=450&amp;WIDTH=450&amp;","START_MAXIMIZED=FALSE&amp;VAR:CALENDAR=US&amp;VAR:SYMBOL=RDWR&amp;VAR:INDEX=0"}</definedName>
    <definedName name="_3655__FDSAUDITLINK__" localSheetId="7" hidden="1">{"fdsup://directions/FAT Viewer?action=UPDATE&amp;creator=factset&amp;DYN_ARGS=TRUE&amp;DOC_NAME=FAT:FQL_AUDITING_CLIENT_TEMPLATE.FAT&amp;display_string=Audit&amp;VAR:KEY=QLOZINYPEF&amp;VAR:QUERY=UkdGX1RBWF9SQVRFKEFOTiwwLCwsLCwsTk9BVURJVCk=&amp;WINDOW=FIRST_POPUP&amp;HEIGHT=450&amp;WIDTH=450&amp;","START_MAXIMIZED=FALSE&amp;VAR:CALENDAR=US&amp;VAR:SYMBOL=RDWR&amp;VAR:INDEX=0"}</definedName>
    <definedName name="_3655__FDSAUDITLINK__" hidden="1">{"fdsup://directions/FAT Viewer?action=UPDATE&amp;creator=factset&amp;DYN_ARGS=TRUE&amp;DOC_NAME=FAT:FQL_AUDITING_CLIENT_TEMPLATE.FAT&amp;display_string=Audit&amp;VAR:KEY=QLOZINYPEF&amp;VAR:QUERY=UkdGX1RBWF9SQVRFKEFOTiwwLCwsLCwsTk9BVURJVCk=&amp;WINDOW=FIRST_POPUP&amp;HEIGHT=450&amp;WIDTH=450&amp;","START_MAXIMIZED=FALSE&amp;VAR:CALENDAR=US&amp;VAR:SYMBOL=RDWR&amp;VAR:INDEX=0"}</definedName>
    <definedName name="_3656__FDSAUDITLINK__" localSheetId="3" hidden="1">{"fdsup://directions/FAT Viewer?action=UPDATE&amp;creator=factset&amp;DYN_ARGS=TRUE&amp;DOC_NAME=FAT:FQL_AUDITING_CLIENT_TEMPLATE.FAT&amp;display_string=Audit&amp;VAR:KEY=WVQXQBQFWB&amp;VAR:QUERY=UkdGX1RBWF9SQVRFKEFOTiwwLCwsLCwsTk9BVURJVCk=&amp;WINDOW=FIRST_POPUP&amp;HEIGHT=450&amp;WIDTH=450&amp;","START_MAXIMIZED=FALSE&amp;VAR:CALENDAR=US&amp;VAR:SYMBOL=RAX&amp;VAR:INDEX=0"}</definedName>
    <definedName name="_3656__FDSAUDITLINK__" localSheetId="7" hidden="1">{"fdsup://directions/FAT Viewer?action=UPDATE&amp;creator=factset&amp;DYN_ARGS=TRUE&amp;DOC_NAME=FAT:FQL_AUDITING_CLIENT_TEMPLATE.FAT&amp;display_string=Audit&amp;VAR:KEY=WVQXQBQFWB&amp;VAR:QUERY=UkdGX1RBWF9SQVRFKEFOTiwwLCwsLCwsTk9BVURJVCk=&amp;WINDOW=FIRST_POPUP&amp;HEIGHT=450&amp;WIDTH=450&amp;","START_MAXIMIZED=FALSE&amp;VAR:CALENDAR=US&amp;VAR:SYMBOL=RAX&amp;VAR:INDEX=0"}</definedName>
    <definedName name="_3656__FDSAUDITLINK__" hidden="1">{"fdsup://directions/FAT Viewer?action=UPDATE&amp;creator=factset&amp;DYN_ARGS=TRUE&amp;DOC_NAME=FAT:FQL_AUDITING_CLIENT_TEMPLATE.FAT&amp;display_string=Audit&amp;VAR:KEY=WVQXQBQFWB&amp;VAR:QUERY=UkdGX1RBWF9SQVRFKEFOTiwwLCwsLCwsTk9BVURJVCk=&amp;WINDOW=FIRST_POPUP&amp;HEIGHT=450&amp;WIDTH=450&amp;","START_MAXIMIZED=FALSE&amp;VAR:CALENDAR=US&amp;VAR:SYMBOL=RAX&amp;VAR:INDEX=0"}</definedName>
    <definedName name="_3657__FDSAUDITLINK__" localSheetId="3" hidden="1">{"fdsup://directions/FAT Viewer?action=UPDATE&amp;creator=factset&amp;DYN_ARGS=TRUE&amp;DOC_NAME=FAT:FQL_AUDITING_CLIENT_TEMPLATE.FAT&amp;display_string=Audit&amp;VAR:KEY=WVQXQBQFWB&amp;VAR:QUERY=UkdGX1RBWF9SQVRFKEFOTiwwLCwsLCwsTk9BVURJVCk=&amp;WINDOW=FIRST_POPUP&amp;HEIGHT=450&amp;WIDTH=450&amp;","START_MAXIMIZED=FALSE&amp;VAR:CALENDAR=US&amp;VAR:SYMBOL=RAX&amp;VAR:INDEX=0"}</definedName>
    <definedName name="_3657__FDSAUDITLINK__" localSheetId="7" hidden="1">{"fdsup://directions/FAT Viewer?action=UPDATE&amp;creator=factset&amp;DYN_ARGS=TRUE&amp;DOC_NAME=FAT:FQL_AUDITING_CLIENT_TEMPLATE.FAT&amp;display_string=Audit&amp;VAR:KEY=WVQXQBQFWB&amp;VAR:QUERY=UkdGX1RBWF9SQVRFKEFOTiwwLCwsLCwsTk9BVURJVCk=&amp;WINDOW=FIRST_POPUP&amp;HEIGHT=450&amp;WIDTH=450&amp;","START_MAXIMIZED=FALSE&amp;VAR:CALENDAR=US&amp;VAR:SYMBOL=RAX&amp;VAR:INDEX=0"}</definedName>
    <definedName name="_3657__FDSAUDITLINK__" hidden="1">{"fdsup://directions/FAT Viewer?action=UPDATE&amp;creator=factset&amp;DYN_ARGS=TRUE&amp;DOC_NAME=FAT:FQL_AUDITING_CLIENT_TEMPLATE.FAT&amp;display_string=Audit&amp;VAR:KEY=WVQXQBQFWB&amp;VAR:QUERY=UkdGX1RBWF9SQVRFKEFOTiwwLCwsLCwsTk9BVURJVCk=&amp;WINDOW=FIRST_POPUP&amp;HEIGHT=450&amp;WIDTH=450&amp;","START_MAXIMIZED=FALSE&amp;VAR:CALENDAR=US&amp;VAR:SYMBOL=RAX&amp;VAR:INDEX=0"}</definedName>
    <definedName name="_3658__FDSAUDITLINK__" localSheetId="3" hidden="1">{"fdsup://directions/FAT Viewer?action=UPDATE&amp;creator=factset&amp;DYN_ARGS=TRUE&amp;DOC_NAME=FAT:FQL_AUDITING_CLIENT_TEMPLATE.FAT&amp;display_string=Audit&amp;VAR:KEY=ONIVMRIFOF&amp;VAR:QUERY=UkdGX1RBWF9SQVRFKEFOTiwwLCwsLCwsTk9BVURJVCk=&amp;WINDOW=FIRST_POPUP&amp;HEIGHT=450&amp;WIDTH=450&amp;","START_MAXIMIZED=FALSE&amp;VAR:CALENDAR=US&amp;VAR:SYMBOL=QLIK&amp;VAR:INDEX=0"}</definedName>
    <definedName name="_3658__FDSAUDITLINK__" localSheetId="7" hidden="1">{"fdsup://directions/FAT Viewer?action=UPDATE&amp;creator=factset&amp;DYN_ARGS=TRUE&amp;DOC_NAME=FAT:FQL_AUDITING_CLIENT_TEMPLATE.FAT&amp;display_string=Audit&amp;VAR:KEY=ONIVMRIFOF&amp;VAR:QUERY=UkdGX1RBWF9SQVRFKEFOTiwwLCwsLCwsTk9BVURJVCk=&amp;WINDOW=FIRST_POPUP&amp;HEIGHT=450&amp;WIDTH=450&amp;","START_MAXIMIZED=FALSE&amp;VAR:CALENDAR=US&amp;VAR:SYMBOL=QLIK&amp;VAR:INDEX=0"}</definedName>
    <definedName name="_3658__FDSAUDITLINK__" hidden="1">{"fdsup://directions/FAT Viewer?action=UPDATE&amp;creator=factset&amp;DYN_ARGS=TRUE&amp;DOC_NAME=FAT:FQL_AUDITING_CLIENT_TEMPLATE.FAT&amp;display_string=Audit&amp;VAR:KEY=ONIVMRIFOF&amp;VAR:QUERY=UkdGX1RBWF9SQVRFKEFOTiwwLCwsLCwsTk9BVURJVCk=&amp;WINDOW=FIRST_POPUP&amp;HEIGHT=450&amp;WIDTH=450&amp;","START_MAXIMIZED=FALSE&amp;VAR:CALENDAR=US&amp;VAR:SYMBOL=QLIK&amp;VAR:INDEX=0"}</definedName>
    <definedName name="_3659__FDSAUDITLINK__" localSheetId="3" hidden="1">{"fdsup://directions/FAT Viewer?action=UPDATE&amp;creator=factset&amp;DYN_ARGS=TRUE&amp;DOC_NAME=FAT:FQL_AUDITING_CLIENT_TEMPLATE.FAT&amp;display_string=Audit&amp;VAR:KEY=ONIVMRIFOF&amp;VAR:QUERY=UkdGX1RBWF9SQVRFKEFOTiwwLCwsLCwsTk9BVURJVCk=&amp;WINDOW=FIRST_POPUP&amp;HEIGHT=450&amp;WIDTH=450&amp;","START_MAXIMIZED=FALSE&amp;VAR:CALENDAR=US&amp;VAR:SYMBOL=QLIK&amp;VAR:INDEX=0"}</definedName>
    <definedName name="_3659__FDSAUDITLINK__" localSheetId="7" hidden="1">{"fdsup://directions/FAT Viewer?action=UPDATE&amp;creator=factset&amp;DYN_ARGS=TRUE&amp;DOC_NAME=FAT:FQL_AUDITING_CLIENT_TEMPLATE.FAT&amp;display_string=Audit&amp;VAR:KEY=ONIVMRIFOF&amp;VAR:QUERY=UkdGX1RBWF9SQVRFKEFOTiwwLCwsLCwsTk9BVURJVCk=&amp;WINDOW=FIRST_POPUP&amp;HEIGHT=450&amp;WIDTH=450&amp;","START_MAXIMIZED=FALSE&amp;VAR:CALENDAR=US&amp;VAR:SYMBOL=QLIK&amp;VAR:INDEX=0"}</definedName>
    <definedName name="_3659__FDSAUDITLINK__" hidden="1">{"fdsup://directions/FAT Viewer?action=UPDATE&amp;creator=factset&amp;DYN_ARGS=TRUE&amp;DOC_NAME=FAT:FQL_AUDITING_CLIENT_TEMPLATE.FAT&amp;display_string=Audit&amp;VAR:KEY=ONIVMRIFOF&amp;VAR:QUERY=UkdGX1RBWF9SQVRFKEFOTiwwLCwsLCwsTk9BVURJVCk=&amp;WINDOW=FIRST_POPUP&amp;HEIGHT=450&amp;WIDTH=450&amp;","START_MAXIMIZED=FALSE&amp;VAR:CALENDAR=US&amp;VAR:SYMBOL=QLIK&amp;VAR:INDEX=0"}</definedName>
    <definedName name="_366__FDSAUDITLINK__" localSheetId="3" hidden="1">{"fdsup://directions/FAT Viewer?action=UPDATE&amp;creator=factset&amp;DYN_ARGS=TRUE&amp;DOC_NAME=FAT:FQL_AUDITING_CLIENT_TEMPLATE.FAT&amp;display_string=Audit&amp;VAR:KEY=QTGTONMHOF&amp;VAR:QUERY=RkZfREVCVChBTk4sMCwtOSxZLFJQLFVTRCxNKQ==&amp;WINDOW=FIRST_POPUP&amp;HEIGHT=450&amp;WIDTH=450&amp;STAR","T_MAXIMIZED=FALSE&amp;VAR:CALENDAR=US&amp;VAR:SYMBOL=B10LQP&amp;VAR:INDEX=1"}</definedName>
    <definedName name="_366__FDSAUDITLINK__" localSheetId="7" hidden="1">{"fdsup://directions/FAT Viewer?action=UPDATE&amp;creator=factset&amp;DYN_ARGS=TRUE&amp;DOC_NAME=FAT:FQL_AUDITING_CLIENT_TEMPLATE.FAT&amp;display_string=Audit&amp;VAR:KEY=QTGTONMHOF&amp;VAR:QUERY=RkZfREVCVChBTk4sMCwtOSxZLFJQLFVTRCxNKQ==&amp;WINDOW=FIRST_POPUP&amp;HEIGHT=450&amp;WIDTH=450&amp;STAR","T_MAXIMIZED=FALSE&amp;VAR:CALENDAR=US&amp;VAR:SYMBOL=B10LQP&amp;VAR:INDEX=1"}</definedName>
    <definedName name="_366__FDSAUDITLINK__" hidden="1">{"fdsup://directions/FAT Viewer?action=UPDATE&amp;creator=factset&amp;DYN_ARGS=TRUE&amp;DOC_NAME=FAT:FQL_AUDITING_CLIENT_TEMPLATE.FAT&amp;display_string=Audit&amp;VAR:KEY=QTGTONMHOF&amp;VAR:QUERY=RkZfREVCVChBTk4sMCwtOSxZLFJQLFVTRCxNKQ==&amp;WINDOW=FIRST_POPUP&amp;HEIGHT=450&amp;WIDTH=450&amp;STAR","T_MAXIMIZED=FALSE&amp;VAR:CALENDAR=US&amp;VAR:SYMBOL=B10LQP&amp;VAR:INDEX=1"}</definedName>
    <definedName name="_3660__FDSAUDITLINK__" localSheetId="3" hidden="1">{"fdsup://directions/FAT Viewer?action=UPDATE&amp;creator=factset&amp;DYN_ARGS=TRUE&amp;DOC_NAME=FAT:FQL_AUDITING_CLIENT_TEMPLATE.FAT&amp;display_string=Audit&amp;VAR:KEY=GTWFWZGPSD&amp;VAR:QUERY=UkdGX1RBWF9SQVRFKEFOTiwwLCwsLCwsTk9BVURJVCk=&amp;WINDOW=FIRST_POPUP&amp;HEIGHT=450&amp;WIDTH=450&amp;","START_MAXIMIZED=FALSE&amp;VAR:CALENDAR=US&amp;VAR:SYMBOL=QNST&amp;VAR:INDEX=0"}</definedName>
    <definedName name="_3660__FDSAUDITLINK__" localSheetId="7" hidden="1">{"fdsup://directions/FAT Viewer?action=UPDATE&amp;creator=factset&amp;DYN_ARGS=TRUE&amp;DOC_NAME=FAT:FQL_AUDITING_CLIENT_TEMPLATE.FAT&amp;display_string=Audit&amp;VAR:KEY=GTWFWZGPSD&amp;VAR:QUERY=UkdGX1RBWF9SQVRFKEFOTiwwLCwsLCwsTk9BVURJVCk=&amp;WINDOW=FIRST_POPUP&amp;HEIGHT=450&amp;WIDTH=450&amp;","START_MAXIMIZED=FALSE&amp;VAR:CALENDAR=US&amp;VAR:SYMBOL=QNST&amp;VAR:INDEX=0"}</definedName>
    <definedName name="_3660__FDSAUDITLINK__" hidden="1">{"fdsup://directions/FAT Viewer?action=UPDATE&amp;creator=factset&amp;DYN_ARGS=TRUE&amp;DOC_NAME=FAT:FQL_AUDITING_CLIENT_TEMPLATE.FAT&amp;display_string=Audit&amp;VAR:KEY=GTWFWZGPSD&amp;VAR:QUERY=UkdGX1RBWF9SQVRFKEFOTiwwLCwsLCwsTk9BVURJVCk=&amp;WINDOW=FIRST_POPUP&amp;HEIGHT=450&amp;WIDTH=450&amp;","START_MAXIMIZED=FALSE&amp;VAR:CALENDAR=US&amp;VAR:SYMBOL=QNST&amp;VAR:INDEX=0"}</definedName>
    <definedName name="_3661__FDSAUDITLINK__" localSheetId="3" hidden="1">{"fdsup://directions/FAT Viewer?action=UPDATE&amp;creator=factset&amp;DYN_ARGS=TRUE&amp;DOC_NAME=FAT:FQL_AUDITING_CLIENT_TEMPLATE.FAT&amp;display_string=Audit&amp;VAR:KEY=GTWFWZGPSD&amp;VAR:QUERY=UkdGX1RBWF9SQVRFKEFOTiwwLCwsLCwsTk9BVURJVCk=&amp;WINDOW=FIRST_POPUP&amp;HEIGHT=450&amp;WIDTH=450&amp;","START_MAXIMIZED=FALSE&amp;VAR:CALENDAR=US&amp;VAR:SYMBOL=QNST&amp;VAR:INDEX=0"}</definedName>
    <definedName name="_3661__FDSAUDITLINK__" localSheetId="7" hidden="1">{"fdsup://directions/FAT Viewer?action=UPDATE&amp;creator=factset&amp;DYN_ARGS=TRUE&amp;DOC_NAME=FAT:FQL_AUDITING_CLIENT_TEMPLATE.FAT&amp;display_string=Audit&amp;VAR:KEY=GTWFWZGPSD&amp;VAR:QUERY=UkdGX1RBWF9SQVRFKEFOTiwwLCwsLCwsTk9BVURJVCk=&amp;WINDOW=FIRST_POPUP&amp;HEIGHT=450&amp;WIDTH=450&amp;","START_MAXIMIZED=FALSE&amp;VAR:CALENDAR=US&amp;VAR:SYMBOL=QNST&amp;VAR:INDEX=0"}</definedName>
    <definedName name="_3661__FDSAUDITLINK__" hidden="1">{"fdsup://directions/FAT Viewer?action=UPDATE&amp;creator=factset&amp;DYN_ARGS=TRUE&amp;DOC_NAME=FAT:FQL_AUDITING_CLIENT_TEMPLATE.FAT&amp;display_string=Audit&amp;VAR:KEY=GTWFWZGPSD&amp;VAR:QUERY=UkdGX1RBWF9SQVRFKEFOTiwwLCwsLCwsTk9BVURJVCk=&amp;WINDOW=FIRST_POPUP&amp;HEIGHT=450&amp;WIDTH=450&amp;","START_MAXIMIZED=FALSE&amp;VAR:CALENDAR=US&amp;VAR:SYMBOL=QNST&amp;VAR:INDEX=0"}</definedName>
    <definedName name="_3662__FDSAUDITLINK__" localSheetId="3" hidden="1">{"fdsup://directions/FAT Viewer?action=UPDATE&amp;creator=factset&amp;DYN_ARGS=TRUE&amp;DOC_NAME=FAT:FQL_AUDITING_CLIENT_TEMPLATE.FAT&amp;display_string=Audit&amp;VAR:KEY=OBABYVYDYP&amp;VAR:QUERY=UkdGX1RBWF9SQVRFKEFOTiwwLCwsLCwsTk9BVURJVCk=&amp;WINDOW=FIRST_POPUP&amp;HEIGHT=450&amp;WIDTH=450&amp;","START_MAXIMIZED=FALSE&amp;VAR:CALENDAR=US&amp;VAR:SYMBOL=QSFT&amp;VAR:INDEX=0"}</definedName>
    <definedName name="_3662__FDSAUDITLINK__" localSheetId="7" hidden="1">{"fdsup://directions/FAT Viewer?action=UPDATE&amp;creator=factset&amp;DYN_ARGS=TRUE&amp;DOC_NAME=FAT:FQL_AUDITING_CLIENT_TEMPLATE.FAT&amp;display_string=Audit&amp;VAR:KEY=OBABYVYDYP&amp;VAR:QUERY=UkdGX1RBWF9SQVRFKEFOTiwwLCwsLCwsTk9BVURJVCk=&amp;WINDOW=FIRST_POPUP&amp;HEIGHT=450&amp;WIDTH=450&amp;","START_MAXIMIZED=FALSE&amp;VAR:CALENDAR=US&amp;VAR:SYMBOL=QSFT&amp;VAR:INDEX=0"}</definedName>
    <definedName name="_3662__FDSAUDITLINK__" hidden="1">{"fdsup://directions/FAT Viewer?action=UPDATE&amp;creator=factset&amp;DYN_ARGS=TRUE&amp;DOC_NAME=FAT:FQL_AUDITING_CLIENT_TEMPLATE.FAT&amp;display_string=Audit&amp;VAR:KEY=OBABYVYDYP&amp;VAR:QUERY=UkdGX1RBWF9SQVRFKEFOTiwwLCwsLCwsTk9BVURJVCk=&amp;WINDOW=FIRST_POPUP&amp;HEIGHT=450&amp;WIDTH=450&amp;","START_MAXIMIZED=FALSE&amp;VAR:CALENDAR=US&amp;VAR:SYMBOL=QSFT&amp;VAR:INDEX=0"}</definedName>
    <definedName name="_3663__FDSAUDITLINK__" localSheetId="3" hidden="1">{"fdsup://directions/FAT Viewer?action=UPDATE&amp;creator=factset&amp;DYN_ARGS=TRUE&amp;DOC_NAME=FAT:FQL_AUDITING_CLIENT_TEMPLATE.FAT&amp;display_string=Audit&amp;VAR:KEY=OBABYVYDYP&amp;VAR:QUERY=UkdGX1RBWF9SQVRFKEFOTiwwLCwsLCwsTk9BVURJVCk=&amp;WINDOW=FIRST_POPUP&amp;HEIGHT=450&amp;WIDTH=450&amp;","START_MAXIMIZED=FALSE&amp;VAR:CALENDAR=US&amp;VAR:SYMBOL=QSFT&amp;VAR:INDEX=0"}</definedName>
    <definedName name="_3663__FDSAUDITLINK__" localSheetId="7" hidden="1">{"fdsup://directions/FAT Viewer?action=UPDATE&amp;creator=factset&amp;DYN_ARGS=TRUE&amp;DOC_NAME=FAT:FQL_AUDITING_CLIENT_TEMPLATE.FAT&amp;display_string=Audit&amp;VAR:KEY=OBABYVYDYP&amp;VAR:QUERY=UkdGX1RBWF9SQVRFKEFOTiwwLCwsLCwsTk9BVURJVCk=&amp;WINDOW=FIRST_POPUP&amp;HEIGHT=450&amp;WIDTH=450&amp;","START_MAXIMIZED=FALSE&amp;VAR:CALENDAR=US&amp;VAR:SYMBOL=QSFT&amp;VAR:INDEX=0"}</definedName>
    <definedName name="_3663__FDSAUDITLINK__" hidden="1">{"fdsup://directions/FAT Viewer?action=UPDATE&amp;creator=factset&amp;DYN_ARGS=TRUE&amp;DOC_NAME=FAT:FQL_AUDITING_CLIENT_TEMPLATE.FAT&amp;display_string=Audit&amp;VAR:KEY=OBABYVYDYP&amp;VAR:QUERY=UkdGX1RBWF9SQVRFKEFOTiwwLCwsLCwsTk9BVURJVCk=&amp;WINDOW=FIRST_POPUP&amp;HEIGHT=450&amp;WIDTH=450&amp;","START_MAXIMIZED=FALSE&amp;VAR:CALENDAR=US&amp;VAR:SYMBOL=QSFT&amp;VAR:INDEX=0"}</definedName>
    <definedName name="_3664__FDSAUDITLINK__" localSheetId="3" hidden="1">{"fdsup://directions/FAT Viewer?action=UPDATE&amp;creator=factset&amp;DYN_ARGS=TRUE&amp;DOC_NAME=FAT:FQL_AUDITING_CLIENT_TEMPLATE.FAT&amp;display_string=Audit&amp;VAR:KEY=YHWVELGPQR&amp;VAR:QUERY=UkdGX1RBWF9SQVRFKEFOTiwwLCwsLCwsTk9BVURJVCk=&amp;WINDOW=FIRST_POPUP&amp;HEIGHT=450&amp;WIDTH=450&amp;","START_MAXIMIZED=FALSE&amp;VAR:CALENDAR=US&amp;VAR:SYMBOL=QCOM&amp;VAR:INDEX=0"}</definedName>
    <definedName name="_3664__FDSAUDITLINK__" localSheetId="7" hidden="1">{"fdsup://directions/FAT Viewer?action=UPDATE&amp;creator=factset&amp;DYN_ARGS=TRUE&amp;DOC_NAME=FAT:FQL_AUDITING_CLIENT_TEMPLATE.FAT&amp;display_string=Audit&amp;VAR:KEY=YHWVELGPQR&amp;VAR:QUERY=UkdGX1RBWF9SQVRFKEFOTiwwLCwsLCwsTk9BVURJVCk=&amp;WINDOW=FIRST_POPUP&amp;HEIGHT=450&amp;WIDTH=450&amp;","START_MAXIMIZED=FALSE&amp;VAR:CALENDAR=US&amp;VAR:SYMBOL=QCOM&amp;VAR:INDEX=0"}</definedName>
    <definedName name="_3664__FDSAUDITLINK__" hidden="1">{"fdsup://directions/FAT Viewer?action=UPDATE&amp;creator=factset&amp;DYN_ARGS=TRUE&amp;DOC_NAME=FAT:FQL_AUDITING_CLIENT_TEMPLATE.FAT&amp;display_string=Audit&amp;VAR:KEY=YHWVELGPQR&amp;VAR:QUERY=UkdGX1RBWF9SQVRFKEFOTiwwLCwsLCwsTk9BVURJVCk=&amp;WINDOW=FIRST_POPUP&amp;HEIGHT=450&amp;WIDTH=450&amp;","START_MAXIMIZED=FALSE&amp;VAR:CALENDAR=US&amp;VAR:SYMBOL=QCOM&amp;VAR:INDEX=0"}</definedName>
    <definedName name="_3665__FDSAUDITLINK__" localSheetId="3" hidden="1">{"fdsup://directions/FAT Viewer?action=UPDATE&amp;creator=factset&amp;DYN_ARGS=TRUE&amp;DOC_NAME=FAT:FQL_AUDITING_CLIENT_TEMPLATE.FAT&amp;display_string=Audit&amp;VAR:KEY=YHWVELGPQR&amp;VAR:QUERY=UkdGX1RBWF9SQVRFKEFOTiwwLCwsLCwsTk9BVURJVCk=&amp;WINDOW=FIRST_POPUP&amp;HEIGHT=450&amp;WIDTH=450&amp;","START_MAXIMIZED=FALSE&amp;VAR:CALENDAR=US&amp;VAR:SYMBOL=QCOM&amp;VAR:INDEX=0"}</definedName>
    <definedName name="_3665__FDSAUDITLINK__" localSheetId="7" hidden="1">{"fdsup://directions/FAT Viewer?action=UPDATE&amp;creator=factset&amp;DYN_ARGS=TRUE&amp;DOC_NAME=FAT:FQL_AUDITING_CLIENT_TEMPLATE.FAT&amp;display_string=Audit&amp;VAR:KEY=YHWVELGPQR&amp;VAR:QUERY=UkdGX1RBWF9SQVRFKEFOTiwwLCwsLCwsTk9BVURJVCk=&amp;WINDOW=FIRST_POPUP&amp;HEIGHT=450&amp;WIDTH=450&amp;","START_MAXIMIZED=FALSE&amp;VAR:CALENDAR=US&amp;VAR:SYMBOL=QCOM&amp;VAR:INDEX=0"}</definedName>
    <definedName name="_3665__FDSAUDITLINK__" hidden="1">{"fdsup://directions/FAT Viewer?action=UPDATE&amp;creator=factset&amp;DYN_ARGS=TRUE&amp;DOC_NAME=FAT:FQL_AUDITING_CLIENT_TEMPLATE.FAT&amp;display_string=Audit&amp;VAR:KEY=YHWVELGPQR&amp;VAR:QUERY=UkdGX1RBWF9SQVRFKEFOTiwwLCwsLCwsTk9BVURJVCk=&amp;WINDOW=FIRST_POPUP&amp;HEIGHT=450&amp;WIDTH=450&amp;","START_MAXIMIZED=FALSE&amp;VAR:CALENDAR=US&amp;VAR:SYMBOL=QCOM&amp;VAR:INDEX=0"}</definedName>
    <definedName name="_3666__FDSAUDITLINK__" localSheetId="3" hidden="1">{"fdsup://directions/FAT Viewer?action=UPDATE&amp;creator=factset&amp;DYN_ARGS=TRUE&amp;DOC_NAME=FAT:FQL_AUDITING_CLIENT_TEMPLATE.FAT&amp;display_string=Audit&amp;VAR:KEY=MFYNUZKDGD&amp;VAR:QUERY=UkdGX1RBWF9SQVRFKEFOTiwwLCwsLCwsTk9BVURJVCk=&amp;WINDOW=FIRST_POPUP&amp;HEIGHT=450&amp;WIDTH=450&amp;","START_MAXIMIZED=FALSE&amp;VAR:CALENDAR=US&amp;VAR:SYMBOL=QADI&amp;VAR:INDEX=0"}</definedName>
    <definedName name="_3666__FDSAUDITLINK__" localSheetId="7" hidden="1">{"fdsup://directions/FAT Viewer?action=UPDATE&amp;creator=factset&amp;DYN_ARGS=TRUE&amp;DOC_NAME=FAT:FQL_AUDITING_CLIENT_TEMPLATE.FAT&amp;display_string=Audit&amp;VAR:KEY=MFYNUZKDGD&amp;VAR:QUERY=UkdGX1RBWF9SQVRFKEFOTiwwLCwsLCwsTk9BVURJVCk=&amp;WINDOW=FIRST_POPUP&amp;HEIGHT=450&amp;WIDTH=450&amp;","START_MAXIMIZED=FALSE&amp;VAR:CALENDAR=US&amp;VAR:SYMBOL=QADI&amp;VAR:INDEX=0"}</definedName>
    <definedName name="_3666__FDSAUDITLINK__" hidden="1">{"fdsup://directions/FAT Viewer?action=UPDATE&amp;creator=factset&amp;DYN_ARGS=TRUE&amp;DOC_NAME=FAT:FQL_AUDITING_CLIENT_TEMPLATE.FAT&amp;display_string=Audit&amp;VAR:KEY=MFYNUZKDGD&amp;VAR:QUERY=UkdGX1RBWF9SQVRFKEFOTiwwLCwsLCwsTk9BVURJVCk=&amp;WINDOW=FIRST_POPUP&amp;HEIGHT=450&amp;WIDTH=450&amp;","START_MAXIMIZED=FALSE&amp;VAR:CALENDAR=US&amp;VAR:SYMBOL=QADI&amp;VAR:INDEX=0"}</definedName>
    <definedName name="_3667__FDSAUDITLINK__" localSheetId="3" hidden="1">{"fdsup://directions/FAT Viewer?action=UPDATE&amp;creator=factset&amp;DYN_ARGS=TRUE&amp;DOC_NAME=FAT:FQL_AUDITING_CLIENT_TEMPLATE.FAT&amp;display_string=Audit&amp;VAR:KEY=MFYNUZKDGD&amp;VAR:QUERY=UkdGX1RBWF9SQVRFKEFOTiwwLCwsLCwsTk9BVURJVCk=&amp;WINDOW=FIRST_POPUP&amp;HEIGHT=450&amp;WIDTH=450&amp;","START_MAXIMIZED=FALSE&amp;VAR:CALENDAR=US&amp;VAR:SYMBOL=QADI&amp;VAR:INDEX=0"}</definedName>
    <definedName name="_3667__FDSAUDITLINK__" localSheetId="7" hidden="1">{"fdsup://directions/FAT Viewer?action=UPDATE&amp;creator=factset&amp;DYN_ARGS=TRUE&amp;DOC_NAME=FAT:FQL_AUDITING_CLIENT_TEMPLATE.FAT&amp;display_string=Audit&amp;VAR:KEY=MFYNUZKDGD&amp;VAR:QUERY=UkdGX1RBWF9SQVRFKEFOTiwwLCwsLCwsTk9BVURJVCk=&amp;WINDOW=FIRST_POPUP&amp;HEIGHT=450&amp;WIDTH=450&amp;","START_MAXIMIZED=FALSE&amp;VAR:CALENDAR=US&amp;VAR:SYMBOL=QADI&amp;VAR:INDEX=0"}</definedName>
    <definedName name="_3667__FDSAUDITLINK__" hidden="1">{"fdsup://directions/FAT Viewer?action=UPDATE&amp;creator=factset&amp;DYN_ARGS=TRUE&amp;DOC_NAME=FAT:FQL_AUDITING_CLIENT_TEMPLATE.FAT&amp;display_string=Audit&amp;VAR:KEY=MFYNUZKDGD&amp;VAR:QUERY=UkdGX1RBWF9SQVRFKEFOTiwwLCwsLCwsTk9BVURJVCk=&amp;WINDOW=FIRST_POPUP&amp;HEIGHT=450&amp;WIDTH=450&amp;","START_MAXIMIZED=FALSE&amp;VAR:CALENDAR=US&amp;VAR:SYMBOL=QADI&amp;VAR:INDEX=0"}</definedName>
    <definedName name="_3668__FDSAUDITLINK__" localSheetId="3" hidden="1">{"fdsup://directions/FAT Viewer?action=UPDATE&amp;creator=factset&amp;DYN_ARGS=TRUE&amp;DOC_NAME=FAT:FQL_AUDITING_CLIENT_TEMPLATE.FAT&amp;display_string=Audit&amp;VAR:KEY=WNYPSFCZAB&amp;VAR:QUERY=UkdGX1RBWF9SQVRFKEFOTiwwLCwsLCwsTk9BVURJVCk=&amp;WINDOW=FIRST_POPUP&amp;HEIGHT=450&amp;WIDTH=450&amp;","START_MAXIMIZED=FALSE&amp;VAR:CALENDAR=US&amp;VAR:SYMBOL=PRO&amp;VAR:INDEX=0"}</definedName>
    <definedName name="_3668__FDSAUDITLINK__" localSheetId="7" hidden="1">{"fdsup://directions/FAT Viewer?action=UPDATE&amp;creator=factset&amp;DYN_ARGS=TRUE&amp;DOC_NAME=FAT:FQL_AUDITING_CLIENT_TEMPLATE.FAT&amp;display_string=Audit&amp;VAR:KEY=WNYPSFCZAB&amp;VAR:QUERY=UkdGX1RBWF9SQVRFKEFOTiwwLCwsLCwsTk9BVURJVCk=&amp;WINDOW=FIRST_POPUP&amp;HEIGHT=450&amp;WIDTH=450&amp;","START_MAXIMIZED=FALSE&amp;VAR:CALENDAR=US&amp;VAR:SYMBOL=PRO&amp;VAR:INDEX=0"}</definedName>
    <definedName name="_3668__FDSAUDITLINK__" hidden="1">{"fdsup://directions/FAT Viewer?action=UPDATE&amp;creator=factset&amp;DYN_ARGS=TRUE&amp;DOC_NAME=FAT:FQL_AUDITING_CLIENT_TEMPLATE.FAT&amp;display_string=Audit&amp;VAR:KEY=WNYPSFCZAB&amp;VAR:QUERY=UkdGX1RBWF9SQVRFKEFOTiwwLCwsLCwsTk9BVURJVCk=&amp;WINDOW=FIRST_POPUP&amp;HEIGHT=450&amp;WIDTH=450&amp;","START_MAXIMIZED=FALSE&amp;VAR:CALENDAR=US&amp;VAR:SYMBOL=PRO&amp;VAR:INDEX=0"}</definedName>
    <definedName name="_3669__FDSAUDITLINK__" localSheetId="3" hidden="1">{"fdsup://directions/FAT Viewer?action=UPDATE&amp;creator=factset&amp;DYN_ARGS=TRUE&amp;DOC_NAME=FAT:FQL_AUDITING_CLIENT_TEMPLATE.FAT&amp;display_string=Audit&amp;VAR:KEY=WJQPYVEJUJ&amp;VAR:QUERY=UkdGX1RBWF9SQVRFKEFOTiwwLCwsLCwsTk9BVURJVCk=&amp;WINDOW=FIRST_POPUP&amp;HEIGHT=450&amp;WIDTH=450&amp;","START_MAXIMIZED=FALSE&amp;VAR:CALENDAR=US&amp;VAR:SYMBOL=PRGS&amp;VAR:INDEX=0"}</definedName>
    <definedName name="_3669__FDSAUDITLINK__" localSheetId="7" hidden="1">{"fdsup://directions/FAT Viewer?action=UPDATE&amp;creator=factset&amp;DYN_ARGS=TRUE&amp;DOC_NAME=FAT:FQL_AUDITING_CLIENT_TEMPLATE.FAT&amp;display_string=Audit&amp;VAR:KEY=WJQPYVEJUJ&amp;VAR:QUERY=UkdGX1RBWF9SQVRFKEFOTiwwLCwsLCwsTk9BVURJVCk=&amp;WINDOW=FIRST_POPUP&amp;HEIGHT=450&amp;WIDTH=450&amp;","START_MAXIMIZED=FALSE&amp;VAR:CALENDAR=US&amp;VAR:SYMBOL=PRGS&amp;VAR:INDEX=0"}</definedName>
    <definedName name="_3669__FDSAUDITLINK__" hidden="1">{"fdsup://directions/FAT Viewer?action=UPDATE&amp;creator=factset&amp;DYN_ARGS=TRUE&amp;DOC_NAME=FAT:FQL_AUDITING_CLIENT_TEMPLATE.FAT&amp;display_string=Audit&amp;VAR:KEY=WJQPYVEJUJ&amp;VAR:QUERY=UkdGX1RBWF9SQVRFKEFOTiwwLCwsLCwsTk9BVURJVCk=&amp;WINDOW=FIRST_POPUP&amp;HEIGHT=450&amp;WIDTH=450&amp;","START_MAXIMIZED=FALSE&amp;VAR:CALENDAR=US&amp;VAR:SYMBOL=PRGS&amp;VAR:INDEX=0"}</definedName>
    <definedName name="_367__FDSAUDITLINK__" localSheetId="3" hidden="1">{"fdsup://directions/FAT Viewer?action=UPDATE&amp;creator=factset&amp;DYN_ARGS=TRUE&amp;DOC_NAME=FAT:FQL_AUDITING_CLIENT_TEMPLATE.FAT&amp;display_string=Audit&amp;VAR:KEY=LWRMPSDCVK&amp;VAR:QUERY=RkZfUk9BKEFOTiwwLC05LFksUlAp&amp;WINDOW=FIRST_POPUP&amp;HEIGHT=450&amp;WIDTH=450&amp;START_MAXIMIZED=","FALSE&amp;VAR:CALENDAR=US&amp;VAR:SYMBOL=B10LQP&amp;VAR:INDEX=1"}</definedName>
    <definedName name="_367__FDSAUDITLINK__" localSheetId="7" hidden="1">{"fdsup://directions/FAT Viewer?action=UPDATE&amp;creator=factset&amp;DYN_ARGS=TRUE&amp;DOC_NAME=FAT:FQL_AUDITING_CLIENT_TEMPLATE.FAT&amp;display_string=Audit&amp;VAR:KEY=LWRMPSDCVK&amp;VAR:QUERY=RkZfUk9BKEFOTiwwLC05LFksUlAp&amp;WINDOW=FIRST_POPUP&amp;HEIGHT=450&amp;WIDTH=450&amp;START_MAXIMIZED=","FALSE&amp;VAR:CALENDAR=US&amp;VAR:SYMBOL=B10LQP&amp;VAR:INDEX=1"}</definedName>
    <definedName name="_367__FDSAUDITLINK__" hidden="1">{"fdsup://directions/FAT Viewer?action=UPDATE&amp;creator=factset&amp;DYN_ARGS=TRUE&amp;DOC_NAME=FAT:FQL_AUDITING_CLIENT_TEMPLATE.FAT&amp;display_string=Audit&amp;VAR:KEY=LWRMPSDCVK&amp;VAR:QUERY=RkZfUk9BKEFOTiwwLC05LFksUlAp&amp;WINDOW=FIRST_POPUP&amp;HEIGHT=450&amp;WIDTH=450&amp;START_MAXIMIZED=","FALSE&amp;VAR:CALENDAR=US&amp;VAR:SYMBOL=B10LQP&amp;VAR:INDEX=1"}</definedName>
    <definedName name="_3670__FDSAUDITLINK__" localSheetId="3" hidden="1">{"fdsup://directions/FAT Viewer?action=UPDATE&amp;creator=factset&amp;DYN_ARGS=TRUE&amp;DOC_NAME=FAT:FQL_AUDITING_CLIENT_TEMPLATE.FAT&amp;display_string=Audit&amp;VAR:KEY=WJQPYVEJUJ&amp;VAR:QUERY=UkdGX1RBWF9SQVRFKEFOTiwwLCwsLCwsTk9BVURJVCk=&amp;WINDOW=FIRST_POPUP&amp;HEIGHT=450&amp;WIDTH=450&amp;","START_MAXIMIZED=FALSE&amp;VAR:CALENDAR=US&amp;VAR:SYMBOL=PRGS&amp;VAR:INDEX=0"}</definedName>
    <definedName name="_3670__FDSAUDITLINK__" localSheetId="7" hidden="1">{"fdsup://directions/FAT Viewer?action=UPDATE&amp;creator=factset&amp;DYN_ARGS=TRUE&amp;DOC_NAME=FAT:FQL_AUDITING_CLIENT_TEMPLATE.FAT&amp;display_string=Audit&amp;VAR:KEY=WJQPYVEJUJ&amp;VAR:QUERY=UkdGX1RBWF9SQVRFKEFOTiwwLCwsLCwsTk9BVURJVCk=&amp;WINDOW=FIRST_POPUP&amp;HEIGHT=450&amp;WIDTH=450&amp;","START_MAXIMIZED=FALSE&amp;VAR:CALENDAR=US&amp;VAR:SYMBOL=PRGS&amp;VAR:INDEX=0"}</definedName>
    <definedName name="_3670__FDSAUDITLINK__" hidden="1">{"fdsup://directions/FAT Viewer?action=UPDATE&amp;creator=factset&amp;DYN_ARGS=TRUE&amp;DOC_NAME=FAT:FQL_AUDITING_CLIENT_TEMPLATE.FAT&amp;display_string=Audit&amp;VAR:KEY=WJQPYVEJUJ&amp;VAR:QUERY=UkdGX1RBWF9SQVRFKEFOTiwwLCwsLCwsTk9BVURJVCk=&amp;WINDOW=FIRST_POPUP&amp;HEIGHT=450&amp;WIDTH=450&amp;","START_MAXIMIZED=FALSE&amp;VAR:CALENDAR=US&amp;VAR:SYMBOL=PRGS&amp;VAR:INDEX=0"}</definedName>
    <definedName name="_3671__FDSAUDITLINK__" localSheetId="3" hidden="1">{"fdsup://directions/FAT Viewer?action=UPDATE&amp;creator=factset&amp;DYN_ARGS=TRUE&amp;DOC_NAME=FAT:FQL_AUDITING_CLIENT_TEMPLATE.FAT&amp;display_string=Audit&amp;VAR:KEY=ADODSJCDMF&amp;VAR:QUERY=UkdGX1RBWF9SQVRFKEFOTiwwLCwsLCwsTk9BVURJVCk=&amp;WINDOW=FIRST_POPUP&amp;HEIGHT=450&amp;WIDTH=450&amp;","START_MAXIMIZED=FALSE&amp;VAR:CALENDAR=US&amp;VAR:SYMBOL=PCLN&amp;VAR:INDEX=0"}</definedName>
    <definedName name="_3671__FDSAUDITLINK__" localSheetId="7" hidden="1">{"fdsup://directions/FAT Viewer?action=UPDATE&amp;creator=factset&amp;DYN_ARGS=TRUE&amp;DOC_NAME=FAT:FQL_AUDITING_CLIENT_TEMPLATE.FAT&amp;display_string=Audit&amp;VAR:KEY=ADODSJCDMF&amp;VAR:QUERY=UkdGX1RBWF9SQVRFKEFOTiwwLCwsLCwsTk9BVURJVCk=&amp;WINDOW=FIRST_POPUP&amp;HEIGHT=450&amp;WIDTH=450&amp;","START_MAXIMIZED=FALSE&amp;VAR:CALENDAR=US&amp;VAR:SYMBOL=PCLN&amp;VAR:INDEX=0"}</definedName>
    <definedName name="_3671__FDSAUDITLINK__" hidden="1">{"fdsup://directions/FAT Viewer?action=UPDATE&amp;creator=factset&amp;DYN_ARGS=TRUE&amp;DOC_NAME=FAT:FQL_AUDITING_CLIENT_TEMPLATE.FAT&amp;display_string=Audit&amp;VAR:KEY=ADODSJCDMF&amp;VAR:QUERY=UkdGX1RBWF9SQVRFKEFOTiwwLCwsLCwsTk9BVURJVCk=&amp;WINDOW=FIRST_POPUP&amp;HEIGHT=450&amp;WIDTH=450&amp;","START_MAXIMIZED=FALSE&amp;VAR:CALENDAR=US&amp;VAR:SYMBOL=PCLN&amp;VAR:INDEX=0"}</definedName>
    <definedName name="_3672__FDSAUDITLINK__" localSheetId="3" hidden="1">{"fdsup://directions/FAT Viewer?action=UPDATE&amp;creator=factset&amp;DYN_ARGS=TRUE&amp;DOC_NAME=FAT:FQL_AUDITING_CLIENT_TEMPLATE.FAT&amp;display_string=Audit&amp;VAR:KEY=ADODSJCDMF&amp;VAR:QUERY=UkdGX1RBWF9SQVRFKEFOTiwwLCwsLCwsTk9BVURJVCk=&amp;WINDOW=FIRST_POPUP&amp;HEIGHT=450&amp;WIDTH=450&amp;","START_MAXIMIZED=FALSE&amp;VAR:CALENDAR=US&amp;VAR:SYMBOL=PCLN&amp;VAR:INDEX=0"}</definedName>
    <definedName name="_3672__FDSAUDITLINK__" localSheetId="7" hidden="1">{"fdsup://directions/FAT Viewer?action=UPDATE&amp;creator=factset&amp;DYN_ARGS=TRUE&amp;DOC_NAME=FAT:FQL_AUDITING_CLIENT_TEMPLATE.FAT&amp;display_string=Audit&amp;VAR:KEY=ADODSJCDMF&amp;VAR:QUERY=UkdGX1RBWF9SQVRFKEFOTiwwLCwsLCwsTk9BVURJVCk=&amp;WINDOW=FIRST_POPUP&amp;HEIGHT=450&amp;WIDTH=450&amp;","START_MAXIMIZED=FALSE&amp;VAR:CALENDAR=US&amp;VAR:SYMBOL=PCLN&amp;VAR:INDEX=0"}</definedName>
    <definedName name="_3672__FDSAUDITLINK__" hidden="1">{"fdsup://directions/FAT Viewer?action=UPDATE&amp;creator=factset&amp;DYN_ARGS=TRUE&amp;DOC_NAME=FAT:FQL_AUDITING_CLIENT_TEMPLATE.FAT&amp;display_string=Audit&amp;VAR:KEY=ADODSJCDMF&amp;VAR:QUERY=UkdGX1RBWF9SQVRFKEFOTiwwLCwsLCwsTk9BVURJVCk=&amp;WINDOW=FIRST_POPUP&amp;HEIGHT=450&amp;WIDTH=450&amp;","START_MAXIMIZED=FALSE&amp;VAR:CALENDAR=US&amp;VAR:SYMBOL=PCLN&amp;VAR:INDEX=0"}</definedName>
    <definedName name="_3673__FDSAUDITLINK__" localSheetId="3" hidden="1">{"fdsup://directions/FAT Viewer?action=UPDATE&amp;creator=factset&amp;DYN_ARGS=TRUE&amp;DOC_NAME=FAT:FQL_AUDITING_CLIENT_TEMPLATE.FAT&amp;display_string=Audit&amp;VAR:KEY=UZCDUTYXUP&amp;VAR:QUERY=UkdGX1RBWF9SQVRFKEFOTiwwLCwsLCwsTk9BVURJVCk=&amp;WINDOW=FIRST_POPUP&amp;HEIGHT=450&amp;WIDTH=450&amp;","START_MAXIMIZED=FALSE&amp;VAR:CALENDAR=US&amp;VAR:SYMBOL=PVSW&amp;VAR:INDEX=0"}</definedName>
    <definedName name="_3673__FDSAUDITLINK__" localSheetId="7" hidden="1">{"fdsup://directions/FAT Viewer?action=UPDATE&amp;creator=factset&amp;DYN_ARGS=TRUE&amp;DOC_NAME=FAT:FQL_AUDITING_CLIENT_TEMPLATE.FAT&amp;display_string=Audit&amp;VAR:KEY=UZCDUTYXUP&amp;VAR:QUERY=UkdGX1RBWF9SQVRFKEFOTiwwLCwsLCwsTk9BVURJVCk=&amp;WINDOW=FIRST_POPUP&amp;HEIGHT=450&amp;WIDTH=450&amp;","START_MAXIMIZED=FALSE&amp;VAR:CALENDAR=US&amp;VAR:SYMBOL=PVSW&amp;VAR:INDEX=0"}</definedName>
    <definedName name="_3673__FDSAUDITLINK__" hidden="1">{"fdsup://directions/FAT Viewer?action=UPDATE&amp;creator=factset&amp;DYN_ARGS=TRUE&amp;DOC_NAME=FAT:FQL_AUDITING_CLIENT_TEMPLATE.FAT&amp;display_string=Audit&amp;VAR:KEY=UZCDUTYXUP&amp;VAR:QUERY=UkdGX1RBWF9SQVRFKEFOTiwwLCwsLCwsTk9BVURJVCk=&amp;WINDOW=FIRST_POPUP&amp;HEIGHT=450&amp;WIDTH=450&amp;","START_MAXIMIZED=FALSE&amp;VAR:CALENDAR=US&amp;VAR:SYMBOL=PVSW&amp;VAR:INDEX=0"}</definedName>
    <definedName name="_3674__FDSAUDITLINK__" localSheetId="3" hidden="1">{"fdsup://directions/FAT Viewer?action=UPDATE&amp;creator=factset&amp;DYN_ARGS=TRUE&amp;DOC_NAME=FAT:FQL_AUDITING_CLIENT_TEMPLATE.FAT&amp;display_string=Audit&amp;VAR:KEY=UZCDUTYXUP&amp;VAR:QUERY=UkdGX1RBWF9SQVRFKEFOTiwwLCwsLCwsTk9BVURJVCk=&amp;WINDOW=FIRST_POPUP&amp;HEIGHT=450&amp;WIDTH=450&amp;","START_MAXIMIZED=FALSE&amp;VAR:CALENDAR=US&amp;VAR:SYMBOL=PVSW&amp;VAR:INDEX=0"}</definedName>
    <definedName name="_3674__FDSAUDITLINK__" localSheetId="7" hidden="1">{"fdsup://directions/FAT Viewer?action=UPDATE&amp;creator=factset&amp;DYN_ARGS=TRUE&amp;DOC_NAME=FAT:FQL_AUDITING_CLIENT_TEMPLATE.FAT&amp;display_string=Audit&amp;VAR:KEY=UZCDUTYXUP&amp;VAR:QUERY=UkdGX1RBWF9SQVRFKEFOTiwwLCwsLCwsTk9BVURJVCk=&amp;WINDOW=FIRST_POPUP&amp;HEIGHT=450&amp;WIDTH=450&amp;","START_MAXIMIZED=FALSE&amp;VAR:CALENDAR=US&amp;VAR:SYMBOL=PVSW&amp;VAR:INDEX=0"}</definedName>
    <definedName name="_3674__FDSAUDITLINK__" hidden="1">{"fdsup://directions/FAT Viewer?action=UPDATE&amp;creator=factset&amp;DYN_ARGS=TRUE&amp;DOC_NAME=FAT:FQL_AUDITING_CLIENT_TEMPLATE.FAT&amp;display_string=Audit&amp;VAR:KEY=UZCDUTYXUP&amp;VAR:QUERY=UkdGX1RBWF9SQVRFKEFOTiwwLCwsLCwsTk9BVURJVCk=&amp;WINDOW=FIRST_POPUP&amp;HEIGHT=450&amp;WIDTH=450&amp;","START_MAXIMIZED=FALSE&amp;VAR:CALENDAR=US&amp;VAR:SYMBOL=PVSW&amp;VAR:INDEX=0"}</definedName>
    <definedName name="_3675__FDSAUDITLINK__" localSheetId="3" hidden="1">{"fdsup://directions/FAT Viewer?action=UPDATE&amp;creator=factset&amp;DYN_ARGS=TRUE&amp;DOC_NAME=FAT:FQL_AUDITING_CLIENT_TEMPLATE.FAT&amp;display_string=Audit&amp;VAR:KEY=QJCDUFMVST&amp;VAR:QUERY=UkdGX1RBWF9SQVRFKEFOTiwwLCwsLCwsTk9BVURJVCk=&amp;WINDOW=FIRST_POPUP&amp;HEIGHT=450&amp;WIDTH=450&amp;","START_MAXIMIZED=FALSE&amp;VAR:CALENDAR=US&amp;VAR:SYMBOL=PEGA&amp;VAR:INDEX=0"}</definedName>
    <definedName name="_3675__FDSAUDITLINK__" localSheetId="7" hidden="1">{"fdsup://directions/FAT Viewer?action=UPDATE&amp;creator=factset&amp;DYN_ARGS=TRUE&amp;DOC_NAME=FAT:FQL_AUDITING_CLIENT_TEMPLATE.FAT&amp;display_string=Audit&amp;VAR:KEY=QJCDUFMVST&amp;VAR:QUERY=UkdGX1RBWF9SQVRFKEFOTiwwLCwsLCwsTk9BVURJVCk=&amp;WINDOW=FIRST_POPUP&amp;HEIGHT=450&amp;WIDTH=450&amp;","START_MAXIMIZED=FALSE&amp;VAR:CALENDAR=US&amp;VAR:SYMBOL=PEGA&amp;VAR:INDEX=0"}</definedName>
    <definedName name="_3675__FDSAUDITLINK__" hidden="1">{"fdsup://directions/FAT Viewer?action=UPDATE&amp;creator=factset&amp;DYN_ARGS=TRUE&amp;DOC_NAME=FAT:FQL_AUDITING_CLIENT_TEMPLATE.FAT&amp;display_string=Audit&amp;VAR:KEY=QJCDUFMVST&amp;VAR:QUERY=UkdGX1RBWF9SQVRFKEFOTiwwLCwsLCwsTk9BVURJVCk=&amp;WINDOW=FIRST_POPUP&amp;HEIGHT=450&amp;WIDTH=450&amp;","START_MAXIMIZED=FALSE&amp;VAR:CALENDAR=US&amp;VAR:SYMBOL=PEGA&amp;VAR:INDEX=0"}</definedName>
    <definedName name="_3676__FDSAUDITLINK__" localSheetId="3" hidden="1">{"fdsup://directions/FAT Viewer?action=UPDATE&amp;creator=factset&amp;DYN_ARGS=TRUE&amp;DOC_NAME=FAT:FQL_AUDITING_CLIENT_TEMPLATE.FAT&amp;display_string=Audit&amp;VAR:KEY=OPCZOVMTQL&amp;VAR:QUERY=UkdGX1RBWF9SQVRFKEFOTiwwLCwsLCwsTk9BVURJVCk=&amp;WINDOW=FIRST_POPUP&amp;HEIGHT=450&amp;WIDTH=450&amp;","START_MAXIMIZED=FALSE&amp;VAR:CALENDAR=US&amp;VAR:SYMBOL=PDFS&amp;VAR:INDEX=0"}</definedName>
    <definedName name="_3676__FDSAUDITLINK__" localSheetId="7" hidden="1">{"fdsup://directions/FAT Viewer?action=UPDATE&amp;creator=factset&amp;DYN_ARGS=TRUE&amp;DOC_NAME=FAT:FQL_AUDITING_CLIENT_TEMPLATE.FAT&amp;display_string=Audit&amp;VAR:KEY=OPCZOVMTQL&amp;VAR:QUERY=UkdGX1RBWF9SQVRFKEFOTiwwLCwsLCwsTk9BVURJVCk=&amp;WINDOW=FIRST_POPUP&amp;HEIGHT=450&amp;WIDTH=450&amp;","START_MAXIMIZED=FALSE&amp;VAR:CALENDAR=US&amp;VAR:SYMBOL=PDFS&amp;VAR:INDEX=0"}</definedName>
    <definedName name="_3676__FDSAUDITLINK__" hidden="1">{"fdsup://directions/FAT Viewer?action=UPDATE&amp;creator=factset&amp;DYN_ARGS=TRUE&amp;DOC_NAME=FAT:FQL_AUDITING_CLIENT_TEMPLATE.FAT&amp;display_string=Audit&amp;VAR:KEY=OPCZOVMTQL&amp;VAR:QUERY=UkdGX1RBWF9SQVRFKEFOTiwwLCwsLCwsTk9BVURJVCk=&amp;WINDOW=FIRST_POPUP&amp;HEIGHT=450&amp;WIDTH=450&amp;","START_MAXIMIZED=FALSE&amp;VAR:CALENDAR=US&amp;VAR:SYMBOL=PDFS&amp;VAR:INDEX=0"}</definedName>
    <definedName name="_3677__FDSAUDITLINK__" localSheetId="3" hidden="1">{"fdsup://directions/FAT Viewer?action=UPDATE&amp;creator=factset&amp;DYN_ARGS=TRUE&amp;DOC_NAME=FAT:FQL_AUDITING_CLIENT_TEMPLATE.FAT&amp;display_string=Audit&amp;VAR:KEY=OPCZOVMTQL&amp;VAR:QUERY=UkdGX1RBWF9SQVRFKEFOTiwwLCwsLCwsTk9BVURJVCk=&amp;WINDOW=FIRST_POPUP&amp;HEIGHT=450&amp;WIDTH=450&amp;","START_MAXIMIZED=FALSE&amp;VAR:CALENDAR=US&amp;VAR:SYMBOL=PDFS&amp;VAR:INDEX=0"}</definedName>
    <definedName name="_3677__FDSAUDITLINK__" localSheetId="7" hidden="1">{"fdsup://directions/FAT Viewer?action=UPDATE&amp;creator=factset&amp;DYN_ARGS=TRUE&amp;DOC_NAME=FAT:FQL_AUDITING_CLIENT_TEMPLATE.FAT&amp;display_string=Audit&amp;VAR:KEY=OPCZOVMTQL&amp;VAR:QUERY=UkdGX1RBWF9SQVRFKEFOTiwwLCwsLCwsTk9BVURJVCk=&amp;WINDOW=FIRST_POPUP&amp;HEIGHT=450&amp;WIDTH=450&amp;","START_MAXIMIZED=FALSE&amp;VAR:CALENDAR=US&amp;VAR:SYMBOL=PDFS&amp;VAR:INDEX=0"}</definedName>
    <definedName name="_3677__FDSAUDITLINK__" hidden="1">{"fdsup://directions/FAT Viewer?action=UPDATE&amp;creator=factset&amp;DYN_ARGS=TRUE&amp;DOC_NAME=FAT:FQL_AUDITING_CLIENT_TEMPLATE.FAT&amp;display_string=Audit&amp;VAR:KEY=OPCZOVMTQL&amp;VAR:QUERY=UkdGX1RBWF9SQVRFKEFOTiwwLCwsLCwsTk9BVURJVCk=&amp;WINDOW=FIRST_POPUP&amp;HEIGHT=450&amp;WIDTH=450&amp;","START_MAXIMIZED=FALSE&amp;VAR:CALENDAR=US&amp;VAR:SYMBOL=PDFS&amp;VAR:INDEX=0"}</definedName>
    <definedName name="_3678__FDSAUDITLINK__" localSheetId="3" hidden="1">{"fdsup://directions/FAT Viewer?action=UPDATE&amp;creator=factset&amp;DYN_ARGS=TRUE&amp;DOC_NAME=FAT:FQL_AUDITING_CLIENT_TEMPLATE.FAT&amp;display_string=Audit&amp;VAR:KEY=MDIZCVGHGX&amp;VAR:QUERY=UkdGX1RBWF9SQVRFKEFOTiwwLCwsLCwsTk9BVURJVCk=&amp;WINDOW=FIRST_POPUP&amp;HEIGHT=450&amp;WIDTH=450&amp;","START_MAXIMIZED=FALSE&amp;VAR:CALENDAR=US&amp;VAR:SYMBOL=PMTC&amp;VAR:INDEX=0"}</definedName>
    <definedName name="_3678__FDSAUDITLINK__" localSheetId="7" hidden="1">{"fdsup://directions/FAT Viewer?action=UPDATE&amp;creator=factset&amp;DYN_ARGS=TRUE&amp;DOC_NAME=FAT:FQL_AUDITING_CLIENT_TEMPLATE.FAT&amp;display_string=Audit&amp;VAR:KEY=MDIZCVGHGX&amp;VAR:QUERY=UkdGX1RBWF9SQVRFKEFOTiwwLCwsLCwsTk9BVURJVCk=&amp;WINDOW=FIRST_POPUP&amp;HEIGHT=450&amp;WIDTH=450&amp;","START_MAXIMIZED=FALSE&amp;VAR:CALENDAR=US&amp;VAR:SYMBOL=PMTC&amp;VAR:INDEX=0"}</definedName>
    <definedName name="_3678__FDSAUDITLINK__" hidden="1">{"fdsup://directions/FAT Viewer?action=UPDATE&amp;creator=factset&amp;DYN_ARGS=TRUE&amp;DOC_NAME=FAT:FQL_AUDITING_CLIENT_TEMPLATE.FAT&amp;display_string=Audit&amp;VAR:KEY=MDIZCVGHGX&amp;VAR:QUERY=UkdGX1RBWF9SQVRFKEFOTiwwLCwsLCwsTk9BVURJVCk=&amp;WINDOW=FIRST_POPUP&amp;HEIGHT=450&amp;WIDTH=450&amp;","START_MAXIMIZED=FALSE&amp;VAR:CALENDAR=US&amp;VAR:SYMBOL=PMTC&amp;VAR:INDEX=0"}</definedName>
    <definedName name="_3679__FDSAUDITLINK__" localSheetId="3" hidden="1">{"fdsup://directions/FAT Viewer?action=UPDATE&amp;creator=factset&amp;DYN_ARGS=TRUE&amp;DOC_NAME=FAT:FQL_AUDITING_CLIENT_TEMPLATE.FAT&amp;display_string=Audit&amp;VAR:KEY=MDIZCVGHGX&amp;VAR:QUERY=UkdGX1RBWF9SQVRFKEFOTiwwLCwsLCwsTk9BVURJVCk=&amp;WINDOW=FIRST_POPUP&amp;HEIGHT=450&amp;WIDTH=450&amp;","START_MAXIMIZED=FALSE&amp;VAR:CALENDAR=US&amp;VAR:SYMBOL=PMTC&amp;VAR:INDEX=0"}</definedName>
    <definedName name="_3679__FDSAUDITLINK__" localSheetId="7" hidden="1">{"fdsup://directions/FAT Viewer?action=UPDATE&amp;creator=factset&amp;DYN_ARGS=TRUE&amp;DOC_NAME=FAT:FQL_AUDITING_CLIENT_TEMPLATE.FAT&amp;display_string=Audit&amp;VAR:KEY=MDIZCVGHGX&amp;VAR:QUERY=UkdGX1RBWF9SQVRFKEFOTiwwLCwsLCwsTk9BVURJVCk=&amp;WINDOW=FIRST_POPUP&amp;HEIGHT=450&amp;WIDTH=450&amp;","START_MAXIMIZED=FALSE&amp;VAR:CALENDAR=US&amp;VAR:SYMBOL=PMTC&amp;VAR:INDEX=0"}</definedName>
    <definedName name="_3679__FDSAUDITLINK__" hidden="1">{"fdsup://directions/FAT Viewer?action=UPDATE&amp;creator=factset&amp;DYN_ARGS=TRUE&amp;DOC_NAME=FAT:FQL_AUDITING_CLIENT_TEMPLATE.FAT&amp;display_string=Audit&amp;VAR:KEY=MDIZCVGHGX&amp;VAR:QUERY=UkdGX1RBWF9SQVRFKEFOTiwwLCwsLCwsTk9BVURJVCk=&amp;WINDOW=FIRST_POPUP&amp;HEIGHT=450&amp;WIDTH=450&amp;","START_MAXIMIZED=FALSE&amp;VAR:CALENDAR=US&amp;VAR:SYMBOL=PMTC&amp;VAR:INDEX=0"}</definedName>
    <definedName name="_368__FDSAUDITLINK__" localSheetId="3" hidden="1">{"fdsup://directions/FAT Viewer?action=UPDATE&amp;creator=factset&amp;DYN_ARGS=TRUE&amp;DOC_NAME=FAT:FQL_AUDITING_CLIENT_TEMPLATE.FAT&amp;display_string=Audit&amp;VAR:KEY=LWRMPSDCVK&amp;VAR:QUERY=RkZfUk9BKEFOTiwwLC05LFksUlAp&amp;WINDOW=FIRST_POPUP&amp;HEIGHT=450&amp;WIDTH=450&amp;START_MAXIMIZED=","FALSE&amp;VAR:CALENDAR=US&amp;VAR:SYMBOL=B10LQP&amp;VAR:INDEX=7"}</definedName>
    <definedName name="_368__FDSAUDITLINK__" localSheetId="7" hidden="1">{"fdsup://directions/FAT Viewer?action=UPDATE&amp;creator=factset&amp;DYN_ARGS=TRUE&amp;DOC_NAME=FAT:FQL_AUDITING_CLIENT_TEMPLATE.FAT&amp;display_string=Audit&amp;VAR:KEY=LWRMPSDCVK&amp;VAR:QUERY=RkZfUk9BKEFOTiwwLC05LFksUlAp&amp;WINDOW=FIRST_POPUP&amp;HEIGHT=450&amp;WIDTH=450&amp;START_MAXIMIZED=","FALSE&amp;VAR:CALENDAR=US&amp;VAR:SYMBOL=B10LQP&amp;VAR:INDEX=7"}</definedName>
    <definedName name="_368__FDSAUDITLINK__" hidden="1">{"fdsup://directions/FAT Viewer?action=UPDATE&amp;creator=factset&amp;DYN_ARGS=TRUE&amp;DOC_NAME=FAT:FQL_AUDITING_CLIENT_TEMPLATE.FAT&amp;display_string=Audit&amp;VAR:KEY=LWRMPSDCVK&amp;VAR:QUERY=RkZfUk9BKEFOTiwwLC05LFksUlAp&amp;WINDOW=FIRST_POPUP&amp;HEIGHT=450&amp;WIDTH=450&amp;START_MAXIMIZED=","FALSE&amp;VAR:CALENDAR=US&amp;VAR:SYMBOL=B10LQP&amp;VAR:INDEX=7"}</definedName>
    <definedName name="_3680__FDSAUDITLINK__" localSheetId="3" hidden="1">{"fdsup://directions/FAT Viewer?action=UPDATE&amp;creator=factset&amp;DYN_ARGS=TRUE&amp;DOC_NAME=FAT:FQL_AUDITING_CLIENT_TEMPLATE.FAT&amp;display_string=Audit&amp;VAR:KEY=KFYVEDMZUF&amp;VAR:QUERY=UkdGX1RBWF9SQVRFKEFOTiwwLCwsLCwsTk9BVURJVCk=&amp;WINDOW=FIRST_POPUP&amp;HEIGHT=450&amp;WIDTH=450&amp;","START_MAXIMIZED=FALSE&amp;VAR:CALENDAR=US&amp;VAR:SYMBOL=ORCL&amp;VAR:INDEX=0"}</definedName>
    <definedName name="_3680__FDSAUDITLINK__" localSheetId="7" hidden="1">{"fdsup://directions/FAT Viewer?action=UPDATE&amp;creator=factset&amp;DYN_ARGS=TRUE&amp;DOC_NAME=FAT:FQL_AUDITING_CLIENT_TEMPLATE.FAT&amp;display_string=Audit&amp;VAR:KEY=KFYVEDMZUF&amp;VAR:QUERY=UkdGX1RBWF9SQVRFKEFOTiwwLCwsLCwsTk9BVURJVCk=&amp;WINDOW=FIRST_POPUP&amp;HEIGHT=450&amp;WIDTH=450&amp;","START_MAXIMIZED=FALSE&amp;VAR:CALENDAR=US&amp;VAR:SYMBOL=ORCL&amp;VAR:INDEX=0"}</definedName>
    <definedName name="_3680__FDSAUDITLINK__" hidden="1">{"fdsup://directions/FAT Viewer?action=UPDATE&amp;creator=factset&amp;DYN_ARGS=TRUE&amp;DOC_NAME=FAT:FQL_AUDITING_CLIENT_TEMPLATE.FAT&amp;display_string=Audit&amp;VAR:KEY=KFYVEDMZUF&amp;VAR:QUERY=UkdGX1RBWF9SQVRFKEFOTiwwLCwsLCwsTk9BVURJVCk=&amp;WINDOW=FIRST_POPUP&amp;HEIGHT=450&amp;WIDTH=450&amp;","START_MAXIMIZED=FALSE&amp;VAR:CALENDAR=US&amp;VAR:SYMBOL=ORCL&amp;VAR:INDEX=0"}</definedName>
    <definedName name="_3681__FDSAUDITLINK__" localSheetId="3" hidden="1">{"fdsup://directions/FAT Viewer?action=UPDATE&amp;creator=factset&amp;DYN_ARGS=TRUE&amp;DOC_NAME=FAT:FQL_AUDITING_CLIENT_TEMPLATE.FAT&amp;display_string=Audit&amp;VAR:KEY=KFYVEDMZUF&amp;VAR:QUERY=UkdGX1RBWF9SQVRFKEFOTiwwLCwsLCwsTk9BVURJVCk=&amp;WINDOW=FIRST_POPUP&amp;HEIGHT=450&amp;WIDTH=450&amp;","START_MAXIMIZED=FALSE&amp;VAR:CALENDAR=US&amp;VAR:SYMBOL=ORCL&amp;VAR:INDEX=0"}</definedName>
    <definedName name="_3681__FDSAUDITLINK__" localSheetId="7" hidden="1">{"fdsup://directions/FAT Viewer?action=UPDATE&amp;creator=factset&amp;DYN_ARGS=TRUE&amp;DOC_NAME=FAT:FQL_AUDITING_CLIENT_TEMPLATE.FAT&amp;display_string=Audit&amp;VAR:KEY=KFYVEDMZUF&amp;VAR:QUERY=UkdGX1RBWF9SQVRFKEFOTiwwLCwsLCwsTk9BVURJVCk=&amp;WINDOW=FIRST_POPUP&amp;HEIGHT=450&amp;WIDTH=450&amp;","START_MAXIMIZED=FALSE&amp;VAR:CALENDAR=US&amp;VAR:SYMBOL=ORCL&amp;VAR:INDEX=0"}</definedName>
    <definedName name="_3681__FDSAUDITLINK__" hidden="1">{"fdsup://directions/FAT Viewer?action=UPDATE&amp;creator=factset&amp;DYN_ARGS=TRUE&amp;DOC_NAME=FAT:FQL_AUDITING_CLIENT_TEMPLATE.FAT&amp;display_string=Audit&amp;VAR:KEY=KFYVEDMZUF&amp;VAR:QUERY=UkdGX1RBWF9SQVRFKEFOTiwwLCwsLCwsTk9BVURJVCk=&amp;WINDOW=FIRST_POPUP&amp;HEIGHT=450&amp;WIDTH=450&amp;","START_MAXIMIZED=FALSE&amp;VAR:CALENDAR=US&amp;VAR:SYMBOL=ORCL&amp;VAR:INDEX=0"}</definedName>
    <definedName name="_3682__FDSAUDITLINK__" localSheetId="3" hidden="1">{"fdsup://directions/FAT Viewer?action=UPDATE&amp;creator=factset&amp;DYN_ARGS=TRUE&amp;DOC_NAME=FAT:FQL_AUDITING_CLIENT_TEMPLATE.FAT&amp;display_string=Audit&amp;VAR:KEY=KJEFWBMXMB&amp;VAR:QUERY=UkdGX1RBWF9SQVRFKEFOTiwwLCwsLCwsTk9BVURJVCk=&amp;WINDOW=FIRST_POPUP&amp;HEIGHT=450&amp;WIDTH=450&amp;","START_MAXIMIZED=FALSE&amp;VAR:CALENDAR=US&amp;VAR:SYMBOL=OPNT&amp;VAR:INDEX=0"}</definedName>
    <definedName name="_3682__FDSAUDITLINK__" localSheetId="7" hidden="1">{"fdsup://directions/FAT Viewer?action=UPDATE&amp;creator=factset&amp;DYN_ARGS=TRUE&amp;DOC_NAME=FAT:FQL_AUDITING_CLIENT_TEMPLATE.FAT&amp;display_string=Audit&amp;VAR:KEY=KJEFWBMXMB&amp;VAR:QUERY=UkdGX1RBWF9SQVRFKEFOTiwwLCwsLCwsTk9BVURJVCk=&amp;WINDOW=FIRST_POPUP&amp;HEIGHT=450&amp;WIDTH=450&amp;","START_MAXIMIZED=FALSE&amp;VAR:CALENDAR=US&amp;VAR:SYMBOL=OPNT&amp;VAR:INDEX=0"}</definedName>
    <definedName name="_3682__FDSAUDITLINK__" hidden="1">{"fdsup://directions/FAT Viewer?action=UPDATE&amp;creator=factset&amp;DYN_ARGS=TRUE&amp;DOC_NAME=FAT:FQL_AUDITING_CLIENT_TEMPLATE.FAT&amp;display_string=Audit&amp;VAR:KEY=KJEFWBMXMB&amp;VAR:QUERY=UkdGX1RBWF9SQVRFKEFOTiwwLCwsLCwsTk9BVURJVCk=&amp;WINDOW=FIRST_POPUP&amp;HEIGHT=450&amp;WIDTH=450&amp;","START_MAXIMIZED=FALSE&amp;VAR:CALENDAR=US&amp;VAR:SYMBOL=OPNT&amp;VAR:INDEX=0"}</definedName>
    <definedName name="_3683__FDSAUDITLINK__" localSheetId="3" hidden="1">{"fdsup://directions/FAT Viewer?action=UPDATE&amp;creator=factset&amp;DYN_ARGS=TRUE&amp;DOC_NAME=FAT:FQL_AUDITING_CLIENT_TEMPLATE.FAT&amp;display_string=Audit&amp;VAR:KEY=KJEFWBMXMB&amp;VAR:QUERY=UkdGX1RBWF9SQVRFKEFOTiwwLCwsLCwsTk9BVURJVCk=&amp;WINDOW=FIRST_POPUP&amp;HEIGHT=450&amp;WIDTH=450&amp;","START_MAXIMIZED=FALSE&amp;VAR:CALENDAR=US&amp;VAR:SYMBOL=OPNT&amp;VAR:INDEX=0"}</definedName>
    <definedName name="_3683__FDSAUDITLINK__" localSheetId="7" hidden="1">{"fdsup://directions/FAT Viewer?action=UPDATE&amp;creator=factset&amp;DYN_ARGS=TRUE&amp;DOC_NAME=FAT:FQL_AUDITING_CLIENT_TEMPLATE.FAT&amp;display_string=Audit&amp;VAR:KEY=KJEFWBMXMB&amp;VAR:QUERY=UkdGX1RBWF9SQVRFKEFOTiwwLCwsLCwsTk9BVURJVCk=&amp;WINDOW=FIRST_POPUP&amp;HEIGHT=450&amp;WIDTH=450&amp;","START_MAXIMIZED=FALSE&amp;VAR:CALENDAR=US&amp;VAR:SYMBOL=OPNT&amp;VAR:INDEX=0"}</definedName>
    <definedName name="_3683__FDSAUDITLINK__" hidden="1">{"fdsup://directions/FAT Viewer?action=UPDATE&amp;creator=factset&amp;DYN_ARGS=TRUE&amp;DOC_NAME=FAT:FQL_AUDITING_CLIENT_TEMPLATE.FAT&amp;display_string=Audit&amp;VAR:KEY=KJEFWBMXMB&amp;VAR:QUERY=UkdGX1RBWF9SQVRFKEFOTiwwLCwsLCwsTk9BVURJVCk=&amp;WINDOW=FIRST_POPUP&amp;HEIGHT=450&amp;WIDTH=450&amp;","START_MAXIMIZED=FALSE&amp;VAR:CALENDAR=US&amp;VAR:SYMBOL=OPNT&amp;VAR:INDEX=0"}</definedName>
    <definedName name="_3684__FDSAUDITLINK__" localSheetId="3" hidden="1">{"fdsup://directions/FAT Viewer?action=UPDATE&amp;creator=factset&amp;DYN_ARGS=TRUE&amp;DOC_NAME=FAT:FQL_AUDITING_CLIENT_TEMPLATE.FAT&amp;display_string=Audit&amp;VAR:KEY=WFSNEHUXQH&amp;VAR:QUERY=UkdGX1RBWF9SQVRFKEFOTiwwLCwsLCwsTk9BVURJVCk=&amp;WINDOW=FIRST_POPUP&amp;HEIGHT=450&amp;WIDTH=450&amp;","START_MAXIMIZED=FALSE&amp;VAR:CALENDAR=US&amp;VAR:SYMBOL=705772&amp;VAR:INDEX=0"}</definedName>
    <definedName name="_3684__FDSAUDITLINK__" localSheetId="7" hidden="1">{"fdsup://directions/FAT Viewer?action=UPDATE&amp;creator=factset&amp;DYN_ARGS=TRUE&amp;DOC_NAME=FAT:FQL_AUDITING_CLIENT_TEMPLATE.FAT&amp;display_string=Audit&amp;VAR:KEY=WFSNEHUXQH&amp;VAR:QUERY=UkdGX1RBWF9SQVRFKEFOTiwwLCwsLCwsTk9BVURJVCk=&amp;WINDOW=FIRST_POPUP&amp;HEIGHT=450&amp;WIDTH=450&amp;","START_MAXIMIZED=FALSE&amp;VAR:CALENDAR=US&amp;VAR:SYMBOL=705772&amp;VAR:INDEX=0"}</definedName>
    <definedName name="_3684__FDSAUDITLINK__" hidden="1">{"fdsup://directions/FAT Viewer?action=UPDATE&amp;creator=factset&amp;DYN_ARGS=TRUE&amp;DOC_NAME=FAT:FQL_AUDITING_CLIENT_TEMPLATE.FAT&amp;display_string=Audit&amp;VAR:KEY=WFSNEHUXQH&amp;VAR:QUERY=UkdGX1RBWF9SQVRFKEFOTiwwLCwsLCwsTk9BVURJVCk=&amp;WINDOW=FIRST_POPUP&amp;HEIGHT=450&amp;WIDTH=450&amp;","START_MAXIMIZED=FALSE&amp;VAR:CALENDAR=US&amp;VAR:SYMBOL=705772&amp;VAR:INDEX=0"}</definedName>
    <definedName name="_3685__FDSAUDITLINK__" localSheetId="3" hidden="1">{"fdsup://directions/FAT Viewer?action=UPDATE&amp;creator=factset&amp;DYN_ARGS=TRUE&amp;DOC_NAME=FAT:FQL_AUDITING_CLIENT_TEMPLATE.FAT&amp;display_string=Audit&amp;VAR:KEY=WFSNEHUXQH&amp;VAR:QUERY=UkdGX1RBWF9SQVRFKEFOTiwwLCwsLCwsTk9BVURJVCk=&amp;WINDOW=FIRST_POPUP&amp;HEIGHT=450&amp;WIDTH=450&amp;","START_MAXIMIZED=FALSE&amp;VAR:CALENDAR=US&amp;VAR:SYMBOL=705772&amp;VAR:INDEX=0"}</definedName>
    <definedName name="_3685__FDSAUDITLINK__" localSheetId="7" hidden="1">{"fdsup://directions/FAT Viewer?action=UPDATE&amp;creator=factset&amp;DYN_ARGS=TRUE&amp;DOC_NAME=FAT:FQL_AUDITING_CLIENT_TEMPLATE.FAT&amp;display_string=Audit&amp;VAR:KEY=WFSNEHUXQH&amp;VAR:QUERY=UkdGX1RBWF9SQVRFKEFOTiwwLCwsLCwsTk9BVURJVCk=&amp;WINDOW=FIRST_POPUP&amp;HEIGHT=450&amp;WIDTH=450&amp;","START_MAXIMIZED=FALSE&amp;VAR:CALENDAR=US&amp;VAR:SYMBOL=705772&amp;VAR:INDEX=0"}</definedName>
    <definedName name="_3685__FDSAUDITLINK__" hidden="1">{"fdsup://directions/FAT Viewer?action=UPDATE&amp;creator=factset&amp;DYN_ARGS=TRUE&amp;DOC_NAME=FAT:FQL_AUDITING_CLIENT_TEMPLATE.FAT&amp;display_string=Audit&amp;VAR:KEY=WFSNEHUXQH&amp;VAR:QUERY=UkdGX1RBWF9SQVRFKEFOTiwwLCwsLCwsTk9BVURJVCk=&amp;WINDOW=FIRST_POPUP&amp;HEIGHT=450&amp;WIDTH=450&amp;","START_MAXIMIZED=FALSE&amp;VAR:CALENDAR=US&amp;VAR:SYMBOL=705772&amp;VAR:INDEX=0"}</definedName>
    <definedName name="_3686__FDSAUDITLINK__" localSheetId="3" hidden="1">{"fdsup://directions/FAT Viewer?action=UPDATE&amp;creator=factset&amp;DYN_ARGS=TRUE&amp;DOC_NAME=FAT:FQL_AUDITING_CLIENT_TEMPLATE.FAT&amp;display_string=Audit&amp;VAR:KEY=QVYPUTUHQR&amp;VAR:QUERY=UkdGX1RBWF9SQVRFKEFOTiwwLCwsLCwsTk9BVURJVCk=&amp;WINDOW=FIRST_POPUP&amp;HEIGHT=450&amp;WIDTH=450&amp;","START_MAXIMIZED=FALSE&amp;VAR:CALENDAR=US&amp;VAR:SYMBOL=OTEX&amp;VAR:INDEX=0"}</definedName>
    <definedName name="_3686__FDSAUDITLINK__" localSheetId="7" hidden="1">{"fdsup://directions/FAT Viewer?action=UPDATE&amp;creator=factset&amp;DYN_ARGS=TRUE&amp;DOC_NAME=FAT:FQL_AUDITING_CLIENT_TEMPLATE.FAT&amp;display_string=Audit&amp;VAR:KEY=QVYPUTUHQR&amp;VAR:QUERY=UkdGX1RBWF9SQVRFKEFOTiwwLCwsLCwsTk9BVURJVCk=&amp;WINDOW=FIRST_POPUP&amp;HEIGHT=450&amp;WIDTH=450&amp;","START_MAXIMIZED=FALSE&amp;VAR:CALENDAR=US&amp;VAR:SYMBOL=OTEX&amp;VAR:INDEX=0"}</definedName>
    <definedName name="_3686__FDSAUDITLINK__" hidden="1">{"fdsup://directions/FAT Viewer?action=UPDATE&amp;creator=factset&amp;DYN_ARGS=TRUE&amp;DOC_NAME=FAT:FQL_AUDITING_CLIENT_TEMPLATE.FAT&amp;display_string=Audit&amp;VAR:KEY=QVYPUTUHQR&amp;VAR:QUERY=UkdGX1RBWF9SQVRFKEFOTiwwLCwsLCwsTk9BVURJVCk=&amp;WINDOW=FIRST_POPUP&amp;HEIGHT=450&amp;WIDTH=450&amp;","START_MAXIMIZED=FALSE&amp;VAR:CALENDAR=US&amp;VAR:SYMBOL=OTEX&amp;VAR:INDEX=0"}</definedName>
    <definedName name="_3687__FDSAUDITLINK__" localSheetId="3" hidden="1">{"fdsup://directions/FAT Viewer?action=UPDATE&amp;creator=factset&amp;DYN_ARGS=TRUE&amp;DOC_NAME=FAT:FQL_AUDITING_CLIENT_TEMPLATE.FAT&amp;display_string=Audit&amp;VAR:KEY=QVYPUTUHQR&amp;VAR:QUERY=UkdGX1RBWF9SQVRFKEFOTiwwLCwsLCwsTk9BVURJVCk=&amp;WINDOW=FIRST_POPUP&amp;HEIGHT=450&amp;WIDTH=450&amp;","START_MAXIMIZED=FALSE&amp;VAR:CALENDAR=US&amp;VAR:SYMBOL=OTEX&amp;VAR:INDEX=0"}</definedName>
    <definedName name="_3687__FDSAUDITLINK__" localSheetId="7" hidden="1">{"fdsup://directions/FAT Viewer?action=UPDATE&amp;creator=factset&amp;DYN_ARGS=TRUE&amp;DOC_NAME=FAT:FQL_AUDITING_CLIENT_TEMPLATE.FAT&amp;display_string=Audit&amp;VAR:KEY=QVYPUTUHQR&amp;VAR:QUERY=UkdGX1RBWF9SQVRFKEFOTiwwLCwsLCwsTk9BVURJVCk=&amp;WINDOW=FIRST_POPUP&amp;HEIGHT=450&amp;WIDTH=450&amp;","START_MAXIMIZED=FALSE&amp;VAR:CALENDAR=US&amp;VAR:SYMBOL=OTEX&amp;VAR:INDEX=0"}</definedName>
    <definedName name="_3687__FDSAUDITLINK__" hidden="1">{"fdsup://directions/FAT Viewer?action=UPDATE&amp;creator=factset&amp;DYN_ARGS=TRUE&amp;DOC_NAME=FAT:FQL_AUDITING_CLIENT_TEMPLATE.FAT&amp;display_string=Audit&amp;VAR:KEY=QVYPUTUHQR&amp;VAR:QUERY=UkdGX1RBWF9SQVRFKEFOTiwwLCwsLCwsTk9BVURJVCk=&amp;WINDOW=FIRST_POPUP&amp;HEIGHT=450&amp;WIDTH=450&amp;","START_MAXIMIZED=FALSE&amp;VAR:CALENDAR=US&amp;VAR:SYMBOL=OTEX&amp;VAR:INDEX=0"}</definedName>
    <definedName name="_3688__FDSAUDITLINK__" localSheetId="3" hidden="1">{"fdsup://directions/FAT Viewer?action=UPDATE&amp;creator=factset&amp;DYN_ARGS=TRUE&amp;DOC_NAME=FAT:FQL_AUDITING_CLIENT_TEMPLATE.FAT&amp;display_string=Audit&amp;VAR:KEY=OVATKBIDCD&amp;VAR:QUERY=UkdGX1RBWF9SQVRFKEFOTiwwLCwsLCwsTk9BVURJVCk=&amp;WINDOW=FIRST_POPUP&amp;HEIGHT=450&amp;WIDTH=450&amp;","START_MAXIMIZED=FALSE&amp;VAR:CALENDAR=US&amp;VAR:SYMBOL=OPEN&amp;VAR:INDEX=0"}</definedName>
    <definedName name="_3688__FDSAUDITLINK__" localSheetId="7" hidden="1">{"fdsup://directions/FAT Viewer?action=UPDATE&amp;creator=factset&amp;DYN_ARGS=TRUE&amp;DOC_NAME=FAT:FQL_AUDITING_CLIENT_TEMPLATE.FAT&amp;display_string=Audit&amp;VAR:KEY=OVATKBIDCD&amp;VAR:QUERY=UkdGX1RBWF9SQVRFKEFOTiwwLCwsLCwsTk9BVURJVCk=&amp;WINDOW=FIRST_POPUP&amp;HEIGHT=450&amp;WIDTH=450&amp;","START_MAXIMIZED=FALSE&amp;VAR:CALENDAR=US&amp;VAR:SYMBOL=OPEN&amp;VAR:INDEX=0"}</definedName>
    <definedName name="_3688__FDSAUDITLINK__" hidden="1">{"fdsup://directions/FAT Viewer?action=UPDATE&amp;creator=factset&amp;DYN_ARGS=TRUE&amp;DOC_NAME=FAT:FQL_AUDITING_CLIENT_TEMPLATE.FAT&amp;display_string=Audit&amp;VAR:KEY=OVATKBIDCD&amp;VAR:QUERY=UkdGX1RBWF9SQVRFKEFOTiwwLCwsLCwsTk9BVURJVCk=&amp;WINDOW=FIRST_POPUP&amp;HEIGHT=450&amp;WIDTH=450&amp;","START_MAXIMIZED=FALSE&amp;VAR:CALENDAR=US&amp;VAR:SYMBOL=OPEN&amp;VAR:INDEX=0"}</definedName>
    <definedName name="_3689__FDSAUDITLINK__" localSheetId="3" hidden="1">{"fdsup://directions/FAT Viewer?action=UPDATE&amp;creator=factset&amp;DYN_ARGS=TRUE&amp;DOC_NAME=FAT:FQL_AUDITING_CLIENT_TEMPLATE.FAT&amp;display_string=Audit&amp;VAR:KEY=OVATKBIDCD&amp;VAR:QUERY=UkdGX1RBWF9SQVRFKEFOTiwwLCwsLCwsTk9BVURJVCk=&amp;WINDOW=FIRST_POPUP&amp;HEIGHT=450&amp;WIDTH=450&amp;","START_MAXIMIZED=FALSE&amp;VAR:CALENDAR=US&amp;VAR:SYMBOL=OPEN&amp;VAR:INDEX=0"}</definedName>
    <definedName name="_3689__FDSAUDITLINK__" localSheetId="7" hidden="1">{"fdsup://directions/FAT Viewer?action=UPDATE&amp;creator=factset&amp;DYN_ARGS=TRUE&amp;DOC_NAME=FAT:FQL_AUDITING_CLIENT_TEMPLATE.FAT&amp;display_string=Audit&amp;VAR:KEY=OVATKBIDCD&amp;VAR:QUERY=UkdGX1RBWF9SQVRFKEFOTiwwLCwsLCwsTk9BVURJVCk=&amp;WINDOW=FIRST_POPUP&amp;HEIGHT=450&amp;WIDTH=450&amp;","START_MAXIMIZED=FALSE&amp;VAR:CALENDAR=US&amp;VAR:SYMBOL=OPEN&amp;VAR:INDEX=0"}</definedName>
    <definedName name="_3689__FDSAUDITLINK__" hidden="1">{"fdsup://directions/FAT Viewer?action=UPDATE&amp;creator=factset&amp;DYN_ARGS=TRUE&amp;DOC_NAME=FAT:FQL_AUDITING_CLIENT_TEMPLATE.FAT&amp;display_string=Audit&amp;VAR:KEY=OVATKBIDCD&amp;VAR:QUERY=UkdGX1RBWF9SQVRFKEFOTiwwLCwsLCwsTk9BVURJVCk=&amp;WINDOW=FIRST_POPUP&amp;HEIGHT=450&amp;WIDTH=450&amp;","START_MAXIMIZED=FALSE&amp;VAR:CALENDAR=US&amp;VAR:SYMBOL=OPEN&amp;VAR:INDEX=0"}</definedName>
    <definedName name="_369__FDSAUDITLINK__" localSheetId="3" hidden="1">{"fdsup://directions/FAT Viewer?action=UPDATE&amp;creator=factset&amp;DYN_ARGS=TRUE&amp;DOC_NAME=FAT:FQL_AUDITING_CLIENT_TEMPLATE.FAT&amp;display_string=Audit&amp;VAR:KEY=LWRMPSDCVK&amp;VAR:QUERY=RkZfUk9BKEFOTiwwLC05LFksUlAp&amp;WINDOW=FIRST_POPUP&amp;HEIGHT=450&amp;WIDTH=450&amp;START_MAXIMIZED=","FALSE&amp;VAR:CALENDAR=US&amp;VAR:SYMBOL=B10LQP&amp;VAR:INDEX=6"}</definedName>
    <definedName name="_369__FDSAUDITLINK__" localSheetId="7" hidden="1">{"fdsup://directions/FAT Viewer?action=UPDATE&amp;creator=factset&amp;DYN_ARGS=TRUE&amp;DOC_NAME=FAT:FQL_AUDITING_CLIENT_TEMPLATE.FAT&amp;display_string=Audit&amp;VAR:KEY=LWRMPSDCVK&amp;VAR:QUERY=RkZfUk9BKEFOTiwwLC05LFksUlAp&amp;WINDOW=FIRST_POPUP&amp;HEIGHT=450&amp;WIDTH=450&amp;START_MAXIMIZED=","FALSE&amp;VAR:CALENDAR=US&amp;VAR:SYMBOL=B10LQP&amp;VAR:INDEX=6"}</definedName>
    <definedName name="_369__FDSAUDITLINK__" hidden="1">{"fdsup://directions/FAT Viewer?action=UPDATE&amp;creator=factset&amp;DYN_ARGS=TRUE&amp;DOC_NAME=FAT:FQL_AUDITING_CLIENT_TEMPLATE.FAT&amp;display_string=Audit&amp;VAR:KEY=LWRMPSDCVK&amp;VAR:QUERY=RkZfUk9BKEFOTiwwLC05LFksUlAp&amp;WINDOW=FIRST_POPUP&amp;HEIGHT=450&amp;WIDTH=450&amp;START_MAXIMIZED=","FALSE&amp;VAR:CALENDAR=US&amp;VAR:SYMBOL=B10LQP&amp;VAR:INDEX=6"}</definedName>
    <definedName name="_3690__FDSAUDITLINK__" localSheetId="3" hidden="1">{"fdsup://directions/FAT Viewer?action=UPDATE&amp;creator=factset&amp;DYN_ARGS=TRUE&amp;DOC_NAME=FAT:FQL_AUDITING_CLIENT_TEMPLATE.FAT&amp;display_string=Audit&amp;VAR:KEY=ELKPKHEBYT&amp;VAR:QUERY=UkdGX1RBWF9SQVRFKEFOTiwwLCwsLCwsTk9BVURJVCk=&amp;WINDOW=FIRST_POPUP&amp;HEIGHT=450&amp;WIDTH=450&amp;","START_MAXIMIZED=FALSE&amp;VAR:CALENDAR=US&amp;VAR:SYMBOL=NUAN&amp;VAR:INDEX=0"}</definedName>
    <definedName name="_3690__FDSAUDITLINK__" localSheetId="7" hidden="1">{"fdsup://directions/FAT Viewer?action=UPDATE&amp;creator=factset&amp;DYN_ARGS=TRUE&amp;DOC_NAME=FAT:FQL_AUDITING_CLIENT_TEMPLATE.FAT&amp;display_string=Audit&amp;VAR:KEY=ELKPKHEBYT&amp;VAR:QUERY=UkdGX1RBWF9SQVRFKEFOTiwwLCwsLCwsTk9BVURJVCk=&amp;WINDOW=FIRST_POPUP&amp;HEIGHT=450&amp;WIDTH=450&amp;","START_MAXIMIZED=FALSE&amp;VAR:CALENDAR=US&amp;VAR:SYMBOL=NUAN&amp;VAR:INDEX=0"}</definedName>
    <definedName name="_3690__FDSAUDITLINK__" hidden="1">{"fdsup://directions/FAT Viewer?action=UPDATE&amp;creator=factset&amp;DYN_ARGS=TRUE&amp;DOC_NAME=FAT:FQL_AUDITING_CLIENT_TEMPLATE.FAT&amp;display_string=Audit&amp;VAR:KEY=ELKPKHEBYT&amp;VAR:QUERY=UkdGX1RBWF9SQVRFKEFOTiwwLCwsLCwsTk9BVURJVCk=&amp;WINDOW=FIRST_POPUP&amp;HEIGHT=450&amp;WIDTH=450&amp;","START_MAXIMIZED=FALSE&amp;VAR:CALENDAR=US&amp;VAR:SYMBOL=NUAN&amp;VAR:INDEX=0"}</definedName>
    <definedName name="_3691__FDSAUDITLINK__" localSheetId="3" hidden="1">{"fdsup://directions/FAT Viewer?action=UPDATE&amp;creator=factset&amp;DYN_ARGS=TRUE&amp;DOC_NAME=FAT:FQL_AUDITING_CLIENT_TEMPLATE.FAT&amp;display_string=Audit&amp;VAR:KEY=MFIJWNYRCB&amp;VAR:QUERY=UkdGX1RBWF9SQVRFKEFOTiwwLCwsLCwsTk9BVURJVCk=&amp;WINDOW=FIRST_POPUP&amp;HEIGHT=450&amp;WIDTH=450&amp;","START_MAXIMIZED=FALSE&amp;VAR:CALENDAR=US&amp;VAR:SYMBOL=NOVL&amp;VAR:INDEX=0"}</definedName>
    <definedName name="_3691__FDSAUDITLINK__" localSheetId="7" hidden="1">{"fdsup://directions/FAT Viewer?action=UPDATE&amp;creator=factset&amp;DYN_ARGS=TRUE&amp;DOC_NAME=FAT:FQL_AUDITING_CLIENT_TEMPLATE.FAT&amp;display_string=Audit&amp;VAR:KEY=MFIJWNYRCB&amp;VAR:QUERY=UkdGX1RBWF9SQVRFKEFOTiwwLCwsLCwsTk9BVURJVCk=&amp;WINDOW=FIRST_POPUP&amp;HEIGHT=450&amp;WIDTH=450&amp;","START_MAXIMIZED=FALSE&amp;VAR:CALENDAR=US&amp;VAR:SYMBOL=NOVL&amp;VAR:INDEX=0"}</definedName>
    <definedName name="_3691__FDSAUDITLINK__" hidden="1">{"fdsup://directions/FAT Viewer?action=UPDATE&amp;creator=factset&amp;DYN_ARGS=TRUE&amp;DOC_NAME=FAT:FQL_AUDITING_CLIENT_TEMPLATE.FAT&amp;display_string=Audit&amp;VAR:KEY=MFIJWNYRCB&amp;VAR:QUERY=UkdGX1RBWF9SQVRFKEFOTiwwLCwsLCwsTk9BVURJVCk=&amp;WINDOW=FIRST_POPUP&amp;HEIGHT=450&amp;WIDTH=450&amp;","START_MAXIMIZED=FALSE&amp;VAR:CALENDAR=US&amp;VAR:SYMBOL=NOVL&amp;VAR:INDEX=0"}</definedName>
    <definedName name="_3692__FDSAUDITLINK__" localSheetId="3" hidden="1">{"fdsup://directions/FAT Viewer?action=UPDATE&amp;creator=factset&amp;DYN_ARGS=TRUE&amp;DOC_NAME=FAT:FQL_AUDITING_CLIENT_TEMPLATE.FAT&amp;display_string=Audit&amp;VAR:KEY=MFIJWNYRCB&amp;VAR:QUERY=UkdGX1RBWF9SQVRFKEFOTiwwLCwsLCwsTk9BVURJVCk=&amp;WINDOW=FIRST_POPUP&amp;HEIGHT=450&amp;WIDTH=450&amp;","START_MAXIMIZED=FALSE&amp;VAR:CALENDAR=US&amp;VAR:SYMBOL=NOVL&amp;VAR:INDEX=0"}</definedName>
    <definedName name="_3692__FDSAUDITLINK__" localSheetId="7" hidden="1">{"fdsup://directions/FAT Viewer?action=UPDATE&amp;creator=factset&amp;DYN_ARGS=TRUE&amp;DOC_NAME=FAT:FQL_AUDITING_CLIENT_TEMPLATE.FAT&amp;display_string=Audit&amp;VAR:KEY=MFIJWNYRCB&amp;VAR:QUERY=UkdGX1RBWF9SQVRFKEFOTiwwLCwsLCwsTk9BVURJVCk=&amp;WINDOW=FIRST_POPUP&amp;HEIGHT=450&amp;WIDTH=450&amp;","START_MAXIMIZED=FALSE&amp;VAR:CALENDAR=US&amp;VAR:SYMBOL=NOVL&amp;VAR:INDEX=0"}</definedName>
    <definedName name="_3692__FDSAUDITLINK__" hidden="1">{"fdsup://directions/FAT Viewer?action=UPDATE&amp;creator=factset&amp;DYN_ARGS=TRUE&amp;DOC_NAME=FAT:FQL_AUDITING_CLIENT_TEMPLATE.FAT&amp;display_string=Audit&amp;VAR:KEY=MFIJWNYRCB&amp;VAR:QUERY=UkdGX1RBWF9SQVRFKEFOTiwwLCwsLCwsTk9BVURJVCk=&amp;WINDOW=FIRST_POPUP&amp;HEIGHT=450&amp;WIDTH=450&amp;","START_MAXIMIZED=FALSE&amp;VAR:CALENDAR=US&amp;VAR:SYMBOL=NOVL&amp;VAR:INDEX=0"}</definedName>
    <definedName name="_3693__FDSAUDITLINK__" localSheetId="3" hidden="1">{"fdsup://directions/FAT Viewer?action=UPDATE&amp;creator=factset&amp;DYN_ARGS=TRUE&amp;DOC_NAME=FAT:FQL_AUDITING_CLIENT_TEMPLATE.FAT&amp;display_string=Audit&amp;VAR:KEY=KLOBEXKFCF&amp;VAR:QUERY=UkdGX1RBWF9SQVRFKEFOTiwwLCwsLCwsTk9BVURJVCk=&amp;WINDOW=FIRST_POPUP&amp;HEIGHT=450&amp;WIDTH=450&amp;","START_MAXIMIZED=FALSE&amp;VAR:CALENDAR=US&amp;VAR:SYMBOL=590294&amp;VAR:INDEX=0"}</definedName>
    <definedName name="_3693__FDSAUDITLINK__" localSheetId="7" hidden="1">{"fdsup://directions/FAT Viewer?action=UPDATE&amp;creator=factset&amp;DYN_ARGS=TRUE&amp;DOC_NAME=FAT:FQL_AUDITING_CLIENT_TEMPLATE.FAT&amp;display_string=Audit&amp;VAR:KEY=KLOBEXKFCF&amp;VAR:QUERY=UkdGX1RBWF9SQVRFKEFOTiwwLCwsLCwsTk9BVURJVCk=&amp;WINDOW=FIRST_POPUP&amp;HEIGHT=450&amp;WIDTH=450&amp;","START_MAXIMIZED=FALSE&amp;VAR:CALENDAR=US&amp;VAR:SYMBOL=590294&amp;VAR:INDEX=0"}</definedName>
    <definedName name="_3693__FDSAUDITLINK__" hidden="1">{"fdsup://directions/FAT Viewer?action=UPDATE&amp;creator=factset&amp;DYN_ARGS=TRUE&amp;DOC_NAME=FAT:FQL_AUDITING_CLIENT_TEMPLATE.FAT&amp;display_string=Audit&amp;VAR:KEY=KLOBEXKFCF&amp;VAR:QUERY=UkdGX1RBWF9SQVRFKEFOTiwwLCwsLCwsTk9BVURJVCk=&amp;WINDOW=FIRST_POPUP&amp;HEIGHT=450&amp;WIDTH=450&amp;","START_MAXIMIZED=FALSE&amp;VAR:CALENDAR=US&amp;VAR:SYMBOL=590294&amp;VAR:INDEX=0"}</definedName>
    <definedName name="_3694__FDSAUDITLINK__" localSheetId="3" hidden="1">{"fdsup://directions/FAT Viewer?action=UPDATE&amp;creator=factset&amp;DYN_ARGS=TRUE&amp;DOC_NAME=FAT:FQL_AUDITING_CLIENT_TEMPLATE.FAT&amp;display_string=Audit&amp;VAR:KEY=KLOBEXKFCF&amp;VAR:QUERY=UkdGX1RBWF9SQVRFKEFOTiwwLCwsLCwsTk9BVURJVCk=&amp;WINDOW=FIRST_POPUP&amp;HEIGHT=450&amp;WIDTH=450&amp;","START_MAXIMIZED=FALSE&amp;VAR:CALENDAR=US&amp;VAR:SYMBOL=590294&amp;VAR:INDEX=0"}</definedName>
    <definedName name="_3694__FDSAUDITLINK__" localSheetId="7" hidden="1">{"fdsup://directions/FAT Viewer?action=UPDATE&amp;creator=factset&amp;DYN_ARGS=TRUE&amp;DOC_NAME=FAT:FQL_AUDITING_CLIENT_TEMPLATE.FAT&amp;display_string=Audit&amp;VAR:KEY=KLOBEXKFCF&amp;VAR:QUERY=UkdGX1RBWF9SQVRFKEFOTiwwLCwsLCwsTk9BVURJVCk=&amp;WINDOW=FIRST_POPUP&amp;HEIGHT=450&amp;WIDTH=450&amp;","START_MAXIMIZED=FALSE&amp;VAR:CALENDAR=US&amp;VAR:SYMBOL=590294&amp;VAR:INDEX=0"}</definedName>
    <definedName name="_3694__FDSAUDITLINK__" hidden="1">{"fdsup://directions/FAT Viewer?action=UPDATE&amp;creator=factset&amp;DYN_ARGS=TRUE&amp;DOC_NAME=FAT:FQL_AUDITING_CLIENT_TEMPLATE.FAT&amp;display_string=Audit&amp;VAR:KEY=KLOBEXKFCF&amp;VAR:QUERY=UkdGX1RBWF9SQVRFKEFOTiwwLCwsLCwsTk9BVURJVCk=&amp;WINDOW=FIRST_POPUP&amp;HEIGHT=450&amp;WIDTH=450&amp;","START_MAXIMIZED=FALSE&amp;VAR:CALENDAR=US&amp;VAR:SYMBOL=590294&amp;VAR:INDEX=0"}</definedName>
    <definedName name="_3695__FDSAUDITLINK__" localSheetId="3" hidden="1">{"fdsup://directions/FAT Viewer?action=UPDATE&amp;creator=factset&amp;DYN_ARGS=TRUE&amp;DOC_NAME=FAT:FQL_AUDITING_CLIENT_TEMPLATE.FAT&amp;display_string=Audit&amp;VAR:KEY=ABUZSVATAB&amp;VAR:QUERY=UkdGX1RBWF9SQVRFKEFOTiwwLCwsLCwsTk9BVURJVCk=&amp;WINDOW=FIRST_POPUP&amp;HEIGHT=450&amp;WIDTH=450&amp;","START_MAXIMIZED=FALSE&amp;VAR:CALENDAR=US&amp;VAR:SYMBOL=NSR&amp;VAR:INDEX=0"}</definedName>
    <definedName name="_3695__FDSAUDITLINK__" localSheetId="7" hidden="1">{"fdsup://directions/FAT Viewer?action=UPDATE&amp;creator=factset&amp;DYN_ARGS=TRUE&amp;DOC_NAME=FAT:FQL_AUDITING_CLIENT_TEMPLATE.FAT&amp;display_string=Audit&amp;VAR:KEY=ABUZSVATAB&amp;VAR:QUERY=UkdGX1RBWF9SQVRFKEFOTiwwLCwsLCwsTk9BVURJVCk=&amp;WINDOW=FIRST_POPUP&amp;HEIGHT=450&amp;WIDTH=450&amp;","START_MAXIMIZED=FALSE&amp;VAR:CALENDAR=US&amp;VAR:SYMBOL=NSR&amp;VAR:INDEX=0"}</definedName>
    <definedName name="_3695__FDSAUDITLINK__" hidden="1">{"fdsup://directions/FAT Viewer?action=UPDATE&amp;creator=factset&amp;DYN_ARGS=TRUE&amp;DOC_NAME=FAT:FQL_AUDITING_CLIENT_TEMPLATE.FAT&amp;display_string=Audit&amp;VAR:KEY=ABUZSVATAB&amp;VAR:QUERY=UkdGX1RBWF9SQVRFKEFOTiwwLCwsLCwsTk9BVURJVCk=&amp;WINDOW=FIRST_POPUP&amp;HEIGHT=450&amp;WIDTH=450&amp;","START_MAXIMIZED=FALSE&amp;VAR:CALENDAR=US&amp;VAR:SYMBOL=NSR&amp;VAR:INDEX=0"}</definedName>
    <definedName name="_3696__FDSAUDITLINK__" localSheetId="3" hidden="1">{"fdsup://directions/FAT Viewer?action=UPDATE&amp;creator=factset&amp;DYN_ARGS=TRUE&amp;DOC_NAME=FAT:FQL_AUDITING_CLIENT_TEMPLATE.FAT&amp;display_string=Audit&amp;VAR:KEY=ABUZSVATAB&amp;VAR:QUERY=UkdGX1RBWF9SQVRFKEFOTiwwLCwsLCwsTk9BVURJVCk=&amp;WINDOW=FIRST_POPUP&amp;HEIGHT=450&amp;WIDTH=450&amp;","START_MAXIMIZED=FALSE&amp;VAR:CALENDAR=US&amp;VAR:SYMBOL=NSR&amp;VAR:INDEX=0"}</definedName>
    <definedName name="_3696__FDSAUDITLINK__" localSheetId="7" hidden="1">{"fdsup://directions/FAT Viewer?action=UPDATE&amp;creator=factset&amp;DYN_ARGS=TRUE&amp;DOC_NAME=FAT:FQL_AUDITING_CLIENT_TEMPLATE.FAT&amp;display_string=Audit&amp;VAR:KEY=ABUZSVATAB&amp;VAR:QUERY=UkdGX1RBWF9SQVRFKEFOTiwwLCwsLCwsTk9BVURJVCk=&amp;WINDOW=FIRST_POPUP&amp;HEIGHT=450&amp;WIDTH=450&amp;","START_MAXIMIZED=FALSE&amp;VAR:CALENDAR=US&amp;VAR:SYMBOL=NSR&amp;VAR:INDEX=0"}</definedName>
    <definedName name="_3696__FDSAUDITLINK__" hidden="1">{"fdsup://directions/FAT Viewer?action=UPDATE&amp;creator=factset&amp;DYN_ARGS=TRUE&amp;DOC_NAME=FAT:FQL_AUDITING_CLIENT_TEMPLATE.FAT&amp;display_string=Audit&amp;VAR:KEY=ABUZSVATAB&amp;VAR:QUERY=UkdGX1RBWF9SQVRFKEFOTiwwLCwsLCwsTk9BVURJVCk=&amp;WINDOW=FIRST_POPUP&amp;HEIGHT=450&amp;WIDTH=450&amp;","START_MAXIMIZED=FALSE&amp;VAR:CALENDAR=US&amp;VAR:SYMBOL=NSR&amp;VAR:INDEX=0"}</definedName>
    <definedName name="_3697__FDSAUDITLINK__" localSheetId="3" hidden="1">{"fdsup://directions/FAT Viewer?action=UPDATE&amp;creator=factset&amp;DYN_ARGS=TRUE&amp;DOC_NAME=FAT:FQL_AUDITING_CLIENT_TEMPLATE.FAT&amp;display_string=Audit&amp;VAR:KEY=YXKZETUXYJ&amp;VAR:QUERY=UkdGX1RBWF9SQVRFKEFOTiwwLCwsLCwsTk9BVURJVCk=&amp;WINDOW=FIRST_POPUP&amp;HEIGHT=450&amp;WIDTH=450&amp;","START_MAXIMIZED=FALSE&amp;VAR:CALENDAR=US&amp;VAR:SYMBOL=N&amp;VAR:INDEX=0"}</definedName>
    <definedName name="_3697__FDSAUDITLINK__" localSheetId="7" hidden="1">{"fdsup://directions/FAT Viewer?action=UPDATE&amp;creator=factset&amp;DYN_ARGS=TRUE&amp;DOC_NAME=FAT:FQL_AUDITING_CLIENT_TEMPLATE.FAT&amp;display_string=Audit&amp;VAR:KEY=YXKZETUXYJ&amp;VAR:QUERY=UkdGX1RBWF9SQVRFKEFOTiwwLCwsLCwsTk9BVURJVCk=&amp;WINDOW=FIRST_POPUP&amp;HEIGHT=450&amp;WIDTH=450&amp;","START_MAXIMIZED=FALSE&amp;VAR:CALENDAR=US&amp;VAR:SYMBOL=N&amp;VAR:INDEX=0"}</definedName>
    <definedName name="_3697__FDSAUDITLINK__" hidden="1">{"fdsup://directions/FAT Viewer?action=UPDATE&amp;creator=factset&amp;DYN_ARGS=TRUE&amp;DOC_NAME=FAT:FQL_AUDITING_CLIENT_TEMPLATE.FAT&amp;display_string=Audit&amp;VAR:KEY=YXKZETUXYJ&amp;VAR:QUERY=UkdGX1RBWF9SQVRFKEFOTiwwLCwsLCwsTk9BVURJVCk=&amp;WINDOW=FIRST_POPUP&amp;HEIGHT=450&amp;WIDTH=450&amp;","START_MAXIMIZED=FALSE&amp;VAR:CALENDAR=US&amp;VAR:SYMBOL=N&amp;VAR:INDEX=0"}</definedName>
    <definedName name="_3698__FDSAUDITLINK__" localSheetId="3" hidden="1">{"fdsup://directions/FAT Viewer?action=UPDATE&amp;creator=factset&amp;DYN_ARGS=TRUE&amp;DOC_NAME=FAT:FQL_AUDITING_CLIENT_TEMPLATE.FAT&amp;display_string=Audit&amp;VAR:KEY=IVWHWPSHKL&amp;VAR:QUERY=UkdGX1RBWF9SQVRFKEFOTiwwLCwsLCwsTk9BVURJVCk=&amp;WINDOW=FIRST_POPUP&amp;HEIGHT=450&amp;WIDTH=450&amp;","START_MAXIMIZED=FALSE&amp;VAR:CALENDAR=US&amp;VAR:SYMBOL=NFLX&amp;VAR:INDEX=0"}</definedName>
    <definedName name="_3698__FDSAUDITLINK__" localSheetId="7" hidden="1">{"fdsup://directions/FAT Viewer?action=UPDATE&amp;creator=factset&amp;DYN_ARGS=TRUE&amp;DOC_NAME=FAT:FQL_AUDITING_CLIENT_TEMPLATE.FAT&amp;display_string=Audit&amp;VAR:KEY=IVWHWPSHKL&amp;VAR:QUERY=UkdGX1RBWF9SQVRFKEFOTiwwLCwsLCwsTk9BVURJVCk=&amp;WINDOW=FIRST_POPUP&amp;HEIGHT=450&amp;WIDTH=450&amp;","START_MAXIMIZED=FALSE&amp;VAR:CALENDAR=US&amp;VAR:SYMBOL=NFLX&amp;VAR:INDEX=0"}</definedName>
    <definedName name="_3698__FDSAUDITLINK__" hidden="1">{"fdsup://directions/FAT Viewer?action=UPDATE&amp;creator=factset&amp;DYN_ARGS=TRUE&amp;DOC_NAME=FAT:FQL_AUDITING_CLIENT_TEMPLATE.FAT&amp;display_string=Audit&amp;VAR:KEY=IVWHWPSHKL&amp;VAR:QUERY=UkdGX1RBWF9SQVRFKEFOTiwwLCwsLCwsTk9BVURJVCk=&amp;WINDOW=FIRST_POPUP&amp;HEIGHT=450&amp;WIDTH=450&amp;","START_MAXIMIZED=FALSE&amp;VAR:CALENDAR=US&amp;VAR:SYMBOL=NFLX&amp;VAR:INDEX=0"}</definedName>
    <definedName name="_3699__FDSAUDITLINK__" localSheetId="3" hidden="1">{"fdsup://directions/FAT Viewer?action=UPDATE&amp;creator=factset&amp;DYN_ARGS=TRUE&amp;DOC_NAME=FAT:FQL_AUDITING_CLIENT_TEMPLATE.FAT&amp;display_string=Audit&amp;VAR:KEY=IVWHWPSHKL&amp;VAR:QUERY=UkdGX1RBWF9SQVRFKEFOTiwwLCwsLCwsTk9BVURJVCk=&amp;WINDOW=FIRST_POPUP&amp;HEIGHT=450&amp;WIDTH=450&amp;","START_MAXIMIZED=FALSE&amp;VAR:CALENDAR=US&amp;VAR:SYMBOL=NFLX&amp;VAR:INDEX=0"}</definedName>
    <definedName name="_3699__FDSAUDITLINK__" localSheetId="7" hidden="1">{"fdsup://directions/FAT Viewer?action=UPDATE&amp;creator=factset&amp;DYN_ARGS=TRUE&amp;DOC_NAME=FAT:FQL_AUDITING_CLIENT_TEMPLATE.FAT&amp;display_string=Audit&amp;VAR:KEY=IVWHWPSHKL&amp;VAR:QUERY=UkdGX1RBWF9SQVRFKEFOTiwwLCwsLCwsTk9BVURJVCk=&amp;WINDOW=FIRST_POPUP&amp;HEIGHT=450&amp;WIDTH=450&amp;","START_MAXIMIZED=FALSE&amp;VAR:CALENDAR=US&amp;VAR:SYMBOL=NFLX&amp;VAR:INDEX=0"}</definedName>
    <definedName name="_3699__FDSAUDITLINK__" hidden="1">{"fdsup://directions/FAT Viewer?action=UPDATE&amp;creator=factset&amp;DYN_ARGS=TRUE&amp;DOC_NAME=FAT:FQL_AUDITING_CLIENT_TEMPLATE.FAT&amp;display_string=Audit&amp;VAR:KEY=IVWHWPSHKL&amp;VAR:QUERY=UkdGX1RBWF9SQVRFKEFOTiwwLCwsLCwsTk9BVURJVCk=&amp;WINDOW=FIRST_POPUP&amp;HEIGHT=450&amp;WIDTH=450&amp;","START_MAXIMIZED=FALSE&amp;VAR:CALENDAR=US&amp;VAR:SYMBOL=NFLX&amp;VAR:INDEX=0"}</definedName>
    <definedName name="_37__FDSAUDITLINK__" localSheetId="3" hidden="1">{"fdsup://directions/FAT Viewer?action=UPDATE&amp;creator=factset&amp;DYN_ARGS=TRUE&amp;DOC_NAME=FAT:FQL_AUDITING_CLIENT_TEMPLATE.FAT&amp;display_string=Audit&amp;VAR:KEY=FSRUTEHMNM&amp;VAR:QUERY=RkZfU0FMRVMoTFRNLDAsLCwsTE9DQUwsTSk=&amp;WINDOW=FIRST_POPUP&amp;HEIGHT=450&amp;WIDTH=450&amp;START_MA","XIMIZED=FALSE&amp;VAR:CALENDAR=US&amp;VAR:SYMBOL=B07C76&amp;VAR:INDEX=0"}</definedName>
    <definedName name="_37__FDSAUDITLINK__" localSheetId="7" hidden="1">{"fdsup://directions/FAT Viewer?action=UPDATE&amp;creator=factset&amp;DYN_ARGS=TRUE&amp;DOC_NAME=FAT:FQL_AUDITING_CLIENT_TEMPLATE.FAT&amp;display_string=Audit&amp;VAR:KEY=FSRUTEHMNM&amp;VAR:QUERY=RkZfU0FMRVMoTFRNLDAsLCwsTE9DQUwsTSk=&amp;WINDOW=FIRST_POPUP&amp;HEIGHT=450&amp;WIDTH=450&amp;START_MA","XIMIZED=FALSE&amp;VAR:CALENDAR=US&amp;VAR:SYMBOL=B07C76&amp;VAR:INDEX=0"}</definedName>
    <definedName name="_37__FDSAUDITLINK__" hidden="1">{"fdsup://directions/FAT Viewer?action=UPDATE&amp;creator=factset&amp;DYN_ARGS=TRUE&amp;DOC_NAME=FAT:FQL_AUDITING_CLIENT_TEMPLATE.FAT&amp;display_string=Audit&amp;VAR:KEY=FSRUTEHMNM&amp;VAR:QUERY=RkZfU0FMRVMoTFRNLDAsLCwsTE9DQUwsTSk=&amp;WINDOW=FIRST_POPUP&amp;HEIGHT=450&amp;WIDTH=450&amp;START_MA","XIMIZED=FALSE&amp;VAR:CALENDAR=US&amp;VAR:SYMBOL=B07C76&amp;VAR:INDEX=0"}</definedName>
    <definedName name="_370__FDSAUDITLINK__" localSheetId="3" hidden="1">{"fdsup://directions/FAT Viewer?action=UPDATE&amp;creator=factset&amp;DYN_ARGS=TRUE&amp;DOC_NAME=FAT:FQL_AUDITING_CLIENT_TEMPLATE.FAT&amp;display_string=Audit&amp;VAR:KEY=LWRMPSDCVK&amp;VAR:QUERY=RkZfUk9BKEFOTiwwLC05LFksUlAp&amp;WINDOW=FIRST_POPUP&amp;HEIGHT=450&amp;WIDTH=450&amp;START_MAXIMIZED=","FALSE&amp;VAR:CALENDAR=US&amp;VAR:SYMBOL=B10LQP&amp;VAR:INDEX=5"}</definedName>
    <definedName name="_370__FDSAUDITLINK__" localSheetId="7" hidden="1">{"fdsup://directions/FAT Viewer?action=UPDATE&amp;creator=factset&amp;DYN_ARGS=TRUE&amp;DOC_NAME=FAT:FQL_AUDITING_CLIENT_TEMPLATE.FAT&amp;display_string=Audit&amp;VAR:KEY=LWRMPSDCVK&amp;VAR:QUERY=RkZfUk9BKEFOTiwwLC05LFksUlAp&amp;WINDOW=FIRST_POPUP&amp;HEIGHT=450&amp;WIDTH=450&amp;START_MAXIMIZED=","FALSE&amp;VAR:CALENDAR=US&amp;VAR:SYMBOL=B10LQP&amp;VAR:INDEX=5"}</definedName>
    <definedName name="_370__FDSAUDITLINK__" hidden="1">{"fdsup://directions/FAT Viewer?action=UPDATE&amp;creator=factset&amp;DYN_ARGS=TRUE&amp;DOC_NAME=FAT:FQL_AUDITING_CLIENT_TEMPLATE.FAT&amp;display_string=Audit&amp;VAR:KEY=LWRMPSDCVK&amp;VAR:QUERY=RkZfUk9BKEFOTiwwLC05LFksUlAp&amp;WINDOW=FIRST_POPUP&amp;HEIGHT=450&amp;WIDTH=450&amp;START_MAXIMIZED=","FALSE&amp;VAR:CALENDAR=US&amp;VAR:SYMBOL=B10LQP&amp;VAR:INDEX=5"}</definedName>
    <definedName name="_3700__FDSAUDITLINK__" localSheetId="3" hidden="1">{"fdsup://directions/FAT Viewer?action=UPDATE&amp;creator=factset&amp;DYN_ARGS=TRUE&amp;DOC_NAME=FAT:FQL_AUDITING_CLIENT_TEMPLATE.FAT&amp;display_string=Audit&amp;VAR:KEY=SLEDMBGPYZ&amp;VAR:QUERY=UkdGX1RBWF9SQVRFKEFOTiwwLCwsLCwsTk9BVURJVCk=&amp;WINDOW=FIRST_POPUP&amp;HEIGHT=450&amp;WIDTH=450&amp;","START_MAXIMIZED=FALSE&amp;VAR:CALENDAR=US&amp;VAR:SYMBOL=NTAP&amp;VAR:INDEX=0"}</definedName>
    <definedName name="_3700__FDSAUDITLINK__" localSheetId="7" hidden="1">{"fdsup://directions/FAT Viewer?action=UPDATE&amp;creator=factset&amp;DYN_ARGS=TRUE&amp;DOC_NAME=FAT:FQL_AUDITING_CLIENT_TEMPLATE.FAT&amp;display_string=Audit&amp;VAR:KEY=SLEDMBGPYZ&amp;VAR:QUERY=UkdGX1RBWF9SQVRFKEFOTiwwLCwsLCwsTk9BVURJVCk=&amp;WINDOW=FIRST_POPUP&amp;HEIGHT=450&amp;WIDTH=450&amp;","START_MAXIMIZED=FALSE&amp;VAR:CALENDAR=US&amp;VAR:SYMBOL=NTAP&amp;VAR:INDEX=0"}</definedName>
    <definedName name="_3700__FDSAUDITLINK__" hidden="1">{"fdsup://directions/FAT Viewer?action=UPDATE&amp;creator=factset&amp;DYN_ARGS=TRUE&amp;DOC_NAME=FAT:FQL_AUDITING_CLIENT_TEMPLATE.FAT&amp;display_string=Audit&amp;VAR:KEY=SLEDMBGPYZ&amp;VAR:QUERY=UkdGX1RBWF9SQVRFKEFOTiwwLCwsLCwsTk9BVURJVCk=&amp;WINDOW=FIRST_POPUP&amp;HEIGHT=450&amp;WIDTH=450&amp;","START_MAXIMIZED=FALSE&amp;VAR:CALENDAR=US&amp;VAR:SYMBOL=NTAP&amp;VAR:INDEX=0"}</definedName>
    <definedName name="_3701__FDSAUDITLINK__" localSheetId="3" hidden="1">{"fdsup://directions/FAT Viewer?action=UPDATE&amp;creator=factset&amp;DYN_ARGS=TRUE&amp;DOC_NAME=FAT:FQL_AUDITING_CLIENT_TEMPLATE.FAT&amp;display_string=Audit&amp;VAR:KEY=SLEDMBGPYZ&amp;VAR:QUERY=UkdGX1RBWF9SQVRFKEFOTiwwLCwsLCwsTk9BVURJVCk=&amp;WINDOW=FIRST_POPUP&amp;HEIGHT=450&amp;WIDTH=450&amp;","START_MAXIMIZED=FALSE&amp;VAR:CALENDAR=US&amp;VAR:SYMBOL=NTAP&amp;VAR:INDEX=0"}</definedName>
    <definedName name="_3701__FDSAUDITLINK__" localSheetId="7" hidden="1">{"fdsup://directions/FAT Viewer?action=UPDATE&amp;creator=factset&amp;DYN_ARGS=TRUE&amp;DOC_NAME=FAT:FQL_AUDITING_CLIENT_TEMPLATE.FAT&amp;display_string=Audit&amp;VAR:KEY=SLEDMBGPYZ&amp;VAR:QUERY=UkdGX1RBWF9SQVRFKEFOTiwwLCwsLCwsTk9BVURJVCk=&amp;WINDOW=FIRST_POPUP&amp;HEIGHT=450&amp;WIDTH=450&amp;","START_MAXIMIZED=FALSE&amp;VAR:CALENDAR=US&amp;VAR:SYMBOL=NTAP&amp;VAR:INDEX=0"}</definedName>
    <definedName name="_3701__FDSAUDITLINK__" hidden="1">{"fdsup://directions/FAT Viewer?action=UPDATE&amp;creator=factset&amp;DYN_ARGS=TRUE&amp;DOC_NAME=FAT:FQL_AUDITING_CLIENT_TEMPLATE.FAT&amp;display_string=Audit&amp;VAR:KEY=SLEDMBGPYZ&amp;VAR:QUERY=UkdGX1RBWF9SQVRFKEFOTiwwLCwsLCwsTk9BVURJVCk=&amp;WINDOW=FIRST_POPUP&amp;HEIGHT=450&amp;WIDTH=450&amp;","START_MAXIMIZED=FALSE&amp;VAR:CALENDAR=US&amp;VAR:SYMBOL=NTAP&amp;VAR:INDEX=0"}</definedName>
    <definedName name="_3702__FDSAUDITLINK__" localSheetId="3" hidden="1">{"fdsup://directions/FAT Viewer?action=UPDATE&amp;creator=factset&amp;DYN_ARGS=TRUE&amp;DOC_NAME=FAT:FQL_AUDITING_CLIENT_TEMPLATE.FAT&amp;display_string=Audit&amp;VAR:KEY=YLGPAHSDWB&amp;VAR:QUERY=UkdGX1RBWF9SQVRFKEFOTiwwLCwsLCwsTk9BVURJVCk=&amp;WINDOW=FIRST_POPUP&amp;HEIGHT=450&amp;WIDTH=450&amp;","START_MAXIMIZED=FALSE&amp;VAR:CALENDAR=US&amp;VAR:SYMBOL=563396&amp;VAR:INDEX=0"}</definedName>
    <definedName name="_3702__FDSAUDITLINK__" localSheetId="7" hidden="1">{"fdsup://directions/FAT Viewer?action=UPDATE&amp;creator=factset&amp;DYN_ARGS=TRUE&amp;DOC_NAME=FAT:FQL_AUDITING_CLIENT_TEMPLATE.FAT&amp;display_string=Audit&amp;VAR:KEY=YLGPAHSDWB&amp;VAR:QUERY=UkdGX1RBWF9SQVRFKEFOTiwwLCwsLCwsTk9BVURJVCk=&amp;WINDOW=FIRST_POPUP&amp;HEIGHT=450&amp;WIDTH=450&amp;","START_MAXIMIZED=FALSE&amp;VAR:CALENDAR=US&amp;VAR:SYMBOL=563396&amp;VAR:INDEX=0"}</definedName>
    <definedName name="_3702__FDSAUDITLINK__" hidden="1">{"fdsup://directions/FAT Viewer?action=UPDATE&amp;creator=factset&amp;DYN_ARGS=TRUE&amp;DOC_NAME=FAT:FQL_AUDITING_CLIENT_TEMPLATE.FAT&amp;display_string=Audit&amp;VAR:KEY=YLGPAHSDWB&amp;VAR:QUERY=UkdGX1RBWF9SQVRFKEFOTiwwLCwsLCwsTk9BVURJVCk=&amp;WINDOW=FIRST_POPUP&amp;HEIGHT=450&amp;WIDTH=450&amp;","START_MAXIMIZED=FALSE&amp;VAR:CALENDAR=US&amp;VAR:SYMBOL=563396&amp;VAR:INDEX=0"}</definedName>
    <definedName name="_3703__FDSAUDITLINK__" localSheetId="3" hidden="1">{"fdsup://directions/FAT Viewer?action=UPDATE&amp;creator=factset&amp;DYN_ARGS=TRUE&amp;DOC_NAME=FAT:FQL_AUDITING_CLIENT_TEMPLATE.FAT&amp;display_string=Audit&amp;VAR:KEY=YLGPAHSDWB&amp;VAR:QUERY=UkdGX1RBWF9SQVRFKEFOTiwwLCwsLCwsTk9BVURJVCk=&amp;WINDOW=FIRST_POPUP&amp;HEIGHT=450&amp;WIDTH=450&amp;","START_MAXIMIZED=FALSE&amp;VAR:CALENDAR=US&amp;VAR:SYMBOL=563396&amp;VAR:INDEX=0"}</definedName>
    <definedName name="_3703__FDSAUDITLINK__" localSheetId="7" hidden="1">{"fdsup://directions/FAT Viewer?action=UPDATE&amp;creator=factset&amp;DYN_ARGS=TRUE&amp;DOC_NAME=FAT:FQL_AUDITING_CLIENT_TEMPLATE.FAT&amp;display_string=Audit&amp;VAR:KEY=YLGPAHSDWB&amp;VAR:QUERY=UkdGX1RBWF9SQVRFKEFOTiwwLCwsLCwsTk9BVURJVCk=&amp;WINDOW=FIRST_POPUP&amp;HEIGHT=450&amp;WIDTH=450&amp;","START_MAXIMIZED=FALSE&amp;VAR:CALENDAR=US&amp;VAR:SYMBOL=563396&amp;VAR:INDEX=0"}</definedName>
    <definedName name="_3703__FDSAUDITLINK__" hidden="1">{"fdsup://directions/FAT Viewer?action=UPDATE&amp;creator=factset&amp;DYN_ARGS=TRUE&amp;DOC_NAME=FAT:FQL_AUDITING_CLIENT_TEMPLATE.FAT&amp;display_string=Audit&amp;VAR:KEY=YLGPAHSDWB&amp;VAR:QUERY=UkdGX1RBWF9SQVRFKEFOTiwwLCwsLCwsTk9BVURJVCk=&amp;WINDOW=FIRST_POPUP&amp;HEIGHT=450&amp;WIDTH=450&amp;","START_MAXIMIZED=FALSE&amp;VAR:CALENDAR=US&amp;VAR:SYMBOL=563396&amp;VAR:INDEX=0"}</definedName>
    <definedName name="_3704__FDSAUDITLINK__" localSheetId="3" hidden="1">{"fdsup://directions/FAT Viewer?action=UPDATE&amp;creator=factset&amp;DYN_ARGS=TRUE&amp;DOC_NAME=FAT:FQL_AUDITING_CLIENT_TEMPLATE.FAT&amp;display_string=Audit&amp;VAR:KEY=YPONWBGFAT&amp;VAR:QUERY=UkdGX1RBWF9SQVRFKEFOTiwwLCwsLCwsTk9BVURJVCk=&amp;WINDOW=FIRST_POPUP&amp;HEIGHT=450&amp;WIDTH=450&amp;","START_MAXIMIZED=FALSE&amp;VAR:CALENDAR=US&amp;VAR:SYMBOL=MOTR&amp;VAR:INDEX=0"}</definedName>
    <definedName name="_3704__FDSAUDITLINK__" localSheetId="7" hidden="1">{"fdsup://directions/FAT Viewer?action=UPDATE&amp;creator=factset&amp;DYN_ARGS=TRUE&amp;DOC_NAME=FAT:FQL_AUDITING_CLIENT_TEMPLATE.FAT&amp;display_string=Audit&amp;VAR:KEY=YPONWBGFAT&amp;VAR:QUERY=UkdGX1RBWF9SQVRFKEFOTiwwLCwsLCwsTk9BVURJVCk=&amp;WINDOW=FIRST_POPUP&amp;HEIGHT=450&amp;WIDTH=450&amp;","START_MAXIMIZED=FALSE&amp;VAR:CALENDAR=US&amp;VAR:SYMBOL=MOTR&amp;VAR:INDEX=0"}</definedName>
    <definedName name="_3704__FDSAUDITLINK__" hidden="1">{"fdsup://directions/FAT Viewer?action=UPDATE&amp;creator=factset&amp;DYN_ARGS=TRUE&amp;DOC_NAME=FAT:FQL_AUDITING_CLIENT_TEMPLATE.FAT&amp;display_string=Audit&amp;VAR:KEY=YPONWBGFAT&amp;VAR:QUERY=UkdGX1RBWF9SQVRFKEFOTiwwLCwsLCwsTk9BVURJVCk=&amp;WINDOW=FIRST_POPUP&amp;HEIGHT=450&amp;WIDTH=450&amp;","START_MAXIMIZED=FALSE&amp;VAR:CALENDAR=US&amp;VAR:SYMBOL=MOTR&amp;VAR:INDEX=0"}</definedName>
    <definedName name="_3705__FDSAUDITLINK__" localSheetId="3" hidden="1">{"fdsup://directions/FAT Viewer?action=UPDATE&amp;creator=factset&amp;DYN_ARGS=TRUE&amp;DOC_NAME=FAT:FQL_AUDITING_CLIENT_TEMPLATE.FAT&amp;display_string=Audit&amp;VAR:KEY=ITMZSVMBSD&amp;VAR:QUERY=UkdGX1RBWF9SQVRFKEFOTiwwLCwsLCwsTk9BVURJVCk=&amp;WINDOW=FIRST_POPUP&amp;HEIGHT=450&amp;WIDTH=450&amp;","START_MAXIMIZED=FALSE&amp;VAR:CALENDAR=US&amp;VAR:SYMBOL=MOT&amp;VAR:INDEX=0"}</definedName>
    <definedName name="_3705__FDSAUDITLINK__" localSheetId="7" hidden="1">{"fdsup://directions/FAT Viewer?action=UPDATE&amp;creator=factset&amp;DYN_ARGS=TRUE&amp;DOC_NAME=FAT:FQL_AUDITING_CLIENT_TEMPLATE.FAT&amp;display_string=Audit&amp;VAR:KEY=ITMZSVMBSD&amp;VAR:QUERY=UkdGX1RBWF9SQVRFKEFOTiwwLCwsLCwsTk9BVURJVCk=&amp;WINDOW=FIRST_POPUP&amp;HEIGHT=450&amp;WIDTH=450&amp;","START_MAXIMIZED=FALSE&amp;VAR:CALENDAR=US&amp;VAR:SYMBOL=MOT&amp;VAR:INDEX=0"}</definedName>
    <definedName name="_3705__FDSAUDITLINK__" hidden="1">{"fdsup://directions/FAT Viewer?action=UPDATE&amp;creator=factset&amp;DYN_ARGS=TRUE&amp;DOC_NAME=FAT:FQL_AUDITING_CLIENT_TEMPLATE.FAT&amp;display_string=Audit&amp;VAR:KEY=ITMZSVMBSD&amp;VAR:QUERY=UkdGX1RBWF9SQVRFKEFOTiwwLCwsLCwsTk9BVURJVCk=&amp;WINDOW=FIRST_POPUP&amp;HEIGHT=450&amp;WIDTH=450&amp;","START_MAXIMIZED=FALSE&amp;VAR:CALENDAR=US&amp;VAR:SYMBOL=MOT&amp;VAR:INDEX=0"}</definedName>
    <definedName name="_3706__FDSAUDITLINK__" localSheetId="3" hidden="1">{"fdsup://directions/FAT Viewer?action=UPDATE&amp;creator=factset&amp;DYN_ARGS=TRUE&amp;DOC_NAME=FAT:FQL_AUDITING_CLIENT_TEMPLATE.FAT&amp;display_string=Audit&amp;VAR:KEY=ITMZSVMBSD&amp;VAR:QUERY=UkdGX1RBWF9SQVRFKEFOTiwwLCwsLCwsTk9BVURJVCk=&amp;WINDOW=FIRST_POPUP&amp;HEIGHT=450&amp;WIDTH=450&amp;","START_MAXIMIZED=FALSE&amp;VAR:CALENDAR=US&amp;VAR:SYMBOL=MOT&amp;VAR:INDEX=0"}</definedName>
    <definedName name="_3706__FDSAUDITLINK__" localSheetId="7" hidden="1">{"fdsup://directions/FAT Viewer?action=UPDATE&amp;creator=factset&amp;DYN_ARGS=TRUE&amp;DOC_NAME=FAT:FQL_AUDITING_CLIENT_TEMPLATE.FAT&amp;display_string=Audit&amp;VAR:KEY=ITMZSVMBSD&amp;VAR:QUERY=UkdGX1RBWF9SQVRFKEFOTiwwLCwsLCwsTk9BVURJVCk=&amp;WINDOW=FIRST_POPUP&amp;HEIGHT=450&amp;WIDTH=450&amp;","START_MAXIMIZED=FALSE&amp;VAR:CALENDAR=US&amp;VAR:SYMBOL=MOT&amp;VAR:INDEX=0"}</definedName>
    <definedName name="_3706__FDSAUDITLINK__" hidden="1">{"fdsup://directions/FAT Viewer?action=UPDATE&amp;creator=factset&amp;DYN_ARGS=TRUE&amp;DOC_NAME=FAT:FQL_AUDITING_CLIENT_TEMPLATE.FAT&amp;display_string=Audit&amp;VAR:KEY=ITMZSVMBSD&amp;VAR:QUERY=UkdGX1RBWF9SQVRFKEFOTiwwLCwsLCwsTk9BVURJVCk=&amp;WINDOW=FIRST_POPUP&amp;HEIGHT=450&amp;WIDTH=450&amp;","START_MAXIMIZED=FALSE&amp;VAR:CALENDAR=US&amp;VAR:SYMBOL=MOT&amp;VAR:INDEX=0"}</definedName>
    <definedName name="_3707__FDSAUDITLINK__" localSheetId="3" hidden="1">{"fdsup://directions/FAT Viewer?action=UPDATE&amp;creator=factset&amp;DYN_ARGS=TRUE&amp;DOC_NAME=FAT:FQL_AUDITING_CLIENT_TEMPLATE.FAT&amp;display_string=Audit&amp;VAR:KEY=IJUTOHAVWN&amp;VAR:QUERY=UkdGX1RBWF9SQVRFKEFOTiwwLCwsLCwsTk9BVURJVCk=&amp;WINDOW=FIRST_POPUP&amp;HEIGHT=450&amp;WIDTH=450&amp;","START_MAXIMIZED=FALSE&amp;VAR:CALENDAR=US&amp;VAR:SYMBOL=MNST&amp;VAR:INDEX=0"}</definedName>
    <definedName name="_3707__FDSAUDITLINK__" localSheetId="7" hidden="1">{"fdsup://directions/FAT Viewer?action=UPDATE&amp;creator=factset&amp;DYN_ARGS=TRUE&amp;DOC_NAME=FAT:FQL_AUDITING_CLIENT_TEMPLATE.FAT&amp;display_string=Audit&amp;VAR:KEY=IJUTOHAVWN&amp;VAR:QUERY=UkdGX1RBWF9SQVRFKEFOTiwwLCwsLCwsTk9BVURJVCk=&amp;WINDOW=FIRST_POPUP&amp;HEIGHT=450&amp;WIDTH=450&amp;","START_MAXIMIZED=FALSE&amp;VAR:CALENDAR=US&amp;VAR:SYMBOL=MNST&amp;VAR:INDEX=0"}</definedName>
    <definedName name="_3707__FDSAUDITLINK__" hidden="1">{"fdsup://directions/FAT Viewer?action=UPDATE&amp;creator=factset&amp;DYN_ARGS=TRUE&amp;DOC_NAME=FAT:FQL_AUDITING_CLIENT_TEMPLATE.FAT&amp;display_string=Audit&amp;VAR:KEY=IJUTOHAVWN&amp;VAR:QUERY=UkdGX1RBWF9SQVRFKEFOTiwwLCwsLCwsTk9BVURJVCk=&amp;WINDOW=FIRST_POPUP&amp;HEIGHT=450&amp;WIDTH=450&amp;","START_MAXIMIZED=FALSE&amp;VAR:CALENDAR=US&amp;VAR:SYMBOL=MNST&amp;VAR:INDEX=0"}</definedName>
    <definedName name="_3708__FDSAUDITLINK__" localSheetId="3" hidden="1">{"fdsup://directions/FAT Viewer?action=UPDATE&amp;creator=factset&amp;DYN_ARGS=TRUE&amp;DOC_NAME=FAT:FQL_AUDITING_CLIENT_TEMPLATE.FAT&amp;display_string=Audit&amp;VAR:KEY=MVGHKHIDMV&amp;VAR:QUERY=UkdGX1RBWF9SQVRFKEFOTiwwLCwsLCwsTk9BVURJVCk=&amp;WINDOW=FIRST_POPUP&amp;HEIGHT=450&amp;WIDTH=450&amp;","START_MAXIMIZED=FALSE&amp;VAR:CALENDAR=US&amp;VAR:SYMBOL=MIPS&amp;VAR:INDEX=0"}</definedName>
    <definedName name="_3708__FDSAUDITLINK__" localSheetId="7" hidden="1">{"fdsup://directions/FAT Viewer?action=UPDATE&amp;creator=factset&amp;DYN_ARGS=TRUE&amp;DOC_NAME=FAT:FQL_AUDITING_CLIENT_TEMPLATE.FAT&amp;display_string=Audit&amp;VAR:KEY=MVGHKHIDMV&amp;VAR:QUERY=UkdGX1RBWF9SQVRFKEFOTiwwLCwsLCwsTk9BVURJVCk=&amp;WINDOW=FIRST_POPUP&amp;HEIGHT=450&amp;WIDTH=450&amp;","START_MAXIMIZED=FALSE&amp;VAR:CALENDAR=US&amp;VAR:SYMBOL=MIPS&amp;VAR:INDEX=0"}</definedName>
    <definedName name="_3708__FDSAUDITLINK__" hidden="1">{"fdsup://directions/FAT Viewer?action=UPDATE&amp;creator=factset&amp;DYN_ARGS=TRUE&amp;DOC_NAME=FAT:FQL_AUDITING_CLIENT_TEMPLATE.FAT&amp;display_string=Audit&amp;VAR:KEY=MVGHKHIDMV&amp;VAR:QUERY=UkdGX1RBWF9SQVRFKEFOTiwwLCwsLCwsTk9BVURJVCk=&amp;WINDOW=FIRST_POPUP&amp;HEIGHT=450&amp;WIDTH=450&amp;","START_MAXIMIZED=FALSE&amp;VAR:CALENDAR=US&amp;VAR:SYMBOL=MIPS&amp;VAR:INDEX=0"}</definedName>
    <definedName name="_3709__FDSAUDITLINK__" localSheetId="3" hidden="1">{"fdsup://directions/FAT Viewer?action=UPDATE&amp;creator=factset&amp;DYN_ARGS=TRUE&amp;DOC_NAME=FAT:FQL_AUDITING_CLIENT_TEMPLATE.FAT&amp;display_string=Audit&amp;VAR:KEY=MVGHKHIDMV&amp;VAR:QUERY=UkdGX1RBWF9SQVRFKEFOTiwwLCwsLCwsTk9BVURJVCk=&amp;WINDOW=FIRST_POPUP&amp;HEIGHT=450&amp;WIDTH=450&amp;","START_MAXIMIZED=FALSE&amp;VAR:CALENDAR=US&amp;VAR:SYMBOL=MIPS&amp;VAR:INDEX=0"}</definedName>
    <definedName name="_3709__FDSAUDITLINK__" localSheetId="7" hidden="1">{"fdsup://directions/FAT Viewer?action=UPDATE&amp;creator=factset&amp;DYN_ARGS=TRUE&amp;DOC_NAME=FAT:FQL_AUDITING_CLIENT_TEMPLATE.FAT&amp;display_string=Audit&amp;VAR:KEY=MVGHKHIDMV&amp;VAR:QUERY=UkdGX1RBWF9SQVRFKEFOTiwwLCwsLCwsTk9BVURJVCk=&amp;WINDOW=FIRST_POPUP&amp;HEIGHT=450&amp;WIDTH=450&amp;","START_MAXIMIZED=FALSE&amp;VAR:CALENDAR=US&amp;VAR:SYMBOL=MIPS&amp;VAR:INDEX=0"}</definedName>
    <definedName name="_3709__FDSAUDITLINK__" hidden="1">{"fdsup://directions/FAT Viewer?action=UPDATE&amp;creator=factset&amp;DYN_ARGS=TRUE&amp;DOC_NAME=FAT:FQL_AUDITING_CLIENT_TEMPLATE.FAT&amp;display_string=Audit&amp;VAR:KEY=MVGHKHIDMV&amp;VAR:QUERY=UkdGX1RBWF9SQVRFKEFOTiwwLCwsLCwsTk9BVURJVCk=&amp;WINDOW=FIRST_POPUP&amp;HEIGHT=450&amp;WIDTH=450&amp;","START_MAXIMIZED=FALSE&amp;VAR:CALENDAR=US&amp;VAR:SYMBOL=MIPS&amp;VAR:INDEX=0"}</definedName>
    <definedName name="_371__FDSAUDITLINK__" localSheetId="3"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 localSheetId="7"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0__FDSAUDITLINK__" localSheetId="3" hidden="1">{"fdsup://directions/FAT Viewer?action=UPDATE&amp;creator=factset&amp;DYN_ARGS=TRUE&amp;DOC_NAME=FAT:FQL_AUDITING_CLIENT_TEMPLATE.FAT&amp;display_string=Audit&amp;VAR:KEY=IPKZABAPMZ&amp;VAR:QUERY=UkdGX1RBWF9SQVRFKEFOTiwwLCwsLCwsTk9BVURJVCk=&amp;WINDOW=FIRST_POPUP&amp;HEIGHT=450&amp;WIDTH=450&amp;","START_MAXIMIZED=FALSE&amp;VAR:CALENDAR=US&amp;VAR:SYMBOL=MSTR&amp;VAR:INDEX=0"}</definedName>
    <definedName name="_3710__FDSAUDITLINK__" localSheetId="7" hidden="1">{"fdsup://directions/FAT Viewer?action=UPDATE&amp;creator=factset&amp;DYN_ARGS=TRUE&amp;DOC_NAME=FAT:FQL_AUDITING_CLIENT_TEMPLATE.FAT&amp;display_string=Audit&amp;VAR:KEY=IPKZABAPMZ&amp;VAR:QUERY=UkdGX1RBWF9SQVRFKEFOTiwwLCwsLCwsTk9BVURJVCk=&amp;WINDOW=FIRST_POPUP&amp;HEIGHT=450&amp;WIDTH=450&amp;","START_MAXIMIZED=FALSE&amp;VAR:CALENDAR=US&amp;VAR:SYMBOL=MSTR&amp;VAR:INDEX=0"}</definedName>
    <definedName name="_3710__FDSAUDITLINK__" hidden="1">{"fdsup://directions/FAT Viewer?action=UPDATE&amp;creator=factset&amp;DYN_ARGS=TRUE&amp;DOC_NAME=FAT:FQL_AUDITING_CLIENT_TEMPLATE.FAT&amp;display_string=Audit&amp;VAR:KEY=IPKZABAPMZ&amp;VAR:QUERY=UkdGX1RBWF9SQVRFKEFOTiwwLCwsLCwsTk9BVURJVCk=&amp;WINDOW=FIRST_POPUP&amp;HEIGHT=450&amp;WIDTH=450&amp;","START_MAXIMIZED=FALSE&amp;VAR:CALENDAR=US&amp;VAR:SYMBOL=MSTR&amp;VAR:INDEX=0"}</definedName>
    <definedName name="_3711__FDSAUDITLINK__" localSheetId="3" hidden="1">{"fdsup://directions/FAT Viewer?action=UPDATE&amp;creator=factset&amp;DYN_ARGS=TRUE&amp;DOC_NAME=FAT:FQL_AUDITING_CLIENT_TEMPLATE.FAT&amp;display_string=Audit&amp;VAR:KEY=IPKZABAPMZ&amp;VAR:QUERY=UkdGX1RBWF9SQVRFKEFOTiwwLCwsLCwsTk9BVURJVCk=&amp;WINDOW=FIRST_POPUP&amp;HEIGHT=450&amp;WIDTH=450&amp;","START_MAXIMIZED=FALSE&amp;VAR:CALENDAR=US&amp;VAR:SYMBOL=MSTR&amp;VAR:INDEX=0"}</definedName>
    <definedName name="_3711__FDSAUDITLINK__" localSheetId="7" hidden="1">{"fdsup://directions/FAT Viewer?action=UPDATE&amp;creator=factset&amp;DYN_ARGS=TRUE&amp;DOC_NAME=FAT:FQL_AUDITING_CLIENT_TEMPLATE.FAT&amp;display_string=Audit&amp;VAR:KEY=IPKZABAPMZ&amp;VAR:QUERY=UkdGX1RBWF9SQVRFKEFOTiwwLCwsLCwsTk9BVURJVCk=&amp;WINDOW=FIRST_POPUP&amp;HEIGHT=450&amp;WIDTH=450&amp;","START_MAXIMIZED=FALSE&amp;VAR:CALENDAR=US&amp;VAR:SYMBOL=MSTR&amp;VAR:INDEX=0"}</definedName>
    <definedName name="_3711__FDSAUDITLINK__" hidden="1">{"fdsup://directions/FAT Viewer?action=UPDATE&amp;creator=factset&amp;DYN_ARGS=TRUE&amp;DOC_NAME=FAT:FQL_AUDITING_CLIENT_TEMPLATE.FAT&amp;display_string=Audit&amp;VAR:KEY=IPKZABAPMZ&amp;VAR:QUERY=UkdGX1RBWF9SQVRFKEFOTiwwLCwsLCwsTk9BVURJVCk=&amp;WINDOW=FIRST_POPUP&amp;HEIGHT=450&amp;WIDTH=450&amp;","START_MAXIMIZED=FALSE&amp;VAR:CALENDAR=US&amp;VAR:SYMBOL=MSTR&amp;VAR:INDEX=0"}</definedName>
    <definedName name="_3712__FDSAUDITLINK__" localSheetId="3" hidden="1">{"fdsup://directions/FAT Viewer?action=UPDATE&amp;creator=factset&amp;DYN_ARGS=TRUE&amp;DOC_NAME=FAT:FQL_AUDITING_CLIENT_TEMPLATE.FAT&amp;display_string=Audit&amp;VAR:KEY=MTEBGDMZKB&amp;VAR:QUERY=UkdGX1RBWF9SQVRFKEFOTiwwLCwsLCwsTk9BVURJVCk=&amp;WINDOW=FIRST_POPUP&amp;HEIGHT=450&amp;WIDTH=450&amp;","START_MAXIMIZED=FALSE&amp;VAR:CALENDAR=US&amp;VAR:SYMBOL=MSFT&amp;VAR:INDEX=0"}</definedName>
    <definedName name="_3712__FDSAUDITLINK__" localSheetId="7" hidden="1">{"fdsup://directions/FAT Viewer?action=UPDATE&amp;creator=factset&amp;DYN_ARGS=TRUE&amp;DOC_NAME=FAT:FQL_AUDITING_CLIENT_TEMPLATE.FAT&amp;display_string=Audit&amp;VAR:KEY=MTEBGDMZKB&amp;VAR:QUERY=UkdGX1RBWF9SQVRFKEFOTiwwLCwsLCwsTk9BVURJVCk=&amp;WINDOW=FIRST_POPUP&amp;HEIGHT=450&amp;WIDTH=450&amp;","START_MAXIMIZED=FALSE&amp;VAR:CALENDAR=US&amp;VAR:SYMBOL=MSFT&amp;VAR:INDEX=0"}</definedName>
    <definedName name="_3712__FDSAUDITLINK__" hidden="1">{"fdsup://directions/FAT Viewer?action=UPDATE&amp;creator=factset&amp;DYN_ARGS=TRUE&amp;DOC_NAME=FAT:FQL_AUDITING_CLIENT_TEMPLATE.FAT&amp;display_string=Audit&amp;VAR:KEY=MTEBGDMZKB&amp;VAR:QUERY=UkdGX1RBWF9SQVRFKEFOTiwwLCwsLCwsTk9BVURJVCk=&amp;WINDOW=FIRST_POPUP&amp;HEIGHT=450&amp;WIDTH=450&amp;","START_MAXIMIZED=FALSE&amp;VAR:CALENDAR=US&amp;VAR:SYMBOL=MSFT&amp;VAR:INDEX=0"}</definedName>
    <definedName name="_3713__FDSAUDITLINK__" localSheetId="3" hidden="1">{"fdsup://directions/FAT Viewer?action=UPDATE&amp;creator=factset&amp;DYN_ARGS=TRUE&amp;DOC_NAME=FAT:FQL_AUDITING_CLIENT_TEMPLATE.FAT&amp;display_string=Audit&amp;VAR:KEY=MTEBGDMZKB&amp;VAR:QUERY=UkdGX1RBWF9SQVRFKEFOTiwwLCwsLCwsTk9BVURJVCk=&amp;WINDOW=FIRST_POPUP&amp;HEIGHT=450&amp;WIDTH=450&amp;","START_MAXIMIZED=FALSE&amp;VAR:CALENDAR=US&amp;VAR:SYMBOL=MSFT&amp;VAR:INDEX=0"}</definedName>
    <definedName name="_3713__FDSAUDITLINK__" localSheetId="7" hidden="1">{"fdsup://directions/FAT Viewer?action=UPDATE&amp;creator=factset&amp;DYN_ARGS=TRUE&amp;DOC_NAME=FAT:FQL_AUDITING_CLIENT_TEMPLATE.FAT&amp;display_string=Audit&amp;VAR:KEY=MTEBGDMZKB&amp;VAR:QUERY=UkdGX1RBWF9SQVRFKEFOTiwwLCwsLCwsTk9BVURJVCk=&amp;WINDOW=FIRST_POPUP&amp;HEIGHT=450&amp;WIDTH=450&amp;","START_MAXIMIZED=FALSE&amp;VAR:CALENDAR=US&amp;VAR:SYMBOL=MSFT&amp;VAR:INDEX=0"}</definedName>
    <definedName name="_3713__FDSAUDITLINK__" hidden="1">{"fdsup://directions/FAT Viewer?action=UPDATE&amp;creator=factset&amp;DYN_ARGS=TRUE&amp;DOC_NAME=FAT:FQL_AUDITING_CLIENT_TEMPLATE.FAT&amp;display_string=Audit&amp;VAR:KEY=MTEBGDMZKB&amp;VAR:QUERY=UkdGX1RBWF9SQVRFKEFOTiwwLCwsLCwsTk9BVURJVCk=&amp;WINDOW=FIRST_POPUP&amp;HEIGHT=450&amp;WIDTH=450&amp;","START_MAXIMIZED=FALSE&amp;VAR:CALENDAR=US&amp;VAR:SYMBOL=MSFT&amp;VAR:INDEX=0"}</definedName>
    <definedName name="_3714__FDSAUDITLINK__" localSheetId="3" hidden="1">{"fdsup://directions/FAT Viewer?action=UPDATE&amp;creator=factset&amp;DYN_ARGS=TRUE&amp;DOC_NAME=FAT:FQL_AUDITING_CLIENT_TEMPLATE.FAT&amp;display_string=Audit&amp;VAR:KEY=MDUNSLWBUZ&amp;VAR:QUERY=UkdGX1RBWF9SQVRFKEFOTiwwLCwsLCwsTk9BVURJVCk=&amp;WINDOW=FIRST_POPUP&amp;HEIGHT=450&amp;WIDTH=450&amp;","START_MAXIMIZED=FALSE&amp;VAR:CALENDAR=US&amp;VAR:SYMBOL=B079W5&amp;VAR:INDEX=0"}</definedName>
    <definedName name="_3714__FDSAUDITLINK__" localSheetId="7" hidden="1">{"fdsup://directions/FAT Viewer?action=UPDATE&amp;creator=factset&amp;DYN_ARGS=TRUE&amp;DOC_NAME=FAT:FQL_AUDITING_CLIENT_TEMPLATE.FAT&amp;display_string=Audit&amp;VAR:KEY=MDUNSLWBUZ&amp;VAR:QUERY=UkdGX1RBWF9SQVRFKEFOTiwwLCwsLCwsTk9BVURJVCk=&amp;WINDOW=FIRST_POPUP&amp;HEIGHT=450&amp;WIDTH=450&amp;","START_MAXIMIZED=FALSE&amp;VAR:CALENDAR=US&amp;VAR:SYMBOL=B079W5&amp;VAR:INDEX=0"}</definedName>
    <definedName name="_3714__FDSAUDITLINK__" hidden="1">{"fdsup://directions/FAT Viewer?action=UPDATE&amp;creator=factset&amp;DYN_ARGS=TRUE&amp;DOC_NAME=FAT:FQL_AUDITING_CLIENT_TEMPLATE.FAT&amp;display_string=Audit&amp;VAR:KEY=MDUNSLWBUZ&amp;VAR:QUERY=UkdGX1RBWF9SQVRFKEFOTiwwLCwsLCwsTk9BVURJVCk=&amp;WINDOW=FIRST_POPUP&amp;HEIGHT=450&amp;WIDTH=450&amp;","START_MAXIMIZED=FALSE&amp;VAR:CALENDAR=US&amp;VAR:SYMBOL=B079W5&amp;VAR:INDEX=0"}</definedName>
    <definedName name="_3715__FDSAUDITLINK__" localSheetId="3" hidden="1">{"fdsup://directions/FAT Viewer?action=UPDATE&amp;creator=factset&amp;DYN_ARGS=TRUE&amp;DOC_NAME=FAT:FQL_AUDITING_CLIENT_TEMPLATE.FAT&amp;display_string=Audit&amp;VAR:KEY=MDUNSLWBUZ&amp;VAR:QUERY=UkdGX1RBWF9SQVRFKEFOTiwwLCwsLCwsTk9BVURJVCk=&amp;WINDOW=FIRST_POPUP&amp;HEIGHT=450&amp;WIDTH=450&amp;","START_MAXIMIZED=FALSE&amp;VAR:CALENDAR=US&amp;VAR:SYMBOL=B079W5&amp;VAR:INDEX=0"}</definedName>
    <definedName name="_3715__FDSAUDITLINK__" localSheetId="7" hidden="1">{"fdsup://directions/FAT Viewer?action=UPDATE&amp;creator=factset&amp;DYN_ARGS=TRUE&amp;DOC_NAME=FAT:FQL_AUDITING_CLIENT_TEMPLATE.FAT&amp;display_string=Audit&amp;VAR:KEY=MDUNSLWBUZ&amp;VAR:QUERY=UkdGX1RBWF9SQVRFKEFOTiwwLCwsLCwsTk9BVURJVCk=&amp;WINDOW=FIRST_POPUP&amp;HEIGHT=450&amp;WIDTH=450&amp;","START_MAXIMIZED=FALSE&amp;VAR:CALENDAR=US&amp;VAR:SYMBOL=B079W5&amp;VAR:INDEX=0"}</definedName>
    <definedName name="_3715__FDSAUDITLINK__" hidden="1">{"fdsup://directions/FAT Viewer?action=UPDATE&amp;creator=factset&amp;DYN_ARGS=TRUE&amp;DOC_NAME=FAT:FQL_AUDITING_CLIENT_TEMPLATE.FAT&amp;display_string=Audit&amp;VAR:KEY=MDUNSLWBUZ&amp;VAR:QUERY=UkdGX1RBWF9SQVRFKEFOTiwwLCwsLCwsTk9BVURJVCk=&amp;WINDOW=FIRST_POPUP&amp;HEIGHT=450&amp;WIDTH=450&amp;","START_MAXIMIZED=FALSE&amp;VAR:CALENDAR=US&amp;VAR:SYMBOL=B079W5&amp;VAR:INDEX=0"}</definedName>
    <definedName name="_3716__FDSAUDITLINK__" localSheetId="3" hidden="1">{"fdsup://directions/FAT Viewer?action=UPDATE&amp;creator=factset&amp;DYN_ARGS=TRUE&amp;DOC_NAME=FAT:FQL_AUDITING_CLIENT_TEMPLATE.FAT&amp;display_string=Audit&amp;VAR:KEY=MJMHSPEDAR&amp;VAR:QUERY=UkdGX1RBWF9SQVRFKEFOTiwwLCwsLCwsTk9BVURJVCk=&amp;WINDOW=FIRST_POPUP&amp;HEIGHT=450&amp;WIDTH=450&amp;","START_MAXIMIZED=FALSE&amp;VAR:CALENDAR=US&amp;VAR:SYMBOL=MERU&amp;VAR:INDEX=0"}</definedName>
    <definedName name="_3716__FDSAUDITLINK__" localSheetId="7" hidden="1">{"fdsup://directions/FAT Viewer?action=UPDATE&amp;creator=factset&amp;DYN_ARGS=TRUE&amp;DOC_NAME=FAT:FQL_AUDITING_CLIENT_TEMPLATE.FAT&amp;display_string=Audit&amp;VAR:KEY=MJMHSPEDAR&amp;VAR:QUERY=UkdGX1RBWF9SQVRFKEFOTiwwLCwsLCwsTk9BVURJVCk=&amp;WINDOW=FIRST_POPUP&amp;HEIGHT=450&amp;WIDTH=450&amp;","START_MAXIMIZED=FALSE&amp;VAR:CALENDAR=US&amp;VAR:SYMBOL=MERU&amp;VAR:INDEX=0"}</definedName>
    <definedName name="_3716__FDSAUDITLINK__" hidden="1">{"fdsup://directions/FAT Viewer?action=UPDATE&amp;creator=factset&amp;DYN_ARGS=TRUE&amp;DOC_NAME=FAT:FQL_AUDITING_CLIENT_TEMPLATE.FAT&amp;display_string=Audit&amp;VAR:KEY=MJMHSPEDAR&amp;VAR:QUERY=UkdGX1RBWF9SQVRFKEFOTiwwLCwsLCwsTk9BVURJVCk=&amp;WINDOW=FIRST_POPUP&amp;HEIGHT=450&amp;WIDTH=450&amp;","START_MAXIMIZED=FALSE&amp;VAR:CALENDAR=US&amp;VAR:SYMBOL=MERU&amp;VAR:INDEX=0"}</definedName>
    <definedName name="_3717__FDSAUDITLINK__" localSheetId="3" hidden="1">{"fdsup://directions/FAT Viewer?action=UPDATE&amp;creator=factset&amp;DYN_ARGS=TRUE&amp;DOC_NAME=FAT:FQL_AUDITING_CLIENT_TEMPLATE.FAT&amp;display_string=Audit&amp;VAR:KEY=WDOXOHGPOZ&amp;VAR:QUERY=UkdGX1RBWF9SQVRFKEFOTiwwLCwsLCwsTk9BVURJVCk=&amp;WINDOW=FIRST_POPUP&amp;HEIGHT=450&amp;WIDTH=450&amp;","START_MAXIMIZED=FALSE&amp;VAR:CALENDAR=US&amp;VAR:SYMBOL=58733R10&amp;VAR:INDEX=0"}</definedName>
    <definedName name="_3717__FDSAUDITLINK__" localSheetId="7" hidden="1">{"fdsup://directions/FAT Viewer?action=UPDATE&amp;creator=factset&amp;DYN_ARGS=TRUE&amp;DOC_NAME=FAT:FQL_AUDITING_CLIENT_TEMPLATE.FAT&amp;display_string=Audit&amp;VAR:KEY=WDOXOHGPOZ&amp;VAR:QUERY=UkdGX1RBWF9SQVRFKEFOTiwwLCwsLCwsTk9BVURJVCk=&amp;WINDOW=FIRST_POPUP&amp;HEIGHT=450&amp;WIDTH=450&amp;","START_MAXIMIZED=FALSE&amp;VAR:CALENDAR=US&amp;VAR:SYMBOL=58733R10&amp;VAR:INDEX=0"}</definedName>
    <definedName name="_3717__FDSAUDITLINK__" hidden="1">{"fdsup://directions/FAT Viewer?action=UPDATE&amp;creator=factset&amp;DYN_ARGS=TRUE&amp;DOC_NAME=FAT:FQL_AUDITING_CLIENT_TEMPLATE.FAT&amp;display_string=Audit&amp;VAR:KEY=WDOXOHGPOZ&amp;VAR:QUERY=UkdGX1RBWF9SQVRFKEFOTiwwLCwsLCwsTk9BVURJVCk=&amp;WINDOW=FIRST_POPUP&amp;HEIGHT=450&amp;WIDTH=450&amp;","START_MAXIMIZED=FALSE&amp;VAR:CALENDAR=US&amp;VAR:SYMBOL=58733R10&amp;VAR:INDEX=0"}</definedName>
    <definedName name="_3718__FDSAUDITLINK__" localSheetId="3" hidden="1">{"fdsup://directions/FAT Viewer?action=UPDATE&amp;creator=factset&amp;DYN_ARGS=TRUE&amp;DOC_NAME=FAT:FQL_AUDITING_CLIENT_TEMPLATE.FAT&amp;display_string=Audit&amp;VAR:KEY=WDOXOHGPOZ&amp;VAR:QUERY=UkdGX1RBWF9SQVRFKEFOTiwwLCwsLCwsTk9BVURJVCk=&amp;WINDOW=FIRST_POPUP&amp;HEIGHT=450&amp;WIDTH=450&amp;","START_MAXIMIZED=FALSE&amp;VAR:CALENDAR=US&amp;VAR:SYMBOL=58733R10&amp;VAR:INDEX=0"}</definedName>
    <definedName name="_3718__FDSAUDITLINK__" localSheetId="7" hidden="1">{"fdsup://directions/FAT Viewer?action=UPDATE&amp;creator=factset&amp;DYN_ARGS=TRUE&amp;DOC_NAME=FAT:FQL_AUDITING_CLIENT_TEMPLATE.FAT&amp;display_string=Audit&amp;VAR:KEY=WDOXOHGPOZ&amp;VAR:QUERY=UkdGX1RBWF9SQVRFKEFOTiwwLCwsLCwsTk9BVURJVCk=&amp;WINDOW=FIRST_POPUP&amp;HEIGHT=450&amp;WIDTH=450&amp;","START_MAXIMIZED=FALSE&amp;VAR:CALENDAR=US&amp;VAR:SYMBOL=58733R10&amp;VAR:INDEX=0"}</definedName>
    <definedName name="_3718__FDSAUDITLINK__" hidden="1">{"fdsup://directions/FAT Viewer?action=UPDATE&amp;creator=factset&amp;DYN_ARGS=TRUE&amp;DOC_NAME=FAT:FQL_AUDITING_CLIENT_TEMPLATE.FAT&amp;display_string=Audit&amp;VAR:KEY=WDOXOHGPOZ&amp;VAR:QUERY=UkdGX1RBWF9SQVRFKEFOTiwwLCwsLCwsTk9BVURJVCk=&amp;WINDOW=FIRST_POPUP&amp;HEIGHT=450&amp;WIDTH=450&amp;","START_MAXIMIZED=FALSE&amp;VAR:CALENDAR=US&amp;VAR:SYMBOL=58733R10&amp;VAR:INDEX=0"}</definedName>
    <definedName name="_3719__FDSAUDITLINK__" localSheetId="3" hidden="1">{"fdsup://directions/FAT Viewer?action=UPDATE&amp;creator=factset&amp;DYN_ARGS=TRUE&amp;DOC_NAME=FAT:FQL_AUDITING_CLIENT_TEMPLATE.FAT&amp;display_string=Audit&amp;VAR:KEY=WJQXUPOHOJ&amp;VAR:QUERY=UkdGX1RBWF9SQVRFKEFOTiwwLCwsLCwsTk9BVURJVCk=&amp;WINDOW=FIRST_POPUP&amp;HEIGHT=450&amp;WIDTH=450&amp;","START_MAXIMIZED=FALSE&amp;VAR:CALENDAR=US&amp;VAR:SYMBOL=MENT&amp;VAR:INDEX=0"}</definedName>
    <definedName name="_3719__FDSAUDITLINK__" localSheetId="7" hidden="1">{"fdsup://directions/FAT Viewer?action=UPDATE&amp;creator=factset&amp;DYN_ARGS=TRUE&amp;DOC_NAME=FAT:FQL_AUDITING_CLIENT_TEMPLATE.FAT&amp;display_string=Audit&amp;VAR:KEY=WJQXUPOHOJ&amp;VAR:QUERY=UkdGX1RBWF9SQVRFKEFOTiwwLCwsLCwsTk9BVURJVCk=&amp;WINDOW=FIRST_POPUP&amp;HEIGHT=450&amp;WIDTH=450&amp;","START_MAXIMIZED=FALSE&amp;VAR:CALENDAR=US&amp;VAR:SYMBOL=MENT&amp;VAR:INDEX=0"}</definedName>
    <definedName name="_3719__FDSAUDITLINK__" hidden="1">{"fdsup://directions/FAT Viewer?action=UPDATE&amp;creator=factset&amp;DYN_ARGS=TRUE&amp;DOC_NAME=FAT:FQL_AUDITING_CLIENT_TEMPLATE.FAT&amp;display_string=Audit&amp;VAR:KEY=WJQXUPOHOJ&amp;VAR:QUERY=UkdGX1RBWF9SQVRFKEFOTiwwLCwsLCwsTk9BVURJVCk=&amp;WINDOW=FIRST_POPUP&amp;HEIGHT=450&amp;WIDTH=450&amp;","START_MAXIMIZED=FALSE&amp;VAR:CALENDAR=US&amp;VAR:SYMBOL=MENT&amp;VAR:INDEX=0"}</definedName>
    <definedName name="_372__FDSAUDITLINK__" localSheetId="3" hidden="1">{"fdsup://directions/FAT Viewer?action=UPDATE&amp;creator=factset&amp;DYN_ARGS=TRUE&amp;DOC_NAME=FAT:FQL_AUDITING_CLIENT_TEMPLATE.FAT&amp;display_string=Audit&amp;VAR:KEY=LWRMPSDCVK&amp;VAR:QUERY=RkZfUk9BKEFOTiwwLC05LFksUlAp&amp;WINDOW=FIRST_POPUP&amp;HEIGHT=450&amp;WIDTH=450&amp;START_MAXIMIZED=","FALSE&amp;VAR:CALENDAR=US&amp;VAR:SYMBOL=B10LQP&amp;VAR:INDEX=3"}</definedName>
    <definedName name="_372__FDSAUDITLINK__" localSheetId="7" hidden="1">{"fdsup://directions/FAT Viewer?action=UPDATE&amp;creator=factset&amp;DYN_ARGS=TRUE&amp;DOC_NAME=FAT:FQL_AUDITING_CLIENT_TEMPLATE.FAT&amp;display_string=Audit&amp;VAR:KEY=LWRMPSDCVK&amp;VAR:QUERY=RkZfUk9BKEFOTiwwLC05LFksUlAp&amp;WINDOW=FIRST_POPUP&amp;HEIGHT=450&amp;WIDTH=450&amp;START_MAXIMIZED=","FALSE&amp;VAR:CALENDAR=US&amp;VAR:SYMBOL=B10LQP&amp;VAR:INDEX=3"}</definedName>
    <definedName name="_372__FDSAUDITLINK__" hidden="1">{"fdsup://directions/FAT Viewer?action=UPDATE&amp;creator=factset&amp;DYN_ARGS=TRUE&amp;DOC_NAME=FAT:FQL_AUDITING_CLIENT_TEMPLATE.FAT&amp;display_string=Audit&amp;VAR:KEY=LWRMPSDCVK&amp;VAR:QUERY=RkZfUk9BKEFOTiwwLC05LFksUlAp&amp;WINDOW=FIRST_POPUP&amp;HEIGHT=450&amp;WIDTH=450&amp;START_MAXIMIZED=","FALSE&amp;VAR:CALENDAR=US&amp;VAR:SYMBOL=B10LQP&amp;VAR:INDEX=3"}</definedName>
    <definedName name="_3720__FDSAUDITLINK__" localSheetId="3" hidden="1">{"fdsup://directions/FAT Viewer?action=UPDATE&amp;creator=factset&amp;DYN_ARGS=TRUE&amp;DOC_NAME=FAT:FQL_AUDITING_CLIENT_TEMPLATE.FAT&amp;display_string=Audit&amp;VAR:KEY=WJQXUPOHOJ&amp;VAR:QUERY=UkdGX1RBWF9SQVRFKEFOTiwwLCwsLCwsTk9BVURJVCk=&amp;WINDOW=FIRST_POPUP&amp;HEIGHT=450&amp;WIDTH=450&amp;","START_MAXIMIZED=FALSE&amp;VAR:CALENDAR=US&amp;VAR:SYMBOL=MENT&amp;VAR:INDEX=0"}</definedName>
    <definedName name="_3720__FDSAUDITLINK__" localSheetId="7" hidden="1">{"fdsup://directions/FAT Viewer?action=UPDATE&amp;creator=factset&amp;DYN_ARGS=TRUE&amp;DOC_NAME=FAT:FQL_AUDITING_CLIENT_TEMPLATE.FAT&amp;display_string=Audit&amp;VAR:KEY=WJQXUPOHOJ&amp;VAR:QUERY=UkdGX1RBWF9SQVRFKEFOTiwwLCwsLCwsTk9BVURJVCk=&amp;WINDOW=FIRST_POPUP&amp;HEIGHT=450&amp;WIDTH=450&amp;","START_MAXIMIZED=FALSE&amp;VAR:CALENDAR=US&amp;VAR:SYMBOL=MENT&amp;VAR:INDEX=0"}</definedName>
    <definedName name="_3720__FDSAUDITLINK__" hidden="1">{"fdsup://directions/FAT Viewer?action=UPDATE&amp;creator=factset&amp;DYN_ARGS=TRUE&amp;DOC_NAME=FAT:FQL_AUDITING_CLIENT_TEMPLATE.FAT&amp;display_string=Audit&amp;VAR:KEY=WJQXUPOHOJ&amp;VAR:QUERY=UkdGX1RBWF9SQVRFKEFOTiwwLCwsLCwsTk9BVURJVCk=&amp;WINDOW=FIRST_POPUP&amp;HEIGHT=450&amp;WIDTH=450&amp;","START_MAXIMIZED=FALSE&amp;VAR:CALENDAR=US&amp;VAR:SYMBOL=MENT&amp;VAR:INDEX=0"}</definedName>
    <definedName name="_3721__FDSAUDITLINK__" localSheetId="3" hidden="1">{"fdsup://directions/FAT Viewer?action=UPDATE&amp;creator=factset&amp;DYN_ARGS=TRUE&amp;DOC_NAME=FAT:FQL_AUDITING_CLIENT_TEMPLATE.FAT&amp;display_string=Audit&amp;VAR:KEY=QNKZCRMHGD&amp;VAR:QUERY=UkdGX1RBWF9SQVRFKEFOTiwwLCwsLCwsTk9BVURJVCk=&amp;WINDOW=FIRST_POPUP&amp;HEIGHT=450&amp;WIDTH=450&amp;","START_MAXIMIZED=FALSE&amp;VAR:CALENDAR=US&amp;VAR:SYMBOL=MDSO&amp;VAR:INDEX=0"}</definedName>
    <definedName name="_3721__FDSAUDITLINK__" localSheetId="7" hidden="1">{"fdsup://directions/FAT Viewer?action=UPDATE&amp;creator=factset&amp;DYN_ARGS=TRUE&amp;DOC_NAME=FAT:FQL_AUDITING_CLIENT_TEMPLATE.FAT&amp;display_string=Audit&amp;VAR:KEY=QNKZCRMHGD&amp;VAR:QUERY=UkdGX1RBWF9SQVRFKEFOTiwwLCwsLCwsTk9BVURJVCk=&amp;WINDOW=FIRST_POPUP&amp;HEIGHT=450&amp;WIDTH=450&amp;","START_MAXIMIZED=FALSE&amp;VAR:CALENDAR=US&amp;VAR:SYMBOL=MDSO&amp;VAR:INDEX=0"}</definedName>
    <definedName name="_3721__FDSAUDITLINK__" hidden="1">{"fdsup://directions/FAT Viewer?action=UPDATE&amp;creator=factset&amp;DYN_ARGS=TRUE&amp;DOC_NAME=FAT:FQL_AUDITING_CLIENT_TEMPLATE.FAT&amp;display_string=Audit&amp;VAR:KEY=QNKZCRMHGD&amp;VAR:QUERY=UkdGX1RBWF9SQVRFKEFOTiwwLCwsLCwsTk9BVURJVCk=&amp;WINDOW=FIRST_POPUP&amp;HEIGHT=450&amp;WIDTH=450&amp;","START_MAXIMIZED=FALSE&amp;VAR:CALENDAR=US&amp;VAR:SYMBOL=MDSO&amp;VAR:INDEX=0"}</definedName>
    <definedName name="_3722__FDSAUDITLINK__" localSheetId="3" hidden="1">{"fdsup://directions/FAT Viewer?action=UPDATE&amp;creator=factset&amp;DYN_ARGS=TRUE&amp;DOC_NAME=FAT:FQL_AUDITING_CLIENT_TEMPLATE.FAT&amp;display_string=Audit&amp;VAR:KEY=QNKZCRMHGD&amp;VAR:QUERY=UkdGX1RBWF9SQVRFKEFOTiwwLCwsLCwsTk9BVURJVCk=&amp;WINDOW=FIRST_POPUP&amp;HEIGHT=450&amp;WIDTH=450&amp;","START_MAXIMIZED=FALSE&amp;VAR:CALENDAR=US&amp;VAR:SYMBOL=MDSO&amp;VAR:INDEX=0"}</definedName>
    <definedName name="_3722__FDSAUDITLINK__" localSheetId="7" hidden="1">{"fdsup://directions/FAT Viewer?action=UPDATE&amp;creator=factset&amp;DYN_ARGS=TRUE&amp;DOC_NAME=FAT:FQL_AUDITING_CLIENT_TEMPLATE.FAT&amp;display_string=Audit&amp;VAR:KEY=QNKZCRMHGD&amp;VAR:QUERY=UkdGX1RBWF9SQVRFKEFOTiwwLCwsLCwsTk9BVURJVCk=&amp;WINDOW=FIRST_POPUP&amp;HEIGHT=450&amp;WIDTH=450&amp;","START_MAXIMIZED=FALSE&amp;VAR:CALENDAR=US&amp;VAR:SYMBOL=MDSO&amp;VAR:INDEX=0"}</definedName>
    <definedName name="_3722__FDSAUDITLINK__" hidden="1">{"fdsup://directions/FAT Viewer?action=UPDATE&amp;creator=factset&amp;DYN_ARGS=TRUE&amp;DOC_NAME=FAT:FQL_AUDITING_CLIENT_TEMPLATE.FAT&amp;display_string=Audit&amp;VAR:KEY=QNKZCRMHGD&amp;VAR:QUERY=UkdGX1RBWF9SQVRFKEFOTiwwLCwsLCwsTk9BVURJVCk=&amp;WINDOW=FIRST_POPUP&amp;HEIGHT=450&amp;WIDTH=450&amp;","START_MAXIMIZED=FALSE&amp;VAR:CALENDAR=US&amp;VAR:SYMBOL=MDSO&amp;VAR:INDEX=0"}</definedName>
    <definedName name="_3723__FDSAUDITLINK__" localSheetId="3" hidden="1">{"fdsup://directions/FAT Viewer?action=UPDATE&amp;creator=factset&amp;DYN_ARGS=TRUE&amp;DOC_NAME=FAT:FQL_AUDITING_CLIENT_TEMPLATE.FAT&amp;display_string=Audit&amp;VAR:KEY=EPWNEHCZYN&amp;VAR:QUERY=UkdGX1RBWF9SQVRFKEFOTiwwLCwsLCwsTk9BVURJVCk=&amp;WINDOW=FIRST_POPUP&amp;HEIGHT=450&amp;WIDTH=450&amp;","START_MAXIMIZED=FALSE&amp;VAR:CALENDAR=US&amp;VAR:SYMBOL=MCK&amp;VAR:INDEX=0"}</definedName>
    <definedName name="_3723__FDSAUDITLINK__" localSheetId="7" hidden="1">{"fdsup://directions/FAT Viewer?action=UPDATE&amp;creator=factset&amp;DYN_ARGS=TRUE&amp;DOC_NAME=FAT:FQL_AUDITING_CLIENT_TEMPLATE.FAT&amp;display_string=Audit&amp;VAR:KEY=EPWNEHCZYN&amp;VAR:QUERY=UkdGX1RBWF9SQVRFKEFOTiwwLCwsLCwsTk9BVURJVCk=&amp;WINDOW=FIRST_POPUP&amp;HEIGHT=450&amp;WIDTH=450&amp;","START_MAXIMIZED=FALSE&amp;VAR:CALENDAR=US&amp;VAR:SYMBOL=MCK&amp;VAR:INDEX=0"}</definedName>
    <definedName name="_3723__FDSAUDITLINK__" hidden="1">{"fdsup://directions/FAT Viewer?action=UPDATE&amp;creator=factset&amp;DYN_ARGS=TRUE&amp;DOC_NAME=FAT:FQL_AUDITING_CLIENT_TEMPLATE.FAT&amp;display_string=Audit&amp;VAR:KEY=EPWNEHCZYN&amp;VAR:QUERY=UkdGX1RBWF9SQVRFKEFOTiwwLCwsLCwsTk9BVURJVCk=&amp;WINDOW=FIRST_POPUP&amp;HEIGHT=450&amp;WIDTH=450&amp;","START_MAXIMIZED=FALSE&amp;VAR:CALENDAR=US&amp;VAR:SYMBOL=MCK&amp;VAR:INDEX=0"}</definedName>
    <definedName name="_3724__FDSAUDITLINK__" localSheetId="3" hidden="1">{"fdsup://directions/FAT Viewer?action=UPDATE&amp;creator=factset&amp;DYN_ARGS=TRUE&amp;DOC_NAME=FAT:FQL_AUDITING_CLIENT_TEMPLATE.FAT&amp;display_string=Audit&amp;VAR:KEY=EPWNEHCZYN&amp;VAR:QUERY=UkdGX1RBWF9SQVRFKEFOTiwwLCwsLCwsTk9BVURJVCk=&amp;WINDOW=FIRST_POPUP&amp;HEIGHT=450&amp;WIDTH=450&amp;","START_MAXIMIZED=FALSE&amp;VAR:CALENDAR=US&amp;VAR:SYMBOL=MCK&amp;VAR:INDEX=0"}</definedName>
    <definedName name="_3724__FDSAUDITLINK__" localSheetId="7" hidden="1">{"fdsup://directions/FAT Viewer?action=UPDATE&amp;creator=factset&amp;DYN_ARGS=TRUE&amp;DOC_NAME=FAT:FQL_AUDITING_CLIENT_TEMPLATE.FAT&amp;display_string=Audit&amp;VAR:KEY=EPWNEHCZYN&amp;VAR:QUERY=UkdGX1RBWF9SQVRFKEFOTiwwLCwsLCwsTk9BVURJVCk=&amp;WINDOW=FIRST_POPUP&amp;HEIGHT=450&amp;WIDTH=450&amp;","START_MAXIMIZED=FALSE&amp;VAR:CALENDAR=US&amp;VAR:SYMBOL=MCK&amp;VAR:INDEX=0"}</definedName>
    <definedName name="_3724__FDSAUDITLINK__" hidden="1">{"fdsup://directions/FAT Viewer?action=UPDATE&amp;creator=factset&amp;DYN_ARGS=TRUE&amp;DOC_NAME=FAT:FQL_AUDITING_CLIENT_TEMPLATE.FAT&amp;display_string=Audit&amp;VAR:KEY=EPWNEHCZYN&amp;VAR:QUERY=UkdGX1RBWF9SQVRFKEFOTiwwLCwsLCwsTk9BVURJVCk=&amp;WINDOW=FIRST_POPUP&amp;HEIGHT=450&amp;WIDTH=450&amp;","START_MAXIMIZED=FALSE&amp;VAR:CALENDAR=US&amp;VAR:SYMBOL=MCK&amp;VAR:INDEX=0"}</definedName>
    <definedName name="_3725__FDSAUDITLINK__" localSheetId="3" hidden="1">{"fdsup://directions/FAT Viewer?action=UPDATE&amp;creator=factset&amp;DYN_ARGS=TRUE&amp;DOC_NAME=FAT:FQL_AUDITING_CLIENT_TEMPLATE.FAT&amp;display_string=Audit&amp;VAR:KEY=MRQLKDQFMH&amp;VAR:QUERY=UkdGX1RBWF9SQVRFKEFOTiwwLCwsLCwsTk9BVURJVCk=&amp;WINDOW=FIRST_POPUP&amp;HEIGHT=450&amp;WIDTH=450&amp;","START_MAXIMIZED=FALSE&amp;VAR:CALENDAR=US&amp;VAR:SYMBOL=MFE&amp;VAR:INDEX=0"}</definedName>
    <definedName name="_3725__FDSAUDITLINK__" localSheetId="7" hidden="1">{"fdsup://directions/FAT Viewer?action=UPDATE&amp;creator=factset&amp;DYN_ARGS=TRUE&amp;DOC_NAME=FAT:FQL_AUDITING_CLIENT_TEMPLATE.FAT&amp;display_string=Audit&amp;VAR:KEY=MRQLKDQFMH&amp;VAR:QUERY=UkdGX1RBWF9SQVRFKEFOTiwwLCwsLCwsTk9BVURJVCk=&amp;WINDOW=FIRST_POPUP&amp;HEIGHT=450&amp;WIDTH=450&amp;","START_MAXIMIZED=FALSE&amp;VAR:CALENDAR=US&amp;VAR:SYMBOL=MFE&amp;VAR:INDEX=0"}</definedName>
    <definedName name="_3725__FDSAUDITLINK__" hidden="1">{"fdsup://directions/FAT Viewer?action=UPDATE&amp;creator=factset&amp;DYN_ARGS=TRUE&amp;DOC_NAME=FAT:FQL_AUDITING_CLIENT_TEMPLATE.FAT&amp;display_string=Audit&amp;VAR:KEY=MRQLKDQFMH&amp;VAR:QUERY=UkdGX1RBWF9SQVRFKEFOTiwwLCwsLCwsTk9BVURJVCk=&amp;WINDOW=FIRST_POPUP&amp;HEIGHT=450&amp;WIDTH=450&amp;","START_MAXIMIZED=FALSE&amp;VAR:CALENDAR=US&amp;VAR:SYMBOL=MFE&amp;VAR:INDEX=0"}</definedName>
    <definedName name="_3726__FDSAUDITLINK__" localSheetId="3" hidden="1">{"fdsup://directions/FAT Viewer?action=UPDATE&amp;creator=factset&amp;DYN_ARGS=TRUE&amp;DOC_NAME=FAT:FQL_AUDITING_CLIENT_TEMPLATE.FAT&amp;display_string=Audit&amp;VAR:KEY=MRQLKDQFMH&amp;VAR:QUERY=UkdGX1RBWF9SQVRFKEFOTiwwLCwsLCwsTk9BVURJVCk=&amp;WINDOW=FIRST_POPUP&amp;HEIGHT=450&amp;WIDTH=450&amp;","START_MAXIMIZED=FALSE&amp;VAR:CALENDAR=US&amp;VAR:SYMBOL=MFE&amp;VAR:INDEX=0"}</definedName>
    <definedName name="_3726__FDSAUDITLINK__" localSheetId="7" hidden="1">{"fdsup://directions/FAT Viewer?action=UPDATE&amp;creator=factset&amp;DYN_ARGS=TRUE&amp;DOC_NAME=FAT:FQL_AUDITING_CLIENT_TEMPLATE.FAT&amp;display_string=Audit&amp;VAR:KEY=MRQLKDQFMH&amp;VAR:QUERY=UkdGX1RBWF9SQVRFKEFOTiwwLCwsLCwsTk9BVURJVCk=&amp;WINDOW=FIRST_POPUP&amp;HEIGHT=450&amp;WIDTH=450&amp;","START_MAXIMIZED=FALSE&amp;VAR:CALENDAR=US&amp;VAR:SYMBOL=MFE&amp;VAR:INDEX=0"}</definedName>
    <definedName name="_3726__FDSAUDITLINK__" hidden="1">{"fdsup://directions/FAT Viewer?action=UPDATE&amp;creator=factset&amp;DYN_ARGS=TRUE&amp;DOC_NAME=FAT:FQL_AUDITING_CLIENT_TEMPLATE.FAT&amp;display_string=Audit&amp;VAR:KEY=MRQLKDQFMH&amp;VAR:QUERY=UkdGX1RBWF9SQVRFKEFOTiwwLCwsLCwsTk9BVURJVCk=&amp;WINDOW=FIRST_POPUP&amp;HEIGHT=450&amp;WIDTH=450&amp;","START_MAXIMIZED=FALSE&amp;VAR:CALENDAR=US&amp;VAR:SYMBOL=MFE&amp;VAR:INDEX=0"}</definedName>
    <definedName name="_3727__FDSAUDITLINK__" localSheetId="3" hidden="1">{"fdsup://directions/FAT Viewer?action=UPDATE&amp;creator=factset&amp;DYN_ARGS=TRUE&amp;DOC_NAME=FAT:FQL_AUDITING_CLIENT_TEMPLATE.FAT&amp;display_string=Audit&amp;VAR:KEY=MBMBCLOXKB&amp;VAR:QUERY=UkdGX1RBWF9SQVRFKEFOTiwwLCwsLCwsTk9BVURJVCk=&amp;WINDOW=FIRST_POPUP&amp;HEIGHT=450&amp;WIDTH=450&amp;","START_MAXIMIZED=FALSE&amp;VAR:CALENDAR=US&amp;VAR:SYMBOL=MCHX&amp;VAR:INDEX=0"}</definedName>
    <definedName name="_3727__FDSAUDITLINK__" localSheetId="7" hidden="1">{"fdsup://directions/FAT Viewer?action=UPDATE&amp;creator=factset&amp;DYN_ARGS=TRUE&amp;DOC_NAME=FAT:FQL_AUDITING_CLIENT_TEMPLATE.FAT&amp;display_string=Audit&amp;VAR:KEY=MBMBCLOXKB&amp;VAR:QUERY=UkdGX1RBWF9SQVRFKEFOTiwwLCwsLCwsTk9BVURJVCk=&amp;WINDOW=FIRST_POPUP&amp;HEIGHT=450&amp;WIDTH=450&amp;","START_MAXIMIZED=FALSE&amp;VAR:CALENDAR=US&amp;VAR:SYMBOL=MCHX&amp;VAR:INDEX=0"}</definedName>
    <definedName name="_3727__FDSAUDITLINK__" hidden="1">{"fdsup://directions/FAT Viewer?action=UPDATE&amp;creator=factset&amp;DYN_ARGS=TRUE&amp;DOC_NAME=FAT:FQL_AUDITING_CLIENT_TEMPLATE.FAT&amp;display_string=Audit&amp;VAR:KEY=MBMBCLOXKB&amp;VAR:QUERY=UkdGX1RBWF9SQVRFKEFOTiwwLCwsLCwsTk9BVURJVCk=&amp;WINDOW=FIRST_POPUP&amp;HEIGHT=450&amp;WIDTH=450&amp;","START_MAXIMIZED=FALSE&amp;VAR:CALENDAR=US&amp;VAR:SYMBOL=MCHX&amp;VAR:INDEX=0"}</definedName>
    <definedName name="_3728__FDSAUDITLINK__" localSheetId="3" hidden="1">{"fdsup://directions/FAT Viewer?action=UPDATE&amp;creator=factset&amp;DYN_ARGS=TRUE&amp;DOC_NAME=FAT:FQL_AUDITING_CLIENT_TEMPLATE.FAT&amp;display_string=Audit&amp;VAR:KEY=EHMTKXWJAP&amp;VAR:QUERY=UkdGX1RBWF9SQVRFKEFOTiwwLCwsLCwsTk9BVURJVCk=&amp;WINDOW=FIRST_POPUP&amp;HEIGHT=450&amp;WIDTH=450&amp;","START_MAXIMIZED=FALSE&amp;VAR:CALENDAR=US&amp;VAR:SYMBOL=MANH&amp;VAR:INDEX=0"}</definedName>
    <definedName name="_3728__FDSAUDITLINK__" localSheetId="7" hidden="1">{"fdsup://directions/FAT Viewer?action=UPDATE&amp;creator=factset&amp;DYN_ARGS=TRUE&amp;DOC_NAME=FAT:FQL_AUDITING_CLIENT_TEMPLATE.FAT&amp;display_string=Audit&amp;VAR:KEY=EHMTKXWJAP&amp;VAR:QUERY=UkdGX1RBWF9SQVRFKEFOTiwwLCwsLCwsTk9BVURJVCk=&amp;WINDOW=FIRST_POPUP&amp;HEIGHT=450&amp;WIDTH=450&amp;","START_MAXIMIZED=FALSE&amp;VAR:CALENDAR=US&amp;VAR:SYMBOL=MANH&amp;VAR:INDEX=0"}</definedName>
    <definedName name="_3728__FDSAUDITLINK__" hidden="1">{"fdsup://directions/FAT Viewer?action=UPDATE&amp;creator=factset&amp;DYN_ARGS=TRUE&amp;DOC_NAME=FAT:FQL_AUDITING_CLIENT_TEMPLATE.FAT&amp;display_string=Audit&amp;VAR:KEY=EHMTKXWJAP&amp;VAR:QUERY=UkdGX1RBWF9SQVRFKEFOTiwwLCwsLCwsTk9BVURJVCk=&amp;WINDOW=FIRST_POPUP&amp;HEIGHT=450&amp;WIDTH=450&amp;","START_MAXIMIZED=FALSE&amp;VAR:CALENDAR=US&amp;VAR:SYMBOL=MANH&amp;VAR:INDEX=0"}</definedName>
    <definedName name="_3729__FDSAUDITLINK__" localSheetId="3" hidden="1">{"fdsup://directions/FAT Viewer?action=UPDATE&amp;creator=factset&amp;DYN_ARGS=TRUE&amp;DOC_NAME=FAT:FQL_AUDITING_CLIENT_TEMPLATE.FAT&amp;display_string=Audit&amp;VAR:KEY=EHMTKXWJAP&amp;VAR:QUERY=UkdGX1RBWF9SQVRFKEFOTiwwLCwsLCwsTk9BVURJVCk=&amp;WINDOW=FIRST_POPUP&amp;HEIGHT=450&amp;WIDTH=450&amp;","START_MAXIMIZED=FALSE&amp;VAR:CALENDAR=US&amp;VAR:SYMBOL=MANH&amp;VAR:INDEX=0"}</definedName>
    <definedName name="_3729__FDSAUDITLINK__" localSheetId="7" hidden="1">{"fdsup://directions/FAT Viewer?action=UPDATE&amp;creator=factset&amp;DYN_ARGS=TRUE&amp;DOC_NAME=FAT:FQL_AUDITING_CLIENT_TEMPLATE.FAT&amp;display_string=Audit&amp;VAR:KEY=EHMTKXWJAP&amp;VAR:QUERY=UkdGX1RBWF9SQVRFKEFOTiwwLCwsLCwsTk9BVURJVCk=&amp;WINDOW=FIRST_POPUP&amp;HEIGHT=450&amp;WIDTH=450&amp;","START_MAXIMIZED=FALSE&amp;VAR:CALENDAR=US&amp;VAR:SYMBOL=MANH&amp;VAR:INDEX=0"}</definedName>
    <definedName name="_3729__FDSAUDITLINK__" hidden="1">{"fdsup://directions/FAT Viewer?action=UPDATE&amp;creator=factset&amp;DYN_ARGS=TRUE&amp;DOC_NAME=FAT:FQL_AUDITING_CLIENT_TEMPLATE.FAT&amp;display_string=Audit&amp;VAR:KEY=EHMTKXWJAP&amp;VAR:QUERY=UkdGX1RBWF9SQVRFKEFOTiwwLCwsLCwsTk9BVURJVCk=&amp;WINDOW=FIRST_POPUP&amp;HEIGHT=450&amp;WIDTH=450&amp;","START_MAXIMIZED=FALSE&amp;VAR:CALENDAR=US&amp;VAR:SYMBOL=MANH&amp;VAR:INDEX=0"}</definedName>
    <definedName name="_373__FDSAUDITLINK__" localSheetId="3" hidden="1">{"fdsup://directions/FAT Viewer?action=UPDATE&amp;creator=factset&amp;DYN_ARGS=TRUE&amp;DOC_NAME=FAT:FQL_AUDITING_CLIENT_TEMPLATE.FAT&amp;display_string=Audit&amp;VAR:KEY=LWRMPSDCVK&amp;VAR:QUERY=RkZfUk9BKEFOTiwwLC05LFksUlAp&amp;WINDOW=FIRST_POPUP&amp;HEIGHT=450&amp;WIDTH=450&amp;START_MAXIMIZED=","FALSE&amp;VAR:CALENDAR=US&amp;VAR:SYMBOL=B10LQP&amp;VAR:INDEX=2"}</definedName>
    <definedName name="_373__FDSAUDITLINK__" localSheetId="7" hidden="1">{"fdsup://directions/FAT Viewer?action=UPDATE&amp;creator=factset&amp;DYN_ARGS=TRUE&amp;DOC_NAME=FAT:FQL_AUDITING_CLIENT_TEMPLATE.FAT&amp;display_string=Audit&amp;VAR:KEY=LWRMPSDCVK&amp;VAR:QUERY=RkZfUk9BKEFOTiwwLC05LFksUlAp&amp;WINDOW=FIRST_POPUP&amp;HEIGHT=450&amp;WIDTH=450&amp;START_MAXIMIZED=","FALSE&amp;VAR:CALENDAR=US&amp;VAR:SYMBOL=B10LQP&amp;VAR:INDEX=2"}</definedName>
    <definedName name="_373__FDSAUDITLINK__" hidden="1">{"fdsup://directions/FAT Viewer?action=UPDATE&amp;creator=factset&amp;DYN_ARGS=TRUE&amp;DOC_NAME=FAT:FQL_AUDITING_CLIENT_TEMPLATE.FAT&amp;display_string=Audit&amp;VAR:KEY=LWRMPSDCVK&amp;VAR:QUERY=RkZfUk9BKEFOTiwwLC05LFksUlAp&amp;WINDOW=FIRST_POPUP&amp;HEIGHT=450&amp;WIDTH=450&amp;START_MAXIMIZED=","FALSE&amp;VAR:CALENDAR=US&amp;VAR:SYMBOL=B10LQP&amp;VAR:INDEX=2"}</definedName>
    <definedName name="_3730__FDSAUDITLINK__" localSheetId="3" hidden="1">{"fdsup://directions/FAT Viewer?action=UPDATE&amp;creator=factset&amp;DYN_ARGS=TRUE&amp;DOC_NAME=FAT:FQL_AUDITING_CLIENT_TEMPLATE.FAT&amp;display_string=Audit&amp;VAR:KEY=GTKLODMJSF&amp;VAR:QUERY=UkdGX1RBWF9SQVRFKEFOTiwwLCwsLCwsTk9BVURJVCk=&amp;WINDOW=FIRST_POPUP&amp;HEIGHT=450&amp;WIDTH=450&amp;","START_MAXIMIZED=FALSE&amp;VAR:CALENDAR=US&amp;VAR:SYMBOL=LAVA&amp;VAR:INDEX=0"}</definedName>
    <definedName name="_3730__FDSAUDITLINK__" localSheetId="7" hidden="1">{"fdsup://directions/FAT Viewer?action=UPDATE&amp;creator=factset&amp;DYN_ARGS=TRUE&amp;DOC_NAME=FAT:FQL_AUDITING_CLIENT_TEMPLATE.FAT&amp;display_string=Audit&amp;VAR:KEY=GTKLODMJSF&amp;VAR:QUERY=UkdGX1RBWF9SQVRFKEFOTiwwLCwsLCwsTk9BVURJVCk=&amp;WINDOW=FIRST_POPUP&amp;HEIGHT=450&amp;WIDTH=450&amp;","START_MAXIMIZED=FALSE&amp;VAR:CALENDAR=US&amp;VAR:SYMBOL=LAVA&amp;VAR:INDEX=0"}</definedName>
    <definedName name="_3730__FDSAUDITLINK__" hidden="1">{"fdsup://directions/FAT Viewer?action=UPDATE&amp;creator=factset&amp;DYN_ARGS=TRUE&amp;DOC_NAME=FAT:FQL_AUDITING_CLIENT_TEMPLATE.FAT&amp;display_string=Audit&amp;VAR:KEY=GTKLODMJSF&amp;VAR:QUERY=UkdGX1RBWF9SQVRFKEFOTiwwLCwsLCwsTk9BVURJVCk=&amp;WINDOW=FIRST_POPUP&amp;HEIGHT=450&amp;WIDTH=450&amp;","START_MAXIMIZED=FALSE&amp;VAR:CALENDAR=US&amp;VAR:SYMBOL=LAVA&amp;VAR:INDEX=0"}</definedName>
    <definedName name="_3731__FDSAUDITLINK__" localSheetId="3" hidden="1">{"fdsup://directions/FAT Viewer?action=UPDATE&amp;creator=factset&amp;DYN_ARGS=TRUE&amp;DOC_NAME=FAT:FQL_AUDITING_CLIENT_TEMPLATE.FAT&amp;display_string=Audit&amp;VAR:KEY=YXYPUDGRAN&amp;VAR:QUERY=UkdGX1RBWF9SQVRFKEFOTiwwLCwsLCwsTk9BVURJVCk=&amp;WINDOW=FIRST_POPUP&amp;HEIGHT=450&amp;WIDTH=450&amp;","START_MAXIMIZED=FALSE&amp;VAR:CALENDAR=US&amp;VAR:SYMBOL=LOOP&amp;VAR:INDEX=0"}</definedName>
    <definedName name="_3731__FDSAUDITLINK__" localSheetId="7" hidden="1">{"fdsup://directions/FAT Viewer?action=UPDATE&amp;creator=factset&amp;DYN_ARGS=TRUE&amp;DOC_NAME=FAT:FQL_AUDITING_CLIENT_TEMPLATE.FAT&amp;display_string=Audit&amp;VAR:KEY=YXYPUDGRAN&amp;VAR:QUERY=UkdGX1RBWF9SQVRFKEFOTiwwLCwsLCwsTk9BVURJVCk=&amp;WINDOW=FIRST_POPUP&amp;HEIGHT=450&amp;WIDTH=450&amp;","START_MAXIMIZED=FALSE&amp;VAR:CALENDAR=US&amp;VAR:SYMBOL=LOOP&amp;VAR:INDEX=0"}</definedName>
    <definedName name="_3731__FDSAUDITLINK__" hidden="1">{"fdsup://directions/FAT Viewer?action=UPDATE&amp;creator=factset&amp;DYN_ARGS=TRUE&amp;DOC_NAME=FAT:FQL_AUDITING_CLIENT_TEMPLATE.FAT&amp;display_string=Audit&amp;VAR:KEY=YXYPUDGRAN&amp;VAR:QUERY=UkdGX1RBWF9SQVRFKEFOTiwwLCwsLCwsTk9BVURJVCk=&amp;WINDOW=FIRST_POPUP&amp;HEIGHT=450&amp;WIDTH=450&amp;","START_MAXIMIZED=FALSE&amp;VAR:CALENDAR=US&amp;VAR:SYMBOL=LOOP&amp;VAR:INDEX=0"}</definedName>
    <definedName name="_3732__FDSAUDITLINK__" localSheetId="3" hidden="1">{"fdsup://directions/FAT Viewer?action=UPDATE&amp;creator=factset&amp;DYN_ARGS=TRUE&amp;DOC_NAME=FAT:FQL_AUDITING_CLIENT_TEMPLATE.FAT&amp;display_string=Audit&amp;VAR:KEY=YXYPUDGRAN&amp;VAR:QUERY=UkdGX1RBWF9SQVRFKEFOTiwwLCwsLCwsTk9BVURJVCk=&amp;WINDOW=FIRST_POPUP&amp;HEIGHT=450&amp;WIDTH=450&amp;","START_MAXIMIZED=FALSE&amp;VAR:CALENDAR=US&amp;VAR:SYMBOL=LOOP&amp;VAR:INDEX=0"}</definedName>
    <definedName name="_3732__FDSAUDITLINK__" localSheetId="7" hidden="1">{"fdsup://directions/FAT Viewer?action=UPDATE&amp;creator=factset&amp;DYN_ARGS=TRUE&amp;DOC_NAME=FAT:FQL_AUDITING_CLIENT_TEMPLATE.FAT&amp;display_string=Audit&amp;VAR:KEY=YXYPUDGRAN&amp;VAR:QUERY=UkdGX1RBWF9SQVRFKEFOTiwwLCwsLCwsTk9BVURJVCk=&amp;WINDOW=FIRST_POPUP&amp;HEIGHT=450&amp;WIDTH=450&amp;","START_MAXIMIZED=FALSE&amp;VAR:CALENDAR=US&amp;VAR:SYMBOL=LOOP&amp;VAR:INDEX=0"}</definedName>
    <definedName name="_3732__FDSAUDITLINK__" hidden="1">{"fdsup://directions/FAT Viewer?action=UPDATE&amp;creator=factset&amp;DYN_ARGS=TRUE&amp;DOC_NAME=FAT:FQL_AUDITING_CLIENT_TEMPLATE.FAT&amp;display_string=Audit&amp;VAR:KEY=YXYPUDGRAN&amp;VAR:QUERY=UkdGX1RBWF9SQVRFKEFOTiwwLCwsLCwsTk9BVURJVCk=&amp;WINDOW=FIRST_POPUP&amp;HEIGHT=450&amp;WIDTH=450&amp;","START_MAXIMIZED=FALSE&amp;VAR:CALENDAR=US&amp;VAR:SYMBOL=LOOP&amp;VAR:INDEX=0"}</definedName>
    <definedName name="_3733__FDSAUDITLINK__" localSheetId="3" hidden="1">{"fdsup://directions/FAT Viewer?action=UPDATE&amp;creator=factset&amp;DYN_ARGS=TRUE&amp;DOC_NAME=FAT:FQL_AUDITING_CLIENT_TEMPLATE.FAT&amp;display_string=Audit&amp;VAR:KEY=IHENQBURGF&amp;VAR:QUERY=UkdGX1RBWF9SQVRFKEFOTiwwLCwsLCwsTk9BVURJVCk=&amp;WINDOW=FIRST_POPUP&amp;HEIGHT=450&amp;WIDTH=450&amp;","START_MAXIMIZED=FALSE&amp;VAR:CALENDAR=US&amp;VAR:SYMBOL=LPSN&amp;VAR:INDEX=0"}</definedName>
    <definedName name="_3733__FDSAUDITLINK__" localSheetId="7" hidden="1">{"fdsup://directions/FAT Viewer?action=UPDATE&amp;creator=factset&amp;DYN_ARGS=TRUE&amp;DOC_NAME=FAT:FQL_AUDITING_CLIENT_TEMPLATE.FAT&amp;display_string=Audit&amp;VAR:KEY=IHENQBURGF&amp;VAR:QUERY=UkdGX1RBWF9SQVRFKEFOTiwwLCwsLCwsTk9BVURJVCk=&amp;WINDOW=FIRST_POPUP&amp;HEIGHT=450&amp;WIDTH=450&amp;","START_MAXIMIZED=FALSE&amp;VAR:CALENDAR=US&amp;VAR:SYMBOL=LPSN&amp;VAR:INDEX=0"}</definedName>
    <definedName name="_3733__FDSAUDITLINK__" hidden="1">{"fdsup://directions/FAT Viewer?action=UPDATE&amp;creator=factset&amp;DYN_ARGS=TRUE&amp;DOC_NAME=FAT:FQL_AUDITING_CLIENT_TEMPLATE.FAT&amp;display_string=Audit&amp;VAR:KEY=IHENQBURGF&amp;VAR:QUERY=UkdGX1RBWF9SQVRFKEFOTiwwLCwsLCwsTk9BVURJVCk=&amp;WINDOW=FIRST_POPUP&amp;HEIGHT=450&amp;WIDTH=450&amp;","START_MAXIMIZED=FALSE&amp;VAR:CALENDAR=US&amp;VAR:SYMBOL=LPSN&amp;VAR:INDEX=0"}</definedName>
    <definedName name="_3734__FDSAUDITLINK__" localSheetId="3" hidden="1">{"fdsup://directions/FAT Viewer?action=UPDATE&amp;creator=factset&amp;DYN_ARGS=TRUE&amp;DOC_NAME=FAT:FQL_AUDITING_CLIENT_TEMPLATE.FAT&amp;display_string=Audit&amp;VAR:KEY=IHENQBURGF&amp;VAR:QUERY=UkdGX1RBWF9SQVRFKEFOTiwwLCwsLCwsTk9BVURJVCk=&amp;WINDOW=FIRST_POPUP&amp;HEIGHT=450&amp;WIDTH=450&amp;","START_MAXIMIZED=FALSE&amp;VAR:CALENDAR=US&amp;VAR:SYMBOL=LPSN&amp;VAR:INDEX=0"}</definedName>
    <definedName name="_3734__FDSAUDITLINK__" localSheetId="7" hidden="1">{"fdsup://directions/FAT Viewer?action=UPDATE&amp;creator=factset&amp;DYN_ARGS=TRUE&amp;DOC_NAME=FAT:FQL_AUDITING_CLIENT_TEMPLATE.FAT&amp;display_string=Audit&amp;VAR:KEY=IHENQBURGF&amp;VAR:QUERY=UkdGX1RBWF9SQVRFKEFOTiwwLCwsLCwsTk9BVURJVCk=&amp;WINDOW=FIRST_POPUP&amp;HEIGHT=450&amp;WIDTH=450&amp;","START_MAXIMIZED=FALSE&amp;VAR:CALENDAR=US&amp;VAR:SYMBOL=LPSN&amp;VAR:INDEX=0"}</definedName>
    <definedName name="_3734__FDSAUDITLINK__" hidden="1">{"fdsup://directions/FAT Viewer?action=UPDATE&amp;creator=factset&amp;DYN_ARGS=TRUE&amp;DOC_NAME=FAT:FQL_AUDITING_CLIENT_TEMPLATE.FAT&amp;display_string=Audit&amp;VAR:KEY=IHENQBURGF&amp;VAR:QUERY=UkdGX1RBWF9SQVRFKEFOTiwwLCwsLCwsTk9BVURJVCk=&amp;WINDOW=FIRST_POPUP&amp;HEIGHT=450&amp;WIDTH=450&amp;","START_MAXIMIZED=FALSE&amp;VAR:CALENDAR=US&amp;VAR:SYMBOL=LPSN&amp;VAR:INDEX=0"}</definedName>
    <definedName name="_3735__FDSAUDITLINK__" localSheetId="3" hidden="1">{"fdsup://directions/FAT Viewer?action=UPDATE&amp;creator=factset&amp;DYN_ARGS=TRUE&amp;DOC_NAME=FAT:FQL_AUDITING_CLIENT_TEMPLATE.FAT&amp;display_string=Audit&amp;VAR:KEY=GLWXYHYNYV&amp;VAR:QUERY=UkdGX1RBWF9SQVRFKEFOTiwwLCwsLCwsTk9BVURJVCk=&amp;WINDOW=FIRST_POPUP&amp;HEIGHT=450&amp;WIDTH=450&amp;","START_MAXIMIZED=FALSE&amp;VAR:CALENDAR=US&amp;VAR:SYMBOL=LOGM&amp;VAR:INDEX=0"}</definedName>
    <definedName name="_3735__FDSAUDITLINK__" localSheetId="7" hidden="1">{"fdsup://directions/FAT Viewer?action=UPDATE&amp;creator=factset&amp;DYN_ARGS=TRUE&amp;DOC_NAME=FAT:FQL_AUDITING_CLIENT_TEMPLATE.FAT&amp;display_string=Audit&amp;VAR:KEY=GLWXYHYNYV&amp;VAR:QUERY=UkdGX1RBWF9SQVRFKEFOTiwwLCwsLCwsTk9BVURJVCk=&amp;WINDOW=FIRST_POPUP&amp;HEIGHT=450&amp;WIDTH=450&amp;","START_MAXIMIZED=FALSE&amp;VAR:CALENDAR=US&amp;VAR:SYMBOL=LOGM&amp;VAR:INDEX=0"}</definedName>
    <definedName name="_3735__FDSAUDITLINK__" hidden="1">{"fdsup://directions/FAT Viewer?action=UPDATE&amp;creator=factset&amp;DYN_ARGS=TRUE&amp;DOC_NAME=FAT:FQL_AUDITING_CLIENT_TEMPLATE.FAT&amp;display_string=Audit&amp;VAR:KEY=GLWXYHYNYV&amp;VAR:QUERY=UkdGX1RBWF9SQVRFKEFOTiwwLCwsLCwsTk9BVURJVCk=&amp;WINDOW=FIRST_POPUP&amp;HEIGHT=450&amp;WIDTH=450&amp;","START_MAXIMIZED=FALSE&amp;VAR:CALENDAR=US&amp;VAR:SYMBOL=LOGM&amp;VAR:INDEX=0"}</definedName>
    <definedName name="_3736__FDSAUDITLINK__" localSheetId="3" hidden="1">{"fdsup://directions/FAT Viewer?action=UPDATE&amp;creator=factset&amp;DYN_ARGS=TRUE&amp;DOC_NAME=FAT:FQL_AUDITING_CLIENT_TEMPLATE.FAT&amp;display_string=Audit&amp;VAR:KEY=GLWXYHYNYV&amp;VAR:QUERY=UkdGX1RBWF9SQVRFKEFOTiwwLCwsLCwsTk9BVURJVCk=&amp;WINDOW=FIRST_POPUP&amp;HEIGHT=450&amp;WIDTH=450&amp;","START_MAXIMIZED=FALSE&amp;VAR:CALENDAR=US&amp;VAR:SYMBOL=LOGM&amp;VAR:INDEX=0"}</definedName>
    <definedName name="_3736__FDSAUDITLINK__" localSheetId="7" hidden="1">{"fdsup://directions/FAT Viewer?action=UPDATE&amp;creator=factset&amp;DYN_ARGS=TRUE&amp;DOC_NAME=FAT:FQL_AUDITING_CLIENT_TEMPLATE.FAT&amp;display_string=Audit&amp;VAR:KEY=GLWXYHYNYV&amp;VAR:QUERY=UkdGX1RBWF9SQVRFKEFOTiwwLCwsLCwsTk9BVURJVCk=&amp;WINDOW=FIRST_POPUP&amp;HEIGHT=450&amp;WIDTH=450&amp;","START_MAXIMIZED=FALSE&amp;VAR:CALENDAR=US&amp;VAR:SYMBOL=LOGM&amp;VAR:INDEX=0"}</definedName>
    <definedName name="_3736__FDSAUDITLINK__" hidden="1">{"fdsup://directions/FAT Viewer?action=UPDATE&amp;creator=factset&amp;DYN_ARGS=TRUE&amp;DOC_NAME=FAT:FQL_AUDITING_CLIENT_TEMPLATE.FAT&amp;display_string=Audit&amp;VAR:KEY=GLWXYHYNYV&amp;VAR:QUERY=UkdGX1RBWF9SQVRFKEFOTiwwLCwsLCwsTk9BVURJVCk=&amp;WINDOW=FIRST_POPUP&amp;HEIGHT=450&amp;WIDTH=450&amp;","START_MAXIMIZED=FALSE&amp;VAR:CALENDAR=US&amp;VAR:SYMBOL=LOGM&amp;VAR:INDEX=0"}</definedName>
    <definedName name="_3737__FDSAUDITLINK__" localSheetId="3" hidden="1">{"fdsup://directions/FAT Viewer?action=UPDATE&amp;creator=factset&amp;DYN_ARGS=TRUE&amp;DOC_NAME=FAT:FQL_AUDITING_CLIENT_TEMPLATE.FAT&amp;display_string=Audit&amp;VAR:KEY=CPYBEVAHMP&amp;VAR:QUERY=UkdGX1RBWF9SQVRFKEFOTiwwLCwsLCwsTk9BVURJVCk=&amp;WINDOW=FIRST_POPUP&amp;HEIGHT=450&amp;WIDTH=450&amp;","START_MAXIMIZED=FALSE&amp;VAR:CALENDAR=US&amp;VAR:SYMBOL=LIOX&amp;VAR:INDEX=0"}</definedName>
    <definedName name="_3737__FDSAUDITLINK__" localSheetId="7" hidden="1">{"fdsup://directions/FAT Viewer?action=UPDATE&amp;creator=factset&amp;DYN_ARGS=TRUE&amp;DOC_NAME=FAT:FQL_AUDITING_CLIENT_TEMPLATE.FAT&amp;display_string=Audit&amp;VAR:KEY=CPYBEVAHMP&amp;VAR:QUERY=UkdGX1RBWF9SQVRFKEFOTiwwLCwsLCwsTk9BVURJVCk=&amp;WINDOW=FIRST_POPUP&amp;HEIGHT=450&amp;WIDTH=450&amp;","START_MAXIMIZED=FALSE&amp;VAR:CALENDAR=US&amp;VAR:SYMBOL=LIOX&amp;VAR:INDEX=0"}</definedName>
    <definedName name="_3737__FDSAUDITLINK__" hidden="1">{"fdsup://directions/FAT Viewer?action=UPDATE&amp;creator=factset&amp;DYN_ARGS=TRUE&amp;DOC_NAME=FAT:FQL_AUDITING_CLIENT_TEMPLATE.FAT&amp;display_string=Audit&amp;VAR:KEY=CPYBEVAHMP&amp;VAR:QUERY=UkdGX1RBWF9SQVRFKEFOTiwwLCwsLCwsTk9BVURJVCk=&amp;WINDOW=FIRST_POPUP&amp;HEIGHT=450&amp;WIDTH=450&amp;","START_MAXIMIZED=FALSE&amp;VAR:CALENDAR=US&amp;VAR:SYMBOL=LIOX&amp;VAR:INDEX=0"}</definedName>
    <definedName name="_3738__FDSAUDITLINK__" localSheetId="3" hidden="1">{"fdsup://directions/FAT Viewer?action=UPDATE&amp;creator=factset&amp;DYN_ARGS=TRUE&amp;DOC_NAME=FAT:FQL_AUDITING_CLIENT_TEMPLATE.FAT&amp;display_string=Audit&amp;VAR:KEY=CPYBEVAHMP&amp;VAR:QUERY=UkdGX1RBWF9SQVRFKEFOTiwwLCwsLCwsTk9BVURJVCk=&amp;WINDOW=FIRST_POPUP&amp;HEIGHT=450&amp;WIDTH=450&amp;","START_MAXIMIZED=FALSE&amp;VAR:CALENDAR=US&amp;VAR:SYMBOL=LIOX&amp;VAR:INDEX=0"}</definedName>
    <definedName name="_3738__FDSAUDITLINK__" localSheetId="7" hidden="1">{"fdsup://directions/FAT Viewer?action=UPDATE&amp;creator=factset&amp;DYN_ARGS=TRUE&amp;DOC_NAME=FAT:FQL_AUDITING_CLIENT_TEMPLATE.FAT&amp;display_string=Audit&amp;VAR:KEY=CPYBEVAHMP&amp;VAR:QUERY=UkdGX1RBWF9SQVRFKEFOTiwwLCwsLCwsTk9BVURJVCk=&amp;WINDOW=FIRST_POPUP&amp;HEIGHT=450&amp;WIDTH=450&amp;","START_MAXIMIZED=FALSE&amp;VAR:CALENDAR=US&amp;VAR:SYMBOL=LIOX&amp;VAR:INDEX=0"}</definedName>
    <definedName name="_3738__FDSAUDITLINK__" hidden="1">{"fdsup://directions/FAT Viewer?action=UPDATE&amp;creator=factset&amp;DYN_ARGS=TRUE&amp;DOC_NAME=FAT:FQL_AUDITING_CLIENT_TEMPLATE.FAT&amp;display_string=Audit&amp;VAR:KEY=CPYBEVAHMP&amp;VAR:QUERY=UkdGX1RBWF9SQVRFKEFOTiwwLCwsLCwsTk9BVURJVCk=&amp;WINDOW=FIRST_POPUP&amp;HEIGHT=450&amp;WIDTH=450&amp;","START_MAXIMIZED=FALSE&amp;VAR:CALENDAR=US&amp;VAR:SYMBOL=LIOX&amp;VAR:INDEX=0"}</definedName>
    <definedName name="_3739__FDSAUDITLINK__" localSheetId="3" hidden="1">{"fdsup://directions/FAT Viewer?action=UPDATE&amp;creator=factset&amp;DYN_ARGS=TRUE&amp;DOC_NAME=FAT:FQL_AUDITING_CLIENT_TEMPLATE.FAT&amp;display_string=Audit&amp;VAR:KEY=EJKRSLULUF&amp;VAR:QUERY=UkdGX1RBWF9SQVRFKEFOTiwwLCwsLCwsTk9BVURJVCk=&amp;WINDOW=FIRST_POPUP&amp;HEIGHT=450&amp;WIDTH=450&amp;","START_MAXIMIZED=FALSE&amp;VAR:CALENDAR=US&amp;VAR:SYMBOL=LLNW&amp;VAR:INDEX=0"}</definedName>
    <definedName name="_3739__FDSAUDITLINK__" localSheetId="7" hidden="1">{"fdsup://directions/FAT Viewer?action=UPDATE&amp;creator=factset&amp;DYN_ARGS=TRUE&amp;DOC_NAME=FAT:FQL_AUDITING_CLIENT_TEMPLATE.FAT&amp;display_string=Audit&amp;VAR:KEY=EJKRSLULUF&amp;VAR:QUERY=UkdGX1RBWF9SQVRFKEFOTiwwLCwsLCwsTk9BVURJVCk=&amp;WINDOW=FIRST_POPUP&amp;HEIGHT=450&amp;WIDTH=450&amp;","START_MAXIMIZED=FALSE&amp;VAR:CALENDAR=US&amp;VAR:SYMBOL=LLNW&amp;VAR:INDEX=0"}</definedName>
    <definedName name="_3739__FDSAUDITLINK__" hidden="1">{"fdsup://directions/FAT Viewer?action=UPDATE&amp;creator=factset&amp;DYN_ARGS=TRUE&amp;DOC_NAME=FAT:FQL_AUDITING_CLIENT_TEMPLATE.FAT&amp;display_string=Audit&amp;VAR:KEY=EJKRSLULUF&amp;VAR:QUERY=UkdGX1RBWF9SQVRFKEFOTiwwLCwsLCwsTk9BVURJVCk=&amp;WINDOW=FIRST_POPUP&amp;HEIGHT=450&amp;WIDTH=450&amp;","START_MAXIMIZED=FALSE&amp;VAR:CALENDAR=US&amp;VAR:SYMBOL=LLNW&amp;VAR:INDEX=0"}</definedName>
    <definedName name="_374__FDSAUDITLINK__" localSheetId="3" hidden="1">{"fdsup://directions/FAT Viewer?action=UPDATE&amp;creator=factset&amp;DYN_ARGS=TRUE&amp;DOC_NAME=FAT:FQL_AUDITING_CLIENT_TEMPLATE.FAT&amp;display_string=Audit&amp;VAR:KEY=LWRMPSDCVK&amp;VAR:QUERY=RkZfUk9BKEFOTiwwLC05LFksUlAp&amp;WINDOW=FIRST_POPUP&amp;HEIGHT=450&amp;WIDTH=450&amp;START_MAXIMIZED=","FALSE&amp;VAR:CALENDAR=US&amp;VAR:SYMBOL=B10LQP&amp;VAR:INDEX=1"}</definedName>
    <definedName name="_374__FDSAUDITLINK__" localSheetId="7" hidden="1">{"fdsup://directions/FAT Viewer?action=UPDATE&amp;creator=factset&amp;DYN_ARGS=TRUE&amp;DOC_NAME=FAT:FQL_AUDITING_CLIENT_TEMPLATE.FAT&amp;display_string=Audit&amp;VAR:KEY=LWRMPSDCVK&amp;VAR:QUERY=RkZfUk9BKEFOTiwwLC05LFksUlAp&amp;WINDOW=FIRST_POPUP&amp;HEIGHT=450&amp;WIDTH=450&amp;START_MAXIMIZED=","FALSE&amp;VAR:CALENDAR=US&amp;VAR:SYMBOL=B10LQP&amp;VAR:INDEX=1"}</definedName>
    <definedName name="_374__FDSAUDITLINK__" hidden="1">{"fdsup://directions/FAT Viewer?action=UPDATE&amp;creator=factset&amp;DYN_ARGS=TRUE&amp;DOC_NAME=FAT:FQL_AUDITING_CLIENT_TEMPLATE.FAT&amp;display_string=Audit&amp;VAR:KEY=LWRMPSDCVK&amp;VAR:QUERY=RkZfUk9BKEFOTiwwLC05LFksUlAp&amp;WINDOW=FIRST_POPUP&amp;HEIGHT=450&amp;WIDTH=450&amp;START_MAXIMIZED=","FALSE&amp;VAR:CALENDAR=US&amp;VAR:SYMBOL=B10LQP&amp;VAR:INDEX=1"}</definedName>
    <definedName name="_3740__FDSAUDITLINK__" localSheetId="3" hidden="1">{"fdsup://directions/FAT Viewer?action=UPDATE&amp;creator=factset&amp;DYN_ARGS=TRUE&amp;DOC_NAME=FAT:FQL_AUDITING_CLIENT_TEMPLATE.FAT&amp;display_string=Audit&amp;VAR:KEY=QBKPYHATSZ&amp;VAR:QUERY=UkdGX1RBWF9SQVRFKEFOTiwwLCwsLCwsTk9BVURJVCk=&amp;WINDOW=FIRST_POPUP&amp;HEIGHT=450&amp;WIDTH=450&amp;","START_MAXIMIZED=FALSE&amp;VAR:CALENDAR=US&amp;VAR:SYMBOL=LVLT&amp;VAR:INDEX=0"}</definedName>
    <definedName name="_3740__FDSAUDITLINK__" localSheetId="7" hidden="1">{"fdsup://directions/FAT Viewer?action=UPDATE&amp;creator=factset&amp;DYN_ARGS=TRUE&amp;DOC_NAME=FAT:FQL_AUDITING_CLIENT_TEMPLATE.FAT&amp;display_string=Audit&amp;VAR:KEY=QBKPYHATSZ&amp;VAR:QUERY=UkdGX1RBWF9SQVRFKEFOTiwwLCwsLCwsTk9BVURJVCk=&amp;WINDOW=FIRST_POPUP&amp;HEIGHT=450&amp;WIDTH=450&amp;","START_MAXIMIZED=FALSE&amp;VAR:CALENDAR=US&amp;VAR:SYMBOL=LVLT&amp;VAR:INDEX=0"}</definedName>
    <definedName name="_3740__FDSAUDITLINK__" hidden="1">{"fdsup://directions/FAT Viewer?action=UPDATE&amp;creator=factset&amp;DYN_ARGS=TRUE&amp;DOC_NAME=FAT:FQL_AUDITING_CLIENT_TEMPLATE.FAT&amp;display_string=Audit&amp;VAR:KEY=QBKPYHATSZ&amp;VAR:QUERY=UkdGX1RBWF9SQVRFKEFOTiwwLCwsLCwsTk9BVURJVCk=&amp;WINDOW=FIRST_POPUP&amp;HEIGHT=450&amp;WIDTH=450&amp;","START_MAXIMIZED=FALSE&amp;VAR:CALENDAR=US&amp;VAR:SYMBOL=LVLT&amp;VAR:INDEX=0"}</definedName>
    <definedName name="_3741__FDSAUDITLINK__" localSheetId="3" hidden="1">{"fdsup://directions/FAT Viewer?action=UPDATE&amp;creator=factset&amp;DYN_ARGS=TRUE&amp;DOC_NAME=FAT:FQL_AUDITING_CLIENT_TEMPLATE.FAT&amp;display_string=Audit&amp;VAR:KEY=WXSNETCFSX&amp;VAR:QUERY=UkdGX1RBWF9SQVRFKEFOTiwwLCwsLCwsTk9BVURJVCk=&amp;WINDOW=FIRST_POPUP&amp;HEIGHT=450&amp;WIDTH=450&amp;","START_MAXIMIZED=FALSE&amp;VAR:CALENDAR=US&amp;VAR:SYMBOL=LWSN&amp;VAR:INDEX=0"}</definedName>
    <definedName name="_3741__FDSAUDITLINK__" localSheetId="7" hidden="1">{"fdsup://directions/FAT Viewer?action=UPDATE&amp;creator=factset&amp;DYN_ARGS=TRUE&amp;DOC_NAME=FAT:FQL_AUDITING_CLIENT_TEMPLATE.FAT&amp;display_string=Audit&amp;VAR:KEY=WXSNETCFSX&amp;VAR:QUERY=UkdGX1RBWF9SQVRFKEFOTiwwLCwsLCwsTk9BVURJVCk=&amp;WINDOW=FIRST_POPUP&amp;HEIGHT=450&amp;WIDTH=450&amp;","START_MAXIMIZED=FALSE&amp;VAR:CALENDAR=US&amp;VAR:SYMBOL=LWSN&amp;VAR:INDEX=0"}</definedName>
    <definedName name="_3741__FDSAUDITLINK__" hidden="1">{"fdsup://directions/FAT Viewer?action=UPDATE&amp;creator=factset&amp;DYN_ARGS=TRUE&amp;DOC_NAME=FAT:FQL_AUDITING_CLIENT_TEMPLATE.FAT&amp;display_string=Audit&amp;VAR:KEY=WXSNETCFSX&amp;VAR:QUERY=UkdGX1RBWF9SQVRFKEFOTiwwLCwsLCwsTk9BVURJVCk=&amp;WINDOW=FIRST_POPUP&amp;HEIGHT=450&amp;WIDTH=450&amp;","START_MAXIMIZED=FALSE&amp;VAR:CALENDAR=US&amp;VAR:SYMBOL=LWSN&amp;VAR:INDEX=0"}</definedName>
    <definedName name="_3742__FDSAUDITLINK__" localSheetId="3" hidden="1">{"fdsup://directions/FAT Viewer?action=UPDATE&amp;creator=factset&amp;DYN_ARGS=TRUE&amp;DOC_NAME=FAT:FQL_AUDITING_CLIENT_TEMPLATE.FAT&amp;display_string=Audit&amp;VAR:KEY=WXSNETCFSX&amp;VAR:QUERY=UkdGX1RBWF9SQVRFKEFOTiwwLCwsLCwsTk9BVURJVCk=&amp;WINDOW=FIRST_POPUP&amp;HEIGHT=450&amp;WIDTH=450&amp;","START_MAXIMIZED=FALSE&amp;VAR:CALENDAR=US&amp;VAR:SYMBOL=LWSN&amp;VAR:INDEX=0"}</definedName>
    <definedName name="_3742__FDSAUDITLINK__" localSheetId="7" hidden="1">{"fdsup://directions/FAT Viewer?action=UPDATE&amp;creator=factset&amp;DYN_ARGS=TRUE&amp;DOC_NAME=FAT:FQL_AUDITING_CLIENT_TEMPLATE.FAT&amp;display_string=Audit&amp;VAR:KEY=WXSNETCFSX&amp;VAR:QUERY=UkdGX1RBWF9SQVRFKEFOTiwwLCwsLCwsTk9BVURJVCk=&amp;WINDOW=FIRST_POPUP&amp;HEIGHT=450&amp;WIDTH=450&amp;","START_MAXIMIZED=FALSE&amp;VAR:CALENDAR=US&amp;VAR:SYMBOL=LWSN&amp;VAR:INDEX=0"}</definedName>
    <definedName name="_3742__FDSAUDITLINK__" hidden="1">{"fdsup://directions/FAT Viewer?action=UPDATE&amp;creator=factset&amp;DYN_ARGS=TRUE&amp;DOC_NAME=FAT:FQL_AUDITING_CLIENT_TEMPLATE.FAT&amp;display_string=Audit&amp;VAR:KEY=WXSNETCFSX&amp;VAR:QUERY=UkdGX1RBWF9SQVRFKEFOTiwwLCwsLCwsTk9BVURJVCk=&amp;WINDOW=FIRST_POPUP&amp;HEIGHT=450&amp;WIDTH=450&amp;","START_MAXIMIZED=FALSE&amp;VAR:CALENDAR=US&amp;VAR:SYMBOL=LWSN&amp;VAR:INDEX=0"}</definedName>
    <definedName name="_3743__FDSAUDITLINK__" localSheetId="3" hidden="1">{"fdsup://directions/FAT Viewer?action=UPDATE&amp;creator=factset&amp;DYN_ARGS=TRUE&amp;DOC_NAME=FAT:FQL_AUDITING_CLIENT_TEMPLATE.FAT&amp;display_string=Audit&amp;VAR:KEY=GRYBKFCNGB&amp;VAR:QUERY=UkdGX1RBWF9SQVRFKEFOTiwwLCwsLCwsTk9BVURJVCk=&amp;WINDOW=FIRST_POPUP&amp;HEIGHT=450&amp;WIDTH=450&amp;","START_MAXIMIZED=FALSE&amp;VAR:CALENDAR=US&amp;VAR:SYMBOL=712125&amp;VAR:INDEX=0"}</definedName>
    <definedName name="_3743__FDSAUDITLINK__" localSheetId="7" hidden="1">{"fdsup://directions/FAT Viewer?action=UPDATE&amp;creator=factset&amp;DYN_ARGS=TRUE&amp;DOC_NAME=FAT:FQL_AUDITING_CLIENT_TEMPLATE.FAT&amp;display_string=Audit&amp;VAR:KEY=GRYBKFCNGB&amp;VAR:QUERY=UkdGX1RBWF9SQVRFKEFOTiwwLCwsLCwsTk9BVURJVCk=&amp;WINDOW=FIRST_POPUP&amp;HEIGHT=450&amp;WIDTH=450&amp;","START_MAXIMIZED=FALSE&amp;VAR:CALENDAR=US&amp;VAR:SYMBOL=712125&amp;VAR:INDEX=0"}</definedName>
    <definedName name="_3743__FDSAUDITLINK__" hidden="1">{"fdsup://directions/FAT Viewer?action=UPDATE&amp;creator=factset&amp;DYN_ARGS=TRUE&amp;DOC_NAME=FAT:FQL_AUDITING_CLIENT_TEMPLATE.FAT&amp;display_string=Audit&amp;VAR:KEY=GRYBKFCNGB&amp;VAR:QUERY=UkdGX1RBWF9SQVRFKEFOTiwwLCwsLCwsTk9BVURJVCk=&amp;WINDOW=FIRST_POPUP&amp;HEIGHT=450&amp;WIDTH=450&amp;","START_MAXIMIZED=FALSE&amp;VAR:CALENDAR=US&amp;VAR:SYMBOL=712125&amp;VAR:INDEX=0"}</definedName>
    <definedName name="_3744__FDSAUDITLINK__" localSheetId="3" hidden="1">{"fdsup://directions/FAT Viewer?action=UPDATE&amp;creator=factset&amp;DYN_ARGS=TRUE&amp;DOC_NAME=FAT:FQL_AUDITING_CLIENT_TEMPLATE.FAT&amp;display_string=Audit&amp;VAR:KEY=GRYBKFCNGB&amp;VAR:QUERY=UkdGX1RBWF9SQVRFKEFOTiwwLCwsLCwsTk9BVURJVCk=&amp;WINDOW=FIRST_POPUP&amp;HEIGHT=450&amp;WIDTH=450&amp;","START_MAXIMIZED=FALSE&amp;VAR:CALENDAR=US&amp;VAR:SYMBOL=712125&amp;VAR:INDEX=0"}</definedName>
    <definedName name="_3744__FDSAUDITLINK__" localSheetId="7" hidden="1">{"fdsup://directions/FAT Viewer?action=UPDATE&amp;creator=factset&amp;DYN_ARGS=TRUE&amp;DOC_NAME=FAT:FQL_AUDITING_CLIENT_TEMPLATE.FAT&amp;display_string=Audit&amp;VAR:KEY=GRYBKFCNGB&amp;VAR:QUERY=UkdGX1RBWF9SQVRFKEFOTiwwLCwsLCwsTk9BVURJVCk=&amp;WINDOW=FIRST_POPUP&amp;HEIGHT=450&amp;WIDTH=450&amp;","START_MAXIMIZED=FALSE&amp;VAR:CALENDAR=US&amp;VAR:SYMBOL=712125&amp;VAR:INDEX=0"}</definedName>
    <definedName name="_3744__FDSAUDITLINK__" hidden="1">{"fdsup://directions/FAT Viewer?action=UPDATE&amp;creator=factset&amp;DYN_ARGS=TRUE&amp;DOC_NAME=FAT:FQL_AUDITING_CLIENT_TEMPLATE.FAT&amp;display_string=Audit&amp;VAR:KEY=GRYBKFCNGB&amp;VAR:QUERY=UkdGX1RBWF9SQVRFKEFOTiwwLCwsLCwsTk9BVURJVCk=&amp;WINDOW=FIRST_POPUP&amp;HEIGHT=450&amp;WIDTH=450&amp;","START_MAXIMIZED=FALSE&amp;VAR:CALENDAR=US&amp;VAR:SYMBOL=712125&amp;VAR:INDEX=0"}</definedName>
    <definedName name="_3745__FDSAUDITLINK__" localSheetId="3" hidden="1">{"fdsup://directions/FAT Viewer?action=UPDATE&amp;creator=factset&amp;DYN_ARGS=TRUE&amp;DOC_NAME=FAT:FQL_AUDITING_CLIENT_TEMPLATE.FAT&amp;display_string=Audit&amp;VAR:KEY=AFCDULQFYZ&amp;VAR:QUERY=UkdGX1RBWF9SQVRFKEFOTiwwLCwsLCwsTk9BVURJVCk=&amp;WINDOW=FIRST_POPUP&amp;HEIGHT=450&amp;WIDTH=450&amp;","START_MAXIMIZED=FALSE&amp;VAR:CALENDAR=US&amp;VAR:SYMBOL=KEYN&amp;VAR:INDEX=0"}</definedName>
    <definedName name="_3745__FDSAUDITLINK__" localSheetId="7" hidden="1">{"fdsup://directions/FAT Viewer?action=UPDATE&amp;creator=factset&amp;DYN_ARGS=TRUE&amp;DOC_NAME=FAT:FQL_AUDITING_CLIENT_TEMPLATE.FAT&amp;display_string=Audit&amp;VAR:KEY=AFCDULQFYZ&amp;VAR:QUERY=UkdGX1RBWF9SQVRFKEFOTiwwLCwsLCwsTk9BVURJVCk=&amp;WINDOW=FIRST_POPUP&amp;HEIGHT=450&amp;WIDTH=450&amp;","START_MAXIMIZED=FALSE&amp;VAR:CALENDAR=US&amp;VAR:SYMBOL=KEYN&amp;VAR:INDEX=0"}</definedName>
    <definedName name="_3745__FDSAUDITLINK__" hidden="1">{"fdsup://directions/FAT Viewer?action=UPDATE&amp;creator=factset&amp;DYN_ARGS=TRUE&amp;DOC_NAME=FAT:FQL_AUDITING_CLIENT_TEMPLATE.FAT&amp;display_string=Audit&amp;VAR:KEY=AFCDULQFYZ&amp;VAR:QUERY=UkdGX1RBWF9SQVRFKEFOTiwwLCwsLCwsTk9BVURJVCk=&amp;WINDOW=FIRST_POPUP&amp;HEIGHT=450&amp;WIDTH=450&amp;","START_MAXIMIZED=FALSE&amp;VAR:CALENDAR=US&amp;VAR:SYMBOL=KEYN&amp;VAR:INDEX=0"}</definedName>
    <definedName name="_3746__FDSAUDITLINK__" localSheetId="3" hidden="1">{"fdsup://directions/FAT Viewer?action=UPDATE&amp;creator=factset&amp;DYN_ARGS=TRUE&amp;DOC_NAME=FAT:FQL_AUDITING_CLIENT_TEMPLATE.FAT&amp;display_string=Audit&amp;VAR:KEY=AFCDULQFYZ&amp;VAR:QUERY=UkdGX1RBWF9SQVRFKEFOTiwwLCwsLCwsTk9BVURJVCk=&amp;WINDOW=FIRST_POPUP&amp;HEIGHT=450&amp;WIDTH=450&amp;","START_MAXIMIZED=FALSE&amp;VAR:CALENDAR=US&amp;VAR:SYMBOL=KEYN&amp;VAR:INDEX=0"}</definedName>
    <definedName name="_3746__FDSAUDITLINK__" localSheetId="7" hidden="1">{"fdsup://directions/FAT Viewer?action=UPDATE&amp;creator=factset&amp;DYN_ARGS=TRUE&amp;DOC_NAME=FAT:FQL_AUDITING_CLIENT_TEMPLATE.FAT&amp;display_string=Audit&amp;VAR:KEY=AFCDULQFYZ&amp;VAR:QUERY=UkdGX1RBWF9SQVRFKEFOTiwwLCwsLCwsTk9BVURJVCk=&amp;WINDOW=FIRST_POPUP&amp;HEIGHT=450&amp;WIDTH=450&amp;","START_MAXIMIZED=FALSE&amp;VAR:CALENDAR=US&amp;VAR:SYMBOL=KEYN&amp;VAR:INDEX=0"}</definedName>
    <definedName name="_3746__FDSAUDITLINK__" hidden="1">{"fdsup://directions/FAT Viewer?action=UPDATE&amp;creator=factset&amp;DYN_ARGS=TRUE&amp;DOC_NAME=FAT:FQL_AUDITING_CLIENT_TEMPLATE.FAT&amp;display_string=Audit&amp;VAR:KEY=AFCDULQFYZ&amp;VAR:QUERY=UkdGX1RBWF9SQVRFKEFOTiwwLCwsLCwsTk9BVURJVCk=&amp;WINDOW=FIRST_POPUP&amp;HEIGHT=450&amp;WIDTH=450&amp;","START_MAXIMIZED=FALSE&amp;VAR:CALENDAR=US&amp;VAR:SYMBOL=KEYN&amp;VAR:INDEX=0"}</definedName>
    <definedName name="_3747__FDSAUDITLINK__" localSheetId="3" hidden="1">{"fdsup://directions/FAT Viewer?action=UPDATE&amp;creator=factset&amp;DYN_ARGS=TRUE&amp;DOC_NAME=FAT:FQL_AUDITING_CLIENT_TEMPLATE.FAT&amp;display_string=Audit&amp;VAR:KEY=GTKPIVWHSX&amp;VAR:QUERY=UkdGX1RBWF9SQVRFKEFOTiwwLCwsLCwsTk9BVURJVCk=&amp;WINDOW=FIRST_POPUP&amp;HEIGHT=450&amp;WIDTH=450&amp;","START_MAXIMIZED=FALSE&amp;VAR:CALENDAR=US&amp;VAR:SYMBOL=KNXA&amp;VAR:INDEX=0"}</definedName>
    <definedName name="_3747__FDSAUDITLINK__" localSheetId="7" hidden="1">{"fdsup://directions/FAT Viewer?action=UPDATE&amp;creator=factset&amp;DYN_ARGS=TRUE&amp;DOC_NAME=FAT:FQL_AUDITING_CLIENT_TEMPLATE.FAT&amp;display_string=Audit&amp;VAR:KEY=GTKPIVWHSX&amp;VAR:QUERY=UkdGX1RBWF9SQVRFKEFOTiwwLCwsLCwsTk9BVURJVCk=&amp;WINDOW=FIRST_POPUP&amp;HEIGHT=450&amp;WIDTH=450&amp;","START_MAXIMIZED=FALSE&amp;VAR:CALENDAR=US&amp;VAR:SYMBOL=KNXA&amp;VAR:INDEX=0"}</definedName>
    <definedName name="_3747__FDSAUDITLINK__" hidden="1">{"fdsup://directions/FAT Viewer?action=UPDATE&amp;creator=factset&amp;DYN_ARGS=TRUE&amp;DOC_NAME=FAT:FQL_AUDITING_CLIENT_TEMPLATE.FAT&amp;display_string=Audit&amp;VAR:KEY=GTKPIVWHSX&amp;VAR:QUERY=UkdGX1RBWF9SQVRFKEFOTiwwLCwsLCwsTk9BVURJVCk=&amp;WINDOW=FIRST_POPUP&amp;HEIGHT=450&amp;WIDTH=450&amp;","START_MAXIMIZED=FALSE&amp;VAR:CALENDAR=US&amp;VAR:SYMBOL=KNXA&amp;VAR:INDEX=0"}</definedName>
    <definedName name="_3748__FDSAUDITLINK__" localSheetId="3" hidden="1">{"fdsup://directions/FAT Viewer?action=UPDATE&amp;creator=factset&amp;DYN_ARGS=TRUE&amp;DOC_NAME=FAT:FQL_AUDITING_CLIENT_TEMPLATE.FAT&amp;display_string=Audit&amp;VAR:KEY=GXIVOZYPGF&amp;VAR:QUERY=UkdGX1RBWF9SQVRFKEFOTiwwLCwsLCwsTk9BVURJVCk=&amp;WINDOW=FIRST_POPUP&amp;HEIGHT=450&amp;WIDTH=450&amp;","START_MAXIMIZED=FALSE&amp;VAR:CALENDAR=US&amp;VAR:SYMBOL=KANA&amp;VAR:INDEX=0"}</definedName>
    <definedName name="_3748__FDSAUDITLINK__" localSheetId="7" hidden="1">{"fdsup://directions/FAT Viewer?action=UPDATE&amp;creator=factset&amp;DYN_ARGS=TRUE&amp;DOC_NAME=FAT:FQL_AUDITING_CLIENT_TEMPLATE.FAT&amp;display_string=Audit&amp;VAR:KEY=GXIVOZYPGF&amp;VAR:QUERY=UkdGX1RBWF9SQVRFKEFOTiwwLCwsLCwsTk9BVURJVCk=&amp;WINDOW=FIRST_POPUP&amp;HEIGHT=450&amp;WIDTH=450&amp;","START_MAXIMIZED=FALSE&amp;VAR:CALENDAR=US&amp;VAR:SYMBOL=KANA&amp;VAR:INDEX=0"}</definedName>
    <definedName name="_3748__FDSAUDITLINK__" hidden="1">{"fdsup://directions/FAT Viewer?action=UPDATE&amp;creator=factset&amp;DYN_ARGS=TRUE&amp;DOC_NAME=FAT:FQL_AUDITING_CLIENT_TEMPLATE.FAT&amp;display_string=Audit&amp;VAR:KEY=GXIVOZYPGF&amp;VAR:QUERY=UkdGX1RBWF9SQVRFKEFOTiwwLCwsLCwsTk9BVURJVCk=&amp;WINDOW=FIRST_POPUP&amp;HEIGHT=450&amp;WIDTH=450&amp;","START_MAXIMIZED=FALSE&amp;VAR:CALENDAR=US&amp;VAR:SYMBOL=KANA&amp;VAR:INDEX=0"}</definedName>
    <definedName name="_3749__FDSAUDITLINK__" localSheetId="3" hidden="1">{"fdsup://directions/FAT Viewer?action=UPDATE&amp;creator=factset&amp;DYN_ARGS=TRUE&amp;DOC_NAME=FAT:FQL_AUDITING_CLIENT_TEMPLATE.FAT&amp;display_string=Audit&amp;VAR:KEY=CVGHGFWXYH&amp;VAR:QUERY=UkdGX1RBWF9SQVRFKEFOTiwwLCwsLCwsTk9BVURJVCk=&amp;WINDOW=FIRST_POPUP&amp;HEIGHT=450&amp;WIDTH=450&amp;","START_MAXIMIZED=FALSE&amp;VAR:CALENDAR=US&amp;VAR:SYMBOL=JUPM&amp;VAR:INDEX=0"}</definedName>
    <definedName name="_3749__FDSAUDITLINK__" localSheetId="7" hidden="1">{"fdsup://directions/FAT Viewer?action=UPDATE&amp;creator=factset&amp;DYN_ARGS=TRUE&amp;DOC_NAME=FAT:FQL_AUDITING_CLIENT_TEMPLATE.FAT&amp;display_string=Audit&amp;VAR:KEY=CVGHGFWXYH&amp;VAR:QUERY=UkdGX1RBWF9SQVRFKEFOTiwwLCwsLCwsTk9BVURJVCk=&amp;WINDOW=FIRST_POPUP&amp;HEIGHT=450&amp;WIDTH=450&amp;","START_MAXIMIZED=FALSE&amp;VAR:CALENDAR=US&amp;VAR:SYMBOL=JUPM&amp;VAR:INDEX=0"}</definedName>
    <definedName name="_3749__FDSAUDITLINK__" hidden="1">{"fdsup://directions/FAT Viewer?action=UPDATE&amp;creator=factset&amp;DYN_ARGS=TRUE&amp;DOC_NAME=FAT:FQL_AUDITING_CLIENT_TEMPLATE.FAT&amp;display_string=Audit&amp;VAR:KEY=CVGHGFWXYH&amp;VAR:QUERY=UkdGX1RBWF9SQVRFKEFOTiwwLCwsLCwsTk9BVURJVCk=&amp;WINDOW=FIRST_POPUP&amp;HEIGHT=450&amp;WIDTH=450&amp;","START_MAXIMIZED=FALSE&amp;VAR:CALENDAR=US&amp;VAR:SYMBOL=JUPM&amp;VAR:INDEX=0"}</definedName>
    <definedName name="_375__FDSAUDITLINK__" localSheetId="3" hidden="1">{"fdsup://directions/FAT Viewer?action=UPDATE&amp;creator=factset&amp;DYN_ARGS=TRUE&amp;DOC_NAME=FAT:FQL_AUDITING_CLIENT_TEMPLATE.FAT&amp;display_string=Audit&amp;VAR:KEY=QZWXSNIZSJ&amp;VAR:QUERY=RkZfTkVUX01HTihBTk4sMCwtOSxZLFJQKQ==&amp;WINDOW=FIRST_POPUP&amp;HEIGHT=450&amp;WIDTH=450&amp;START_MA","XIMIZED=FALSE&amp;VAR:CALENDAR=US&amp;VAR:SYMBOL=B10LQP&amp;VAR:INDEX=0"}</definedName>
    <definedName name="_375__FDSAUDITLINK__" localSheetId="7" hidden="1">{"fdsup://directions/FAT Viewer?action=UPDATE&amp;creator=factset&amp;DYN_ARGS=TRUE&amp;DOC_NAME=FAT:FQL_AUDITING_CLIENT_TEMPLATE.FAT&amp;display_string=Audit&amp;VAR:KEY=QZWXSNIZSJ&amp;VAR:QUERY=RkZfTkVUX01HTihBTk4sMCwtOSxZLFJQKQ==&amp;WINDOW=FIRST_POPUP&amp;HEIGHT=450&amp;WIDTH=450&amp;START_MA","XIMIZED=FALSE&amp;VAR:CALENDAR=US&amp;VAR:SYMBOL=B10LQP&amp;VAR:INDEX=0"}</definedName>
    <definedName name="_375__FDSAUDITLINK__" hidden="1">{"fdsup://directions/FAT Viewer?action=UPDATE&amp;creator=factset&amp;DYN_ARGS=TRUE&amp;DOC_NAME=FAT:FQL_AUDITING_CLIENT_TEMPLATE.FAT&amp;display_string=Audit&amp;VAR:KEY=QZWXSNIZSJ&amp;VAR:QUERY=RkZfTkVUX01HTihBTk4sMCwtOSxZLFJQKQ==&amp;WINDOW=FIRST_POPUP&amp;HEIGHT=450&amp;WIDTH=450&amp;START_MA","XIMIZED=FALSE&amp;VAR:CALENDAR=US&amp;VAR:SYMBOL=B10LQP&amp;VAR:INDEX=0"}</definedName>
    <definedName name="_3750__FDSAUDITLINK__" localSheetId="3" hidden="1">{"fdsup://directions/FAT Viewer?action=UPDATE&amp;creator=factset&amp;DYN_ARGS=TRUE&amp;DOC_NAME=FAT:FQL_AUDITING_CLIENT_TEMPLATE.FAT&amp;display_string=Audit&amp;VAR:KEY=AZKXQVUJOR&amp;VAR:QUERY=UkdGX1RBWF9SQVRFKEFOTiwwLCwsLCwsTk9BVURJVCk=&amp;WINDOW=FIRST_POPUP&amp;HEIGHT=450&amp;WIDTH=450&amp;","START_MAXIMIZED=FALSE&amp;VAR:CALENDAR=US&amp;VAR:SYMBOL=JNPR&amp;VAR:INDEX=0"}</definedName>
    <definedName name="_3750__FDSAUDITLINK__" localSheetId="7" hidden="1">{"fdsup://directions/FAT Viewer?action=UPDATE&amp;creator=factset&amp;DYN_ARGS=TRUE&amp;DOC_NAME=FAT:FQL_AUDITING_CLIENT_TEMPLATE.FAT&amp;display_string=Audit&amp;VAR:KEY=AZKXQVUJOR&amp;VAR:QUERY=UkdGX1RBWF9SQVRFKEFOTiwwLCwsLCwsTk9BVURJVCk=&amp;WINDOW=FIRST_POPUP&amp;HEIGHT=450&amp;WIDTH=450&amp;","START_MAXIMIZED=FALSE&amp;VAR:CALENDAR=US&amp;VAR:SYMBOL=JNPR&amp;VAR:INDEX=0"}</definedName>
    <definedName name="_3750__FDSAUDITLINK__" hidden="1">{"fdsup://directions/FAT Viewer?action=UPDATE&amp;creator=factset&amp;DYN_ARGS=TRUE&amp;DOC_NAME=FAT:FQL_AUDITING_CLIENT_TEMPLATE.FAT&amp;display_string=Audit&amp;VAR:KEY=AZKXQVUJOR&amp;VAR:QUERY=UkdGX1RBWF9SQVRFKEFOTiwwLCwsLCwsTk9BVURJVCk=&amp;WINDOW=FIRST_POPUP&amp;HEIGHT=450&amp;WIDTH=450&amp;","START_MAXIMIZED=FALSE&amp;VAR:CALENDAR=US&amp;VAR:SYMBOL=JNPR&amp;VAR:INDEX=0"}</definedName>
    <definedName name="_3751__FDSAUDITLINK__" localSheetId="3" hidden="1">{"fdsup://directions/FAT Viewer?action=UPDATE&amp;creator=factset&amp;DYN_ARGS=TRUE&amp;DOC_NAME=FAT:FQL_AUDITING_CLIENT_TEMPLATE.FAT&amp;display_string=Audit&amp;VAR:KEY=AZKXQVUJOR&amp;VAR:QUERY=UkdGX1RBWF9SQVRFKEFOTiwwLCwsLCwsTk9BVURJVCk=&amp;WINDOW=FIRST_POPUP&amp;HEIGHT=450&amp;WIDTH=450&amp;","START_MAXIMIZED=FALSE&amp;VAR:CALENDAR=US&amp;VAR:SYMBOL=JNPR&amp;VAR:INDEX=0"}</definedName>
    <definedName name="_3751__FDSAUDITLINK__" localSheetId="7" hidden="1">{"fdsup://directions/FAT Viewer?action=UPDATE&amp;creator=factset&amp;DYN_ARGS=TRUE&amp;DOC_NAME=FAT:FQL_AUDITING_CLIENT_TEMPLATE.FAT&amp;display_string=Audit&amp;VAR:KEY=AZKXQVUJOR&amp;VAR:QUERY=UkdGX1RBWF9SQVRFKEFOTiwwLCwsLCwsTk9BVURJVCk=&amp;WINDOW=FIRST_POPUP&amp;HEIGHT=450&amp;WIDTH=450&amp;","START_MAXIMIZED=FALSE&amp;VAR:CALENDAR=US&amp;VAR:SYMBOL=JNPR&amp;VAR:INDEX=0"}</definedName>
    <definedName name="_3751__FDSAUDITLINK__" hidden="1">{"fdsup://directions/FAT Viewer?action=UPDATE&amp;creator=factset&amp;DYN_ARGS=TRUE&amp;DOC_NAME=FAT:FQL_AUDITING_CLIENT_TEMPLATE.FAT&amp;display_string=Audit&amp;VAR:KEY=AZKXQVUJOR&amp;VAR:QUERY=UkdGX1RBWF9SQVRFKEFOTiwwLCwsLCwsTk9BVURJVCk=&amp;WINDOW=FIRST_POPUP&amp;HEIGHT=450&amp;WIDTH=450&amp;","START_MAXIMIZED=FALSE&amp;VAR:CALENDAR=US&amp;VAR:SYMBOL=JNPR&amp;VAR:INDEX=0"}</definedName>
    <definedName name="_3752__FDSAUDITLINK__" localSheetId="3" hidden="1">{"fdsup://directions/FAT Viewer?action=UPDATE&amp;creator=factset&amp;DYN_ARGS=TRUE&amp;DOC_NAME=FAT:FQL_AUDITING_CLIENT_TEMPLATE.FAT&amp;display_string=Audit&amp;VAR:KEY=YHWVYJKRYN&amp;VAR:QUERY=UkdGX1RBWF9SQVRFKEFOTiwwLCwsLCwsTk9BVURJVCk=&amp;WINDOW=FIRST_POPUP&amp;HEIGHT=450&amp;WIDTH=450&amp;","START_MAXIMIZED=FALSE&amp;VAR:CALENDAR=US&amp;VAR:SYMBOL=JDAS&amp;VAR:INDEX=0"}</definedName>
    <definedName name="_3752__FDSAUDITLINK__" localSheetId="7" hidden="1">{"fdsup://directions/FAT Viewer?action=UPDATE&amp;creator=factset&amp;DYN_ARGS=TRUE&amp;DOC_NAME=FAT:FQL_AUDITING_CLIENT_TEMPLATE.FAT&amp;display_string=Audit&amp;VAR:KEY=YHWVYJKRYN&amp;VAR:QUERY=UkdGX1RBWF9SQVRFKEFOTiwwLCwsLCwsTk9BVURJVCk=&amp;WINDOW=FIRST_POPUP&amp;HEIGHT=450&amp;WIDTH=450&amp;","START_MAXIMIZED=FALSE&amp;VAR:CALENDAR=US&amp;VAR:SYMBOL=JDAS&amp;VAR:INDEX=0"}</definedName>
    <definedName name="_3752__FDSAUDITLINK__" hidden="1">{"fdsup://directions/FAT Viewer?action=UPDATE&amp;creator=factset&amp;DYN_ARGS=TRUE&amp;DOC_NAME=FAT:FQL_AUDITING_CLIENT_TEMPLATE.FAT&amp;display_string=Audit&amp;VAR:KEY=YHWVYJKRYN&amp;VAR:QUERY=UkdGX1RBWF9SQVRFKEFOTiwwLCwsLCwsTk9BVURJVCk=&amp;WINDOW=FIRST_POPUP&amp;HEIGHT=450&amp;WIDTH=450&amp;","START_MAXIMIZED=FALSE&amp;VAR:CALENDAR=US&amp;VAR:SYMBOL=JDAS&amp;VAR:INDEX=0"}</definedName>
    <definedName name="_3753__FDSAUDITLINK__" localSheetId="3" hidden="1">{"fdsup://directions/FAT Viewer?action=UPDATE&amp;creator=factset&amp;DYN_ARGS=TRUE&amp;DOC_NAME=FAT:FQL_AUDITING_CLIENT_TEMPLATE.FAT&amp;display_string=Audit&amp;VAR:KEY=YHWVYJKRYN&amp;VAR:QUERY=UkdGX1RBWF9SQVRFKEFOTiwwLCwsLCwsTk9BVURJVCk=&amp;WINDOW=FIRST_POPUP&amp;HEIGHT=450&amp;WIDTH=450&amp;","START_MAXIMIZED=FALSE&amp;VAR:CALENDAR=US&amp;VAR:SYMBOL=JDAS&amp;VAR:INDEX=0"}</definedName>
    <definedName name="_3753__FDSAUDITLINK__" localSheetId="7" hidden="1">{"fdsup://directions/FAT Viewer?action=UPDATE&amp;creator=factset&amp;DYN_ARGS=TRUE&amp;DOC_NAME=FAT:FQL_AUDITING_CLIENT_TEMPLATE.FAT&amp;display_string=Audit&amp;VAR:KEY=YHWVYJKRYN&amp;VAR:QUERY=UkdGX1RBWF9SQVRFKEFOTiwwLCwsLCwsTk9BVURJVCk=&amp;WINDOW=FIRST_POPUP&amp;HEIGHT=450&amp;WIDTH=450&amp;","START_MAXIMIZED=FALSE&amp;VAR:CALENDAR=US&amp;VAR:SYMBOL=JDAS&amp;VAR:INDEX=0"}</definedName>
    <definedName name="_3753__FDSAUDITLINK__" hidden="1">{"fdsup://directions/FAT Viewer?action=UPDATE&amp;creator=factset&amp;DYN_ARGS=TRUE&amp;DOC_NAME=FAT:FQL_AUDITING_CLIENT_TEMPLATE.FAT&amp;display_string=Audit&amp;VAR:KEY=YHWVYJKRYN&amp;VAR:QUERY=UkdGX1RBWF9SQVRFKEFOTiwwLCwsLCwsTk9BVURJVCk=&amp;WINDOW=FIRST_POPUP&amp;HEIGHT=450&amp;WIDTH=450&amp;","START_MAXIMIZED=FALSE&amp;VAR:CALENDAR=US&amp;VAR:SYMBOL=JDAS&amp;VAR:INDEX=0"}</definedName>
    <definedName name="_3754__FDSAUDITLINK__" localSheetId="3" hidden="1">{"fdsup://directions/FAT Viewer?action=UPDATE&amp;creator=factset&amp;DYN_ARGS=TRUE&amp;DOC_NAME=FAT:FQL_AUDITING_CLIENT_TEMPLATE.FAT&amp;display_string=Audit&amp;VAR:KEY=MZAPQNATGL&amp;VAR:QUERY=UkdGX1RBWF9SQVRFKEFOTiwwLCwsLCwsTk9BVURJVCk=&amp;WINDOW=FIRST_POPUP&amp;HEIGHT=450&amp;WIDTH=450&amp;","START_MAXIMIZED=FALSE&amp;VAR:CALENDAR=US&amp;VAR:SYMBOL=JCOM&amp;VAR:INDEX=0"}</definedName>
    <definedName name="_3754__FDSAUDITLINK__" localSheetId="7" hidden="1">{"fdsup://directions/FAT Viewer?action=UPDATE&amp;creator=factset&amp;DYN_ARGS=TRUE&amp;DOC_NAME=FAT:FQL_AUDITING_CLIENT_TEMPLATE.FAT&amp;display_string=Audit&amp;VAR:KEY=MZAPQNATGL&amp;VAR:QUERY=UkdGX1RBWF9SQVRFKEFOTiwwLCwsLCwsTk9BVURJVCk=&amp;WINDOW=FIRST_POPUP&amp;HEIGHT=450&amp;WIDTH=450&amp;","START_MAXIMIZED=FALSE&amp;VAR:CALENDAR=US&amp;VAR:SYMBOL=JCOM&amp;VAR:INDEX=0"}</definedName>
    <definedName name="_3754__FDSAUDITLINK__" hidden="1">{"fdsup://directions/FAT Viewer?action=UPDATE&amp;creator=factset&amp;DYN_ARGS=TRUE&amp;DOC_NAME=FAT:FQL_AUDITING_CLIENT_TEMPLATE.FAT&amp;display_string=Audit&amp;VAR:KEY=MZAPQNATGL&amp;VAR:QUERY=UkdGX1RBWF9SQVRFKEFOTiwwLCwsLCwsTk9BVURJVCk=&amp;WINDOW=FIRST_POPUP&amp;HEIGHT=450&amp;WIDTH=450&amp;","START_MAXIMIZED=FALSE&amp;VAR:CALENDAR=US&amp;VAR:SYMBOL=JCOM&amp;VAR:INDEX=0"}</definedName>
    <definedName name="_3755__FDSAUDITLINK__" localSheetId="3" hidden="1">{"fdsup://directions/FAT Viewer?action=UPDATE&amp;creator=factset&amp;DYN_ARGS=TRUE&amp;DOC_NAME=FAT:FQL_AUDITING_CLIENT_TEMPLATE.FAT&amp;display_string=Audit&amp;VAR:KEY=MZAPQNATGL&amp;VAR:QUERY=UkdGX1RBWF9SQVRFKEFOTiwwLCwsLCwsTk9BVURJVCk=&amp;WINDOW=FIRST_POPUP&amp;HEIGHT=450&amp;WIDTH=450&amp;","START_MAXIMIZED=FALSE&amp;VAR:CALENDAR=US&amp;VAR:SYMBOL=JCOM&amp;VAR:INDEX=0"}</definedName>
    <definedName name="_3755__FDSAUDITLINK__" localSheetId="7" hidden="1">{"fdsup://directions/FAT Viewer?action=UPDATE&amp;creator=factset&amp;DYN_ARGS=TRUE&amp;DOC_NAME=FAT:FQL_AUDITING_CLIENT_TEMPLATE.FAT&amp;display_string=Audit&amp;VAR:KEY=MZAPQNATGL&amp;VAR:QUERY=UkdGX1RBWF9SQVRFKEFOTiwwLCwsLCwsTk9BVURJVCk=&amp;WINDOW=FIRST_POPUP&amp;HEIGHT=450&amp;WIDTH=450&amp;","START_MAXIMIZED=FALSE&amp;VAR:CALENDAR=US&amp;VAR:SYMBOL=JCOM&amp;VAR:INDEX=0"}</definedName>
    <definedName name="_3755__FDSAUDITLINK__" hidden="1">{"fdsup://directions/FAT Viewer?action=UPDATE&amp;creator=factset&amp;DYN_ARGS=TRUE&amp;DOC_NAME=FAT:FQL_AUDITING_CLIENT_TEMPLATE.FAT&amp;display_string=Audit&amp;VAR:KEY=MZAPQNATGL&amp;VAR:QUERY=UkdGX1RBWF9SQVRFKEFOTiwwLCwsLCwsTk9BVURJVCk=&amp;WINDOW=FIRST_POPUP&amp;HEIGHT=450&amp;WIDTH=450&amp;","START_MAXIMIZED=FALSE&amp;VAR:CALENDAR=US&amp;VAR:SYMBOL=JCOM&amp;VAR:INDEX=0"}</definedName>
    <definedName name="_3756__FDSAUDITLINK__" localSheetId="3" hidden="1">{"fdsup://directions/FAT Viewer?action=UPDATE&amp;creator=factset&amp;DYN_ARGS=TRUE&amp;DOC_NAME=FAT:FQL_AUDITING_CLIENT_TEMPLATE.FAT&amp;display_string=Audit&amp;VAR:KEY=SJCBEVYHYZ&amp;VAR:QUERY=UkdGX1RBWF9SQVRFKEFOTiwwLCwsLCwsTk9BVURJVCk=&amp;WINDOW=FIRST_POPUP&amp;HEIGHT=450&amp;WIDTH=450&amp;","START_MAXIMIZED=FALSE&amp;VAR:CALENDAR=US&amp;VAR:SYMBOL=B188NJ&amp;VAR:INDEX=0"}</definedName>
    <definedName name="_3756__FDSAUDITLINK__" localSheetId="7" hidden="1">{"fdsup://directions/FAT Viewer?action=UPDATE&amp;creator=factset&amp;DYN_ARGS=TRUE&amp;DOC_NAME=FAT:FQL_AUDITING_CLIENT_TEMPLATE.FAT&amp;display_string=Audit&amp;VAR:KEY=SJCBEVYHYZ&amp;VAR:QUERY=UkdGX1RBWF9SQVRFKEFOTiwwLCwsLCwsTk9BVURJVCk=&amp;WINDOW=FIRST_POPUP&amp;HEIGHT=450&amp;WIDTH=450&amp;","START_MAXIMIZED=FALSE&amp;VAR:CALENDAR=US&amp;VAR:SYMBOL=B188NJ&amp;VAR:INDEX=0"}</definedName>
    <definedName name="_3756__FDSAUDITLINK__" hidden="1">{"fdsup://directions/FAT Viewer?action=UPDATE&amp;creator=factset&amp;DYN_ARGS=TRUE&amp;DOC_NAME=FAT:FQL_AUDITING_CLIENT_TEMPLATE.FAT&amp;display_string=Audit&amp;VAR:KEY=SJCBEVYHYZ&amp;VAR:QUERY=UkdGX1RBWF9SQVRFKEFOTiwwLCwsLCwsTk9BVURJVCk=&amp;WINDOW=FIRST_POPUP&amp;HEIGHT=450&amp;WIDTH=450&amp;","START_MAXIMIZED=FALSE&amp;VAR:CALENDAR=US&amp;VAR:SYMBOL=B188NJ&amp;VAR:INDEX=0"}</definedName>
    <definedName name="_3757__FDSAUDITLINK__" localSheetId="3" hidden="1">{"fdsup://directions/FAT Viewer?action=UPDATE&amp;creator=factset&amp;DYN_ARGS=TRUE&amp;DOC_NAME=FAT:FQL_AUDITING_CLIENT_TEMPLATE.FAT&amp;display_string=Audit&amp;VAR:KEY=SJCBEVYHYZ&amp;VAR:QUERY=UkdGX1RBWF9SQVRFKEFOTiwwLCwsLCwsTk9BVURJVCk=&amp;WINDOW=FIRST_POPUP&amp;HEIGHT=450&amp;WIDTH=450&amp;","START_MAXIMIZED=FALSE&amp;VAR:CALENDAR=US&amp;VAR:SYMBOL=B188NJ&amp;VAR:INDEX=0"}</definedName>
    <definedName name="_3757__FDSAUDITLINK__" localSheetId="7" hidden="1">{"fdsup://directions/FAT Viewer?action=UPDATE&amp;creator=factset&amp;DYN_ARGS=TRUE&amp;DOC_NAME=FAT:FQL_AUDITING_CLIENT_TEMPLATE.FAT&amp;display_string=Audit&amp;VAR:KEY=SJCBEVYHYZ&amp;VAR:QUERY=UkdGX1RBWF9SQVRFKEFOTiwwLCwsLCwsTk9BVURJVCk=&amp;WINDOW=FIRST_POPUP&amp;HEIGHT=450&amp;WIDTH=450&amp;","START_MAXIMIZED=FALSE&amp;VAR:CALENDAR=US&amp;VAR:SYMBOL=B188NJ&amp;VAR:INDEX=0"}</definedName>
    <definedName name="_3757__FDSAUDITLINK__" hidden="1">{"fdsup://directions/FAT Viewer?action=UPDATE&amp;creator=factset&amp;DYN_ARGS=TRUE&amp;DOC_NAME=FAT:FQL_AUDITING_CLIENT_TEMPLATE.FAT&amp;display_string=Audit&amp;VAR:KEY=SJCBEVYHYZ&amp;VAR:QUERY=UkdGX1RBWF9SQVRFKEFOTiwwLCwsLCwsTk9BVURJVCk=&amp;WINDOW=FIRST_POPUP&amp;HEIGHT=450&amp;WIDTH=450&amp;","START_MAXIMIZED=FALSE&amp;VAR:CALENDAR=US&amp;VAR:SYMBOL=B188NJ&amp;VAR:INDEX=0"}</definedName>
    <definedName name="_3758__FDSAUDITLINK__" localSheetId="3" hidden="1">{"fdsup://directions/FAT Viewer?action=UPDATE&amp;creator=factset&amp;DYN_ARGS=TRUE&amp;DOC_NAME=FAT:FQL_AUDITING_CLIENT_TEMPLATE.FAT&amp;display_string=Audit&amp;VAR:KEY=WPSZKLGRIR&amp;VAR:QUERY=UkdGX1RBWF9SQVRFKEFOTiwwLCwsLCwsTk9BVURJVCk=&amp;WINDOW=FIRST_POPUP&amp;HEIGHT=450&amp;WIDTH=450&amp;","START_MAXIMIZED=FALSE&amp;VAR:CALENDAR=US&amp;VAR:SYMBOL=INTU&amp;VAR:INDEX=0"}</definedName>
    <definedName name="_3758__FDSAUDITLINK__" localSheetId="7" hidden="1">{"fdsup://directions/FAT Viewer?action=UPDATE&amp;creator=factset&amp;DYN_ARGS=TRUE&amp;DOC_NAME=FAT:FQL_AUDITING_CLIENT_TEMPLATE.FAT&amp;display_string=Audit&amp;VAR:KEY=WPSZKLGRIR&amp;VAR:QUERY=UkdGX1RBWF9SQVRFKEFOTiwwLCwsLCwsTk9BVURJVCk=&amp;WINDOW=FIRST_POPUP&amp;HEIGHT=450&amp;WIDTH=450&amp;","START_MAXIMIZED=FALSE&amp;VAR:CALENDAR=US&amp;VAR:SYMBOL=INTU&amp;VAR:INDEX=0"}</definedName>
    <definedName name="_3758__FDSAUDITLINK__" hidden="1">{"fdsup://directions/FAT Viewer?action=UPDATE&amp;creator=factset&amp;DYN_ARGS=TRUE&amp;DOC_NAME=FAT:FQL_AUDITING_CLIENT_TEMPLATE.FAT&amp;display_string=Audit&amp;VAR:KEY=WPSZKLGRIR&amp;VAR:QUERY=UkdGX1RBWF9SQVRFKEFOTiwwLCwsLCwsTk9BVURJVCk=&amp;WINDOW=FIRST_POPUP&amp;HEIGHT=450&amp;WIDTH=450&amp;","START_MAXIMIZED=FALSE&amp;VAR:CALENDAR=US&amp;VAR:SYMBOL=INTU&amp;VAR:INDEX=0"}</definedName>
    <definedName name="_3759__FDSAUDITLINK__" localSheetId="3" hidden="1">{"fdsup://directions/FAT Viewer?action=UPDATE&amp;creator=factset&amp;DYN_ARGS=TRUE&amp;DOC_NAME=FAT:FQL_AUDITING_CLIENT_TEMPLATE.FAT&amp;display_string=Audit&amp;VAR:KEY=WPSZKLGRIR&amp;VAR:QUERY=UkdGX1RBWF9SQVRFKEFOTiwwLCwsLCwsTk9BVURJVCk=&amp;WINDOW=FIRST_POPUP&amp;HEIGHT=450&amp;WIDTH=450&amp;","START_MAXIMIZED=FALSE&amp;VAR:CALENDAR=US&amp;VAR:SYMBOL=INTU&amp;VAR:INDEX=0"}</definedName>
    <definedName name="_3759__FDSAUDITLINK__" localSheetId="7" hidden="1">{"fdsup://directions/FAT Viewer?action=UPDATE&amp;creator=factset&amp;DYN_ARGS=TRUE&amp;DOC_NAME=FAT:FQL_AUDITING_CLIENT_TEMPLATE.FAT&amp;display_string=Audit&amp;VAR:KEY=WPSZKLGRIR&amp;VAR:QUERY=UkdGX1RBWF9SQVRFKEFOTiwwLCwsLCwsTk9BVURJVCk=&amp;WINDOW=FIRST_POPUP&amp;HEIGHT=450&amp;WIDTH=450&amp;","START_MAXIMIZED=FALSE&amp;VAR:CALENDAR=US&amp;VAR:SYMBOL=INTU&amp;VAR:INDEX=0"}</definedName>
    <definedName name="_3759__FDSAUDITLINK__" hidden="1">{"fdsup://directions/FAT Viewer?action=UPDATE&amp;creator=factset&amp;DYN_ARGS=TRUE&amp;DOC_NAME=FAT:FQL_AUDITING_CLIENT_TEMPLATE.FAT&amp;display_string=Audit&amp;VAR:KEY=WPSZKLGRIR&amp;VAR:QUERY=UkdGX1RBWF9SQVRFKEFOTiwwLCwsLCwsTk9BVURJVCk=&amp;WINDOW=FIRST_POPUP&amp;HEIGHT=450&amp;WIDTH=450&amp;","START_MAXIMIZED=FALSE&amp;VAR:CALENDAR=US&amp;VAR:SYMBOL=INTU&amp;VAR:INDEX=0"}</definedName>
    <definedName name="_376__FDSAUDITLINK__" localSheetId="3" hidden="1">{"fdsup://directions/FAT Viewer?action=UPDATE&amp;creator=factset&amp;DYN_ARGS=TRUE&amp;DOC_NAME=FAT:FQL_AUDITING_CLIENT_TEMPLATE.FAT&amp;display_string=Audit&amp;VAR:KEY=SBSBCJMXQF&amp;VAR:QUERY=RkZfQVNTRVRfVFVSTihBTk4sMCwtOSxZLFJQKQ==&amp;WINDOW=FIRST_POPUP&amp;HEIGHT=450&amp;WIDTH=450&amp;STAR","T_MAXIMIZED=FALSE&amp;VAR:CALENDAR=US&amp;VAR:SYMBOL=B10LQP&amp;VAR:INDEX=7"}</definedName>
    <definedName name="_376__FDSAUDITLINK__" localSheetId="7" hidden="1">{"fdsup://directions/FAT Viewer?action=UPDATE&amp;creator=factset&amp;DYN_ARGS=TRUE&amp;DOC_NAME=FAT:FQL_AUDITING_CLIENT_TEMPLATE.FAT&amp;display_string=Audit&amp;VAR:KEY=SBSBCJMXQF&amp;VAR:QUERY=RkZfQVNTRVRfVFVSTihBTk4sMCwtOSxZLFJQKQ==&amp;WINDOW=FIRST_POPUP&amp;HEIGHT=450&amp;WIDTH=450&amp;STAR","T_MAXIMIZED=FALSE&amp;VAR:CALENDAR=US&amp;VAR:SYMBOL=B10LQP&amp;VAR:INDEX=7"}</definedName>
    <definedName name="_376__FDSAUDITLINK__" hidden="1">{"fdsup://directions/FAT Viewer?action=UPDATE&amp;creator=factset&amp;DYN_ARGS=TRUE&amp;DOC_NAME=FAT:FQL_AUDITING_CLIENT_TEMPLATE.FAT&amp;display_string=Audit&amp;VAR:KEY=SBSBCJMXQF&amp;VAR:QUERY=RkZfQVNTRVRfVFVSTihBTk4sMCwtOSxZLFJQKQ==&amp;WINDOW=FIRST_POPUP&amp;HEIGHT=450&amp;WIDTH=450&amp;STAR","T_MAXIMIZED=FALSE&amp;VAR:CALENDAR=US&amp;VAR:SYMBOL=B10LQP&amp;VAR:INDEX=7"}</definedName>
    <definedName name="_3760__FDSAUDITLINK__" localSheetId="3" hidden="1">{"fdsup://directions/FAT Viewer?action=UPDATE&amp;creator=factset&amp;DYN_ARGS=TRUE&amp;DOC_NAME=FAT:FQL_AUDITING_CLIENT_TEMPLATE.FAT&amp;display_string=Audit&amp;VAR:KEY=SZWBMRMFCF&amp;VAR:QUERY=UkdGX1RBWF9SQVRFKEFOTiwwLCwsLCwsTk9BVURJVCk=&amp;WINDOW=FIRST_POPUP&amp;HEIGHT=450&amp;WIDTH=450&amp;","START_MAXIMIZED=FALSE&amp;VAR:CALENDAR=US&amp;VAR:SYMBOL=IL&amp;VAR:INDEX=0"}</definedName>
    <definedName name="_3760__FDSAUDITLINK__" localSheetId="7" hidden="1">{"fdsup://directions/FAT Viewer?action=UPDATE&amp;creator=factset&amp;DYN_ARGS=TRUE&amp;DOC_NAME=FAT:FQL_AUDITING_CLIENT_TEMPLATE.FAT&amp;display_string=Audit&amp;VAR:KEY=SZWBMRMFCF&amp;VAR:QUERY=UkdGX1RBWF9SQVRFKEFOTiwwLCwsLCwsTk9BVURJVCk=&amp;WINDOW=FIRST_POPUP&amp;HEIGHT=450&amp;WIDTH=450&amp;","START_MAXIMIZED=FALSE&amp;VAR:CALENDAR=US&amp;VAR:SYMBOL=IL&amp;VAR:INDEX=0"}</definedName>
    <definedName name="_3760__FDSAUDITLINK__" hidden="1">{"fdsup://directions/FAT Viewer?action=UPDATE&amp;creator=factset&amp;DYN_ARGS=TRUE&amp;DOC_NAME=FAT:FQL_AUDITING_CLIENT_TEMPLATE.FAT&amp;display_string=Audit&amp;VAR:KEY=SZWBMRMFCF&amp;VAR:QUERY=UkdGX1RBWF9SQVRFKEFOTiwwLCwsLCwsTk9BVURJVCk=&amp;WINDOW=FIRST_POPUP&amp;HEIGHT=450&amp;WIDTH=450&amp;","START_MAXIMIZED=FALSE&amp;VAR:CALENDAR=US&amp;VAR:SYMBOL=IL&amp;VAR:INDEX=0"}</definedName>
    <definedName name="_3761__FDSAUDITLINK__" localSheetId="3" hidden="1">{"fdsup://directions/FAT Viewer?action=UPDATE&amp;creator=factset&amp;DYN_ARGS=TRUE&amp;DOC_NAME=FAT:FQL_AUDITING_CLIENT_TEMPLATE.FAT&amp;display_string=Audit&amp;VAR:KEY=AHYDSFQFIL&amp;VAR:QUERY=UkdGX1RBWF9SQVRFKEFOTiwwLCwsLCwsTk9BVURJVCk=&amp;WINDOW=FIRST_POPUP&amp;HEIGHT=450&amp;WIDTH=450&amp;","START_MAXIMIZED=FALSE&amp;VAR:CALENDAR=US&amp;VAR:SYMBOL=IBM&amp;VAR:INDEX=0"}</definedName>
    <definedName name="_3761__FDSAUDITLINK__" localSheetId="7" hidden="1">{"fdsup://directions/FAT Viewer?action=UPDATE&amp;creator=factset&amp;DYN_ARGS=TRUE&amp;DOC_NAME=FAT:FQL_AUDITING_CLIENT_TEMPLATE.FAT&amp;display_string=Audit&amp;VAR:KEY=AHYDSFQFIL&amp;VAR:QUERY=UkdGX1RBWF9SQVRFKEFOTiwwLCwsLCwsTk9BVURJVCk=&amp;WINDOW=FIRST_POPUP&amp;HEIGHT=450&amp;WIDTH=450&amp;","START_MAXIMIZED=FALSE&amp;VAR:CALENDAR=US&amp;VAR:SYMBOL=IBM&amp;VAR:INDEX=0"}</definedName>
    <definedName name="_3761__FDSAUDITLINK__" hidden="1">{"fdsup://directions/FAT Viewer?action=UPDATE&amp;creator=factset&amp;DYN_ARGS=TRUE&amp;DOC_NAME=FAT:FQL_AUDITING_CLIENT_TEMPLATE.FAT&amp;display_string=Audit&amp;VAR:KEY=AHYDSFQFIL&amp;VAR:QUERY=UkdGX1RBWF9SQVRFKEFOTiwwLCwsLCwsTk9BVURJVCk=&amp;WINDOW=FIRST_POPUP&amp;HEIGHT=450&amp;WIDTH=450&amp;","START_MAXIMIZED=FALSE&amp;VAR:CALENDAR=US&amp;VAR:SYMBOL=IBM&amp;VAR:INDEX=0"}</definedName>
    <definedName name="_3762__FDSAUDITLINK__" localSheetId="3" hidden="1">{"fdsup://directions/FAT Viewer?action=UPDATE&amp;creator=factset&amp;DYN_ARGS=TRUE&amp;DOC_NAME=FAT:FQL_AUDITING_CLIENT_TEMPLATE.FAT&amp;display_string=Audit&amp;VAR:KEY=AHYDSFQFIL&amp;VAR:QUERY=UkdGX1RBWF9SQVRFKEFOTiwwLCwsLCwsTk9BVURJVCk=&amp;WINDOW=FIRST_POPUP&amp;HEIGHT=450&amp;WIDTH=450&amp;","START_MAXIMIZED=FALSE&amp;VAR:CALENDAR=US&amp;VAR:SYMBOL=IBM&amp;VAR:INDEX=0"}</definedName>
    <definedName name="_3762__FDSAUDITLINK__" localSheetId="7" hidden="1">{"fdsup://directions/FAT Viewer?action=UPDATE&amp;creator=factset&amp;DYN_ARGS=TRUE&amp;DOC_NAME=FAT:FQL_AUDITING_CLIENT_TEMPLATE.FAT&amp;display_string=Audit&amp;VAR:KEY=AHYDSFQFIL&amp;VAR:QUERY=UkdGX1RBWF9SQVRFKEFOTiwwLCwsLCwsTk9BVURJVCk=&amp;WINDOW=FIRST_POPUP&amp;HEIGHT=450&amp;WIDTH=450&amp;","START_MAXIMIZED=FALSE&amp;VAR:CALENDAR=US&amp;VAR:SYMBOL=IBM&amp;VAR:INDEX=0"}</definedName>
    <definedName name="_3762__FDSAUDITLINK__" hidden="1">{"fdsup://directions/FAT Viewer?action=UPDATE&amp;creator=factset&amp;DYN_ARGS=TRUE&amp;DOC_NAME=FAT:FQL_AUDITING_CLIENT_TEMPLATE.FAT&amp;display_string=Audit&amp;VAR:KEY=AHYDSFQFIL&amp;VAR:QUERY=UkdGX1RBWF9SQVRFKEFOTiwwLCwsLCwsTk9BVURJVCk=&amp;WINDOW=FIRST_POPUP&amp;HEIGHT=450&amp;WIDTH=450&amp;","START_MAXIMIZED=FALSE&amp;VAR:CALENDAR=US&amp;VAR:SYMBOL=IBM&amp;VAR:INDEX=0"}</definedName>
    <definedName name="_3763__FDSAUDITLINK__" localSheetId="3" hidden="1">{"fdsup://directions/FAT Viewer?action=UPDATE&amp;creator=factset&amp;DYN_ARGS=TRUE&amp;DOC_NAME=FAT:FQL_AUDITING_CLIENT_TEMPLATE.FAT&amp;display_string=Audit&amp;VAR:KEY=ABAHYRINOF&amp;VAR:QUERY=UkdGX1RBWF9SQVRFKEFOTiwwLCwsLCwsTk9BVURJVCk=&amp;WINDOW=FIRST_POPUP&amp;HEIGHT=450&amp;WIDTH=450&amp;","START_MAXIMIZED=FALSE&amp;VAR:CALENDAR=US&amp;VAR:SYMBOL=INAP&amp;VAR:INDEX=0"}</definedName>
    <definedName name="_3763__FDSAUDITLINK__" localSheetId="7" hidden="1">{"fdsup://directions/FAT Viewer?action=UPDATE&amp;creator=factset&amp;DYN_ARGS=TRUE&amp;DOC_NAME=FAT:FQL_AUDITING_CLIENT_TEMPLATE.FAT&amp;display_string=Audit&amp;VAR:KEY=ABAHYRINOF&amp;VAR:QUERY=UkdGX1RBWF9SQVRFKEFOTiwwLCwsLCwsTk9BVURJVCk=&amp;WINDOW=FIRST_POPUP&amp;HEIGHT=450&amp;WIDTH=450&amp;","START_MAXIMIZED=FALSE&amp;VAR:CALENDAR=US&amp;VAR:SYMBOL=INAP&amp;VAR:INDEX=0"}</definedName>
    <definedName name="_3763__FDSAUDITLINK__" hidden="1">{"fdsup://directions/FAT Viewer?action=UPDATE&amp;creator=factset&amp;DYN_ARGS=TRUE&amp;DOC_NAME=FAT:FQL_AUDITING_CLIENT_TEMPLATE.FAT&amp;display_string=Audit&amp;VAR:KEY=ABAHYRINOF&amp;VAR:QUERY=UkdGX1RBWF9SQVRFKEFOTiwwLCwsLCwsTk9BVURJVCk=&amp;WINDOW=FIRST_POPUP&amp;HEIGHT=450&amp;WIDTH=450&amp;","START_MAXIMIZED=FALSE&amp;VAR:CALENDAR=US&amp;VAR:SYMBOL=INAP&amp;VAR:INDEX=0"}</definedName>
    <definedName name="_3764__FDSAUDITLINK__" localSheetId="3" hidden="1">{"fdsup://directions/FAT Viewer?action=UPDATE&amp;creator=factset&amp;DYN_ARGS=TRUE&amp;DOC_NAME=FAT:FQL_AUDITING_CLIENT_TEMPLATE.FAT&amp;display_string=Audit&amp;VAR:KEY=KXGJWVCZAD&amp;VAR:QUERY=UkdGX1RBWF9SQVRFKEFOTiwwLCwsLCwsTk9BVURJVCk=&amp;WINDOW=FIRST_POPUP&amp;HEIGHT=450&amp;WIDTH=450&amp;","START_MAXIMIZED=FALSE&amp;VAR:CALENDAR=US&amp;VAR:SYMBOL=ININ&amp;VAR:INDEX=0"}</definedName>
    <definedName name="_3764__FDSAUDITLINK__" localSheetId="7" hidden="1">{"fdsup://directions/FAT Viewer?action=UPDATE&amp;creator=factset&amp;DYN_ARGS=TRUE&amp;DOC_NAME=FAT:FQL_AUDITING_CLIENT_TEMPLATE.FAT&amp;display_string=Audit&amp;VAR:KEY=KXGJWVCZAD&amp;VAR:QUERY=UkdGX1RBWF9SQVRFKEFOTiwwLCwsLCwsTk9BVURJVCk=&amp;WINDOW=FIRST_POPUP&amp;HEIGHT=450&amp;WIDTH=450&amp;","START_MAXIMIZED=FALSE&amp;VAR:CALENDAR=US&amp;VAR:SYMBOL=ININ&amp;VAR:INDEX=0"}</definedName>
    <definedName name="_3764__FDSAUDITLINK__" hidden="1">{"fdsup://directions/FAT Viewer?action=UPDATE&amp;creator=factset&amp;DYN_ARGS=TRUE&amp;DOC_NAME=FAT:FQL_AUDITING_CLIENT_TEMPLATE.FAT&amp;display_string=Audit&amp;VAR:KEY=KXGJWVCZAD&amp;VAR:QUERY=UkdGX1RBWF9SQVRFKEFOTiwwLCwsLCwsTk9BVURJVCk=&amp;WINDOW=FIRST_POPUP&amp;HEIGHT=450&amp;WIDTH=450&amp;","START_MAXIMIZED=FALSE&amp;VAR:CALENDAR=US&amp;VAR:SYMBOL=ININ&amp;VAR:INDEX=0"}</definedName>
    <definedName name="_3765__FDSAUDITLINK__" localSheetId="3" hidden="1">{"fdsup://directions/FAT Viewer?action=UPDATE&amp;creator=factset&amp;DYN_ARGS=TRUE&amp;DOC_NAME=FAT:FQL_AUDITING_CLIENT_TEMPLATE.FAT&amp;display_string=Audit&amp;VAR:KEY=KXGJWVCZAD&amp;VAR:QUERY=UkdGX1RBWF9SQVRFKEFOTiwwLCwsLCwsTk9BVURJVCk=&amp;WINDOW=FIRST_POPUP&amp;HEIGHT=450&amp;WIDTH=450&amp;","START_MAXIMIZED=FALSE&amp;VAR:CALENDAR=US&amp;VAR:SYMBOL=ININ&amp;VAR:INDEX=0"}</definedName>
    <definedName name="_3765__FDSAUDITLINK__" localSheetId="7" hidden="1">{"fdsup://directions/FAT Viewer?action=UPDATE&amp;creator=factset&amp;DYN_ARGS=TRUE&amp;DOC_NAME=FAT:FQL_AUDITING_CLIENT_TEMPLATE.FAT&amp;display_string=Audit&amp;VAR:KEY=KXGJWVCZAD&amp;VAR:QUERY=UkdGX1RBWF9SQVRFKEFOTiwwLCwsLCwsTk9BVURJVCk=&amp;WINDOW=FIRST_POPUP&amp;HEIGHT=450&amp;WIDTH=450&amp;","START_MAXIMIZED=FALSE&amp;VAR:CALENDAR=US&amp;VAR:SYMBOL=ININ&amp;VAR:INDEX=0"}</definedName>
    <definedName name="_3765__FDSAUDITLINK__" hidden="1">{"fdsup://directions/FAT Viewer?action=UPDATE&amp;creator=factset&amp;DYN_ARGS=TRUE&amp;DOC_NAME=FAT:FQL_AUDITING_CLIENT_TEMPLATE.FAT&amp;display_string=Audit&amp;VAR:KEY=KXGJWVCZAD&amp;VAR:QUERY=UkdGX1RBWF9SQVRFKEFOTiwwLCwsLCwsTk9BVURJVCk=&amp;WINDOW=FIRST_POPUP&amp;HEIGHT=450&amp;WIDTH=450&amp;","START_MAXIMIZED=FALSE&amp;VAR:CALENDAR=US&amp;VAR:SYMBOL=ININ&amp;VAR:INDEX=0"}</definedName>
    <definedName name="_3766__FDSAUDITLINK__" localSheetId="3" hidden="1">{"fdsup://directions/FAT Viewer?action=UPDATE&amp;creator=factset&amp;DYN_ARGS=TRUE&amp;DOC_NAME=FAT:FQL_AUDITING_CLIENT_TEMPLATE.FAT&amp;display_string=Audit&amp;VAR:KEY=ILKZSPSNUZ&amp;VAR:QUERY=UkdGX1RBWF9SQVRFKEFOTiwwLCwsLCwsTk9BVURJVCk=&amp;WINDOW=FIRST_POPUP&amp;HEIGHT=450&amp;WIDTH=450&amp;","START_MAXIMIZED=FALSE&amp;VAR:CALENDAR=US&amp;VAR:SYMBOL=401870&amp;VAR:INDEX=0"}</definedName>
    <definedName name="_3766__FDSAUDITLINK__" localSheetId="7" hidden="1">{"fdsup://directions/FAT Viewer?action=UPDATE&amp;creator=factset&amp;DYN_ARGS=TRUE&amp;DOC_NAME=FAT:FQL_AUDITING_CLIENT_TEMPLATE.FAT&amp;display_string=Audit&amp;VAR:KEY=ILKZSPSNUZ&amp;VAR:QUERY=UkdGX1RBWF9SQVRFKEFOTiwwLCwsLCwsTk9BVURJVCk=&amp;WINDOW=FIRST_POPUP&amp;HEIGHT=450&amp;WIDTH=450&amp;","START_MAXIMIZED=FALSE&amp;VAR:CALENDAR=US&amp;VAR:SYMBOL=401870&amp;VAR:INDEX=0"}</definedName>
    <definedName name="_3766__FDSAUDITLINK__" hidden="1">{"fdsup://directions/FAT Viewer?action=UPDATE&amp;creator=factset&amp;DYN_ARGS=TRUE&amp;DOC_NAME=FAT:FQL_AUDITING_CLIENT_TEMPLATE.FAT&amp;display_string=Audit&amp;VAR:KEY=ILKZSPSNUZ&amp;VAR:QUERY=UkdGX1RBWF9SQVRFKEFOTiwwLCwsLCwsTk9BVURJVCk=&amp;WINDOW=FIRST_POPUP&amp;HEIGHT=450&amp;WIDTH=450&amp;","START_MAXIMIZED=FALSE&amp;VAR:CALENDAR=US&amp;VAR:SYMBOL=401870&amp;VAR:INDEX=0"}</definedName>
    <definedName name="_3767__FDSAUDITLINK__" localSheetId="3" hidden="1">{"fdsup://directions/FAT Viewer?action=UPDATE&amp;creator=factset&amp;DYN_ARGS=TRUE&amp;DOC_NAME=FAT:FQL_AUDITING_CLIENT_TEMPLATE.FAT&amp;display_string=Audit&amp;VAR:KEY=ILKZSPSNUZ&amp;VAR:QUERY=UkdGX1RBWF9SQVRFKEFOTiwwLCwsLCwsTk9BVURJVCk=&amp;WINDOW=FIRST_POPUP&amp;HEIGHT=450&amp;WIDTH=450&amp;","START_MAXIMIZED=FALSE&amp;VAR:CALENDAR=US&amp;VAR:SYMBOL=401870&amp;VAR:INDEX=0"}</definedName>
    <definedName name="_3767__FDSAUDITLINK__" localSheetId="7" hidden="1">{"fdsup://directions/FAT Viewer?action=UPDATE&amp;creator=factset&amp;DYN_ARGS=TRUE&amp;DOC_NAME=FAT:FQL_AUDITING_CLIENT_TEMPLATE.FAT&amp;display_string=Audit&amp;VAR:KEY=ILKZSPSNUZ&amp;VAR:QUERY=UkdGX1RBWF9SQVRFKEFOTiwwLCwsLCwsTk9BVURJVCk=&amp;WINDOW=FIRST_POPUP&amp;HEIGHT=450&amp;WIDTH=450&amp;","START_MAXIMIZED=FALSE&amp;VAR:CALENDAR=US&amp;VAR:SYMBOL=401870&amp;VAR:INDEX=0"}</definedName>
    <definedName name="_3767__FDSAUDITLINK__" hidden="1">{"fdsup://directions/FAT Viewer?action=UPDATE&amp;creator=factset&amp;DYN_ARGS=TRUE&amp;DOC_NAME=FAT:FQL_AUDITING_CLIENT_TEMPLATE.FAT&amp;display_string=Audit&amp;VAR:KEY=ILKZSPSNUZ&amp;VAR:QUERY=UkdGX1RBWF9SQVRFKEFOTiwwLCwsLCwsTk9BVURJVCk=&amp;WINDOW=FIRST_POPUP&amp;HEIGHT=450&amp;WIDTH=450&amp;","START_MAXIMIZED=FALSE&amp;VAR:CALENDAR=US&amp;VAR:SYMBOL=401870&amp;VAR:INDEX=0"}</definedName>
    <definedName name="_3768__FDSAUDITLINK__" localSheetId="3" hidden="1">{"fdsup://directions/FAT Viewer?action=UPDATE&amp;creator=factset&amp;DYN_ARGS=TRUE&amp;DOC_NAME=FAT:FQL_AUDITING_CLIENT_TEMPLATE.FAT&amp;display_string=Audit&amp;VAR:KEY=QPMFUZKXED&amp;VAR:QUERY=UkdGX1RBWF9SQVRFKEFOTiwwLCwsLCwsTk9BVURJVCk=&amp;WINDOW=FIRST_POPUP&amp;HEIGHT=450&amp;WIDTH=450&amp;","START_MAXIMIZED=FALSE&amp;VAR:CALENDAR=US&amp;VAR:SYMBOL=INTC&amp;VAR:INDEX=0"}</definedName>
    <definedName name="_3768__FDSAUDITLINK__" localSheetId="7" hidden="1">{"fdsup://directions/FAT Viewer?action=UPDATE&amp;creator=factset&amp;DYN_ARGS=TRUE&amp;DOC_NAME=FAT:FQL_AUDITING_CLIENT_TEMPLATE.FAT&amp;display_string=Audit&amp;VAR:KEY=QPMFUZKXED&amp;VAR:QUERY=UkdGX1RBWF9SQVRFKEFOTiwwLCwsLCwsTk9BVURJVCk=&amp;WINDOW=FIRST_POPUP&amp;HEIGHT=450&amp;WIDTH=450&amp;","START_MAXIMIZED=FALSE&amp;VAR:CALENDAR=US&amp;VAR:SYMBOL=INTC&amp;VAR:INDEX=0"}</definedName>
    <definedName name="_3768__FDSAUDITLINK__" hidden="1">{"fdsup://directions/FAT Viewer?action=UPDATE&amp;creator=factset&amp;DYN_ARGS=TRUE&amp;DOC_NAME=FAT:FQL_AUDITING_CLIENT_TEMPLATE.FAT&amp;display_string=Audit&amp;VAR:KEY=QPMFUZKXED&amp;VAR:QUERY=UkdGX1RBWF9SQVRFKEFOTiwwLCwsLCwsTk9BVURJVCk=&amp;WINDOW=FIRST_POPUP&amp;HEIGHT=450&amp;WIDTH=450&amp;","START_MAXIMIZED=FALSE&amp;VAR:CALENDAR=US&amp;VAR:SYMBOL=INTC&amp;VAR:INDEX=0"}</definedName>
    <definedName name="_3769__FDSAUDITLINK__" localSheetId="3" hidden="1">{"fdsup://directions/FAT Viewer?action=UPDATE&amp;creator=factset&amp;DYN_ARGS=TRUE&amp;DOC_NAME=FAT:FQL_AUDITING_CLIENT_TEMPLATE.FAT&amp;display_string=Audit&amp;VAR:KEY=QPMFUZKXED&amp;VAR:QUERY=UkdGX1RBWF9SQVRFKEFOTiwwLCwsLCwsTk9BVURJVCk=&amp;WINDOW=FIRST_POPUP&amp;HEIGHT=450&amp;WIDTH=450&amp;","START_MAXIMIZED=FALSE&amp;VAR:CALENDAR=US&amp;VAR:SYMBOL=INTC&amp;VAR:INDEX=0"}</definedName>
    <definedName name="_3769__FDSAUDITLINK__" localSheetId="7" hidden="1">{"fdsup://directions/FAT Viewer?action=UPDATE&amp;creator=factset&amp;DYN_ARGS=TRUE&amp;DOC_NAME=FAT:FQL_AUDITING_CLIENT_TEMPLATE.FAT&amp;display_string=Audit&amp;VAR:KEY=QPMFUZKXED&amp;VAR:QUERY=UkdGX1RBWF9SQVRFKEFOTiwwLCwsLCwsTk9BVURJVCk=&amp;WINDOW=FIRST_POPUP&amp;HEIGHT=450&amp;WIDTH=450&amp;","START_MAXIMIZED=FALSE&amp;VAR:CALENDAR=US&amp;VAR:SYMBOL=INTC&amp;VAR:INDEX=0"}</definedName>
    <definedName name="_3769__FDSAUDITLINK__" hidden="1">{"fdsup://directions/FAT Viewer?action=UPDATE&amp;creator=factset&amp;DYN_ARGS=TRUE&amp;DOC_NAME=FAT:FQL_AUDITING_CLIENT_TEMPLATE.FAT&amp;display_string=Audit&amp;VAR:KEY=QPMFUZKXED&amp;VAR:QUERY=UkdGX1RBWF9SQVRFKEFOTiwwLCwsLCwsTk9BVURJVCk=&amp;WINDOW=FIRST_POPUP&amp;HEIGHT=450&amp;WIDTH=450&amp;","START_MAXIMIZED=FALSE&amp;VAR:CALENDAR=US&amp;VAR:SYMBOL=INTC&amp;VAR:INDEX=0"}</definedName>
    <definedName name="_377__FDSAUDITLINK__" localSheetId="3" hidden="1">{"fdsup://directions/FAT Viewer?action=UPDATE&amp;creator=factset&amp;DYN_ARGS=TRUE&amp;DOC_NAME=FAT:FQL_AUDITING_CLIENT_TEMPLATE.FAT&amp;display_string=Audit&amp;VAR:KEY=SBSBCJMXQF&amp;VAR:QUERY=RkZfQVNTRVRfVFVSTihBTk4sMCwtOSxZLFJQKQ==&amp;WINDOW=FIRST_POPUP&amp;HEIGHT=450&amp;WIDTH=450&amp;STAR","T_MAXIMIZED=FALSE&amp;VAR:CALENDAR=US&amp;VAR:SYMBOL=B10LQP&amp;VAR:INDEX=6"}</definedName>
    <definedName name="_377__FDSAUDITLINK__" localSheetId="7" hidden="1">{"fdsup://directions/FAT Viewer?action=UPDATE&amp;creator=factset&amp;DYN_ARGS=TRUE&amp;DOC_NAME=FAT:FQL_AUDITING_CLIENT_TEMPLATE.FAT&amp;display_string=Audit&amp;VAR:KEY=SBSBCJMXQF&amp;VAR:QUERY=RkZfQVNTRVRfVFVSTihBTk4sMCwtOSxZLFJQKQ==&amp;WINDOW=FIRST_POPUP&amp;HEIGHT=450&amp;WIDTH=450&amp;STAR","T_MAXIMIZED=FALSE&amp;VAR:CALENDAR=US&amp;VAR:SYMBOL=B10LQP&amp;VAR:INDEX=6"}</definedName>
    <definedName name="_377__FDSAUDITLINK__" hidden="1">{"fdsup://directions/FAT Viewer?action=UPDATE&amp;creator=factset&amp;DYN_ARGS=TRUE&amp;DOC_NAME=FAT:FQL_AUDITING_CLIENT_TEMPLATE.FAT&amp;display_string=Audit&amp;VAR:KEY=SBSBCJMXQF&amp;VAR:QUERY=RkZfQVNTRVRfVFVSTihBTk4sMCwtOSxZLFJQKQ==&amp;WINDOW=FIRST_POPUP&amp;HEIGHT=450&amp;WIDTH=450&amp;STAR","T_MAXIMIZED=FALSE&amp;VAR:CALENDAR=US&amp;VAR:SYMBOL=B10LQP&amp;VAR:INDEX=6"}</definedName>
    <definedName name="_3770__FDSAUDITLINK__" localSheetId="3" hidden="1">{"fdsup://directions/FAT Viewer?action=UPDATE&amp;creator=factset&amp;DYN_ARGS=TRUE&amp;DOC_NAME=FAT:FQL_AUDITING_CLIENT_TEMPLATE.FAT&amp;display_string=Audit&amp;VAR:KEY=WZQHEZCNYR&amp;VAR:QUERY=UkdGX1RBWF9SQVRFKEFOTiwwLCwsLCwsTk9BVURJVCk=&amp;WINDOW=FIRST_POPUP&amp;HEIGHT=450&amp;WIDTH=450&amp;","START_MAXIMIZED=FALSE&amp;VAR:CALENDAR=US&amp;VAR:SYMBOL=INFA&amp;VAR:INDEX=0"}</definedName>
    <definedName name="_3770__FDSAUDITLINK__" localSheetId="7" hidden="1">{"fdsup://directions/FAT Viewer?action=UPDATE&amp;creator=factset&amp;DYN_ARGS=TRUE&amp;DOC_NAME=FAT:FQL_AUDITING_CLIENT_TEMPLATE.FAT&amp;display_string=Audit&amp;VAR:KEY=WZQHEZCNYR&amp;VAR:QUERY=UkdGX1RBWF9SQVRFKEFOTiwwLCwsLCwsTk9BVURJVCk=&amp;WINDOW=FIRST_POPUP&amp;HEIGHT=450&amp;WIDTH=450&amp;","START_MAXIMIZED=FALSE&amp;VAR:CALENDAR=US&amp;VAR:SYMBOL=INFA&amp;VAR:INDEX=0"}</definedName>
    <definedName name="_3770__FDSAUDITLINK__" hidden="1">{"fdsup://directions/FAT Viewer?action=UPDATE&amp;creator=factset&amp;DYN_ARGS=TRUE&amp;DOC_NAME=FAT:FQL_AUDITING_CLIENT_TEMPLATE.FAT&amp;display_string=Audit&amp;VAR:KEY=WZQHEZCNYR&amp;VAR:QUERY=UkdGX1RBWF9SQVRFKEFOTiwwLCwsLCwsTk9BVURJVCk=&amp;WINDOW=FIRST_POPUP&amp;HEIGHT=450&amp;WIDTH=450&amp;","START_MAXIMIZED=FALSE&amp;VAR:CALENDAR=US&amp;VAR:SYMBOL=INFA&amp;VAR:INDEX=0"}</definedName>
    <definedName name="_3771__FDSAUDITLINK__" localSheetId="3" hidden="1">{"fdsup://directions/FAT Viewer?action=UPDATE&amp;creator=factset&amp;DYN_ARGS=TRUE&amp;DOC_NAME=FAT:FQL_AUDITING_CLIENT_TEMPLATE.FAT&amp;display_string=Audit&amp;VAR:KEY=WZQHEZCNYR&amp;VAR:QUERY=UkdGX1RBWF9SQVRFKEFOTiwwLCwsLCwsTk9BVURJVCk=&amp;WINDOW=FIRST_POPUP&amp;HEIGHT=450&amp;WIDTH=450&amp;","START_MAXIMIZED=FALSE&amp;VAR:CALENDAR=US&amp;VAR:SYMBOL=INFA&amp;VAR:INDEX=0"}</definedName>
    <definedName name="_3771__FDSAUDITLINK__" localSheetId="7" hidden="1">{"fdsup://directions/FAT Viewer?action=UPDATE&amp;creator=factset&amp;DYN_ARGS=TRUE&amp;DOC_NAME=FAT:FQL_AUDITING_CLIENT_TEMPLATE.FAT&amp;display_string=Audit&amp;VAR:KEY=WZQHEZCNYR&amp;VAR:QUERY=UkdGX1RBWF9SQVRFKEFOTiwwLCwsLCwsTk9BVURJVCk=&amp;WINDOW=FIRST_POPUP&amp;HEIGHT=450&amp;WIDTH=450&amp;","START_MAXIMIZED=FALSE&amp;VAR:CALENDAR=US&amp;VAR:SYMBOL=INFA&amp;VAR:INDEX=0"}</definedName>
    <definedName name="_3771__FDSAUDITLINK__" hidden="1">{"fdsup://directions/FAT Viewer?action=UPDATE&amp;creator=factset&amp;DYN_ARGS=TRUE&amp;DOC_NAME=FAT:FQL_AUDITING_CLIENT_TEMPLATE.FAT&amp;display_string=Audit&amp;VAR:KEY=WZQHEZCNYR&amp;VAR:QUERY=UkdGX1RBWF9SQVRFKEFOTiwwLCwsLCwsTk9BVURJVCk=&amp;WINDOW=FIRST_POPUP&amp;HEIGHT=450&amp;WIDTH=450&amp;","START_MAXIMIZED=FALSE&amp;VAR:CALENDAR=US&amp;VAR:SYMBOL=INFA&amp;VAR:INDEX=0"}</definedName>
    <definedName name="_3772__FDSAUDITLINK__" localSheetId="3" hidden="1">{"fdsup://directions/FAT Viewer?action=UPDATE&amp;creator=factset&amp;DYN_ARGS=TRUE&amp;DOC_NAME=FAT:FQL_AUDITING_CLIENT_TEMPLATE.FAT&amp;display_string=Audit&amp;VAR:KEY=MVITANUVSX&amp;VAR:QUERY=UkdGX1RBWF9SQVRFKEFOTiwwLCwsLCwsTk9BVURJVCk=&amp;WINDOW=FIRST_POPUP&amp;HEIGHT=450&amp;WIDTH=450&amp;","START_MAXIMIZED=FALSE&amp;VAR:CALENDAR=US&amp;VAR:SYMBOL=567075&amp;VAR:INDEX=0"}</definedName>
    <definedName name="_3772__FDSAUDITLINK__" localSheetId="7" hidden="1">{"fdsup://directions/FAT Viewer?action=UPDATE&amp;creator=factset&amp;DYN_ARGS=TRUE&amp;DOC_NAME=FAT:FQL_AUDITING_CLIENT_TEMPLATE.FAT&amp;display_string=Audit&amp;VAR:KEY=MVITANUVSX&amp;VAR:QUERY=UkdGX1RBWF9SQVRFKEFOTiwwLCwsLCwsTk9BVURJVCk=&amp;WINDOW=FIRST_POPUP&amp;HEIGHT=450&amp;WIDTH=450&amp;","START_MAXIMIZED=FALSE&amp;VAR:CALENDAR=US&amp;VAR:SYMBOL=567075&amp;VAR:INDEX=0"}</definedName>
    <definedName name="_3772__FDSAUDITLINK__" hidden="1">{"fdsup://directions/FAT Viewer?action=UPDATE&amp;creator=factset&amp;DYN_ARGS=TRUE&amp;DOC_NAME=FAT:FQL_AUDITING_CLIENT_TEMPLATE.FAT&amp;display_string=Audit&amp;VAR:KEY=MVITANUVSX&amp;VAR:QUERY=UkdGX1RBWF9SQVRFKEFOTiwwLCwsLCwsTk9BVURJVCk=&amp;WINDOW=FIRST_POPUP&amp;HEIGHT=450&amp;WIDTH=450&amp;","START_MAXIMIZED=FALSE&amp;VAR:CALENDAR=US&amp;VAR:SYMBOL=567075&amp;VAR:INDEX=0"}</definedName>
    <definedName name="_3773__FDSAUDITLINK__" localSheetId="3" hidden="1">{"fdsup://directions/FAT Viewer?action=UPDATE&amp;creator=factset&amp;DYN_ARGS=TRUE&amp;DOC_NAME=FAT:FQL_AUDITING_CLIENT_TEMPLATE.FAT&amp;display_string=Audit&amp;VAR:KEY=MVITANUVSX&amp;VAR:QUERY=UkdGX1RBWF9SQVRFKEFOTiwwLCwsLCwsTk9BVURJVCk=&amp;WINDOW=FIRST_POPUP&amp;HEIGHT=450&amp;WIDTH=450&amp;","START_MAXIMIZED=FALSE&amp;VAR:CALENDAR=US&amp;VAR:SYMBOL=567075&amp;VAR:INDEX=0"}</definedName>
    <definedName name="_3773__FDSAUDITLINK__" localSheetId="7" hidden="1">{"fdsup://directions/FAT Viewer?action=UPDATE&amp;creator=factset&amp;DYN_ARGS=TRUE&amp;DOC_NAME=FAT:FQL_AUDITING_CLIENT_TEMPLATE.FAT&amp;display_string=Audit&amp;VAR:KEY=MVITANUVSX&amp;VAR:QUERY=UkdGX1RBWF9SQVRFKEFOTiwwLCwsLCwsTk9BVURJVCk=&amp;WINDOW=FIRST_POPUP&amp;HEIGHT=450&amp;WIDTH=450&amp;","START_MAXIMIZED=FALSE&amp;VAR:CALENDAR=US&amp;VAR:SYMBOL=567075&amp;VAR:INDEX=0"}</definedName>
    <definedName name="_3773__FDSAUDITLINK__" hidden="1">{"fdsup://directions/FAT Viewer?action=UPDATE&amp;creator=factset&amp;DYN_ARGS=TRUE&amp;DOC_NAME=FAT:FQL_AUDITING_CLIENT_TEMPLATE.FAT&amp;display_string=Audit&amp;VAR:KEY=MVITANUVSX&amp;VAR:QUERY=UkdGX1RBWF9SQVRFKEFOTiwwLCwsLCwsTk9BVURJVCk=&amp;WINDOW=FIRST_POPUP&amp;HEIGHT=450&amp;WIDTH=450&amp;","START_MAXIMIZED=FALSE&amp;VAR:CALENDAR=US&amp;VAR:SYMBOL=567075&amp;VAR:INDEX=0"}</definedName>
    <definedName name="_3774__FDSAUDITLINK__" localSheetId="3" hidden="1">{"fdsup://directions/FAT Viewer?action=UPDATE&amp;creator=factset&amp;DYN_ARGS=TRUE&amp;DOC_NAME=FAT:FQL_AUDITING_CLIENT_TEMPLATE.FAT&amp;display_string=Audit&amp;VAR:KEY=UXOPCTYRQN&amp;VAR:QUERY=UkdGX1RBWF9SQVRFKEFOTiwwLCwsLCwsTk9BVURJVCk=&amp;WINDOW=FIRST_POPUP&amp;HEIGHT=450&amp;WIDTH=450&amp;","START_MAXIMIZED=FALSE&amp;VAR:CALENDAR=US&amp;VAR:SYMBOL=IRM&amp;VAR:INDEX=0"}</definedName>
    <definedName name="_3774__FDSAUDITLINK__" localSheetId="7" hidden="1">{"fdsup://directions/FAT Viewer?action=UPDATE&amp;creator=factset&amp;DYN_ARGS=TRUE&amp;DOC_NAME=FAT:FQL_AUDITING_CLIENT_TEMPLATE.FAT&amp;display_string=Audit&amp;VAR:KEY=UXOPCTYRQN&amp;VAR:QUERY=UkdGX1RBWF9SQVRFKEFOTiwwLCwsLCwsTk9BVURJVCk=&amp;WINDOW=FIRST_POPUP&amp;HEIGHT=450&amp;WIDTH=450&amp;","START_MAXIMIZED=FALSE&amp;VAR:CALENDAR=US&amp;VAR:SYMBOL=IRM&amp;VAR:INDEX=0"}</definedName>
    <definedName name="_3774__FDSAUDITLINK__" hidden="1">{"fdsup://directions/FAT Viewer?action=UPDATE&amp;creator=factset&amp;DYN_ARGS=TRUE&amp;DOC_NAME=FAT:FQL_AUDITING_CLIENT_TEMPLATE.FAT&amp;display_string=Audit&amp;VAR:KEY=UXOPCTYRQN&amp;VAR:QUERY=UkdGX1RBWF9SQVRFKEFOTiwwLCwsLCwsTk9BVURJVCk=&amp;WINDOW=FIRST_POPUP&amp;HEIGHT=450&amp;WIDTH=450&amp;","START_MAXIMIZED=FALSE&amp;VAR:CALENDAR=US&amp;VAR:SYMBOL=IRM&amp;VAR:INDEX=0"}</definedName>
    <definedName name="_3775__FDSAUDITLINK__" localSheetId="3" hidden="1">{"fdsup://directions/FAT Viewer?action=UPDATE&amp;creator=factset&amp;DYN_ARGS=TRUE&amp;DOC_NAME=FAT:FQL_AUDITING_CLIENT_TEMPLATE.FAT&amp;display_string=Audit&amp;VAR:KEY=UXOPCTYRQN&amp;VAR:QUERY=UkdGX1RBWF9SQVRFKEFOTiwwLCwsLCwsTk9BVURJVCk=&amp;WINDOW=FIRST_POPUP&amp;HEIGHT=450&amp;WIDTH=450&amp;","START_MAXIMIZED=FALSE&amp;VAR:CALENDAR=US&amp;VAR:SYMBOL=IRM&amp;VAR:INDEX=0"}</definedName>
    <definedName name="_3775__FDSAUDITLINK__" localSheetId="7" hidden="1">{"fdsup://directions/FAT Viewer?action=UPDATE&amp;creator=factset&amp;DYN_ARGS=TRUE&amp;DOC_NAME=FAT:FQL_AUDITING_CLIENT_TEMPLATE.FAT&amp;display_string=Audit&amp;VAR:KEY=UXOPCTYRQN&amp;VAR:QUERY=UkdGX1RBWF9SQVRFKEFOTiwwLCwsLCwsTk9BVURJVCk=&amp;WINDOW=FIRST_POPUP&amp;HEIGHT=450&amp;WIDTH=450&amp;","START_MAXIMIZED=FALSE&amp;VAR:CALENDAR=US&amp;VAR:SYMBOL=IRM&amp;VAR:INDEX=0"}</definedName>
    <definedName name="_3775__FDSAUDITLINK__" hidden="1">{"fdsup://directions/FAT Viewer?action=UPDATE&amp;creator=factset&amp;DYN_ARGS=TRUE&amp;DOC_NAME=FAT:FQL_AUDITING_CLIENT_TEMPLATE.FAT&amp;display_string=Audit&amp;VAR:KEY=UXOPCTYRQN&amp;VAR:QUERY=UkdGX1RBWF9SQVRFKEFOTiwwLCwsLCwsTk9BVURJVCk=&amp;WINDOW=FIRST_POPUP&amp;HEIGHT=450&amp;WIDTH=450&amp;","START_MAXIMIZED=FALSE&amp;VAR:CALENDAR=US&amp;VAR:SYMBOL=IRM&amp;VAR:INDEX=0"}</definedName>
    <definedName name="_3776__FDSAUDITLINK__" localSheetId="3" hidden="1">{"fdsup://directions/FAT Viewer?action=UPDATE&amp;creator=factset&amp;DYN_ARGS=TRUE&amp;DOC_NAME=FAT:FQL_AUDITING_CLIENT_TEMPLATE.FAT&amp;display_string=Audit&amp;VAR:KEY=AZGXCPMBQF&amp;VAR:QUERY=UkdGX1RBWF9SQVRFKEFOTiwwLCwsLCwsTk9BVURJVCk=&amp;WINDOW=FIRST_POPUP&amp;HEIGHT=450&amp;WIDTH=450&amp;","START_MAXIMIZED=FALSE&amp;VAR:CALENDAR=US&amp;VAR:SYMBOL=HPQ&amp;VAR:INDEX=0"}</definedName>
    <definedName name="_3776__FDSAUDITLINK__" localSheetId="7" hidden="1">{"fdsup://directions/FAT Viewer?action=UPDATE&amp;creator=factset&amp;DYN_ARGS=TRUE&amp;DOC_NAME=FAT:FQL_AUDITING_CLIENT_TEMPLATE.FAT&amp;display_string=Audit&amp;VAR:KEY=AZGXCPMBQF&amp;VAR:QUERY=UkdGX1RBWF9SQVRFKEFOTiwwLCwsLCwsTk9BVURJVCk=&amp;WINDOW=FIRST_POPUP&amp;HEIGHT=450&amp;WIDTH=450&amp;","START_MAXIMIZED=FALSE&amp;VAR:CALENDAR=US&amp;VAR:SYMBOL=HPQ&amp;VAR:INDEX=0"}</definedName>
    <definedName name="_3776__FDSAUDITLINK__" hidden="1">{"fdsup://directions/FAT Viewer?action=UPDATE&amp;creator=factset&amp;DYN_ARGS=TRUE&amp;DOC_NAME=FAT:FQL_AUDITING_CLIENT_TEMPLATE.FAT&amp;display_string=Audit&amp;VAR:KEY=AZGXCPMBQF&amp;VAR:QUERY=UkdGX1RBWF9SQVRFKEFOTiwwLCwsLCwsTk9BVURJVCk=&amp;WINDOW=FIRST_POPUP&amp;HEIGHT=450&amp;WIDTH=450&amp;","START_MAXIMIZED=FALSE&amp;VAR:CALENDAR=US&amp;VAR:SYMBOL=HPQ&amp;VAR:INDEX=0"}</definedName>
    <definedName name="_3777__FDSAUDITLINK__" localSheetId="3" hidden="1">{"fdsup://directions/FAT Viewer?action=UPDATE&amp;creator=factset&amp;DYN_ARGS=TRUE&amp;DOC_NAME=FAT:FQL_AUDITING_CLIENT_TEMPLATE.FAT&amp;display_string=Audit&amp;VAR:KEY=AZGXCPMBQF&amp;VAR:QUERY=UkdGX1RBWF9SQVRFKEFOTiwwLCwsLCwsTk9BVURJVCk=&amp;WINDOW=FIRST_POPUP&amp;HEIGHT=450&amp;WIDTH=450&amp;","START_MAXIMIZED=FALSE&amp;VAR:CALENDAR=US&amp;VAR:SYMBOL=HPQ&amp;VAR:INDEX=0"}</definedName>
    <definedName name="_3777__FDSAUDITLINK__" localSheetId="7" hidden="1">{"fdsup://directions/FAT Viewer?action=UPDATE&amp;creator=factset&amp;DYN_ARGS=TRUE&amp;DOC_NAME=FAT:FQL_AUDITING_CLIENT_TEMPLATE.FAT&amp;display_string=Audit&amp;VAR:KEY=AZGXCPMBQF&amp;VAR:QUERY=UkdGX1RBWF9SQVRFKEFOTiwwLCwsLCwsTk9BVURJVCk=&amp;WINDOW=FIRST_POPUP&amp;HEIGHT=450&amp;WIDTH=450&amp;","START_MAXIMIZED=FALSE&amp;VAR:CALENDAR=US&amp;VAR:SYMBOL=HPQ&amp;VAR:INDEX=0"}</definedName>
    <definedName name="_3777__FDSAUDITLINK__" hidden="1">{"fdsup://directions/FAT Viewer?action=UPDATE&amp;creator=factset&amp;DYN_ARGS=TRUE&amp;DOC_NAME=FAT:FQL_AUDITING_CLIENT_TEMPLATE.FAT&amp;display_string=Audit&amp;VAR:KEY=AZGXCPMBQF&amp;VAR:QUERY=UkdGX1RBWF9SQVRFKEFOTiwwLCwsLCwsTk9BVURJVCk=&amp;WINDOW=FIRST_POPUP&amp;HEIGHT=450&amp;WIDTH=450&amp;","START_MAXIMIZED=FALSE&amp;VAR:CALENDAR=US&amp;VAR:SYMBOL=HPQ&amp;VAR:INDEX=0"}</definedName>
    <definedName name="_3778__FDSAUDITLINK__" localSheetId="3" hidden="1">{"fdsup://directions/FAT Viewer?action=UPDATE&amp;creator=factset&amp;DYN_ARGS=TRUE&amp;DOC_NAME=FAT:FQL_AUDITING_CLIENT_TEMPLATE.FAT&amp;display_string=Audit&amp;VAR:KEY=WRYZORWRCB&amp;VAR:QUERY=UkdGX1RBWF9SQVRFKEFOTiwwLCwsLCwsTk9BVURJVCk=&amp;WINDOW=FIRST_POPUP&amp;HEIGHT=450&amp;WIDTH=450&amp;","START_MAXIMIZED=FALSE&amp;VAR:CALENDAR=US&amp;VAR:SYMBOL=HPOL&amp;VAR:INDEX=0"}</definedName>
    <definedName name="_3778__FDSAUDITLINK__" localSheetId="7" hidden="1">{"fdsup://directions/FAT Viewer?action=UPDATE&amp;creator=factset&amp;DYN_ARGS=TRUE&amp;DOC_NAME=FAT:FQL_AUDITING_CLIENT_TEMPLATE.FAT&amp;display_string=Audit&amp;VAR:KEY=WRYZORWRCB&amp;VAR:QUERY=UkdGX1RBWF9SQVRFKEFOTiwwLCwsLCwsTk9BVURJVCk=&amp;WINDOW=FIRST_POPUP&amp;HEIGHT=450&amp;WIDTH=450&amp;","START_MAXIMIZED=FALSE&amp;VAR:CALENDAR=US&amp;VAR:SYMBOL=HPOL&amp;VAR:INDEX=0"}</definedName>
    <definedName name="_3778__FDSAUDITLINK__" hidden="1">{"fdsup://directions/FAT Viewer?action=UPDATE&amp;creator=factset&amp;DYN_ARGS=TRUE&amp;DOC_NAME=FAT:FQL_AUDITING_CLIENT_TEMPLATE.FAT&amp;display_string=Audit&amp;VAR:KEY=WRYZORWRCB&amp;VAR:QUERY=UkdGX1RBWF9SQVRFKEFOTiwwLCwsLCwsTk9BVURJVCk=&amp;WINDOW=FIRST_POPUP&amp;HEIGHT=450&amp;WIDTH=450&amp;","START_MAXIMIZED=FALSE&amp;VAR:CALENDAR=US&amp;VAR:SYMBOL=HPOL&amp;VAR:INDEX=0"}</definedName>
    <definedName name="_3779__FDSAUDITLINK__" localSheetId="3" hidden="1">{"fdsup://directions/FAT Viewer?action=UPDATE&amp;creator=factset&amp;DYN_ARGS=TRUE&amp;DOC_NAME=FAT:FQL_AUDITING_CLIENT_TEMPLATE.FAT&amp;display_string=Audit&amp;VAR:KEY=GLGTKJMPKR&amp;VAR:QUERY=UkdGX1RBWF9SQVRFKEFOTiwwLCwsLCwsTk9BVURJVCk=&amp;WINDOW=FIRST_POPUP&amp;HEIGHT=450&amp;WIDTH=450&amp;","START_MAXIMIZED=FALSE&amp;VAR:CALENDAR=US&amp;VAR:SYMBOL=GUID&amp;VAR:INDEX=0"}</definedName>
    <definedName name="_3779__FDSAUDITLINK__" localSheetId="7" hidden="1">{"fdsup://directions/FAT Viewer?action=UPDATE&amp;creator=factset&amp;DYN_ARGS=TRUE&amp;DOC_NAME=FAT:FQL_AUDITING_CLIENT_TEMPLATE.FAT&amp;display_string=Audit&amp;VAR:KEY=GLGTKJMPKR&amp;VAR:QUERY=UkdGX1RBWF9SQVRFKEFOTiwwLCwsLCwsTk9BVURJVCk=&amp;WINDOW=FIRST_POPUP&amp;HEIGHT=450&amp;WIDTH=450&amp;","START_MAXIMIZED=FALSE&amp;VAR:CALENDAR=US&amp;VAR:SYMBOL=GUID&amp;VAR:INDEX=0"}</definedName>
    <definedName name="_3779__FDSAUDITLINK__" hidden="1">{"fdsup://directions/FAT Viewer?action=UPDATE&amp;creator=factset&amp;DYN_ARGS=TRUE&amp;DOC_NAME=FAT:FQL_AUDITING_CLIENT_TEMPLATE.FAT&amp;display_string=Audit&amp;VAR:KEY=GLGTKJMPKR&amp;VAR:QUERY=UkdGX1RBWF9SQVRFKEFOTiwwLCwsLCwsTk9BVURJVCk=&amp;WINDOW=FIRST_POPUP&amp;HEIGHT=450&amp;WIDTH=450&amp;","START_MAXIMIZED=FALSE&amp;VAR:CALENDAR=US&amp;VAR:SYMBOL=GUID&amp;VAR:INDEX=0"}</definedName>
    <definedName name="_378__FDSAUDITLINK__" localSheetId="3" hidden="1">{"fdsup://directions/FAT Viewer?action=UPDATE&amp;creator=factset&amp;DYN_ARGS=TRUE&amp;DOC_NAME=FAT:FQL_AUDITING_CLIENT_TEMPLATE.FAT&amp;display_string=Audit&amp;VAR:KEY=SBSBCJMXQF&amp;VAR:QUERY=RkZfQVNTRVRfVFVSTihBTk4sMCwtOSxZLFJQKQ==&amp;WINDOW=FIRST_POPUP&amp;HEIGHT=450&amp;WIDTH=450&amp;STAR","T_MAXIMIZED=FALSE&amp;VAR:CALENDAR=US&amp;VAR:SYMBOL=B10LQP&amp;VAR:INDEX=5"}</definedName>
    <definedName name="_378__FDSAUDITLINK__" localSheetId="7" hidden="1">{"fdsup://directions/FAT Viewer?action=UPDATE&amp;creator=factset&amp;DYN_ARGS=TRUE&amp;DOC_NAME=FAT:FQL_AUDITING_CLIENT_TEMPLATE.FAT&amp;display_string=Audit&amp;VAR:KEY=SBSBCJMXQF&amp;VAR:QUERY=RkZfQVNTRVRfVFVSTihBTk4sMCwtOSxZLFJQKQ==&amp;WINDOW=FIRST_POPUP&amp;HEIGHT=450&amp;WIDTH=450&amp;STAR","T_MAXIMIZED=FALSE&amp;VAR:CALENDAR=US&amp;VAR:SYMBOL=B10LQP&amp;VAR:INDEX=5"}</definedName>
    <definedName name="_378__FDSAUDITLINK__" hidden="1">{"fdsup://directions/FAT Viewer?action=UPDATE&amp;creator=factset&amp;DYN_ARGS=TRUE&amp;DOC_NAME=FAT:FQL_AUDITING_CLIENT_TEMPLATE.FAT&amp;display_string=Audit&amp;VAR:KEY=SBSBCJMXQF&amp;VAR:QUERY=RkZfQVNTRVRfVFVSTihBTk4sMCwtOSxZLFJQKQ==&amp;WINDOW=FIRST_POPUP&amp;HEIGHT=450&amp;WIDTH=450&amp;STAR","T_MAXIMIZED=FALSE&amp;VAR:CALENDAR=US&amp;VAR:SYMBOL=B10LQP&amp;VAR:INDEX=5"}</definedName>
    <definedName name="_3780__FDSAUDITLINK__" localSheetId="3" hidden="1">{"fdsup://directions/FAT Viewer?action=UPDATE&amp;creator=factset&amp;DYN_ARGS=TRUE&amp;DOC_NAME=FAT:FQL_AUDITING_CLIENT_TEMPLATE.FAT&amp;display_string=Audit&amp;VAR:KEY=ABQPCJYZCJ&amp;VAR:QUERY=UkdGX1RBWF9SQVRFKEFOTiwwLCwsLCwsTk9BVURJVCk=&amp;WINDOW=FIRST_POPUP&amp;HEIGHT=450&amp;WIDTH=450&amp;","START_MAXIMIZED=FALSE&amp;VAR:CALENDAR=US&amp;VAR:SYMBOL=GDOT&amp;VAR:INDEX=0"}</definedName>
    <definedName name="_3780__FDSAUDITLINK__" localSheetId="7" hidden="1">{"fdsup://directions/FAT Viewer?action=UPDATE&amp;creator=factset&amp;DYN_ARGS=TRUE&amp;DOC_NAME=FAT:FQL_AUDITING_CLIENT_TEMPLATE.FAT&amp;display_string=Audit&amp;VAR:KEY=ABQPCJYZCJ&amp;VAR:QUERY=UkdGX1RBWF9SQVRFKEFOTiwwLCwsLCwsTk9BVURJVCk=&amp;WINDOW=FIRST_POPUP&amp;HEIGHT=450&amp;WIDTH=450&amp;","START_MAXIMIZED=FALSE&amp;VAR:CALENDAR=US&amp;VAR:SYMBOL=GDOT&amp;VAR:INDEX=0"}</definedName>
    <definedName name="_3780__FDSAUDITLINK__" hidden="1">{"fdsup://directions/FAT Viewer?action=UPDATE&amp;creator=factset&amp;DYN_ARGS=TRUE&amp;DOC_NAME=FAT:FQL_AUDITING_CLIENT_TEMPLATE.FAT&amp;display_string=Audit&amp;VAR:KEY=ABQPCJYZCJ&amp;VAR:QUERY=UkdGX1RBWF9SQVRFKEFOTiwwLCwsLCwsTk9BVURJVCk=&amp;WINDOW=FIRST_POPUP&amp;HEIGHT=450&amp;WIDTH=450&amp;","START_MAXIMIZED=FALSE&amp;VAR:CALENDAR=US&amp;VAR:SYMBOL=GDOT&amp;VAR:INDEX=0"}</definedName>
    <definedName name="_3781__FDSAUDITLINK__" localSheetId="3" hidden="1">{"fdsup://directions/FAT Viewer?action=UPDATE&amp;creator=factset&amp;DYN_ARGS=TRUE&amp;DOC_NAME=FAT:FQL_AUDITING_CLIENT_TEMPLATE.FAT&amp;display_string=Audit&amp;VAR:KEY=ABQPCJYZCJ&amp;VAR:QUERY=UkdGX1RBWF9SQVRFKEFOTiwwLCwsLCwsTk9BVURJVCk=&amp;WINDOW=FIRST_POPUP&amp;HEIGHT=450&amp;WIDTH=450&amp;","START_MAXIMIZED=FALSE&amp;VAR:CALENDAR=US&amp;VAR:SYMBOL=GDOT&amp;VAR:INDEX=0"}</definedName>
    <definedName name="_3781__FDSAUDITLINK__" localSheetId="7" hidden="1">{"fdsup://directions/FAT Viewer?action=UPDATE&amp;creator=factset&amp;DYN_ARGS=TRUE&amp;DOC_NAME=FAT:FQL_AUDITING_CLIENT_TEMPLATE.FAT&amp;display_string=Audit&amp;VAR:KEY=ABQPCJYZCJ&amp;VAR:QUERY=UkdGX1RBWF9SQVRFKEFOTiwwLCwsLCwsTk9BVURJVCk=&amp;WINDOW=FIRST_POPUP&amp;HEIGHT=450&amp;WIDTH=450&amp;","START_MAXIMIZED=FALSE&amp;VAR:CALENDAR=US&amp;VAR:SYMBOL=GDOT&amp;VAR:INDEX=0"}</definedName>
    <definedName name="_3781__FDSAUDITLINK__" hidden="1">{"fdsup://directions/FAT Viewer?action=UPDATE&amp;creator=factset&amp;DYN_ARGS=TRUE&amp;DOC_NAME=FAT:FQL_AUDITING_CLIENT_TEMPLATE.FAT&amp;display_string=Audit&amp;VAR:KEY=ABQPCJYZCJ&amp;VAR:QUERY=UkdGX1RBWF9SQVRFKEFOTiwwLCwsLCwsTk9BVURJVCk=&amp;WINDOW=FIRST_POPUP&amp;HEIGHT=450&amp;WIDTH=450&amp;","START_MAXIMIZED=FALSE&amp;VAR:CALENDAR=US&amp;VAR:SYMBOL=GDOT&amp;VAR:INDEX=0"}</definedName>
    <definedName name="_3782__FDSAUDITLINK__" localSheetId="3" hidden="1">{"fdsup://directions/FAT Viewer?action=UPDATE&amp;creator=factset&amp;DYN_ARGS=TRUE&amp;DOC_NAME=FAT:FQL_AUDITING_CLIENT_TEMPLATE.FAT&amp;display_string=Audit&amp;VAR:KEY=KVWJIXKPUX&amp;VAR:QUERY=UkdGX1RBWF9SQVRFKEFOTiwwLCwsLCwsTk9BVURJVCk=&amp;WINDOW=FIRST_POPUP&amp;HEIGHT=450&amp;WIDTH=450&amp;","START_MAXIMIZED=FALSE&amp;VAR:CALENDAR=US&amp;VAR:SYMBOL=GOOG&amp;VAR:INDEX=0"}</definedName>
    <definedName name="_3782__FDSAUDITLINK__" localSheetId="7" hidden="1">{"fdsup://directions/FAT Viewer?action=UPDATE&amp;creator=factset&amp;DYN_ARGS=TRUE&amp;DOC_NAME=FAT:FQL_AUDITING_CLIENT_TEMPLATE.FAT&amp;display_string=Audit&amp;VAR:KEY=KVWJIXKPUX&amp;VAR:QUERY=UkdGX1RBWF9SQVRFKEFOTiwwLCwsLCwsTk9BVURJVCk=&amp;WINDOW=FIRST_POPUP&amp;HEIGHT=450&amp;WIDTH=450&amp;","START_MAXIMIZED=FALSE&amp;VAR:CALENDAR=US&amp;VAR:SYMBOL=GOOG&amp;VAR:INDEX=0"}</definedName>
    <definedName name="_3782__FDSAUDITLINK__" hidden="1">{"fdsup://directions/FAT Viewer?action=UPDATE&amp;creator=factset&amp;DYN_ARGS=TRUE&amp;DOC_NAME=FAT:FQL_AUDITING_CLIENT_TEMPLATE.FAT&amp;display_string=Audit&amp;VAR:KEY=KVWJIXKPUX&amp;VAR:QUERY=UkdGX1RBWF9SQVRFKEFOTiwwLCwsLCwsTk9BVURJVCk=&amp;WINDOW=FIRST_POPUP&amp;HEIGHT=450&amp;WIDTH=450&amp;","START_MAXIMIZED=FALSE&amp;VAR:CALENDAR=US&amp;VAR:SYMBOL=GOOG&amp;VAR:INDEX=0"}</definedName>
    <definedName name="_3783__FDSAUDITLINK__" localSheetId="3" hidden="1">{"fdsup://directions/FAT Viewer?action=UPDATE&amp;creator=factset&amp;DYN_ARGS=TRUE&amp;DOC_NAME=FAT:FQL_AUDITING_CLIENT_TEMPLATE.FAT&amp;display_string=Audit&amp;VAR:KEY=KVWJIXKPUX&amp;VAR:QUERY=UkdGX1RBWF9SQVRFKEFOTiwwLCwsLCwsTk9BVURJVCk=&amp;WINDOW=FIRST_POPUP&amp;HEIGHT=450&amp;WIDTH=450&amp;","START_MAXIMIZED=FALSE&amp;VAR:CALENDAR=US&amp;VAR:SYMBOL=GOOG&amp;VAR:INDEX=0"}</definedName>
    <definedName name="_3783__FDSAUDITLINK__" localSheetId="7" hidden="1">{"fdsup://directions/FAT Viewer?action=UPDATE&amp;creator=factset&amp;DYN_ARGS=TRUE&amp;DOC_NAME=FAT:FQL_AUDITING_CLIENT_TEMPLATE.FAT&amp;display_string=Audit&amp;VAR:KEY=KVWJIXKPUX&amp;VAR:QUERY=UkdGX1RBWF9SQVRFKEFOTiwwLCwsLCwsTk9BVURJVCk=&amp;WINDOW=FIRST_POPUP&amp;HEIGHT=450&amp;WIDTH=450&amp;","START_MAXIMIZED=FALSE&amp;VAR:CALENDAR=US&amp;VAR:SYMBOL=GOOG&amp;VAR:INDEX=0"}</definedName>
    <definedName name="_3783__FDSAUDITLINK__" hidden="1">{"fdsup://directions/FAT Viewer?action=UPDATE&amp;creator=factset&amp;DYN_ARGS=TRUE&amp;DOC_NAME=FAT:FQL_AUDITING_CLIENT_TEMPLATE.FAT&amp;display_string=Audit&amp;VAR:KEY=KVWJIXKPUX&amp;VAR:QUERY=UkdGX1RBWF9SQVRFKEFOTiwwLCwsLCwsTk9BVURJVCk=&amp;WINDOW=FIRST_POPUP&amp;HEIGHT=450&amp;WIDTH=450&amp;","START_MAXIMIZED=FALSE&amp;VAR:CALENDAR=US&amp;VAR:SYMBOL=GOOG&amp;VAR:INDEX=0"}</definedName>
    <definedName name="_3784__FDSAUDITLINK__" localSheetId="3" hidden="1">{"fdsup://directions/FAT Viewer?action=UPDATE&amp;creator=factset&amp;DYN_ARGS=TRUE&amp;DOC_NAME=FAT:FQL_AUDITING_CLIENT_TEMPLATE.FAT&amp;display_string=Audit&amp;VAR:KEY=QNEJKDCTIB&amp;VAR:QUERY=UkdGX1RBWF9SQVRFKEFOTiwwLCwsLCwsTk9BVURJVCk=&amp;WINDOW=FIRST_POPUP&amp;HEIGHT=450&amp;WIDTH=450&amp;","START_MAXIMIZED=FALSE&amp;VAR:CALENDAR=US&amp;VAR:SYMBOL=IT&amp;VAR:INDEX=0"}</definedName>
    <definedName name="_3784__FDSAUDITLINK__" localSheetId="7" hidden="1">{"fdsup://directions/FAT Viewer?action=UPDATE&amp;creator=factset&amp;DYN_ARGS=TRUE&amp;DOC_NAME=FAT:FQL_AUDITING_CLIENT_TEMPLATE.FAT&amp;display_string=Audit&amp;VAR:KEY=QNEJKDCTIB&amp;VAR:QUERY=UkdGX1RBWF9SQVRFKEFOTiwwLCwsLCwsTk9BVURJVCk=&amp;WINDOW=FIRST_POPUP&amp;HEIGHT=450&amp;WIDTH=450&amp;","START_MAXIMIZED=FALSE&amp;VAR:CALENDAR=US&amp;VAR:SYMBOL=IT&amp;VAR:INDEX=0"}</definedName>
    <definedName name="_3784__FDSAUDITLINK__" hidden="1">{"fdsup://directions/FAT Viewer?action=UPDATE&amp;creator=factset&amp;DYN_ARGS=TRUE&amp;DOC_NAME=FAT:FQL_AUDITING_CLIENT_TEMPLATE.FAT&amp;display_string=Audit&amp;VAR:KEY=QNEJKDCTIB&amp;VAR:QUERY=UkdGX1RBWF9SQVRFKEFOTiwwLCwsLCwsTk9BVURJVCk=&amp;WINDOW=FIRST_POPUP&amp;HEIGHT=450&amp;WIDTH=450&amp;","START_MAXIMIZED=FALSE&amp;VAR:CALENDAR=US&amp;VAR:SYMBOL=IT&amp;VAR:INDEX=0"}</definedName>
    <definedName name="_3785__FDSAUDITLINK__" localSheetId="3" hidden="1">{"fdsup://directions/FAT Viewer?action=UPDATE&amp;creator=factset&amp;DYN_ARGS=TRUE&amp;DOC_NAME=FAT:FQL_AUDITING_CLIENT_TEMPLATE.FAT&amp;display_string=Audit&amp;VAR:KEY=QNEJKDCTIB&amp;VAR:QUERY=UkdGX1RBWF9SQVRFKEFOTiwwLCwsLCwsTk9BVURJVCk=&amp;WINDOW=FIRST_POPUP&amp;HEIGHT=450&amp;WIDTH=450&amp;","START_MAXIMIZED=FALSE&amp;VAR:CALENDAR=US&amp;VAR:SYMBOL=IT&amp;VAR:INDEX=0"}</definedName>
    <definedName name="_3785__FDSAUDITLINK__" localSheetId="7" hidden="1">{"fdsup://directions/FAT Viewer?action=UPDATE&amp;creator=factset&amp;DYN_ARGS=TRUE&amp;DOC_NAME=FAT:FQL_AUDITING_CLIENT_TEMPLATE.FAT&amp;display_string=Audit&amp;VAR:KEY=QNEJKDCTIB&amp;VAR:QUERY=UkdGX1RBWF9SQVRFKEFOTiwwLCwsLCwsTk9BVURJVCk=&amp;WINDOW=FIRST_POPUP&amp;HEIGHT=450&amp;WIDTH=450&amp;","START_MAXIMIZED=FALSE&amp;VAR:CALENDAR=US&amp;VAR:SYMBOL=IT&amp;VAR:INDEX=0"}</definedName>
    <definedName name="_3785__FDSAUDITLINK__" hidden="1">{"fdsup://directions/FAT Viewer?action=UPDATE&amp;creator=factset&amp;DYN_ARGS=TRUE&amp;DOC_NAME=FAT:FQL_AUDITING_CLIENT_TEMPLATE.FAT&amp;display_string=Audit&amp;VAR:KEY=QNEJKDCTIB&amp;VAR:QUERY=UkdGX1RBWF9SQVRFKEFOTiwwLCwsLCwsTk9BVURJVCk=&amp;WINDOW=FIRST_POPUP&amp;HEIGHT=450&amp;WIDTH=450&amp;","START_MAXIMIZED=FALSE&amp;VAR:CALENDAR=US&amp;VAR:SYMBOL=IT&amp;VAR:INDEX=0"}</definedName>
    <definedName name="_3786__FDSAUDITLINK__" localSheetId="3" hidden="1">{"fdsup://directions/FAT Viewer?action=UPDATE&amp;creator=factset&amp;DYN_ARGS=TRUE&amp;DOC_NAME=FAT:FQL_AUDITING_CLIENT_TEMPLATE.FAT&amp;display_string=Audit&amp;VAR:KEY=WPGTQHGREP&amp;VAR:QUERY=UkdGX1RBWF9SQVRFKEFOTiwwLCwsLCwsTk9BVURJVCk=&amp;WINDOW=FIRST_POPUP&amp;HEIGHT=450&amp;WIDTH=450&amp;","START_MAXIMIZED=FALSE&amp;VAR:CALENDAR=US&amp;VAR:SYMBOL=FTNT&amp;VAR:INDEX=0"}</definedName>
    <definedName name="_3786__FDSAUDITLINK__" localSheetId="7" hidden="1">{"fdsup://directions/FAT Viewer?action=UPDATE&amp;creator=factset&amp;DYN_ARGS=TRUE&amp;DOC_NAME=FAT:FQL_AUDITING_CLIENT_TEMPLATE.FAT&amp;display_string=Audit&amp;VAR:KEY=WPGTQHGREP&amp;VAR:QUERY=UkdGX1RBWF9SQVRFKEFOTiwwLCwsLCwsTk9BVURJVCk=&amp;WINDOW=FIRST_POPUP&amp;HEIGHT=450&amp;WIDTH=450&amp;","START_MAXIMIZED=FALSE&amp;VAR:CALENDAR=US&amp;VAR:SYMBOL=FTNT&amp;VAR:INDEX=0"}</definedName>
    <definedName name="_3786__FDSAUDITLINK__" hidden="1">{"fdsup://directions/FAT Viewer?action=UPDATE&amp;creator=factset&amp;DYN_ARGS=TRUE&amp;DOC_NAME=FAT:FQL_AUDITING_CLIENT_TEMPLATE.FAT&amp;display_string=Audit&amp;VAR:KEY=WPGTQHGREP&amp;VAR:QUERY=UkdGX1RBWF9SQVRFKEFOTiwwLCwsLCwsTk9BVURJVCk=&amp;WINDOW=FIRST_POPUP&amp;HEIGHT=450&amp;WIDTH=450&amp;","START_MAXIMIZED=FALSE&amp;VAR:CALENDAR=US&amp;VAR:SYMBOL=FTNT&amp;VAR:INDEX=0"}</definedName>
    <definedName name="_3787__FDSAUDITLINK__" localSheetId="3" hidden="1">{"fdsup://directions/FAT Viewer?action=UPDATE&amp;creator=factset&amp;DYN_ARGS=TRUE&amp;DOC_NAME=FAT:FQL_AUDITING_CLIENT_TEMPLATE.FAT&amp;display_string=Audit&amp;VAR:KEY=WPGTQHGREP&amp;VAR:QUERY=UkdGX1RBWF9SQVRFKEFOTiwwLCwsLCwsTk9BVURJVCk=&amp;WINDOW=FIRST_POPUP&amp;HEIGHT=450&amp;WIDTH=450&amp;","START_MAXIMIZED=FALSE&amp;VAR:CALENDAR=US&amp;VAR:SYMBOL=FTNT&amp;VAR:INDEX=0"}</definedName>
    <definedName name="_3787__FDSAUDITLINK__" localSheetId="7" hidden="1">{"fdsup://directions/FAT Viewer?action=UPDATE&amp;creator=factset&amp;DYN_ARGS=TRUE&amp;DOC_NAME=FAT:FQL_AUDITING_CLIENT_TEMPLATE.FAT&amp;display_string=Audit&amp;VAR:KEY=WPGTQHGREP&amp;VAR:QUERY=UkdGX1RBWF9SQVRFKEFOTiwwLCwsLCwsTk9BVURJVCk=&amp;WINDOW=FIRST_POPUP&amp;HEIGHT=450&amp;WIDTH=450&amp;","START_MAXIMIZED=FALSE&amp;VAR:CALENDAR=US&amp;VAR:SYMBOL=FTNT&amp;VAR:INDEX=0"}</definedName>
    <definedName name="_3787__FDSAUDITLINK__" hidden="1">{"fdsup://directions/FAT Viewer?action=UPDATE&amp;creator=factset&amp;DYN_ARGS=TRUE&amp;DOC_NAME=FAT:FQL_AUDITING_CLIENT_TEMPLATE.FAT&amp;display_string=Audit&amp;VAR:KEY=WPGTQHGREP&amp;VAR:QUERY=UkdGX1RBWF9SQVRFKEFOTiwwLCwsLCwsTk9BVURJVCk=&amp;WINDOW=FIRST_POPUP&amp;HEIGHT=450&amp;WIDTH=450&amp;","START_MAXIMIZED=FALSE&amp;VAR:CALENDAR=US&amp;VAR:SYMBOL=FTNT&amp;VAR:INDEX=0"}</definedName>
    <definedName name="_3788__FDSAUDITLINK__" localSheetId="3" hidden="1">{"fdsup://directions/FAT Viewer?action=UPDATE&amp;creator=factset&amp;DYN_ARGS=TRUE&amp;DOC_NAME=FAT:FQL_AUDITING_CLIENT_TEMPLATE.FAT&amp;display_string=Audit&amp;VAR:KEY=SBODMVKTSJ&amp;VAR:QUERY=UkdGX1RBWF9SQVRFKEFOTiwwLCwsLCwsTk9BVURJVCk=&amp;WINDOW=FIRST_POPUP&amp;HEIGHT=450&amp;WIDTH=450&amp;","START_MAXIMIZED=FALSE&amp;VAR:CALENDAR=US&amp;VAR:SYMBOL=580685&amp;VAR:INDEX=0"}</definedName>
    <definedName name="_3788__FDSAUDITLINK__" localSheetId="7" hidden="1">{"fdsup://directions/FAT Viewer?action=UPDATE&amp;creator=factset&amp;DYN_ARGS=TRUE&amp;DOC_NAME=FAT:FQL_AUDITING_CLIENT_TEMPLATE.FAT&amp;display_string=Audit&amp;VAR:KEY=SBODMVKTSJ&amp;VAR:QUERY=UkdGX1RBWF9SQVRFKEFOTiwwLCwsLCwsTk9BVURJVCk=&amp;WINDOW=FIRST_POPUP&amp;HEIGHT=450&amp;WIDTH=450&amp;","START_MAXIMIZED=FALSE&amp;VAR:CALENDAR=US&amp;VAR:SYMBOL=580685&amp;VAR:INDEX=0"}</definedName>
    <definedName name="_3788__FDSAUDITLINK__" hidden="1">{"fdsup://directions/FAT Viewer?action=UPDATE&amp;creator=factset&amp;DYN_ARGS=TRUE&amp;DOC_NAME=FAT:FQL_AUDITING_CLIENT_TEMPLATE.FAT&amp;display_string=Audit&amp;VAR:KEY=SBODMVKTSJ&amp;VAR:QUERY=UkdGX1RBWF9SQVRFKEFOTiwwLCwsLCwsTk9BVURJVCk=&amp;WINDOW=FIRST_POPUP&amp;HEIGHT=450&amp;WIDTH=450&amp;","START_MAXIMIZED=FALSE&amp;VAR:CALENDAR=US&amp;VAR:SYMBOL=580685&amp;VAR:INDEX=0"}</definedName>
    <definedName name="_3789__FDSAUDITLINK__" localSheetId="3" hidden="1">{"fdsup://directions/FAT Viewer?action=UPDATE&amp;creator=factset&amp;DYN_ARGS=TRUE&amp;DOC_NAME=FAT:FQL_AUDITING_CLIENT_TEMPLATE.FAT&amp;display_string=Audit&amp;VAR:KEY=SBODMVKTSJ&amp;VAR:QUERY=UkdGX1RBWF9SQVRFKEFOTiwwLCwsLCwsTk9BVURJVCk=&amp;WINDOW=FIRST_POPUP&amp;HEIGHT=450&amp;WIDTH=450&amp;","START_MAXIMIZED=FALSE&amp;VAR:CALENDAR=US&amp;VAR:SYMBOL=580685&amp;VAR:INDEX=0"}</definedName>
    <definedName name="_3789__FDSAUDITLINK__" localSheetId="7" hidden="1">{"fdsup://directions/FAT Viewer?action=UPDATE&amp;creator=factset&amp;DYN_ARGS=TRUE&amp;DOC_NAME=FAT:FQL_AUDITING_CLIENT_TEMPLATE.FAT&amp;display_string=Audit&amp;VAR:KEY=SBODMVKTSJ&amp;VAR:QUERY=UkdGX1RBWF9SQVRFKEFOTiwwLCwsLCwsTk9BVURJVCk=&amp;WINDOW=FIRST_POPUP&amp;HEIGHT=450&amp;WIDTH=450&amp;","START_MAXIMIZED=FALSE&amp;VAR:CALENDAR=US&amp;VAR:SYMBOL=580685&amp;VAR:INDEX=0"}</definedName>
    <definedName name="_3789__FDSAUDITLINK__" hidden="1">{"fdsup://directions/FAT Viewer?action=UPDATE&amp;creator=factset&amp;DYN_ARGS=TRUE&amp;DOC_NAME=FAT:FQL_AUDITING_CLIENT_TEMPLATE.FAT&amp;display_string=Audit&amp;VAR:KEY=SBODMVKTSJ&amp;VAR:QUERY=UkdGX1RBWF9SQVRFKEFOTiwwLCwsLCwsTk9BVURJVCk=&amp;WINDOW=FIRST_POPUP&amp;HEIGHT=450&amp;WIDTH=450&amp;","START_MAXIMIZED=FALSE&amp;VAR:CALENDAR=US&amp;VAR:SYMBOL=580685&amp;VAR:INDEX=0"}</definedName>
    <definedName name="_379__FDSAUDITLINK__" localSheetId="3" hidden="1">{"fdsup://directions/FAT Viewer?action=UPDATE&amp;creator=factset&amp;DYN_ARGS=TRUE&amp;DOC_NAME=FAT:FQL_AUDITING_CLIENT_TEMPLATE.FAT&amp;display_string=Audit&amp;VAR:KEY=SBSBCJMXQF&amp;VAR:QUERY=RkZfQVNTRVRfVFVSTihBTk4sMCwtOSxZLFJQKQ==&amp;WINDOW=FIRST_POPUP&amp;HEIGHT=450&amp;WIDTH=450&amp;STAR","T_MAXIMIZED=FALSE&amp;VAR:CALENDAR=US&amp;VAR:SYMBOL=B10LQP&amp;VAR:INDEX=4"}</definedName>
    <definedName name="_379__FDSAUDITLINK__" localSheetId="7" hidden="1">{"fdsup://directions/FAT Viewer?action=UPDATE&amp;creator=factset&amp;DYN_ARGS=TRUE&amp;DOC_NAME=FAT:FQL_AUDITING_CLIENT_TEMPLATE.FAT&amp;display_string=Audit&amp;VAR:KEY=SBSBCJMXQF&amp;VAR:QUERY=RkZfQVNTRVRfVFVSTihBTk4sMCwtOSxZLFJQKQ==&amp;WINDOW=FIRST_POPUP&amp;HEIGHT=450&amp;WIDTH=450&amp;STAR","T_MAXIMIZED=FALSE&amp;VAR:CALENDAR=US&amp;VAR:SYMBOL=B10LQP&amp;VAR:INDEX=4"}</definedName>
    <definedName name="_379__FDSAUDITLINK__" hidden="1">{"fdsup://directions/FAT Viewer?action=UPDATE&amp;creator=factset&amp;DYN_ARGS=TRUE&amp;DOC_NAME=FAT:FQL_AUDITING_CLIENT_TEMPLATE.FAT&amp;display_string=Audit&amp;VAR:KEY=SBSBCJMXQF&amp;VAR:QUERY=RkZfQVNTRVRfVFVSTihBTk4sMCwtOSxZLFJQKQ==&amp;WINDOW=FIRST_POPUP&amp;HEIGHT=450&amp;WIDTH=450&amp;STAR","T_MAXIMIZED=FALSE&amp;VAR:CALENDAR=US&amp;VAR:SYMBOL=B10LQP&amp;VAR:INDEX=4"}</definedName>
    <definedName name="_3790__FDSAUDITLINK__" localSheetId="3" hidden="1">{"fdsup://directions/FAT Viewer?action=UPDATE&amp;creator=factset&amp;DYN_ARGS=TRUE&amp;DOC_NAME=FAT:FQL_AUDITING_CLIENT_TEMPLATE.FAT&amp;display_string=Audit&amp;VAR:KEY=UXOFKDIDIJ&amp;VAR:QUERY=UkdGX1RBWF9SQVRFKEFOTiwwLCwsLCwsTk9BVURJVCk=&amp;WINDOW=FIRST_POPUP&amp;HEIGHT=450&amp;WIDTH=450&amp;","START_MAXIMIZED=FALSE&amp;VAR:CALENDAR=US&amp;VAR:SYMBOL=FORR&amp;VAR:INDEX=0"}</definedName>
    <definedName name="_3790__FDSAUDITLINK__" localSheetId="7" hidden="1">{"fdsup://directions/FAT Viewer?action=UPDATE&amp;creator=factset&amp;DYN_ARGS=TRUE&amp;DOC_NAME=FAT:FQL_AUDITING_CLIENT_TEMPLATE.FAT&amp;display_string=Audit&amp;VAR:KEY=UXOFKDIDIJ&amp;VAR:QUERY=UkdGX1RBWF9SQVRFKEFOTiwwLCwsLCwsTk9BVURJVCk=&amp;WINDOW=FIRST_POPUP&amp;HEIGHT=450&amp;WIDTH=450&amp;","START_MAXIMIZED=FALSE&amp;VAR:CALENDAR=US&amp;VAR:SYMBOL=FORR&amp;VAR:INDEX=0"}</definedName>
    <definedName name="_3790__FDSAUDITLINK__" hidden="1">{"fdsup://directions/FAT Viewer?action=UPDATE&amp;creator=factset&amp;DYN_ARGS=TRUE&amp;DOC_NAME=FAT:FQL_AUDITING_CLIENT_TEMPLATE.FAT&amp;display_string=Audit&amp;VAR:KEY=UXOFKDIDIJ&amp;VAR:QUERY=UkdGX1RBWF9SQVRFKEFOTiwwLCwsLCwsTk9BVURJVCk=&amp;WINDOW=FIRST_POPUP&amp;HEIGHT=450&amp;WIDTH=450&amp;","START_MAXIMIZED=FALSE&amp;VAR:CALENDAR=US&amp;VAR:SYMBOL=FORR&amp;VAR:INDEX=0"}</definedName>
    <definedName name="_3791__FDSAUDITLINK__" localSheetId="3" hidden="1">{"fdsup://directions/FAT Viewer?action=UPDATE&amp;creator=factset&amp;DYN_ARGS=TRUE&amp;DOC_NAME=FAT:FQL_AUDITING_CLIENT_TEMPLATE.FAT&amp;display_string=Audit&amp;VAR:KEY=UXOFKDIDIJ&amp;VAR:QUERY=UkdGX1RBWF9SQVRFKEFOTiwwLCwsLCwsTk9BVURJVCk=&amp;WINDOW=FIRST_POPUP&amp;HEIGHT=450&amp;WIDTH=450&amp;","START_MAXIMIZED=FALSE&amp;VAR:CALENDAR=US&amp;VAR:SYMBOL=FORR&amp;VAR:INDEX=0"}</definedName>
    <definedName name="_3791__FDSAUDITLINK__" localSheetId="7" hidden="1">{"fdsup://directions/FAT Viewer?action=UPDATE&amp;creator=factset&amp;DYN_ARGS=TRUE&amp;DOC_NAME=FAT:FQL_AUDITING_CLIENT_TEMPLATE.FAT&amp;display_string=Audit&amp;VAR:KEY=UXOFKDIDIJ&amp;VAR:QUERY=UkdGX1RBWF9SQVRFKEFOTiwwLCwsLCwsTk9BVURJVCk=&amp;WINDOW=FIRST_POPUP&amp;HEIGHT=450&amp;WIDTH=450&amp;","START_MAXIMIZED=FALSE&amp;VAR:CALENDAR=US&amp;VAR:SYMBOL=FORR&amp;VAR:INDEX=0"}</definedName>
    <definedName name="_3791__FDSAUDITLINK__" hidden="1">{"fdsup://directions/FAT Viewer?action=UPDATE&amp;creator=factset&amp;DYN_ARGS=TRUE&amp;DOC_NAME=FAT:FQL_AUDITING_CLIENT_TEMPLATE.FAT&amp;display_string=Audit&amp;VAR:KEY=UXOFKDIDIJ&amp;VAR:QUERY=UkdGX1RBWF9SQVRFKEFOTiwwLCwsLCwsTk9BVURJVCk=&amp;WINDOW=FIRST_POPUP&amp;HEIGHT=450&amp;WIDTH=450&amp;","START_MAXIMIZED=FALSE&amp;VAR:CALENDAR=US&amp;VAR:SYMBOL=FORR&amp;VAR:INDEX=0"}</definedName>
    <definedName name="_3792__FDSAUDITLINK__" localSheetId="3" hidden="1">{"fdsup://directions/FAT Viewer?action=UPDATE&amp;creator=factset&amp;DYN_ARGS=TRUE&amp;DOC_NAME=FAT:FQL_AUDITING_CLIENT_TEMPLATE.FAT&amp;display_string=Audit&amp;VAR:KEY=ENQFSFODCD&amp;VAR:QUERY=UkdGX1RBWF9SQVRFKEFOTiwwLCwsLCwsTk9BVURJVCk=&amp;WINDOW=FIRST_POPUP&amp;HEIGHT=450&amp;WIDTH=450&amp;","START_MAXIMIZED=FALSE&amp;VAR:CALENDAR=US&amp;VAR:SYMBOL=FISV&amp;VAR:INDEX=0"}</definedName>
    <definedName name="_3792__FDSAUDITLINK__" localSheetId="7" hidden="1">{"fdsup://directions/FAT Viewer?action=UPDATE&amp;creator=factset&amp;DYN_ARGS=TRUE&amp;DOC_NAME=FAT:FQL_AUDITING_CLIENT_TEMPLATE.FAT&amp;display_string=Audit&amp;VAR:KEY=ENQFSFODCD&amp;VAR:QUERY=UkdGX1RBWF9SQVRFKEFOTiwwLCwsLCwsTk9BVURJVCk=&amp;WINDOW=FIRST_POPUP&amp;HEIGHT=450&amp;WIDTH=450&amp;","START_MAXIMIZED=FALSE&amp;VAR:CALENDAR=US&amp;VAR:SYMBOL=FISV&amp;VAR:INDEX=0"}</definedName>
    <definedName name="_3792__FDSAUDITLINK__" hidden="1">{"fdsup://directions/FAT Viewer?action=UPDATE&amp;creator=factset&amp;DYN_ARGS=TRUE&amp;DOC_NAME=FAT:FQL_AUDITING_CLIENT_TEMPLATE.FAT&amp;display_string=Audit&amp;VAR:KEY=ENQFSFODCD&amp;VAR:QUERY=UkdGX1RBWF9SQVRFKEFOTiwwLCwsLCwsTk9BVURJVCk=&amp;WINDOW=FIRST_POPUP&amp;HEIGHT=450&amp;WIDTH=450&amp;","START_MAXIMIZED=FALSE&amp;VAR:CALENDAR=US&amp;VAR:SYMBOL=FISV&amp;VAR:INDEX=0"}</definedName>
    <definedName name="_3793__FDSAUDITLINK__" localSheetId="3" hidden="1">{"fdsup://directions/FAT Viewer?action=UPDATE&amp;creator=factset&amp;DYN_ARGS=TRUE&amp;DOC_NAME=FAT:FQL_AUDITING_CLIENT_TEMPLATE.FAT&amp;display_string=Audit&amp;VAR:KEY=ENQFSFODCD&amp;VAR:QUERY=UkdGX1RBWF9SQVRFKEFOTiwwLCwsLCwsTk9BVURJVCk=&amp;WINDOW=FIRST_POPUP&amp;HEIGHT=450&amp;WIDTH=450&amp;","START_MAXIMIZED=FALSE&amp;VAR:CALENDAR=US&amp;VAR:SYMBOL=FISV&amp;VAR:INDEX=0"}</definedName>
    <definedName name="_3793__FDSAUDITLINK__" localSheetId="7" hidden="1">{"fdsup://directions/FAT Viewer?action=UPDATE&amp;creator=factset&amp;DYN_ARGS=TRUE&amp;DOC_NAME=FAT:FQL_AUDITING_CLIENT_TEMPLATE.FAT&amp;display_string=Audit&amp;VAR:KEY=ENQFSFODCD&amp;VAR:QUERY=UkdGX1RBWF9SQVRFKEFOTiwwLCwsLCwsTk9BVURJVCk=&amp;WINDOW=FIRST_POPUP&amp;HEIGHT=450&amp;WIDTH=450&amp;","START_MAXIMIZED=FALSE&amp;VAR:CALENDAR=US&amp;VAR:SYMBOL=FISV&amp;VAR:INDEX=0"}</definedName>
    <definedName name="_3793__FDSAUDITLINK__" hidden="1">{"fdsup://directions/FAT Viewer?action=UPDATE&amp;creator=factset&amp;DYN_ARGS=TRUE&amp;DOC_NAME=FAT:FQL_AUDITING_CLIENT_TEMPLATE.FAT&amp;display_string=Audit&amp;VAR:KEY=ENQFSFODCD&amp;VAR:QUERY=UkdGX1RBWF9SQVRFKEFOTiwwLCwsLCwsTk9BVURJVCk=&amp;WINDOW=FIRST_POPUP&amp;HEIGHT=450&amp;WIDTH=450&amp;","START_MAXIMIZED=FALSE&amp;VAR:CALENDAR=US&amp;VAR:SYMBOL=FISV&amp;VAR:INDEX=0"}</definedName>
    <definedName name="_3794__FDSAUDITLINK__" localSheetId="3" hidden="1">{"fdsup://directions/FAT Viewer?action=UPDATE&amp;creator=factset&amp;DYN_ARGS=TRUE&amp;DOC_NAME=FAT:FQL_AUDITING_CLIENT_TEMPLATE.FAT&amp;display_string=Audit&amp;VAR:KEY=UHSPWTMHWT&amp;VAR:QUERY=UkdGX1RBWF9SQVRFKEFOTiwwLCwsLCwsTk9BVURJVCk=&amp;WINDOW=FIRST_POPUP&amp;HEIGHT=450&amp;WIDTH=450&amp;","START_MAXIMIZED=FALSE&amp;VAR:CALENDAR=US&amp;VAR:SYMBOL=FALC&amp;VAR:INDEX=0"}</definedName>
    <definedName name="_3794__FDSAUDITLINK__" localSheetId="7" hidden="1">{"fdsup://directions/FAT Viewer?action=UPDATE&amp;creator=factset&amp;DYN_ARGS=TRUE&amp;DOC_NAME=FAT:FQL_AUDITING_CLIENT_TEMPLATE.FAT&amp;display_string=Audit&amp;VAR:KEY=UHSPWTMHWT&amp;VAR:QUERY=UkdGX1RBWF9SQVRFKEFOTiwwLCwsLCwsTk9BVURJVCk=&amp;WINDOW=FIRST_POPUP&amp;HEIGHT=450&amp;WIDTH=450&amp;","START_MAXIMIZED=FALSE&amp;VAR:CALENDAR=US&amp;VAR:SYMBOL=FALC&amp;VAR:INDEX=0"}</definedName>
    <definedName name="_3794__FDSAUDITLINK__" hidden="1">{"fdsup://directions/FAT Viewer?action=UPDATE&amp;creator=factset&amp;DYN_ARGS=TRUE&amp;DOC_NAME=FAT:FQL_AUDITING_CLIENT_TEMPLATE.FAT&amp;display_string=Audit&amp;VAR:KEY=UHSPWTMHWT&amp;VAR:QUERY=UkdGX1RBWF9SQVRFKEFOTiwwLCwsLCwsTk9BVURJVCk=&amp;WINDOW=FIRST_POPUP&amp;HEIGHT=450&amp;WIDTH=450&amp;","START_MAXIMIZED=FALSE&amp;VAR:CALENDAR=US&amp;VAR:SYMBOL=FALC&amp;VAR:INDEX=0"}</definedName>
    <definedName name="_3795__FDSAUDITLINK__" localSheetId="3" hidden="1">{"fdsup://directions/FAT Viewer?action=UPDATE&amp;creator=factset&amp;DYN_ARGS=TRUE&amp;DOC_NAME=FAT:FQL_AUDITING_CLIENT_TEMPLATE.FAT&amp;display_string=Audit&amp;VAR:KEY=CNMFIZMHKF&amp;VAR:QUERY=UkdGX1RBWF9SQVRFKEFOTiwwLCwsLCwsTk9BVURJVCk=&amp;WINDOW=FIRST_POPUP&amp;HEIGHT=450&amp;WIDTH=450&amp;","START_MAXIMIZED=FALSE&amp;VAR:CALENDAR=US&amp;VAR:SYMBOL=FICO&amp;VAR:INDEX=0"}</definedName>
    <definedName name="_3795__FDSAUDITLINK__" localSheetId="7" hidden="1">{"fdsup://directions/FAT Viewer?action=UPDATE&amp;creator=factset&amp;DYN_ARGS=TRUE&amp;DOC_NAME=FAT:FQL_AUDITING_CLIENT_TEMPLATE.FAT&amp;display_string=Audit&amp;VAR:KEY=CNMFIZMHKF&amp;VAR:QUERY=UkdGX1RBWF9SQVRFKEFOTiwwLCwsLCwsTk9BVURJVCk=&amp;WINDOW=FIRST_POPUP&amp;HEIGHT=450&amp;WIDTH=450&amp;","START_MAXIMIZED=FALSE&amp;VAR:CALENDAR=US&amp;VAR:SYMBOL=FICO&amp;VAR:INDEX=0"}</definedName>
    <definedName name="_3795__FDSAUDITLINK__" hidden="1">{"fdsup://directions/FAT Viewer?action=UPDATE&amp;creator=factset&amp;DYN_ARGS=TRUE&amp;DOC_NAME=FAT:FQL_AUDITING_CLIENT_TEMPLATE.FAT&amp;display_string=Audit&amp;VAR:KEY=CNMFIZMHKF&amp;VAR:QUERY=UkdGX1RBWF9SQVRFKEFOTiwwLCwsLCwsTk9BVURJVCk=&amp;WINDOW=FIRST_POPUP&amp;HEIGHT=450&amp;WIDTH=450&amp;","START_MAXIMIZED=FALSE&amp;VAR:CALENDAR=US&amp;VAR:SYMBOL=FICO&amp;VAR:INDEX=0"}</definedName>
    <definedName name="_3796__FDSAUDITLINK__" localSheetId="3" hidden="1">{"fdsup://directions/FAT Viewer?action=UPDATE&amp;creator=factset&amp;DYN_ARGS=TRUE&amp;DOC_NAME=FAT:FQL_AUDITING_CLIENT_TEMPLATE.FAT&amp;display_string=Audit&amp;VAR:KEY=CNMFIZMHKF&amp;VAR:QUERY=UkdGX1RBWF9SQVRFKEFOTiwwLCwsLCwsTk9BVURJVCk=&amp;WINDOW=FIRST_POPUP&amp;HEIGHT=450&amp;WIDTH=450&amp;","START_MAXIMIZED=FALSE&amp;VAR:CALENDAR=US&amp;VAR:SYMBOL=FICO&amp;VAR:INDEX=0"}</definedName>
    <definedName name="_3796__FDSAUDITLINK__" localSheetId="7" hidden="1">{"fdsup://directions/FAT Viewer?action=UPDATE&amp;creator=factset&amp;DYN_ARGS=TRUE&amp;DOC_NAME=FAT:FQL_AUDITING_CLIENT_TEMPLATE.FAT&amp;display_string=Audit&amp;VAR:KEY=CNMFIZMHKF&amp;VAR:QUERY=UkdGX1RBWF9SQVRFKEFOTiwwLCwsLCwsTk9BVURJVCk=&amp;WINDOW=FIRST_POPUP&amp;HEIGHT=450&amp;WIDTH=450&amp;","START_MAXIMIZED=FALSE&amp;VAR:CALENDAR=US&amp;VAR:SYMBOL=FICO&amp;VAR:INDEX=0"}</definedName>
    <definedName name="_3796__FDSAUDITLINK__" hidden="1">{"fdsup://directions/FAT Viewer?action=UPDATE&amp;creator=factset&amp;DYN_ARGS=TRUE&amp;DOC_NAME=FAT:FQL_AUDITING_CLIENT_TEMPLATE.FAT&amp;display_string=Audit&amp;VAR:KEY=CNMFIZMHKF&amp;VAR:QUERY=UkdGX1RBWF9SQVRFKEFOTiwwLCwsLCwsTk9BVURJVCk=&amp;WINDOW=FIRST_POPUP&amp;HEIGHT=450&amp;WIDTH=450&amp;","START_MAXIMIZED=FALSE&amp;VAR:CALENDAR=US&amp;VAR:SYMBOL=FICO&amp;VAR:INDEX=0"}</definedName>
    <definedName name="_3797__FDSAUDITLINK__" localSheetId="3" hidden="1">{"fdsup://directions/FAT Viewer?action=UPDATE&amp;creator=factset&amp;DYN_ARGS=TRUE&amp;DOC_NAME=FAT:FQL_AUDITING_CLIENT_TEMPLATE.FAT&amp;display_string=Audit&amp;VAR:KEY=IPEFEZGJKT&amp;VAR:QUERY=UkdGX1RBWF9SQVRFKEFOTiwwLCwsLCwsTk9BVURJVCk=&amp;WINDOW=FIRST_POPUP&amp;HEIGHT=450&amp;WIDTH=450&amp;","START_MAXIMIZED=FALSE&amp;VAR:CALENDAR=US&amp;VAR:SYMBOL=FFIV&amp;VAR:INDEX=0"}</definedName>
    <definedName name="_3797__FDSAUDITLINK__" localSheetId="7" hidden="1">{"fdsup://directions/FAT Viewer?action=UPDATE&amp;creator=factset&amp;DYN_ARGS=TRUE&amp;DOC_NAME=FAT:FQL_AUDITING_CLIENT_TEMPLATE.FAT&amp;display_string=Audit&amp;VAR:KEY=IPEFEZGJKT&amp;VAR:QUERY=UkdGX1RBWF9SQVRFKEFOTiwwLCwsLCwsTk9BVURJVCk=&amp;WINDOW=FIRST_POPUP&amp;HEIGHT=450&amp;WIDTH=450&amp;","START_MAXIMIZED=FALSE&amp;VAR:CALENDAR=US&amp;VAR:SYMBOL=FFIV&amp;VAR:INDEX=0"}</definedName>
    <definedName name="_3797__FDSAUDITLINK__" hidden="1">{"fdsup://directions/FAT Viewer?action=UPDATE&amp;creator=factset&amp;DYN_ARGS=TRUE&amp;DOC_NAME=FAT:FQL_AUDITING_CLIENT_TEMPLATE.FAT&amp;display_string=Audit&amp;VAR:KEY=IPEFEZGJKT&amp;VAR:QUERY=UkdGX1RBWF9SQVRFKEFOTiwwLCwsLCwsTk9BVURJVCk=&amp;WINDOW=FIRST_POPUP&amp;HEIGHT=450&amp;WIDTH=450&amp;","START_MAXIMIZED=FALSE&amp;VAR:CALENDAR=US&amp;VAR:SYMBOL=FFIV&amp;VAR:INDEX=0"}</definedName>
    <definedName name="_3798__FDSAUDITLINK__" localSheetId="3" hidden="1">{"fdsup://directions/FAT Viewer?action=UPDATE&amp;creator=factset&amp;DYN_ARGS=TRUE&amp;DOC_NAME=FAT:FQL_AUDITING_CLIENT_TEMPLATE.FAT&amp;display_string=Audit&amp;VAR:KEY=IPEFEZGJKT&amp;VAR:QUERY=UkdGX1RBWF9SQVRFKEFOTiwwLCwsLCwsTk9BVURJVCk=&amp;WINDOW=FIRST_POPUP&amp;HEIGHT=450&amp;WIDTH=450&amp;","START_MAXIMIZED=FALSE&amp;VAR:CALENDAR=US&amp;VAR:SYMBOL=FFIV&amp;VAR:INDEX=0"}</definedName>
    <definedName name="_3798__FDSAUDITLINK__" localSheetId="7" hidden="1">{"fdsup://directions/FAT Viewer?action=UPDATE&amp;creator=factset&amp;DYN_ARGS=TRUE&amp;DOC_NAME=FAT:FQL_AUDITING_CLIENT_TEMPLATE.FAT&amp;display_string=Audit&amp;VAR:KEY=IPEFEZGJKT&amp;VAR:QUERY=UkdGX1RBWF9SQVRFKEFOTiwwLCwsLCwsTk9BVURJVCk=&amp;WINDOW=FIRST_POPUP&amp;HEIGHT=450&amp;WIDTH=450&amp;","START_MAXIMIZED=FALSE&amp;VAR:CALENDAR=US&amp;VAR:SYMBOL=FFIV&amp;VAR:INDEX=0"}</definedName>
    <definedName name="_3798__FDSAUDITLINK__" hidden="1">{"fdsup://directions/FAT Viewer?action=UPDATE&amp;creator=factset&amp;DYN_ARGS=TRUE&amp;DOC_NAME=FAT:FQL_AUDITING_CLIENT_TEMPLATE.FAT&amp;display_string=Audit&amp;VAR:KEY=IPEFEZGJKT&amp;VAR:QUERY=UkdGX1RBWF9SQVRFKEFOTiwwLCwsLCwsTk9BVURJVCk=&amp;WINDOW=FIRST_POPUP&amp;HEIGHT=450&amp;WIDTH=450&amp;","START_MAXIMIZED=FALSE&amp;VAR:CALENDAR=US&amp;VAR:SYMBOL=FFIV&amp;VAR:INDEX=0"}</definedName>
    <definedName name="_3799__FDSAUDITLINK__" localSheetId="3" hidden="1">{"fdsup://directions/FAT Viewer?action=UPDATE&amp;creator=factset&amp;DYN_ARGS=TRUE&amp;DOC_NAME=FAT:FQL_AUDITING_CLIENT_TEMPLATE.FAT&amp;display_string=Audit&amp;VAR:KEY=SNSRGNKLMP&amp;VAR:QUERY=UkdGX1RBWF9SQVRFKEFOTiwwLCwsLCwsTk9BVURJVCk=&amp;WINDOW=FIRST_POPUP&amp;HEIGHT=450&amp;WIDTH=450&amp;","START_MAXIMIZED=FALSE&amp;VAR:CALENDAR=US&amp;VAR:SYMBOL=B19NLV&amp;VAR:INDEX=0"}</definedName>
    <definedName name="_3799__FDSAUDITLINK__" localSheetId="7" hidden="1">{"fdsup://directions/FAT Viewer?action=UPDATE&amp;creator=factset&amp;DYN_ARGS=TRUE&amp;DOC_NAME=FAT:FQL_AUDITING_CLIENT_TEMPLATE.FAT&amp;display_string=Audit&amp;VAR:KEY=SNSRGNKLMP&amp;VAR:QUERY=UkdGX1RBWF9SQVRFKEFOTiwwLCwsLCwsTk9BVURJVCk=&amp;WINDOW=FIRST_POPUP&amp;HEIGHT=450&amp;WIDTH=450&amp;","START_MAXIMIZED=FALSE&amp;VAR:CALENDAR=US&amp;VAR:SYMBOL=B19NLV&amp;VAR:INDEX=0"}</definedName>
    <definedName name="_3799__FDSAUDITLINK__" hidden="1">{"fdsup://directions/FAT Viewer?action=UPDATE&amp;creator=factset&amp;DYN_ARGS=TRUE&amp;DOC_NAME=FAT:FQL_AUDITING_CLIENT_TEMPLATE.FAT&amp;display_string=Audit&amp;VAR:KEY=SNSRGNKLMP&amp;VAR:QUERY=UkdGX1RBWF9SQVRFKEFOTiwwLCwsLCwsTk9BVURJVCk=&amp;WINDOW=FIRST_POPUP&amp;HEIGHT=450&amp;WIDTH=450&amp;","START_MAXIMIZED=FALSE&amp;VAR:CALENDAR=US&amp;VAR:SYMBOL=B19NLV&amp;VAR:INDEX=0"}</definedName>
    <definedName name="_38__FDSAUDITLINK__" localSheetId="3" hidden="1">{"fdsup://directions/FAT Viewer?action=UPDATE&amp;creator=factset&amp;DYN_ARGS=TRUE&amp;DOC_NAME=FAT:FQL_AUDITING_CLIENT_TEMPLATE.FAT&amp;display_string=Audit&amp;VAR:KEY=BSRKLERILA&amp;VAR:QUERY=RkZfT1BFUl9QU19ORVRfQ0YoQU5OLDAsLTksWSxSUCxVU0QsTSk=&amp;WINDOW=FIRST_POPUP&amp;HEIGHT=450&amp;WI","DTH=450&amp;START_MAXIMIZED=FALSE&amp;VAR:CALENDAR=US&amp;VAR:SYMBOL=B10LQP&amp;VAR:INDEX=6"}</definedName>
    <definedName name="_38__FDSAUDITLINK__" localSheetId="7" hidden="1">{"fdsup://directions/FAT Viewer?action=UPDATE&amp;creator=factset&amp;DYN_ARGS=TRUE&amp;DOC_NAME=FAT:FQL_AUDITING_CLIENT_TEMPLATE.FAT&amp;display_string=Audit&amp;VAR:KEY=BSRKLERILA&amp;VAR:QUERY=RkZfT1BFUl9QU19ORVRfQ0YoQU5OLDAsLTksWSxSUCxVU0QsTSk=&amp;WINDOW=FIRST_POPUP&amp;HEIGHT=450&amp;WI","DTH=450&amp;START_MAXIMIZED=FALSE&amp;VAR:CALENDAR=US&amp;VAR:SYMBOL=B10LQP&amp;VAR:INDEX=6"}</definedName>
    <definedName name="_38__FDSAUDITLINK__" hidden="1">{"fdsup://directions/FAT Viewer?action=UPDATE&amp;creator=factset&amp;DYN_ARGS=TRUE&amp;DOC_NAME=FAT:FQL_AUDITING_CLIENT_TEMPLATE.FAT&amp;display_string=Audit&amp;VAR:KEY=BSRKLERILA&amp;VAR:QUERY=RkZfT1BFUl9QU19ORVRfQ0YoQU5OLDAsLTksWSxSUCxVU0QsTSk=&amp;WINDOW=FIRST_POPUP&amp;HEIGHT=450&amp;WI","DTH=450&amp;START_MAXIMIZED=FALSE&amp;VAR:CALENDAR=US&amp;VAR:SYMBOL=B10LQP&amp;VAR:INDEX=6"}</definedName>
    <definedName name="_380__FDSAUDITLINK__" localSheetId="3" hidden="1">{"fdsup://directions/FAT Viewer?action=UPDATE&amp;creator=factset&amp;DYN_ARGS=TRUE&amp;DOC_NAME=FAT:FQL_AUDITING_CLIENT_TEMPLATE.FAT&amp;display_string=Audit&amp;VAR:KEY=SBSBCJMXQF&amp;VAR:QUERY=RkZfQVNTRVRfVFVSTihBTk4sMCwtOSxZLFJQKQ==&amp;WINDOW=FIRST_POPUP&amp;HEIGHT=450&amp;WIDTH=450&amp;STAR","T_MAXIMIZED=FALSE&amp;VAR:CALENDAR=US&amp;VAR:SYMBOL=B10LQP&amp;VAR:INDEX=3"}</definedName>
    <definedName name="_380__FDSAUDITLINK__" localSheetId="7" hidden="1">{"fdsup://directions/FAT Viewer?action=UPDATE&amp;creator=factset&amp;DYN_ARGS=TRUE&amp;DOC_NAME=FAT:FQL_AUDITING_CLIENT_TEMPLATE.FAT&amp;display_string=Audit&amp;VAR:KEY=SBSBCJMXQF&amp;VAR:QUERY=RkZfQVNTRVRfVFVSTihBTk4sMCwtOSxZLFJQKQ==&amp;WINDOW=FIRST_POPUP&amp;HEIGHT=450&amp;WIDTH=450&amp;STAR","T_MAXIMIZED=FALSE&amp;VAR:CALENDAR=US&amp;VAR:SYMBOL=B10LQP&amp;VAR:INDEX=3"}</definedName>
    <definedName name="_380__FDSAUDITLINK__" hidden="1">{"fdsup://directions/FAT Viewer?action=UPDATE&amp;creator=factset&amp;DYN_ARGS=TRUE&amp;DOC_NAME=FAT:FQL_AUDITING_CLIENT_TEMPLATE.FAT&amp;display_string=Audit&amp;VAR:KEY=SBSBCJMXQF&amp;VAR:QUERY=RkZfQVNTRVRfVFVSTihBTk4sMCwtOSxZLFJQKQ==&amp;WINDOW=FIRST_POPUP&amp;HEIGHT=450&amp;WIDTH=450&amp;STAR","T_MAXIMIZED=FALSE&amp;VAR:CALENDAR=US&amp;VAR:SYMBOL=B10LQP&amp;VAR:INDEX=3"}</definedName>
    <definedName name="_3800__FDSAUDITLINK__" localSheetId="3" hidden="1">{"fdsup://directions/FAT Viewer?action=UPDATE&amp;creator=factset&amp;DYN_ARGS=TRUE&amp;DOC_NAME=FAT:FQL_AUDITING_CLIENT_TEMPLATE.FAT&amp;display_string=Audit&amp;VAR:KEY=SNSRGNKLMP&amp;VAR:QUERY=UkdGX1RBWF9SQVRFKEFOTiwwLCwsLCwsTk9BVURJVCk=&amp;WINDOW=FIRST_POPUP&amp;HEIGHT=450&amp;WIDTH=450&amp;","START_MAXIMIZED=FALSE&amp;VAR:CALENDAR=US&amp;VAR:SYMBOL=B19NLV&amp;VAR:INDEX=0"}</definedName>
    <definedName name="_3800__FDSAUDITLINK__" localSheetId="7" hidden="1">{"fdsup://directions/FAT Viewer?action=UPDATE&amp;creator=factset&amp;DYN_ARGS=TRUE&amp;DOC_NAME=FAT:FQL_AUDITING_CLIENT_TEMPLATE.FAT&amp;display_string=Audit&amp;VAR:KEY=SNSRGNKLMP&amp;VAR:QUERY=UkdGX1RBWF9SQVRFKEFOTiwwLCwsLCwsTk9BVURJVCk=&amp;WINDOW=FIRST_POPUP&amp;HEIGHT=450&amp;WIDTH=450&amp;","START_MAXIMIZED=FALSE&amp;VAR:CALENDAR=US&amp;VAR:SYMBOL=B19NLV&amp;VAR:INDEX=0"}</definedName>
    <definedName name="_3800__FDSAUDITLINK__" hidden="1">{"fdsup://directions/FAT Viewer?action=UPDATE&amp;creator=factset&amp;DYN_ARGS=TRUE&amp;DOC_NAME=FAT:FQL_AUDITING_CLIENT_TEMPLATE.FAT&amp;display_string=Audit&amp;VAR:KEY=SNSRGNKLMP&amp;VAR:QUERY=UkdGX1RBWF9SQVRFKEFOTiwwLCwsLCwsTk9BVURJVCk=&amp;WINDOW=FIRST_POPUP&amp;HEIGHT=450&amp;WIDTH=450&amp;","START_MAXIMIZED=FALSE&amp;VAR:CALENDAR=US&amp;VAR:SYMBOL=B19NLV&amp;VAR:INDEX=0"}</definedName>
    <definedName name="_3801__FDSAUDITLINK__" localSheetId="3" hidden="1">{"fdsup://directions/FAT Viewer?action=UPDATE&amp;creator=factset&amp;DYN_ARGS=TRUE&amp;DOC_NAME=FAT:FQL_AUDITING_CLIENT_TEMPLATE.FAT&amp;display_string=Audit&amp;VAR:KEY=WRKHMHIHEH&amp;VAR:QUERY=UkdGX1RBWF9SQVRFKEFOTiwwLCwsLCwsTk9BVURJVCk=&amp;WINDOW=FIRST_POPUP&amp;HEIGHT=450&amp;WIDTH=450&amp;","START_MAXIMIZED=FALSE&amp;VAR:CALENDAR=US&amp;VAR:SYMBOL=EXPE&amp;VAR:INDEX=0"}</definedName>
    <definedName name="_3801__FDSAUDITLINK__" localSheetId="7" hidden="1">{"fdsup://directions/FAT Viewer?action=UPDATE&amp;creator=factset&amp;DYN_ARGS=TRUE&amp;DOC_NAME=FAT:FQL_AUDITING_CLIENT_TEMPLATE.FAT&amp;display_string=Audit&amp;VAR:KEY=WRKHMHIHEH&amp;VAR:QUERY=UkdGX1RBWF9SQVRFKEFOTiwwLCwsLCwsTk9BVURJVCk=&amp;WINDOW=FIRST_POPUP&amp;HEIGHT=450&amp;WIDTH=450&amp;","START_MAXIMIZED=FALSE&amp;VAR:CALENDAR=US&amp;VAR:SYMBOL=EXPE&amp;VAR:INDEX=0"}</definedName>
    <definedName name="_3801__FDSAUDITLINK__" hidden="1">{"fdsup://directions/FAT Viewer?action=UPDATE&amp;creator=factset&amp;DYN_ARGS=TRUE&amp;DOC_NAME=FAT:FQL_AUDITING_CLIENT_TEMPLATE.FAT&amp;display_string=Audit&amp;VAR:KEY=WRKHMHIHEH&amp;VAR:QUERY=UkdGX1RBWF9SQVRFKEFOTiwwLCwsLCwsTk9BVURJVCk=&amp;WINDOW=FIRST_POPUP&amp;HEIGHT=450&amp;WIDTH=450&amp;","START_MAXIMIZED=FALSE&amp;VAR:CALENDAR=US&amp;VAR:SYMBOL=EXPE&amp;VAR:INDEX=0"}</definedName>
    <definedName name="_3802__FDSAUDITLINK__" localSheetId="3" hidden="1">{"fdsup://directions/FAT Viewer?action=UPDATE&amp;creator=factset&amp;DYN_ARGS=TRUE&amp;DOC_NAME=FAT:FQL_AUDITING_CLIENT_TEMPLATE.FAT&amp;display_string=Audit&amp;VAR:KEY=WRKHMHIHEH&amp;VAR:QUERY=UkdGX1RBWF9SQVRFKEFOTiwwLCwsLCwsTk9BVURJVCk=&amp;WINDOW=FIRST_POPUP&amp;HEIGHT=450&amp;WIDTH=450&amp;","START_MAXIMIZED=FALSE&amp;VAR:CALENDAR=US&amp;VAR:SYMBOL=EXPE&amp;VAR:INDEX=0"}</definedName>
    <definedName name="_3802__FDSAUDITLINK__" localSheetId="7" hidden="1">{"fdsup://directions/FAT Viewer?action=UPDATE&amp;creator=factset&amp;DYN_ARGS=TRUE&amp;DOC_NAME=FAT:FQL_AUDITING_CLIENT_TEMPLATE.FAT&amp;display_string=Audit&amp;VAR:KEY=WRKHMHIHEH&amp;VAR:QUERY=UkdGX1RBWF9SQVRFKEFOTiwwLCwsLCwsTk9BVURJVCk=&amp;WINDOW=FIRST_POPUP&amp;HEIGHT=450&amp;WIDTH=450&amp;","START_MAXIMIZED=FALSE&amp;VAR:CALENDAR=US&amp;VAR:SYMBOL=EXPE&amp;VAR:INDEX=0"}</definedName>
    <definedName name="_3802__FDSAUDITLINK__" hidden="1">{"fdsup://directions/FAT Viewer?action=UPDATE&amp;creator=factset&amp;DYN_ARGS=TRUE&amp;DOC_NAME=FAT:FQL_AUDITING_CLIENT_TEMPLATE.FAT&amp;display_string=Audit&amp;VAR:KEY=WRKHMHIHEH&amp;VAR:QUERY=UkdGX1RBWF9SQVRFKEFOTiwwLCwsLCwsTk9BVURJVCk=&amp;WINDOW=FIRST_POPUP&amp;HEIGHT=450&amp;WIDTH=450&amp;","START_MAXIMIZED=FALSE&amp;VAR:CALENDAR=US&amp;VAR:SYMBOL=EXPE&amp;VAR:INDEX=0"}</definedName>
    <definedName name="_3803__FDSAUDITLINK__" localSheetId="3" hidden="1">{"fdsup://directions/FAT Viewer?action=UPDATE&amp;creator=factset&amp;DYN_ARGS=TRUE&amp;DOC_NAME=FAT:FQL_AUDITING_CLIENT_TEMPLATE.FAT&amp;display_string=Audit&amp;VAR:KEY=MPKBCVOTIN&amp;VAR:QUERY=UkdGX1RBWF9SQVRFKEFOTiwwLCwsLCwsTk9BVURJVCk=&amp;WINDOW=FIRST_POPUP&amp;HEIGHT=450&amp;WIDTH=450&amp;","START_MAXIMIZED=FALSE&amp;VAR:CALENDAR=US&amp;VAR:SYMBOL=569496&amp;VAR:INDEX=0"}</definedName>
    <definedName name="_3803__FDSAUDITLINK__" localSheetId="7" hidden="1">{"fdsup://directions/FAT Viewer?action=UPDATE&amp;creator=factset&amp;DYN_ARGS=TRUE&amp;DOC_NAME=FAT:FQL_AUDITING_CLIENT_TEMPLATE.FAT&amp;display_string=Audit&amp;VAR:KEY=MPKBCVOTIN&amp;VAR:QUERY=UkdGX1RBWF9SQVRFKEFOTiwwLCwsLCwsTk9BVURJVCk=&amp;WINDOW=FIRST_POPUP&amp;HEIGHT=450&amp;WIDTH=450&amp;","START_MAXIMIZED=FALSE&amp;VAR:CALENDAR=US&amp;VAR:SYMBOL=569496&amp;VAR:INDEX=0"}</definedName>
    <definedName name="_3803__FDSAUDITLINK__" hidden="1">{"fdsup://directions/FAT Viewer?action=UPDATE&amp;creator=factset&amp;DYN_ARGS=TRUE&amp;DOC_NAME=FAT:FQL_AUDITING_CLIENT_TEMPLATE.FAT&amp;display_string=Audit&amp;VAR:KEY=MPKBCVOTIN&amp;VAR:QUERY=UkdGX1RBWF9SQVRFKEFOTiwwLCwsLCwsTk9BVURJVCk=&amp;WINDOW=FIRST_POPUP&amp;HEIGHT=450&amp;WIDTH=450&amp;","START_MAXIMIZED=FALSE&amp;VAR:CALENDAR=US&amp;VAR:SYMBOL=569496&amp;VAR:INDEX=0"}</definedName>
    <definedName name="_3804__FDSAUDITLINK__" localSheetId="3" hidden="1">{"fdsup://directions/FAT Viewer?action=UPDATE&amp;creator=factset&amp;DYN_ARGS=TRUE&amp;DOC_NAME=FAT:FQL_AUDITING_CLIENT_TEMPLATE.FAT&amp;display_string=Audit&amp;VAR:KEY=MPKBCVOTIN&amp;VAR:QUERY=UkdGX1RBWF9SQVRFKEFOTiwwLCwsLCwsTk9BVURJVCk=&amp;WINDOW=FIRST_POPUP&amp;HEIGHT=450&amp;WIDTH=450&amp;","START_MAXIMIZED=FALSE&amp;VAR:CALENDAR=US&amp;VAR:SYMBOL=569496&amp;VAR:INDEX=0"}</definedName>
    <definedName name="_3804__FDSAUDITLINK__" localSheetId="7" hidden="1">{"fdsup://directions/FAT Viewer?action=UPDATE&amp;creator=factset&amp;DYN_ARGS=TRUE&amp;DOC_NAME=FAT:FQL_AUDITING_CLIENT_TEMPLATE.FAT&amp;display_string=Audit&amp;VAR:KEY=MPKBCVOTIN&amp;VAR:QUERY=UkdGX1RBWF9SQVRFKEFOTiwwLCwsLCwsTk9BVURJVCk=&amp;WINDOW=FIRST_POPUP&amp;HEIGHT=450&amp;WIDTH=450&amp;","START_MAXIMIZED=FALSE&amp;VAR:CALENDAR=US&amp;VAR:SYMBOL=569496&amp;VAR:INDEX=0"}</definedName>
    <definedName name="_3804__FDSAUDITLINK__" hidden="1">{"fdsup://directions/FAT Viewer?action=UPDATE&amp;creator=factset&amp;DYN_ARGS=TRUE&amp;DOC_NAME=FAT:FQL_AUDITING_CLIENT_TEMPLATE.FAT&amp;display_string=Audit&amp;VAR:KEY=MPKBCVOTIN&amp;VAR:QUERY=UkdGX1RBWF9SQVRFKEFOTiwwLCwsLCwsTk9BVURJVCk=&amp;WINDOW=FIRST_POPUP&amp;HEIGHT=450&amp;WIDTH=450&amp;","START_MAXIMIZED=FALSE&amp;VAR:CALENDAR=US&amp;VAR:SYMBOL=569496&amp;VAR:INDEX=0"}</definedName>
    <definedName name="_3805__FDSAUDITLINK__" localSheetId="3" hidden="1">{"fdsup://directions/FAT Viewer?action=UPDATE&amp;creator=factset&amp;DYN_ARGS=TRUE&amp;DOC_NAME=FAT:FQL_AUDITING_CLIENT_TEMPLATE.FAT&amp;display_string=Audit&amp;VAR:KEY=MNKJCXYBMZ&amp;VAR:QUERY=UkdGX1RBWF9SQVRFKEFOTiwwLCwsLCwsTk9BVURJVCk=&amp;WINDOW=FIRST_POPUP&amp;HEIGHT=450&amp;WIDTH=450&amp;","START_MAXIMIZED=FALSE&amp;VAR:CALENDAR=US&amp;VAR:SYMBOL=EQIX&amp;VAR:INDEX=0"}</definedName>
    <definedName name="_3805__FDSAUDITLINK__" localSheetId="7" hidden="1">{"fdsup://directions/FAT Viewer?action=UPDATE&amp;creator=factset&amp;DYN_ARGS=TRUE&amp;DOC_NAME=FAT:FQL_AUDITING_CLIENT_TEMPLATE.FAT&amp;display_string=Audit&amp;VAR:KEY=MNKJCXYBMZ&amp;VAR:QUERY=UkdGX1RBWF9SQVRFKEFOTiwwLCwsLCwsTk9BVURJVCk=&amp;WINDOW=FIRST_POPUP&amp;HEIGHT=450&amp;WIDTH=450&amp;","START_MAXIMIZED=FALSE&amp;VAR:CALENDAR=US&amp;VAR:SYMBOL=EQIX&amp;VAR:INDEX=0"}</definedName>
    <definedName name="_3805__FDSAUDITLINK__" hidden="1">{"fdsup://directions/FAT Viewer?action=UPDATE&amp;creator=factset&amp;DYN_ARGS=TRUE&amp;DOC_NAME=FAT:FQL_AUDITING_CLIENT_TEMPLATE.FAT&amp;display_string=Audit&amp;VAR:KEY=MNKJCXYBMZ&amp;VAR:QUERY=UkdGX1RBWF9SQVRFKEFOTiwwLCwsLCwsTk9BVURJVCk=&amp;WINDOW=FIRST_POPUP&amp;HEIGHT=450&amp;WIDTH=450&amp;","START_MAXIMIZED=FALSE&amp;VAR:CALENDAR=US&amp;VAR:SYMBOL=EQIX&amp;VAR:INDEX=0"}</definedName>
    <definedName name="_3806__FDSAUDITLINK__" localSheetId="3" hidden="1">{"fdsup://directions/FAT Viewer?action=UPDATE&amp;creator=factset&amp;DYN_ARGS=TRUE&amp;DOC_NAME=FAT:FQL_AUDITING_CLIENT_TEMPLATE.FAT&amp;display_string=Audit&amp;VAR:KEY=MNKJCXYBMZ&amp;VAR:QUERY=UkdGX1RBWF9SQVRFKEFOTiwwLCwsLCwsTk9BVURJVCk=&amp;WINDOW=FIRST_POPUP&amp;HEIGHT=450&amp;WIDTH=450&amp;","START_MAXIMIZED=FALSE&amp;VAR:CALENDAR=US&amp;VAR:SYMBOL=EQIX&amp;VAR:INDEX=0"}</definedName>
    <definedName name="_3806__FDSAUDITLINK__" localSheetId="7" hidden="1">{"fdsup://directions/FAT Viewer?action=UPDATE&amp;creator=factset&amp;DYN_ARGS=TRUE&amp;DOC_NAME=FAT:FQL_AUDITING_CLIENT_TEMPLATE.FAT&amp;display_string=Audit&amp;VAR:KEY=MNKJCXYBMZ&amp;VAR:QUERY=UkdGX1RBWF9SQVRFKEFOTiwwLCwsLCwsTk9BVURJVCk=&amp;WINDOW=FIRST_POPUP&amp;HEIGHT=450&amp;WIDTH=450&amp;","START_MAXIMIZED=FALSE&amp;VAR:CALENDAR=US&amp;VAR:SYMBOL=EQIX&amp;VAR:INDEX=0"}</definedName>
    <definedName name="_3806__FDSAUDITLINK__" hidden="1">{"fdsup://directions/FAT Viewer?action=UPDATE&amp;creator=factset&amp;DYN_ARGS=TRUE&amp;DOC_NAME=FAT:FQL_AUDITING_CLIENT_TEMPLATE.FAT&amp;display_string=Audit&amp;VAR:KEY=MNKJCXYBMZ&amp;VAR:QUERY=UkdGX1RBWF9SQVRFKEFOTiwwLCwsLCwsTk9BVURJVCk=&amp;WINDOW=FIRST_POPUP&amp;HEIGHT=450&amp;WIDTH=450&amp;","START_MAXIMIZED=FALSE&amp;VAR:CALENDAR=US&amp;VAR:SYMBOL=EQIX&amp;VAR:INDEX=0"}</definedName>
    <definedName name="_3807__FDSAUDITLINK__" localSheetId="3" hidden="1">{"fdsup://directions/FAT Viewer?action=UPDATE&amp;creator=factset&amp;DYN_ARGS=TRUE&amp;DOC_NAME=FAT:FQL_AUDITING_CLIENT_TEMPLATE.FAT&amp;display_string=Audit&amp;VAR:KEY=CXAVMHCNSH&amp;VAR:QUERY=UkdGX1RBWF9SQVRFKEFOTiwwLCwsLCwsTk9BVURJVCk=&amp;WINDOW=FIRST_POPUP&amp;HEIGHT=450&amp;WIDTH=450&amp;","START_MAXIMIZED=FALSE&amp;VAR:CALENDAR=US&amp;VAR:SYMBOL=EPIQ&amp;VAR:INDEX=0"}</definedName>
    <definedName name="_3807__FDSAUDITLINK__" localSheetId="7" hidden="1">{"fdsup://directions/FAT Viewer?action=UPDATE&amp;creator=factset&amp;DYN_ARGS=TRUE&amp;DOC_NAME=FAT:FQL_AUDITING_CLIENT_TEMPLATE.FAT&amp;display_string=Audit&amp;VAR:KEY=CXAVMHCNSH&amp;VAR:QUERY=UkdGX1RBWF9SQVRFKEFOTiwwLCwsLCwsTk9BVURJVCk=&amp;WINDOW=FIRST_POPUP&amp;HEIGHT=450&amp;WIDTH=450&amp;","START_MAXIMIZED=FALSE&amp;VAR:CALENDAR=US&amp;VAR:SYMBOL=EPIQ&amp;VAR:INDEX=0"}</definedName>
    <definedName name="_3807__FDSAUDITLINK__" hidden="1">{"fdsup://directions/FAT Viewer?action=UPDATE&amp;creator=factset&amp;DYN_ARGS=TRUE&amp;DOC_NAME=FAT:FQL_AUDITING_CLIENT_TEMPLATE.FAT&amp;display_string=Audit&amp;VAR:KEY=CXAVMHCNSH&amp;VAR:QUERY=UkdGX1RBWF9SQVRFKEFOTiwwLCwsLCwsTk9BVURJVCk=&amp;WINDOW=FIRST_POPUP&amp;HEIGHT=450&amp;WIDTH=450&amp;","START_MAXIMIZED=FALSE&amp;VAR:CALENDAR=US&amp;VAR:SYMBOL=EPIQ&amp;VAR:INDEX=0"}</definedName>
    <definedName name="_3808__FDSAUDITLINK__" localSheetId="3" hidden="1">{"fdsup://directions/FAT Viewer?action=UPDATE&amp;creator=factset&amp;DYN_ARGS=TRUE&amp;DOC_NAME=FAT:FQL_AUDITING_CLIENT_TEMPLATE.FAT&amp;display_string=Audit&amp;VAR:KEY=CXAVMHCNSH&amp;VAR:QUERY=UkdGX1RBWF9SQVRFKEFOTiwwLCwsLCwsTk9BVURJVCk=&amp;WINDOW=FIRST_POPUP&amp;HEIGHT=450&amp;WIDTH=450&amp;","START_MAXIMIZED=FALSE&amp;VAR:CALENDAR=US&amp;VAR:SYMBOL=EPIQ&amp;VAR:INDEX=0"}</definedName>
    <definedName name="_3808__FDSAUDITLINK__" localSheetId="7" hidden="1">{"fdsup://directions/FAT Viewer?action=UPDATE&amp;creator=factset&amp;DYN_ARGS=TRUE&amp;DOC_NAME=FAT:FQL_AUDITING_CLIENT_TEMPLATE.FAT&amp;display_string=Audit&amp;VAR:KEY=CXAVMHCNSH&amp;VAR:QUERY=UkdGX1RBWF9SQVRFKEFOTiwwLCwsLCwsTk9BVURJVCk=&amp;WINDOW=FIRST_POPUP&amp;HEIGHT=450&amp;WIDTH=450&amp;","START_MAXIMIZED=FALSE&amp;VAR:CALENDAR=US&amp;VAR:SYMBOL=EPIQ&amp;VAR:INDEX=0"}</definedName>
    <definedName name="_3808__FDSAUDITLINK__" hidden="1">{"fdsup://directions/FAT Viewer?action=UPDATE&amp;creator=factset&amp;DYN_ARGS=TRUE&amp;DOC_NAME=FAT:FQL_AUDITING_CLIENT_TEMPLATE.FAT&amp;display_string=Audit&amp;VAR:KEY=CXAVMHCNSH&amp;VAR:QUERY=UkdGX1RBWF9SQVRFKEFOTiwwLCwsLCwsTk9BVURJVCk=&amp;WINDOW=FIRST_POPUP&amp;HEIGHT=450&amp;WIDTH=450&amp;","START_MAXIMIZED=FALSE&amp;VAR:CALENDAR=US&amp;VAR:SYMBOL=EPIQ&amp;VAR:INDEX=0"}</definedName>
    <definedName name="_3809__FDSAUDITLINK__" localSheetId="3" hidden="1">{"fdsup://directions/FAT Viewer?action=UPDATE&amp;creator=factset&amp;DYN_ARGS=TRUE&amp;DOC_NAME=FAT:FQL_AUDITING_CLIENT_TEMPLATE.FAT&amp;display_string=Audit&amp;VAR:KEY=SDKRULKBCF&amp;VAR:QUERY=UkdGX1RBWF9SQVRFKEFOTiwwLCwsLCwsTk9BVURJVCk=&amp;WINDOW=FIRST_POPUP&amp;HEIGHT=450&amp;WIDTH=450&amp;","START_MAXIMIZED=FALSE&amp;VAR:CALENDAR=US&amp;VAR:SYMBOL=EPIC&amp;VAR:INDEX=0"}</definedName>
    <definedName name="_3809__FDSAUDITLINK__" localSheetId="7" hidden="1">{"fdsup://directions/FAT Viewer?action=UPDATE&amp;creator=factset&amp;DYN_ARGS=TRUE&amp;DOC_NAME=FAT:FQL_AUDITING_CLIENT_TEMPLATE.FAT&amp;display_string=Audit&amp;VAR:KEY=SDKRULKBCF&amp;VAR:QUERY=UkdGX1RBWF9SQVRFKEFOTiwwLCwsLCwsTk9BVURJVCk=&amp;WINDOW=FIRST_POPUP&amp;HEIGHT=450&amp;WIDTH=450&amp;","START_MAXIMIZED=FALSE&amp;VAR:CALENDAR=US&amp;VAR:SYMBOL=EPIC&amp;VAR:INDEX=0"}</definedName>
    <definedName name="_3809__FDSAUDITLINK__" hidden="1">{"fdsup://directions/FAT Viewer?action=UPDATE&amp;creator=factset&amp;DYN_ARGS=TRUE&amp;DOC_NAME=FAT:FQL_AUDITING_CLIENT_TEMPLATE.FAT&amp;display_string=Audit&amp;VAR:KEY=SDKRULKBCF&amp;VAR:QUERY=UkdGX1RBWF9SQVRFKEFOTiwwLCwsLCwsTk9BVURJVCk=&amp;WINDOW=FIRST_POPUP&amp;HEIGHT=450&amp;WIDTH=450&amp;","START_MAXIMIZED=FALSE&amp;VAR:CALENDAR=US&amp;VAR:SYMBOL=EPIC&amp;VAR:INDEX=0"}</definedName>
    <definedName name="_381__FDSAUDITLINK__" localSheetId="3" hidden="1">{"fdsup://directions/FAT Viewer?action=UPDATE&amp;creator=factset&amp;DYN_ARGS=TRUE&amp;DOC_NAME=FAT:FQL_AUDITING_CLIENT_TEMPLATE.FAT&amp;display_string=Audit&amp;VAR:KEY=SBSBCJMXQF&amp;VAR:QUERY=RkZfQVNTRVRfVFVSTihBTk4sMCwtOSxZLFJQKQ==&amp;WINDOW=FIRST_POPUP&amp;HEIGHT=450&amp;WIDTH=450&amp;STAR","T_MAXIMIZED=FALSE&amp;VAR:CALENDAR=US&amp;VAR:SYMBOL=B10LQP&amp;VAR:INDEX=2"}</definedName>
    <definedName name="_381__FDSAUDITLINK__" localSheetId="7" hidden="1">{"fdsup://directions/FAT Viewer?action=UPDATE&amp;creator=factset&amp;DYN_ARGS=TRUE&amp;DOC_NAME=FAT:FQL_AUDITING_CLIENT_TEMPLATE.FAT&amp;display_string=Audit&amp;VAR:KEY=SBSBCJMXQF&amp;VAR:QUERY=RkZfQVNTRVRfVFVSTihBTk4sMCwtOSxZLFJQKQ==&amp;WINDOW=FIRST_POPUP&amp;HEIGHT=450&amp;WIDTH=450&amp;STAR","T_MAXIMIZED=FALSE&amp;VAR:CALENDAR=US&amp;VAR:SYMBOL=B10LQP&amp;VAR:INDEX=2"}</definedName>
    <definedName name="_381__FDSAUDITLINK__" hidden="1">{"fdsup://directions/FAT Viewer?action=UPDATE&amp;creator=factset&amp;DYN_ARGS=TRUE&amp;DOC_NAME=FAT:FQL_AUDITING_CLIENT_TEMPLATE.FAT&amp;display_string=Audit&amp;VAR:KEY=SBSBCJMXQF&amp;VAR:QUERY=RkZfQVNTRVRfVFVSTihBTk4sMCwtOSxZLFJQKQ==&amp;WINDOW=FIRST_POPUP&amp;HEIGHT=450&amp;WIDTH=450&amp;STAR","T_MAXIMIZED=FALSE&amp;VAR:CALENDAR=US&amp;VAR:SYMBOL=B10LQP&amp;VAR:INDEX=2"}</definedName>
    <definedName name="_3810__FDSAUDITLINK__" localSheetId="3" hidden="1">{"fdsup://directions/FAT Viewer?action=UPDATE&amp;creator=factset&amp;DYN_ARGS=TRUE&amp;DOC_NAME=FAT:FQL_AUDITING_CLIENT_TEMPLATE.FAT&amp;display_string=Audit&amp;VAR:KEY=QBULMFQJKN&amp;VAR:QUERY=UkdGX1RBWF9SQVRFKEFOTiwwLCwsLCwsTk9BVURJVCk=&amp;WINDOW=FIRST_POPUP&amp;HEIGHT=450&amp;WIDTH=450&amp;","START_MAXIMIZED=FALSE&amp;VAR:CALENDAR=US&amp;VAR:SYMBOL=EMC&amp;VAR:INDEX=0"}</definedName>
    <definedName name="_3810__FDSAUDITLINK__" localSheetId="7" hidden="1">{"fdsup://directions/FAT Viewer?action=UPDATE&amp;creator=factset&amp;DYN_ARGS=TRUE&amp;DOC_NAME=FAT:FQL_AUDITING_CLIENT_TEMPLATE.FAT&amp;display_string=Audit&amp;VAR:KEY=QBULMFQJKN&amp;VAR:QUERY=UkdGX1RBWF9SQVRFKEFOTiwwLCwsLCwsTk9BVURJVCk=&amp;WINDOW=FIRST_POPUP&amp;HEIGHT=450&amp;WIDTH=450&amp;","START_MAXIMIZED=FALSE&amp;VAR:CALENDAR=US&amp;VAR:SYMBOL=EMC&amp;VAR:INDEX=0"}</definedName>
    <definedName name="_3810__FDSAUDITLINK__" hidden="1">{"fdsup://directions/FAT Viewer?action=UPDATE&amp;creator=factset&amp;DYN_ARGS=TRUE&amp;DOC_NAME=FAT:FQL_AUDITING_CLIENT_TEMPLATE.FAT&amp;display_string=Audit&amp;VAR:KEY=QBULMFQJKN&amp;VAR:QUERY=UkdGX1RBWF9SQVRFKEFOTiwwLCwsLCwsTk9BVURJVCk=&amp;WINDOW=FIRST_POPUP&amp;HEIGHT=450&amp;WIDTH=450&amp;","START_MAXIMIZED=FALSE&amp;VAR:CALENDAR=US&amp;VAR:SYMBOL=EMC&amp;VAR:INDEX=0"}</definedName>
    <definedName name="_3811__FDSAUDITLINK__" localSheetId="3" hidden="1">{"fdsup://directions/FAT Viewer?action=UPDATE&amp;creator=factset&amp;DYN_ARGS=TRUE&amp;DOC_NAME=FAT:FQL_AUDITING_CLIENT_TEMPLATE.FAT&amp;display_string=Audit&amp;VAR:KEY=QBULMFQJKN&amp;VAR:QUERY=UkdGX1RBWF9SQVRFKEFOTiwwLCwsLCwsTk9BVURJVCk=&amp;WINDOW=FIRST_POPUP&amp;HEIGHT=450&amp;WIDTH=450&amp;","START_MAXIMIZED=FALSE&amp;VAR:CALENDAR=US&amp;VAR:SYMBOL=EMC&amp;VAR:INDEX=0"}</definedName>
    <definedName name="_3811__FDSAUDITLINK__" localSheetId="7" hidden="1">{"fdsup://directions/FAT Viewer?action=UPDATE&amp;creator=factset&amp;DYN_ARGS=TRUE&amp;DOC_NAME=FAT:FQL_AUDITING_CLIENT_TEMPLATE.FAT&amp;display_string=Audit&amp;VAR:KEY=QBULMFQJKN&amp;VAR:QUERY=UkdGX1RBWF9SQVRFKEFOTiwwLCwsLCwsTk9BVURJVCk=&amp;WINDOW=FIRST_POPUP&amp;HEIGHT=450&amp;WIDTH=450&amp;","START_MAXIMIZED=FALSE&amp;VAR:CALENDAR=US&amp;VAR:SYMBOL=EMC&amp;VAR:INDEX=0"}</definedName>
    <definedName name="_3811__FDSAUDITLINK__" hidden="1">{"fdsup://directions/FAT Viewer?action=UPDATE&amp;creator=factset&amp;DYN_ARGS=TRUE&amp;DOC_NAME=FAT:FQL_AUDITING_CLIENT_TEMPLATE.FAT&amp;display_string=Audit&amp;VAR:KEY=QBULMFQJKN&amp;VAR:QUERY=UkdGX1RBWF9SQVRFKEFOTiwwLCwsLCwsTk9BVURJVCk=&amp;WINDOW=FIRST_POPUP&amp;HEIGHT=450&amp;WIDTH=450&amp;","START_MAXIMIZED=FALSE&amp;VAR:CALENDAR=US&amp;VAR:SYMBOL=EMC&amp;VAR:INDEX=0"}</definedName>
    <definedName name="_3812__FDSAUDITLINK__" localSheetId="3" hidden="1">{"fdsup://directions/FAT Viewer?action=UPDATE&amp;creator=factset&amp;DYN_ARGS=TRUE&amp;DOC_NAME=FAT:FQL_AUDITING_CLIENT_TEMPLATE.FAT&amp;display_string=Audit&amp;VAR:KEY=CJALQTKTCN&amp;VAR:QUERY=UkdGX1RBWF9SQVRFKEFOTiwwLCwsLCwsTk9BVURJVCk=&amp;WINDOW=FIRST_POPUP&amp;HEIGHT=450&amp;WIDTH=450&amp;","START_MAXIMIZED=FALSE&amp;VAR:CALENDAR=US&amp;VAR:SYMBOL=EBAY&amp;VAR:INDEX=0"}</definedName>
    <definedName name="_3812__FDSAUDITLINK__" localSheetId="7" hidden="1">{"fdsup://directions/FAT Viewer?action=UPDATE&amp;creator=factset&amp;DYN_ARGS=TRUE&amp;DOC_NAME=FAT:FQL_AUDITING_CLIENT_TEMPLATE.FAT&amp;display_string=Audit&amp;VAR:KEY=CJALQTKTCN&amp;VAR:QUERY=UkdGX1RBWF9SQVRFKEFOTiwwLCwsLCwsTk9BVURJVCk=&amp;WINDOW=FIRST_POPUP&amp;HEIGHT=450&amp;WIDTH=450&amp;","START_MAXIMIZED=FALSE&amp;VAR:CALENDAR=US&amp;VAR:SYMBOL=EBAY&amp;VAR:INDEX=0"}</definedName>
    <definedName name="_3812__FDSAUDITLINK__" hidden="1">{"fdsup://directions/FAT Viewer?action=UPDATE&amp;creator=factset&amp;DYN_ARGS=TRUE&amp;DOC_NAME=FAT:FQL_AUDITING_CLIENT_TEMPLATE.FAT&amp;display_string=Audit&amp;VAR:KEY=CJALQTKTCN&amp;VAR:QUERY=UkdGX1RBWF9SQVRFKEFOTiwwLCwsLCwsTk9BVURJVCk=&amp;WINDOW=FIRST_POPUP&amp;HEIGHT=450&amp;WIDTH=450&amp;","START_MAXIMIZED=FALSE&amp;VAR:CALENDAR=US&amp;VAR:SYMBOL=EBAY&amp;VAR:INDEX=0"}</definedName>
    <definedName name="_3813__FDSAUDITLINK__" localSheetId="3" hidden="1">{"fdsup://directions/FAT Viewer?action=UPDATE&amp;creator=factset&amp;DYN_ARGS=TRUE&amp;DOC_NAME=FAT:FQL_AUDITING_CLIENT_TEMPLATE.FAT&amp;display_string=Audit&amp;VAR:KEY=CJALQTKTCN&amp;VAR:QUERY=UkdGX1RBWF9SQVRFKEFOTiwwLCwsLCwsTk9BVURJVCk=&amp;WINDOW=FIRST_POPUP&amp;HEIGHT=450&amp;WIDTH=450&amp;","START_MAXIMIZED=FALSE&amp;VAR:CALENDAR=US&amp;VAR:SYMBOL=EBAY&amp;VAR:INDEX=0"}</definedName>
    <definedName name="_3813__FDSAUDITLINK__" localSheetId="7" hidden="1">{"fdsup://directions/FAT Viewer?action=UPDATE&amp;creator=factset&amp;DYN_ARGS=TRUE&amp;DOC_NAME=FAT:FQL_AUDITING_CLIENT_TEMPLATE.FAT&amp;display_string=Audit&amp;VAR:KEY=CJALQTKTCN&amp;VAR:QUERY=UkdGX1RBWF9SQVRFKEFOTiwwLCwsLCwsTk9BVURJVCk=&amp;WINDOW=FIRST_POPUP&amp;HEIGHT=450&amp;WIDTH=450&amp;","START_MAXIMIZED=FALSE&amp;VAR:CALENDAR=US&amp;VAR:SYMBOL=EBAY&amp;VAR:INDEX=0"}</definedName>
    <definedName name="_3813__FDSAUDITLINK__" hidden="1">{"fdsup://directions/FAT Viewer?action=UPDATE&amp;creator=factset&amp;DYN_ARGS=TRUE&amp;DOC_NAME=FAT:FQL_AUDITING_CLIENT_TEMPLATE.FAT&amp;display_string=Audit&amp;VAR:KEY=CJALQTKTCN&amp;VAR:QUERY=UkdGX1RBWF9SQVRFKEFOTiwwLCwsLCwsTk9BVURJVCk=&amp;WINDOW=FIRST_POPUP&amp;HEIGHT=450&amp;WIDTH=450&amp;","START_MAXIMIZED=FALSE&amp;VAR:CALENDAR=US&amp;VAR:SYMBOL=EBAY&amp;VAR:INDEX=0"}</definedName>
    <definedName name="_3814__FDSAUDITLINK__" localSheetId="3" hidden="1">{"fdsup://directions/FAT Viewer?action=UPDATE&amp;creator=factset&amp;DYN_ARGS=TRUE&amp;DOC_NAME=FAT:FQL_AUDITING_CLIENT_TEMPLATE.FAT&amp;display_string=Audit&amp;VAR:KEY=IHEZMLOPSX&amp;VAR:QUERY=UkdGX1RBWF9SQVRFKEFOTiwwLCwsLCwsTk9BVURJVCk=&amp;WINDOW=FIRST_POPUP&amp;HEIGHT=450&amp;WIDTH=450&amp;","START_MAXIMIZED=FALSE&amp;VAR:CALENDAR=US&amp;VAR:SYMBOL=DTSI&amp;VAR:INDEX=0"}</definedName>
    <definedName name="_3814__FDSAUDITLINK__" localSheetId="7" hidden="1">{"fdsup://directions/FAT Viewer?action=UPDATE&amp;creator=factset&amp;DYN_ARGS=TRUE&amp;DOC_NAME=FAT:FQL_AUDITING_CLIENT_TEMPLATE.FAT&amp;display_string=Audit&amp;VAR:KEY=IHEZMLOPSX&amp;VAR:QUERY=UkdGX1RBWF9SQVRFKEFOTiwwLCwsLCwsTk9BVURJVCk=&amp;WINDOW=FIRST_POPUP&amp;HEIGHT=450&amp;WIDTH=450&amp;","START_MAXIMIZED=FALSE&amp;VAR:CALENDAR=US&amp;VAR:SYMBOL=DTSI&amp;VAR:INDEX=0"}</definedName>
    <definedName name="_3814__FDSAUDITLINK__" hidden="1">{"fdsup://directions/FAT Viewer?action=UPDATE&amp;creator=factset&amp;DYN_ARGS=TRUE&amp;DOC_NAME=FAT:FQL_AUDITING_CLIENT_TEMPLATE.FAT&amp;display_string=Audit&amp;VAR:KEY=IHEZMLOPSX&amp;VAR:QUERY=UkdGX1RBWF9SQVRFKEFOTiwwLCwsLCwsTk9BVURJVCk=&amp;WINDOW=FIRST_POPUP&amp;HEIGHT=450&amp;WIDTH=450&amp;","START_MAXIMIZED=FALSE&amp;VAR:CALENDAR=US&amp;VAR:SYMBOL=DTSI&amp;VAR:INDEX=0"}</definedName>
    <definedName name="_3815__FDSAUDITLINK__" localSheetId="3" hidden="1">{"fdsup://directions/FAT Viewer?action=UPDATE&amp;creator=factset&amp;DYN_ARGS=TRUE&amp;DOC_NAME=FAT:FQL_AUDITING_CLIENT_TEMPLATE.FAT&amp;display_string=Audit&amp;VAR:KEY=IHEZMLOPSX&amp;VAR:QUERY=UkdGX1RBWF9SQVRFKEFOTiwwLCwsLCwsTk9BVURJVCk=&amp;WINDOW=FIRST_POPUP&amp;HEIGHT=450&amp;WIDTH=450&amp;","START_MAXIMIZED=FALSE&amp;VAR:CALENDAR=US&amp;VAR:SYMBOL=DTSI&amp;VAR:INDEX=0"}</definedName>
    <definedName name="_3815__FDSAUDITLINK__" localSheetId="7" hidden="1">{"fdsup://directions/FAT Viewer?action=UPDATE&amp;creator=factset&amp;DYN_ARGS=TRUE&amp;DOC_NAME=FAT:FQL_AUDITING_CLIENT_TEMPLATE.FAT&amp;display_string=Audit&amp;VAR:KEY=IHEZMLOPSX&amp;VAR:QUERY=UkdGX1RBWF9SQVRFKEFOTiwwLCwsLCwsTk9BVURJVCk=&amp;WINDOW=FIRST_POPUP&amp;HEIGHT=450&amp;WIDTH=450&amp;","START_MAXIMIZED=FALSE&amp;VAR:CALENDAR=US&amp;VAR:SYMBOL=DTSI&amp;VAR:INDEX=0"}</definedName>
    <definedName name="_3815__FDSAUDITLINK__" hidden="1">{"fdsup://directions/FAT Viewer?action=UPDATE&amp;creator=factset&amp;DYN_ARGS=TRUE&amp;DOC_NAME=FAT:FQL_AUDITING_CLIENT_TEMPLATE.FAT&amp;display_string=Audit&amp;VAR:KEY=IHEZMLOPSX&amp;VAR:QUERY=UkdGX1RBWF9SQVRFKEFOTiwwLCwsLCwsTk9BVURJVCk=&amp;WINDOW=FIRST_POPUP&amp;HEIGHT=450&amp;WIDTH=450&amp;","START_MAXIMIZED=FALSE&amp;VAR:CALENDAR=US&amp;VAR:SYMBOL=DTSI&amp;VAR:INDEX=0"}</definedName>
    <definedName name="_3816__FDSAUDITLINK__" localSheetId="3" hidden="1">{"fdsup://directions/FAT Viewer?action=UPDATE&amp;creator=factset&amp;DYN_ARGS=TRUE&amp;DOC_NAME=FAT:FQL_AUDITING_CLIENT_TEMPLATE.FAT&amp;display_string=Audit&amp;VAR:KEY=EJMFCZOVEB&amp;VAR:QUERY=UkdGX1RBWF9SQVRFKEFOTiwwLCwsLCwsTk9BVURJVCk=&amp;WINDOW=FIRST_POPUP&amp;HEIGHT=450&amp;WIDTH=450&amp;","START_MAXIMIZED=FALSE&amp;VAR:CALENDAR=US&amp;VAR:SYMBOL=DST&amp;VAR:INDEX=0"}</definedName>
    <definedName name="_3816__FDSAUDITLINK__" localSheetId="7" hidden="1">{"fdsup://directions/FAT Viewer?action=UPDATE&amp;creator=factset&amp;DYN_ARGS=TRUE&amp;DOC_NAME=FAT:FQL_AUDITING_CLIENT_TEMPLATE.FAT&amp;display_string=Audit&amp;VAR:KEY=EJMFCZOVEB&amp;VAR:QUERY=UkdGX1RBWF9SQVRFKEFOTiwwLCwsLCwsTk9BVURJVCk=&amp;WINDOW=FIRST_POPUP&amp;HEIGHT=450&amp;WIDTH=450&amp;","START_MAXIMIZED=FALSE&amp;VAR:CALENDAR=US&amp;VAR:SYMBOL=DST&amp;VAR:INDEX=0"}</definedName>
    <definedName name="_3816__FDSAUDITLINK__" hidden="1">{"fdsup://directions/FAT Viewer?action=UPDATE&amp;creator=factset&amp;DYN_ARGS=TRUE&amp;DOC_NAME=FAT:FQL_AUDITING_CLIENT_TEMPLATE.FAT&amp;display_string=Audit&amp;VAR:KEY=EJMFCZOVEB&amp;VAR:QUERY=UkdGX1RBWF9SQVRFKEFOTiwwLCwsLCwsTk9BVURJVCk=&amp;WINDOW=FIRST_POPUP&amp;HEIGHT=450&amp;WIDTH=450&amp;","START_MAXIMIZED=FALSE&amp;VAR:CALENDAR=US&amp;VAR:SYMBOL=DST&amp;VAR:INDEX=0"}</definedName>
    <definedName name="_3817__FDSAUDITLINK__" localSheetId="3" hidden="1">{"fdsup://directions/FAT Viewer?action=UPDATE&amp;creator=factset&amp;DYN_ARGS=TRUE&amp;DOC_NAME=FAT:FQL_AUDITING_CLIENT_TEMPLATE.FAT&amp;display_string=Audit&amp;VAR:KEY=EJMFCZOVEB&amp;VAR:QUERY=UkdGX1RBWF9SQVRFKEFOTiwwLCwsLCwsTk9BVURJVCk=&amp;WINDOW=FIRST_POPUP&amp;HEIGHT=450&amp;WIDTH=450&amp;","START_MAXIMIZED=FALSE&amp;VAR:CALENDAR=US&amp;VAR:SYMBOL=DST&amp;VAR:INDEX=0"}</definedName>
    <definedName name="_3817__FDSAUDITLINK__" localSheetId="7" hidden="1">{"fdsup://directions/FAT Viewer?action=UPDATE&amp;creator=factset&amp;DYN_ARGS=TRUE&amp;DOC_NAME=FAT:FQL_AUDITING_CLIENT_TEMPLATE.FAT&amp;display_string=Audit&amp;VAR:KEY=EJMFCZOVEB&amp;VAR:QUERY=UkdGX1RBWF9SQVRFKEFOTiwwLCwsLCwsTk9BVURJVCk=&amp;WINDOW=FIRST_POPUP&amp;HEIGHT=450&amp;WIDTH=450&amp;","START_MAXIMIZED=FALSE&amp;VAR:CALENDAR=US&amp;VAR:SYMBOL=DST&amp;VAR:INDEX=0"}</definedName>
    <definedName name="_3817__FDSAUDITLINK__" hidden="1">{"fdsup://directions/FAT Viewer?action=UPDATE&amp;creator=factset&amp;DYN_ARGS=TRUE&amp;DOC_NAME=FAT:FQL_AUDITING_CLIENT_TEMPLATE.FAT&amp;display_string=Audit&amp;VAR:KEY=EJMFCZOVEB&amp;VAR:QUERY=UkdGX1RBWF9SQVRFKEFOTiwwLCwsLCwsTk9BVURJVCk=&amp;WINDOW=FIRST_POPUP&amp;HEIGHT=450&amp;WIDTH=450&amp;","START_MAXIMIZED=FALSE&amp;VAR:CALENDAR=US&amp;VAR:SYMBOL=DST&amp;VAR:INDEX=0"}</definedName>
    <definedName name="_3818__FDSAUDITLINK__" localSheetId="3" hidden="1">{"fdsup://directions/FAT Viewer?action=UPDATE&amp;creator=factset&amp;DYN_ARGS=TRUE&amp;DOC_NAME=FAT:FQL_AUDITING_CLIENT_TEMPLATE.FAT&amp;display_string=Audit&amp;VAR:KEY=CDCRGHOFIV&amp;VAR:QUERY=UkdGX1RBWF9SQVRFKEFOTiwwLCwsLCwsTk9BVURJVCk=&amp;WINDOW=FIRST_POPUP&amp;HEIGHT=450&amp;WIDTH=450&amp;","START_MAXIMIZED=FALSE&amp;VAR:CALENDAR=US&amp;VAR:SYMBOL=DNB&amp;VAR:INDEX=0"}</definedName>
    <definedName name="_3818__FDSAUDITLINK__" localSheetId="7" hidden="1">{"fdsup://directions/FAT Viewer?action=UPDATE&amp;creator=factset&amp;DYN_ARGS=TRUE&amp;DOC_NAME=FAT:FQL_AUDITING_CLIENT_TEMPLATE.FAT&amp;display_string=Audit&amp;VAR:KEY=CDCRGHOFIV&amp;VAR:QUERY=UkdGX1RBWF9SQVRFKEFOTiwwLCwsLCwsTk9BVURJVCk=&amp;WINDOW=FIRST_POPUP&amp;HEIGHT=450&amp;WIDTH=450&amp;","START_MAXIMIZED=FALSE&amp;VAR:CALENDAR=US&amp;VAR:SYMBOL=DNB&amp;VAR:INDEX=0"}</definedName>
    <definedName name="_3818__FDSAUDITLINK__" hidden="1">{"fdsup://directions/FAT Viewer?action=UPDATE&amp;creator=factset&amp;DYN_ARGS=TRUE&amp;DOC_NAME=FAT:FQL_AUDITING_CLIENT_TEMPLATE.FAT&amp;display_string=Audit&amp;VAR:KEY=CDCRGHOFIV&amp;VAR:QUERY=UkdGX1RBWF9SQVRFKEFOTiwwLCwsLCwsTk9BVURJVCk=&amp;WINDOW=FIRST_POPUP&amp;HEIGHT=450&amp;WIDTH=450&amp;","START_MAXIMIZED=FALSE&amp;VAR:CALENDAR=US&amp;VAR:SYMBOL=DNB&amp;VAR:INDEX=0"}</definedName>
    <definedName name="_3819__FDSAUDITLINK__" localSheetId="3" hidden="1">{"fdsup://directions/FAT Viewer?action=UPDATE&amp;creator=factset&amp;DYN_ARGS=TRUE&amp;DOC_NAME=FAT:FQL_AUDITING_CLIENT_TEMPLATE.FAT&amp;display_string=Audit&amp;VAR:KEY=CDCRGHOFIV&amp;VAR:QUERY=UkdGX1RBWF9SQVRFKEFOTiwwLCwsLCwsTk9BVURJVCk=&amp;WINDOW=FIRST_POPUP&amp;HEIGHT=450&amp;WIDTH=450&amp;","START_MAXIMIZED=FALSE&amp;VAR:CALENDAR=US&amp;VAR:SYMBOL=DNB&amp;VAR:INDEX=0"}</definedName>
    <definedName name="_3819__FDSAUDITLINK__" localSheetId="7" hidden="1">{"fdsup://directions/FAT Viewer?action=UPDATE&amp;creator=factset&amp;DYN_ARGS=TRUE&amp;DOC_NAME=FAT:FQL_AUDITING_CLIENT_TEMPLATE.FAT&amp;display_string=Audit&amp;VAR:KEY=CDCRGHOFIV&amp;VAR:QUERY=UkdGX1RBWF9SQVRFKEFOTiwwLCwsLCwsTk9BVURJVCk=&amp;WINDOW=FIRST_POPUP&amp;HEIGHT=450&amp;WIDTH=450&amp;","START_MAXIMIZED=FALSE&amp;VAR:CALENDAR=US&amp;VAR:SYMBOL=DNB&amp;VAR:INDEX=0"}</definedName>
    <definedName name="_3819__FDSAUDITLINK__" hidden="1">{"fdsup://directions/FAT Viewer?action=UPDATE&amp;creator=factset&amp;DYN_ARGS=TRUE&amp;DOC_NAME=FAT:FQL_AUDITING_CLIENT_TEMPLATE.FAT&amp;display_string=Audit&amp;VAR:KEY=CDCRGHOFIV&amp;VAR:QUERY=UkdGX1RBWF9SQVRFKEFOTiwwLCwsLCwsTk9BVURJVCk=&amp;WINDOW=FIRST_POPUP&amp;HEIGHT=450&amp;WIDTH=450&amp;","START_MAXIMIZED=FALSE&amp;VAR:CALENDAR=US&amp;VAR:SYMBOL=DNB&amp;VAR:INDEX=0"}</definedName>
    <definedName name="_382__FDSAUDITLINK__" localSheetId="3" hidden="1">{"fdsup://directions/FAT Viewer?action=UPDATE&amp;creator=factset&amp;DYN_ARGS=TRUE&amp;DOC_NAME=FAT:FQL_AUDITING_CLIENT_TEMPLATE.FAT&amp;display_string=Audit&amp;VAR:KEY=SBSBCJMXQF&amp;VAR:QUERY=RkZfQVNTRVRfVFVSTihBTk4sMCwtOSxZLFJQKQ==&amp;WINDOW=FIRST_POPUP&amp;HEIGHT=450&amp;WIDTH=450&amp;STAR","T_MAXIMIZED=FALSE&amp;VAR:CALENDAR=US&amp;VAR:SYMBOL=B10LQP&amp;VAR:INDEX=1"}</definedName>
    <definedName name="_382__FDSAUDITLINK__" localSheetId="7" hidden="1">{"fdsup://directions/FAT Viewer?action=UPDATE&amp;creator=factset&amp;DYN_ARGS=TRUE&amp;DOC_NAME=FAT:FQL_AUDITING_CLIENT_TEMPLATE.FAT&amp;display_string=Audit&amp;VAR:KEY=SBSBCJMXQF&amp;VAR:QUERY=RkZfQVNTRVRfVFVSTihBTk4sMCwtOSxZLFJQKQ==&amp;WINDOW=FIRST_POPUP&amp;HEIGHT=450&amp;WIDTH=450&amp;STAR","T_MAXIMIZED=FALSE&amp;VAR:CALENDAR=US&amp;VAR:SYMBOL=B10LQP&amp;VAR:INDEX=1"}</definedName>
    <definedName name="_382__FDSAUDITLINK__" hidden="1">{"fdsup://directions/FAT Viewer?action=UPDATE&amp;creator=factset&amp;DYN_ARGS=TRUE&amp;DOC_NAME=FAT:FQL_AUDITING_CLIENT_TEMPLATE.FAT&amp;display_string=Audit&amp;VAR:KEY=SBSBCJMXQF&amp;VAR:QUERY=RkZfQVNTRVRfVFVSTihBTk4sMCwtOSxZLFJQKQ==&amp;WINDOW=FIRST_POPUP&amp;HEIGHT=450&amp;WIDTH=450&amp;STAR","T_MAXIMIZED=FALSE&amp;VAR:CALENDAR=US&amp;VAR:SYMBOL=B10LQP&amp;VAR:INDEX=1"}</definedName>
    <definedName name="_3820__FDSAUDITLINK__" localSheetId="3" hidden="1">{"fdsup://directions/FAT Viewer?action=UPDATE&amp;creator=factset&amp;DYN_ARGS=TRUE&amp;DOC_NAME=FAT:FQL_AUDITING_CLIENT_TEMPLATE.FAT&amp;display_string=Audit&amp;VAR:KEY=ENOPMVCTOH&amp;VAR:QUERY=UkdGX1RBWF9SQVRFKEFOTiwwLCwsLCwsTk9BVURJVCk=&amp;WINDOW=FIRST_POPUP&amp;HEIGHT=450&amp;WIDTH=450&amp;","START_MAXIMIZED=FALSE&amp;VAR:CALENDAR=US&amp;VAR:SYMBOL=DLB&amp;VAR:INDEX=0"}</definedName>
    <definedName name="_3820__FDSAUDITLINK__" localSheetId="7" hidden="1">{"fdsup://directions/FAT Viewer?action=UPDATE&amp;creator=factset&amp;DYN_ARGS=TRUE&amp;DOC_NAME=FAT:FQL_AUDITING_CLIENT_TEMPLATE.FAT&amp;display_string=Audit&amp;VAR:KEY=ENOPMVCTOH&amp;VAR:QUERY=UkdGX1RBWF9SQVRFKEFOTiwwLCwsLCwsTk9BVURJVCk=&amp;WINDOW=FIRST_POPUP&amp;HEIGHT=450&amp;WIDTH=450&amp;","START_MAXIMIZED=FALSE&amp;VAR:CALENDAR=US&amp;VAR:SYMBOL=DLB&amp;VAR:INDEX=0"}</definedName>
    <definedName name="_3820__FDSAUDITLINK__" hidden="1">{"fdsup://directions/FAT Viewer?action=UPDATE&amp;creator=factset&amp;DYN_ARGS=TRUE&amp;DOC_NAME=FAT:FQL_AUDITING_CLIENT_TEMPLATE.FAT&amp;display_string=Audit&amp;VAR:KEY=ENOPMVCTOH&amp;VAR:QUERY=UkdGX1RBWF9SQVRFKEFOTiwwLCwsLCwsTk9BVURJVCk=&amp;WINDOW=FIRST_POPUP&amp;HEIGHT=450&amp;WIDTH=450&amp;","START_MAXIMIZED=FALSE&amp;VAR:CALENDAR=US&amp;VAR:SYMBOL=DLB&amp;VAR:INDEX=0"}</definedName>
    <definedName name="_3821__FDSAUDITLINK__" localSheetId="3" hidden="1">{"fdsup://directions/FAT Viewer?action=UPDATE&amp;creator=factset&amp;DYN_ARGS=TRUE&amp;DOC_NAME=FAT:FQL_AUDITING_CLIENT_TEMPLATE.FAT&amp;display_string=Audit&amp;VAR:KEY=ENOPMVCTOH&amp;VAR:QUERY=UkdGX1RBWF9SQVRFKEFOTiwwLCwsLCwsTk9BVURJVCk=&amp;WINDOW=FIRST_POPUP&amp;HEIGHT=450&amp;WIDTH=450&amp;","START_MAXIMIZED=FALSE&amp;VAR:CALENDAR=US&amp;VAR:SYMBOL=DLB&amp;VAR:INDEX=0"}</definedName>
    <definedName name="_3821__FDSAUDITLINK__" localSheetId="7" hidden="1">{"fdsup://directions/FAT Viewer?action=UPDATE&amp;creator=factset&amp;DYN_ARGS=TRUE&amp;DOC_NAME=FAT:FQL_AUDITING_CLIENT_TEMPLATE.FAT&amp;display_string=Audit&amp;VAR:KEY=ENOPMVCTOH&amp;VAR:QUERY=UkdGX1RBWF9SQVRFKEFOTiwwLCwsLCwsTk9BVURJVCk=&amp;WINDOW=FIRST_POPUP&amp;HEIGHT=450&amp;WIDTH=450&amp;","START_MAXIMIZED=FALSE&amp;VAR:CALENDAR=US&amp;VAR:SYMBOL=DLB&amp;VAR:INDEX=0"}</definedName>
    <definedName name="_3821__FDSAUDITLINK__" hidden="1">{"fdsup://directions/FAT Viewer?action=UPDATE&amp;creator=factset&amp;DYN_ARGS=TRUE&amp;DOC_NAME=FAT:FQL_AUDITING_CLIENT_TEMPLATE.FAT&amp;display_string=Audit&amp;VAR:KEY=ENOPMVCTOH&amp;VAR:QUERY=UkdGX1RBWF9SQVRFKEFOTiwwLCwsLCwsTk9BVURJVCk=&amp;WINDOW=FIRST_POPUP&amp;HEIGHT=450&amp;WIDTH=450&amp;","START_MAXIMIZED=FALSE&amp;VAR:CALENDAR=US&amp;VAR:SYMBOL=DLB&amp;VAR:INDEX=0"}</definedName>
    <definedName name="_3822__FDSAUDITLINK__" localSheetId="3" hidden="1">{"fdsup://directions/FAT Viewer?action=UPDATE&amp;creator=factset&amp;DYN_ARGS=TRUE&amp;DOC_NAME=FAT:FQL_AUDITING_CLIENT_TEMPLATE.FAT&amp;display_string=Audit&amp;VAR:KEY=MDUHGDOJKT&amp;VAR:QUERY=UkdGX1RBWF9SQVRFKEFOTiwwLCwsLCwsTk9BVURJVCk=&amp;WINDOW=FIRST_POPUP&amp;HEIGHT=450&amp;WIDTH=450&amp;","START_MAXIMIZED=FALSE&amp;VAR:CALENDAR=US&amp;VAR:SYMBOL=DRIV&amp;VAR:INDEX=0"}</definedName>
    <definedName name="_3822__FDSAUDITLINK__" localSheetId="7" hidden="1">{"fdsup://directions/FAT Viewer?action=UPDATE&amp;creator=factset&amp;DYN_ARGS=TRUE&amp;DOC_NAME=FAT:FQL_AUDITING_CLIENT_TEMPLATE.FAT&amp;display_string=Audit&amp;VAR:KEY=MDUHGDOJKT&amp;VAR:QUERY=UkdGX1RBWF9SQVRFKEFOTiwwLCwsLCwsTk9BVURJVCk=&amp;WINDOW=FIRST_POPUP&amp;HEIGHT=450&amp;WIDTH=450&amp;","START_MAXIMIZED=FALSE&amp;VAR:CALENDAR=US&amp;VAR:SYMBOL=DRIV&amp;VAR:INDEX=0"}</definedName>
    <definedName name="_3822__FDSAUDITLINK__" hidden="1">{"fdsup://directions/FAT Viewer?action=UPDATE&amp;creator=factset&amp;DYN_ARGS=TRUE&amp;DOC_NAME=FAT:FQL_AUDITING_CLIENT_TEMPLATE.FAT&amp;display_string=Audit&amp;VAR:KEY=MDUHGDOJKT&amp;VAR:QUERY=UkdGX1RBWF9SQVRFKEFOTiwwLCwsLCwsTk9BVURJVCk=&amp;WINDOW=FIRST_POPUP&amp;HEIGHT=450&amp;WIDTH=450&amp;","START_MAXIMIZED=FALSE&amp;VAR:CALENDAR=US&amp;VAR:SYMBOL=DRIV&amp;VAR:INDEX=0"}</definedName>
    <definedName name="_3823__FDSAUDITLINK__" localSheetId="3" hidden="1">{"fdsup://directions/FAT Viewer?action=UPDATE&amp;creator=factset&amp;DYN_ARGS=TRUE&amp;DOC_NAME=FAT:FQL_AUDITING_CLIENT_TEMPLATE.FAT&amp;display_string=Audit&amp;VAR:KEY=MDUHGDOJKT&amp;VAR:QUERY=UkdGX1RBWF9SQVRFKEFOTiwwLCwsLCwsTk9BVURJVCk=&amp;WINDOW=FIRST_POPUP&amp;HEIGHT=450&amp;WIDTH=450&amp;","START_MAXIMIZED=FALSE&amp;VAR:CALENDAR=US&amp;VAR:SYMBOL=DRIV&amp;VAR:INDEX=0"}</definedName>
    <definedName name="_3823__FDSAUDITLINK__" localSheetId="7" hidden="1">{"fdsup://directions/FAT Viewer?action=UPDATE&amp;creator=factset&amp;DYN_ARGS=TRUE&amp;DOC_NAME=FAT:FQL_AUDITING_CLIENT_TEMPLATE.FAT&amp;display_string=Audit&amp;VAR:KEY=MDUHGDOJKT&amp;VAR:QUERY=UkdGX1RBWF9SQVRFKEFOTiwwLCwsLCwsTk9BVURJVCk=&amp;WINDOW=FIRST_POPUP&amp;HEIGHT=450&amp;WIDTH=450&amp;","START_MAXIMIZED=FALSE&amp;VAR:CALENDAR=US&amp;VAR:SYMBOL=DRIV&amp;VAR:INDEX=0"}</definedName>
    <definedName name="_3823__FDSAUDITLINK__" hidden="1">{"fdsup://directions/FAT Viewer?action=UPDATE&amp;creator=factset&amp;DYN_ARGS=TRUE&amp;DOC_NAME=FAT:FQL_AUDITING_CLIENT_TEMPLATE.FAT&amp;display_string=Audit&amp;VAR:KEY=MDUHGDOJKT&amp;VAR:QUERY=UkdGX1RBWF9SQVRFKEFOTiwwLCwsLCwsTk9BVURJVCk=&amp;WINDOW=FIRST_POPUP&amp;HEIGHT=450&amp;WIDTH=450&amp;","START_MAXIMIZED=FALSE&amp;VAR:CALENDAR=US&amp;VAR:SYMBOL=DRIV&amp;VAR:INDEX=0"}</definedName>
    <definedName name="_3824__FDSAUDITLINK__" localSheetId="3" hidden="1">{"fdsup://directions/FAT Viewer?action=UPDATE&amp;creator=factset&amp;DYN_ARGS=TRUE&amp;DOC_NAME=FAT:FQL_AUDITING_CLIENT_TEMPLATE.FAT&amp;display_string=Audit&amp;VAR:KEY=SVMFKZMJQV&amp;VAR:QUERY=UkdGX1RBWF9SQVRFKEFOTiwwLCwsLCwsTk9BVURJVCk=&amp;WINDOW=FIRST_POPUP&amp;HEIGHT=450&amp;WIDTH=450&amp;","START_MAXIMIZED=FALSE&amp;VAR:CALENDAR=US&amp;VAR:SYMBOL=DGI&amp;VAR:INDEX=0"}</definedName>
    <definedName name="_3824__FDSAUDITLINK__" localSheetId="7" hidden="1">{"fdsup://directions/FAT Viewer?action=UPDATE&amp;creator=factset&amp;DYN_ARGS=TRUE&amp;DOC_NAME=FAT:FQL_AUDITING_CLIENT_TEMPLATE.FAT&amp;display_string=Audit&amp;VAR:KEY=SVMFKZMJQV&amp;VAR:QUERY=UkdGX1RBWF9SQVRFKEFOTiwwLCwsLCwsTk9BVURJVCk=&amp;WINDOW=FIRST_POPUP&amp;HEIGHT=450&amp;WIDTH=450&amp;","START_MAXIMIZED=FALSE&amp;VAR:CALENDAR=US&amp;VAR:SYMBOL=DGI&amp;VAR:INDEX=0"}</definedName>
    <definedName name="_3824__FDSAUDITLINK__" hidden="1">{"fdsup://directions/FAT Viewer?action=UPDATE&amp;creator=factset&amp;DYN_ARGS=TRUE&amp;DOC_NAME=FAT:FQL_AUDITING_CLIENT_TEMPLATE.FAT&amp;display_string=Audit&amp;VAR:KEY=SVMFKZMJQV&amp;VAR:QUERY=UkdGX1RBWF9SQVRFKEFOTiwwLCwsLCwsTk9BVURJVCk=&amp;WINDOW=FIRST_POPUP&amp;HEIGHT=450&amp;WIDTH=450&amp;","START_MAXIMIZED=FALSE&amp;VAR:CALENDAR=US&amp;VAR:SYMBOL=DGI&amp;VAR:INDEX=0"}</definedName>
    <definedName name="_3825__FDSAUDITLINK__" localSheetId="3" hidden="1">{"fdsup://directions/FAT Viewer?action=UPDATE&amp;creator=factset&amp;DYN_ARGS=TRUE&amp;DOC_NAME=FAT:FQL_AUDITING_CLIENT_TEMPLATE.FAT&amp;display_string=Audit&amp;VAR:KEY=SVMFKZMJQV&amp;VAR:QUERY=UkdGX1RBWF9SQVRFKEFOTiwwLCwsLCwsTk9BVURJVCk=&amp;WINDOW=FIRST_POPUP&amp;HEIGHT=450&amp;WIDTH=450&amp;","START_MAXIMIZED=FALSE&amp;VAR:CALENDAR=US&amp;VAR:SYMBOL=DGI&amp;VAR:INDEX=0"}</definedName>
    <definedName name="_3825__FDSAUDITLINK__" localSheetId="7" hidden="1">{"fdsup://directions/FAT Viewer?action=UPDATE&amp;creator=factset&amp;DYN_ARGS=TRUE&amp;DOC_NAME=FAT:FQL_AUDITING_CLIENT_TEMPLATE.FAT&amp;display_string=Audit&amp;VAR:KEY=SVMFKZMJQV&amp;VAR:QUERY=UkdGX1RBWF9SQVRFKEFOTiwwLCwsLCwsTk9BVURJVCk=&amp;WINDOW=FIRST_POPUP&amp;HEIGHT=450&amp;WIDTH=450&amp;","START_MAXIMIZED=FALSE&amp;VAR:CALENDAR=US&amp;VAR:SYMBOL=DGI&amp;VAR:INDEX=0"}</definedName>
    <definedName name="_3825__FDSAUDITLINK__" hidden="1">{"fdsup://directions/FAT Viewer?action=UPDATE&amp;creator=factset&amp;DYN_ARGS=TRUE&amp;DOC_NAME=FAT:FQL_AUDITING_CLIENT_TEMPLATE.FAT&amp;display_string=Audit&amp;VAR:KEY=SVMFKZMJQV&amp;VAR:QUERY=UkdGX1RBWF9SQVRFKEFOTiwwLCwsLCwsTk9BVURJVCk=&amp;WINDOW=FIRST_POPUP&amp;HEIGHT=450&amp;WIDTH=450&amp;","START_MAXIMIZED=FALSE&amp;VAR:CALENDAR=US&amp;VAR:SYMBOL=DGI&amp;VAR:INDEX=0"}</definedName>
    <definedName name="_3826__FDSAUDITLINK__" localSheetId="3" hidden="1">{"fdsup://directions/FAT Viewer?action=UPDATE&amp;creator=factset&amp;DYN_ARGS=TRUE&amp;DOC_NAME=FAT:FQL_AUDITING_CLIENT_TEMPLATE.FAT&amp;display_string=Audit&amp;VAR:KEY=IHMNUFONCJ&amp;VAR:QUERY=UkdGX1RBWF9SQVRFKEFOTiwwLCwsLCwsTk9BVURJVCk=&amp;WINDOW=FIRST_POPUP&amp;HEIGHT=450&amp;WIDTH=450&amp;","START_MAXIMIZED=FALSE&amp;VAR:CALENDAR=US&amp;VAR:SYMBOL=DMAN&amp;VAR:INDEX=0"}</definedName>
    <definedName name="_3826__FDSAUDITLINK__" localSheetId="7" hidden="1">{"fdsup://directions/FAT Viewer?action=UPDATE&amp;creator=factset&amp;DYN_ARGS=TRUE&amp;DOC_NAME=FAT:FQL_AUDITING_CLIENT_TEMPLATE.FAT&amp;display_string=Audit&amp;VAR:KEY=IHMNUFONCJ&amp;VAR:QUERY=UkdGX1RBWF9SQVRFKEFOTiwwLCwsLCwsTk9BVURJVCk=&amp;WINDOW=FIRST_POPUP&amp;HEIGHT=450&amp;WIDTH=450&amp;","START_MAXIMIZED=FALSE&amp;VAR:CALENDAR=US&amp;VAR:SYMBOL=DMAN&amp;VAR:INDEX=0"}</definedName>
    <definedName name="_3826__FDSAUDITLINK__" hidden="1">{"fdsup://directions/FAT Viewer?action=UPDATE&amp;creator=factset&amp;DYN_ARGS=TRUE&amp;DOC_NAME=FAT:FQL_AUDITING_CLIENT_TEMPLATE.FAT&amp;display_string=Audit&amp;VAR:KEY=IHMNUFONCJ&amp;VAR:QUERY=UkdGX1RBWF9SQVRFKEFOTiwwLCwsLCwsTk9BVURJVCk=&amp;WINDOW=FIRST_POPUP&amp;HEIGHT=450&amp;WIDTH=450&amp;","START_MAXIMIZED=FALSE&amp;VAR:CALENDAR=US&amp;VAR:SYMBOL=DMAN&amp;VAR:INDEX=0"}</definedName>
    <definedName name="_3827__FDSAUDITLINK__" localSheetId="3" hidden="1">{"fdsup://directions/FAT Viewer?action=UPDATE&amp;creator=factset&amp;DYN_ARGS=TRUE&amp;DOC_NAME=FAT:FQL_AUDITING_CLIENT_TEMPLATE.FAT&amp;display_string=Audit&amp;VAR:KEY=ULCTAFALGT&amp;VAR:QUERY=UkdGX1RBWF9SQVRFKEFOTiwwLCwsLCwsTk9BVURJVCk=&amp;WINDOW=FIRST_POPUP&amp;HEIGHT=450&amp;WIDTH=450&amp;","START_MAXIMIZED=FALSE&amp;VAR:CALENDAR=US&amp;VAR:SYMBOL=PROJ&amp;VAR:INDEX=0"}</definedName>
    <definedName name="_3827__FDSAUDITLINK__" localSheetId="7" hidden="1">{"fdsup://directions/FAT Viewer?action=UPDATE&amp;creator=factset&amp;DYN_ARGS=TRUE&amp;DOC_NAME=FAT:FQL_AUDITING_CLIENT_TEMPLATE.FAT&amp;display_string=Audit&amp;VAR:KEY=ULCTAFALGT&amp;VAR:QUERY=UkdGX1RBWF9SQVRFKEFOTiwwLCwsLCwsTk9BVURJVCk=&amp;WINDOW=FIRST_POPUP&amp;HEIGHT=450&amp;WIDTH=450&amp;","START_MAXIMIZED=FALSE&amp;VAR:CALENDAR=US&amp;VAR:SYMBOL=PROJ&amp;VAR:INDEX=0"}</definedName>
    <definedName name="_3827__FDSAUDITLINK__" hidden="1">{"fdsup://directions/FAT Viewer?action=UPDATE&amp;creator=factset&amp;DYN_ARGS=TRUE&amp;DOC_NAME=FAT:FQL_AUDITING_CLIENT_TEMPLATE.FAT&amp;display_string=Audit&amp;VAR:KEY=ULCTAFALGT&amp;VAR:QUERY=UkdGX1RBWF9SQVRFKEFOTiwwLCwsLCwsTk9BVURJVCk=&amp;WINDOW=FIRST_POPUP&amp;HEIGHT=450&amp;WIDTH=450&amp;","START_MAXIMIZED=FALSE&amp;VAR:CALENDAR=US&amp;VAR:SYMBOL=PROJ&amp;VAR:INDEX=0"}</definedName>
    <definedName name="_3828__FDSAUDITLINK__" localSheetId="3" hidden="1">{"fdsup://directions/FAT Viewer?action=UPDATE&amp;creator=factset&amp;DYN_ARGS=TRUE&amp;DOC_NAME=FAT:FQL_AUDITING_CLIENT_TEMPLATE.FAT&amp;display_string=Audit&amp;VAR:KEY=GHIRWTUVMV&amp;VAR:QUERY=UkdGX1RBWF9SQVRFKEFOTiwwLCwsLCwsTk9BVURJVCk=&amp;WINDOW=FIRST_POPUP&amp;HEIGHT=450&amp;WIDTH=450&amp;","START_MAXIMIZED=FALSE&amp;VAR:CALENDAR=US&amp;VAR:SYMBOL=DELL&amp;VAR:INDEX=0"}</definedName>
    <definedName name="_3828__FDSAUDITLINK__" localSheetId="7" hidden="1">{"fdsup://directions/FAT Viewer?action=UPDATE&amp;creator=factset&amp;DYN_ARGS=TRUE&amp;DOC_NAME=FAT:FQL_AUDITING_CLIENT_TEMPLATE.FAT&amp;display_string=Audit&amp;VAR:KEY=GHIRWTUVMV&amp;VAR:QUERY=UkdGX1RBWF9SQVRFKEFOTiwwLCwsLCwsTk9BVURJVCk=&amp;WINDOW=FIRST_POPUP&amp;HEIGHT=450&amp;WIDTH=450&amp;","START_MAXIMIZED=FALSE&amp;VAR:CALENDAR=US&amp;VAR:SYMBOL=DELL&amp;VAR:INDEX=0"}</definedName>
    <definedName name="_3828__FDSAUDITLINK__" hidden="1">{"fdsup://directions/FAT Viewer?action=UPDATE&amp;creator=factset&amp;DYN_ARGS=TRUE&amp;DOC_NAME=FAT:FQL_AUDITING_CLIENT_TEMPLATE.FAT&amp;display_string=Audit&amp;VAR:KEY=GHIRWTUVMV&amp;VAR:QUERY=UkdGX1RBWF9SQVRFKEFOTiwwLCwsLCwsTk9BVURJVCk=&amp;WINDOW=FIRST_POPUP&amp;HEIGHT=450&amp;WIDTH=450&amp;","START_MAXIMIZED=FALSE&amp;VAR:CALENDAR=US&amp;VAR:SYMBOL=DELL&amp;VAR:INDEX=0"}</definedName>
    <definedName name="_3829__FDSAUDITLINK__" localSheetId="3" hidden="1">{"fdsup://directions/FAT Viewer?action=UPDATE&amp;creator=factset&amp;DYN_ARGS=TRUE&amp;DOC_NAME=FAT:FQL_AUDITING_CLIENT_TEMPLATE.FAT&amp;display_string=Audit&amp;VAR:KEY=GHIRWTUVMV&amp;VAR:QUERY=UkdGX1RBWF9SQVRFKEFOTiwwLCwsLCwsTk9BVURJVCk=&amp;WINDOW=FIRST_POPUP&amp;HEIGHT=450&amp;WIDTH=450&amp;","START_MAXIMIZED=FALSE&amp;VAR:CALENDAR=US&amp;VAR:SYMBOL=DELL&amp;VAR:INDEX=0"}</definedName>
    <definedName name="_3829__FDSAUDITLINK__" localSheetId="7" hidden="1">{"fdsup://directions/FAT Viewer?action=UPDATE&amp;creator=factset&amp;DYN_ARGS=TRUE&amp;DOC_NAME=FAT:FQL_AUDITING_CLIENT_TEMPLATE.FAT&amp;display_string=Audit&amp;VAR:KEY=GHIRWTUVMV&amp;VAR:QUERY=UkdGX1RBWF9SQVRFKEFOTiwwLCwsLCwsTk9BVURJVCk=&amp;WINDOW=FIRST_POPUP&amp;HEIGHT=450&amp;WIDTH=450&amp;","START_MAXIMIZED=FALSE&amp;VAR:CALENDAR=US&amp;VAR:SYMBOL=DELL&amp;VAR:INDEX=0"}</definedName>
    <definedName name="_3829__FDSAUDITLINK__" hidden="1">{"fdsup://directions/FAT Viewer?action=UPDATE&amp;creator=factset&amp;DYN_ARGS=TRUE&amp;DOC_NAME=FAT:FQL_AUDITING_CLIENT_TEMPLATE.FAT&amp;display_string=Audit&amp;VAR:KEY=GHIRWTUVMV&amp;VAR:QUERY=UkdGX1RBWF9SQVRFKEFOTiwwLCwsLCwsTk9BVURJVCk=&amp;WINDOW=FIRST_POPUP&amp;HEIGHT=450&amp;WIDTH=450&amp;","START_MAXIMIZED=FALSE&amp;VAR:CALENDAR=US&amp;VAR:SYMBOL=DELL&amp;VAR:INDEX=0"}</definedName>
    <definedName name="_383__FDSAUDITLINK__" localSheetId="3" hidden="1">{"fdsup://directions/FAT Viewer?action=UPDATE&amp;creator=factset&amp;DYN_ARGS=TRUE&amp;DOC_NAME=FAT:FQL_AUDITING_CLIENT_TEMPLATE.FAT&amp;display_string=Audit&amp;VAR:KEY=DGDMHWHEXY&amp;VAR:QUERY=RkZfUFRYX01HTihBTk4sMCwtOSxZLFJQKQ==&amp;WINDOW=FIRST_POPUP&amp;HEIGHT=450&amp;WIDTH=450&amp;START_MA","XIMIZED=FALSE&amp;VAR:CALENDAR=US&amp;VAR:SYMBOL=B10LQP&amp;VAR:INDEX=0"}</definedName>
    <definedName name="_383__FDSAUDITLINK__" localSheetId="7" hidden="1">{"fdsup://directions/FAT Viewer?action=UPDATE&amp;creator=factset&amp;DYN_ARGS=TRUE&amp;DOC_NAME=FAT:FQL_AUDITING_CLIENT_TEMPLATE.FAT&amp;display_string=Audit&amp;VAR:KEY=DGDMHWHEXY&amp;VAR:QUERY=RkZfUFRYX01HTihBTk4sMCwtOSxZLFJQKQ==&amp;WINDOW=FIRST_POPUP&amp;HEIGHT=450&amp;WIDTH=450&amp;START_MA","XIMIZED=FALSE&amp;VAR:CALENDAR=US&amp;VAR:SYMBOL=B10LQP&amp;VAR:INDEX=0"}</definedName>
    <definedName name="_383__FDSAUDITLINK__" hidden="1">{"fdsup://directions/FAT Viewer?action=UPDATE&amp;creator=factset&amp;DYN_ARGS=TRUE&amp;DOC_NAME=FAT:FQL_AUDITING_CLIENT_TEMPLATE.FAT&amp;display_string=Audit&amp;VAR:KEY=DGDMHWHEXY&amp;VAR:QUERY=RkZfUFRYX01HTihBTk4sMCwtOSxZLFJQKQ==&amp;WINDOW=FIRST_POPUP&amp;HEIGHT=450&amp;WIDTH=450&amp;START_MA","XIMIZED=FALSE&amp;VAR:CALENDAR=US&amp;VAR:SYMBOL=B10LQP&amp;VAR:INDEX=0"}</definedName>
    <definedName name="_3830__FDSAUDITLINK__" localSheetId="3" hidden="1">{"fdsup://directions/FAT Viewer?action=UPDATE&amp;creator=factset&amp;DYN_ARGS=TRUE&amp;DOC_NAME=FAT:FQL_AUDITING_CLIENT_TEMPLATE.FAT&amp;display_string=Audit&amp;VAR:KEY=WXIXCREFUH&amp;VAR:QUERY=UkdGX1RBWF9SQVRFKEFOTiwwLCwsLCwsTk9BVURJVCk=&amp;WINDOW=FIRST_POPUP&amp;HEIGHT=450&amp;WIDTH=450&amp;","START_MAXIMIZED=FALSE&amp;VAR:CALENDAR=US&amp;VAR:SYMBOL=TRAK&amp;VAR:INDEX=0"}</definedName>
    <definedName name="_3830__FDSAUDITLINK__" localSheetId="7" hidden="1">{"fdsup://directions/FAT Viewer?action=UPDATE&amp;creator=factset&amp;DYN_ARGS=TRUE&amp;DOC_NAME=FAT:FQL_AUDITING_CLIENT_TEMPLATE.FAT&amp;display_string=Audit&amp;VAR:KEY=WXIXCREFUH&amp;VAR:QUERY=UkdGX1RBWF9SQVRFKEFOTiwwLCwsLCwsTk9BVURJVCk=&amp;WINDOW=FIRST_POPUP&amp;HEIGHT=450&amp;WIDTH=450&amp;","START_MAXIMIZED=FALSE&amp;VAR:CALENDAR=US&amp;VAR:SYMBOL=TRAK&amp;VAR:INDEX=0"}</definedName>
    <definedName name="_3830__FDSAUDITLINK__" hidden="1">{"fdsup://directions/FAT Viewer?action=UPDATE&amp;creator=factset&amp;DYN_ARGS=TRUE&amp;DOC_NAME=FAT:FQL_AUDITING_CLIENT_TEMPLATE.FAT&amp;display_string=Audit&amp;VAR:KEY=WXIXCREFUH&amp;VAR:QUERY=UkdGX1RBWF9SQVRFKEFOTiwwLCwsLCwsTk9BVURJVCk=&amp;WINDOW=FIRST_POPUP&amp;HEIGHT=450&amp;WIDTH=450&amp;","START_MAXIMIZED=FALSE&amp;VAR:CALENDAR=US&amp;VAR:SYMBOL=TRAK&amp;VAR:INDEX=0"}</definedName>
    <definedName name="_3831__FDSAUDITLINK__" localSheetId="3" hidden="1">{"fdsup://directions/FAT Viewer?action=UPDATE&amp;creator=factset&amp;DYN_ARGS=TRUE&amp;DOC_NAME=FAT:FQL_AUDITING_CLIENT_TEMPLATE.FAT&amp;display_string=Audit&amp;VAR:KEY=WXIXCREFUH&amp;VAR:QUERY=UkdGX1RBWF9SQVRFKEFOTiwwLCwsLCwsTk9BVURJVCk=&amp;WINDOW=FIRST_POPUP&amp;HEIGHT=450&amp;WIDTH=450&amp;","START_MAXIMIZED=FALSE&amp;VAR:CALENDAR=US&amp;VAR:SYMBOL=TRAK&amp;VAR:INDEX=0"}</definedName>
    <definedName name="_3831__FDSAUDITLINK__" localSheetId="7" hidden="1">{"fdsup://directions/FAT Viewer?action=UPDATE&amp;creator=factset&amp;DYN_ARGS=TRUE&amp;DOC_NAME=FAT:FQL_AUDITING_CLIENT_TEMPLATE.FAT&amp;display_string=Audit&amp;VAR:KEY=WXIXCREFUH&amp;VAR:QUERY=UkdGX1RBWF9SQVRFKEFOTiwwLCwsLCwsTk9BVURJVCk=&amp;WINDOW=FIRST_POPUP&amp;HEIGHT=450&amp;WIDTH=450&amp;","START_MAXIMIZED=FALSE&amp;VAR:CALENDAR=US&amp;VAR:SYMBOL=TRAK&amp;VAR:INDEX=0"}</definedName>
    <definedName name="_3831__FDSAUDITLINK__" hidden="1">{"fdsup://directions/FAT Viewer?action=UPDATE&amp;creator=factset&amp;DYN_ARGS=TRUE&amp;DOC_NAME=FAT:FQL_AUDITING_CLIENT_TEMPLATE.FAT&amp;display_string=Audit&amp;VAR:KEY=WXIXCREFUH&amp;VAR:QUERY=UkdGX1RBWF9SQVRFKEFOTiwwLCwsLCwsTk9BVURJVCk=&amp;WINDOW=FIRST_POPUP&amp;HEIGHT=450&amp;WIDTH=450&amp;","START_MAXIMIZED=FALSE&amp;VAR:CALENDAR=US&amp;VAR:SYMBOL=TRAK&amp;VAR:INDEX=0"}</definedName>
    <definedName name="_3832__FDSAUDITLINK__" localSheetId="3" hidden="1">{"fdsup://directions/FAT Viewer?action=UPDATE&amp;creator=factset&amp;DYN_ARGS=TRUE&amp;DOC_NAME=FAT:FQL_AUDITING_CLIENT_TEMPLATE.FAT&amp;display_string=Audit&amp;VAR:KEY=AFWJKJWRGH&amp;VAR:QUERY=UkdGX1RBWF9SQVRFKEFOTiwwLCwsLCwsTk9BVURJVCk=&amp;WINDOW=FIRST_POPUP&amp;HEIGHT=450&amp;WIDTH=450&amp;","START_MAXIMIZED=FALSE&amp;VAR:CALENDAR=US&amp;VAR:SYMBOL=DWSN&amp;VAR:INDEX=0"}</definedName>
    <definedName name="_3832__FDSAUDITLINK__" localSheetId="7" hidden="1">{"fdsup://directions/FAT Viewer?action=UPDATE&amp;creator=factset&amp;DYN_ARGS=TRUE&amp;DOC_NAME=FAT:FQL_AUDITING_CLIENT_TEMPLATE.FAT&amp;display_string=Audit&amp;VAR:KEY=AFWJKJWRGH&amp;VAR:QUERY=UkdGX1RBWF9SQVRFKEFOTiwwLCwsLCwsTk9BVURJVCk=&amp;WINDOW=FIRST_POPUP&amp;HEIGHT=450&amp;WIDTH=450&amp;","START_MAXIMIZED=FALSE&amp;VAR:CALENDAR=US&amp;VAR:SYMBOL=DWSN&amp;VAR:INDEX=0"}</definedName>
    <definedName name="_3832__FDSAUDITLINK__" hidden="1">{"fdsup://directions/FAT Viewer?action=UPDATE&amp;creator=factset&amp;DYN_ARGS=TRUE&amp;DOC_NAME=FAT:FQL_AUDITING_CLIENT_TEMPLATE.FAT&amp;display_string=Audit&amp;VAR:KEY=AFWJKJWRGH&amp;VAR:QUERY=UkdGX1RBWF9SQVRFKEFOTiwwLCwsLCwsTk9BVURJVCk=&amp;WINDOW=FIRST_POPUP&amp;HEIGHT=450&amp;WIDTH=450&amp;","START_MAXIMIZED=FALSE&amp;VAR:CALENDAR=US&amp;VAR:SYMBOL=DWSN&amp;VAR:INDEX=0"}</definedName>
    <definedName name="_3833__FDSAUDITLINK__" localSheetId="3" hidden="1">{"fdsup://directions/FAT Viewer?action=UPDATE&amp;creator=factset&amp;DYN_ARGS=TRUE&amp;DOC_NAME=FAT:FQL_AUDITING_CLIENT_TEMPLATE.FAT&amp;display_string=Audit&amp;VAR:KEY=KDEBEVOHEN&amp;VAR:QUERY=UkdGX1RBWF9SQVRFKEFOTiwwLCwsLCwsTk9BVURJVCk=&amp;WINDOW=FIRST_POPUP&amp;HEIGHT=450&amp;WIDTH=450&amp;","START_MAXIMIZED=FALSE&amp;VAR:CALENDAR=US&amp;VAR:SYMBOL=DTLK&amp;VAR:INDEX=0"}</definedName>
    <definedName name="_3833__FDSAUDITLINK__" localSheetId="7" hidden="1">{"fdsup://directions/FAT Viewer?action=UPDATE&amp;creator=factset&amp;DYN_ARGS=TRUE&amp;DOC_NAME=FAT:FQL_AUDITING_CLIENT_TEMPLATE.FAT&amp;display_string=Audit&amp;VAR:KEY=KDEBEVOHEN&amp;VAR:QUERY=UkdGX1RBWF9SQVRFKEFOTiwwLCwsLCwsTk9BVURJVCk=&amp;WINDOW=FIRST_POPUP&amp;HEIGHT=450&amp;WIDTH=450&amp;","START_MAXIMIZED=FALSE&amp;VAR:CALENDAR=US&amp;VAR:SYMBOL=DTLK&amp;VAR:INDEX=0"}</definedName>
    <definedName name="_3833__FDSAUDITLINK__" hidden="1">{"fdsup://directions/FAT Viewer?action=UPDATE&amp;creator=factset&amp;DYN_ARGS=TRUE&amp;DOC_NAME=FAT:FQL_AUDITING_CLIENT_TEMPLATE.FAT&amp;display_string=Audit&amp;VAR:KEY=KDEBEVOHEN&amp;VAR:QUERY=UkdGX1RBWF9SQVRFKEFOTiwwLCwsLCwsTk9BVURJVCk=&amp;WINDOW=FIRST_POPUP&amp;HEIGHT=450&amp;WIDTH=450&amp;","START_MAXIMIZED=FALSE&amp;VAR:CALENDAR=US&amp;VAR:SYMBOL=DTLK&amp;VAR:INDEX=0"}</definedName>
    <definedName name="_3834__FDSAUDITLINK__" localSheetId="3" hidden="1">{"fdsup://directions/FAT Viewer?action=UPDATE&amp;creator=factset&amp;DYN_ARGS=TRUE&amp;DOC_NAME=FAT:FQL_AUDITING_CLIENT_TEMPLATE.FAT&amp;display_string=Audit&amp;VAR:KEY=KDEBEVOHEN&amp;VAR:QUERY=UkdGX1RBWF9SQVRFKEFOTiwwLCwsLCwsTk9BVURJVCk=&amp;WINDOW=FIRST_POPUP&amp;HEIGHT=450&amp;WIDTH=450&amp;","START_MAXIMIZED=FALSE&amp;VAR:CALENDAR=US&amp;VAR:SYMBOL=DTLK&amp;VAR:INDEX=0"}</definedName>
    <definedName name="_3834__FDSAUDITLINK__" localSheetId="7" hidden="1">{"fdsup://directions/FAT Viewer?action=UPDATE&amp;creator=factset&amp;DYN_ARGS=TRUE&amp;DOC_NAME=FAT:FQL_AUDITING_CLIENT_TEMPLATE.FAT&amp;display_string=Audit&amp;VAR:KEY=KDEBEVOHEN&amp;VAR:QUERY=UkdGX1RBWF9SQVRFKEFOTiwwLCwsLCwsTk9BVURJVCk=&amp;WINDOW=FIRST_POPUP&amp;HEIGHT=450&amp;WIDTH=450&amp;","START_MAXIMIZED=FALSE&amp;VAR:CALENDAR=US&amp;VAR:SYMBOL=DTLK&amp;VAR:INDEX=0"}</definedName>
    <definedName name="_3834__FDSAUDITLINK__" hidden="1">{"fdsup://directions/FAT Viewer?action=UPDATE&amp;creator=factset&amp;DYN_ARGS=TRUE&amp;DOC_NAME=FAT:FQL_AUDITING_CLIENT_TEMPLATE.FAT&amp;display_string=Audit&amp;VAR:KEY=KDEBEVOHEN&amp;VAR:QUERY=UkdGX1RBWF9SQVRFKEFOTiwwLCwsLCwsTk9BVURJVCk=&amp;WINDOW=FIRST_POPUP&amp;HEIGHT=450&amp;WIDTH=450&amp;","START_MAXIMIZED=FALSE&amp;VAR:CALENDAR=US&amp;VAR:SYMBOL=DTLK&amp;VAR:INDEX=0"}</definedName>
    <definedName name="_3835__FDSAUDITLINK__" localSheetId="3" hidden="1">{"fdsup://directions/FAT Viewer?action=UPDATE&amp;creator=factset&amp;DYN_ARGS=TRUE&amp;DOC_NAME=FAT:FQL_AUDITING_CLIENT_TEMPLATE.FAT&amp;display_string=Audit&amp;VAR:KEY=MZOTIVEVEF&amp;VAR:QUERY=UkdGX1RBWF9SQVRFKEFOTiwwLCwsLCwsTk9BVURJVCk=&amp;WINDOW=FIRST_POPUP&amp;HEIGHT=450&amp;WIDTH=450&amp;","START_MAXIMIZED=FALSE&amp;VAR:CALENDAR=US&amp;VAR:SYMBOL=533004&amp;VAR:INDEX=0"}</definedName>
    <definedName name="_3835__FDSAUDITLINK__" localSheetId="7" hidden="1">{"fdsup://directions/FAT Viewer?action=UPDATE&amp;creator=factset&amp;DYN_ARGS=TRUE&amp;DOC_NAME=FAT:FQL_AUDITING_CLIENT_TEMPLATE.FAT&amp;display_string=Audit&amp;VAR:KEY=MZOTIVEVEF&amp;VAR:QUERY=UkdGX1RBWF9SQVRFKEFOTiwwLCwsLCwsTk9BVURJVCk=&amp;WINDOW=FIRST_POPUP&amp;HEIGHT=450&amp;WIDTH=450&amp;","START_MAXIMIZED=FALSE&amp;VAR:CALENDAR=US&amp;VAR:SYMBOL=533004&amp;VAR:INDEX=0"}</definedName>
    <definedName name="_3835__FDSAUDITLINK__" hidden="1">{"fdsup://directions/FAT Viewer?action=UPDATE&amp;creator=factset&amp;DYN_ARGS=TRUE&amp;DOC_NAME=FAT:FQL_AUDITING_CLIENT_TEMPLATE.FAT&amp;display_string=Audit&amp;VAR:KEY=MZOTIVEVEF&amp;VAR:QUERY=UkdGX1RBWF9SQVRFKEFOTiwwLCwsLCwsTk9BVURJVCk=&amp;WINDOW=FIRST_POPUP&amp;HEIGHT=450&amp;WIDTH=450&amp;","START_MAXIMIZED=FALSE&amp;VAR:CALENDAR=US&amp;VAR:SYMBOL=533004&amp;VAR:INDEX=0"}</definedName>
    <definedName name="_3836__FDSAUDITLINK__" localSheetId="3" hidden="1">{"fdsup://directions/FAT Viewer?action=UPDATE&amp;creator=factset&amp;DYN_ARGS=TRUE&amp;DOC_NAME=FAT:FQL_AUDITING_CLIENT_TEMPLATE.FAT&amp;display_string=Audit&amp;VAR:KEY=MZOTIVEVEF&amp;VAR:QUERY=UkdGX1RBWF9SQVRFKEFOTiwwLCwsLCwsTk9BVURJVCk=&amp;WINDOW=FIRST_POPUP&amp;HEIGHT=450&amp;WIDTH=450&amp;","START_MAXIMIZED=FALSE&amp;VAR:CALENDAR=US&amp;VAR:SYMBOL=533004&amp;VAR:INDEX=0"}</definedName>
    <definedName name="_3836__FDSAUDITLINK__" localSheetId="7" hidden="1">{"fdsup://directions/FAT Viewer?action=UPDATE&amp;creator=factset&amp;DYN_ARGS=TRUE&amp;DOC_NAME=FAT:FQL_AUDITING_CLIENT_TEMPLATE.FAT&amp;display_string=Audit&amp;VAR:KEY=MZOTIVEVEF&amp;VAR:QUERY=UkdGX1RBWF9SQVRFKEFOTiwwLCwsLCwsTk9BVURJVCk=&amp;WINDOW=FIRST_POPUP&amp;HEIGHT=450&amp;WIDTH=450&amp;","START_MAXIMIZED=FALSE&amp;VAR:CALENDAR=US&amp;VAR:SYMBOL=533004&amp;VAR:INDEX=0"}</definedName>
    <definedName name="_3836__FDSAUDITLINK__" hidden="1">{"fdsup://directions/FAT Viewer?action=UPDATE&amp;creator=factset&amp;DYN_ARGS=TRUE&amp;DOC_NAME=FAT:FQL_AUDITING_CLIENT_TEMPLATE.FAT&amp;display_string=Audit&amp;VAR:KEY=MZOTIVEVEF&amp;VAR:QUERY=UkdGX1RBWF9SQVRFKEFOTiwwLCwsLCwsTk9BVURJVCk=&amp;WINDOW=FIRST_POPUP&amp;HEIGHT=450&amp;WIDTH=450&amp;","START_MAXIMIZED=FALSE&amp;VAR:CALENDAR=US&amp;VAR:SYMBOL=533004&amp;VAR:INDEX=0"}</definedName>
    <definedName name="_3837__FDSAUDITLINK__" localSheetId="3" hidden="1">{"fdsup://directions/FAT Viewer?action=UPDATE&amp;creator=factset&amp;DYN_ARGS=TRUE&amp;DOC_NAME=FAT:FQL_AUDITING_CLIENT_TEMPLATE.FAT&amp;display_string=Audit&amp;VAR:KEY=WXSPKVIROR&amp;VAR:QUERY=UkdGX1RBWF9SQVRFKEFOTiwwLCwsLCwsTk9BVURJVCk=&amp;WINDOW=FIRST_POPUP&amp;HEIGHT=450&amp;WIDTH=450&amp;","START_MAXIMIZED=FALSE&amp;VAR:CALENDAR=US&amp;VAR:SYMBOL=629247&amp;VAR:INDEX=0"}</definedName>
    <definedName name="_3837__FDSAUDITLINK__" localSheetId="7" hidden="1">{"fdsup://directions/FAT Viewer?action=UPDATE&amp;creator=factset&amp;DYN_ARGS=TRUE&amp;DOC_NAME=FAT:FQL_AUDITING_CLIENT_TEMPLATE.FAT&amp;display_string=Audit&amp;VAR:KEY=WXSPKVIROR&amp;VAR:QUERY=UkdGX1RBWF9SQVRFKEFOTiwwLCwsLCwsTk9BVURJVCk=&amp;WINDOW=FIRST_POPUP&amp;HEIGHT=450&amp;WIDTH=450&amp;","START_MAXIMIZED=FALSE&amp;VAR:CALENDAR=US&amp;VAR:SYMBOL=629247&amp;VAR:INDEX=0"}</definedName>
    <definedName name="_3837__FDSAUDITLINK__" hidden="1">{"fdsup://directions/FAT Viewer?action=UPDATE&amp;creator=factset&amp;DYN_ARGS=TRUE&amp;DOC_NAME=FAT:FQL_AUDITING_CLIENT_TEMPLATE.FAT&amp;display_string=Audit&amp;VAR:KEY=WXSPKVIROR&amp;VAR:QUERY=UkdGX1RBWF9SQVRFKEFOTiwwLCwsLCwsTk9BVURJVCk=&amp;WINDOW=FIRST_POPUP&amp;HEIGHT=450&amp;WIDTH=450&amp;","START_MAXIMIZED=FALSE&amp;VAR:CALENDAR=US&amp;VAR:SYMBOL=629247&amp;VAR:INDEX=0"}</definedName>
    <definedName name="_3838__FDSAUDITLINK__" localSheetId="3" hidden="1">{"fdsup://directions/FAT Viewer?action=UPDATE&amp;creator=factset&amp;DYN_ARGS=TRUE&amp;DOC_NAME=FAT:FQL_AUDITING_CLIENT_TEMPLATE.FAT&amp;display_string=Audit&amp;VAR:KEY=WXSPKVIROR&amp;VAR:QUERY=UkdGX1RBWF9SQVRFKEFOTiwwLCwsLCwsTk9BVURJVCk=&amp;WINDOW=FIRST_POPUP&amp;HEIGHT=450&amp;WIDTH=450&amp;","START_MAXIMIZED=FALSE&amp;VAR:CALENDAR=US&amp;VAR:SYMBOL=629247&amp;VAR:INDEX=0"}</definedName>
    <definedName name="_3838__FDSAUDITLINK__" localSheetId="7" hidden="1">{"fdsup://directions/FAT Viewer?action=UPDATE&amp;creator=factset&amp;DYN_ARGS=TRUE&amp;DOC_NAME=FAT:FQL_AUDITING_CLIENT_TEMPLATE.FAT&amp;display_string=Audit&amp;VAR:KEY=WXSPKVIROR&amp;VAR:QUERY=UkdGX1RBWF9SQVRFKEFOTiwwLCwsLCwsTk9BVURJVCk=&amp;WINDOW=FIRST_POPUP&amp;HEIGHT=450&amp;WIDTH=450&amp;","START_MAXIMIZED=FALSE&amp;VAR:CALENDAR=US&amp;VAR:SYMBOL=629247&amp;VAR:INDEX=0"}</definedName>
    <definedName name="_3838__FDSAUDITLINK__" hidden="1">{"fdsup://directions/FAT Viewer?action=UPDATE&amp;creator=factset&amp;DYN_ARGS=TRUE&amp;DOC_NAME=FAT:FQL_AUDITING_CLIENT_TEMPLATE.FAT&amp;display_string=Audit&amp;VAR:KEY=WXSPKVIROR&amp;VAR:QUERY=UkdGX1RBWF9SQVRFKEFOTiwwLCwsLCwsTk9BVURJVCk=&amp;WINDOW=FIRST_POPUP&amp;HEIGHT=450&amp;WIDTH=450&amp;","START_MAXIMIZED=FALSE&amp;VAR:CALENDAR=US&amp;VAR:SYMBOL=629247&amp;VAR:INDEX=0"}</definedName>
    <definedName name="_3839__FDSAUDITLINK__" localSheetId="3" hidden="1">{"fdsup://directions/FAT Viewer?action=UPDATE&amp;creator=factset&amp;DYN_ARGS=TRUE&amp;DOC_NAME=FAT:FQL_AUDITING_CLIENT_TEMPLATE.FAT&amp;display_string=Audit&amp;VAR:KEY=MNCNCLCHID&amp;VAR:QUERY=UkdGX1RBWF9SQVRFKEFOTiwwLCwsLCwsTk9BVURJVCk=&amp;WINDOW=FIRST_POPUP&amp;HEIGHT=450&amp;WIDTH=450&amp;","START_MAXIMIZED=FALSE&amp;VAR:CALENDAR=US&amp;VAR:SYMBOL=CSGS&amp;VAR:INDEX=0"}</definedName>
    <definedName name="_3839__FDSAUDITLINK__" localSheetId="7" hidden="1">{"fdsup://directions/FAT Viewer?action=UPDATE&amp;creator=factset&amp;DYN_ARGS=TRUE&amp;DOC_NAME=FAT:FQL_AUDITING_CLIENT_TEMPLATE.FAT&amp;display_string=Audit&amp;VAR:KEY=MNCNCLCHID&amp;VAR:QUERY=UkdGX1RBWF9SQVRFKEFOTiwwLCwsLCwsTk9BVURJVCk=&amp;WINDOW=FIRST_POPUP&amp;HEIGHT=450&amp;WIDTH=450&amp;","START_MAXIMIZED=FALSE&amp;VAR:CALENDAR=US&amp;VAR:SYMBOL=CSGS&amp;VAR:INDEX=0"}</definedName>
    <definedName name="_3839__FDSAUDITLINK__" hidden="1">{"fdsup://directions/FAT Viewer?action=UPDATE&amp;creator=factset&amp;DYN_ARGS=TRUE&amp;DOC_NAME=FAT:FQL_AUDITING_CLIENT_TEMPLATE.FAT&amp;display_string=Audit&amp;VAR:KEY=MNCNCLCHID&amp;VAR:QUERY=UkdGX1RBWF9SQVRFKEFOTiwwLCwsLCwsTk9BVURJVCk=&amp;WINDOW=FIRST_POPUP&amp;HEIGHT=450&amp;WIDTH=450&amp;","START_MAXIMIZED=FALSE&amp;VAR:CALENDAR=US&amp;VAR:SYMBOL=CSGS&amp;VAR:INDEX=0"}</definedName>
    <definedName name="_384__FDSAUDITLINK__" localSheetId="3" hidden="1">{"fdsup://directions/FAT Viewer?action=UPDATE&amp;creator=factset&amp;DYN_ARGS=TRUE&amp;DOC_NAME=FAT:FQL_AUDITING_CLIENT_TEMPLATE.FAT&amp;display_string=Audit&amp;VAR:KEY=NWDMTOLINW&amp;VAR:QUERY=UENUQ0hHKEZGX0FTU0VUUyhBTk4sMCwtOSxZLFJQLExPQ0FMLE0pLEZGX0FTU0VUUyhBTk4sMCAtIDEsLTkgL","SAxLFksUlAsTE9DQUwsTSkp&amp;WINDOW=FIRST_POPUP&amp;HEIGHT=450&amp;WIDTH=450&amp;START_MAXIMIZED=FALSE&amp;VAR:CALENDAR=US&amp;VAR:SYMBOL=B10LQP&amp;VAR:INDEX=7"}</definedName>
    <definedName name="_384__FDSAUDITLINK__" localSheetId="7" hidden="1">{"fdsup://directions/FAT Viewer?action=UPDATE&amp;creator=factset&amp;DYN_ARGS=TRUE&amp;DOC_NAME=FAT:FQL_AUDITING_CLIENT_TEMPLATE.FAT&amp;display_string=Audit&amp;VAR:KEY=NWDMTOLINW&amp;VAR:QUERY=UENUQ0hHKEZGX0FTU0VUUyhBTk4sMCwtOSxZLFJQLExPQ0FMLE0pLEZGX0FTU0VUUyhBTk4sMCAtIDEsLTkgL","SAxLFksUlAsTE9DQUwsTSkp&amp;WINDOW=FIRST_POPUP&amp;HEIGHT=450&amp;WIDTH=450&amp;START_MAXIMIZED=FALSE&amp;VAR:CALENDAR=US&amp;VAR:SYMBOL=B10LQP&amp;VAR:INDEX=7"}</definedName>
    <definedName name="_384__FDSAUDITLINK__" hidden="1">{"fdsup://directions/FAT Viewer?action=UPDATE&amp;creator=factset&amp;DYN_ARGS=TRUE&amp;DOC_NAME=FAT:FQL_AUDITING_CLIENT_TEMPLATE.FAT&amp;display_string=Audit&amp;VAR:KEY=NWDMTOLINW&amp;VAR:QUERY=UENUQ0hHKEZGX0FTU0VUUyhBTk4sMCwtOSxZLFJQLExPQ0FMLE0pLEZGX0FTU0VUUyhBTk4sMCAtIDEsLTkgL","SAxLFksUlAsTE9DQUwsTSkp&amp;WINDOW=FIRST_POPUP&amp;HEIGHT=450&amp;WIDTH=450&amp;START_MAXIMIZED=FALSE&amp;VAR:CALENDAR=US&amp;VAR:SYMBOL=B10LQP&amp;VAR:INDEX=7"}</definedName>
    <definedName name="_3840__FDSAUDITLINK__" localSheetId="3" hidden="1">{"fdsup://directions/FAT Viewer?action=UPDATE&amp;creator=factset&amp;DYN_ARGS=TRUE&amp;DOC_NAME=FAT:FQL_AUDITING_CLIENT_TEMPLATE.FAT&amp;display_string=Audit&amp;VAR:KEY=MNCNCLCHID&amp;VAR:QUERY=UkdGX1RBWF9SQVRFKEFOTiwwLCwsLCwsTk9BVURJVCk=&amp;WINDOW=FIRST_POPUP&amp;HEIGHT=450&amp;WIDTH=450&amp;","START_MAXIMIZED=FALSE&amp;VAR:CALENDAR=US&amp;VAR:SYMBOL=CSGS&amp;VAR:INDEX=0"}</definedName>
    <definedName name="_3840__FDSAUDITLINK__" localSheetId="7" hidden="1">{"fdsup://directions/FAT Viewer?action=UPDATE&amp;creator=factset&amp;DYN_ARGS=TRUE&amp;DOC_NAME=FAT:FQL_AUDITING_CLIENT_TEMPLATE.FAT&amp;display_string=Audit&amp;VAR:KEY=MNCNCLCHID&amp;VAR:QUERY=UkdGX1RBWF9SQVRFKEFOTiwwLCwsLCwsTk9BVURJVCk=&amp;WINDOW=FIRST_POPUP&amp;HEIGHT=450&amp;WIDTH=450&amp;","START_MAXIMIZED=FALSE&amp;VAR:CALENDAR=US&amp;VAR:SYMBOL=CSGS&amp;VAR:INDEX=0"}</definedName>
    <definedName name="_3840__FDSAUDITLINK__" hidden="1">{"fdsup://directions/FAT Viewer?action=UPDATE&amp;creator=factset&amp;DYN_ARGS=TRUE&amp;DOC_NAME=FAT:FQL_AUDITING_CLIENT_TEMPLATE.FAT&amp;display_string=Audit&amp;VAR:KEY=MNCNCLCHID&amp;VAR:QUERY=UkdGX1RBWF9SQVRFKEFOTiwwLCwsLCwsTk9BVURJVCk=&amp;WINDOW=FIRST_POPUP&amp;HEIGHT=450&amp;WIDTH=450&amp;","START_MAXIMIZED=FALSE&amp;VAR:CALENDAR=US&amp;VAR:SYMBOL=CSGS&amp;VAR:INDEX=0"}</definedName>
    <definedName name="_3841__FDSAUDITLINK__" localSheetId="3" hidden="1">{"fdsup://directions/FAT Viewer?action=UPDATE&amp;creator=factset&amp;DYN_ARGS=TRUE&amp;DOC_NAME=FAT:FQL_AUDITING_CLIENT_TEMPLATE.FAT&amp;display_string=Audit&amp;VAR:KEY=EFABQHGVCV&amp;VAR:QUERY=UkdGX1RBWF9SQVRFKEFOTiwwLCwsLCwsTk9BVURJVCk=&amp;WINDOW=FIRST_POPUP&amp;HEIGHT=450&amp;WIDTH=450&amp;","START_MAXIMIZED=FALSE&amp;VAR:CALENDAR=US&amp;VAR:SYMBOL=CSGP&amp;VAR:INDEX=0"}</definedName>
    <definedName name="_3841__FDSAUDITLINK__" localSheetId="7" hidden="1">{"fdsup://directions/FAT Viewer?action=UPDATE&amp;creator=factset&amp;DYN_ARGS=TRUE&amp;DOC_NAME=FAT:FQL_AUDITING_CLIENT_TEMPLATE.FAT&amp;display_string=Audit&amp;VAR:KEY=EFABQHGVCV&amp;VAR:QUERY=UkdGX1RBWF9SQVRFKEFOTiwwLCwsLCwsTk9BVURJVCk=&amp;WINDOW=FIRST_POPUP&amp;HEIGHT=450&amp;WIDTH=450&amp;","START_MAXIMIZED=FALSE&amp;VAR:CALENDAR=US&amp;VAR:SYMBOL=CSGP&amp;VAR:INDEX=0"}</definedName>
    <definedName name="_3841__FDSAUDITLINK__" hidden="1">{"fdsup://directions/FAT Viewer?action=UPDATE&amp;creator=factset&amp;DYN_ARGS=TRUE&amp;DOC_NAME=FAT:FQL_AUDITING_CLIENT_TEMPLATE.FAT&amp;display_string=Audit&amp;VAR:KEY=EFABQHGVCV&amp;VAR:QUERY=UkdGX1RBWF9SQVRFKEFOTiwwLCwsLCwsTk9BVURJVCk=&amp;WINDOW=FIRST_POPUP&amp;HEIGHT=450&amp;WIDTH=450&amp;","START_MAXIMIZED=FALSE&amp;VAR:CALENDAR=US&amp;VAR:SYMBOL=CSGP&amp;VAR:INDEX=0"}</definedName>
    <definedName name="_3842__FDSAUDITLINK__" localSheetId="3" hidden="1">{"fdsup://directions/FAT Viewer?action=UPDATE&amp;creator=factset&amp;DYN_ARGS=TRUE&amp;DOC_NAME=FAT:FQL_AUDITING_CLIENT_TEMPLATE.FAT&amp;display_string=Audit&amp;VAR:KEY=EFABQHGVCV&amp;VAR:QUERY=UkdGX1RBWF9SQVRFKEFOTiwwLCwsLCwsTk9BVURJVCk=&amp;WINDOW=FIRST_POPUP&amp;HEIGHT=450&amp;WIDTH=450&amp;","START_MAXIMIZED=FALSE&amp;VAR:CALENDAR=US&amp;VAR:SYMBOL=CSGP&amp;VAR:INDEX=0"}</definedName>
    <definedName name="_3842__FDSAUDITLINK__" localSheetId="7" hidden="1">{"fdsup://directions/FAT Viewer?action=UPDATE&amp;creator=factset&amp;DYN_ARGS=TRUE&amp;DOC_NAME=FAT:FQL_AUDITING_CLIENT_TEMPLATE.FAT&amp;display_string=Audit&amp;VAR:KEY=EFABQHGVCV&amp;VAR:QUERY=UkdGX1RBWF9SQVRFKEFOTiwwLCwsLCwsTk9BVURJVCk=&amp;WINDOW=FIRST_POPUP&amp;HEIGHT=450&amp;WIDTH=450&amp;","START_MAXIMIZED=FALSE&amp;VAR:CALENDAR=US&amp;VAR:SYMBOL=CSGP&amp;VAR:INDEX=0"}</definedName>
    <definedName name="_3842__FDSAUDITLINK__" hidden="1">{"fdsup://directions/FAT Viewer?action=UPDATE&amp;creator=factset&amp;DYN_ARGS=TRUE&amp;DOC_NAME=FAT:FQL_AUDITING_CLIENT_TEMPLATE.FAT&amp;display_string=Audit&amp;VAR:KEY=EFABQHGVCV&amp;VAR:QUERY=UkdGX1RBWF9SQVRFKEFOTiwwLCwsLCwsTk9BVURJVCk=&amp;WINDOW=FIRST_POPUP&amp;HEIGHT=450&amp;WIDTH=450&amp;","START_MAXIMIZED=FALSE&amp;VAR:CALENDAR=US&amp;VAR:SYMBOL=CSGP&amp;VAR:INDEX=0"}</definedName>
    <definedName name="_3843__FDSAUDITLINK__" localSheetId="3" hidden="1">{"fdsup://directions/FAT Viewer?action=UPDATE&amp;creator=factset&amp;DYN_ARGS=TRUE&amp;DOC_NAME=FAT:FQL_AUDITING_CLIENT_TEMPLATE.FAT&amp;display_string=Audit&amp;VAR:KEY=OPSBIFIXMZ&amp;VAR:QUERY=UkdGX1RBWF9SQVRFKEFOTiwwLCwsLCwsTk9BVURJVCk=&amp;WINDOW=FIRST_POPUP&amp;HEIGHT=450&amp;WIDTH=450&amp;","START_MAXIMIZED=FALSE&amp;VAR:CALENDAR=US&amp;VAR:SYMBOL=EXBD&amp;VAR:INDEX=0"}</definedName>
    <definedName name="_3843__FDSAUDITLINK__" localSheetId="7" hidden="1">{"fdsup://directions/FAT Viewer?action=UPDATE&amp;creator=factset&amp;DYN_ARGS=TRUE&amp;DOC_NAME=FAT:FQL_AUDITING_CLIENT_TEMPLATE.FAT&amp;display_string=Audit&amp;VAR:KEY=OPSBIFIXMZ&amp;VAR:QUERY=UkdGX1RBWF9SQVRFKEFOTiwwLCwsLCwsTk9BVURJVCk=&amp;WINDOW=FIRST_POPUP&amp;HEIGHT=450&amp;WIDTH=450&amp;","START_MAXIMIZED=FALSE&amp;VAR:CALENDAR=US&amp;VAR:SYMBOL=EXBD&amp;VAR:INDEX=0"}</definedName>
    <definedName name="_3843__FDSAUDITLINK__" hidden="1">{"fdsup://directions/FAT Viewer?action=UPDATE&amp;creator=factset&amp;DYN_ARGS=TRUE&amp;DOC_NAME=FAT:FQL_AUDITING_CLIENT_TEMPLATE.FAT&amp;display_string=Audit&amp;VAR:KEY=OPSBIFIXMZ&amp;VAR:QUERY=UkdGX1RBWF9SQVRFKEFOTiwwLCwsLCwsTk9BVURJVCk=&amp;WINDOW=FIRST_POPUP&amp;HEIGHT=450&amp;WIDTH=450&amp;","START_MAXIMIZED=FALSE&amp;VAR:CALENDAR=US&amp;VAR:SYMBOL=EXBD&amp;VAR:INDEX=0"}</definedName>
    <definedName name="_3844__FDSAUDITLINK__" localSheetId="3" hidden="1">{"fdsup://directions/FAT Viewer?action=UPDATE&amp;creator=factset&amp;DYN_ARGS=TRUE&amp;DOC_NAME=FAT:FQL_AUDITING_CLIENT_TEMPLATE.FAT&amp;display_string=Audit&amp;VAR:KEY=OPSBIFIXMZ&amp;VAR:QUERY=UkdGX1RBWF9SQVRFKEFOTiwwLCwsLCwsTk9BVURJVCk=&amp;WINDOW=FIRST_POPUP&amp;HEIGHT=450&amp;WIDTH=450&amp;","START_MAXIMIZED=FALSE&amp;VAR:CALENDAR=US&amp;VAR:SYMBOL=EXBD&amp;VAR:INDEX=0"}</definedName>
    <definedName name="_3844__FDSAUDITLINK__" localSheetId="7" hidden="1">{"fdsup://directions/FAT Viewer?action=UPDATE&amp;creator=factset&amp;DYN_ARGS=TRUE&amp;DOC_NAME=FAT:FQL_AUDITING_CLIENT_TEMPLATE.FAT&amp;display_string=Audit&amp;VAR:KEY=OPSBIFIXMZ&amp;VAR:QUERY=UkdGX1RBWF9SQVRFKEFOTiwwLCwsLCwsTk9BVURJVCk=&amp;WINDOW=FIRST_POPUP&amp;HEIGHT=450&amp;WIDTH=450&amp;","START_MAXIMIZED=FALSE&amp;VAR:CALENDAR=US&amp;VAR:SYMBOL=EXBD&amp;VAR:INDEX=0"}</definedName>
    <definedName name="_3844__FDSAUDITLINK__" hidden="1">{"fdsup://directions/FAT Viewer?action=UPDATE&amp;creator=factset&amp;DYN_ARGS=TRUE&amp;DOC_NAME=FAT:FQL_AUDITING_CLIENT_TEMPLATE.FAT&amp;display_string=Audit&amp;VAR:KEY=OPSBIFIXMZ&amp;VAR:QUERY=UkdGX1RBWF9SQVRFKEFOTiwwLCwsLCwsTk9BVURJVCk=&amp;WINDOW=FIRST_POPUP&amp;HEIGHT=450&amp;WIDTH=450&amp;","START_MAXIMIZED=FALSE&amp;VAR:CALENDAR=US&amp;VAR:SYMBOL=EXBD&amp;VAR:INDEX=0"}</definedName>
    <definedName name="_3845__FDSAUDITLINK__" localSheetId="3" hidden="1">{"fdsup://directions/FAT Viewer?action=UPDATE&amp;creator=factset&amp;DYN_ARGS=TRUE&amp;DOC_NAME=FAT:FQL_AUDITING_CLIENT_TEMPLATE.FAT&amp;display_string=Audit&amp;VAR:KEY=WXGDYZSFQN&amp;VAR:QUERY=UkdGX1RBWF9SQVRFKEFOTiwwLCwsLCwsTk9BVURJVCk=&amp;WINDOW=FIRST_POPUP&amp;HEIGHT=450&amp;WIDTH=450&amp;","START_MAXIMIZED=FALSE&amp;VAR:CALENDAR=US&amp;VAR:SYMBOL=CNVO&amp;VAR:INDEX=0"}</definedName>
    <definedName name="_3845__FDSAUDITLINK__" localSheetId="7" hidden="1">{"fdsup://directions/FAT Viewer?action=UPDATE&amp;creator=factset&amp;DYN_ARGS=TRUE&amp;DOC_NAME=FAT:FQL_AUDITING_CLIENT_TEMPLATE.FAT&amp;display_string=Audit&amp;VAR:KEY=WXGDYZSFQN&amp;VAR:QUERY=UkdGX1RBWF9SQVRFKEFOTiwwLCwsLCwsTk9BVURJVCk=&amp;WINDOW=FIRST_POPUP&amp;HEIGHT=450&amp;WIDTH=450&amp;","START_MAXIMIZED=FALSE&amp;VAR:CALENDAR=US&amp;VAR:SYMBOL=CNVO&amp;VAR:INDEX=0"}</definedName>
    <definedName name="_3845__FDSAUDITLINK__" hidden="1">{"fdsup://directions/FAT Viewer?action=UPDATE&amp;creator=factset&amp;DYN_ARGS=TRUE&amp;DOC_NAME=FAT:FQL_AUDITING_CLIENT_TEMPLATE.FAT&amp;display_string=Audit&amp;VAR:KEY=WXGDYZSFQN&amp;VAR:QUERY=UkdGX1RBWF9SQVRFKEFOTiwwLCwsLCwsTk9BVURJVCk=&amp;WINDOW=FIRST_POPUP&amp;HEIGHT=450&amp;WIDTH=450&amp;","START_MAXIMIZED=FALSE&amp;VAR:CALENDAR=US&amp;VAR:SYMBOL=CNVO&amp;VAR:INDEX=0"}</definedName>
    <definedName name="_3846__FDSAUDITLINK__" localSheetId="3" hidden="1">{"fdsup://directions/FAT Viewer?action=UPDATE&amp;creator=factset&amp;DYN_ARGS=TRUE&amp;DOC_NAME=FAT:FQL_AUDITING_CLIENT_TEMPLATE.FAT&amp;display_string=Audit&amp;VAR:KEY=WXGDYZSFQN&amp;VAR:QUERY=UkdGX1RBWF9SQVRFKEFOTiwwLCwsLCwsTk9BVURJVCk=&amp;WINDOW=FIRST_POPUP&amp;HEIGHT=450&amp;WIDTH=450&amp;","START_MAXIMIZED=FALSE&amp;VAR:CALENDAR=US&amp;VAR:SYMBOL=CNVO&amp;VAR:INDEX=0"}</definedName>
    <definedName name="_3846__FDSAUDITLINK__" localSheetId="7" hidden="1">{"fdsup://directions/FAT Viewer?action=UPDATE&amp;creator=factset&amp;DYN_ARGS=TRUE&amp;DOC_NAME=FAT:FQL_AUDITING_CLIENT_TEMPLATE.FAT&amp;display_string=Audit&amp;VAR:KEY=WXGDYZSFQN&amp;VAR:QUERY=UkdGX1RBWF9SQVRFKEFOTiwwLCwsLCwsTk9BVURJVCk=&amp;WINDOW=FIRST_POPUP&amp;HEIGHT=450&amp;WIDTH=450&amp;","START_MAXIMIZED=FALSE&amp;VAR:CALENDAR=US&amp;VAR:SYMBOL=CNVO&amp;VAR:INDEX=0"}</definedName>
    <definedName name="_3846__FDSAUDITLINK__" hidden="1">{"fdsup://directions/FAT Viewer?action=UPDATE&amp;creator=factset&amp;DYN_ARGS=TRUE&amp;DOC_NAME=FAT:FQL_AUDITING_CLIENT_TEMPLATE.FAT&amp;display_string=Audit&amp;VAR:KEY=WXGDYZSFQN&amp;VAR:QUERY=UkdGX1RBWF9SQVRFKEFOTiwwLCwsLCwsTk9BVURJVCk=&amp;WINDOW=FIRST_POPUP&amp;HEIGHT=450&amp;WIDTH=450&amp;","START_MAXIMIZED=FALSE&amp;VAR:CALENDAR=US&amp;VAR:SYMBOL=CNVO&amp;VAR:INDEX=0"}</definedName>
    <definedName name="_3847__FDSAUDITLINK__" localSheetId="3" hidden="1">{"fdsup://directions/FAT Viewer?action=UPDATE&amp;creator=factset&amp;DYN_ARGS=TRUE&amp;DOC_NAME=FAT:FQL_AUDITING_CLIENT_TEMPLATE.FAT&amp;display_string=Audit&amp;VAR:KEY=IXKHORYVYL&amp;VAR:QUERY=UkdGX1RBWF9SQVRFKEFOTiwwLCwsLCwsTk9BVURJVCk=&amp;WINDOW=FIRST_POPUP&amp;HEIGHT=450&amp;WIDTH=450&amp;","START_MAXIMIZED=FALSE&amp;VAR:CALENDAR=US&amp;VAR:SYMBOL=CTCT&amp;VAR:INDEX=0"}</definedName>
    <definedName name="_3847__FDSAUDITLINK__" localSheetId="7" hidden="1">{"fdsup://directions/FAT Viewer?action=UPDATE&amp;creator=factset&amp;DYN_ARGS=TRUE&amp;DOC_NAME=FAT:FQL_AUDITING_CLIENT_TEMPLATE.FAT&amp;display_string=Audit&amp;VAR:KEY=IXKHORYVYL&amp;VAR:QUERY=UkdGX1RBWF9SQVRFKEFOTiwwLCwsLCwsTk9BVURJVCk=&amp;WINDOW=FIRST_POPUP&amp;HEIGHT=450&amp;WIDTH=450&amp;","START_MAXIMIZED=FALSE&amp;VAR:CALENDAR=US&amp;VAR:SYMBOL=CTCT&amp;VAR:INDEX=0"}</definedName>
    <definedName name="_3847__FDSAUDITLINK__" hidden="1">{"fdsup://directions/FAT Viewer?action=UPDATE&amp;creator=factset&amp;DYN_ARGS=TRUE&amp;DOC_NAME=FAT:FQL_AUDITING_CLIENT_TEMPLATE.FAT&amp;display_string=Audit&amp;VAR:KEY=IXKHORYVYL&amp;VAR:QUERY=UkdGX1RBWF9SQVRFKEFOTiwwLCwsLCwsTk9BVURJVCk=&amp;WINDOW=FIRST_POPUP&amp;HEIGHT=450&amp;WIDTH=450&amp;","START_MAXIMIZED=FALSE&amp;VAR:CALENDAR=US&amp;VAR:SYMBOL=CTCT&amp;VAR:INDEX=0"}</definedName>
    <definedName name="_3848__FDSAUDITLINK__" localSheetId="3" hidden="1">{"fdsup://directions/FAT Viewer?action=UPDATE&amp;creator=factset&amp;DYN_ARGS=TRUE&amp;DOC_NAME=FAT:FQL_AUDITING_CLIENT_TEMPLATE.FAT&amp;display_string=Audit&amp;VAR:KEY=IXKHORYVYL&amp;VAR:QUERY=UkdGX1RBWF9SQVRFKEFOTiwwLCwsLCwsTk9BVURJVCk=&amp;WINDOW=FIRST_POPUP&amp;HEIGHT=450&amp;WIDTH=450&amp;","START_MAXIMIZED=FALSE&amp;VAR:CALENDAR=US&amp;VAR:SYMBOL=CTCT&amp;VAR:INDEX=0"}</definedName>
    <definedName name="_3848__FDSAUDITLINK__" localSheetId="7" hidden="1">{"fdsup://directions/FAT Viewer?action=UPDATE&amp;creator=factset&amp;DYN_ARGS=TRUE&amp;DOC_NAME=FAT:FQL_AUDITING_CLIENT_TEMPLATE.FAT&amp;display_string=Audit&amp;VAR:KEY=IXKHORYVYL&amp;VAR:QUERY=UkdGX1RBWF9SQVRFKEFOTiwwLCwsLCwsTk9BVURJVCk=&amp;WINDOW=FIRST_POPUP&amp;HEIGHT=450&amp;WIDTH=450&amp;","START_MAXIMIZED=FALSE&amp;VAR:CALENDAR=US&amp;VAR:SYMBOL=CTCT&amp;VAR:INDEX=0"}</definedName>
    <definedName name="_3848__FDSAUDITLINK__" hidden="1">{"fdsup://directions/FAT Viewer?action=UPDATE&amp;creator=factset&amp;DYN_ARGS=TRUE&amp;DOC_NAME=FAT:FQL_AUDITING_CLIENT_TEMPLATE.FAT&amp;display_string=Audit&amp;VAR:KEY=IXKHORYVYL&amp;VAR:QUERY=UkdGX1RBWF9SQVRFKEFOTiwwLCwsLCwsTk9BVURJVCk=&amp;WINDOW=FIRST_POPUP&amp;HEIGHT=450&amp;WIDTH=450&amp;","START_MAXIMIZED=FALSE&amp;VAR:CALENDAR=US&amp;VAR:SYMBOL=CTCT&amp;VAR:INDEX=0"}</definedName>
    <definedName name="_3849__FDSAUDITLINK__" localSheetId="3" hidden="1">{"fdsup://directions/FAT Viewer?action=UPDATE&amp;creator=factset&amp;DYN_ARGS=TRUE&amp;DOC_NAME=FAT:FQL_AUDITING_CLIENT_TEMPLATE.FAT&amp;display_string=Audit&amp;VAR:KEY=IJAPKLQXML&amp;VAR:QUERY=UkdGX1RBWF9SQVRFKEFOTiwwLCwsLCwsTk9BVURJVCk=&amp;WINDOW=FIRST_POPUP&amp;HEIGHT=450&amp;WIDTH=450&amp;","START_MAXIMIZED=FALSE&amp;VAR:CALENDAR=US&amp;VAR:SYMBOL=CNQR&amp;VAR:INDEX=0"}</definedName>
    <definedName name="_3849__FDSAUDITLINK__" localSheetId="7" hidden="1">{"fdsup://directions/FAT Viewer?action=UPDATE&amp;creator=factset&amp;DYN_ARGS=TRUE&amp;DOC_NAME=FAT:FQL_AUDITING_CLIENT_TEMPLATE.FAT&amp;display_string=Audit&amp;VAR:KEY=IJAPKLQXML&amp;VAR:QUERY=UkdGX1RBWF9SQVRFKEFOTiwwLCwsLCwsTk9BVURJVCk=&amp;WINDOW=FIRST_POPUP&amp;HEIGHT=450&amp;WIDTH=450&amp;","START_MAXIMIZED=FALSE&amp;VAR:CALENDAR=US&amp;VAR:SYMBOL=CNQR&amp;VAR:INDEX=0"}</definedName>
    <definedName name="_3849__FDSAUDITLINK__" hidden="1">{"fdsup://directions/FAT Viewer?action=UPDATE&amp;creator=factset&amp;DYN_ARGS=TRUE&amp;DOC_NAME=FAT:FQL_AUDITING_CLIENT_TEMPLATE.FAT&amp;display_string=Audit&amp;VAR:KEY=IJAPKLQXML&amp;VAR:QUERY=UkdGX1RBWF9SQVRFKEFOTiwwLCwsLCwsTk9BVURJVCk=&amp;WINDOW=FIRST_POPUP&amp;HEIGHT=450&amp;WIDTH=450&amp;","START_MAXIMIZED=FALSE&amp;VAR:CALENDAR=US&amp;VAR:SYMBOL=CNQR&amp;VAR:INDEX=0"}</definedName>
    <definedName name="_385__FDSAUDITLINK__" localSheetId="3" hidden="1">{"fdsup://directions/FAT Viewer?action=UPDATE&amp;creator=factset&amp;DYN_ARGS=TRUE&amp;DOC_NAME=FAT:FQL_AUDITING_CLIENT_TEMPLATE.FAT&amp;display_string=Audit&amp;VAR:KEY=NWDMTOLINW&amp;VAR:QUERY=UENUQ0hHKEZGX0FTU0VUUyhBTk4sMCwtOSxZLFJQLExPQ0FMLE0pLEZGX0FTU0VUUyhBTk4sMCAtIDEsLTkgL","SAxLFksUlAsTE9DQUwsTSkp&amp;WINDOW=FIRST_POPUP&amp;HEIGHT=450&amp;WIDTH=450&amp;START_MAXIMIZED=FALSE&amp;VAR:CALENDAR=US&amp;VAR:SYMBOL=B10LQP&amp;VAR:INDEX=6"}</definedName>
    <definedName name="_385__FDSAUDITLINK__" localSheetId="7" hidden="1">{"fdsup://directions/FAT Viewer?action=UPDATE&amp;creator=factset&amp;DYN_ARGS=TRUE&amp;DOC_NAME=FAT:FQL_AUDITING_CLIENT_TEMPLATE.FAT&amp;display_string=Audit&amp;VAR:KEY=NWDMTOLINW&amp;VAR:QUERY=UENUQ0hHKEZGX0FTU0VUUyhBTk4sMCwtOSxZLFJQLExPQ0FMLE0pLEZGX0FTU0VUUyhBTk4sMCAtIDEsLTkgL","SAxLFksUlAsTE9DQUwsTSkp&amp;WINDOW=FIRST_POPUP&amp;HEIGHT=450&amp;WIDTH=450&amp;START_MAXIMIZED=FALSE&amp;VAR:CALENDAR=US&amp;VAR:SYMBOL=B10LQP&amp;VAR:INDEX=6"}</definedName>
    <definedName name="_385__FDSAUDITLINK__" hidden="1">{"fdsup://directions/FAT Viewer?action=UPDATE&amp;creator=factset&amp;DYN_ARGS=TRUE&amp;DOC_NAME=FAT:FQL_AUDITING_CLIENT_TEMPLATE.FAT&amp;display_string=Audit&amp;VAR:KEY=NWDMTOLINW&amp;VAR:QUERY=UENUQ0hHKEZGX0FTU0VUUyhBTk4sMCwtOSxZLFJQLExPQ0FMLE0pLEZGX0FTU0VUUyhBTk4sMCAtIDEsLTkgL","SAxLFksUlAsTE9DQUwsTSkp&amp;WINDOW=FIRST_POPUP&amp;HEIGHT=450&amp;WIDTH=450&amp;START_MAXIMIZED=FALSE&amp;VAR:CALENDAR=US&amp;VAR:SYMBOL=B10LQP&amp;VAR:INDEX=6"}</definedName>
    <definedName name="_3850__FDSAUDITLINK__" localSheetId="3" hidden="1">{"fdsup://directions/FAT Viewer?action=UPDATE&amp;creator=factset&amp;DYN_ARGS=TRUE&amp;DOC_NAME=FAT:FQL_AUDITING_CLIENT_TEMPLATE.FAT&amp;display_string=Audit&amp;VAR:KEY=IJAPKLQXML&amp;VAR:QUERY=UkdGX1RBWF9SQVRFKEFOTiwwLCwsLCwsTk9BVURJVCk=&amp;WINDOW=FIRST_POPUP&amp;HEIGHT=450&amp;WIDTH=450&amp;","START_MAXIMIZED=FALSE&amp;VAR:CALENDAR=US&amp;VAR:SYMBOL=CNQR&amp;VAR:INDEX=0"}</definedName>
    <definedName name="_3850__FDSAUDITLINK__" localSheetId="7" hidden="1">{"fdsup://directions/FAT Viewer?action=UPDATE&amp;creator=factset&amp;DYN_ARGS=TRUE&amp;DOC_NAME=FAT:FQL_AUDITING_CLIENT_TEMPLATE.FAT&amp;display_string=Audit&amp;VAR:KEY=IJAPKLQXML&amp;VAR:QUERY=UkdGX1RBWF9SQVRFKEFOTiwwLCwsLCwsTk9BVURJVCk=&amp;WINDOW=FIRST_POPUP&amp;HEIGHT=450&amp;WIDTH=450&amp;","START_MAXIMIZED=FALSE&amp;VAR:CALENDAR=US&amp;VAR:SYMBOL=CNQR&amp;VAR:INDEX=0"}</definedName>
    <definedName name="_3850__FDSAUDITLINK__" hidden="1">{"fdsup://directions/FAT Viewer?action=UPDATE&amp;creator=factset&amp;DYN_ARGS=TRUE&amp;DOC_NAME=FAT:FQL_AUDITING_CLIENT_TEMPLATE.FAT&amp;display_string=Audit&amp;VAR:KEY=IJAPKLQXML&amp;VAR:QUERY=UkdGX1RBWF9SQVRFKEFOTiwwLCwsLCwsTk9BVURJVCk=&amp;WINDOW=FIRST_POPUP&amp;HEIGHT=450&amp;WIDTH=450&amp;","START_MAXIMIZED=FALSE&amp;VAR:CALENDAR=US&amp;VAR:SYMBOL=CNQR&amp;VAR:INDEX=0"}</definedName>
    <definedName name="_3851__FDSAUDITLINK__" localSheetId="3" hidden="1">{"fdsup://directions/FAT Viewer?action=UPDATE&amp;creator=factset&amp;DYN_ARGS=TRUE&amp;DOC_NAME=FAT:FQL_AUDITING_CLIENT_TEMPLATE.FAT&amp;display_string=Audit&amp;VAR:KEY=MZMTCLORCJ&amp;VAR:QUERY=UkdGX1RBWF9SQVRFKEFOTiwwLCwsLCwsTk9BVURJVCk=&amp;WINDOW=FIRST_POPUP&amp;HEIGHT=450&amp;WIDTH=450&amp;","START_MAXIMIZED=FALSE&amp;VAR:CALENDAR=US&amp;VAR:SYMBOL=SCOR&amp;VAR:INDEX=0"}</definedName>
    <definedName name="_3851__FDSAUDITLINK__" localSheetId="7" hidden="1">{"fdsup://directions/FAT Viewer?action=UPDATE&amp;creator=factset&amp;DYN_ARGS=TRUE&amp;DOC_NAME=FAT:FQL_AUDITING_CLIENT_TEMPLATE.FAT&amp;display_string=Audit&amp;VAR:KEY=MZMTCLORCJ&amp;VAR:QUERY=UkdGX1RBWF9SQVRFKEFOTiwwLCwsLCwsTk9BVURJVCk=&amp;WINDOW=FIRST_POPUP&amp;HEIGHT=450&amp;WIDTH=450&amp;","START_MAXIMIZED=FALSE&amp;VAR:CALENDAR=US&amp;VAR:SYMBOL=SCOR&amp;VAR:INDEX=0"}</definedName>
    <definedName name="_3851__FDSAUDITLINK__" hidden="1">{"fdsup://directions/FAT Viewer?action=UPDATE&amp;creator=factset&amp;DYN_ARGS=TRUE&amp;DOC_NAME=FAT:FQL_AUDITING_CLIENT_TEMPLATE.FAT&amp;display_string=Audit&amp;VAR:KEY=MZMTCLORCJ&amp;VAR:QUERY=UkdGX1RBWF9SQVRFKEFOTiwwLCwsLCwsTk9BVURJVCk=&amp;WINDOW=FIRST_POPUP&amp;HEIGHT=450&amp;WIDTH=450&amp;","START_MAXIMIZED=FALSE&amp;VAR:CALENDAR=US&amp;VAR:SYMBOL=SCOR&amp;VAR:INDEX=0"}</definedName>
    <definedName name="_3852__FDSAUDITLINK__" localSheetId="3" hidden="1">{"fdsup://directions/FAT Viewer?action=UPDATE&amp;creator=factset&amp;DYN_ARGS=TRUE&amp;DOC_NAME=FAT:FQL_AUDITING_CLIENT_TEMPLATE.FAT&amp;display_string=Audit&amp;VAR:KEY=UTWJWHCFAL&amp;VAR:QUERY=UkdGX1RBWF9SQVRFKEFOTiwwLCwsLCwsTk9BVURJVCk=&amp;WINDOW=FIRST_POPUP&amp;HEIGHT=450&amp;WIDTH=450&amp;","START_MAXIMIZED=FALSE&amp;VAR:CALENDAR=US&amp;VAR:SYMBOL=CPWR&amp;VAR:INDEX=0"}</definedName>
    <definedName name="_3852__FDSAUDITLINK__" localSheetId="7" hidden="1">{"fdsup://directions/FAT Viewer?action=UPDATE&amp;creator=factset&amp;DYN_ARGS=TRUE&amp;DOC_NAME=FAT:FQL_AUDITING_CLIENT_TEMPLATE.FAT&amp;display_string=Audit&amp;VAR:KEY=UTWJWHCFAL&amp;VAR:QUERY=UkdGX1RBWF9SQVRFKEFOTiwwLCwsLCwsTk9BVURJVCk=&amp;WINDOW=FIRST_POPUP&amp;HEIGHT=450&amp;WIDTH=450&amp;","START_MAXIMIZED=FALSE&amp;VAR:CALENDAR=US&amp;VAR:SYMBOL=CPWR&amp;VAR:INDEX=0"}</definedName>
    <definedName name="_3852__FDSAUDITLINK__" hidden="1">{"fdsup://directions/FAT Viewer?action=UPDATE&amp;creator=factset&amp;DYN_ARGS=TRUE&amp;DOC_NAME=FAT:FQL_AUDITING_CLIENT_TEMPLATE.FAT&amp;display_string=Audit&amp;VAR:KEY=UTWJWHCFAL&amp;VAR:QUERY=UkdGX1RBWF9SQVRFKEFOTiwwLCwsLCwsTk9BVURJVCk=&amp;WINDOW=FIRST_POPUP&amp;HEIGHT=450&amp;WIDTH=450&amp;","START_MAXIMIZED=FALSE&amp;VAR:CALENDAR=US&amp;VAR:SYMBOL=CPWR&amp;VAR:INDEX=0"}</definedName>
    <definedName name="_3853__FDSAUDITLINK__" localSheetId="3" hidden="1">{"fdsup://directions/FAT Viewer?action=UPDATE&amp;creator=factset&amp;DYN_ARGS=TRUE&amp;DOC_NAME=FAT:FQL_AUDITING_CLIENT_TEMPLATE.FAT&amp;display_string=Audit&amp;VAR:KEY=UTWJWHCFAL&amp;VAR:QUERY=UkdGX1RBWF9SQVRFKEFOTiwwLCwsLCwsTk9BVURJVCk=&amp;WINDOW=FIRST_POPUP&amp;HEIGHT=450&amp;WIDTH=450&amp;","START_MAXIMIZED=FALSE&amp;VAR:CALENDAR=US&amp;VAR:SYMBOL=CPWR&amp;VAR:INDEX=0"}</definedName>
    <definedName name="_3853__FDSAUDITLINK__" localSheetId="7" hidden="1">{"fdsup://directions/FAT Viewer?action=UPDATE&amp;creator=factset&amp;DYN_ARGS=TRUE&amp;DOC_NAME=FAT:FQL_AUDITING_CLIENT_TEMPLATE.FAT&amp;display_string=Audit&amp;VAR:KEY=UTWJWHCFAL&amp;VAR:QUERY=UkdGX1RBWF9SQVRFKEFOTiwwLCwsLCwsTk9BVURJVCk=&amp;WINDOW=FIRST_POPUP&amp;HEIGHT=450&amp;WIDTH=450&amp;","START_MAXIMIZED=FALSE&amp;VAR:CALENDAR=US&amp;VAR:SYMBOL=CPWR&amp;VAR:INDEX=0"}</definedName>
    <definedName name="_3853__FDSAUDITLINK__" hidden="1">{"fdsup://directions/FAT Viewer?action=UPDATE&amp;creator=factset&amp;DYN_ARGS=TRUE&amp;DOC_NAME=FAT:FQL_AUDITING_CLIENT_TEMPLATE.FAT&amp;display_string=Audit&amp;VAR:KEY=UTWJWHCFAL&amp;VAR:QUERY=UkdGX1RBWF9SQVRFKEFOTiwwLCwsLCwsTk9BVURJVCk=&amp;WINDOW=FIRST_POPUP&amp;HEIGHT=450&amp;WIDTH=450&amp;","START_MAXIMIZED=FALSE&amp;VAR:CALENDAR=US&amp;VAR:SYMBOL=CPWR&amp;VAR:INDEX=0"}</definedName>
    <definedName name="_3854__FDSAUDITLINK__" localSheetId="3" hidden="1">{"fdsup://directions/FAT Viewer?action=UPDATE&amp;creator=factset&amp;DYN_ARGS=TRUE&amp;DOC_NAME=FAT:FQL_AUDITING_CLIENT_TEMPLATE.FAT&amp;display_string=Audit&amp;VAR:KEY=ADUBGTWLCF&amp;VAR:QUERY=UkdGX1RBWF9SQVRFKEFOTiwwLCwsLCwsTk9BVURJVCk=&amp;WINDOW=FIRST_POPUP&amp;HEIGHT=450&amp;WIDTH=450&amp;","START_MAXIMIZED=FALSE&amp;VAR:CALENDAR=US&amp;VAR:SYMBOL=509453&amp;VAR:INDEX=0"}</definedName>
    <definedName name="_3854__FDSAUDITLINK__" localSheetId="7" hidden="1">{"fdsup://directions/FAT Viewer?action=UPDATE&amp;creator=factset&amp;DYN_ARGS=TRUE&amp;DOC_NAME=FAT:FQL_AUDITING_CLIENT_TEMPLATE.FAT&amp;display_string=Audit&amp;VAR:KEY=ADUBGTWLCF&amp;VAR:QUERY=UkdGX1RBWF9SQVRFKEFOTiwwLCwsLCwsTk9BVURJVCk=&amp;WINDOW=FIRST_POPUP&amp;HEIGHT=450&amp;WIDTH=450&amp;","START_MAXIMIZED=FALSE&amp;VAR:CALENDAR=US&amp;VAR:SYMBOL=509453&amp;VAR:INDEX=0"}</definedName>
    <definedName name="_3854__FDSAUDITLINK__" hidden="1">{"fdsup://directions/FAT Viewer?action=UPDATE&amp;creator=factset&amp;DYN_ARGS=TRUE&amp;DOC_NAME=FAT:FQL_AUDITING_CLIENT_TEMPLATE.FAT&amp;display_string=Audit&amp;VAR:KEY=ADUBGTWLCF&amp;VAR:QUERY=UkdGX1RBWF9SQVRFKEFOTiwwLCwsLCwsTk9BVURJVCk=&amp;WINDOW=FIRST_POPUP&amp;HEIGHT=450&amp;WIDTH=450&amp;","START_MAXIMIZED=FALSE&amp;VAR:CALENDAR=US&amp;VAR:SYMBOL=509453&amp;VAR:INDEX=0"}</definedName>
    <definedName name="_3855__FDSAUDITLINK__" localSheetId="3" hidden="1">{"fdsup://directions/FAT Viewer?action=UPDATE&amp;creator=factset&amp;DYN_ARGS=TRUE&amp;DOC_NAME=FAT:FQL_AUDITING_CLIENT_TEMPLATE.FAT&amp;display_string=Audit&amp;VAR:KEY=ADUBGTWLCF&amp;VAR:QUERY=UkdGX1RBWF9SQVRFKEFOTiwwLCwsLCwsTk9BVURJVCk=&amp;WINDOW=FIRST_POPUP&amp;HEIGHT=450&amp;WIDTH=450&amp;","START_MAXIMIZED=FALSE&amp;VAR:CALENDAR=US&amp;VAR:SYMBOL=509453&amp;VAR:INDEX=0"}</definedName>
    <definedName name="_3855__FDSAUDITLINK__" localSheetId="7" hidden="1">{"fdsup://directions/FAT Viewer?action=UPDATE&amp;creator=factset&amp;DYN_ARGS=TRUE&amp;DOC_NAME=FAT:FQL_AUDITING_CLIENT_TEMPLATE.FAT&amp;display_string=Audit&amp;VAR:KEY=ADUBGTWLCF&amp;VAR:QUERY=UkdGX1RBWF9SQVRFKEFOTiwwLCwsLCwsTk9BVURJVCk=&amp;WINDOW=FIRST_POPUP&amp;HEIGHT=450&amp;WIDTH=450&amp;","START_MAXIMIZED=FALSE&amp;VAR:CALENDAR=US&amp;VAR:SYMBOL=509453&amp;VAR:INDEX=0"}</definedName>
    <definedName name="_3855__FDSAUDITLINK__" hidden="1">{"fdsup://directions/FAT Viewer?action=UPDATE&amp;creator=factset&amp;DYN_ARGS=TRUE&amp;DOC_NAME=FAT:FQL_AUDITING_CLIENT_TEMPLATE.FAT&amp;display_string=Audit&amp;VAR:KEY=ADUBGTWLCF&amp;VAR:QUERY=UkdGX1RBWF9SQVRFKEFOTiwwLCwsLCwsTk9BVURJVCk=&amp;WINDOW=FIRST_POPUP&amp;HEIGHT=450&amp;WIDTH=450&amp;","START_MAXIMIZED=FALSE&amp;VAR:CALENDAR=US&amp;VAR:SYMBOL=509453&amp;VAR:INDEX=0"}</definedName>
    <definedName name="_3856__FDSAUDITLINK__" localSheetId="3" hidden="1">{"fdsup://directions/FAT Viewer?action=UPDATE&amp;creator=factset&amp;DYN_ARGS=TRUE&amp;DOC_NAME=FAT:FQL_AUDITING_CLIENT_TEMPLATE.FAT&amp;display_string=Audit&amp;VAR:KEY=ITOBUTUFWJ&amp;VAR:QUERY=UkdGX1RBWF9SQVRFKEFOTiwwLCwsLCwsTk9BVURJVCk=&amp;WINDOW=FIRST_POPUP&amp;HEIGHT=450&amp;WIDTH=450&amp;","START_MAXIMIZED=FALSE&amp;VAR:CALENDAR=US&amp;VAR:SYMBOL=CVLT&amp;VAR:INDEX=0"}</definedName>
    <definedName name="_3856__FDSAUDITLINK__" localSheetId="7" hidden="1">{"fdsup://directions/FAT Viewer?action=UPDATE&amp;creator=factset&amp;DYN_ARGS=TRUE&amp;DOC_NAME=FAT:FQL_AUDITING_CLIENT_TEMPLATE.FAT&amp;display_string=Audit&amp;VAR:KEY=ITOBUTUFWJ&amp;VAR:QUERY=UkdGX1RBWF9SQVRFKEFOTiwwLCwsLCwsTk9BVURJVCk=&amp;WINDOW=FIRST_POPUP&amp;HEIGHT=450&amp;WIDTH=450&amp;","START_MAXIMIZED=FALSE&amp;VAR:CALENDAR=US&amp;VAR:SYMBOL=CVLT&amp;VAR:INDEX=0"}</definedName>
    <definedName name="_3856__FDSAUDITLINK__" hidden="1">{"fdsup://directions/FAT Viewer?action=UPDATE&amp;creator=factset&amp;DYN_ARGS=TRUE&amp;DOC_NAME=FAT:FQL_AUDITING_CLIENT_TEMPLATE.FAT&amp;display_string=Audit&amp;VAR:KEY=ITOBUTUFWJ&amp;VAR:QUERY=UkdGX1RBWF9SQVRFKEFOTiwwLCwsLCwsTk9BVURJVCk=&amp;WINDOW=FIRST_POPUP&amp;HEIGHT=450&amp;WIDTH=450&amp;","START_MAXIMIZED=FALSE&amp;VAR:CALENDAR=US&amp;VAR:SYMBOL=CVLT&amp;VAR:INDEX=0"}</definedName>
    <definedName name="_3857__FDSAUDITLINK__" localSheetId="3" hidden="1">{"fdsup://directions/FAT Viewer?action=UPDATE&amp;creator=factset&amp;DYN_ARGS=TRUE&amp;DOC_NAME=FAT:FQL_AUDITING_CLIENT_TEMPLATE.FAT&amp;display_string=Audit&amp;VAR:KEY=ITOBUTUFWJ&amp;VAR:QUERY=UkdGX1RBWF9SQVRFKEFOTiwwLCwsLCwsTk9BVURJVCk=&amp;WINDOW=FIRST_POPUP&amp;HEIGHT=450&amp;WIDTH=450&amp;","START_MAXIMIZED=FALSE&amp;VAR:CALENDAR=US&amp;VAR:SYMBOL=CVLT&amp;VAR:INDEX=0"}</definedName>
    <definedName name="_3857__FDSAUDITLINK__" localSheetId="7" hidden="1">{"fdsup://directions/FAT Viewer?action=UPDATE&amp;creator=factset&amp;DYN_ARGS=TRUE&amp;DOC_NAME=FAT:FQL_AUDITING_CLIENT_TEMPLATE.FAT&amp;display_string=Audit&amp;VAR:KEY=ITOBUTUFWJ&amp;VAR:QUERY=UkdGX1RBWF9SQVRFKEFOTiwwLCwsLCwsTk9BVURJVCk=&amp;WINDOW=FIRST_POPUP&amp;HEIGHT=450&amp;WIDTH=450&amp;","START_MAXIMIZED=FALSE&amp;VAR:CALENDAR=US&amp;VAR:SYMBOL=CVLT&amp;VAR:INDEX=0"}</definedName>
    <definedName name="_3857__FDSAUDITLINK__" hidden="1">{"fdsup://directions/FAT Viewer?action=UPDATE&amp;creator=factset&amp;DYN_ARGS=TRUE&amp;DOC_NAME=FAT:FQL_AUDITING_CLIENT_TEMPLATE.FAT&amp;display_string=Audit&amp;VAR:KEY=ITOBUTUFWJ&amp;VAR:QUERY=UkdGX1RBWF9SQVRFKEFOTiwwLCwsLCwsTk9BVURJVCk=&amp;WINDOW=FIRST_POPUP&amp;HEIGHT=450&amp;WIDTH=450&amp;","START_MAXIMIZED=FALSE&amp;VAR:CALENDAR=US&amp;VAR:SYMBOL=CVLT&amp;VAR:INDEX=0"}</definedName>
    <definedName name="_3858__FDSAUDITLINK__" localSheetId="3" hidden="1">{"fdsup://directions/FAT Viewer?action=UPDATE&amp;creator=factset&amp;DYN_ARGS=TRUE&amp;DOC_NAME=FAT:FQL_AUDITING_CLIENT_TEMPLATE.FAT&amp;display_string=Audit&amp;VAR:KEY=IDODSVOFQD&amp;VAR:QUERY=UkdGX1RBWF9SQVRFKEFOTiwwLCwsLCwsTk9BVURJVCk=&amp;WINDOW=FIRST_POPUP&amp;HEIGHT=450&amp;WIDTH=450&amp;","START_MAXIMIZED=FALSE&amp;VAR:CALENDAR=US&amp;VAR:SYMBOL=CTXS&amp;VAR:INDEX=0"}</definedName>
    <definedName name="_3858__FDSAUDITLINK__" localSheetId="7" hidden="1">{"fdsup://directions/FAT Viewer?action=UPDATE&amp;creator=factset&amp;DYN_ARGS=TRUE&amp;DOC_NAME=FAT:FQL_AUDITING_CLIENT_TEMPLATE.FAT&amp;display_string=Audit&amp;VAR:KEY=IDODSVOFQD&amp;VAR:QUERY=UkdGX1RBWF9SQVRFKEFOTiwwLCwsLCwsTk9BVURJVCk=&amp;WINDOW=FIRST_POPUP&amp;HEIGHT=450&amp;WIDTH=450&amp;","START_MAXIMIZED=FALSE&amp;VAR:CALENDAR=US&amp;VAR:SYMBOL=CTXS&amp;VAR:INDEX=0"}</definedName>
    <definedName name="_3858__FDSAUDITLINK__" hidden="1">{"fdsup://directions/FAT Viewer?action=UPDATE&amp;creator=factset&amp;DYN_ARGS=TRUE&amp;DOC_NAME=FAT:FQL_AUDITING_CLIENT_TEMPLATE.FAT&amp;display_string=Audit&amp;VAR:KEY=IDODSVOFQD&amp;VAR:QUERY=UkdGX1RBWF9SQVRFKEFOTiwwLCwsLCwsTk9BVURJVCk=&amp;WINDOW=FIRST_POPUP&amp;HEIGHT=450&amp;WIDTH=450&amp;","START_MAXIMIZED=FALSE&amp;VAR:CALENDAR=US&amp;VAR:SYMBOL=CTXS&amp;VAR:INDEX=0"}</definedName>
    <definedName name="_3859__FDSAUDITLINK__" localSheetId="3" hidden="1">{"fdsup://directions/FAT Viewer?action=UPDATE&amp;creator=factset&amp;DYN_ARGS=TRUE&amp;DOC_NAME=FAT:FQL_AUDITING_CLIENT_TEMPLATE.FAT&amp;display_string=Audit&amp;VAR:KEY=IDODSVOFQD&amp;VAR:QUERY=UkdGX1RBWF9SQVRFKEFOTiwwLCwsLCwsTk9BVURJVCk=&amp;WINDOW=FIRST_POPUP&amp;HEIGHT=450&amp;WIDTH=450&amp;","START_MAXIMIZED=FALSE&amp;VAR:CALENDAR=US&amp;VAR:SYMBOL=CTXS&amp;VAR:INDEX=0"}</definedName>
    <definedName name="_3859__FDSAUDITLINK__" localSheetId="7" hidden="1">{"fdsup://directions/FAT Viewer?action=UPDATE&amp;creator=factset&amp;DYN_ARGS=TRUE&amp;DOC_NAME=FAT:FQL_AUDITING_CLIENT_TEMPLATE.FAT&amp;display_string=Audit&amp;VAR:KEY=IDODSVOFQD&amp;VAR:QUERY=UkdGX1RBWF9SQVRFKEFOTiwwLCwsLCwsTk9BVURJVCk=&amp;WINDOW=FIRST_POPUP&amp;HEIGHT=450&amp;WIDTH=450&amp;","START_MAXIMIZED=FALSE&amp;VAR:CALENDAR=US&amp;VAR:SYMBOL=CTXS&amp;VAR:INDEX=0"}</definedName>
    <definedName name="_3859__FDSAUDITLINK__" hidden="1">{"fdsup://directions/FAT Viewer?action=UPDATE&amp;creator=factset&amp;DYN_ARGS=TRUE&amp;DOC_NAME=FAT:FQL_AUDITING_CLIENT_TEMPLATE.FAT&amp;display_string=Audit&amp;VAR:KEY=IDODSVOFQD&amp;VAR:QUERY=UkdGX1RBWF9SQVRFKEFOTiwwLCwsLCwsTk9BVURJVCk=&amp;WINDOW=FIRST_POPUP&amp;HEIGHT=450&amp;WIDTH=450&amp;","START_MAXIMIZED=FALSE&amp;VAR:CALENDAR=US&amp;VAR:SYMBOL=CTXS&amp;VAR:INDEX=0"}</definedName>
    <definedName name="_386__FDSAUDITLINK__" localSheetId="3" hidden="1">{"fdsup://directions/FAT Viewer?action=UPDATE&amp;creator=factset&amp;DYN_ARGS=TRUE&amp;DOC_NAME=FAT:FQL_AUDITING_CLIENT_TEMPLATE.FAT&amp;display_string=Audit&amp;VAR:KEY=NWDMTOLINW&amp;VAR:QUERY=UENUQ0hHKEZGX0FTU0VUUyhBTk4sMCwtOSxZLFJQLExPQ0FMLE0pLEZGX0FTU0VUUyhBTk4sMCAtIDEsLTkgL","SAxLFksUlAsTE9DQUwsTSkp&amp;WINDOW=FIRST_POPUP&amp;HEIGHT=450&amp;WIDTH=450&amp;START_MAXIMIZED=FALSE&amp;VAR:CALENDAR=US&amp;VAR:SYMBOL=B10LQP&amp;VAR:INDEX=5"}</definedName>
    <definedName name="_386__FDSAUDITLINK__" localSheetId="7" hidden="1">{"fdsup://directions/FAT Viewer?action=UPDATE&amp;creator=factset&amp;DYN_ARGS=TRUE&amp;DOC_NAME=FAT:FQL_AUDITING_CLIENT_TEMPLATE.FAT&amp;display_string=Audit&amp;VAR:KEY=NWDMTOLINW&amp;VAR:QUERY=UENUQ0hHKEZGX0FTU0VUUyhBTk4sMCwtOSxZLFJQLExPQ0FMLE0pLEZGX0FTU0VUUyhBTk4sMCAtIDEsLTkgL","SAxLFksUlAsTE9DQUwsTSkp&amp;WINDOW=FIRST_POPUP&amp;HEIGHT=450&amp;WIDTH=450&amp;START_MAXIMIZED=FALSE&amp;VAR:CALENDAR=US&amp;VAR:SYMBOL=B10LQP&amp;VAR:INDEX=5"}</definedName>
    <definedName name="_386__FDSAUDITLINK__" hidden="1">{"fdsup://directions/FAT Viewer?action=UPDATE&amp;creator=factset&amp;DYN_ARGS=TRUE&amp;DOC_NAME=FAT:FQL_AUDITING_CLIENT_TEMPLATE.FAT&amp;display_string=Audit&amp;VAR:KEY=NWDMTOLINW&amp;VAR:QUERY=UENUQ0hHKEZGX0FTU0VUUyhBTk4sMCwtOSxZLFJQLExPQ0FMLE0pLEZGX0FTU0VUUyhBTk4sMCAtIDEsLTkgL","SAxLFksUlAsTE9DQUwsTSkp&amp;WINDOW=FIRST_POPUP&amp;HEIGHT=450&amp;WIDTH=450&amp;START_MAXIMIZED=FALSE&amp;VAR:CALENDAR=US&amp;VAR:SYMBOL=B10LQP&amp;VAR:INDEX=5"}</definedName>
    <definedName name="_3860__FDSAUDITLINK__" localSheetId="3" hidden="1">{"fdsup://directions/FAT Viewer?action=UPDATE&amp;creator=factset&amp;DYN_ARGS=TRUE&amp;DOC_NAME=FAT:FQL_AUDITING_CLIENT_TEMPLATE.FAT&amp;display_string=Audit&amp;VAR:KEY=ELOBCNIBYR&amp;VAR:QUERY=UkdGX1RBWF9SQVRFKEFOTiwwLCwsLCwsTk9BVURJVCk=&amp;WINDOW=FIRST_POPUP&amp;HEIGHT=450&amp;WIDTH=450&amp;","START_MAXIMIZED=FALSE&amp;VAR:CALENDAR=US&amp;VAR:SYMBOL=CSOD&amp;VAR:INDEX=0"}</definedName>
    <definedName name="_3860__FDSAUDITLINK__" localSheetId="7" hidden="1">{"fdsup://directions/FAT Viewer?action=UPDATE&amp;creator=factset&amp;DYN_ARGS=TRUE&amp;DOC_NAME=FAT:FQL_AUDITING_CLIENT_TEMPLATE.FAT&amp;display_string=Audit&amp;VAR:KEY=ELOBCNIBYR&amp;VAR:QUERY=UkdGX1RBWF9SQVRFKEFOTiwwLCwsLCwsTk9BVURJVCk=&amp;WINDOW=FIRST_POPUP&amp;HEIGHT=450&amp;WIDTH=450&amp;","START_MAXIMIZED=FALSE&amp;VAR:CALENDAR=US&amp;VAR:SYMBOL=CSOD&amp;VAR:INDEX=0"}</definedName>
    <definedName name="_3860__FDSAUDITLINK__" hidden="1">{"fdsup://directions/FAT Viewer?action=UPDATE&amp;creator=factset&amp;DYN_ARGS=TRUE&amp;DOC_NAME=FAT:FQL_AUDITING_CLIENT_TEMPLATE.FAT&amp;display_string=Audit&amp;VAR:KEY=ELOBCNIBYR&amp;VAR:QUERY=UkdGX1RBWF9SQVRFKEFOTiwwLCwsLCwsTk9BVURJVCk=&amp;WINDOW=FIRST_POPUP&amp;HEIGHT=450&amp;WIDTH=450&amp;","START_MAXIMIZED=FALSE&amp;VAR:CALENDAR=US&amp;VAR:SYMBOL=CSOD&amp;VAR:INDEX=0"}</definedName>
    <definedName name="_3861__FDSAUDITLINK__" localSheetId="3" hidden="1">{"fdsup://directions/FAT Viewer?action=UPDATE&amp;creator=factset&amp;DYN_ARGS=TRUE&amp;DOC_NAME=FAT:FQL_AUDITING_CLIENT_TEMPLATE.FAT&amp;display_string=Audit&amp;VAR:KEY=QDGTMLQDSV&amp;VAR:QUERY=UkdGX1RBWF9SQVRFKEFOTiwwLCwsLCwsTk9BVURJVCk=&amp;WINDOW=FIRST_POPUP&amp;HEIGHT=450&amp;WIDTH=450&amp;","START_MAXIMIZED=FALSE&amp;VAR:CALENDAR=US&amp;VAR:SYMBOL=CSCO&amp;VAR:INDEX=0"}</definedName>
    <definedName name="_3861__FDSAUDITLINK__" localSheetId="7" hidden="1">{"fdsup://directions/FAT Viewer?action=UPDATE&amp;creator=factset&amp;DYN_ARGS=TRUE&amp;DOC_NAME=FAT:FQL_AUDITING_CLIENT_TEMPLATE.FAT&amp;display_string=Audit&amp;VAR:KEY=QDGTMLQDSV&amp;VAR:QUERY=UkdGX1RBWF9SQVRFKEFOTiwwLCwsLCwsTk9BVURJVCk=&amp;WINDOW=FIRST_POPUP&amp;HEIGHT=450&amp;WIDTH=450&amp;","START_MAXIMIZED=FALSE&amp;VAR:CALENDAR=US&amp;VAR:SYMBOL=CSCO&amp;VAR:INDEX=0"}</definedName>
    <definedName name="_3861__FDSAUDITLINK__" hidden="1">{"fdsup://directions/FAT Viewer?action=UPDATE&amp;creator=factset&amp;DYN_ARGS=TRUE&amp;DOC_NAME=FAT:FQL_AUDITING_CLIENT_TEMPLATE.FAT&amp;display_string=Audit&amp;VAR:KEY=QDGTMLQDSV&amp;VAR:QUERY=UkdGX1RBWF9SQVRFKEFOTiwwLCwsLCwsTk9BVURJVCk=&amp;WINDOW=FIRST_POPUP&amp;HEIGHT=450&amp;WIDTH=450&amp;","START_MAXIMIZED=FALSE&amp;VAR:CALENDAR=US&amp;VAR:SYMBOL=CSCO&amp;VAR:INDEX=0"}</definedName>
    <definedName name="_3862__FDSAUDITLINK__" localSheetId="3" hidden="1">{"fdsup://directions/FAT Viewer?action=UPDATE&amp;creator=factset&amp;DYN_ARGS=TRUE&amp;DOC_NAME=FAT:FQL_AUDITING_CLIENT_TEMPLATE.FAT&amp;display_string=Audit&amp;VAR:KEY=QDGTMLQDSV&amp;VAR:QUERY=UkdGX1RBWF9SQVRFKEFOTiwwLCwsLCwsTk9BVURJVCk=&amp;WINDOW=FIRST_POPUP&amp;HEIGHT=450&amp;WIDTH=450&amp;","START_MAXIMIZED=FALSE&amp;VAR:CALENDAR=US&amp;VAR:SYMBOL=CSCO&amp;VAR:INDEX=0"}</definedName>
    <definedName name="_3862__FDSAUDITLINK__" localSheetId="7" hidden="1">{"fdsup://directions/FAT Viewer?action=UPDATE&amp;creator=factset&amp;DYN_ARGS=TRUE&amp;DOC_NAME=FAT:FQL_AUDITING_CLIENT_TEMPLATE.FAT&amp;display_string=Audit&amp;VAR:KEY=QDGTMLQDSV&amp;VAR:QUERY=UkdGX1RBWF9SQVRFKEFOTiwwLCwsLCwsTk9BVURJVCk=&amp;WINDOW=FIRST_POPUP&amp;HEIGHT=450&amp;WIDTH=450&amp;","START_MAXIMIZED=FALSE&amp;VAR:CALENDAR=US&amp;VAR:SYMBOL=CSCO&amp;VAR:INDEX=0"}</definedName>
    <definedName name="_3862__FDSAUDITLINK__" hidden="1">{"fdsup://directions/FAT Viewer?action=UPDATE&amp;creator=factset&amp;DYN_ARGS=TRUE&amp;DOC_NAME=FAT:FQL_AUDITING_CLIENT_TEMPLATE.FAT&amp;display_string=Audit&amp;VAR:KEY=QDGTMLQDSV&amp;VAR:QUERY=UkdGX1RBWF9SQVRFKEFOTiwwLCwsLCwsTk9BVURJVCk=&amp;WINDOW=FIRST_POPUP&amp;HEIGHT=450&amp;WIDTH=450&amp;","START_MAXIMIZED=FALSE&amp;VAR:CALENDAR=US&amp;VAR:SYMBOL=CSCO&amp;VAR:INDEX=0"}</definedName>
    <definedName name="_3863__FDSAUDITLINK__" localSheetId="3" hidden="1">{"fdsup://directions/FAT Viewer?action=UPDATE&amp;creator=factset&amp;DYN_ARGS=TRUE&amp;DOC_NAME=FAT:FQL_AUDITING_CLIENT_TEMPLATE.FAT&amp;display_string=Audit&amp;VAR:KEY=GPEVQZMVSV&amp;VAR:QUERY=UkdGX1RBWF9SQVRFKEFOTiwwLCwsLCwsTk9BVURJVCk=&amp;WINDOW=FIRST_POPUP&amp;HEIGHT=450&amp;WIDTH=450&amp;","START_MAXIMIZED=FALSE&amp;VAR:CALENDAR=US&amp;VAR:SYMBOL=CSC&amp;VAR:INDEX=0"}</definedName>
    <definedName name="_3863__FDSAUDITLINK__" localSheetId="7" hidden="1">{"fdsup://directions/FAT Viewer?action=UPDATE&amp;creator=factset&amp;DYN_ARGS=TRUE&amp;DOC_NAME=FAT:FQL_AUDITING_CLIENT_TEMPLATE.FAT&amp;display_string=Audit&amp;VAR:KEY=GPEVQZMVSV&amp;VAR:QUERY=UkdGX1RBWF9SQVRFKEFOTiwwLCwsLCwsTk9BVURJVCk=&amp;WINDOW=FIRST_POPUP&amp;HEIGHT=450&amp;WIDTH=450&amp;","START_MAXIMIZED=FALSE&amp;VAR:CALENDAR=US&amp;VAR:SYMBOL=CSC&amp;VAR:INDEX=0"}</definedName>
    <definedName name="_3863__FDSAUDITLINK__" hidden="1">{"fdsup://directions/FAT Viewer?action=UPDATE&amp;creator=factset&amp;DYN_ARGS=TRUE&amp;DOC_NAME=FAT:FQL_AUDITING_CLIENT_TEMPLATE.FAT&amp;display_string=Audit&amp;VAR:KEY=GPEVQZMVSV&amp;VAR:QUERY=UkdGX1RBWF9SQVRFKEFOTiwwLCwsLCwsTk9BVURJVCk=&amp;WINDOW=FIRST_POPUP&amp;HEIGHT=450&amp;WIDTH=450&amp;","START_MAXIMIZED=FALSE&amp;VAR:CALENDAR=US&amp;VAR:SYMBOL=CSC&amp;VAR:INDEX=0"}</definedName>
    <definedName name="_3864__FDSAUDITLINK__" localSheetId="3" hidden="1">{"fdsup://directions/FAT Viewer?action=UPDATE&amp;creator=factset&amp;DYN_ARGS=TRUE&amp;DOC_NAME=FAT:FQL_AUDITING_CLIENT_TEMPLATE.FAT&amp;display_string=Audit&amp;VAR:KEY=GPEVQZMVSV&amp;VAR:QUERY=UkdGX1RBWF9SQVRFKEFOTiwwLCwsLCwsTk9BVURJVCk=&amp;WINDOW=FIRST_POPUP&amp;HEIGHT=450&amp;WIDTH=450&amp;","START_MAXIMIZED=FALSE&amp;VAR:CALENDAR=US&amp;VAR:SYMBOL=CSC&amp;VAR:INDEX=0"}</definedName>
    <definedName name="_3864__FDSAUDITLINK__" localSheetId="7" hidden="1">{"fdsup://directions/FAT Viewer?action=UPDATE&amp;creator=factset&amp;DYN_ARGS=TRUE&amp;DOC_NAME=FAT:FQL_AUDITING_CLIENT_TEMPLATE.FAT&amp;display_string=Audit&amp;VAR:KEY=GPEVQZMVSV&amp;VAR:QUERY=UkdGX1RBWF9SQVRFKEFOTiwwLCwsLCwsTk9BVURJVCk=&amp;WINDOW=FIRST_POPUP&amp;HEIGHT=450&amp;WIDTH=450&amp;","START_MAXIMIZED=FALSE&amp;VAR:CALENDAR=US&amp;VAR:SYMBOL=CSC&amp;VAR:INDEX=0"}</definedName>
    <definedName name="_3864__FDSAUDITLINK__" hidden="1">{"fdsup://directions/FAT Viewer?action=UPDATE&amp;creator=factset&amp;DYN_ARGS=TRUE&amp;DOC_NAME=FAT:FQL_AUDITING_CLIENT_TEMPLATE.FAT&amp;display_string=Audit&amp;VAR:KEY=GPEVQZMVSV&amp;VAR:QUERY=UkdGX1RBWF9SQVRFKEFOTiwwLCwsLCwsTk9BVURJVCk=&amp;WINDOW=FIRST_POPUP&amp;HEIGHT=450&amp;WIDTH=450&amp;","START_MAXIMIZED=FALSE&amp;VAR:CALENDAR=US&amp;VAR:SYMBOL=CSC&amp;VAR:INDEX=0"}</definedName>
    <definedName name="_3865__FDSAUDITLINK__" localSheetId="3" hidden="1">{"fdsup://directions/FAT Viewer?action=UPDATE&amp;creator=factset&amp;DYN_ARGS=TRUE&amp;DOC_NAME=FAT:FQL_AUDITING_CLIENT_TEMPLATE.FAT&amp;display_string=Audit&amp;VAR:KEY=YNKFWNCBIB&amp;VAR:QUERY=UkdGX1RBWF9SQVRFKEFOTiwwLCwsLCwsTk9BVURJVCk=&amp;WINDOW=FIRST_POPUP&amp;HEIGHT=450&amp;WIDTH=450&amp;","START_MAXIMIZED=FALSE&amp;VAR:CALENDAR=US&amp;VAR:SYMBOL=CHKP&amp;VAR:INDEX=0"}</definedName>
    <definedName name="_3865__FDSAUDITLINK__" localSheetId="7" hidden="1">{"fdsup://directions/FAT Viewer?action=UPDATE&amp;creator=factset&amp;DYN_ARGS=TRUE&amp;DOC_NAME=FAT:FQL_AUDITING_CLIENT_TEMPLATE.FAT&amp;display_string=Audit&amp;VAR:KEY=YNKFWNCBIB&amp;VAR:QUERY=UkdGX1RBWF9SQVRFKEFOTiwwLCwsLCwsTk9BVURJVCk=&amp;WINDOW=FIRST_POPUP&amp;HEIGHT=450&amp;WIDTH=450&amp;","START_MAXIMIZED=FALSE&amp;VAR:CALENDAR=US&amp;VAR:SYMBOL=CHKP&amp;VAR:INDEX=0"}</definedName>
    <definedName name="_3865__FDSAUDITLINK__" hidden="1">{"fdsup://directions/FAT Viewer?action=UPDATE&amp;creator=factset&amp;DYN_ARGS=TRUE&amp;DOC_NAME=FAT:FQL_AUDITING_CLIENT_TEMPLATE.FAT&amp;display_string=Audit&amp;VAR:KEY=YNKFWNCBIB&amp;VAR:QUERY=UkdGX1RBWF9SQVRFKEFOTiwwLCwsLCwsTk9BVURJVCk=&amp;WINDOW=FIRST_POPUP&amp;HEIGHT=450&amp;WIDTH=450&amp;","START_MAXIMIZED=FALSE&amp;VAR:CALENDAR=US&amp;VAR:SYMBOL=CHKP&amp;VAR:INDEX=0"}</definedName>
    <definedName name="_3866__FDSAUDITLINK__" localSheetId="3" hidden="1">{"fdsup://directions/FAT Viewer?action=UPDATE&amp;creator=factset&amp;DYN_ARGS=TRUE&amp;DOC_NAME=FAT:FQL_AUDITING_CLIENT_TEMPLATE.FAT&amp;display_string=Audit&amp;VAR:KEY=YNKFWNCBIB&amp;VAR:QUERY=UkdGX1RBWF9SQVRFKEFOTiwwLCwsLCwsTk9BVURJVCk=&amp;WINDOW=FIRST_POPUP&amp;HEIGHT=450&amp;WIDTH=450&amp;","START_MAXIMIZED=FALSE&amp;VAR:CALENDAR=US&amp;VAR:SYMBOL=CHKP&amp;VAR:INDEX=0"}</definedName>
    <definedName name="_3866__FDSAUDITLINK__" localSheetId="7" hidden="1">{"fdsup://directions/FAT Viewer?action=UPDATE&amp;creator=factset&amp;DYN_ARGS=TRUE&amp;DOC_NAME=FAT:FQL_AUDITING_CLIENT_TEMPLATE.FAT&amp;display_string=Audit&amp;VAR:KEY=YNKFWNCBIB&amp;VAR:QUERY=UkdGX1RBWF9SQVRFKEFOTiwwLCwsLCwsTk9BVURJVCk=&amp;WINDOW=FIRST_POPUP&amp;HEIGHT=450&amp;WIDTH=450&amp;","START_MAXIMIZED=FALSE&amp;VAR:CALENDAR=US&amp;VAR:SYMBOL=CHKP&amp;VAR:INDEX=0"}</definedName>
    <definedName name="_3866__FDSAUDITLINK__" hidden="1">{"fdsup://directions/FAT Viewer?action=UPDATE&amp;creator=factset&amp;DYN_ARGS=TRUE&amp;DOC_NAME=FAT:FQL_AUDITING_CLIENT_TEMPLATE.FAT&amp;display_string=Audit&amp;VAR:KEY=YNKFWNCBIB&amp;VAR:QUERY=UkdGX1RBWF9SQVRFKEFOTiwwLCwsLCwsTk9BVURJVCk=&amp;WINDOW=FIRST_POPUP&amp;HEIGHT=450&amp;WIDTH=450&amp;","START_MAXIMIZED=FALSE&amp;VAR:CALENDAR=US&amp;VAR:SYMBOL=CHKP&amp;VAR:INDEX=0"}</definedName>
    <definedName name="_3867__FDSAUDITLINK__" localSheetId="3" hidden="1">{"fdsup://directions/FAT Viewer?action=UPDATE&amp;creator=factset&amp;DYN_ARGS=TRUE&amp;DOC_NAME=FAT:FQL_AUDITING_CLIENT_TEMPLATE.FAT&amp;display_string=Audit&amp;VAR:KEY=GDWVEJGFUB&amp;VAR:QUERY=UkdGX1RBWF9SQVRFKEFOTiwwLCwsLCwsTk9BVURJVCk=&amp;WINDOW=FIRST_POPUP&amp;HEIGHT=450&amp;WIDTH=450&amp;","START_MAXIMIZED=FALSE&amp;VAR:CALENDAR=US&amp;VAR:SYMBOL=CERN&amp;VAR:INDEX=0"}</definedName>
    <definedName name="_3867__FDSAUDITLINK__" localSheetId="7" hidden="1">{"fdsup://directions/FAT Viewer?action=UPDATE&amp;creator=factset&amp;DYN_ARGS=TRUE&amp;DOC_NAME=FAT:FQL_AUDITING_CLIENT_TEMPLATE.FAT&amp;display_string=Audit&amp;VAR:KEY=GDWVEJGFUB&amp;VAR:QUERY=UkdGX1RBWF9SQVRFKEFOTiwwLCwsLCwsTk9BVURJVCk=&amp;WINDOW=FIRST_POPUP&amp;HEIGHT=450&amp;WIDTH=450&amp;","START_MAXIMIZED=FALSE&amp;VAR:CALENDAR=US&amp;VAR:SYMBOL=CERN&amp;VAR:INDEX=0"}</definedName>
    <definedName name="_3867__FDSAUDITLINK__" hidden="1">{"fdsup://directions/FAT Viewer?action=UPDATE&amp;creator=factset&amp;DYN_ARGS=TRUE&amp;DOC_NAME=FAT:FQL_AUDITING_CLIENT_TEMPLATE.FAT&amp;display_string=Audit&amp;VAR:KEY=GDWVEJGFUB&amp;VAR:QUERY=UkdGX1RBWF9SQVRFKEFOTiwwLCwsLCwsTk9BVURJVCk=&amp;WINDOW=FIRST_POPUP&amp;HEIGHT=450&amp;WIDTH=450&amp;","START_MAXIMIZED=FALSE&amp;VAR:CALENDAR=US&amp;VAR:SYMBOL=CERN&amp;VAR:INDEX=0"}</definedName>
    <definedName name="_3868__FDSAUDITLINK__" localSheetId="3" hidden="1">{"fdsup://directions/FAT Viewer?action=UPDATE&amp;creator=factset&amp;DYN_ARGS=TRUE&amp;DOC_NAME=FAT:FQL_AUDITING_CLIENT_TEMPLATE.FAT&amp;display_string=Audit&amp;VAR:KEY=GDWVEJGFUB&amp;VAR:QUERY=UkdGX1RBWF9SQVRFKEFOTiwwLCwsLCwsTk9BVURJVCk=&amp;WINDOW=FIRST_POPUP&amp;HEIGHT=450&amp;WIDTH=450&amp;","START_MAXIMIZED=FALSE&amp;VAR:CALENDAR=US&amp;VAR:SYMBOL=CERN&amp;VAR:INDEX=0"}</definedName>
    <definedName name="_3868__FDSAUDITLINK__" localSheetId="7" hidden="1">{"fdsup://directions/FAT Viewer?action=UPDATE&amp;creator=factset&amp;DYN_ARGS=TRUE&amp;DOC_NAME=FAT:FQL_AUDITING_CLIENT_TEMPLATE.FAT&amp;display_string=Audit&amp;VAR:KEY=GDWVEJGFUB&amp;VAR:QUERY=UkdGX1RBWF9SQVRFKEFOTiwwLCwsLCwsTk9BVURJVCk=&amp;WINDOW=FIRST_POPUP&amp;HEIGHT=450&amp;WIDTH=450&amp;","START_MAXIMIZED=FALSE&amp;VAR:CALENDAR=US&amp;VAR:SYMBOL=CERN&amp;VAR:INDEX=0"}</definedName>
    <definedName name="_3868__FDSAUDITLINK__" hidden="1">{"fdsup://directions/FAT Viewer?action=UPDATE&amp;creator=factset&amp;DYN_ARGS=TRUE&amp;DOC_NAME=FAT:FQL_AUDITING_CLIENT_TEMPLATE.FAT&amp;display_string=Audit&amp;VAR:KEY=GDWVEJGFUB&amp;VAR:QUERY=UkdGX1RBWF9SQVRFKEFOTiwwLCwsLCwsTk9BVURJVCk=&amp;WINDOW=FIRST_POPUP&amp;HEIGHT=450&amp;WIDTH=450&amp;","START_MAXIMIZED=FALSE&amp;VAR:CALENDAR=US&amp;VAR:SYMBOL=CERN&amp;VAR:INDEX=0"}</definedName>
    <definedName name="_3869__FDSAUDITLINK__" localSheetId="3" hidden="1">{"fdsup://directions/FAT Viewer?action=UPDATE&amp;creator=factset&amp;DYN_ARGS=TRUE&amp;DOC_NAME=FAT:FQL_AUDITING_CLIENT_TEMPLATE.FAT&amp;display_string=Audit&amp;VAR:KEY=CXKDIRWRWX&amp;VAR:QUERY=UkdGX1RBWF9SQVRFKEFOTiwwLCwsLCwsTk9BVURJVCk=&amp;WINDOW=FIRST_POPUP&amp;HEIGHT=450&amp;WIDTH=450&amp;","START_MAXIMIZED=FALSE&amp;VAR:CALENDAR=US&amp;VAR:SYMBOL=CHINA&amp;VAR:INDEX=0"}</definedName>
    <definedName name="_3869__FDSAUDITLINK__" localSheetId="7" hidden="1">{"fdsup://directions/FAT Viewer?action=UPDATE&amp;creator=factset&amp;DYN_ARGS=TRUE&amp;DOC_NAME=FAT:FQL_AUDITING_CLIENT_TEMPLATE.FAT&amp;display_string=Audit&amp;VAR:KEY=CXKDIRWRWX&amp;VAR:QUERY=UkdGX1RBWF9SQVRFKEFOTiwwLCwsLCwsTk9BVURJVCk=&amp;WINDOW=FIRST_POPUP&amp;HEIGHT=450&amp;WIDTH=450&amp;","START_MAXIMIZED=FALSE&amp;VAR:CALENDAR=US&amp;VAR:SYMBOL=CHINA&amp;VAR:INDEX=0"}</definedName>
    <definedName name="_3869__FDSAUDITLINK__" hidden="1">{"fdsup://directions/FAT Viewer?action=UPDATE&amp;creator=factset&amp;DYN_ARGS=TRUE&amp;DOC_NAME=FAT:FQL_AUDITING_CLIENT_TEMPLATE.FAT&amp;display_string=Audit&amp;VAR:KEY=CXKDIRWRWX&amp;VAR:QUERY=UkdGX1RBWF9SQVRFKEFOTiwwLCwsLCwsTk9BVURJVCk=&amp;WINDOW=FIRST_POPUP&amp;HEIGHT=450&amp;WIDTH=450&amp;","START_MAXIMIZED=FALSE&amp;VAR:CALENDAR=US&amp;VAR:SYMBOL=CHINA&amp;VAR:INDEX=0"}</definedName>
    <definedName name="_387__FDSAUDITLINK__" localSheetId="3" hidden="1">{"fdsup://directions/FAT Viewer?action=UPDATE&amp;creator=factset&amp;DYN_ARGS=TRUE&amp;DOC_NAME=FAT:FQL_AUDITING_CLIENT_TEMPLATE.FAT&amp;display_string=Audit&amp;VAR:KEY=NWDMTOLINW&amp;VAR:QUERY=UENUQ0hHKEZGX0FTU0VUUyhBTk4sMCwtOSxZLFJQLExPQ0FMLE0pLEZGX0FTU0VUUyhBTk4sMCAtIDEsLTkgL","SAxLFksUlAsTE9DQUwsTSkp&amp;WINDOW=FIRST_POPUP&amp;HEIGHT=450&amp;WIDTH=450&amp;START_MAXIMIZED=FALSE&amp;VAR:CALENDAR=US&amp;VAR:SYMBOL=B10LQP&amp;VAR:INDEX=4"}</definedName>
    <definedName name="_387__FDSAUDITLINK__" localSheetId="7" hidden="1">{"fdsup://directions/FAT Viewer?action=UPDATE&amp;creator=factset&amp;DYN_ARGS=TRUE&amp;DOC_NAME=FAT:FQL_AUDITING_CLIENT_TEMPLATE.FAT&amp;display_string=Audit&amp;VAR:KEY=NWDMTOLINW&amp;VAR:QUERY=UENUQ0hHKEZGX0FTU0VUUyhBTk4sMCwtOSxZLFJQLExPQ0FMLE0pLEZGX0FTU0VUUyhBTk4sMCAtIDEsLTkgL","SAxLFksUlAsTE9DQUwsTSkp&amp;WINDOW=FIRST_POPUP&amp;HEIGHT=450&amp;WIDTH=450&amp;START_MAXIMIZED=FALSE&amp;VAR:CALENDAR=US&amp;VAR:SYMBOL=B10LQP&amp;VAR:INDEX=4"}</definedName>
    <definedName name="_387__FDSAUDITLINK__" hidden="1">{"fdsup://directions/FAT Viewer?action=UPDATE&amp;creator=factset&amp;DYN_ARGS=TRUE&amp;DOC_NAME=FAT:FQL_AUDITING_CLIENT_TEMPLATE.FAT&amp;display_string=Audit&amp;VAR:KEY=NWDMTOLINW&amp;VAR:QUERY=UENUQ0hHKEZGX0FTU0VUUyhBTk4sMCwtOSxZLFJQLExPQ0FMLE0pLEZGX0FTU0VUUyhBTk4sMCAtIDEsLTkgL","SAxLFksUlAsTE9DQUwsTSkp&amp;WINDOW=FIRST_POPUP&amp;HEIGHT=450&amp;WIDTH=450&amp;START_MAXIMIZED=FALSE&amp;VAR:CALENDAR=US&amp;VAR:SYMBOL=B10LQP&amp;VAR:INDEX=4"}</definedName>
    <definedName name="_3870__FDSAUDITLINK__" localSheetId="3" hidden="1">{"fdsup://directions/FAT Viewer?action=UPDATE&amp;creator=factset&amp;DYN_ARGS=TRUE&amp;DOC_NAME=FAT:FQL_AUDITING_CLIENT_TEMPLATE.FAT&amp;display_string=Audit&amp;VAR:KEY=CXKDIRWRWX&amp;VAR:QUERY=UkdGX1RBWF9SQVRFKEFOTiwwLCwsLCwsTk9BVURJVCk=&amp;WINDOW=FIRST_POPUP&amp;HEIGHT=450&amp;WIDTH=450&amp;","START_MAXIMIZED=FALSE&amp;VAR:CALENDAR=US&amp;VAR:SYMBOL=CHINA&amp;VAR:INDEX=0"}</definedName>
    <definedName name="_3870__FDSAUDITLINK__" localSheetId="7" hidden="1">{"fdsup://directions/FAT Viewer?action=UPDATE&amp;creator=factset&amp;DYN_ARGS=TRUE&amp;DOC_NAME=FAT:FQL_AUDITING_CLIENT_TEMPLATE.FAT&amp;display_string=Audit&amp;VAR:KEY=CXKDIRWRWX&amp;VAR:QUERY=UkdGX1RBWF9SQVRFKEFOTiwwLCwsLCwsTk9BVURJVCk=&amp;WINDOW=FIRST_POPUP&amp;HEIGHT=450&amp;WIDTH=450&amp;","START_MAXIMIZED=FALSE&amp;VAR:CALENDAR=US&amp;VAR:SYMBOL=CHINA&amp;VAR:INDEX=0"}</definedName>
    <definedName name="_3870__FDSAUDITLINK__" hidden="1">{"fdsup://directions/FAT Viewer?action=UPDATE&amp;creator=factset&amp;DYN_ARGS=TRUE&amp;DOC_NAME=FAT:FQL_AUDITING_CLIENT_TEMPLATE.FAT&amp;display_string=Audit&amp;VAR:KEY=CXKDIRWRWX&amp;VAR:QUERY=UkdGX1RBWF9SQVRFKEFOTiwwLCwsLCwsTk9BVURJVCk=&amp;WINDOW=FIRST_POPUP&amp;HEIGHT=450&amp;WIDTH=450&amp;","START_MAXIMIZED=FALSE&amp;VAR:CALENDAR=US&amp;VAR:SYMBOL=CHINA&amp;VAR:INDEX=0"}</definedName>
    <definedName name="_3871__FDSAUDITLINK__" localSheetId="3" hidden="1">{"fdsup://directions/FAT Viewer?action=UPDATE&amp;creator=factset&amp;DYN_ARGS=TRUE&amp;DOC_NAME=FAT:FQL_AUDITING_CLIENT_TEMPLATE.FAT&amp;display_string=Audit&amp;VAR:KEY=SBIJIHWJIP&amp;VAR:QUERY=UkdGX1RBWF9SQVRFKEFOTiwwLCwsLCwsTk9BVURJVCk=&amp;WINDOW=FIRST_POPUP&amp;HEIGHT=450&amp;WIDTH=450&amp;","START_MAXIMIZED=FALSE&amp;VAR:CALENDAR=US&amp;VAR:SYMBOL=CALD&amp;VAR:INDEX=0"}</definedName>
    <definedName name="_3871__FDSAUDITLINK__" localSheetId="7" hidden="1">{"fdsup://directions/FAT Viewer?action=UPDATE&amp;creator=factset&amp;DYN_ARGS=TRUE&amp;DOC_NAME=FAT:FQL_AUDITING_CLIENT_TEMPLATE.FAT&amp;display_string=Audit&amp;VAR:KEY=SBIJIHWJIP&amp;VAR:QUERY=UkdGX1RBWF9SQVRFKEFOTiwwLCwsLCwsTk9BVURJVCk=&amp;WINDOW=FIRST_POPUP&amp;HEIGHT=450&amp;WIDTH=450&amp;","START_MAXIMIZED=FALSE&amp;VAR:CALENDAR=US&amp;VAR:SYMBOL=CALD&amp;VAR:INDEX=0"}</definedName>
    <definedName name="_3871__FDSAUDITLINK__" hidden="1">{"fdsup://directions/FAT Viewer?action=UPDATE&amp;creator=factset&amp;DYN_ARGS=TRUE&amp;DOC_NAME=FAT:FQL_AUDITING_CLIENT_TEMPLATE.FAT&amp;display_string=Audit&amp;VAR:KEY=SBIJIHWJIP&amp;VAR:QUERY=UkdGX1RBWF9SQVRFKEFOTiwwLCwsLCwsTk9BVURJVCk=&amp;WINDOW=FIRST_POPUP&amp;HEIGHT=450&amp;WIDTH=450&amp;","START_MAXIMIZED=FALSE&amp;VAR:CALENDAR=US&amp;VAR:SYMBOL=CALD&amp;VAR:INDEX=0"}</definedName>
    <definedName name="_3872__FDSAUDITLINK__" localSheetId="3" hidden="1">{"fdsup://directions/FAT Viewer?action=UPDATE&amp;creator=factset&amp;DYN_ARGS=TRUE&amp;DOC_NAME=FAT:FQL_AUDITING_CLIENT_TEMPLATE.FAT&amp;display_string=Audit&amp;VAR:KEY=ADKJSHUVWN&amp;VAR:QUERY=UkdGX1RBWF9SQVRFKEFOTiwwLCwsLCwsTk9BVURJVCk=&amp;WINDOW=FIRST_POPUP&amp;HEIGHT=450&amp;WIDTH=450&amp;","START_MAXIMIZED=FALSE&amp;VAR:CALENDAR=US&amp;VAR:SYMBOL=CDNS&amp;VAR:INDEX=0"}</definedName>
    <definedName name="_3872__FDSAUDITLINK__" localSheetId="7" hidden="1">{"fdsup://directions/FAT Viewer?action=UPDATE&amp;creator=factset&amp;DYN_ARGS=TRUE&amp;DOC_NAME=FAT:FQL_AUDITING_CLIENT_TEMPLATE.FAT&amp;display_string=Audit&amp;VAR:KEY=ADKJSHUVWN&amp;VAR:QUERY=UkdGX1RBWF9SQVRFKEFOTiwwLCwsLCwsTk9BVURJVCk=&amp;WINDOW=FIRST_POPUP&amp;HEIGHT=450&amp;WIDTH=450&amp;","START_MAXIMIZED=FALSE&amp;VAR:CALENDAR=US&amp;VAR:SYMBOL=CDNS&amp;VAR:INDEX=0"}</definedName>
    <definedName name="_3872__FDSAUDITLINK__" hidden="1">{"fdsup://directions/FAT Viewer?action=UPDATE&amp;creator=factset&amp;DYN_ARGS=TRUE&amp;DOC_NAME=FAT:FQL_AUDITING_CLIENT_TEMPLATE.FAT&amp;display_string=Audit&amp;VAR:KEY=ADKJSHUVWN&amp;VAR:QUERY=UkdGX1RBWF9SQVRFKEFOTiwwLCwsLCwsTk9BVURJVCk=&amp;WINDOW=FIRST_POPUP&amp;HEIGHT=450&amp;WIDTH=450&amp;","START_MAXIMIZED=FALSE&amp;VAR:CALENDAR=US&amp;VAR:SYMBOL=CDNS&amp;VAR:INDEX=0"}</definedName>
    <definedName name="_3873__FDSAUDITLINK__" localSheetId="3" hidden="1">{"fdsup://directions/FAT Viewer?action=UPDATE&amp;creator=factset&amp;DYN_ARGS=TRUE&amp;DOC_NAME=FAT:FQL_AUDITING_CLIENT_TEMPLATE.FAT&amp;display_string=Audit&amp;VAR:KEY=CXWRQTIPWD&amp;VAR:QUERY=UkdGX1RBWF9SQVRFKEFOTiwwLCwsLCwsTk9BVURJVCk=&amp;WINDOW=FIRST_POPUP&amp;HEIGHT=450&amp;WIDTH=450&amp;","START_MAXIMIZED=FALSE&amp;VAR:CALENDAR=US&amp;VAR:SYMBOL=CA&amp;VAR:INDEX=0"}</definedName>
    <definedName name="_3873__FDSAUDITLINK__" localSheetId="7" hidden="1">{"fdsup://directions/FAT Viewer?action=UPDATE&amp;creator=factset&amp;DYN_ARGS=TRUE&amp;DOC_NAME=FAT:FQL_AUDITING_CLIENT_TEMPLATE.FAT&amp;display_string=Audit&amp;VAR:KEY=CXWRQTIPWD&amp;VAR:QUERY=UkdGX1RBWF9SQVRFKEFOTiwwLCwsLCwsTk9BVURJVCk=&amp;WINDOW=FIRST_POPUP&amp;HEIGHT=450&amp;WIDTH=450&amp;","START_MAXIMIZED=FALSE&amp;VAR:CALENDAR=US&amp;VAR:SYMBOL=CA&amp;VAR:INDEX=0"}</definedName>
    <definedName name="_3873__FDSAUDITLINK__" hidden="1">{"fdsup://directions/FAT Viewer?action=UPDATE&amp;creator=factset&amp;DYN_ARGS=TRUE&amp;DOC_NAME=FAT:FQL_AUDITING_CLIENT_TEMPLATE.FAT&amp;display_string=Audit&amp;VAR:KEY=CXWRQTIPWD&amp;VAR:QUERY=UkdGX1RBWF9SQVRFKEFOTiwwLCwsLCwsTk9BVURJVCk=&amp;WINDOW=FIRST_POPUP&amp;HEIGHT=450&amp;WIDTH=450&amp;","START_MAXIMIZED=FALSE&amp;VAR:CALENDAR=US&amp;VAR:SYMBOL=CA&amp;VAR:INDEX=0"}</definedName>
    <definedName name="_3874__FDSAUDITLINK__" localSheetId="3" hidden="1">{"fdsup://directions/FAT Viewer?action=UPDATE&amp;creator=factset&amp;DYN_ARGS=TRUE&amp;DOC_NAME=FAT:FQL_AUDITING_CLIENT_TEMPLATE.FAT&amp;display_string=Audit&amp;VAR:KEY=CXWRQTIPWD&amp;VAR:QUERY=UkdGX1RBWF9SQVRFKEFOTiwwLCwsLCwsTk9BVURJVCk=&amp;WINDOW=FIRST_POPUP&amp;HEIGHT=450&amp;WIDTH=450&amp;","START_MAXIMIZED=FALSE&amp;VAR:CALENDAR=US&amp;VAR:SYMBOL=CA&amp;VAR:INDEX=0"}</definedName>
    <definedName name="_3874__FDSAUDITLINK__" localSheetId="7" hidden="1">{"fdsup://directions/FAT Viewer?action=UPDATE&amp;creator=factset&amp;DYN_ARGS=TRUE&amp;DOC_NAME=FAT:FQL_AUDITING_CLIENT_TEMPLATE.FAT&amp;display_string=Audit&amp;VAR:KEY=CXWRQTIPWD&amp;VAR:QUERY=UkdGX1RBWF9SQVRFKEFOTiwwLCwsLCwsTk9BVURJVCk=&amp;WINDOW=FIRST_POPUP&amp;HEIGHT=450&amp;WIDTH=450&amp;","START_MAXIMIZED=FALSE&amp;VAR:CALENDAR=US&amp;VAR:SYMBOL=CA&amp;VAR:INDEX=0"}</definedName>
    <definedName name="_3874__FDSAUDITLINK__" hidden="1">{"fdsup://directions/FAT Viewer?action=UPDATE&amp;creator=factset&amp;DYN_ARGS=TRUE&amp;DOC_NAME=FAT:FQL_AUDITING_CLIENT_TEMPLATE.FAT&amp;display_string=Audit&amp;VAR:KEY=CXWRQTIPWD&amp;VAR:QUERY=UkdGX1RBWF9SQVRFKEFOTiwwLCwsLCwsTk9BVURJVCk=&amp;WINDOW=FIRST_POPUP&amp;HEIGHT=450&amp;WIDTH=450&amp;","START_MAXIMIZED=FALSE&amp;VAR:CALENDAR=US&amp;VAR:SYMBOL=CA&amp;VAR:INDEX=0"}</definedName>
    <definedName name="_3875__FDSAUDITLINK__" localSheetId="3" hidden="1">{"fdsup://directions/FAT Viewer?action=UPDATE&amp;creator=factset&amp;DYN_ARGS=TRUE&amp;DOC_NAME=FAT:FQL_AUDITING_CLIENT_TEMPLATE.FAT&amp;display_string=Audit&amp;VAR:KEY=QTADIRKREF&amp;VAR:QUERY=UkdGX1RBWF9SQVRFKEFOTiwwLCwsLCwsTk9BVURJVCk=&amp;WINDOW=FIRST_POPUP&amp;HEIGHT=450&amp;WIDTH=450&amp;","START_MAXIMIZED=FALSE&amp;VAR:CALENDAR=US&amp;VAR:SYMBOL=BVSN&amp;VAR:INDEX=0"}</definedName>
    <definedName name="_3875__FDSAUDITLINK__" localSheetId="7" hidden="1">{"fdsup://directions/FAT Viewer?action=UPDATE&amp;creator=factset&amp;DYN_ARGS=TRUE&amp;DOC_NAME=FAT:FQL_AUDITING_CLIENT_TEMPLATE.FAT&amp;display_string=Audit&amp;VAR:KEY=QTADIRKREF&amp;VAR:QUERY=UkdGX1RBWF9SQVRFKEFOTiwwLCwsLCwsTk9BVURJVCk=&amp;WINDOW=FIRST_POPUP&amp;HEIGHT=450&amp;WIDTH=450&amp;","START_MAXIMIZED=FALSE&amp;VAR:CALENDAR=US&amp;VAR:SYMBOL=BVSN&amp;VAR:INDEX=0"}</definedName>
    <definedName name="_3875__FDSAUDITLINK__" hidden="1">{"fdsup://directions/FAT Viewer?action=UPDATE&amp;creator=factset&amp;DYN_ARGS=TRUE&amp;DOC_NAME=FAT:FQL_AUDITING_CLIENT_TEMPLATE.FAT&amp;display_string=Audit&amp;VAR:KEY=QTADIRKREF&amp;VAR:QUERY=UkdGX1RBWF9SQVRFKEFOTiwwLCwsLCwsTk9BVURJVCk=&amp;WINDOW=FIRST_POPUP&amp;HEIGHT=450&amp;WIDTH=450&amp;","START_MAXIMIZED=FALSE&amp;VAR:CALENDAR=US&amp;VAR:SYMBOL=BVSN&amp;VAR:INDEX=0"}</definedName>
    <definedName name="_3876__FDSAUDITLINK__" localSheetId="3" hidden="1">{"fdsup://directions/FAT Viewer?action=UPDATE&amp;creator=factset&amp;DYN_ARGS=TRUE&amp;DOC_NAME=FAT:FQL_AUDITING_CLIENT_TEMPLATE.FAT&amp;display_string=Audit&amp;VAR:KEY=WRENOZKXQT&amp;VAR:QUERY=UkdGX1RBWF9SQVRFKEFOTiwwLCwsLCwsTk9BVURJVCk=&amp;WINDOW=FIRST_POPUP&amp;HEIGHT=450&amp;WIDTH=450&amp;","START_MAXIMIZED=FALSE&amp;VAR:CALENDAR=US&amp;VAR:SYMBOL=BSFT&amp;VAR:INDEX=0"}</definedName>
    <definedName name="_3876__FDSAUDITLINK__" localSheetId="7" hidden="1">{"fdsup://directions/FAT Viewer?action=UPDATE&amp;creator=factset&amp;DYN_ARGS=TRUE&amp;DOC_NAME=FAT:FQL_AUDITING_CLIENT_TEMPLATE.FAT&amp;display_string=Audit&amp;VAR:KEY=WRENOZKXQT&amp;VAR:QUERY=UkdGX1RBWF9SQVRFKEFOTiwwLCwsLCwsTk9BVURJVCk=&amp;WINDOW=FIRST_POPUP&amp;HEIGHT=450&amp;WIDTH=450&amp;","START_MAXIMIZED=FALSE&amp;VAR:CALENDAR=US&amp;VAR:SYMBOL=BSFT&amp;VAR:INDEX=0"}</definedName>
    <definedName name="_3876__FDSAUDITLINK__" hidden="1">{"fdsup://directions/FAT Viewer?action=UPDATE&amp;creator=factset&amp;DYN_ARGS=TRUE&amp;DOC_NAME=FAT:FQL_AUDITING_CLIENT_TEMPLATE.FAT&amp;display_string=Audit&amp;VAR:KEY=WRENOZKXQT&amp;VAR:QUERY=UkdGX1RBWF9SQVRFKEFOTiwwLCwsLCwsTk9BVURJVCk=&amp;WINDOW=FIRST_POPUP&amp;HEIGHT=450&amp;WIDTH=450&amp;","START_MAXIMIZED=FALSE&amp;VAR:CALENDAR=US&amp;VAR:SYMBOL=BSFT&amp;VAR:INDEX=0"}</definedName>
    <definedName name="_3877__FDSAUDITLINK__" localSheetId="3" hidden="1">{"fdsup://directions/FAT Viewer?action=UPDATE&amp;creator=factset&amp;DYN_ARGS=TRUE&amp;DOC_NAME=FAT:FQL_AUDITING_CLIENT_TEMPLATE.FAT&amp;display_string=Audit&amp;VAR:KEY=WRENOZKXQT&amp;VAR:QUERY=UkdGX1RBWF9SQVRFKEFOTiwwLCwsLCwsTk9BVURJVCk=&amp;WINDOW=FIRST_POPUP&amp;HEIGHT=450&amp;WIDTH=450&amp;","START_MAXIMIZED=FALSE&amp;VAR:CALENDAR=US&amp;VAR:SYMBOL=BSFT&amp;VAR:INDEX=0"}</definedName>
    <definedName name="_3877__FDSAUDITLINK__" localSheetId="7" hidden="1">{"fdsup://directions/FAT Viewer?action=UPDATE&amp;creator=factset&amp;DYN_ARGS=TRUE&amp;DOC_NAME=FAT:FQL_AUDITING_CLIENT_TEMPLATE.FAT&amp;display_string=Audit&amp;VAR:KEY=WRENOZKXQT&amp;VAR:QUERY=UkdGX1RBWF9SQVRFKEFOTiwwLCwsLCwsTk9BVURJVCk=&amp;WINDOW=FIRST_POPUP&amp;HEIGHT=450&amp;WIDTH=450&amp;","START_MAXIMIZED=FALSE&amp;VAR:CALENDAR=US&amp;VAR:SYMBOL=BSFT&amp;VAR:INDEX=0"}</definedName>
    <definedName name="_3877__FDSAUDITLINK__" hidden="1">{"fdsup://directions/FAT Viewer?action=UPDATE&amp;creator=factset&amp;DYN_ARGS=TRUE&amp;DOC_NAME=FAT:FQL_AUDITING_CLIENT_TEMPLATE.FAT&amp;display_string=Audit&amp;VAR:KEY=WRENOZKXQT&amp;VAR:QUERY=UkdGX1RBWF9SQVRFKEFOTiwwLCwsLCwsTk9BVURJVCk=&amp;WINDOW=FIRST_POPUP&amp;HEIGHT=450&amp;WIDTH=450&amp;","START_MAXIMIZED=FALSE&amp;VAR:CALENDAR=US&amp;VAR:SYMBOL=BSFT&amp;VAR:INDEX=0"}</definedName>
    <definedName name="_3878__FDSAUDITLINK__" localSheetId="3" hidden="1">{"fdsup://directions/FAT Viewer?action=UPDATE&amp;creator=factset&amp;DYN_ARGS=TRUE&amp;DOC_NAME=FAT:FQL_AUDITING_CLIENT_TEMPLATE.FAT&amp;display_string=Audit&amp;VAR:KEY=OVOJONGPAX&amp;VAR:QUERY=UkdGX1RBWF9SQVRFKEFOTiwwLCwsLCwsTk9BVURJVCk=&amp;WINDOW=FIRST_POPUP&amp;HEIGHT=450&amp;WIDTH=450&amp;","START_MAXIMIZED=FALSE&amp;VAR:CALENDAR=US&amp;VAR:SYMBOL=BMC&amp;VAR:INDEX=0"}</definedName>
    <definedName name="_3878__FDSAUDITLINK__" localSheetId="7" hidden="1">{"fdsup://directions/FAT Viewer?action=UPDATE&amp;creator=factset&amp;DYN_ARGS=TRUE&amp;DOC_NAME=FAT:FQL_AUDITING_CLIENT_TEMPLATE.FAT&amp;display_string=Audit&amp;VAR:KEY=OVOJONGPAX&amp;VAR:QUERY=UkdGX1RBWF9SQVRFKEFOTiwwLCwsLCwsTk9BVURJVCk=&amp;WINDOW=FIRST_POPUP&amp;HEIGHT=450&amp;WIDTH=450&amp;","START_MAXIMIZED=FALSE&amp;VAR:CALENDAR=US&amp;VAR:SYMBOL=BMC&amp;VAR:INDEX=0"}</definedName>
    <definedName name="_3878__FDSAUDITLINK__" hidden="1">{"fdsup://directions/FAT Viewer?action=UPDATE&amp;creator=factset&amp;DYN_ARGS=TRUE&amp;DOC_NAME=FAT:FQL_AUDITING_CLIENT_TEMPLATE.FAT&amp;display_string=Audit&amp;VAR:KEY=OVOJONGPAX&amp;VAR:QUERY=UkdGX1RBWF9SQVRFKEFOTiwwLCwsLCwsTk9BVURJVCk=&amp;WINDOW=FIRST_POPUP&amp;HEIGHT=450&amp;WIDTH=450&amp;","START_MAXIMIZED=FALSE&amp;VAR:CALENDAR=US&amp;VAR:SYMBOL=BMC&amp;VAR:INDEX=0"}</definedName>
    <definedName name="_3879__FDSAUDITLINK__" localSheetId="3" hidden="1">{"fdsup://directions/FAT Viewer?action=UPDATE&amp;creator=factset&amp;DYN_ARGS=TRUE&amp;DOC_NAME=FAT:FQL_AUDITING_CLIENT_TEMPLATE.FAT&amp;display_string=Audit&amp;VAR:KEY=OVOJONGPAX&amp;VAR:QUERY=UkdGX1RBWF9SQVRFKEFOTiwwLCwsLCwsTk9BVURJVCk=&amp;WINDOW=FIRST_POPUP&amp;HEIGHT=450&amp;WIDTH=450&amp;","START_MAXIMIZED=FALSE&amp;VAR:CALENDAR=US&amp;VAR:SYMBOL=BMC&amp;VAR:INDEX=0"}</definedName>
    <definedName name="_3879__FDSAUDITLINK__" localSheetId="7" hidden="1">{"fdsup://directions/FAT Viewer?action=UPDATE&amp;creator=factset&amp;DYN_ARGS=TRUE&amp;DOC_NAME=FAT:FQL_AUDITING_CLIENT_TEMPLATE.FAT&amp;display_string=Audit&amp;VAR:KEY=OVOJONGPAX&amp;VAR:QUERY=UkdGX1RBWF9SQVRFKEFOTiwwLCwsLCwsTk9BVURJVCk=&amp;WINDOW=FIRST_POPUP&amp;HEIGHT=450&amp;WIDTH=450&amp;","START_MAXIMIZED=FALSE&amp;VAR:CALENDAR=US&amp;VAR:SYMBOL=BMC&amp;VAR:INDEX=0"}</definedName>
    <definedName name="_3879__FDSAUDITLINK__" hidden="1">{"fdsup://directions/FAT Viewer?action=UPDATE&amp;creator=factset&amp;DYN_ARGS=TRUE&amp;DOC_NAME=FAT:FQL_AUDITING_CLIENT_TEMPLATE.FAT&amp;display_string=Audit&amp;VAR:KEY=OVOJONGPAX&amp;VAR:QUERY=UkdGX1RBWF9SQVRFKEFOTiwwLCwsLCwsTk9BVURJVCk=&amp;WINDOW=FIRST_POPUP&amp;HEIGHT=450&amp;WIDTH=450&amp;","START_MAXIMIZED=FALSE&amp;VAR:CALENDAR=US&amp;VAR:SYMBOL=BMC&amp;VAR:INDEX=0"}</definedName>
    <definedName name="_388__FDSAUDITLINK__" localSheetId="3" hidden="1">{"fdsup://directions/FAT Viewer?action=UPDATE&amp;creator=factset&amp;DYN_ARGS=TRUE&amp;DOC_NAME=FAT:FQL_AUDITING_CLIENT_TEMPLATE.FAT&amp;display_string=Audit&amp;VAR:KEY=NWDMTOLINW&amp;VAR:QUERY=UENUQ0hHKEZGX0FTU0VUUyhBTk4sMCwtOSxZLFJQLExPQ0FMLE0pLEZGX0FTU0VUUyhBTk4sMCAtIDEsLTkgL","SAxLFksUlAsTE9DQUwsTSkp&amp;WINDOW=FIRST_POPUP&amp;HEIGHT=450&amp;WIDTH=450&amp;START_MAXIMIZED=FALSE&amp;VAR:CALENDAR=US&amp;VAR:SYMBOL=B10LQP&amp;VAR:INDEX=3"}</definedName>
    <definedName name="_388__FDSAUDITLINK__" localSheetId="7" hidden="1">{"fdsup://directions/FAT Viewer?action=UPDATE&amp;creator=factset&amp;DYN_ARGS=TRUE&amp;DOC_NAME=FAT:FQL_AUDITING_CLIENT_TEMPLATE.FAT&amp;display_string=Audit&amp;VAR:KEY=NWDMTOLINW&amp;VAR:QUERY=UENUQ0hHKEZGX0FTU0VUUyhBTk4sMCwtOSxZLFJQLExPQ0FMLE0pLEZGX0FTU0VUUyhBTk4sMCAtIDEsLTkgL","SAxLFksUlAsTE9DQUwsTSkp&amp;WINDOW=FIRST_POPUP&amp;HEIGHT=450&amp;WIDTH=450&amp;START_MAXIMIZED=FALSE&amp;VAR:CALENDAR=US&amp;VAR:SYMBOL=B10LQP&amp;VAR:INDEX=3"}</definedName>
    <definedName name="_388__FDSAUDITLINK__" hidden="1">{"fdsup://directions/FAT Viewer?action=UPDATE&amp;creator=factset&amp;DYN_ARGS=TRUE&amp;DOC_NAME=FAT:FQL_AUDITING_CLIENT_TEMPLATE.FAT&amp;display_string=Audit&amp;VAR:KEY=NWDMTOLINW&amp;VAR:QUERY=UENUQ0hHKEZGX0FTU0VUUyhBTk4sMCwtOSxZLFJQLExPQ0FMLE0pLEZGX0FTU0VUUyhBTk4sMCAtIDEsLTkgL","SAxLFksUlAsTE9DQUwsTSkp&amp;WINDOW=FIRST_POPUP&amp;HEIGHT=450&amp;WIDTH=450&amp;START_MAXIMIZED=FALSE&amp;VAR:CALENDAR=US&amp;VAR:SYMBOL=B10LQP&amp;VAR:INDEX=3"}</definedName>
    <definedName name="_3880__FDSAUDITLINK__" localSheetId="3" hidden="1">{"fdsup://directions/FAT Viewer?action=UPDATE&amp;creator=factset&amp;DYN_ARGS=TRUE&amp;DOC_NAME=FAT:FQL_AUDITING_CLIENT_TEMPLATE.FAT&amp;display_string=Audit&amp;VAR:KEY=MRSNYRKNMP&amp;VAR:QUERY=UkdGX1RBWF9SQVRFKEFOTiwwLCwsLCwsTk9BVURJVCk=&amp;WINDOW=FIRST_POPUP&amp;HEIGHT=450&amp;WIDTH=450&amp;","START_MAXIMIZED=FALSE&amp;VAR:CALENDAR=US&amp;VAR:SYMBOL=BCSI&amp;VAR:INDEX=0"}</definedName>
    <definedName name="_3880__FDSAUDITLINK__" localSheetId="7" hidden="1">{"fdsup://directions/FAT Viewer?action=UPDATE&amp;creator=factset&amp;DYN_ARGS=TRUE&amp;DOC_NAME=FAT:FQL_AUDITING_CLIENT_TEMPLATE.FAT&amp;display_string=Audit&amp;VAR:KEY=MRSNYRKNMP&amp;VAR:QUERY=UkdGX1RBWF9SQVRFKEFOTiwwLCwsLCwsTk9BVURJVCk=&amp;WINDOW=FIRST_POPUP&amp;HEIGHT=450&amp;WIDTH=450&amp;","START_MAXIMIZED=FALSE&amp;VAR:CALENDAR=US&amp;VAR:SYMBOL=BCSI&amp;VAR:INDEX=0"}</definedName>
    <definedName name="_3880__FDSAUDITLINK__" hidden="1">{"fdsup://directions/FAT Viewer?action=UPDATE&amp;creator=factset&amp;DYN_ARGS=TRUE&amp;DOC_NAME=FAT:FQL_AUDITING_CLIENT_TEMPLATE.FAT&amp;display_string=Audit&amp;VAR:KEY=MRSNYRKNMP&amp;VAR:QUERY=UkdGX1RBWF9SQVRFKEFOTiwwLCwsLCwsTk9BVURJVCk=&amp;WINDOW=FIRST_POPUP&amp;HEIGHT=450&amp;WIDTH=450&amp;","START_MAXIMIZED=FALSE&amp;VAR:CALENDAR=US&amp;VAR:SYMBOL=BCSI&amp;VAR:INDEX=0"}</definedName>
    <definedName name="_3881__FDSAUDITLINK__" localSheetId="3" hidden="1">{"fdsup://directions/FAT Viewer?action=UPDATE&amp;creator=factset&amp;DYN_ARGS=TRUE&amp;DOC_NAME=FAT:FQL_AUDITING_CLIENT_TEMPLATE.FAT&amp;display_string=Audit&amp;VAR:KEY=MRSNYRKNMP&amp;VAR:QUERY=UkdGX1RBWF9SQVRFKEFOTiwwLCwsLCwsTk9BVURJVCk=&amp;WINDOW=FIRST_POPUP&amp;HEIGHT=450&amp;WIDTH=450&amp;","START_MAXIMIZED=FALSE&amp;VAR:CALENDAR=US&amp;VAR:SYMBOL=BCSI&amp;VAR:INDEX=0"}</definedName>
    <definedName name="_3881__FDSAUDITLINK__" localSheetId="7" hidden="1">{"fdsup://directions/FAT Viewer?action=UPDATE&amp;creator=factset&amp;DYN_ARGS=TRUE&amp;DOC_NAME=FAT:FQL_AUDITING_CLIENT_TEMPLATE.FAT&amp;display_string=Audit&amp;VAR:KEY=MRSNYRKNMP&amp;VAR:QUERY=UkdGX1RBWF9SQVRFKEFOTiwwLCwsLCwsTk9BVURJVCk=&amp;WINDOW=FIRST_POPUP&amp;HEIGHT=450&amp;WIDTH=450&amp;","START_MAXIMIZED=FALSE&amp;VAR:CALENDAR=US&amp;VAR:SYMBOL=BCSI&amp;VAR:INDEX=0"}</definedName>
    <definedName name="_3881__FDSAUDITLINK__" hidden="1">{"fdsup://directions/FAT Viewer?action=UPDATE&amp;creator=factset&amp;DYN_ARGS=TRUE&amp;DOC_NAME=FAT:FQL_AUDITING_CLIENT_TEMPLATE.FAT&amp;display_string=Audit&amp;VAR:KEY=MRSNYRKNMP&amp;VAR:QUERY=UkdGX1RBWF9SQVRFKEFOTiwwLCwsLCwsTk9BVURJVCk=&amp;WINDOW=FIRST_POPUP&amp;HEIGHT=450&amp;WIDTH=450&amp;","START_MAXIMIZED=FALSE&amp;VAR:CALENDAR=US&amp;VAR:SYMBOL=BCSI&amp;VAR:INDEX=0"}</definedName>
    <definedName name="_3882__FDSAUDITLINK__" localSheetId="3" hidden="1">{"fdsup://directions/FAT Viewer?action=UPDATE&amp;creator=factset&amp;DYN_ARGS=TRUE&amp;DOC_NAME=FAT:FQL_AUDITING_CLIENT_TEMPLATE.FAT&amp;display_string=Audit&amp;VAR:KEY=CREDCZMTIF&amp;VAR:QUERY=UkdGX1RBWF9SQVRFKEFOTiwwLCwsLCwsTk9BVURJVCk=&amp;WINDOW=FIRST_POPUP&amp;HEIGHT=450&amp;WIDTH=450&amp;","START_MAXIMIZED=FALSE&amp;VAR:CALENDAR=US&amp;VAR:SYMBOL=BBBB&amp;VAR:INDEX=0"}</definedName>
    <definedName name="_3882__FDSAUDITLINK__" localSheetId="7" hidden="1">{"fdsup://directions/FAT Viewer?action=UPDATE&amp;creator=factset&amp;DYN_ARGS=TRUE&amp;DOC_NAME=FAT:FQL_AUDITING_CLIENT_TEMPLATE.FAT&amp;display_string=Audit&amp;VAR:KEY=CREDCZMTIF&amp;VAR:QUERY=UkdGX1RBWF9SQVRFKEFOTiwwLCwsLCwsTk9BVURJVCk=&amp;WINDOW=FIRST_POPUP&amp;HEIGHT=450&amp;WIDTH=450&amp;","START_MAXIMIZED=FALSE&amp;VAR:CALENDAR=US&amp;VAR:SYMBOL=BBBB&amp;VAR:INDEX=0"}</definedName>
    <definedName name="_3882__FDSAUDITLINK__" hidden="1">{"fdsup://directions/FAT Viewer?action=UPDATE&amp;creator=factset&amp;DYN_ARGS=TRUE&amp;DOC_NAME=FAT:FQL_AUDITING_CLIENT_TEMPLATE.FAT&amp;display_string=Audit&amp;VAR:KEY=CREDCZMTIF&amp;VAR:QUERY=UkdGX1RBWF9SQVRFKEFOTiwwLCwsLCwsTk9BVURJVCk=&amp;WINDOW=FIRST_POPUP&amp;HEIGHT=450&amp;WIDTH=450&amp;","START_MAXIMIZED=FALSE&amp;VAR:CALENDAR=US&amp;VAR:SYMBOL=BBBB&amp;VAR:INDEX=0"}</definedName>
    <definedName name="_3883__FDSAUDITLINK__" localSheetId="3" hidden="1">{"fdsup://directions/FAT Viewer?action=UPDATE&amp;creator=factset&amp;DYN_ARGS=TRUE&amp;DOC_NAME=FAT:FQL_AUDITING_CLIENT_TEMPLATE.FAT&amp;display_string=Audit&amp;VAR:KEY=CREDCZMTIF&amp;VAR:QUERY=UkdGX1RBWF9SQVRFKEFOTiwwLCwsLCwsTk9BVURJVCk=&amp;WINDOW=FIRST_POPUP&amp;HEIGHT=450&amp;WIDTH=450&amp;","START_MAXIMIZED=FALSE&amp;VAR:CALENDAR=US&amp;VAR:SYMBOL=BBBB&amp;VAR:INDEX=0"}</definedName>
    <definedName name="_3883__FDSAUDITLINK__" localSheetId="7" hidden="1">{"fdsup://directions/FAT Viewer?action=UPDATE&amp;creator=factset&amp;DYN_ARGS=TRUE&amp;DOC_NAME=FAT:FQL_AUDITING_CLIENT_TEMPLATE.FAT&amp;display_string=Audit&amp;VAR:KEY=CREDCZMTIF&amp;VAR:QUERY=UkdGX1RBWF9SQVRFKEFOTiwwLCwsLCwsTk9BVURJVCk=&amp;WINDOW=FIRST_POPUP&amp;HEIGHT=450&amp;WIDTH=450&amp;","START_MAXIMIZED=FALSE&amp;VAR:CALENDAR=US&amp;VAR:SYMBOL=BBBB&amp;VAR:INDEX=0"}</definedName>
    <definedName name="_3883__FDSAUDITLINK__" hidden="1">{"fdsup://directions/FAT Viewer?action=UPDATE&amp;creator=factset&amp;DYN_ARGS=TRUE&amp;DOC_NAME=FAT:FQL_AUDITING_CLIENT_TEMPLATE.FAT&amp;display_string=Audit&amp;VAR:KEY=CREDCZMTIF&amp;VAR:QUERY=UkdGX1RBWF9SQVRFKEFOTiwwLCwsLCwsTk9BVURJVCk=&amp;WINDOW=FIRST_POPUP&amp;HEIGHT=450&amp;WIDTH=450&amp;","START_MAXIMIZED=FALSE&amp;VAR:CALENDAR=US&amp;VAR:SYMBOL=BBBB&amp;VAR:INDEX=0"}</definedName>
    <definedName name="_3884__FDSAUDITLINK__" localSheetId="3" hidden="1">{"fdsup://directions/FAT Viewer?action=UPDATE&amp;creator=factset&amp;DYN_ARGS=TRUE&amp;DOC_NAME=FAT:FQL_AUDITING_CLIENT_TEMPLATE.FAT&amp;display_string=Audit&amp;VAR:KEY=UHKDAFEZAV&amp;VAR:QUERY=UkdGX1RBWF9SQVRFKEFOTiwwLCwsLCwsTk9BVURJVCk=&amp;WINDOW=FIRST_POPUP&amp;HEIGHT=450&amp;WIDTH=450&amp;","START_MAXIMIZED=FALSE&amp;VAR:CALENDAR=US&amp;VAR:SYMBOL=BLKB&amp;VAR:INDEX=0"}</definedName>
    <definedName name="_3884__FDSAUDITLINK__" localSheetId="7" hidden="1">{"fdsup://directions/FAT Viewer?action=UPDATE&amp;creator=factset&amp;DYN_ARGS=TRUE&amp;DOC_NAME=FAT:FQL_AUDITING_CLIENT_TEMPLATE.FAT&amp;display_string=Audit&amp;VAR:KEY=UHKDAFEZAV&amp;VAR:QUERY=UkdGX1RBWF9SQVRFKEFOTiwwLCwsLCwsTk9BVURJVCk=&amp;WINDOW=FIRST_POPUP&amp;HEIGHT=450&amp;WIDTH=450&amp;","START_MAXIMIZED=FALSE&amp;VAR:CALENDAR=US&amp;VAR:SYMBOL=BLKB&amp;VAR:INDEX=0"}</definedName>
    <definedName name="_3884__FDSAUDITLINK__" hidden="1">{"fdsup://directions/FAT Viewer?action=UPDATE&amp;creator=factset&amp;DYN_ARGS=TRUE&amp;DOC_NAME=FAT:FQL_AUDITING_CLIENT_TEMPLATE.FAT&amp;display_string=Audit&amp;VAR:KEY=UHKDAFEZAV&amp;VAR:QUERY=UkdGX1RBWF9SQVRFKEFOTiwwLCwsLCwsTk9BVURJVCk=&amp;WINDOW=FIRST_POPUP&amp;HEIGHT=450&amp;WIDTH=450&amp;","START_MAXIMIZED=FALSE&amp;VAR:CALENDAR=US&amp;VAR:SYMBOL=BLKB&amp;VAR:INDEX=0"}</definedName>
    <definedName name="_3885__FDSAUDITLINK__" localSheetId="3" hidden="1">{"fdsup://directions/FAT Viewer?action=UPDATE&amp;creator=factset&amp;DYN_ARGS=TRUE&amp;DOC_NAME=FAT:FQL_AUDITING_CLIENT_TEMPLATE.FAT&amp;display_string=Audit&amp;VAR:KEY=UHKDAFEZAV&amp;VAR:QUERY=UkdGX1RBWF9SQVRFKEFOTiwwLCwsLCwsTk9BVURJVCk=&amp;WINDOW=FIRST_POPUP&amp;HEIGHT=450&amp;WIDTH=450&amp;","START_MAXIMIZED=FALSE&amp;VAR:CALENDAR=US&amp;VAR:SYMBOL=BLKB&amp;VAR:INDEX=0"}</definedName>
    <definedName name="_3885__FDSAUDITLINK__" localSheetId="7" hidden="1">{"fdsup://directions/FAT Viewer?action=UPDATE&amp;creator=factset&amp;DYN_ARGS=TRUE&amp;DOC_NAME=FAT:FQL_AUDITING_CLIENT_TEMPLATE.FAT&amp;display_string=Audit&amp;VAR:KEY=UHKDAFEZAV&amp;VAR:QUERY=UkdGX1RBWF9SQVRFKEFOTiwwLCwsLCwsTk9BVURJVCk=&amp;WINDOW=FIRST_POPUP&amp;HEIGHT=450&amp;WIDTH=450&amp;","START_MAXIMIZED=FALSE&amp;VAR:CALENDAR=US&amp;VAR:SYMBOL=BLKB&amp;VAR:INDEX=0"}</definedName>
    <definedName name="_3885__FDSAUDITLINK__" hidden="1">{"fdsup://directions/FAT Viewer?action=UPDATE&amp;creator=factset&amp;DYN_ARGS=TRUE&amp;DOC_NAME=FAT:FQL_AUDITING_CLIENT_TEMPLATE.FAT&amp;display_string=Audit&amp;VAR:KEY=UHKDAFEZAV&amp;VAR:QUERY=UkdGX1RBWF9SQVRFKEFOTiwwLCwsLCwsTk9BVURJVCk=&amp;WINDOW=FIRST_POPUP&amp;HEIGHT=450&amp;WIDTH=450&amp;","START_MAXIMIZED=FALSE&amp;VAR:CALENDAR=US&amp;VAR:SYMBOL=BLKB&amp;VAR:INDEX=0"}</definedName>
    <definedName name="_3886__FDSAUDITLINK__" localSheetId="3" hidden="1">{"fdsup://directions/FAT Viewer?action=UPDATE&amp;creator=factset&amp;DYN_ARGS=TRUE&amp;DOC_NAME=FAT:FQL_AUDITING_CLIENT_TEMPLATE.FAT&amp;display_string=Audit&amp;VAR:KEY=URMPMJKHAF&amp;VAR:QUERY=UkdGX1RBWF9SQVRFKEFOTiwwLCwsLCwsTk9BVURJVCk=&amp;WINDOW=FIRST_POPUP&amp;HEIGHT=450&amp;WIDTH=450&amp;","START_MAXIMIZED=FALSE&amp;VAR:CALENDAR=US&amp;VAR:SYMBOL=586161&amp;VAR:INDEX=0"}</definedName>
    <definedName name="_3886__FDSAUDITLINK__" localSheetId="7" hidden="1">{"fdsup://directions/FAT Viewer?action=UPDATE&amp;creator=factset&amp;DYN_ARGS=TRUE&amp;DOC_NAME=FAT:FQL_AUDITING_CLIENT_TEMPLATE.FAT&amp;display_string=Audit&amp;VAR:KEY=URMPMJKHAF&amp;VAR:QUERY=UkdGX1RBWF9SQVRFKEFOTiwwLCwsLCwsTk9BVURJVCk=&amp;WINDOW=FIRST_POPUP&amp;HEIGHT=450&amp;WIDTH=450&amp;","START_MAXIMIZED=FALSE&amp;VAR:CALENDAR=US&amp;VAR:SYMBOL=586161&amp;VAR:INDEX=0"}</definedName>
    <definedName name="_3886__FDSAUDITLINK__" hidden="1">{"fdsup://directions/FAT Viewer?action=UPDATE&amp;creator=factset&amp;DYN_ARGS=TRUE&amp;DOC_NAME=FAT:FQL_AUDITING_CLIENT_TEMPLATE.FAT&amp;display_string=Audit&amp;VAR:KEY=URMPMJKHAF&amp;VAR:QUERY=UkdGX1RBWF9SQVRFKEFOTiwwLCwsLCwsTk9BVURJVCk=&amp;WINDOW=FIRST_POPUP&amp;HEIGHT=450&amp;WIDTH=450&amp;","START_MAXIMIZED=FALSE&amp;VAR:CALENDAR=US&amp;VAR:SYMBOL=586161&amp;VAR:INDEX=0"}</definedName>
    <definedName name="_3887__FDSAUDITLINK__" localSheetId="3" hidden="1">{"fdsup://directions/FAT Viewer?action=UPDATE&amp;creator=factset&amp;DYN_ARGS=TRUE&amp;DOC_NAME=FAT:FQL_AUDITING_CLIENT_TEMPLATE.FAT&amp;display_string=Audit&amp;VAR:KEY=GVOHGXEBAT&amp;VAR:QUERY=UkdGX1RBWF9SQVRFKEFOTiwwLCwsLCwsTk9BVURJVCk=&amp;WINDOW=FIRST_POPUP&amp;HEIGHT=450&amp;WIDTH=450&amp;","START_MAXIMIZED=FALSE&amp;VAR:CALENDAR=US&amp;VAR:SYMBOL=AVID&amp;VAR:INDEX=0"}</definedName>
    <definedName name="_3887__FDSAUDITLINK__" localSheetId="7" hidden="1">{"fdsup://directions/FAT Viewer?action=UPDATE&amp;creator=factset&amp;DYN_ARGS=TRUE&amp;DOC_NAME=FAT:FQL_AUDITING_CLIENT_TEMPLATE.FAT&amp;display_string=Audit&amp;VAR:KEY=GVOHGXEBAT&amp;VAR:QUERY=UkdGX1RBWF9SQVRFKEFOTiwwLCwsLCwsTk9BVURJVCk=&amp;WINDOW=FIRST_POPUP&amp;HEIGHT=450&amp;WIDTH=450&amp;","START_MAXIMIZED=FALSE&amp;VAR:CALENDAR=US&amp;VAR:SYMBOL=AVID&amp;VAR:INDEX=0"}</definedName>
    <definedName name="_3887__FDSAUDITLINK__" hidden="1">{"fdsup://directions/FAT Viewer?action=UPDATE&amp;creator=factset&amp;DYN_ARGS=TRUE&amp;DOC_NAME=FAT:FQL_AUDITING_CLIENT_TEMPLATE.FAT&amp;display_string=Audit&amp;VAR:KEY=GVOHGXEBAT&amp;VAR:QUERY=UkdGX1RBWF9SQVRFKEFOTiwwLCwsLCwsTk9BVURJVCk=&amp;WINDOW=FIRST_POPUP&amp;HEIGHT=450&amp;WIDTH=450&amp;","START_MAXIMIZED=FALSE&amp;VAR:CALENDAR=US&amp;VAR:SYMBOL=AVID&amp;VAR:INDEX=0"}</definedName>
    <definedName name="_3888__FDSAUDITLINK__" localSheetId="3" hidden="1">{"fdsup://directions/FAT Viewer?action=UPDATE&amp;creator=factset&amp;DYN_ARGS=TRUE&amp;DOC_NAME=FAT:FQL_AUDITING_CLIENT_TEMPLATE.FAT&amp;display_string=Audit&amp;VAR:KEY=MHGTUZSHWH&amp;VAR:QUERY=UkdGX1RBWF9SQVRFKEFOTiwwLCwsLCwsTk9BVURJVCk=&amp;WINDOW=FIRST_POPUP&amp;HEIGHT=450&amp;WIDTH=450&amp;","START_MAXIMIZED=FALSE&amp;VAR:CALENDAR=US&amp;VAR:SYMBOL=B15CMQ&amp;VAR:INDEX=0"}</definedName>
    <definedName name="_3888__FDSAUDITLINK__" localSheetId="7" hidden="1">{"fdsup://directions/FAT Viewer?action=UPDATE&amp;creator=factset&amp;DYN_ARGS=TRUE&amp;DOC_NAME=FAT:FQL_AUDITING_CLIENT_TEMPLATE.FAT&amp;display_string=Audit&amp;VAR:KEY=MHGTUZSHWH&amp;VAR:QUERY=UkdGX1RBWF9SQVRFKEFOTiwwLCwsLCwsTk9BVURJVCk=&amp;WINDOW=FIRST_POPUP&amp;HEIGHT=450&amp;WIDTH=450&amp;","START_MAXIMIZED=FALSE&amp;VAR:CALENDAR=US&amp;VAR:SYMBOL=B15CMQ&amp;VAR:INDEX=0"}</definedName>
    <definedName name="_3888__FDSAUDITLINK__" hidden="1">{"fdsup://directions/FAT Viewer?action=UPDATE&amp;creator=factset&amp;DYN_ARGS=TRUE&amp;DOC_NAME=FAT:FQL_AUDITING_CLIENT_TEMPLATE.FAT&amp;display_string=Audit&amp;VAR:KEY=MHGTUZSHWH&amp;VAR:QUERY=UkdGX1RBWF9SQVRFKEFOTiwwLCwsLCwsTk9BVURJVCk=&amp;WINDOW=FIRST_POPUP&amp;HEIGHT=450&amp;WIDTH=450&amp;","START_MAXIMIZED=FALSE&amp;VAR:CALENDAR=US&amp;VAR:SYMBOL=B15CMQ&amp;VAR:INDEX=0"}</definedName>
    <definedName name="_3889__FDSAUDITLINK__" localSheetId="3" hidden="1">{"fdsup://directions/FAT Viewer?action=UPDATE&amp;creator=factset&amp;DYN_ARGS=TRUE&amp;DOC_NAME=FAT:FQL_AUDITING_CLIENT_TEMPLATE.FAT&amp;display_string=Audit&amp;VAR:KEY=MHGTUZSHWH&amp;VAR:QUERY=UkdGX1RBWF9SQVRFKEFOTiwwLCwsLCwsTk9BVURJVCk=&amp;WINDOW=FIRST_POPUP&amp;HEIGHT=450&amp;WIDTH=450&amp;","START_MAXIMIZED=FALSE&amp;VAR:CALENDAR=US&amp;VAR:SYMBOL=B15CMQ&amp;VAR:INDEX=0"}</definedName>
    <definedName name="_3889__FDSAUDITLINK__" localSheetId="7" hidden="1">{"fdsup://directions/FAT Viewer?action=UPDATE&amp;creator=factset&amp;DYN_ARGS=TRUE&amp;DOC_NAME=FAT:FQL_AUDITING_CLIENT_TEMPLATE.FAT&amp;display_string=Audit&amp;VAR:KEY=MHGTUZSHWH&amp;VAR:QUERY=UkdGX1RBWF9SQVRFKEFOTiwwLCwsLCwsTk9BVURJVCk=&amp;WINDOW=FIRST_POPUP&amp;HEIGHT=450&amp;WIDTH=450&amp;","START_MAXIMIZED=FALSE&amp;VAR:CALENDAR=US&amp;VAR:SYMBOL=B15CMQ&amp;VAR:INDEX=0"}</definedName>
    <definedName name="_3889__FDSAUDITLINK__" hidden="1">{"fdsup://directions/FAT Viewer?action=UPDATE&amp;creator=factset&amp;DYN_ARGS=TRUE&amp;DOC_NAME=FAT:FQL_AUDITING_CLIENT_TEMPLATE.FAT&amp;display_string=Audit&amp;VAR:KEY=MHGTUZSHWH&amp;VAR:QUERY=UkdGX1RBWF9SQVRFKEFOTiwwLCwsLCwsTk9BVURJVCk=&amp;WINDOW=FIRST_POPUP&amp;HEIGHT=450&amp;WIDTH=450&amp;","START_MAXIMIZED=FALSE&amp;VAR:CALENDAR=US&amp;VAR:SYMBOL=B15CMQ&amp;VAR:INDEX=0"}</definedName>
    <definedName name="_389__FDSAUDITLINK__" localSheetId="3" hidden="1">{"fdsup://directions/FAT Viewer?action=UPDATE&amp;creator=factset&amp;DYN_ARGS=TRUE&amp;DOC_NAME=FAT:FQL_AUDITING_CLIENT_TEMPLATE.FAT&amp;display_string=Audit&amp;VAR:KEY=NWDMTOLINW&amp;VAR:QUERY=UENUQ0hHKEZGX0FTU0VUUyhBTk4sMCwtOSxZLFJQLExPQ0FMLE0pLEZGX0FTU0VUUyhBTk4sMCAtIDEsLTkgL","SAxLFksUlAsTE9DQUwsTSkp&amp;WINDOW=FIRST_POPUP&amp;HEIGHT=450&amp;WIDTH=450&amp;START_MAXIMIZED=FALSE&amp;VAR:CALENDAR=US&amp;VAR:SYMBOL=B10LQP&amp;VAR:INDEX=2"}</definedName>
    <definedName name="_389__FDSAUDITLINK__" localSheetId="7" hidden="1">{"fdsup://directions/FAT Viewer?action=UPDATE&amp;creator=factset&amp;DYN_ARGS=TRUE&amp;DOC_NAME=FAT:FQL_AUDITING_CLIENT_TEMPLATE.FAT&amp;display_string=Audit&amp;VAR:KEY=NWDMTOLINW&amp;VAR:QUERY=UENUQ0hHKEZGX0FTU0VUUyhBTk4sMCwtOSxZLFJQLExPQ0FMLE0pLEZGX0FTU0VUUyhBTk4sMCAtIDEsLTkgL","SAxLFksUlAsTE9DQUwsTSkp&amp;WINDOW=FIRST_POPUP&amp;HEIGHT=450&amp;WIDTH=450&amp;START_MAXIMIZED=FALSE&amp;VAR:CALENDAR=US&amp;VAR:SYMBOL=B10LQP&amp;VAR:INDEX=2"}</definedName>
    <definedName name="_389__FDSAUDITLINK__" hidden="1">{"fdsup://directions/FAT Viewer?action=UPDATE&amp;creator=factset&amp;DYN_ARGS=TRUE&amp;DOC_NAME=FAT:FQL_AUDITING_CLIENT_TEMPLATE.FAT&amp;display_string=Audit&amp;VAR:KEY=NWDMTOLINW&amp;VAR:QUERY=UENUQ0hHKEZGX0FTU0VUUyhBTk4sMCwtOSxZLFJQLExPQ0FMLE0pLEZGX0FTU0VUUyhBTk4sMCAtIDEsLTkgL","SAxLFksUlAsTE9DQUwsTSkp&amp;WINDOW=FIRST_POPUP&amp;HEIGHT=450&amp;WIDTH=450&amp;START_MAXIMIZED=FALSE&amp;VAR:CALENDAR=US&amp;VAR:SYMBOL=B10LQP&amp;VAR:INDEX=2"}</definedName>
    <definedName name="_3890__FDSAUDITLINK__" localSheetId="3" hidden="1">{"fdsup://directions/FAT Viewer?action=UPDATE&amp;creator=factset&amp;DYN_ARGS=TRUE&amp;DOC_NAME=FAT:FQL_AUDITING_CLIENT_TEMPLATE.FAT&amp;display_string=Audit&amp;VAR:KEY=UTKFYPKZOZ&amp;VAR:QUERY=UkdGX1RBWF9SQVRFKEFOTiwwLCwsLCwsTk9BVURJVCk=&amp;WINDOW=FIRST_POPUP&amp;HEIGHT=450&amp;WIDTH=450&amp;","START_MAXIMIZED=FALSE&amp;VAR:CALENDAR=US&amp;VAR:SYMBOL=011827&amp;VAR:INDEX=0"}</definedName>
    <definedName name="_3890__FDSAUDITLINK__" localSheetId="7" hidden="1">{"fdsup://directions/FAT Viewer?action=UPDATE&amp;creator=factset&amp;DYN_ARGS=TRUE&amp;DOC_NAME=FAT:FQL_AUDITING_CLIENT_TEMPLATE.FAT&amp;display_string=Audit&amp;VAR:KEY=UTKFYPKZOZ&amp;VAR:QUERY=UkdGX1RBWF9SQVRFKEFOTiwwLCwsLCwsTk9BVURJVCk=&amp;WINDOW=FIRST_POPUP&amp;HEIGHT=450&amp;WIDTH=450&amp;","START_MAXIMIZED=FALSE&amp;VAR:CALENDAR=US&amp;VAR:SYMBOL=011827&amp;VAR:INDEX=0"}</definedName>
    <definedName name="_3890__FDSAUDITLINK__" hidden="1">{"fdsup://directions/FAT Viewer?action=UPDATE&amp;creator=factset&amp;DYN_ARGS=TRUE&amp;DOC_NAME=FAT:FQL_AUDITING_CLIENT_TEMPLATE.FAT&amp;display_string=Audit&amp;VAR:KEY=UTKFYPKZOZ&amp;VAR:QUERY=UkdGX1RBWF9SQVRFKEFOTiwwLCwsLCwsTk9BVURJVCk=&amp;WINDOW=FIRST_POPUP&amp;HEIGHT=450&amp;WIDTH=450&amp;","START_MAXIMIZED=FALSE&amp;VAR:CALENDAR=US&amp;VAR:SYMBOL=011827&amp;VAR:INDEX=0"}</definedName>
    <definedName name="_3891__FDSAUDITLINK__" localSheetId="3" hidden="1">{"fdsup://directions/FAT Viewer?action=UPDATE&amp;creator=factset&amp;DYN_ARGS=TRUE&amp;DOC_NAME=FAT:FQL_AUDITING_CLIENT_TEMPLATE.FAT&amp;display_string=Audit&amp;VAR:KEY=UTKFYPKZOZ&amp;VAR:QUERY=UkdGX1RBWF9SQVRFKEFOTiwwLCwsLCwsTk9BVURJVCk=&amp;WINDOW=FIRST_POPUP&amp;HEIGHT=450&amp;WIDTH=450&amp;","START_MAXIMIZED=FALSE&amp;VAR:CALENDAR=US&amp;VAR:SYMBOL=011827&amp;VAR:INDEX=0"}</definedName>
    <definedName name="_3891__FDSAUDITLINK__" localSheetId="7" hidden="1">{"fdsup://directions/FAT Viewer?action=UPDATE&amp;creator=factset&amp;DYN_ARGS=TRUE&amp;DOC_NAME=FAT:FQL_AUDITING_CLIENT_TEMPLATE.FAT&amp;display_string=Audit&amp;VAR:KEY=UTKFYPKZOZ&amp;VAR:QUERY=UkdGX1RBWF9SQVRFKEFOTiwwLCwsLCwsTk9BVURJVCk=&amp;WINDOW=FIRST_POPUP&amp;HEIGHT=450&amp;WIDTH=450&amp;","START_MAXIMIZED=FALSE&amp;VAR:CALENDAR=US&amp;VAR:SYMBOL=011827&amp;VAR:INDEX=0"}</definedName>
    <definedName name="_3891__FDSAUDITLINK__" hidden="1">{"fdsup://directions/FAT Viewer?action=UPDATE&amp;creator=factset&amp;DYN_ARGS=TRUE&amp;DOC_NAME=FAT:FQL_AUDITING_CLIENT_TEMPLATE.FAT&amp;display_string=Audit&amp;VAR:KEY=UTKFYPKZOZ&amp;VAR:QUERY=UkdGX1RBWF9SQVRFKEFOTiwwLCwsLCwsTk9BVURJVCk=&amp;WINDOW=FIRST_POPUP&amp;HEIGHT=450&amp;WIDTH=450&amp;","START_MAXIMIZED=FALSE&amp;VAR:CALENDAR=US&amp;VAR:SYMBOL=011827&amp;VAR:INDEX=0"}</definedName>
    <definedName name="_3892__FDSAUDITLINK__" localSheetId="3" hidden="1">{"fdsup://directions/FAT Viewer?action=UPDATE&amp;creator=factset&amp;DYN_ARGS=TRUE&amp;DOC_NAME=FAT:FQL_AUDITING_CLIENT_TEMPLATE.FAT&amp;display_string=Audit&amp;VAR:KEY=QROHSZGVER&amp;VAR:QUERY=UkdGX1RBWF9SQVRFKEFOTiwwLCwsLCwsTk9BVURJVCk=&amp;WINDOW=FIRST_POPUP&amp;HEIGHT=450&amp;WIDTH=450&amp;","START_MAXIMIZED=FALSE&amp;VAR:CALENDAR=US&amp;VAR:SYMBOL=ADSK&amp;VAR:INDEX=0"}</definedName>
    <definedName name="_3892__FDSAUDITLINK__" localSheetId="7" hidden="1">{"fdsup://directions/FAT Viewer?action=UPDATE&amp;creator=factset&amp;DYN_ARGS=TRUE&amp;DOC_NAME=FAT:FQL_AUDITING_CLIENT_TEMPLATE.FAT&amp;display_string=Audit&amp;VAR:KEY=QROHSZGVER&amp;VAR:QUERY=UkdGX1RBWF9SQVRFKEFOTiwwLCwsLCwsTk9BVURJVCk=&amp;WINDOW=FIRST_POPUP&amp;HEIGHT=450&amp;WIDTH=450&amp;","START_MAXIMIZED=FALSE&amp;VAR:CALENDAR=US&amp;VAR:SYMBOL=ADSK&amp;VAR:INDEX=0"}</definedName>
    <definedName name="_3892__FDSAUDITLINK__" hidden="1">{"fdsup://directions/FAT Viewer?action=UPDATE&amp;creator=factset&amp;DYN_ARGS=TRUE&amp;DOC_NAME=FAT:FQL_AUDITING_CLIENT_TEMPLATE.FAT&amp;display_string=Audit&amp;VAR:KEY=QROHSZGVER&amp;VAR:QUERY=UkdGX1RBWF9SQVRFKEFOTiwwLCwsLCwsTk9BVURJVCk=&amp;WINDOW=FIRST_POPUP&amp;HEIGHT=450&amp;WIDTH=450&amp;","START_MAXIMIZED=FALSE&amp;VAR:CALENDAR=US&amp;VAR:SYMBOL=ADSK&amp;VAR:INDEX=0"}</definedName>
    <definedName name="_3893__FDSAUDITLINK__" localSheetId="3" hidden="1">{"fdsup://directions/FAT Viewer?action=UPDATE&amp;creator=factset&amp;DYN_ARGS=TRUE&amp;DOC_NAME=FAT:FQL_AUDITING_CLIENT_TEMPLATE.FAT&amp;display_string=Audit&amp;VAR:KEY=QROHSZGVER&amp;VAR:QUERY=UkdGX1RBWF9SQVRFKEFOTiwwLCwsLCwsTk9BVURJVCk=&amp;WINDOW=FIRST_POPUP&amp;HEIGHT=450&amp;WIDTH=450&amp;","START_MAXIMIZED=FALSE&amp;VAR:CALENDAR=US&amp;VAR:SYMBOL=ADSK&amp;VAR:INDEX=0"}</definedName>
    <definedName name="_3893__FDSAUDITLINK__" localSheetId="7" hidden="1">{"fdsup://directions/FAT Viewer?action=UPDATE&amp;creator=factset&amp;DYN_ARGS=TRUE&amp;DOC_NAME=FAT:FQL_AUDITING_CLIENT_TEMPLATE.FAT&amp;display_string=Audit&amp;VAR:KEY=QROHSZGVER&amp;VAR:QUERY=UkdGX1RBWF9SQVRFKEFOTiwwLCwsLCwsTk9BVURJVCk=&amp;WINDOW=FIRST_POPUP&amp;HEIGHT=450&amp;WIDTH=450&amp;","START_MAXIMIZED=FALSE&amp;VAR:CALENDAR=US&amp;VAR:SYMBOL=ADSK&amp;VAR:INDEX=0"}</definedName>
    <definedName name="_3893__FDSAUDITLINK__" hidden="1">{"fdsup://directions/FAT Viewer?action=UPDATE&amp;creator=factset&amp;DYN_ARGS=TRUE&amp;DOC_NAME=FAT:FQL_AUDITING_CLIENT_TEMPLATE.FAT&amp;display_string=Audit&amp;VAR:KEY=QROHSZGVER&amp;VAR:QUERY=UkdGX1RBWF9SQVRFKEFOTiwwLCwsLCwsTk9BVURJVCk=&amp;WINDOW=FIRST_POPUP&amp;HEIGHT=450&amp;WIDTH=450&amp;","START_MAXIMIZED=FALSE&amp;VAR:CALENDAR=US&amp;VAR:SYMBOL=ADSK&amp;VAR:INDEX=0"}</definedName>
    <definedName name="_3894__FDSAUDITLINK__" localSheetId="3" hidden="1">{"fdsup://directions/FAT Viewer?action=UPDATE&amp;creator=factset&amp;DYN_ARGS=TRUE&amp;DOC_NAME=FAT:FQL_AUDITING_CLIENT_TEMPLATE.FAT&amp;display_string=Audit&amp;VAR:KEY=IVGFSDKJUB&amp;VAR:QUERY=UkdGX1RBWF9SQVRFKEFOTiwwLCwsLCwsTk9BVURJVCk=&amp;WINDOW=FIRST_POPUP&amp;HEIGHT=450&amp;WIDTH=450&amp;","START_MAXIMIZED=FALSE&amp;VAR:CALENDAR=US&amp;VAR:SYMBOL=ATHN&amp;VAR:INDEX=0"}</definedName>
    <definedName name="_3894__FDSAUDITLINK__" localSheetId="7" hidden="1">{"fdsup://directions/FAT Viewer?action=UPDATE&amp;creator=factset&amp;DYN_ARGS=TRUE&amp;DOC_NAME=FAT:FQL_AUDITING_CLIENT_TEMPLATE.FAT&amp;display_string=Audit&amp;VAR:KEY=IVGFSDKJUB&amp;VAR:QUERY=UkdGX1RBWF9SQVRFKEFOTiwwLCwsLCwsTk9BVURJVCk=&amp;WINDOW=FIRST_POPUP&amp;HEIGHT=450&amp;WIDTH=450&amp;","START_MAXIMIZED=FALSE&amp;VAR:CALENDAR=US&amp;VAR:SYMBOL=ATHN&amp;VAR:INDEX=0"}</definedName>
    <definedName name="_3894__FDSAUDITLINK__" hidden="1">{"fdsup://directions/FAT Viewer?action=UPDATE&amp;creator=factset&amp;DYN_ARGS=TRUE&amp;DOC_NAME=FAT:FQL_AUDITING_CLIENT_TEMPLATE.FAT&amp;display_string=Audit&amp;VAR:KEY=IVGFSDKJUB&amp;VAR:QUERY=UkdGX1RBWF9SQVRFKEFOTiwwLCwsLCwsTk9BVURJVCk=&amp;WINDOW=FIRST_POPUP&amp;HEIGHT=450&amp;WIDTH=450&amp;","START_MAXIMIZED=FALSE&amp;VAR:CALENDAR=US&amp;VAR:SYMBOL=ATHN&amp;VAR:INDEX=0"}</definedName>
    <definedName name="_3895__FDSAUDITLINK__" localSheetId="3" hidden="1">{"fdsup://directions/FAT Viewer?action=UPDATE&amp;creator=factset&amp;DYN_ARGS=TRUE&amp;DOC_NAME=FAT:FQL_AUDITING_CLIENT_TEMPLATE.FAT&amp;display_string=Audit&amp;VAR:KEY=IVGFSDKJUB&amp;VAR:QUERY=UkdGX1RBWF9SQVRFKEFOTiwwLCwsLCwsTk9BVURJVCk=&amp;WINDOW=FIRST_POPUP&amp;HEIGHT=450&amp;WIDTH=450&amp;","START_MAXIMIZED=FALSE&amp;VAR:CALENDAR=US&amp;VAR:SYMBOL=ATHN&amp;VAR:INDEX=0"}</definedName>
    <definedName name="_3895__FDSAUDITLINK__" localSheetId="7" hidden="1">{"fdsup://directions/FAT Viewer?action=UPDATE&amp;creator=factset&amp;DYN_ARGS=TRUE&amp;DOC_NAME=FAT:FQL_AUDITING_CLIENT_TEMPLATE.FAT&amp;display_string=Audit&amp;VAR:KEY=IVGFSDKJUB&amp;VAR:QUERY=UkdGX1RBWF9SQVRFKEFOTiwwLCwsLCwsTk9BVURJVCk=&amp;WINDOW=FIRST_POPUP&amp;HEIGHT=450&amp;WIDTH=450&amp;","START_MAXIMIZED=FALSE&amp;VAR:CALENDAR=US&amp;VAR:SYMBOL=ATHN&amp;VAR:INDEX=0"}</definedName>
    <definedName name="_3895__FDSAUDITLINK__" hidden="1">{"fdsup://directions/FAT Viewer?action=UPDATE&amp;creator=factset&amp;DYN_ARGS=TRUE&amp;DOC_NAME=FAT:FQL_AUDITING_CLIENT_TEMPLATE.FAT&amp;display_string=Audit&amp;VAR:KEY=IVGFSDKJUB&amp;VAR:QUERY=UkdGX1RBWF9SQVRFKEFOTiwwLCwsLCwsTk9BVURJVCk=&amp;WINDOW=FIRST_POPUP&amp;HEIGHT=450&amp;WIDTH=450&amp;","START_MAXIMIZED=FALSE&amp;VAR:CALENDAR=US&amp;VAR:SYMBOL=ATHN&amp;VAR:INDEX=0"}</definedName>
    <definedName name="_3896__FDSAUDITLINK__" localSheetId="3" hidden="1">{"fdsup://directions/FAT Viewer?action=UPDATE&amp;creator=factset&amp;DYN_ARGS=TRUE&amp;DOC_NAME=FAT:FQL_AUDITING_CLIENT_TEMPLATE.FAT&amp;display_string=Audit&amp;VAR:KEY=ODKROBKBAT&amp;VAR:QUERY=UkdGX1RBWF9SQVRFKEFOTiwwLCwsLCwsTk9BVURJVCk=&amp;WINDOW=FIRST_POPUP&amp;HEIGHT=450&amp;WIDTH=450&amp;","START_MAXIMIZED=FALSE&amp;VAR:CALENDAR=US&amp;VAR:SYMBOL=AZPN&amp;VAR:INDEX=0"}</definedName>
    <definedName name="_3896__FDSAUDITLINK__" localSheetId="7" hidden="1">{"fdsup://directions/FAT Viewer?action=UPDATE&amp;creator=factset&amp;DYN_ARGS=TRUE&amp;DOC_NAME=FAT:FQL_AUDITING_CLIENT_TEMPLATE.FAT&amp;display_string=Audit&amp;VAR:KEY=ODKROBKBAT&amp;VAR:QUERY=UkdGX1RBWF9SQVRFKEFOTiwwLCwsLCwsTk9BVURJVCk=&amp;WINDOW=FIRST_POPUP&amp;HEIGHT=450&amp;WIDTH=450&amp;","START_MAXIMIZED=FALSE&amp;VAR:CALENDAR=US&amp;VAR:SYMBOL=AZPN&amp;VAR:INDEX=0"}</definedName>
    <definedName name="_3896__FDSAUDITLINK__" hidden="1">{"fdsup://directions/FAT Viewer?action=UPDATE&amp;creator=factset&amp;DYN_ARGS=TRUE&amp;DOC_NAME=FAT:FQL_AUDITING_CLIENT_TEMPLATE.FAT&amp;display_string=Audit&amp;VAR:KEY=ODKROBKBAT&amp;VAR:QUERY=UkdGX1RBWF9SQVRFKEFOTiwwLCwsLCwsTk9BVURJVCk=&amp;WINDOW=FIRST_POPUP&amp;HEIGHT=450&amp;WIDTH=450&amp;","START_MAXIMIZED=FALSE&amp;VAR:CALENDAR=US&amp;VAR:SYMBOL=AZPN&amp;VAR:INDEX=0"}</definedName>
    <definedName name="_3897__FDSAUDITLINK__" localSheetId="3" hidden="1">{"fdsup://directions/FAT Viewer?action=UPDATE&amp;creator=factset&amp;DYN_ARGS=TRUE&amp;DOC_NAME=FAT:FQL_AUDITING_CLIENT_TEMPLATE.FAT&amp;display_string=Audit&amp;VAR:KEY=GPSHWHURQP&amp;VAR:QUERY=UkdGX1RBWF9SQVRFKEFOTiwwLCwsLCwsTk9BVURJVCk=&amp;WINDOW=FIRST_POPUP&amp;HEIGHT=450&amp;WIDTH=450&amp;","START_MAXIMIZED=FALSE&amp;VAR:CALENDAR=US&amp;VAR:SYMBOL=ARTG&amp;VAR:INDEX=0"}</definedName>
    <definedName name="_3897__FDSAUDITLINK__" localSheetId="7" hidden="1">{"fdsup://directions/FAT Viewer?action=UPDATE&amp;creator=factset&amp;DYN_ARGS=TRUE&amp;DOC_NAME=FAT:FQL_AUDITING_CLIENT_TEMPLATE.FAT&amp;display_string=Audit&amp;VAR:KEY=GPSHWHURQP&amp;VAR:QUERY=UkdGX1RBWF9SQVRFKEFOTiwwLCwsLCwsTk9BVURJVCk=&amp;WINDOW=FIRST_POPUP&amp;HEIGHT=450&amp;WIDTH=450&amp;","START_MAXIMIZED=FALSE&amp;VAR:CALENDAR=US&amp;VAR:SYMBOL=ARTG&amp;VAR:INDEX=0"}</definedName>
    <definedName name="_3897__FDSAUDITLINK__" hidden="1">{"fdsup://directions/FAT Viewer?action=UPDATE&amp;creator=factset&amp;DYN_ARGS=TRUE&amp;DOC_NAME=FAT:FQL_AUDITING_CLIENT_TEMPLATE.FAT&amp;display_string=Audit&amp;VAR:KEY=GPSHWHURQP&amp;VAR:QUERY=UkdGX1RBWF9SQVRFKEFOTiwwLCwsLCwsTk9BVURJVCk=&amp;WINDOW=FIRST_POPUP&amp;HEIGHT=450&amp;WIDTH=450&amp;","START_MAXIMIZED=FALSE&amp;VAR:CALENDAR=US&amp;VAR:SYMBOL=ARTG&amp;VAR:INDEX=0"}</definedName>
    <definedName name="_3898__FDSAUDITLINK__" localSheetId="3" hidden="1">{"fdsup://directions/FAT Viewer?action=UPDATE&amp;creator=factset&amp;DYN_ARGS=TRUE&amp;DOC_NAME=FAT:FQL_AUDITING_CLIENT_TEMPLATE.FAT&amp;display_string=Audit&amp;VAR:KEY=GPSHWHURQP&amp;VAR:QUERY=UkdGX1RBWF9SQVRFKEFOTiwwLCwsLCwsTk9BVURJVCk=&amp;WINDOW=FIRST_POPUP&amp;HEIGHT=450&amp;WIDTH=450&amp;","START_MAXIMIZED=FALSE&amp;VAR:CALENDAR=US&amp;VAR:SYMBOL=ARTG&amp;VAR:INDEX=0"}</definedName>
    <definedName name="_3898__FDSAUDITLINK__" localSheetId="7" hidden="1">{"fdsup://directions/FAT Viewer?action=UPDATE&amp;creator=factset&amp;DYN_ARGS=TRUE&amp;DOC_NAME=FAT:FQL_AUDITING_CLIENT_TEMPLATE.FAT&amp;display_string=Audit&amp;VAR:KEY=GPSHWHURQP&amp;VAR:QUERY=UkdGX1RBWF9SQVRFKEFOTiwwLCwsLCwsTk9BVURJVCk=&amp;WINDOW=FIRST_POPUP&amp;HEIGHT=450&amp;WIDTH=450&amp;","START_MAXIMIZED=FALSE&amp;VAR:CALENDAR=US&amp;VAR:SYMBOL=ARTG&amp;VAR:INDEX=0"}</definedName>
    <definedName name="_3898__FDSAUDITLINK__" hidden="1">{"fdsup://directions/FAT Viewer?action=UPDATE&amp;creator=factset&amp;DYN_ARGS=TRUE&amp;DOC_NAME=FAT:FQL_AUDITING_CLIENT_TEMPLATE.FAT&amp;display_string=Audit&amp;VAR:KEY=GPSHWHURQP&amp;VAR:QUERY=UkdGX1RBWF9SQVRFKEFOTiwwLCwsLCwsTk9BVURJVCk=&amp;WINDOW=FIRST_POPUP&amp;HEIGHT=450&amp;WIDTH=450&amp;","START_MAXIMIZED=FALSE&amp;VAR:CALENDAR=US&amp;VAR:SYMBOL=ARTG&amp;VAR:INDEX=0"}</definedName>
    <definedName name="_3899__FDSAUDITLINK__" localSheetId="3" hidden="1">{"fdsup://directions/FAT Viewer?action=UPDATE&amp;creator=factset&amp;DYN_ARGS=TRUE&amp;DOC_NAME=FAT:FQL_AUDITING_CLIENT_TEMPLATE.FAT&amp;display_string=Audit&amp;VAR:KEY=WRUFWBCNQP&amp;VAR:QUERY=UkdGX1RBWF9SQVRFKEFOTiwwLCwsLCwsTk9BVURJVCk=&amp;WINDOW=FIRST_POPUP&amp;HEIGHT=450&amp;WIDTH=450&amp;","START_MAXIMIZED=FALSE&amp;VAR:CALENDAR=US&amp;VAR:SYMBOL=005958&amp;VAR:INDEX=0"}</definedName>
    <definedName name="_3899__FDSAUDITLINK__" localSheetId="7" hidden="1">{"fdsup://directions/FAT Viewer?action=UPDATE&amp;creator=factset&amp;DYN_ARGS=TRUE&amp;DOC_NAME=FAT:FQL_AUDITING_CLIENT_TEMPLATE.FAT&amp;display_string=Audit&amp;VAR:KEY=WRUFWBCNQP&amp;VAR:QUERY=UkdGX1RBWF9SQVRFKEFOTiwwLCwsLCwsTk9BVURJVCk=&amp;WINDOW=FIRST_POPUP&amp;HEIGHT=450&amp;WIDTH=450&amp;","START_MAXIMIZED=FALSE&amp;VAR:CALENDAR=US&amp;VAR:SYMBOL=005958&amp;VAR:INDEX=0"}</definedName>
    <definedName name="_3899__FDSAUDITLINK__" hidden="1">{"fdsup://directions/FAT Viewer?action=UPDATE&amp;creator=factset&amp;DYN_ARGS=TRUE&amp;DOC_NAME=FAT:FQL_AUDITING_CLIENT_TEMPLATE.FAT&amp;display_string=Audit&amp;VAR:KEY=WRUFWBCNQP&amp;VAR:QUERY=UkdGX1RBWF9SQVRFKEFOTiwwLCwsLCwsTk9BVURJVCk=&amp;WINDOW=FIRST_POPUP&amp;HEIGHT=450&amp;WIDTH=450&amp;","START_MAXIMIZED=FALSE&amp;VAR:CALENDAR=US&amp;VAR:SYMBOL=005958&amp;VAR:INDEX=0"}</definedName>
    <definedName name="_39__FDSAUDITLINK__" localSheetId="3" hidden="1">{"fdsup://directions/FAT Viewer?action=UPDATE&amp;creator=factset&amp;DYN_ARGS=TRUE&amp;DOC_NAME=FAT:FQL_AUDITING_CLIENT_TEMPLATE.FAT&amp;display_string=Audit&amp;VAR:KEY=BSRKLERILA&amp;VAR:QUERY=RkZfT1BFUl9QU19ORVRfQ0YoQU5OLDAsLTksWSxSUCxVU0QsTSk=&amp;WINDOW=FIRST_POPUP&amp;HEIGHT=450&amp;WI","DTH=450&amp;START_MAXIMIZED=FALSE&amp;VAR:CALENDAR=US&amp;VAR:SYMBOL=B10LQP&amp;VAR:INDEX=5"}</definedName>
    <definedName name="_39__FDSAUDITLINK__" localSheetId="7" hidden="1">{"fdsup://directions/FAT Viewer?action=UPDATE&amp;creator=factset&amp;DYN_ARGS=TRUE&amp;DOC_NAME=FAT:FQL_AUDITING_CLIENT_TEMPLATE.FAT&amp;display_string=Audit&amp;VAR:KEY=BSRKLERILA&amp;VAR:QUERY=RkZfT1BFUl9QU19ORVRfQ0YoQU5OLDAsLTksWSxSUCxVU0QsTSk=&amp;WINDOW=FIRST_POPUP&amp;HEIGHT=450&amp;WI","DTH=450&amp;START_MAXIMIZED=FALSE&amp;VAR:CALENDAR=US&amp;VAR:SYMBOL=B10LQP&amp;VAR:INDEX=5"}</definedName>
    <definedName name="_39__FDSAUDITLINK__" hidden="1">{"fdsup://directions/FAT Viewer?action=UPDATE&amp;creator=factset&amp;DYN_ARGS=TRUE&amp;DOC_NAME=FAT:FQL_AUDITING_CLIENT_TEMPLATE.FAT&amp;display_string=Audit&amp;VAR:KEY=BSRKLERILA&amp;VAR:QUERY=RkZfT1BFUl9QU19ORVRfQ0YoQU5OLDAsLTksWSxSUCxVU0QsTSk=&amp;WINDOW=FIRST_POPUP&amp;HEIGHT=450&amp;WI","DTH=450&amp;START_MAXIMIZED=FALSE&amp;VAR:CALENDAR=US&amp;VAR:SYMBOL=B10LQP&amp;VAR:INDEX=5"}</definedName>
    <definedName name="_390__FDSAUDITLINK__" localSheetId="3" hidden="1">{"fdsup://directions/FAT Viewer?action=UPDATE&amp;creator=factset&amp;DYN_ARGS=TRUE&amp;DOC_NAME=FAT:FQL_AUDITING_CLIENT_TEMPLATE.FAT&amp;display_string=Audit&amp;VAR:KEY=NWDMTOLINW&amp;VAR:QUERY=UENUQ0hHKEZGX0FTU0VUUyhBTk4sMCwtOSxZLFJQLExPQ0FMLE0pLEZGX0FTU0VUUyhBTk4sMCAtIDEsLTkgL","SAxLFksUlAsTE9DQUwsTSkp&amp;WINDOW=FIRST_POPUP&amp;HEIGHT=450&amp;WIDTH=450&amp;START_MAXIMIZED=FALSE&amp;VAR:CALENDAR=US&amp;VAR:SYMBOL=B10LQP&amp;VAR:INDEX=1"}</definedName>
    <definedName name="_390__FDSAUDITLINK__" localSheetId="7" hidden="1">{"fdsup://directions/FAT Viewer?action=UPDATE&amp;creator=factset&amp;DYN_ARGS=TRUE&amp;DOC_NAME=FAT:FQL_AUDITING_CLIENT_TEMPLATE.FAT&amp;display_string=Audit&amp;VAR:KEY=NWDMTOLINW&amp;VAR:QUERY=UENUQ0hHKEZGX0FTU0VUUyhBTk4sMCwtOSxZLFJQLExPQ0FMLE0pLEZGX0FTU0VUUyhBTk4sMCAtIDEsLTkgL","SAxLFksUlAsTE9DQUwsTSkp&amp;WINDOW=FIRST_POPUP&amp;HEIGHT=450&amp;WIDTH=450&amp;START_MAXIMIZED=FALSE&amp;VAR:CALENDAR=US&amp;VAR:SYMBOL=B10LQP&amp;VAR:INDEX=1"}</definedName>
    <definedName name="_390__FDSAUDITLINK__" hidden="1">{"fdsup://directions/FAT Viewer?action=UPDATE&amp;creator=factset&amp;DYN_ARGS=TRUE&amp;DOC_NAME=FAT:FQL_AUDITING_CLIENT_TEMPLATE.FAT&amp;display_string=Audit&amp;VAR:KEY=NWDMTOLINW&amp;VAR:QUERY=UENUQ0hHKEZGX0FTU0VUUyhBTk4sMCwtOSxZLFJQLExPQ0FMLE0pLEZGX0FTU0VUUyhBTk4sMCAtIDEsLTkgL","SAxLFksUlAsTE9DQUwsTSkp&amp;WINDOW=FIRST_POPUP&amp;HEIGHT=450&amp;WIDTH=450&amp;START_MAXIMIZED=FALSE&amp;VAR:CALENDAR=US&amp;VAR:SYMBOL=B10LQP&amp;VAR:INDEX=1"}</definedName>
    <definedName name="_3900__FDSAUDITLINK__" localSheetId="3" hidden="1">{"fdsup://directions/FAT Viewer?action=UPDATE&amp;creator=factset&amp;DYN_ARGS=TRUE&amp;DOC_NAME=FAT:FQL_AUDITING_CLIENT_TEMPLATE.FAT&amp;display_string=Audit&amp;VAR:KEY=WRUFWBCNQP&amp;VAR:QUERY=UkdGX1RBWF9SQVRFKEFOTiwwLCwsLCwsTk9BVURJVCk=&amp;WINDOW=FIRST_POPUP&amp;HEIGHT=450&amp;WIDTH=450&amp;","START_MAXIMIZED=FALSE&amp;VAR:CALENDAR=US&amp;VAR:SYMBOL=005958&amp;VAR:INDEX=0"}</definedName>
    <definedName name="_3900__FDSAUDITLINK__" localSheetId="7" hidden="1">{"fdsup://directions/FAT Viewer?action=UPDATE&amp;creator=factset&amp;DYN_ARGS=TRUE&amp;DOC_NAME=FAT:FQL_AUDITING_CLIENT_TEMPLATE.FAT&amp;display_string=Audit&amp;VAR:KEY=WRUFWBCNQP&amp;VAR:QUERY=UkdGX1RBWF9SQVRFKEFOTiwwLCwsLCwsTk9BVURJVCk=&amp;WINDOW=FIRST_POPUP&amp;HEIGHT=450&amp;WIDTH=450&amp;","START_MAXIMIZED=FALSE&amp;VAR:CALENDAR=US&amp;VAR:SYMBOL=005958&amp;VAR:INDEX=0"}</definedName>
    <definedName name="_3900__FDSAUDITLINK__" hidden="1">{"fdsup://directions/FAT Viewer?action=UPDATE&amp;creator=factset&amp;DYN_ARGS=TRUE&amp;DOC_NAME=FAT:FQL_AUDITING_CLIENT_TEMPLATE.FAT&amp;display_string=Audit&amp;VAR:KEY=WRUFWBCNQP&amp;VAR:QUERY=UkdGX1RBWF9SQVRFKEFOTiwwLCwsLCwsTk9BVURJVCk=&amp;WINDOW=FIRST_POPUP&amp;HEIGHT=450&amp;WIDTH=450&amp;","START_MAXIMIZED=FALSE&amp;VAR:CALENDAR=US&amp;VAR:SYMBOL=005958&amp;VAR:INDEX=0"}</definedName>
    <definedName name="_3901__FDSAUDITLINK__" localSheetId="3" hidden="1">{"fdsup://directions/FAT Viewer?action=UPDATE&amp;creator=factset&amp;DYN_ARGS=TRUE&amp;DOC_NAME=FAT:FQL_AUDITING_CLIENT_TEMPLATE.FAT&amp;display_string=Audit&amp;VAR:KEY=YRQBCZIVIN&amp;VAR:QUERY=UkdGX1RBWF9SQVRFKEFOTiwwLCwsLCwsTk9BVURJVCk=&amp;WINDOW=FIRST_POPUP&amp;HEIGHT=450&amp;WIDTH=450&amp;","START_MAXIMIZED=FALSE&amp;VAR:CALENDAR=US&amp;VAR:SYMBOL=ARBA&amp;VAR:INDEX=0"}</definedName>
    <definedName name="_3901__FDSAUDITLINK__" localSheetId="7" hidden="1">{"fdsup://directions/FAT Viewer?action=UPDATE&amp;creator=factset&amp;DYN_ARGS=TRUE&amp;DOC_NAME=FAT:FQL_AUDITING_CLIENT_TEMPLATE.FAT&amp;display_string=Audit&amp;VAR:KEY=YRQBCZIVIN&amp;VAR:QUERY=UkdGX1RBWF9SQVRFKEFOTiwwLCwsLCwsTk9BVURJVCk=&amp;WINDOW=FIRST_POPUP&amp;HEIGHT=450&amp;WIDTH=450&amp;","START_MAXIMIZED=FALSE&amp;VAR:CALENDAR=US&amp;VAR:SYMBOL=ARBA&amp;VAR:INDEX=0"}</definedName>
    <definedName name="_3901__FDSAUDITLINK__" hidden="1">{"fdsup://directions/FAT Viewer?action=UPDATE&amp;creator=factset&amp;DYN_ARGS=TRUE&amp;DOC_NAME=FAT:FQL_AUDITING_CLIENT_TEMPLATE.FAT&amp;display_string=Audit&amp;VAR:KEY=YRQBCZIVIN&amp;VAR:QUERY=UkdGX1RBWF9SQVRFKEFOTiwwLCwsLCwsTk9BVURJVCk=&amp;WINDOW=FIRST_POPUP&amp;HEIGHT=450&amp;WIDTH=450&amp;","START_MAXIMIZED=FALSE&amp;VAR:CALENDAR=US&amp;VAR:SYMBOL=ARBA&amp;VAR:INDEX=0"}</definedName>
    <definedName name="_3902__FDSAUDITLINK__" localSheetId="3" hidden="1">{"fdsup://directions/FAT Viewer?action=UPDATE&amp;creator=factset&amp;DYN_ARGS=TRUE&amp;DOC_NAME=FAT:FQL_AUDITING_CLIENT_TEMPLATE.FAT&amp;display_string=Audit&amp;VAR:KEY=YRQBCZIVIN&amp;VAR:QUERY=UkdGX1RBWF9SQVRFKEFOTiwwLCwsLCwsTk9BVURJVCk=&amp;WINDOW=FIRST_POPUP&amp;HEIGHT=450&amp;WIDTH=450&amp;","START_MAXIMIZED=FALSE&amp;VAR:CALENDAR=US&amp;VAR:SYMBOL=ARBA&amp;VAR:INDEX=0"}</definedName>
    <definedName name="_3902__FDSAUDITLINK__" localSheetId="7" hidden="1">{"fdsup://directions/FAT Viewer?action=UPDATE&amp;creator=factset&amp;DYN_ARGS=TRUE&amp;DOC_NAME=FAT:FQL_AUDITING_CLIENT_TEMPLATE.FAT&amp;display_string=Audit&amp;VAR:KEY=YRQBCZIVIN&amp;VAR:QUERY=UkdGX1RBWF9SQVRFKEFOTiwwLCwsLCwsTk9BVURJVCk=&amp;WINDOW=FIRST_POPUP&amp;HEIGHT=450&amp;WIDTH=450&amp;","START_MAXIMIZED=FALSE&amp;VAR:CALENDAR=US&amp;VAR:SYMBOL=ARBA&amp;VAR:INDEX=0"}</definedName>
    <definedName name="_3902__FDSAUDITLINK__" hidden="1">{"fdsup://directions/FAT Viewer?action=UPDATE&amp;creator=factset&amp;DYN_ARGS=TRUE&amp;DOC_NAME=FAT:FQL_AUDITING_CLIENT_TEMPLATE.FAT&amp;display_string=Audit&amp;VAR:KEY=YRQBCZIVIN&amp;VAR:QUERY=UkdGX1RBWF9SQVRFKEFOTiwwLCwsLCwsTk9BVURJVCk=&amp;WINDOW=FIRST_POPUP&amp;HEIGHT=450&amp;WIDTH=450&amp;","START_MAXIMIZED=FALSE&amp;VAR:CALENDAR=US&amp;VAR:SYMBOL=ARBA&amp;VAR:INDEX=0"}</definedName>
    <definedName name="_3903__FDSAUDITLINK__" localSheetId="3" hidden="1">{"fdsup://directions/FAT Viewer?action=UPDATE&amp;creator=factset&amp;DYN_ARGS=TRUE&amp;DOC_NAME=FAT:FQL_AUDITING_CLIENT_TEMPLATE.FAT&amp;display_string=Audit&amp;VAR:KEY=CDABURUHKP&amp;VAR:QUERY=UkdGX1RBWF9SQVRFKEFOTiwwLCwsLCwsTk9BVURJVCk=&amp;WINDOW=FIRST_POPUP&amp;HEIGHT=450&amp;WIDTH=450&amp;","START_MAXIMIZED=FALSE&amp;VAR:CALENDAR=US&amp;VAR:SYMBOL=ARB&amp;VAR:INDEX=0"}</definedName>
    <definedName name="_3903__FDSAUDITLINK__" localSheetId="7" hidden="1">{"fdsup://directions/FAT Viewer?action=UPDATE&amp;creator=factset&amp;DYN_ARGS=TRUE&amp;DOC_NAME=FAT:FQL_AUDITING_CLIENT_TEMPLATE.FAT&amp;display_string=Audit&amp;VAR:KEY=CDABURUHKP&amp;VAR:QUERY=UkdGX1RBWF9SQVRFKEFOTiwwLCwsLCwsTk9BVURJVCk=&amp;WINDOW=FIRST_POPUP&amp;HEIGHT=450&amp;WIDTH=450&amp;","START_MAXIMIZED=FALSE&amp;VAR:CALENDAR=US&amp;VAR:SYMBOL=ARB&amp;VAR:INDEX=0"}</definedName>
    <definedName name="_3903__FDSAUDITLINK__" hidden="1">{"fdsup://directions/FAT Viewer?action=UPDATE&amp;creator=factset&amp;DYN_ARGS=TRUE&amp;DOC_NAME=FAT:FQL_AUDITING_CLIENT_TEMPLATE.FAT&amp;display_string=Audit&amp;VAR:KEY=CDABURUHKP&amp;VAR:QUERY=UkdGX1RBWF9SQVRFKEFOTiwwLCwsLCwsTk9BVURJVCk=&amp;WINDOW=FIRST_POPUP&amp;HEIGHT=450&amp;WIDTH=450&amp;","START_MAXIMIZED=FALSE&amp;VAR:CALENDAR=US&amp;VAR:SYMBOL=ARB&amp;VAR:INDEX=0"}</definedName>
    <definedName name="_3904__FDSAUDITLINK__" localSheetId="3" hidden="1">{"fdsup://directions/FAT Viewer?action=UPDATE&amp;creator=factset&amp;DYN_ARGS=TRUE&amp;DOC_NAME=FAT:FQL_AUDITING_CLIENT_TEMPLATE.FAT&amp;display_string=Audit&amp;VAR:KEY=CDABURUHKP&amp;VAR:QUERY=UkdGX1RBWF9SQVRFKEFOTiwwLCwsLCwsTk9BVURJVCk=&amp;WINDOW=FIRST_POPUP&amp;HEIGHT=450&amp;WIDTH=450&amp;","START_MAXIMIZED=FALSE&amp;VAR:CALENDAR=US&amp;VAR:SYMBOL=ARB&amp;VAR:INDEX=0"}</definedName>
    <definedName name="_3904__FDSAUDITLINK__" localSheetId="7" hidden="1">{"fdsup://directions/FAT Viewer?action=UPDATE&amp;creator=factset&amp;DYN_ARGS=TRUE&amp;DOC_NAME=FAT:FQL_AUDITING_CLIENT_TEMPLATE.FAT&amp;display_string=Audit&amp;VAR:KEY=CDABURUHKP&amp;VAR:QUERY=UkdGX1RBWF9SQVRFKEFOTiwwLCwsLCwsTk9BVURJVCk=&amp;WINDOW=FIRST_POPUP&amp;HEIGHT=450&amp;WIDTH=450&amp;","START_MAXIMIZED=FALSE&amp;VAR:CALENDAR=US&amp;VAR:SYMBOL=ARB&amp;VAR:INDEX=0"}</definedName>
    <definedName name="_3904__FDSAUDITLINK__" hidden="1">{"fdsup://directions/FAT Viewer?action=UPDATE&amp;creator=factset&amp;DYN_ARGS=TRUE&amp;DOC_NAME=FAT:FQL_AUDITING_CLIENT_TEMPLATE.FAT&amp;display_string=Audit&amp;VAR:KEY=CDABURUHKP&amp;VAR:QUERY=UkdGX1RBWF9SQVRFKEFOTiwwLCwsLCwsTk9BVURJVCk=&amp;WINDOW=FIRST_POPUP&amp;HEIGHT=450&amp;WIDTH=450&amp;","START_MAXIMIZED=FALSE&amp;VAR:CALENDAR=US&amp;VAR:SYMBOL=ARB&amp;VAR:INDEX=0"}</definedName>
    <definedName name="_3905__FDSAUDITLINK__" localSheetId="3" hidden="1">{"fdsup://directions/FAT Viewer?action=UPDATE&amp;creator=factset&amp;DYN_ARGS=TRUE&amp;DOC_NAME=FAT:FQL_AUDITING_CLIENT_TEMPLATE.FAT&amp;display_string=Audit&amp;VAR:KEY=SZOJKVOFEL&amp;VAR:QUERY=UkdGX1RBWF9SQVRFKEFOTiwwLCwsLCwsTk9BVURJVCk=&amp;WINDOW=FIRST_POPUP&amp;HEIGHT=450&amp;WIDTH=450&amp;","START_MAXIMIZED=FALSE&amp;VAR:CALENDAR=US&amp;VAR:SYMBOL=ANSS&amp;VAR:INDEX=0"}</definedName>
    <definedName name="_3905__FDSAUDITLINK__" localSheetId="7" hidden="1">{"fdsup://directions/FAT Viewer?action=UPDATE&amp;creator=factset&amp;DYN_ARGS=TRUE&amp;DOC_NAME=FAT:FQL_AUDITING_CLIENT_TEMPLATE.FAT&amp;display_string=Audit&amp;VAR:KEY=SZOJKVOFEL&amp;VAR:QUERY=UkdGX1RBWF9SQVRFKEFOTiwwLCwsLCwsTk9BVURJVCk=&amp;WINDOW=FIRST_POPUP&amp;HEIGHT=450&amp;WIDTH=450&amp;","START_MAXIMIZED=FALSE&amp;VAR:CALENDAR=US&amp;VAR:SYMBOL=ANSS&amp;VAR:INDEX=0"}</definedName>
    <definedName name="_3905__FDSAUDITLINK__" hidden="1">{"fdsup://directions/FAT Viewer?action=UPDATE&amp;creator=factset&amp;DYN_ARGS=TRUE&amp;DOC_NAME=FAT:FQL_AUDITING_CLIENT_TEMPLATE.FAT&amp;display_string=Audit&amp;VAR:KEY=SZOJKVOFEL&amp;VAR:QUERY=UkdGX1RBWF9SQVRFKEFOTiwwLCwsLCwsTk9BVURJVCk=&amp;WINDOW=FIRST_POPUP&amp;HEIGHT=450&amp;WIDTH=450&amp;","START_MAXIMIZED=FALSE&amp;VAR:CALENDAR=US&amp;VAR:SYMBOL=ANSS&amp;VAR:INDEX=0"}</definedName>
    <definedName name="_3906__FDSAUDITLINK__" localSheetId="3" hidden="1">{"fdsup://directions/FAT Viewer?action=UPDATE&amp;creator=factset&amp;DYN_ARGS=TRUE&amp;DOC_NAME=FAT:FQL_AUDITING_CLIENT_TEMPLATE.FAT&amp;display_string=Audit&amp;VAR:KEY=SZOJKVOFEL&amp;VAR:QUERY=UkdGX1RBWF9SQVRFKEFOTiwwLCwsLCwsTk9BVURJVCk=&amp;WINDOW=FIRST_POPUP&amp;HEIGHT=450&amp;WIDTH=450&amp;","START_MAXIMIZED=FALSE&amp;VAR:CALENDAR=US&amp;VAR:SYMBOL=ANSS&amp;VAR:INDEX=0"}</definedName>
    <definedName name="_3906__FDSAUDITLINK__" localSheetId="7" hidden="1">{"fdsup://directions/FAT Viewer?action=UPDATE&amp;creator=factset&amp;DYN_ARGS=TRUE&amp;DOC_NAME=FAT:FQL_AUDITING_CLIENT_TEMPLATE.FAT&amp;display_string=Audit&amp;VAR:KEY=SZOJKVOFEL&amp;VAR:QUERY=UkdGX1RBWF9SQVRFKEFOTiwwLCwsLCwsTk9BVURJVCk=&amp;WINDOW=FIRST_POPUP&amp;HEIGHT=450&amp;WIDTH=450&amp;","START_MAXIMIZED=FALSE&amp;VAR:CALENDAR=US&amp;VAR:SYMBOL=ANSS&amp;VAR:INDEX=0"}</definedName>
    <definedName name="_3906__FDSAUDITLINK__" hidden="1">{"fdsup://directions/FAT Viewer?action=UPDATE&amp;creator=factset&amp;DYN_ARGS=TRUE&amp;DOC_NAME=FAT:FQL_AUDITING_CLIENT_TEMPLATE.FAT&amp;display_string=Audit&amp;VAR:KEY=SZOJKVOFEL&amp;VAR:QUERY=UkdGX1RBWF9SQVRFKEFOTiwwLCwsLCwsTk9BVURJVCk=&amp;WINDOW=FIRST_POPUP&amp;HEIGHT=450&amp;WIDTH=450&amp;","START_MAXIMIZED=FALSE&amp;VAR:CALENDAR=US&amp;VAR:SYMBOL=ANSS&amp;VAR:INDEX=0"}</definedName>
    <definedName name="_3907__FDSAUDITLINK__" localSheetId="3" hidden="1">{"fdsup://directions/FAT Viewer?action=UPDATE&amp;creator=factset&amp;DYN_ARGS=TRUE&amp;DOC_NAME=FAT:FQL_AUDITING_CLIENT_TEMPLATE.FAT&amp;display_string=Audit&amp;VAR:KEY=MJALKBYRIL&amp;VAR:QUERY=UkdGX1RBWF9SQVRFKEFOTiwwLCwsLCwsTk9BVURJVCk=&amp;WINDOW=FIRST_POPUP&amp;HEIGHT=450&amp;WIDTH=450&amp;","START_MAXIMIZED=FALSE&amp;VAR:CALENDAR=US&amp;VAR:SYMBOL=DOX&amp;VAR:INDEX=0"}</definedName>
    <definedName name="_3907__FDSAUDITLINK__" localSheetId="7" hidden="1">{"fdsup://directions/FAT Viewer?action=UPDATE&amp;creator=factset&amp;DYN_ARGS=TRUE&amp;DOC_NAME=FAT:FQL_AUDITING_CLIENT_TEMPLATE.FAT&amp;display_string=Audit&amp;VAR:KEY=MJALKBYRIL&amp;VAR:QUERY=UkdGX1RBWF9SQVRFKEFOTiwwLCwsLCwsTk9BVURJVCk=&amp;WINDOW=FIRST_POPUP&amp;HEIGHT=450&amp;WIDTH=450&amp;","START_MAXIMIZED=FALSE&amp;VAR:CALENDAR=US&amp;VAR:SYMBOL=DOX&amp;VAR:INDEX=0"}</definedName>
    <definedName name="_3907__FDSAUDITLINK__" hidden="1">{"fdsup://directions/FAT Viewer?action=UPDATE&amp;creator=factset&amp;DYN_ARGS=TRUE&amp;DOC_NAME=FAT:FQL_AUDITING_CLIENT_TEMPLATE.FAT&amp;display_string=Audit&amp;VAR:KEY=MJALKBYRIL&amp;VAR:QUERY=UkdGX1RBWF9SQVRFKEFOTiwwLCwsLCwsTk9BVURJVCk=&amp;WINDOW=FIRST_POPUP&amp;HEIGHT=450&amp;WIDTH=450&amp;","START_MAXIMIZED=FALSE&amp;VAR:CALENDAR=US&amp;VAR:SYMBOL=DOX&amp;VAR:INDEX=0"}</definedName>
    <definedName name="_3908__FDSAUDITLINK__" localSheetId="3" hidden="1">{"fdsup://directions/FAT Viewer?action=UPDATE&amp;creator=factset&amp;DYN_ARGS=TRUE&amp;DOC_NAME=FAT:FQL_AUDITING_CLIENT_TEMPLATE.FAT&amp;display_string=Audit&amp;VAR:KEY=MJALKBYRIL&amp;VAR:QUERY=UkdGX1RBWF9SQVRFKEFOTiwwLCwsLCwsTk9BVURJVCk=&amp;WINDOW=FIRST_POPUP&amp;HEIGHT=450&amp;WIDTH=450&amp;","START_MAXIMIZED=FALSE&amp;VAR:CALENDAR=US&amp;VAR:SYMBOL=DOX&amp;VAR:INDEX=0"}</definedName>
    <definedName name="_3908__FDSAUDITLINK__" localSheetId="7" hidden="1">{"fdsup://directions/FAT Viewer?action=UPDATE&amp;creator=factset&amp;DYN_ARGS=TRUE&amp;DOC_NAME=FAT:FQL_AUDITING_CLIENT_TEMPLATE.FAT&amp;display_string=Audit&amp;VAR:KEY=MJALKBYRIL&amp;VAR:QUERY=UkdGX1RBWF9SQVRFKEFOTiwwLCwsLCwsTk9BVURJVCk=&amp;WINDOW=FIRST_POPUP&amp;HEIGHT=450&amp;WIDTH=450&amp;","START_MAXIMIZED=FALSE&amp;VAR:CALENDAR=US&amp;VAR:SYMBOL=DOX&amp;VAR:INDEX=0"}</definedName>
    <definedName name="_3908__FDSAUDITLINK__" hidden="1">{"fdsup://directions/FAT Viewer?action=UPDATE&amp;creator=factset&amp;DYN_ARGS=TRUE&amp;DOC_NAME=FAT:FQL_AUDITING_CLIENT_TEMPLATE.FAT&amp;display_string=Audit&amp;VAR:KEY=MJALKBYRIL&amp;VAR:QUERY=UkdGX1RBWF9SQVRFKEFOTiwwLCwsLCwsTk9BVURJVCk=&amp;WINDOW=FIRST_POPUP&amp;HEIGHT=450&amp;WIDTH=450&amp;","START_MAXIMIZED=FALSE&amp;VAR:CALENDAR=US&amp;VAR:SYMBOL=DOX&amp;VAR:INDEX=0"}</definedName>
    <definedName name="_3909__FDSAUDITLINK__" localSheetId="3" hidden="1">{"fdsup://directions/FAT Viewer?action=UPDATE&amp;creator=factset&amp;DYN_ARGS=TRUE&amp;DOC_NAME=FAT:FQL_AUDITING_CLIENT_TEMPLATE.FAT&amp;display_string=Audit&amp;VAR:KEY=EVYRYDUTIP&amp;VAR:QUERY=UkdGX1RBWF9SQVRFKEFOTiwwLCwsLCwsTk9BVURJVCk=&amp;WINDOW=FIRST_POPUP&amp;HEIGHT=450&amp;WIDTH=450&amp;","START_MAXIMIZED=FALSE&amp;VAR:CALENDAR=US&amp;VAR:SYMBOL=AMZN&amp;VAR:INDEX=0"}</definedName>
    <definedName name="_3909__FDSAUDITLINK__" localSheetId="7" hidden="1">{"fdsup://directions/FAT Viewer?action=UPDATE&amp;creator=factset&amp;DYN_ARGS=TRUE&amp;DOC_NAME=FAT:FQL_AUDITING_CLIENT_TEMPLATE.FAT&amp;display_string=Audit&amp;VAR:KEY=EVYRYDUTIP&amp;VAR:QUERY=UkdGX1RBWF9SQVRFKEFOTiwwLCwsLCwsTk9BVURJVCk=&amp;WINDOW=FIRST_POPUP&amp;HEIGHT=450&amp;WIDTH=450&amp;","START_MAXIMIZED=FALSE&amp;VAR:CALENDAR=US&amp;VAR:SYMBOL=AMZN&amp;VAR:INDEX=0"}</definedName>
    <definedName name="_3909__FDSAUDITLINK__" hidden="1">{"fdsup://directions/FAT Viewer?action=UPDATE&amp;creator=factset&amp;DYN_ARGS=TRUE&amp;DOC_NAME=FAT:FQL_AUDITING_CLIENT_TEMPLATE.FAT&amp;display_string=Audit&amp;VAR:KEY=EVYRYDUTIP&amp;VAR:QUERY=UkdGX1RBWF9SQVRFKEFOTiwwLCwsLCwsTk9BVURJVCk=&amp;WINDOW=FIRST_POPUP&amp;HEIGHT=450&amp;WIDTH=450&amp;","START_MAXIMIZED=FALSE&amp;VAR:CALENDAR=US&amp;VAR:SYMBOL=AMZN&amp;VAR:INDEX=0"}</definedName>
    <definedName name="_391__FDSAUDITLINK__" localSheetId="3" hidden="1">{"fdsup://directions/FAT Viewer?action=UPDATE&amp;creator=factset&amp;DYN_ARGS=TRUE&amp;DOC_NAME=FAT:FQL_AUDITING_CLIENT_TEMPLATE.FAT&amp;display_string=Audit&amp;VAR:KEY=KJOTALGBOR&amp;VAR:QUERY=RkZfT1BFUl9NR04oQU5OLDAsLTksWSxSUCk=&amp;WINDOW=FIRST_POPUP&amp;HEIGHT=450&amp;WIDTH=450&amp;START_MA","XIMIZED=FALSE&amp;VAR:CALENDAR=US&amp;VAR:SYMBOL=B10LQP&amp;VAR:INDEX=0"}</definedName>
    <definedName name="_391__FDSAUDITLINK__" localSheetId="7" hidden="1">{"fdsup://directions/FAT Viewer?action=UPDATE&amp;creator=factset&amp;DYN_ARGS=TRUE&amp;DOC_NAME=FAT:FQL_AUDITING_CLIENT_TEMPLATE.FAT&amp;display_string=Audit&amp;VAR:KEY=KJOTALGBOR&amp;VAR:QUERY=RkZfT1BFUl9NR04oQU5OLDAsLTksWSxSUCk=&amp;WINDOW=FIRST_POPUP&amp;HEIGHT=450&amp;WIDTH=450&amp;START_MA","XIMIZED=FALSE&amp;VAR:CALENDAR=US&amp;VAR:SYMBOL=B10LQP&amp;VAR:INDEX=0"}</definedName>
    <definedName name="_391__FDSAUDITLINK__" hidden="1">{"fdsup://directions/FAT Viewer?action=UPDATE&amp;creator=factset&amp;DYN_ARGS=TRUE&amp;DOC_NAME=FAT:FQL_AUDITING_CLIENT_TEMPLATE.FAT&amp;display_string=Audit&amp;VAR:KEY=KJOTALGBOR&amp;VAR:QUERY=RkZfT1BFUl9NR04oQU5OLDAsLTksWSxSUCk=&amp;WINDOW=FIRST_POPUP&amp;HEIGHT=450&amp;WIDTH=450&amp;START_MA","XIMIZED=FALSE&amp;VAR:CALENDAR=US&amp;VAR:SYMBOL=B10LQP&amp;VAR:INDEX=0"}</definedName>
    <definedName name="_3910__FDSAUDITLINK__" localSheetId="3" hidden="1">{"fdsup://directions/FAT Viewer?action=UPDATE&amp;creator=factset&amp;DYN_ARGS=TRUE&amp;DOC_NAME=FAT:FQL_AUDITING_CLIENT_TEMPLATE.FAT&amp;display_string=Audit&amp;VAR:KEY=EVYRYDUTIP&amp;VAR:QUERY=UkdGX1RBWF9SQVRFKEFOTiwwLCwsLCwsTk9BVURJVCk=&amp;WINDOW=FIRST_POPUP&amp;HEIGHT=450&amp;WIDTH=450&amp;","START_MAXIMIZED=FALSE&amp;VAR:CALENDAR=US&amp;VAR:SYMBOL=AMZN&amp;VAR:INDEX=0"}</definedName>
    <definedName name="_3910__FDSAUDITLINK__" localSheetId="7" hidden="1">{"fdsup://directions/FAT Viewer?action=UPDATE&amp;creator=factset&amp;DYN_ARGS=TRUE&amp;DOC_NAME=FAT:FQL_AUDITING_CLIENT_TEMPLATE.FAT&amp;display_string=Audit&amp;VAR:KEY=EVYRYDUTIP&amp;VAR:QUERY=UkdGX1RBWF9SQVRFKEFOTiwwLCwsLCwsTk9BVURJVCk=&amp;WINDOW=FIRST_POPUP&amp;HEIGHT=450&amp;WIDTH=450&amp;","START_MAXIMIZED=FALSE&amp;VAR:CALENDAR=US&amp;VAR:SYMBOL=AMZN&amp;VAR:INDEX=0"}</definedName>
    <definedName name="_3910__FDSAUDITLINK__" hidden="1">{"fdsup://directions/FAT Viewer?action=UPDATE&amp;creator=factset&amp;DYN_ARGS=TRUE&amp;DOC_NAME=FAT:FQL_AUDITING_CLIENT_TEMPLATE.FAT&amp;display_string=Audit&amp;VAR:KEY=EVYRYDUTIP&amp;VAR:QUERY=UkdGX1RBWF9SQVRFKEFOTiwwLCwsLCwsTk9BVURJVCk=&amp;WINDOW=FIRST_POPUP&amp;HEIGHT=450&amp;WIDTH=450&amp;","START_MAXIMIZED=FALSE&amp;VAR:CALENDAR=US&amp;VAR:SYMBOL=AMZN&amp;VAR:INDEX=0"}</definedName>
    <definedName name="_3911__FDSAUDITLINK__" localSheetId="3" hidden="1">{"fdsup://directions/FAT Viewer?action=UPDATE&amp;creator=factset&amp;DYN_ARGS=TRUE&amp;DOC_NAME=FAT:FQL_AUDITING_CLIENT_TEMPLATE.FAT&amp;display_string=Audit&amp;VAR:KEY=YZWHADITOV&amp;VAR:QUERY=UkdGX1RBWF9SQVRFKEFOTiwwLCwsLCwsTk9BVURJVCk=&amp;WINDOW=FIRST_POPUP&amp;HEIGHT=450&amp;WIDTH=450&amp;","START_MAXIMIZED=FALSE&amp;VAR:CALENDAR=US&amp;VAR:SYMBOL=AKAM&amp;VAR:INDEX=0"}</definedName>
    <definedName name="_3911__FDSAUDITLINK__" localSheetId="7" hidden="1">{"fdsup://directions/FAT Viewer?action=UPDATE&amp;creator=factset&amp;DYN_ARGS=TRUE&amp;DOC_NAME=FAT:FQL_AUDITING_CLIENT_TEMPLATE.FAT&amp;display_string=Audit&amp;VAR:KEY=YZWHADITOV&amp;VAR:QUERY=UkdGX1RBWF9SQVRFKEFOTiwwLCwsLCwsTk9BVURJVCk=&amp;WINDOW=FIRST_POPUP&amp;HEIGHT=450&amp;WIDTH=450&amp;","START_MAXIMIZED=FALSE&amp;VAR:CALENDAR=US&amp;VAR:SYMBOL=AKAM&amp;VAR:INDEX=0"}</definedName>
    <definedName name="_3911__FDSAUDITLINK__" hidden="1">{"fdsup://directions/FAT Viewer?action=UPDATE&amp;creator=factset&amp;DYN_ARGS=TRUE&amp;DOC_NAME=FAT:FQL_AUDITING_CLIENT_TEMPLATE.FAT&amp;display_string=Audit&amp;VAR:KEY=YZWHADITOV&amp;VAR:QUERY=UkdGX1RBWF9SQVRFKEFOTiwwLCwsLCwsTk9BVURJVCk=&amp;WINDOW=FIRST_POPUP&amp;HEIGHT=450&amp;WIDTH=450&amp;","START_MAXIMIZED=FALSE&amp;VAR:CALENDAR=US&amp;VAR:SYMBOL=AKAM&amp;VAR:INDEX=0"}</definedName>
    <definedName name="_3912__FDSAUDITLINK__" localSheetId="3" hidden="1">{"fdsup://directions/FAT Viewer?action=UPDATE&amp;creator=factset&amp;DYN_ARGS=TRUE&amp;DOC_NAME=FAT:FQL_AUDITING_CLIENT_TEMPLATE.FAT&amp;display_string=Audit&amp;VAR:KEY=YZWHADITOV&amp;VAR:QUERY=UkdGX1RBWF9SQVRFKEFOTiwwLCwsLCwsTk9BVURJVCk=&amp;WINDOW=FIRST_POPUP&amp;HEIGHT=450&amp;WIDTH=450&amp;","START_MAXIMIZED=FALSE&amp;VAR:CALENDAR=US&amp;VAR:SYMBOL=AKAM&amp;VAR:INDEX=0"}</definedName>
    <definedName name="_3912__FDSAUDITLINK__" localSheetId="7" hidden="1">{"fdsup://directions/FAT Viewer?action=UPDATE&amp;creator=factset&amp;DYN_ARGS=TRUE&amp;DOC_NAME=FAT:FQL_AUDITING_CLIENT_TEMPLATE.FAT&amp;display_string=Audit&amp;VAR:KEY=YZWHADITOV&amp;VAR:QUERY=UkdGX1RBWF9SQVRFKEFOTiwwLCwsLCwsTk9BVURJVCk=&amp;WINDOW=FIRST_POPUP&amp;HEIGHT=450&amp;WIDTH=450&amp;","START_MAXIMIZED=FALSE&amp;VAR:CALENDAR=US&amp;VAR:SYMBOL=AKAM&amp;VAR:INDEX=0"}</definedName>
    <definedName name="_3912__FDSAUDITLINK__" hidden="1">{"fdsup://directions/FAT Viewer?action=UPDATE&amp;creator=factset&amp;DYN_ARGS=TRUE&amp;DOC_NAME=FAT:FQL_AUDITING_CLIENT_TEMPLATE.FAT&amp;display_string=Audit&amp;VAR:KEY=YZWHADITOV&amp;VAR:QUERY=UkdGX1RBWF9SQVRFKEFOTiwwLCwsLCwsTk9BVURJVCk=&amp;WINDOW=FIRST_POPUP&amp;HEIGHT=450&amp;WIDTH=450&amp;","START_MAXIMIZED=FALSE&amp;VAR:CALENDAR=US&amp;VAR:SYMBOL=AKAM&amp;VAR:INDEX=0"}</definedName>
    <definedName name="_3913__FDSAUDITLINK__" localSheetId="3" hidden="1">{"fdsup://directions/FAT Viewer?action=UPDATE&amp;creator=factset&amp;DYN_ARGS=TRUE&amp;DOC_NAME=FAT:FQL_AUDITING_CLIENT_TEMPLATE.FAT&amp;display_string=Audit&amp;VAR:KEY=MXMXGXSRUJ&amp;VAR:QUERY=UkdGX1RBWF9SQVRFKEFOTiwwLCwsLCwsTk9BVURJVCk=&amp;WINDOW=FIRST_POPUP&amp;HEIGHT=450&amp;WIDTH=450&amp;","START_MAXIMIZED=FALSE&amp;VAR:CALENDAR=US&amp;VAR:SYMBOL=ADVS&amp;VAR:INDEX=0"}</definedName>
    <definedName name="_3913__FDSAUDITLINK__" localSheetId="7" hidden="1">{"fdsup://directions/FAT Viewer?action=UPDATE&amp;creator=factset&amp;DYN_ARGS=TRUE&amp;DOC_NAME=FAT:FQL_AUDITING_CLIENT_TEMPLATE.FAT&amp;display_string=Audit&amp;VAR:KEY=MXMXGXSRUJ&amp;VAR:QUERY=UkdGX1RBWF9SQVRFKEFOTiwwLCwsLCwsTk9BVURJVCk=&amp;WINDOW=FIRST_POPUP&amp;HEIGHT=450&amp;WIDTH=450&amp;","START_MAXIMIZED=FALSE&amp;VAR:CALENDAR=US&amp;VAR:SYMBOL=ADVS&amp;VAR:INDEX=0"}</definedName>
    <definedName name="_3913__FDSAUDITLINK__" hidden="1">{"fdsup://directions/FAT Viewer?action=UPDATE&amp;creator=factset&amp;DYN_ARGS=TRUE&amp;DOC_NAME=FAT:FQL_AUDITING_CLIENT_TEMPLATE.FAT&amp;display_string=Audit&amp;VAR:KEY=MXMXGXSRUJ&amp;VAR:QUERY=UkdGX1RBWF9SQVRFKEFOTiwwLCwsLCwsTk9BVURJVCk=&amp;WINDOW=FIRST_POPUP&amp;HEIGHT=450&amp;WIDTH=450&amp;","START_MAXIMIZED=FALSE&amp;VAR:CALENDAR=US&amp;VAR:SYMBOL=ADVS&amp;VAR:INDEX=0"}</definedName>
    <definedName name="_3914__FDSAUDITLINK__" localSheetId="3" hidden="1">{"fdsup://directions/FAT Viewer?action=UPDATE&amp;creator=factset&amp;DYN_ARGS=TRUE&amp;DOC_NAME=FAT:FQL_AUDITING_CLIENT_TEMPLATE.FAT&amp;display_string=Audit&amp;VAR:KEY=MXMXGXSRUJ&amp;VAR:QUERY=UkdGX1RBWF9SQVRFKEFOTiwwLCwsLCwsTk9BVURJVCk=&amp;WINDOW=FIRST_POPUP&amp;HEIGHT=450&amp;WIDTH=450&amp;","START_MAXIMIZED=FALSE&amp;VAR:CALENDAR=US&amp;VAR:SYMBOL=ADVS&amp;VAR:INDEX=0"}</definedName>
    <definedName name="_3914__FDSAUDITLINK__" localSheetId="7" hidden="1">{"fdsup://directions/FAT Viewer?action=UPDATE&amp;creator=factset&amp;DYN_ARGS=TRUE&amp;DOC_NAME=FAT:FQL_AUDITING_CLIENT_TEMPLATE.FAT&amp;display_string=Audit&amp;VAR:KEY=MXMXGXSRUJ&amp;VAR:QUERY=UkdGX1RBWF9SQVRFKEFOTiwwLCwsLCwsTk9BVURJVCk=&amp;WINDOW=FIRST_POPUP&amp;HEIGHT=450&amp;WIDTH=450&amp;","START_MAXIMIZED=FALSE&amp;VAR:CALENDAR=US&amp;VAR:SYMBOL=ADVS&amp;VAR:INDEX=0"}</definedName>
    <definedName name="_3914__FDSAUDITLINK__" hidden="1">{"fdsup://directions/FAT Viewer?action=UPDATE&amp;creator=factset&amp;DYN_ARGS=TRUE&amp;DOC_NAME=FAT:FQL_AUDITING_CLIENT_TEMPLATE.FAT&amp;display_string=Audit&amp;VAR:KEY=MXMXGXSRUJ&amp;VAR:QUERY=UkdGX1RBWF9SQVRFKEFOTiwwLCwsLCwsTk9BVURJVCk=&amp;WINDOW=FIRST_POPUP&amp;HEIGHT=450&amp;WIDTH=450&amp;","START_MAXIMIZED=FALSE&amp;VAR:CALENDAR=US&amp;VAR:SYMBOL=ADVS&amp;VAR:INDEX=0"}</definedName>
    <definedName name="_3915__FDSAUDITLINK__" localSheetId="3" hidden="1">{"fdsup://directions/FAT Viewer?action=UPDATE&amp;creator=factset&amp;DYN_ARGS=TRUE&amp;DOC_NAME=FAT:FQL_AUDITING_CLIENT_TEMPLATE.FAT&amp;display_string=Audit&amp;VAR:KEY=YPCHGHOTYP&amp;VAR:QUERY=UkdGX1RBWF9SQVRFKEFOTiwwLCwsLCwsTk9BVURJVCk=&amp;WINDOW=FIRST_POPUP&amp;HEIGHT=450&amp;WIDTH=450&amp;","START_MAXIMIZED=FALSE&amp;VAR:CALENDAR=US&amp;VAR:SYMBOL=ADBE&amp;VAR:INDEX=0"}</definedName>
    <definedName name="_3915__FDSAUDITLINK__" localSheetId="7" hidden="1">{"fdsup://directions/FAT Viewer?action=UPDATE&amp;creator=factset&amp;DYN_ARGS=TRUE&amp;DOC_NAME=FAT:FQL_AUDITING_CLIENT_TEMPLATE.FAT&amp;display_string=Audit&amp;VAR:KEY=YPCHGHOTYP&amp;VAR:QUERY=UkdGX1RBWF9SQVRFKEFOTiwwLCwsLCwsTk9BVURJVCk=&amp;WINDOW=FIRST_POPUP&amp;HEIGHT=450&amp;WIDTH=450&amp;","START_MAXIMIZED=FALSE&amp;VAR:CALENDAR=US&amp;VAR:SYMBOL=ADBE&amp;VAR:INDEX=0"}</definedName>
    <definedName name="_3915__FDSAUDITLINK__" hidden="1">{"fdsup://directions/FAT Viewer?action=UPDATE&amp;creator=factset&amp;DYN_ARGS=TRUE&amp;DOC_NAME=FAT:FQL_AUDITING_CLIENT_TEMPLATE.FAT&amp;display_string=Audit&amp;VAR:KEY=YPCHGHOTYP&amp;VAR:QUERY=UkdGX1RBWF9SQVRFKEFOTiwwLCwsLCwsTk9BVURJVCk=&amp;WINDOW=FIRST_POPUP&amp;HEIGHT=450&amp;WIDTH=450&amp;","START_MAXIMIZED=FALSE&amp;VAR:CALENDAR=US&amp;VAR:SYMBOL=ADBE&amp;VAR:INDEX=0"}</definedName>
    <definedName name="_3916__FDSAUDITLINK__" localSheetId="3" hidden="1">{"fdsup://directions/FAT Viewer?action=UPDATE&amp;creator=factset&amp;DYN_ARGS=TRUE&amp;DOC_NAME=FAT:FQL_AUDITING_CLIENT_TEMPLATE.FAT&amp;display_string=Audit&amp;VAR:KEY=YPCHGHOTYP&amp;VAR:QUERY=UkdGX1RBWF9SQVRFKEFOTiwwLCwsLCwsTk9BVURJVCk=&amp;WINDOW=FIRST_POPUP&amp;HEIGHT=450&amp;WIDTH=450&amp;","START_MAXIMIZED=FALSE&amp;VAR:CALENDAR=US&amp;VAR:SYMBOL=ADBE&amp;VAR:INDEX=0"}</definedName>
    <definedName name="_3916__FDSAUDITLINK__" localSheetId="7" hidden="1">{"fdsup://directions/FAT Viewer?action=UPDATE&amp;creator=factset&amp;DYN_ARGS=TRUE&amp;DOC_NAME=FAT:FQL_AUDITING_CLIENT_TEMPLATE.FAT&amp;display_string=Audit&amp;VAR:KEY=YPCHGHOTYP&amp;VAR:QUERY=UkdGX1RBWF9SQVRFKEFOTiwwLCwsLCwsTk9BVURJVCk=&amp;WINDOW=FIRST_POPUP&amp;HEIGHT=450&amp;WIDTH=450&amp;","START_MAXIMIZED=FALSE&amp;VAR:CALENDAR=US&amp;VAR:SYMBOL=ADBE&amp;VAR:INDEX=0"}</definedName>
    <definedName name="_3916__FDSAUDITLINK__" hidden="1">{"fdsup://directions/FAT Viewer?action=UPDATE&amp;creator=factset&amp;DYN_ARGS=TRUE&amp;DOC_NAME=FAT:FQL_AUDITING_CLIENT_TEMPLATE.FAT&amp;display_string=Audit&amp;VAR:KEY=YPCHGHOTYP&amp;VAR:QUERY=UkdGX1RBWF9SQVRFKEFOTiwwLCwsLCwsTk9BVURJVCk=&amp;WINDOW=FIRST_POPUP&amp;HEIGHT=450&amp;WIDTH=450&amp;","START_MAXIMIZED=FALSE&amp;VAR:CALENDAR=US&amp;VAR:SYMBOL=ADBE&amp;VAR:INDEX=0"}</definedName>
    <definedName name="_3917__FDSAUDITLINK__" localSheetId="3" hidden="1">{"fdsup://directions/FAT Viewer?action=UPDATE&amp;creator=factset&amp;DYN_ARGS=TRUE&amp;DOC_NAME=FAT:FQL_AUDITING_CLIENT_TEMPLATE.FAT&amp;display_string=Audit&amp;VAR:KEY=SZEVSDELEL&amp;VAR:QUERY=UkdGX1RBWF9SQVRFKEFOTiwwLCwsLCwsTk9BVURJVCk=&amp;WINDOW=FIRST_POPUP&amp;HEIGHT=450&amp;WIDTH=450&amp;","START_MAXIMIZED=FALSE&amp;VAR:CALENDAR=US&amp;VAR:SYMBOL=ACTU&amp;VAR:INDEX=0"}</definedName>
    <definedName name="_3917__FDSAUDITLINK__" localSheetId="7" hidden="1">{"fdsup://directions/FAT Viewer?action=UPDATE&amp;creator=factset&amp;DYN_ARGS=TRUE&amp;DOC_NAME=FAT:FQL_AUDITING_CLIENT_TEMPLATE.FAT&amp;display_string=Audit&amp;VAR:KEY=SZEVSDELEL&amp;VAR:QUERY=UkdGX1RBWF9SQVRFKEFOTiwwLCwsLCwsTk9BVURJVCk=&amp;WINDOW=FIRST_POPUP&amp;HEIGHT=450&amp;WIDTH=450&amp;","START_MAXIMIZED=FALSE&amp;VAR:CALENDAR=US&amp;VAR:SYMBOL=ACTU&amp;VAR:INDEX=0"}</definedName>
    <definedName name="_3917__FDSAUDITLINK__" hidden="1">{"fdsup://directions/FAT Viewer?action=UPDATE&amp;creator=factset&amp;DYN_ARGS=TRUE&amp;DOC_NAME=FAT:FQL_AUDITING_CLIENT_TEMPLATE.FAT&amp;display_string=Audit&amp;VAR:KEY=SZEVSDELEL&amp;VAR:QUERY=UkdGX1RBWF9SQVRFKEFOTiwwLCwsLCwsTk9BVURJVCk=&amp;WINDOW=FIRST_POPUP&amp;HEIGHT=450&amp;WIDTH=450&amp;","START_MAXIMIZED=FALSE&amp;VAR:CALENDAR=US&amp;VAR:SYMBOL=ACTU&amp;VAR:INDEX=0"}</definedName>
    <definedName name="_3918__FDSAUDITLINK__" localSheetId="3" hidden="1">{"fdsup://directions/FAT Viewer?action=UPDATE&amp;creator=factset&amp;DYN_ARGS=TRUE&amp;DOC_NAME=FAT:FQL_AUDITING_CLIENT_TEMPLATE.FAT&amp;display_string=Audit&amp;VAR:KEY=SZEVSDELEL&amp;VAR:QUERY=UkdGX1RBWF9SQVRFKEFOTiwwLCwsLCwsTk9BVURJVCk=&amp;WINDOW=FIRST_POPUP&amp;HEIGHT=450&amp;WIDTH=450&amp;","START_MAXIMIZED=FALSE&amp;VAR:CALENDAR=US&amp;VAR:SYMBOL=ACTU&amp;VAR:INDEX=0"}</definedName>
    <definedName name="_3918__FDSAUDITLINK__" localSheetId="7" hidden="1">{"fdsup://directions/FAT Viewer?action=UPDATE&amp;creator=factset&amp;DYN_ARGS=TRUE&amp;DOC_NAME=FAT:FQL_AUDITING_CLIENT_TEMPLATE.FAT&amp;display_string=Audit&amp;VAR:KEY=SZEVSDELEL&amp;VAR:QUERY=UkdGX1RBWF9SQVRFKEFOTiwwLCwsLCwsTk9BVURJVCk=&amp;WINDOW=FIRST_POPUP&amp;HEIGHT=450&amp;WIDTH=450&amp;","START_MAXIMIZED=FALSE&amp;VAR:CALENDAR=US&amp;VAR:SYMBOL=ACTU&amp;VAR:INDEX=0"}</definedName>
    <definedName name="_3918__FDSAUDITLINK__" hidden="1">{"fdsup://directions/FAT Viewer?action=UPDATE&amp;creator=factset&amp;DYN_ARGS=TRUE&amp;DOC_NAME=FAT:FQL_AUDITING_CLIENT_TEMPLATE.FAT&amp;display_string=Audit&amp;VAR:KEY=SZEVSDELEL&amp;VAR:QUERY=UkdGX1RBWF9SQVRFKEFOTiwwLCwsLCwsTk9BVURJVCk=&amp;WINDOW=FIRST_POPUP&amp;HEIGHT=450&amp;WIDTH=450&amp;","START_MAXIMIZED=FALSE&amp;VAR:CALENDAR=US&amp;VAR:SYMBOL=ACTU&amp;VAR:INDEX=0"}</definedName>
    <definedName name="_3919__FDSAUDITLINK__" localSheetId="3" hidden="1">{"fdsup://directions/FAT Viewer?action=UPDATE&amp;creator=factset&amp;DYN_ARGS=TRUE&amp;DOC_NAME=FAT:FQL_AUDITING_CLIENT_TEMPLATE.FAT&amp;display_string=Audit&amp;VAR:KEY=KZEXGXCDGH&amp;VAR:QUERY=UkdGX1RBWF9SQVRFKEFOTiwwLCwsLCwsTk9BVURJVCk=&amp;WINDOW=FIRST_POPUP&amp;HEIGHT=450&amp;WIDTH=450&amp;","START_MAXIMIZED=FALSE&amp;VAR:CALENDAR=US&amp;VAR:SYMBOL=ACTI&amp;VAR:INDEX=0"}</definedName>
    <definedName name="_3919__FDSAUDITLINK__" localSheetId="7" hidden="1">{"fdsup://directions/FAT Viewer?action=UPDATE&amp;creator=factset&amp;DYN_ARGS=TRUE&amp;DOC_NAME=FAT:FQL_AUDITING_CLIENT_TEMPLATE.FAT&amp;display_string=Audit&amp;VAR:KEY=KZEXGXCDGH&amp;VAR:QUERY=UkdGX1RBWF9SQVRFKEFOTiwwLCwsLCwsTk9BVURJVCk=&amp;WINDOW=FIRST_POPUP&amp;HEIGHT=450&amp;WIDTH=450&amp;","START_MAXIMIZED=FALSE&amp;VAR:CALENDAR=US&amp;VAR:SYMBOL=ACTI&amp;VAR:INDEX=0"}</definedName>
    <definedName name="_3919__FDSAUDITLINK__" hidden="1">{"fdsup://directions/FAT Viewer?action=UPDATE&amp;creator=factset&amp;DYN_ARGS=TRUE&amp;DOC_NAME=FAT:FQL_AUDITING_CLIENT_TEMPLATE.FAT&amp;display_string=Audit&amp;VAR:KEY=KZEXGXCDGH&amp;VAR:QUERY=UkdGX1RBWF9SQVRFKEFOTiwwLCwsLCwsTk9BVURJVCk=&amp;WINDOW=FIRST_POPUP&amp;HEIGHT=450&amp;WIDTH=450&amp;","START_MAXIMIZED=FALSE&amp;VAR:CALENDAR=US&amp;VAR:SYMBOL=ACTI&amp;VAR:INDEX=0"}</definedName>
    <definedName name="_392__FDSAUDITLINK__" localSheetId="3" hidden="1">{"fdsup://Directions/FactSet Auditing Viewer?action=AUDIT_VALUE&amp;DB=129&amp;ID1=B10LQP&amp;VALUEID=02999&amp;SDATE=2010&amp;PERIODTYPE=ANN_STD&amp;SCFT=3&amp;window=popup_no_bar&amp;width=385&amp;height=120&amp;START_MAXIMIZED=FALSE&amp;creator=factset&amp;display_string=Audit"}</definedName>
    <definedName name="_392__FDSAUDITLINK__" localSheetId="7" hidden="1">{"fdsup://Directions/FactSet Auditing Viewer?action=AUDIT_VALUE&amp;DB=129&amp;ID1=B10LQP&amp;VALUEID=02999&amp;SDATE=2010&amp;PERIODTYPE=ANN_STD&amp;SCFT=3&amp;window=popup_no_bar&amp;width=385&amp;height=120&amp;START_MAXIMIZED=FALSE&amp;creator=factset&amp;display_string=Audit"}</definedName>
    <definedName name="_392__FDSAUDITLINK__" hidden="1">{"fdsup://Directions/FactSet Auditing Viewer?action=AUDIT_VALUE&amp;DB=129&amp;ID1=B10LQP&amp;VALUEID=02999&amp;SDATE=2010&amp;PERIODTYPE=ANN_STD&amp;SCFT=3&amp;window=popup_no_bar&amp;width=385&amp;height=120&amp;START_MAXIMIZED=FALSE&amp;creator=factset&amp;display_string=Audit"}</definedName>
    <definedName name="_3920__FDSAUDITLINK__" localSheetId="3" hidden="1">{"fdsup://directions/FAT Viewer?action=UPDATE&amp;creator=factset&amp;DYN_ARGS=TRUE&amp;DOC_NAME=FAT:FQL_AUDITING_CLIENT_TEMPLATE.FAT&amp;display_string=Audit&amp;VAR:KEY=GNWVMHANOL&amp;VAR:QUERY=UkdGX1RBWF9SQVRFKEFOTiwwLCwsLCwsTk9BVURJVCk=&amp;WINDOW=FIRST_POPUP&amp;HEIGHT=450&amp;WIDTH=450&amp;","START_MAXIMIZED=FALSE&amp;VAR:CALENDAR=US&amp;VAR:SYMBOL=632430&amp;VAR:INDEX=0"}</definedName>
    <definedName name="_3920__FDSAUDITLINK__" localSheetId="7" hidden="1">{"fdsup://directions/FAT Viewer?action=UPDATE&amp;creator=factset&amp;DYN_ARGS=TRUE&amp;DOC_NAME=FAT:FQL_AUDITING_CLIENT_TEMPLATE.FAT&amp;display_string=Audit&amp;VAR:KEY=GNWVMHANOL&amp;VAR:QUERY=UkdGX1RBWF9SQVRFKEFOTiwwLCwsLCwsTk9BVURJVCk=&amp;WINDOW=FIRST_POPUP&amp;HEIGHT=450&amp;WIDTH=450&amp;","START_MAXIMIZED=FALSE&amp;VAR:CALENDAR=US&amp;VAR:SYMBOL=632430&amp;VAR:INDEX=0"}</definedName>
    <definedName name="_3920__FDSAUDITLINK__" hidden="1">{"fdsup://directions/FAT Viewer?action=UPDATE&amp;creator=factset&amp;DYN_ARGS=TRUE&amp;DOC_NAME=FAT:FQL_AUDITING_CLIENT_TEMPLATE.FAT&amp;display_string=Audit&amp;VAR:KEY=GNWVMHANOL&amp;VAR:QUERY=UkdGX1RBWF9SQVRFKEFOTiwwLCwsLCwsTk9BVURJVCk=&amp;WINDOW=FIRST_POPUP&amp;HEIGHT=450&amp;WIDTH=450&amp;","START_MAXIMIZED=FALSE&amp;VAR:CALENDAR=US&amp;VAR:SYMBOL=632430&amp;VAR:INDEX=0"}</definedName>
    <definedName name="_3921__FDSAUDITLINK__" localSheetId="3" hidden="1">{"fdsup://directions/FAT Viewer?action=UPDATE&amp;creator=factset&amp;DYN_ARGS=TRUE&amp;DOC_NAME=FAT:FQL_AUDITING_CLIENT_TEMPLATE.FAT&amp;display_string=Audit&amp;VAR:KEY=GNWVMHANOL&amp;VAR:QUERY=UkdGX1RBWF9SQVRFKEFOTiwwLCwsLCwsTk9BVURJVCk=&amp;WINDOW=FIRST_POPUP&amp;HEIGHT=450&amp;WIDTH=450&amp;","START_MAXIMIZED=FALSE&amp;VAR:CALENDAR=US&amp;VAR:SYMBOL=632430&amp;VAR:INDEX=0"}</definedName>
    <definedName name="_3921__FDSAUDITLINK__" localSheetId="7" hidden="1">{"fdsup://directions/FAT Viewer?action=UPDATE&amp;creator=factset&amp;DYN_ARGS=TRUE&amp;DOC_NAME=FAT:FQL_AUDITING_CLIENT_TEMPLATE.FAT&amp;display_string=Audit&amp;VAR:KEY=GNWVMHANOL&amp;VAR:QUERY=UkdGX1RBWF9SQVRFKEFOTiwwLCwsLCwsTk9BVURJVCk=&amp;WINDOW=FIRST_POPUP&amp;HEIGHT=450&amp;WIDTH=450&amp;","START_MAXIMIZED=FALSE&amp;VAR:CALENDAR=US&amp;VAR:SYMBOL=632430&amp;VAR:INDEX=0"}</definedName>
    <definedName name="_3921__FDSAUDITLINK__" hidden="1">{"fdsup://directions/FAT Viewer?action=UPDATE&amp;creator=factset&amp;DYN_ARGS=TRUE&amp;DOC_NAME=FAT:FQL_AUDITING_CLIENT_TEMPLATE.FAT&amp;display_string=Audit&amp;VAR:KEY=GNWVMHANOL&amp;VAR:QUERY=UkdGX1RBWF9SQVRFKEFOTiwwLCwsLCwsTk9BVURJVCk=&amp;WINDOW=FIRST_POPUP&amp;HEIGHT=450&amp;WIDTH=450&amp;","START_MAXIMIZED=FALSE&amp;VAR:CALENDAR=US&amp;VAR:SYMBOL=632430&amp;VAR:INDEX=0"}</definedName>
    <definedName name="_3922__FDSAUDITLINK__" localSheetId="3" hidden="1">{"fdsup://directions/FAT Viewer?action=UPDATE&amp;creator=factset&amp;DYN_ARGS=TRUE&amp;DOC_NAME=FAT:FQL_AUDITING_CLIENT_TEMPLATE.FAT&amp;display_string=Audit&amp;VAR:KEY=YRWRCZQTSB&amp;VAR:QUERY=UkdGX1RBWF9SQVRFKEFOTiwwLCwsLCwsTk9BVURJVCk=&amp;WINDOW=FIRST_POPUP&amp;HEIGHT=450&amp;WIDTH=450&amp;","START_MAXIMIZED=FALSE&amp;VAR:CALENDAR=US&amp;VAR:SYMBOL=ACCL&amp;VAR:INDEX=0"}</definedName>
    <definedName name="_3922__FDSAUDITLINK__" localSheetId="7" hidden="1">{"fdsup://directions/FAT Viewer?action=UPDATE&amp;creator=factset&amp;DYN_ARGS=TRUE&amp;DOC_NAME=FAT:FQL_AUDITING_CLIENT_TEMPLATE.FAT&amp;display_string=Audit&amp;VAR:KEY=YRWRCZQTSB&amp;VAR:QUERY=UkdGX1RBWF9SQVRFKEFOTiwwLCwsLCwsTk9BVURJVCk=&amp;WINDOW=FIRST_POPUP&amp;HEIGHT=450&amp;WIDTH=450&amp;","START_MAXIMIZED=FALSE&amp;VAR:CALENDAR=US&amp;VAR:SYMBOL=ACCL&amp;VAR:INDEX=0"}</definedName>
    <definedName name="_3922__FDSAUDITLINK__" hidden="1">{"fdsup://directions/FAT Viewer?action=UPDATE&amp;creator=factset&amp;DYN_ARGS=TRUE&amp;DOC_NAME=FAT:FQL_AUDITING_CLIENT_TEMPLATE.FAT&amp;display_string=Audit&amp;VAR:KEY=YRWRCZQTSB&amp;VAR:QUERY=UkdGX1RBWF9SQVRFKEFOTiwwLCwsLCwsTk9BVURJVCk=&amp;WINDOW=FIRST_POPUP&amp;HEIGHT=450&amp;WIDTH=450&amp;","START_MAXIMIZED=FALSE&amp;VAR:CALENDAR=US&amp;VAR:SYMBOL=ACCL&amp;VAR:INDEX=0"}</definedName>
    <definedName name="_3923__FDSAUDITLINK__" localSheetId="3" hidden="1">{"fdsup://directions/FAT Viewer?action=UPDATE&amp;creator=factset&amp;DYN_ARGS=TRUE&amp;DOC_NAME=FAT:FQL_AUDITING_CLIENT_TEMPLATE.FAT&amp;display_string=Audit&amp;VAR:KEY=OPWTYBERMX&amp;VAR:QUERY=UkdGX1RBWF9SQVRFKEFOTiwwLCwsLCwsTk9BVURJVCk=&amp;WINDOW=FIRST_POPUP&amp;HEIGHT=450&amp;WIDTH=450&amp;","START_MAXIMIZED=FALSE&amp;VAR:CALENDAR=US&amp;VAR:SYMBOL=257076&amp;VAR:INDEX=0"}</definedName>
    <definedName name="_3923__FDSAUDITLINK__" localSheetId="7" hidden="1">{"fdsup://directions/FAT Viewer?action=UPDATE&amp;creator=factset&amp;DYN_ARGS=TRUE&amp;DOC_NAME=FAT:FQL_AUDITING_CLIENT_TEMPLATE.FAT&amp;display_string=Audit&amp;VAR:KEY=OPWTYBERMX&amp;VAR:QUERY=UkdGX1RBWF9SQVRFKEFOTiwwLCwsLCwsTk9BVURJVCk=&amp;WINDOW=FIRST_POPUP&amp;HEIGHT=450&amp;WIDTH=450&amp;","START_MAXIMIZED=FALSE&amp;VAR:CALENDAR=US&amp;VAR:SYMBOL=257076&amp;VAR:INDEX=0"}</definedName>
    <definedName name="_3923__FDSAUDITLINK__" hidden="1">{"fdsup://directions/FAT Viewer?action=UPDATE&amp;creator=factset&amp;DYN_ARGS=TRUE&amp;DOC_NAME=FAT:FQL_AUDITING_CLIENT_TEMPLATE.FAT&amp;display_string=Audit&amp;VAR:KEY=OPWTYBERMX&amp;VAR:QUERY=UkdGX1RBWF9SQVRFKEFOTiwwLCwsLCwsTk9BVURJVCk=&amp;WINDOW=FIRST_POPUP&amp;HEIGHT=450&amp;WIDTH=450&amp;","START_MAXIMIZED=FALSE&amp;VAR:CALENDAR=US&amp;VAR:SYMBOL=257076&amp;VAR:INDEX=0"}</definedName>
    <definedName name="_3924__FDSAUDITLINK__" localSheetId="3" hidden="1">{"fdsup://directions/FAT Viewer?action=UPDATE&amp;creator=factset&amp;DYN_ARGS=TRUE&amp;DOC_NAME=FAT:FQL_AUDITING_CLIENT_TEMPLATE.FAT&amp;display_string=Audit&amp;VAR:KEY=SJAPQTCNGZ&amp;VAR:QUERY=UkdGX1RBWF9SQVRFKEFOTiwwLCwsLCwsTk9BVURJVCk=&amp;WINDOW=FIRST_POPUP&amp;HEIGHT=450&amp;WIDTH=450&amp;","START_MAXIMIZED=FALSE&amp;VAR:CALENDAR=US&amp;VAR:SYMBOL=AAPL&amp;VAR:INDEX=0"}</definedName>
    <definedName name="_3924__FDSAUDITLINK__" localSheetId="7" hidden="1">{"fdsup://directions/FAT Viewer?action=UPDATE&amp;creator=factset&amp;DYN_ARGS=TRUE&amp;DOC_NAME=FAT:FQL_AUDITING_CLIENT_TEMPLATE.FAT&amp;display_string=Audit&amp;VAR:KEY=SJAPQTCNGZ&amp;VAR:QUERY=UkdGX1RBWF9SQVRFKEFOTiwwLCwsLCwsTk9BVURJVCk=&amp;WINDOW=FIRST_POPUP&amp;HEIGHT=450&amp;WIDTH=450&amp;","START_MAXIMIZED=FALSE&amp;VAR:CALENDAR=US&amp;VAR:SYMBOL=AAPL&amp;VAR:INDEX=0"}</definedName>
    <definedName name="_3924__FDSAUDITLINK__" hidden="1">{"fdsup://directions/FAT Viewer?action=UPDATE&amp;creator=factset&amp;DYN_ARGS=TRUE&amp;DOC_NAME=FAT:FQL_AUDITING_CLIENT_TEMPLATE.FAT&amp;display_string=Audit&amp;VAR:KEY=SJAPQTCNGZ&amp;VAR:QUERY=UkdGX1RBWF9SQVRFKEFOTiwwLCwsLCwsTk9BVURJVCk=&amp;WINDOW=FIRST_POPUP&amp;HEIGHT=450&amp;WIDTH=450&amp;","START_MAXIMIZED=FALSE&amp;VAR:CALENDAR=US&amp;VAR:SYMBOL=AAPL&amp;VAR:INDEX=0"}</definedName>
    <definedName name="_3925__FDSAUDITLINK__" localSheetId="3" hidden="1">{"fdsup://directions/FAT Viewer?action=UPDATE&amp;creator=factset&amp;DYN_ARGS=TRUE&amp;DOC_NAME=FAT:FQL_AUDITING_CLIENT_TEMPLATE.FAT&amp;display_string=Audit&amp;VAR:KEY=SJAPQTCNGZ&amp;VAR:QUERY=UkdGX1RBWF9SQVRFKEFOTiwwLCwsLCwsTk9BVURJVCk=&amp;WINDOW=FIRST_POPUP&amp;HEIGHT=450&amp;WIDTH=450&amp;","START_MAXIMIZED=FALSE&amp;VAR:CALENDAR=US&amp;VAR:SYMBOL=AAPL&amp;VAR:INDEX=0"}</definedName>
    <definedName name="_3925__FDSAUDITLINK__" localSheetId="7" hidden="1">{"fdsup://directions/FAT Viewer?action=UPDATE&amp;creator=factset&amp;DYN_ARGS=TRUE&amp;DOC_NAME=FAT:FQL_AUDITING_CLIENT_TEMPLATE.FAT&amp;display_string=Audit&amp;VAR:KEY=SJAPQTCNGZ&amp;VAR:QUERY=UkdGX1RBWF9SQVRFKEFOTiwwLCwsLCwsTk9BVURJVCk=&amp;WINDOW=FIRST_POPUP&amp;HEIGHT=450&amp;WIDTH=450&amp;","START_MAXIMIZED=FALSE&amp;VAR:CALENDAR=US&amp;VAR:SYMBOL=AAPL&amp;VAR:INDEX=0"}</definedName>
    <definedName name="_3925__FDSAUDITLINK__" hidden="1">{"fdsup://directions/FAT Viewer?action=UPDATE&amp;creator=factset&amp;DYN_ARGS=TRUE&amp;DOC_NAME=FAT:FQL_AUDITING_CLIENT_TEMPLATE.FAT&amp;display_string=Audit&amp;VAR:KEY=SJAPQTCNGZ&amp;VAR:QUERY=UkdGX1RBWF9SQVRFKEFOTiwwLCwsLCwsTk9BVURJVCk=&amp;WINDOW=FIRST_POPUP&amp;HEIGHT=450&amp;WIDTH=450&amp;","START_MAXIMIZED=FALSE&amp;VAR:CALENDAR=US&amp;VAR:SYMBOL=AAPL&amp;VAR:INDEX=0"}</definedName>
    <definedName name="_3926__FDSAUDITLINK__" localSheetId="3" hidden="1">{"fdsup://directions/FAT Viewer?action=UPDATE&amp;creator=factset&amp;DYN_ARGS=TRUE&amp;DOC_NAME=FAT:FQL_AUDITING_CLIENT_TEMPLATE.FAT&amp;display_string=Audit&amp;VAR:KEY=IJMJMLINOJ&amp;VAR:QUERY=UkdGX1RBWF9SQVRFKEFOTiwwLCwsLCwsTk9BVURJVCk=&amp;WINDOW=FIRST_POPUP&amp;HEIGHT=450&amp;WIDTH=450&amp;","START_MAXIMIZED=FALSE&amp;VAR:CALENDAR=US&amp;VAR:SYMBOL=ELLI&amp;VAR:INDEX=0"}</definedName>
    <definedName name="_3926__FDSAUDITLINK__" localSheetId="7" hidden="1">{"fdsup://directions/FAT Viewer?action=UPDATE&amp;creator=factset&amp;DYN_ARGS=TRUE&amp;DOC_NAME=FAT:FQL_AUDITING_CLIENT_TEMPLATE.FAT&amp;display_string=Audit&amp;VAR:KEY=IJMJMLINOJ&amp;VAR:QUERY=UkdGX1RBWF9SQVRFKEFOTiwwLCwsLCwsTk9BVURJVCk=&amp;WINDOW=FIRST_POPUP&amp;HEIGHT=450&amp;WIDTH=450&amp;","START_MAXIMIZED=FALSE&amp;VAR:CALENDAR=US&amp;VAR:SYMBOL=ELLI&amp;VAR:INDEX=0"}</definedName>
    <definedName name="_3926__FDSAUDITLINK__" hidden="1">{"fdsup://directions/FAT Viewer?action=UPDATE&amp;creator=factset&amp;DYN_ARGS=TRUE&amp;DOC_NAME=FAT:FQL_AUDITING_CLIENT_TEMPLATE.FAT&amp;display_string=Audit&amp;VAR:KEY=IJMJMLINOJ&amp;VAR:QUERY=UkdGX1RBWF9SQVRFKEFOTiwwLCwsLCwsTk9BVURJVCk=&amp;WINDOW=FIRST_POPUP&amp;HEIGHT=450&amp;WIDTH=450&amp;","START_MAXIMIZED=FALSE&amp;VAR:CALENDAR=US&amp;VAR:SYMBOL=ELLI&amp;VAR:INDEX=0"}</definedName>
    <definedName name="_3927__FDSAUDITLINK__" localSheetId="3" hidden="1">{"fdsup://directions/FAT Viewer?action=UPDATE&amp;creator=factset&amp;DYN_ARGS=TRUE&amp;DOC_NAME=FAT:FQL_AUDITING_CLIENT_TEMPLATE.FAT&amp;display_string=Audit&amp;VAR:KEY=IJMJMLINOJ&amp;VAR:QUERY=UkdGX1RBWF9SQVRFKEFOTiwwLCwsLCwsTk9BVURJVCk=&amp;WINDOW=FIRST_POPUP&amp;HEIGHT=450&amp;WIDTH=450&amp;","START_MAXIMIZED=FALSE&amp;VAR:CALENDAR=US&amp;VAR:SYMBOL=ELLI&amp;VAR:INDEX=0"}</definedName>
    <definedName name="_3927__FDSAUDITLINK__" localSheetId="7" hidden="1">{"fdsup://directions/FAT Viewer?action=UPDATE&amp;creator=factset&amp;DYN_ARGS=TRUE&amp;DOC_NAME=FAT:FQL_AUDITING_CLIENT_TEMPLATE.FAT&amp;display_string=Audit&amp;VAR:KEY=IJMJMLINOJ&amp;VAR:QUERY=UkdGX1RBWF9SQVRFKEFOTiwwLCwsLCwsTk9BVURJVCk=&amp;WINDOW=FIRST_POPUP&amp;HEIGHT=450&amp;WIDTH=450&amp;","START_MAXIMIZED=FALSE&amp;VAR:CALENDAR=US&amp;VAR:SYMBOL=ELLI&amp;VAR:INDEX=0"}</definedName>
    <definedName name="_3927__FDSAUDITLINK__" hidden="1">{"fdsup://directions/FAT Viewer?action=UPDATE&amp;creator=factset&amp;DYN_ARGS=TRUE&amp;DOC_NAME=FAT:FQL_AUDITING_CLIENT_TEMPLATE.FAT&amp;display_string=Audit&amp;VAR:KEY=IJMJMLINOJ&amp;VAR:QUERY=UkdGX1RBWF9SQVRFKEFOTiwwLCwsLCwsTk9BVURJVCk=&amp;WINDOW=FIRST_POPUP&amp;HEIGHT=450&amp;WIDTH=450&amp;","START_MAXIMIZED=FALSE&amp;VAR:CALENDAR=US&amp;VAR:SYMBOL=ELLI&amp;VAR:INDEX=0"}</definedName>
    <definedName name="_3928__FDSAUDITLINK__" localSheetId="3" hidden="1">{"fdsup://directions/FAT Viewer?action=UPDATE&amp;creator=factset&amp;DYN_ARGS=TRUE&amp;DOC_NAME=FAT:FQL_AUDITING_CLIENT_TEMPLATE.FAT&amp;display_string=Audit&amp;VAR:KEY=ZWZUVOFQPG&amp;VAR:QUERY=RkZfTUlOX0lOVF9BQ0NVTShDQUwsTk9XLE5PVyxELCxVU0Qp&amp;WINDOW=FIRST_POPUP&amp;HEIGHT=450&amp;WIDTH=","450&amp;START_MAXIMIZED=FALSE&amp;VAR:CALENDAR=US&amp;VAR:SYMBOL=LREN3&amp;VAR:INDEX=0"}</definedName>
    <definedName name="_3928__FDSAUDITLINK__" localSheetId="7" hidden="1">{"fdsup://directions/FAT Viewer?action=UPDATE&amp;creator=factset&amp;DYN_ARGS=TRUE&amp;DOC_NAME=FAT:FQL_AUDITING_CLIENT_TEMPLATE.FAT&amp;display_string=Audit&amp;VAR:KEY=ZWZUVOFQPG&amp;VAR:QUERY=RkZfTUlOX0lOVF9BQ0NVTShDQUwsTk9XLE5PVyxELCxVU0Qp&amp;WINDOW=FIRST_POPUP&amp;HEIGHT=450&amp;WIDTH=","450&amp;START_MAXIMIZED=FALSE&amp;VAR:CALENDAR=US&amp;VAR:SYMBOL=LREN3&amp;VAR:INDEX=0"}</definedName>
    <definedName name="_3928__FDSAUDITLINK__" hidden="1">{"fdsup://directions/FAT Viewer?action=UPDATE&amp;creator=factset&amp;DYN_ARGS=TRUE&amp;DOC_NAME=FAT:FQL_AUDITING_CLIENT_TEMPLATE.FAT&amp;display_string=Audit&amp;VAR:KEY=ZWZUVOFQPG&amp;VAR:QUERY=RkZfTUlOX0lOVF9BQ0NVTShDQUwsTk9XLE5PVyxELCxVU0Qp&amp;WINDOW=FIRST_POPUP&amp;HEIGHT=450&amp;WIDTH=","450&amp;START_MAXIMIZED=FALSE&amp;VAR:CALENDAR=US&amp;VAR:SYMBOL=LREN3&amp;VAR:INDEX=0"}</definedName>
    <definedName name="_392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496"}</definedName>
    <definedName name="_392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496"}</definedName>
    <definedName name="_392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496"}</definedName>
    <definedName name="_393__FDSAUDITLINK__" localSheetId="3" hidden="1">{"fdsup://directions/FAT Viewer?action=UPDATE&amp;creator=factset&amp;DYN_ARGS=TRUE&amp;DOC_NAME=FAT:FQL_AUDITING_CLIENT_TEMPLATE.FAT&amp;display_string=Audit&amp;VAR:KEY=VSVIBMNYFE&amp;VAR:QUERY=RkZfU0dBX1NBTEVTKEFOTiwwLC05LFksUlAp&amp;WINDOW=FIRST_POPUP&amp;HEIGHT=450&amp;WIDTH=450&amp;START_MA","XIMIZED=FALSE&amp;VAR:CALENDAR=US&amp;VAR:SYMBOL=B10LQP&amp;VAR:INDEX=6"}</definedName>
    <definedName name="_393__FDSAUDITLINK__" localSheetId="7" hidden="1">{"fdsup://directions/FAT Viewer?action=UPDATE&amp;creator=factset&amp;DYN_ARGS=TRUE&amp;DOC_NAME=FAT:FQL_AUDITING_CLIENT_TEMPLATE.FAT&amp;display_string=Audit&amp;VAR:KEY=VSVIBMNYFE&amp;VAR:QUERY=RkZfU0dBX1NBTEVTKEFOTiwwLC05LFksUlAp&amp;WINDOW=FIRST_POPUP&amp;HEIGHT=450&amp;WIDTH=450&amp;START_MA","XIMIZED=FALSE&amp;VAR:CALENDAR=US&amp;VAR:SYMBOL=B10LQP&amp;VAR:INDEX=6"}</definedName>
    <definedName name="_393__FDSAUDITLINK__" hidden="1">{"fdsup://directions/FAT Viewer?action=UPDATE&amp;creator=factset&amp;DYN_ARGS=TRUE&amp;DOC_NAME=FAT:FQL_AUDITING_CLIENT_TEMPLATE.FAT&amp;display_string=Audit&amp;VAR:KEY=VSVIBMNYFE&amp;VAR:QUERY=RkZfU0dBX1NBTEVTKEFOTiwwLC05LFksUlAp&amp;WINDOW=FIRST_POPUP&amp;HEIGHT=450&amp;WIDTH=450&amp;START_MA","XIMIZED=FALSE&amp;VAR:CALENDAR=US&amp;VAR:SYMBOL=B10LQP&amp;VAR:INDEX=6"}</definedName>
    <definedName name="_393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495"}</definedName>
    <definedName name="_393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495"}</definedName>
    <definedName name="_393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495"}</definedName>
    <definedName name="_393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494"}</definedName>
    <definedName name="_393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494"}</definedName>
    <definedName name="_393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494"}</definedName>
    <definedName name="_393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497"}</definedName>
    <definedName name="_393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497"}</definedName>
    <definedName name="_393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497"}</definedName>
    <definedName name="_393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492"}</definedName>
    <definedName name="_393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492"}</definedName>
    <definedName name="_393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492"}</definedName>
    <definedName name="_393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499"}</definedName>
    <definedName name="_393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499"}</definedName>
    <definedName name="_393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499"}</definedName>
    <definedName name="_393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498"}</definedName>
    <definedName name="_393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498"}</definedName>
    <definedName name="_393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498"}</definedName>
    <definedName name="_393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502"}</definedName>
    <definedName name="_393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502"}</definedName>
    <definedName name="_393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502"}</definedName>
    <definedName name="_393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501"}</definedName>
    <definedName name="_393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501"}</definedName>
    <definedName name="_393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501"}</definedName>
    <definedName name="_393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500"}</definedName>
    <definedName name="_393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500"}</definedName>
    <definedName name="_393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500"}</definedName>
    <definedName name="_393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492"}</definedName>
    <definedName name="_393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492"}</definedName>
    <definedName name="_393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492"}</definedName>
    <definedName name="_394__FDSAUDITLINK__" localSheetId="3" hidden="1">{"fdsup://directions/FAT Viewer?action=UPDATE&amp;creator=factset&amp;DYN_ARGS=TRUE&amp;DOC_NAME=FAT:FQL_AUDITING_CLIENT_TEMPLATE.FAT&amp;display_string=Audit&amp;VAR:KEY=ZQZSLGBQVA&amp;VAR:QUERY=RkZfQ0FTSF9BU1NFVFMoQU5OLDAsLTksWSxSUCxMT0NBTCxNKQ==&amp;WINDOW=FIRST_POPUP&amp;HEIGHT=450&amp;WI","DTH=450&amp;START_MAXIMIZED=FALSE&amp;VAR:CALENDAR=US&amp;VAR:SYMBOL=B10LQP&amp;VAR:INDEX=7"}</definedName>
    <definedName name="_394__FDSAUDITLINK__" localSheetId="7" hidden="1">{"fdsup://directions/FAT Viewer?action=UPDATE&amp;creator=factset&amp;DYN_ARGS=TRUE&amp;DOC_NAME=FAT:FQL_AUDITING_CLIENT_TEMPLATE.FAT&amp;display_string=Audit&amp;VAR:KEY=ZQZSLGBQVA&amp;VAR:QUERY=RkZfQ0FTSF9BU1NFVFMoQU5OLDAsLTksWSxSUCxMT0NBTCxNKQ==&amp;WINDOW=FIRST_POPUP&amp;HEIGHT=450&amp;WI","DTH=450&amp;START_MAXIMIZED=FALSE&amp;VAR:CALENDAR=US&amp;VAR:SYMBOL=B10LQP&amp;VAR:INDEX=7"}</definedName>
    <definedName name="_394__FDSAUDITLINK__" hidden="1">{"fdsup://directions/FAT Viewer?action=UPDATE&amp;creator=factset&amp;DYN_ARGS=TRUE&amp;DOC_NAME=FAT:FQL_AUDITING_CLIENT_TEMPLATE.FAT&amp;display_string=Audit&amp;VAR:KEY=ZQZSLGBQVA&amp;VAR:QUERY=RkZfQ0FTSF9BU1NFVFMoQU5OLDAsLTksWSxSUCxMT0NBTCxNKQ==&amp;WINDOW=FIRST_POPUP&amp;HEIGHT=450&amp;WI","DTH=450&amp;START_MAXIMIZED=FALSE&amp;VAR:CALENDAR=US&amp;VAR:SYMBOL=B10LQP&amp;VAR:INDEX=7"}</definedName>
    <definedName name="_394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491"}</definedName>
    <definedName name="_394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491"}</definedName>
    <definedName name="_394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491"}</definedName>
    <definedName name="_394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490"}</definedName>
    <definedName name="_394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490"}</definedName>
    <definedName name="_394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490"}</definedName>
    <definedName name="_394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489"}</definedName>
    <definedName name="_394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489"}</definedName>
    <definedName name="_394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489"}</definedName>
    <definedName name="_394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488"}</definedName>
    <definedName name="_394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488"}</definedName>
    <definedName name="_394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488"}</definedName>
    <definedName name="_394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487"}</definedName>
    <definedName name="_394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487"}</definedName>
    <definedName name="_394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487"}</definedName>
    <definedName name="_394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486"}</definedName>
    <definedName name="_394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486"}</definedName>
    <definedName name="_394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486"}</definedName>
    <definedName name="_394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485"}</definedName>
    <definedName name="_394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485"}</definedName>
    <definedName name="_394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485"}</definedName>
    <definedName name="_394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484"}</definedName>
    <definedName name="_394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484"}</definedName>
    <definedName name="_394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484"}</definedName>
    <definedName name="_394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483"}</definedName>
    <definedName name="_394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483"}</definedName>
    <definedName name="_394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483"}</definedName>
    <definedName name="_394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482"}</definedName>
    <definedName name="_394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482"}</definedName>
    <definedName name="_394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482"}</definedName>
    <definedName name="_395__FDSAUDITLINK__" localSheetId="3" hidden="1">{"fdsup://directions/FAT Viewer?action=UPDATE&amp;creator=factset&amp;DYN_ARGS=TRUE&amp;DOC_NAME=FAT:FQL_AUDITING_CLIENT_TEMPLATE.FAT&amp;display_string=Audit&amp;VAR:KEY=ZQZSLGBQVA&amp;VAR:QUERY=RkZfQ0FTSF9BU1NFVFMoQU5OLDAsLTksWSxSUCxMT0NBTCxNKQ==&amp;WINDOW=FIRST_POPUP&amp;HEIGHT=450&amp;WI","DTH=450&amp;START_MAXIMIZED=FALSE&amp;VAR:CALENDAR=US&amp;VAR:SYMBOL=B10LQP&amp;VAR:INDEX=6"}</definedName>
    <definedName name="_395__FDSAUDITLINK__" localSheetId="7" hidden="1">{"fdsup://directions/FAT Viewer?action=UPDATE&amp;creator=factset&amp;DYN_ARGS=TRUE&amp;DOC_NAME=FAT:FQL_AUDITING_CLIENT_TEMPLATE.FAT&amp;display_string=Audit&amp;VAR:KEY=ZQZSLGBQVA&amp;VAR:QUERY=RkZfQ0FTSF9BU1NFVFMoQU5OLDAsLTksWSxSUCxMT0NBTCxNKQ==&amp;WINDOW=FIRST_POPUP&amp;HEIGHT=450&amp;WI","DTH=450&amp;START_MAXIMIZED=FALSE&amp;VAR:CALENDAR=US&amp;VAR:SYMBOL=B10LQP&amp;VAR:INDEX=6"}</definedName>
    <definedName name="_395__FDSAUDITLINK__" hidden="1">{"fdsup://directions/FAT Viewer?action=UPDATE&amp;creator=factset&amp;DYN_ARGS=TRUE&amp;DOC_NAME=FAT:FQL_AUDITING_CLIENT_TEMPLATE.FAT&amp;display_string=Audit&amp;VAR:KEY=ZQZSLGBQVA&amp;VAR:QUERY=RkZfQ0FTSF9BU1NFVFMoQU5OLDAsLTksWSxSUCxMT0NBTCxNKQ==&amp;WINDOW=FIRST_POPUP&amp;HEIGHT=450&amp;WI","DTH=450&amp;START_MAXIMIZED=FALSE&amp;VAR:CALENDAR=US&amp;VAR:SYMBOL=B10LQP&amp;VAR:INDEX=6"}</definedName>
    <definedName name="_395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481"}</definedName>
    <definedName name="_395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481"}</definedName>
    <definedName name="_395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481"}</definedName>
    <definedName name="_395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480"}</definedName>
    <definedName name="_395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480"}</definedName>
    <definedName name="_395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480"}</definedName>
    <definedName name="_395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479"}</definedName>
    <definedName name="_395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479"}</definedName>
    <definedName name="_395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479"}</definedName>
    <definedName name="_395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478"}</definedName>
    <definedName name="_395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478"}</definedName>
    <definedName name="_395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478"}</definedName>
    <definedName name="_395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477"}</definedName>
    <definedName name="_395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477"}</definedName>
    <definedName name="_395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477"}</definedName>
    <definedName name="_395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476"}</definedName>
    <definedName name="_395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476"}</definedName>
    <definedName name="_395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476"}</definedName>
    <definedName name="_395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475"}</definedName>
    <definedName name="_395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475"}</definedName>
    <definedName name="_395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475"}</definedName>
    <definedName name="_395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474"}</definedName>
    <definedName name="_395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474"}</definedName>
    <definedName name="_395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474"}</definedName>
    <definedName name="_395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473"}</definedName>
    <definedName name="_395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473"}</definedName>
    <definedName name="_395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473"}</definedName>
    <definedName name="_395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472"}</definedName>
    <definedName name="_395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472"}</definedName>
    <definedName name="_395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472"}</definedName>
    <definedName name="_396__FDSAUDITLINK__" localSheetId="3" hidden="1">{"fdsup://directions/FAT Viewer?action=UPDATE&amp;creator=factset&amp;DYN_ARGS=TRUE&amp;DOC_NAME=FAT:FQL_AUDITING_CLIENT_TEMPLATE.FAT&amp;display_string=Audit&amp;VAR:KEY=ZQZSLGBQVA&amp;VAR:QUERY=RkZfQ0FTSF9BU1NFVFMoQU5OLDAsLTksWSxSUCxMT0NBTCxNKQ==&amp;WINDOW=FIRST_POPUP&amp;HEIGHT=450&amp;WI","DTH=450&amp;START_MAXIMIZED=FALSE&amp;VAR:CALENDAR=US&amp;VAR:SYMBOL=B10LQP&amp;VAR:INDEX=5"}</definedName>
    <definedName name="_396__FDSAUDITLINK__" localSheetId="7" hidden="1">{"fdsup://directions/FAT Viewer?action=UPDATE&amp;creator=factset&amp;DYN_ARGS=TRUE&amp;DOC_NAME=FAT:FQL_AUDITING_CLIENT_TEMPLATE.FAT&amp;display_string=Audit&amp;VAR:KEY=ZQZSLGBQVA&amp;VAR:QUERY=RkZfQ0FTSF9BU1NFVFMoQU5OLDAsLTksWSxSUCxMT0NBTCxNKQ==&amp;WINDOW=FIRST_POPUP&amp;HEIGHT=450&amp;WI","DTH=450&amp;START_MAXIMIZED=FALSE&amp;VAR:CALENDAR=US&amp;VAR:SYMBOL=B10LQP&amp;VAR:INDEX=5"}</definedName>
    <definedName name="_396__FDSAUDITLINK__" hidden="1">{"fdsup://directions/FAT Viewer?action=UPDATE&amp;creator=factset&amp;DYN_ARGS=TRUE&amp;DOC_NAME=FAT:FQL_AUDITING_CLIENT_TEMPLATE.FAT&amp;display_string=Audit&amp;VAR:KEY=ZQZSLGBQVA&amp;VAR:QUERY=RkZfQ0FTSF9BU1NFVFMoQU5OLDAsLTksWSxSUCxMT0NBTCxNKQ==&amp;WINDOW=FIRST_POPUP&amp;HEIGHT=450&amp;WI","DTH=450&amp;START_MAXIMIZED=FALSE&amp;VAR:CALENDAR=US&amp;VAR:SYMBOL=B10LQP&amp;VAR:INDEX=5"}</definedName>
    <definedName name="_396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471"}</definedName>
    <definedName name="_396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471"}</definedName>
    <definedName name="_396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471"}</definedName>
    <definedName name="_396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470"}</definedName>
    <definedName name="_396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470"}</definedName>
    <definedName name="_396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470"}</definedName>
    <definedName name="_396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469"}</definedName>
    <definedName name="_396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469"}</definedName>
    <definedName name="_396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469"}</definedName>
    <definedName name="_396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468"}</definedName>
    <definedName name="_396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468"}</definedName>
    <definedName name="_396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468"}</definedName>
    <definedName name="_396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467"}</definedName>
    <definedName name="_396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467"}</definedName>
    <definedName name="_396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467"}</definedName>
    <definedName name="_396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466"}</definedName>
    <definedName name="_396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466"}</definedName>
    <definedName name="_396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466"}</definedName>
    <definedName name="_396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465"}</definedName>
    <definedName name="_396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465"}</definedName>
    <definedName name="_396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465"}</definedName>
    <definedName name="_396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464"}</definedName>
    <definedName name="_396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464"}</definedName>
    <definedName name="_396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464"}</definedName>
    <definedName name="_396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463"}</definedName>
    <definedName name="_396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463"}</definedName>
    <definedName name="_396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463"}</definedName>
    <definedName name="_396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462"}</definedName>
    <definedName name="_396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462"}</definedName>
    <definedName name="_396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462"}</definedName>
    <definedName name="_397__FDSAUDITLINK__" localSheetId="3" hidden="1">{"fdsup://directions/FAT Viewer?action=UPDATE&amp;creator=factset&amp;DYN_ARGS=TRUE&amp;DOC_NAME=FAT:FQL_AUDITING_CLIENT_TEMPLATE.FAT&amp;display_string=Audit&amp;VAR:KEY=ZQZSLGBQVA&amp;VAR:QUERY=RkZfQ0FTSF9BU1NFVFMoQU5OLDAsLTksWSxSUCxMT0NBTCxNKQ==&amp;WINDOW=FIRST_POPUP&amp;HEIGHT=450&amp;WI","DTH=450&amp;START_MAXIMIZED=FALSE&amp;VAR:CALENDAR=US&amp;VAR:SYMBOL=B10LQP&amp;VAR:INDEX=4"}</definedName>
    <definedName name="_397__FDSAUDITLINK__" localSheetId="7" hidden="1">{"fdsup://directions/FAT Viewer?action=UPDATE&amp;creator=factset&amp;DYN_ARGS=TRUE&amp;DOC_NAME=FAT:FQL_AUDITING_CLIENT_TEMPLATE.FAT&amp;display_string=Audit&amp;VAR:KEY=ZQZSLGBQVA&amp;VAR:QUERY=RkZfQ0FTSF9BU1NFVFMoQU5OLDAsLTksWSxSUCxMT0NBTCxNKQ==&amp;WINDOW=FIRST_POPUP&amp;HEIGHT=450&amp;WI","DTH=450&amp;START_MAXIMIZED=FALSE&amp;VAR:CALENDAR=US&amp;VAR:SYMBOL=B10LQP&amp;VAR:INDEX=4"}</definedName>
    <definedName name="_397__FDSAUDITLINK__" hidden="1">{"fdsup://directions/FAT Viewer?action=UPDATE&amp;creator=factset&amp;DYN_ARGS=TRUE&amp;DOC_NAME=FAT:FQL_AUDITING_CLIENT_TEMPLATE.FAT&amp;display_string=Audit&amp;VAR:KEY=ZQZSLGBQVA&amp;VAR:QUERY=RkZfQ0FTSF9BU1NFVFMoQU5OLDAsLTksWSxSUCxMT0NBTCxNKQ==&amp;WINDOW=FIRST_POPUP&amp;HEIGHT=450&amp;WI","DTH=450&amp;START_MAXIMIZED=FALSE&amp;VAR:CALENDAR=US&amp;VAR:SYMBOL=B10LQP&amp;VAR:INDEX=4"}</definedName>
    <definedName name="_397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461"}</definedName>
    <definedName name="_397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461"}</definedName>
    <definedName name="_397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461"}</definedName>
    <definedName name="_397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460"}</definedName>
    <definedName name="_397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460"}</definedName>
    <definedName name="_397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460"}</definedName>
    <definedName name="_397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459"}</definedName>
    <definedName name="_397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459"}</definedName>
    <definedName name="_397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459"}</definedName>
    <definedName name="_397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458"}</definedName>
    <definedName name="_397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458"}</definedName>
    <definedName name="_397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458"}</definedName>
    <definedName name="_397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457"}</definedName>
    <definedName name="_397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457"}</definedName>
    <definedName name="_397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457"}</definedName>
    <definedName name="_397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456"}</definedName>
    <definedName name="_397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456"}</definedName>
    <definedName name="_397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456"}</definedName>
    <definedName name="_397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455"}</definedName>
    <definedName name="_397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455"}</definedName>
    <definedName name="_397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455"}</definedName>
    <definedName name="_397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454"}</definedName>
    <definedName name="_397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454"}</definedName>
    <definedName name="_397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454"}</definedName>
    <definedName name="_397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453"}</definedName>
    <definedName name="_397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453"}</definedName>
    <definedName name="_397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453"}</definedName>
    <definedName name="_397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452"}</definedName>
    <definedName name="_397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452"}</definedName>
    <definedName name="_397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452"}</definedName>
    <definedName name="_398__FDSAUDITLINK__" localSheetId="3" hidden="1">{"fdsup://directions/FAT Viewer?action=UPDATE&amp;creator=factset&amp;DYN_ARGS=TRUE&amp;DOC_NAME=FAT:FQL_AUDITING_CLIENT_TEMPLATE.FAT&amp;display_string=Audit&amp;VAR:KEY=ZQZSLGBQVA&amp;VAR:QUERY=RkZfQ0FTSF9BU1NFVFMoQU5OLDAsLTksWSxSUCxMT0NBTCxNKQ==&amp;WINDOW=FIRST_POPUP&amp;HEIGHT=450&amp;WI","DTH=450&amp;START_MAXIMIZED=FALSE&amp;VAR:CALENDAR=US&amp;VAR:SYMBOL=B10LQP&amp;VAR:INDEX=3"}</definedName>
    <definedName name="_398__FDSAUDITLINK__" localSheetId="7" hidden="1">{"fdsup://directions/FAT Viewer?action=UPDATE&amp;creator=factset&amp;DYN_ARGS=TRUE&amp;DOC_NAME=FAT:FQL_AUDITING_CLIENT_TEMPLATE.FAT&amp;display_string=Audit&amp;VAR:KEY=ZQZSLGBQVA&amp;VAR:QUERY=RkZfQ0FTSF9BU1NFVFMoQU5OLDAsLTksWSxSUCxMT0NBTCxNKQ==&amp;WINDOW=FIRST_POPUP&amp;HEIGHT=450&amp;WI","DTH=450&amp;START_MAXIMIZED=FALSE&amp;VAR:CALENDAR=US&amp;VAR:SYMBOL=B10LQP&amp;VAR:INDEX=3"}</definedName>
    <definedName name="_398__FDSAUDITLINK__" hidden="1">{"fdsup://directions/FAT Viewer?action=UPDATE&amp;creator=factset&amp;DYN_ARGS=TRUE&amp;DOC_NAME=FAT:FQL_AUDITING_CLIENT_TEMPLATE.FAT&amp;display_string=Audit&amp;VAR:KEY=ZQZSLGBQVA&amp;VAR:QUERY=RkZfQ0FTSF9BU1NFVFMoQU5OLDAsLTksWSxSUCxMT0NBTCxNKQ==&amp;WINDOW=FIRST_POPUP&amp;HEIGHT=450&amp;WI","DTH=450&amp;START_MAXIMIZED=FALSE&amp;VAR:CALENDAR=US&amp;VAR:SYMBOL=B10LQP&amp;VAR:INDEX=3"}</definedName>
    <definedName name="_398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451"}</definedName>
    <definedName name="_398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451"}</definedName>
    <definedName name="_398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451"}</definedName>
    <definedName name="_398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450"}</definedName>
    <definedName name="_398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450"}</definedName>
    <definedName name="_398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450"}</definedName>
    <definedName name="_398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449"}</definedName>
    <definedName name="_398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449"}</definedName>
    <definedName name="_398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449"}</definedName>
    <definedName name="_398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448"}</definedName>
    <definedName name="_398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448"}</definedName>
    <definedName name="_398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448"}</definedName>
    <definedName name="_398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447"}</definedName>
    <definedName name="_398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447"}</definedName>
    <definedName name="_398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447"}</definedName>
    <definedName name="_398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446"}</definedName>
    <definedName name="_398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446"}</definedName>
    <definedName name="_398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446"}</definedName>
    <definedName name="_398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445"}</definedName>
    <definedName name="_398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445"}</definedName>
    <definedName name="_398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445"}</definedName>
    <definedName name="_398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444"}</definedName>
    <definedName name="_398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444"}</definedName>
    <definedName name="_398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444"}</definedName>
    <definedName name="_398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443"}</definedName>
    <definedName name="_398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443"}</definedName>
    <definedName name="_398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443"}</definedName>
    <definedName name="_398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442"}</definedName>
    <definedName name="_398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442"}</definedName>
    <definedName name="_398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442"}</definedName>
    <definedName name="_399__FDSAUDITLINK__" localSheetId="3" hidden="1">{"fdsup://directions/FAT Viewer?action=UPDATE&amp;creator=factset&amp;DYN_ARGS=TRUE&amp;DOC_NAME=FAT:FQL_AUDITING_CLIENT_TEMPLATE.FAT&amp;display_string=Audit&amp;VAR:KEY=ZQZSLGBQVA&amp;VAR:QUERY=RkZfQ0FTSF9BU1NFVFMoQU5OLDAsLTksWSxSUCxMT0NBTCxNKQ==&amp;WINDOW=FIRST_POPUP&amp;HEIGHT=450&amp;WI","DTH=450&amp;START_MAXIMIZED=FALSE&amp;VAR:CALENDAR=US&amp;VAR:SYMBOL=B10LQP&amp;VAR:INDEX=2"}</definedName>
    <definedName name="_399__FDSAUDITLINK__" localSheetId="7" hidden="1">{"fdsup://directions/FAT Viewer?action=UPDATE&amp;creator=factset&amp;DYN_ARGS=TRUE&amp;DOC_NAME=FAT:FQL_AUDITING_CLIENT_TEMPLATE.FAT&amp;display_string=Audit&amp;VAR:KEY=ZQZSLGBQVA&amp;VAR:QUERY=RkZfQ0FTSF9BU1NFVFMoQU5OLDAsLTksWSxSUCxMT0NBTCxNKQ==&amp;WINDOW=FIRST_POPUP&amp;HEIGHT=450&amp;WI","DTH=450&amp;START_MAXIMIZED=FALSE&amp;VAR:CALENDAR=US&amp;VAR:SYMBOL=B10LQP&amp;VAR:INDEX=2"}</definedName>
    <definedName name="_399__FDSAUDITLINK__" hidden="1">{"fdsup://directions/FAT Viewer?action=UPDATE&amp;creator=factset&amp;DYN_ARGS=TRUE&amp;DOC_NAME=FAT:FQL_AUDITING_CLIENT_TEMPLATE.FAT&amp;display_string=Audit&amp;VAR:KEY=ZQZSLGBQVA&amp;VAR:QUERY=RkZfQ0FTSF9BU1NFVFMoQU5OLDAsLTksWSxSUCxMT0NBTCxNKQ==&amp;WINDOW=FIRST_POPUP&amp;HEIGHT=450&amp;WI","DTH=450&amp;START_MAXIMIZED=FALSE&amp;VAR:CALENDAR=US&amp;VAR:SYMBOL=B10LQP&amp;VAR:INDEX=2"}</definedName>
    <definedName name="_399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441"}</definedName>
    <definedName name="_399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441"}</definedName>
    <definedName name="_399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441"}</definedName>
    <definedName name="_399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440"}</definedName>
    <definedName name="_399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440"}</definedName>
    <definedName name="_399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440"}</definedName>
    <definedName name="_399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439"}</definedName>
    <definedName name="_399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439"}</definedName>
    <definedName name="_399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439"}</definedName>
    <definedName name="_399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438"}</definedName>
    <definedName name="_399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438"}</definedName>
    <definedName name="_399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438"}</definedName>
    <definedName name="_399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437"}</definedName>
    <definedName name="_399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437"}</definedName>
    <definedName name="_399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437"}</definedName>
    <definedName name="_399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436"}</definedName>
    <definedName name="_399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436"}</definedName>
    <definedName name="_399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436"}</definedName>
    <definedName name="_399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435"}</definedName>
    <definedName name="_399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435"}</definedName>
    <definedName name="_399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435"}</definedName>
    <definedName name="_399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434"}</definedName>
    <definedName name="_399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434"}</definedName>
    <definedName name="_399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434"}</definedName>
    <definedName name="_399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433"}</definedName>
    <definedName name="_399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433"}</definedName>
    <definedName name="_399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433"}</definedName>
    <definedName name="_399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432"}</definedName>
    <definedName name="_399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432"}</definedName>
    <definedName name="_399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432"}</definedName>
    <definedName name="_40__FDSAUDITLINK__" localSheetId="3" hidden="1">{"fdsup://directions/FAT Viewer?action=UPDATE&amp;creator=factset&amp;DYN_ARGS=TRUE&amp;DOC_NAME=FAT:FQL_AUDITING_CLIENT_TEMPLATE.FAT&amp;display_string=Audit&amp;VAR:KEY=XAJUNYNITE&amp;VAR:QUERY=RkZfRUJJVERBX09QRVIoQU5OLE5PVywsLCxMT0NBTCk=&amp;WINDOW=FIRST_POPUP&amp;HEIGHT=450&amp;WIDTH=450&amp;","START_MAXIMIZED=FALSE&amp;VAR:CALENDAR=US&amp;VAR:SYMBOL=B07C76&amp;VAR:INDEX=0"}</definedName>
    <definedName name="_40__FDSAUDITLINK__" localSheetId="7" hidden="1">{"fdsup://directions/FAT Viewer?action=UPDATE&amp;creator=factset&amp;DYN_ARGS=TRUE&amp;DOC_NAME=FAT:FQL_AUDITING_CLIENT_TEMPLATE.FAT&amp;display_string=Audit&amp;VAR:KEY=XAJUNYNITE&amp;VAR:QUERY=RkZfRUJJVERBX09QRVIoQU5OLE5PVywsLCxMT0NBTCk=&amp;WINDOW=FIRST_POPUP&amp;HEIGHT=450&amp;WIDTH=450&amp;","START_MAXIMIZED=FALSE&amp;VAR:CALENDAR=US&amp;VAR:SYMBOL=B07C76&amp;VAR:INDEX=0"}</definedName>
    <definedName name="_40__FDSAUDITLINK__" hidden="1">{"fdsup://directions/FAT Viewer?action=UPDATE&amp;creator=factset&amp;DYN_ARGS=TRUE&amp;DOC_NAME=FAT:FQL_AUDITING_CLIENT_TEMPLATE.FAT&amp;display_string=Audit&amp;VAR:KEY=XAJUNYNITE&amp;VAR:QUERY=RkZfRUJJVERBX09QRVIoQU5OLE5PVywsLCxMT0NBTCk=&amp;WINDOW=FIRST_POPUP&amp;HEIGHT=450&amp;WIDTH=450&amp;","START_MAXIMIZED=FALSE&amp;VAR:CALENDAR=US&amp;VAR:SYMBOL=B07C76&amp;VAR:INDEX=0"}</definedName>
    <definedName name="_400__FDSAUDITLINK__" localSheetId="3" hidden="1">{"fdsup://directions/FAT Viewer?action=UPDATE&amp;creator=factset&amp;DYN_ARGS=TRUE&amp;DOC_NAME=FAT:FQL_AUDITING_CLIENT_TEMPLATE.FAT&amp;display_string=Audit&amp;VAR:KEY=ZQZSLGBQVA&amp;VAR:QUERY=RkZfQ0FTSF9BU1NFVFMoQU5OLDAsLTksWSxSUCxMT0NBTCxNKQ==&amp;WINDOW=FIRST_POPUP&amp;HEIGHT=450&amp;WI","DTH=450&amp;START_MAXIMIZED=FALSE&amp;VAR:CALENDAR=US&amp;VAR:SYMBOL=B10LQP&amp;VAR:INDEX=1"}</definedName>
    <definedName name="_400__FDSAUDITLINK__" localSheetId="7" hidden="1">{"fdsup://directions/FAT Viewer?action=UPDATE&amp;creator=factset&amp;DYN_ARGS=TRUE&amp;DOC_NAME=FAT:FQL_AUDITING_CLIENT_TEMPLATE.FAT&amp;display_string=Audit&amp;VAR:KEY=ZQZSLGBQVA&amp;VAR:QUERY=RkZfQ0FTSF9BU1NFVFMoQU5OLDAsLTksWSxSUCxMT0NBTCxNKQ==&amp;WINDOW=FIRST_POPUP&amp;HEIGHT=450&amp;WI","DTH=450&amp;START_MAXIMIZED=FALSE&amp;VAR:CALENDAR=US&amp;VAR:SYMBOL=B10LQP&amp;VAR:INDEX=1"}</definedName>
    <definedName name="_400__FDSAUDITLINK__" hidden="1">{"fdsup://directions/FAT Viewer?action=UPDATE&amp;creator=factset&amp;DYN_ARGS=TRUE&amp;DOC_NAME=FAT:FQL_AUDITING_CLIENT_TEMPLATE.FAT&amp;display_string=Audit&amp;VAR:KEY=ZQZSLGBQVA&amp;VAR:QUERY=RkZfQ0FTSF9BU1NFVFMoQU5OLDAsLTksWSxSUCxMT0NBTCxNKQ==&amp;WINDOW=FIRST_POPUP&amp;HEIGHT=450&amp;WI","DTH=450&amp;START_MAXIMIZED=FALSE&amp;VAR:CALENDAR=US&amp;VAR:SYMBOL=B10LQP&amp;VAR:INDEX=1"}</definedName>
    <definedName name="_400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431"}</definedName>
    <definedName name="_400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431"}</definedName>
    <definedName name="_400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431"}</definedName>
    <definedName name="_400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430"}</definedName>
    <definedName name="_400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430"}</definedName>
    <definedName name="_400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430"}</definedName>
    <definedName name="_400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429"}</definedName>
    <definedName name="_400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429"}</definedName>
    <definedName name="_400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429"}</definedName>
    <definedName name="_400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428"}</definedName>
    <definedName name="_400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428"}</definedName>
    <definedName name="_400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428"}</definedName>
    <definedName name="_400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427"}</definedName>
    <definedName name="_400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427"}</definedName>
    <definedName name="_400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427"}</definedName>
    <definedName name="_400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426"}</definedName>
    <definedName name="_400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426"}</definedName>
    <definedName name="_400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426"}</definedName>
    <definedName name="_400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425"}</definedName>
    <definedName name="_400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425"}</definedName>
    <definedName name="_400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425"}</definedName>
    <definedName name="_400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424"}</definedName>
    <definedName name="_400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424"}</definedName>
    <definedName name="_400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424"}</definedName>
    <definedName name="_400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423"}</definedName>
    <definedName name="_400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423"}</definedName>
    <definedName name="_400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423"}</definedName>
    <definedName name="_400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422"}</definedName>
    <definedName name="_400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422"}</definedName>
    <definedName name="_400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422"}</definedName>
    <definedName name="_401__FDSAUDITLINK__" localSheetId="3" hidden="1">{"fdsup://directions/FAT Viewer?action=UPDATE&amp;creator=factset&amp;DYN_ARGS=TRUE&amp;DOC_NAME=FAT:FQL_AUDITING_CLIENT_TEMPLATE.FAT&amp;display_string=Audit&amp;VAR:KEY=CPCLCJYZYJ&amp;VAR:QUERY=RkZfR1JPU1NfTUdOKEFOTiwwLC05LFksUlAp&amp;WINDOW=FIRST_POPUP&amp;HEIGHT=450&amp;WIDTH=450&amp;START_MA","XIMIZED=FALSE&amp;VAR:CALENDAR=US&amp;VAR:SYMBOL=B10LQP&amp;VAR:INDEX=6"}</definedName>
    <definedName name="_401__FDSAUDITLINK__" localSheetId="7" hidden="1">{"fdsup://directions/FAT Viewer?action=UPDATE&amp;creator=factset&amp;DYN_ARGS=TRUE&amp;DOC_NAME=FAT:FQL_AUDITING_CLIENT_TEMPLATE.FAT&amp;display_string=Audit&amp;VAR:KEY=CPCLCJYZYJ&amp;VAR:QUERY=RkZfR1JPU1NfTUdOKEFOTiwwLC05LFksUlAp&amp;WINDOW=FIRST_POPUP&amp;HEIGHT=450&amp;WIDTH=450&amp;START_MA","XIMIZED=FALSE&amp;VAR:CALENDAR=US&amp;VAR:SYMBOL=B10LQP&amp;VAR:INDEX=6"}</definedName>
    <definedName name="_401__FDSAUDITLINK__" hidden="1">{"fdsup://directions/FAT Viewer?action=UPDATE&amp;creator=factset&amp;DYN_ARGS=TRUE&amp;DOC_NAME=FAT:FQL_AUDITING_CLIENT_TEMPLATE.FAT&amp;display_string=Audit&amp;VAR:KEY=CPCLCJYZYJ&amp;VAR:QUERY=RkZfR1JPU1NfTUdOKEFOTiwwLC05LFksUlAp&amp;WINDOW=FIRST_POPUP&amp;HEIGHT=450&amp;WIDTH=450&amp;START_MA","XIMIZED=FALSE&amp;VAR:CALENDAR=US&amp;VAR:SYMBOL=B10LQP&amp;VAR:INDEX=6"}</definedName>
    <definedName name="_401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421"}</definedName>
    <definedName name="_401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421"}</definedName>
    <definedName name="_401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421"}</definedName>
    <definedName name="_401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420"}</definedName>
    <definedName name="_401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420"}</definedName>
    <definedName name="_401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420"}</definedName>
    <definedName name="_401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419"}</definedName>
    <definedName name="_401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419"}</definedName>
    <definedName name="_401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419"}</definedName>
    <definedName name="_401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418"}</definedName>
    <definedName name="_401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418"}</definedName>
    <definedName name="_401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418"}</definedName>
    <definedName name="_401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417"}</definedName>
    <definedName name="_401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417"}</definedName>
    <definedName name="_401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417"}</definedName>
    <definedName name="_401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416"}</definedName>
    <definedName name="_401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416"}</definedName>
    <definedName name="_401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416"}</definedName>
    <definedName name="_401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415"}</definedName>
    <definedName name="_401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415"}</definedName>
    <definedName name="_401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415"}</definedName>
    <definedName name="_401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414"}</definedName>
    <definedName name="_401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414"}</definedName>
    <definedName name="_401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414"}</definedName>
    <definedName name="_401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413"}</definedName>
    <definedName name="_401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413"}</definedName>
    <definedName name="_401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413"}</definedName>
    <definedName name="_401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412"}</definedName>
    <definedName name="_401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412"}</definedName>
    <definedName name="_401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412"}</definedName>
    <definedName name="_402__FDSAUDITLINK__" localSheetId="3" hidden="1">{"fdsup://directions/FAT Viewer?action=UPDATE&amp;creator=factset&amp;DYN_ARGS=TRUE&amp;DOC_NAME=FAT:FQL_AUDITING_CLIENT_TEMPLATE.FAT&amp;display_string=Audit&amp;VAR:KEY=CJOJAPIBMN&amp;VAR:QUERY=UENUQ0hHKEZGX0NBU0hfU1QoQU5OLDAsLTksWSxSUCxMT0NBTCxNKSxGRl9DQVNIX1NUKEFOTiwwIC0gMSwtO","SAtIDEsWSxSUCxMT0NBTCxNKSk=&amp;WINDOW=FIRST_POPUP&amp;HEIGHT=450&amp;WIDTH=450&amp;START_MAXIMIZED=FALSE&amp;VAR:CALENDAR=US&amp;VAR:SYMBOL=B10LQP&amp;VAR:INDEX=7"}</definedName>
    <definedName name="_402__FDSAUDITLINK__" localSheetId="7" hidden="1">{"fdsup://directions/FAT Viewer?action=UPDATE&amp;creator=factset&amp;DYN_ARGS=TRUE&amp;DOC_NAME=FAT:FQL_AUDITING_CLIENT_TEMPLATE.FAT&amp;display_string=Audit&amp;VAR:KEY=CJOJAPIBMN&amp;VAR:QUERY=UENUQ0hHKEZGX0NBU0hfU1QoQU5OLDAsLTksWSxSUCxMT0NBTCxNKSxGRl9DQVNIX1NUKEFOTiwwIC0gMSwtO","SAtIDEsWSxSUCxMT0NBTCxNKSk=&amp;WINDOW=FIRST_POPUP&amp;HEIGHT=450&amp;WIDTH=450&amp;START_MAXIMIZED=FALSE&amp;VAR:CALENDAR=US&amp;VAR:SYMBOL=B10LQP&amp;VAR:INDEX=7"}</definedName>
    <definedName name="_402__FDSAUDITLINK__" hidden="1">{"fdsup://directions/FAT Viewer?action=UPDATE&amp;creator=factset&amp;DYN_ARGS=TRUE&amp;DOC_NAME=FAT:FQL_AUDITING_CLIENT_TEMPLATE.FAT&amp;display_string=Audit&amp;VAR:KEY=CJOJAPIBMN&amp;VAR:QUERY=UENUQ0hHKEZGX0NBU0hfU1QoQU5OLDAsLTksWSxSUCxMT0NBTCxNKSxGRl9DQVNIX1NUKEFOTiwwIC0gMSwtO","SAtIDEsWSxSUCxMT0NBTCxNKSk=&amp;WINDOW=FIRST_POPUP&amp;HEIGHT=450&amp;WIDTH=450&amp;START_MAXIMIZED=FALSE&amp;VAR:CALENDAR=US&amp;VAR:SYMBOL=B10LQP&amp;VAR:INDEX=7"}</definedName>
    <definedName name="_402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411"}</definedName>
    <definedName name="_402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411"}</definedName>
    <definedName name="_402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411"}</definedName>
    <definedName name="_402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410"}</definedName>
    <definedName name="_402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410"}</definedName>
    <definedName name="_402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410"}</definedName>
    <definedName name="_402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409"}</definedName>
    <definedName name="_402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409"}</definedName>
    <definedName name="_402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409"}</definedName>
    <definedName name="_402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408"}</definedName>
    <definedName name="_402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408"}</definedName>
    <definedName name="_402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408"}</definedName>
    <definedName name="_402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407"}</definedName>
    <definedName name="_402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407"}</definedName>
    <definedName name="_402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407"}</definedName>
    <definedName name="_402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406"}</definedName>
    <definedName name="_402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406"}</definedName>
    <definedName name="_402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406"}</definedName>
    <definedName name="_402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405"}</definedName>
    <definedName name="_402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405"}</definedName>
    <definedName name="_402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405"}</definedName>
    <definedName name="_402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404"}</definedName>
    <definedName name="_402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404"}</definedName>
    <definedName name="_402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404"}</definedName>
    <definedName name="_402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403"}</definedName>
    <definedName name="_402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403"}</definedName>
    <definedName name="_402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403"}</definedName>
    <definedName name="_402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402"}</definedName>
    <definedName name="_402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402"}</definedName>
    <definedName name="_402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402"}</definedName>
    <definedName name="_403__FDSAUDITLINK__" localSheetId="3" hidden="1">{"fdsup://directions/FAT Viewer?action=UPDATE&amp;creator=factset&amp;DYN_ARGS=TRUE&amp;DOC_NAME=FAT:FQL_AUDITING_CLIENT_TEMPLATE.FAT&amp;display_string=Audit&amp;VAR:KEY=CJOJAPIBMN&amp;VAR:QUERY=UENUQ0hHKEZGX0NBU0hfU1QoQU5OLDAsLTksWSxSUCxMT0NBTCxNKSxGRl9DQVNIX1NUKEFOTiwwIC0gMSwtO","SAtIDEsWSxSUCxMT0NBTCxNKSk=&amp;WINDOW=FIRST_POPUP&amp;HEIGHT=450&amp;WIDTH=450&amp;START_MAXIMIZED=FALSE&amp;VAR:CALENDAR=US&amp;VAR:SYMBOL=B10LQP&amp;VAR:INDEX=6"}</definedName>
    <definedName name="_403__FDSAUDITLINK__" localSheetId="7" hidden="1">{"fdsup://directions/FAT Viewer?action=UPDATE&amp;creator=factset&amp;DYN_ARGS=TRUE&amp;DOC_NAME=FAT:FQL_AUDITING_CLIENT_TEMPLATE.FAT&amp;display_string=Audit&amp;VAR:KEY=CJOJAPIBMN&amp;VAR:QUERY=UENUQ0hHKEZGX0NBU0hfU1QoQU5OLDAsLTksWSxSUCxMT0NBTCxNKSxGRl9DQVNIX1NUKEFOTiwwIC0gMSwtO","SAtIDEsWSxSUCxMT0NBTCxNKSk=&amp;WINDOW=FIRST_POPUP&amp;HEIGHT=450&amp;WIDTH=450&amp;START_MAXIMIZED=FALSE&amp;VAR:CALENDAR=US&amp;VAR:SYMBOL=B10LQP&amp;VAR:INDEX=6"}</definedName>
    <definedName name="_403__FDSAUDITLINK__" hidden="1">{"fdsup://directions/FAT Viewer?action=UPDATE&amp;creator=factset&amp;DYN_ARGS=TRUE&amp;DOC_NAME=FAT:FQL_AUDITING_CLIENT_TEMPLATE.FAT&amp;display_string=Audit&amp;VAR:KEY=CJOJAPIBMN&amp;VAR:QUERY=UENUQ0hHKEZGX0NBU0hfU1QoQU5OLDAsLTksWSxSUCxMT0NBTCxNKSxGRl9DQVNIX1NUKEFOTiwwIC0gMSwtO","SAtIDEsWSxSUCxMT0NBTCxNKSk=&amp;WINDOW=FIRST_POPUP&amp;HEIGHT=450&amp;WIDTH=450&amp;START_MAXIMIZED=FALSE&amp;VAR:CALENDAR=US&amp;VAR:SYMBOL=B10LQP&amp;VAR:INDEX=6"}</definedName>
    <definedName name="_403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401"}</definedName>
    <definedName name="_403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401"}</definedName>
    <definedName name="_403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401"}</definedName>
    <definedName name="_403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400"}</definedName>
    <definedName name="_403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400"}</definedName>
    <definedName name="_403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400"}</definedName>
    <definedName name="_403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399"}</definedName>
    <definedName name="_403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399"}</definedName>
    <definedName name="_403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399"}</definedName>
    <definedName name="_403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398"}</definedName>
    <definedName name="_403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398"}</definedName>
    <definedName name="_403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398"}</definedName>
    <definedName name="_403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397"}</definedName>
    <definedName name="_403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397"}</definedName>
    <definedName name="_403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397"}</definedName>
    <definedName name="_403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396"}</definedName>
    <definedName name="_403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396"}</definedName>
    <definedName name="_403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396"}</definedName>
    <definedName name="_403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395"}</definedName>
    <definedName name="_403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395"}</definedName>
    <definedName name="_403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395"}</definedName>
    <definedName name="_403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394"}</definedName>
    <definedName name="_403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394"}</definedName>
    <definedName name="_403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394"}</definedName>
    <definedName name="_403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393"}</definedName>
    <definedName name="_403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393"}</definedName>
    <definedName name="_403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393"}</definedName>
    <definedName name="_403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392"}</definedName>
    <definedName name="_403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392"}</definedName>
    <definedName name="_403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392"}</definedName>
    <definedName name="_404__FDSAUDITLINK__" localSheetId="3" hidden="1">{"fdsup://directions/FAT Viewer?action=UPDATE&amp;creator=factset&amp;DYN_ARGS=TRUE&amp;DOC_NAME=FAT:FQL_AUDITING_CLIENT_TEMPLATE.FAT&amp;display_string=Audit&amp;VAR:KEY=CJOJAPIBMN&amp;VAR:QUERY=UENUQ0hHKEZGX0NBU0hfU1QoQU5OLDAsLTksWSxSUCxMT0NBTCxNKSxGRl9DQVNIX1NUKEFOTiwwIC0gMSwtO","SAtIDEsWSxSUCxMT0NBTCxNKSk=&amp;WINDOW=FIRST_POPUP&amp;HEIGHT=450&amp;WIDTH=450&amp;START_MAXIMIZED=FALSE&amp;VAR:CALENDAR=US&amp;VAR:SYMBOL=B10LQP&amp;VAR:INDEX=5"}</definedName>
    <definedName name="_404__FDSAUDITLINK__" localSheetId="7" hidden="1">{"fdsup://directions/FAT Viewer?action=UPDATE&amp;creator=factset&amp;DYN_ARGS=TRUE&amp;DOC_NAME=FAT:FQL_AUDITING_CLIENT_TEMPLATE.FAT&amp;display_string=Audit&amp;VAR:KEY=CJOJAPIBMN&amp;VAR:QUERY=UENUQ0hHKEZGX0NBU0hfU1QoQU5OLDAsLTksWSxSUCxMT0NBTCxNKSxGRl9DQVNIX1NUKEFOTiwwIC0gMSwtO","SAtIDEsWSxSUCxMT0NBTCxNKSk=&amp;WINDOW=FIRST_POPUP&amp;HEIGHT=450&amp;WIDTH=450&amp;START_MAXIMIZED=FALSE&amp;VAR:CALENDAR=US&amp;VAR:SYMBOL=B10LQP&amp;VAR:INDEX=5"}</definedName>
    <definedName name="_404__FDSAUDITLINK__" hidden="1">{"fdsup://directions/FAT Viewer?action=UPDATE&amp;creator=factset&amp;DYN_ARGS=TRUE&amp;DOC_NAME=FAT:FQL_AUDITING_CLIENT_TEMPLATE.FAT&amp;display_string=Audit&amp;VAR:KEY=CJOJAPIBMN&amp;VAR:QUERY=UENUQ0hHKEZGX0NBU0hfU1QoQU5OLDAsLTksWSxSUCxMT0NBTCxNKSxGRl9DQVNIX1NUKEFOTiwwIC0gMSwtO","SAtIDEsWSxSUCxMT0NBTCxNKSk=&amp;WINDOW=FIRST_POPUP&amp;HEIGHT=450&amp;WIDTH=450&amp;START_MAXIMIZED=FALSE&amp;VAR:CALENDAR=US&amp;VAR:SYMBOL=B10LQP&amp;VAR:INDEX=5"}</definedName>
    <definedName name="_404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391"}</definedName>
    <definedName name="_404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391"}</definedName>
    <definedName name="_404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391"}</definedName>
    <definedName name="_404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390"}</definedName>
    <definedName name="_404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390"}</definedName>
    <definedName name="_404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390"}</definedName>
    <definedName name="_404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389"}</definedName>
    <definedName name="_404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389"}</definedName>
    <definedName name="_404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389"}</definedName>
    <definedName name="_404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388"}</definedName>
    <definedName name="_404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388"}</definedName>
    <definedName name="_404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388"}</definedName>
    <definedName name="_404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387"}</definedName>
    <definedName name="_404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387"}</definedName>
    <definedName name="_404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387"}</definedName>
    <definedName name="_404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386"}</definedName>
    <definedName name="_404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386"}</definedName>
    <definedName name="_404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386"}</definedName>
    <definedName name="_404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385"}</definedName>
    <definedName name="_404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385"}</definedName>
    <definedName name="_404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385"}</definedName>
    <definedName name="_404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384"}</definedName>
    <definedName name="_404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384"}</definedName>
    <definedName name="_404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384"}</definedName>
    <definedName name="_404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383"}</definedName>
    <definedName name="_404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383"}</definedName>
    <definedName name="_404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383"}</definedName>
    <definedName name="_404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382"}</definedName>
    <definedName name="_404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382"}</definedName>
    <definedName name="_404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382"}</definedName>
    <definedName name="_405__FDSAUDITLINK__" localSheetId="3" hidden="1">{"fdsup://directions/FAT Viewer?action=UPDATE&amp;creator=factset&amp;DYN_ARGS=TRUE&amp;DOC_NAME=FAT:FQL_AUDITING_CLIENT_TEMPLATE.FAT&amp;display_string=Audit&amp;VAR:KEY=CJOJAPIBMN&amp;VAR:QUERY=UENUQ0hHKEZGX0NBU0hfU1QoQU5OLDAsLTksWSxSUCxMT0NBTCxNKSxGRl9DQVNIX1NUKEFOTiwwIC0gMSwtO","SAtIDEsWSxSUCxMT0NBTCxNKSk=&amp;WINDOW=FIRST_POPUP&amp;HEIGHT=450&amp;WIDTH=450&amp;START_MAXIMIZED=FALSE&amp;VAR:CALENDAR=US&amp;VAR:SYMBOL=B10LQP&amp;VAR:INDEX=4"}</definedName>
    <definedName name="_405__FDSAUDITLINK__" localSheetId="7" hidden="1">{"fdsup://directions/FAT Viewer?action=UPDATE&amp;creator=factset&amp;DYN_ARGS=TRUE&amp;DOC_NAME=FAT:FQL_AUDITING_CLIENT_TEMPLATE.FAT&amp;display_string=Audit&amp;VAR:KEY=CJOJAPIBMN&amp;VAR:QUERY=UENUQ0hHKEZGX0NBU0hfU1QoQU5OLDAsLTksWSxSUCxMT0NBTCxNKSxGRl9DQVNIX1NUKEFOTiwwIC0gMSwtO","SAtIDEsWSxSUCxMT0NBTCxNKSk=&amp;WINDOW=FIRST_POPUP&amp;HEIGHT=450&amp;WIDTH=450&amp;START_MAXIMIZED=FALSE&amp;VAR:CALENDAR=US&amp;VAR:SYMBOL=B10LQP&amp;VAR:INDEX=4"}</definedName>
    <definedName name="_405__FDSAUDITLINK__" hidden="1">{"fdsup://directions/FAT Viewer?action=UPDATE&amp;creator=factset&amp;DYN_ARGS=TRUE&amp;DOC_NAME=FAT:FQL_AUDITING_CLIENT_TEMPLATE.FAT&amp;display_string=Audit&amp;VAR:KEY=CJOJAPIBMN&amp;VAR:QUERY=UENUQ0hHKEZGX0NBU0hfU1QoQU5OLDAsLTksWSxSUCxMT0NBTCxNKSxGRl9DQVNIX1NUKEFOTiwwIC0gMSwtO","SAtIDEsWSxSUCxMT0NBTCxNKSk=&amp;WINDOW=FIRST_POPUP&amp;HEIGHT=450&amp;WIDTH=450&amp;START_MAXIMIZED=FALSE&amp;VAR:CALENDAR=US&amp;VAR:SYMBOL=B10LQP&amp;VAR:INDEX=4"}</definedName>
    <definedName name="_405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381"}</definedName>
    <definedName name="_405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381"}</definedName>
    <definedName name="_405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381"}</definedName>
    <definedName name="_405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380"}</definedName>
    <definedName name="_405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380"}</definedName>
    <definedName name="_405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380"}</definedName>
    <definedName name="_405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379"}</definedName>
    <definedName name="_405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379"}</definedName>
    <definedName name="_405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379"}</definedName>
    <definedName name="_405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378"}</definedName>
    <definedName name="_405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378"}</definedName>
    <definedName name="_405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378"}</definedName>
    <definedName name="_405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377"}</definedName>
    <definedName name="_405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377"}</definedName>
    <definedName name="_405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377"}</definedName>
    <definedName name="_405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376"}</definedName>
    <definedName name="_405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376"}</definedName>
    <definedName name="_405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376"}</definedName>
    <definedName name="_405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375"}</definedName>
    <definedName name="_405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375"}</definedName>
    <definedName name="_405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375"}</definedName>
    <definedName name="_405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374"}</definedName>
    <definedName name="_405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374"}</definedName>
    <definedName name="_405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374"}</definedName>
    <definedName name="_405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373"}</definedName>
    <definedName name="_405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373"}</definedName>
    <definedName name="_405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373"}</definedName>
    <definedName name="_405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372"}</definedName>
    <definedName name="_405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372"}</definedName>
    <definedName name="_405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372"}</definedName>
    <definedName name="_406__FDSAUDITLINK__" localSheetId="3" hidden="1">{"fdsup://directions/FAT Viewer?action=UPDATE&amp;creator=factset&amp;DYN_ARGS=TRUE&amp;DOC_NAME=FAT:FQL_AUDITING_CLIENT_TEMPLATE.FAT&amp;display_string=Audit&amp;VAR:KEY=CJOJAPIBMN&amp;VAR:QUERY=UENUQ0hHKEZGX0NBU0hfU1QoQU5OLDAsLTksWSxSUCxMT0NBTCxNKSxGRl9DQVNIX1NUKEFOTiwwIC0gMSwtO","SAtIDEsWSxSUCxMT0NBTCxNKSk=&amp;WINDOW=FIRST_POPUP&amp;HEIGHT=450&amp;WIDTH=450&amp;START_MAXIMIZED=FALSE&amp;VAR:CALENDAR=US&amp;VAR:SYMBOL=B10LQP&amp;VAR:INDEX=3"}</definedName>
    <definedName name="_406__FDSAUDITLINK__" localSheetId="7" hidden="1">{"fdsup://directions/FAT Viewer?action=UPDATE&amp;creator=factset&amp;DYN_ARGS=TRUE&amp;DOC_NAME=FAT:FQL_AUDITING_CLIENT_TEMPLATE.FAT&amp;display_string=Audit&amp;VAR:KEY=CJOJAPIBMN&amp;VAR:QUERY=UENUQ0hHKEZGX0NBU0hfU1QoQU5OLDAsLTksWSxSUCxMT0NBTCxNKSxGRl9DQVNIX1NUKEFOTiwwIC0gMSwtO","SAtIDEsWSxSUCxMT0NBTCxNKSk=&amp;WINDOW=FIRST_POPUP&amp;HEIGHT=450&amp;WIDTH=450&amp;START_MAXIMIZED=FALSE&amp;VAR:CALENDAR=US&amp;VAR:SYMBOL=B10LQP&amp;VAR:INDEX=3"}</definedName>
    <definedName name="_406__FDSAUDITLINK__" hidden="1">{"fdsup://directions/FAT Viewer?action=UPDATE&amp;creator=factset&amp;DYN_ARGS=TRUE&amp;DOC_NAME=FAT:FQL_AUDITING_CLIENT_TEMPLATE.FAT&amp;display_string=Audit&amp;VAR:KEY=CJOJAPIBMN&amp;VAR:QUERY=UENUQ0hHKEZGX0NBU0hfU1QoQU5OLDAsLTksWSxSUCxMT0NBTCxNKSxGRl9DQVNIX1NUKEFOTiwwIC0gMSwtO","SAtIDEsWSxSUCxMT0NBTCxNKSk=&amp;WINDOW=FIRST_POPUP&amp;HEIGHT=450&amp;WIDTH=450&amp;START_MAXIMIZED=FALSE&amp;VAR:CALENDAR=US&amp;VAR:SYMBOL=B10LQP&amp;VAR:INDEX=3"}</definedName>
    <definedName name="_406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371"}</definedName>
    <definedName name="_406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371"}</definedName>
    <definedName name="_406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371"}</definedName>
    <definedName name="_406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370"}</definedName>
    <definedName name="_406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370"}</definedName>
    <definedName name="_406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370"}</definedName>
    <definedName name="_406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369"}</definedName>
    <definedName name="_406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369"}</definedName>
    <definedName name="_406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369"}</definedName>
    <definedName name="_406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368"}</definedName>
    <definedName name="_406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368"}</definedName>
    <definedName name="_406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368"}</definedName>
    <definedName name="_406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367"}</definedName>
    <definedName name="_406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367"}</definedName>
    <definedName name="_406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367"}</definedName>
    <definedName name="_406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366"}</definedName>
    <definedName name="_406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366"}</definedName>
    <definedName name="_406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366"}</definedName>
    <definedName name="_406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365"}</definedName>
    <definedName name="_406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365"}</definedName>
    <definedName name="_406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365"}</definedName>
    <definedName name="_406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364"}</definedName>
    <definedName name="_406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364"}</definedName>
    <definedName name="_406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364"}</definedName>
    <definedName name="_406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363"}</definedName>
    <definedName name="_406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363"}</definedName>
    <definedName name="_406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363"}</definedName>
    <definedName name="_406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362"}</definedName>
    <definedName name="_406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362"}</definedName>
    <definedName name="_406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362"}</definedName>
    <definedName name="_407__FDSAUDITLINK__" localSheetId="3" hidden="1">{"fdsup://directions/FAT Viewer?action=UPDATE&amp;creator=factset&amp;DYN_ARGS=TRUE&amp;DOC_NAME=FAT:FQL_AUDITING_CLIENT_TEMPLATE.FAT&amp;display_string=Audit&amp;VAR:KEY=CJOJAPIBMN&amp;VAR:QUERY=UENUQ0hHKEZGX0NBU0hfU1QoQU5OLDAsLTksWSxSUCxMT0NBTCxNKSxGRl9DQVNIX1NUKEFOTiwwIC0gMSwtO","SAtIDEsWSxSUCxMT0NBTCxNKSk=&amp;WINDOW=FIRST_POPUP&amp;HEIGHT=450&amp;WIDTH=450&amp;START_MAXIMIZED=FALSE&amp;VAR:CALENDAR=US&amp;VAR:SYMBOL=B10LQP&amp;VAR:INDEX=2"}</definedName>
    <definedName name="_407__FDSAUDITLINK__" localSheetId="7" hidden="1">{"fdsup://directions/FAT Viewer?action=UPDATE&amp;creator=factset&amp;DYN_ARGS=TRUE&amp;DOC_NAME=FAT:FQL_AUDITING_CLIENT_TEMPLATE.FAT&amp;display_string=Audit&amp;VAR:KEY=CJOJAPIBMN&amp;VAR:QUERY=UENUQ0hHKEZGX0NBU0hfU1QoQU5OLDAsLTksWSxSUCxMT0NBTCxNKSxGRl9DQVNIX1NUKEFOTiwwIC0gMSwtO","SAtIDEsWSxSUCxMT0NBTCxNKSk=&amp;WINDOW=FIRST_POPUP&amp;HEIGHT=450&amp;WIDTH=450&amp;START_MAXIMIZED=FALSE&amp;VAR:CALENDAR=US&amp;VAR:SYMBOL=B10LQP&amp;VAR:INDEX=2"}</definedName>
    <definedName name="_407__FDSAUDITLINK__" hidden="1">{"fdsup://directions/FAT Viewer?action=UPDATE&amp;creator=factset&amp;DYN_ARGS=TRUE&amp;DOC_NAME=FAT:FQL_AUDITING_CLIENT_TEMPLATE.FAT&amp;display_string=Audit&amp;VAR:KEY=CJOJAPIBMN&amp;VAR:QUERY=UENUQ0hHKEZGX0NBU0hfU1QoQU5OLDAsLTksWSxSUCxMT0NBTCxNKSxGRl9DQVNIX1NUKEFOTiwwIC0gMSwtO","SAtIDEsWSxSUCxMT0NBTCxNKSk=&amp;WINDOW=FIRST_POPUP&amp;HEIGHT=450&amp;WIDTH=450&amp;START_MAXIMIZED=FALSE&amp;VAR:CALENDAR=US&amp;VAR:SYMBOL=B10LQP&amp;VAR:INDEX=2"}</definedName>
    <definedName name="_407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361"}</definedName>
    <definedName name="_407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361"}</definedName>
    <definedName name="_407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361"}</definedName>
    <definedName name="_407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360"}</definedName>
    <definedName name="_407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360"}</definedName>
    <definedName name="_407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360"}</definedName>
    <definedName name="_407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359"}</definedName>
    <definedName name="_407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359"}</definedName>
    <definedName name="_407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359"}</definedName>
    <definedName name="_407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358"}</definedName>
    <definedName name="_407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358"}</definedName>
    <definedName name="_407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358"}</definedName>
    <definedName name="_407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357"}</definedName>
    <definedName name="_407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357"}</definedName>
    <definedName name="_407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357"}</definedName>
    <definedName name="_407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356"}</definedName>
    <definedName name="_407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356"}</definedName>
    <definedName name="_407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356"}</definedName>
    <definedName name="_407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355"}</definedName>
    <definedName name="_407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355"}</definedName>
    <definedName name="_407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355"}</definedName>
    <definedName name="_407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354"}</definedName>
    <definedName name="_407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354"}</definedName>
    <definedName name="_407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354"}</definedName>
    <definedName name="_407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353"}</definedName>
    <definedName name="_407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353"}</definedName>
    <definedName name="_407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353"}</definedName>
    <definedName name="_407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352"}</definedName>
    <definedName name="_407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352"}</definedName>
    <definedName name="_407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352"}</definedName>
    <definedName name="_408__FDSAUDITLINK__" localSheetId="3" hidden="1">{"fdsup://directions/FAT Viewer?action=UPDATE&amp;creator=factset&amp;DYN_ARGS=TRUE&amp;DOC_NAME=FAT:FQL_AUDITING_CLIENT_TEMPLATE.FAT&amp;display_string=Audit&amp;VAR:KEY=CJOJAPIBMN&amp;VAR:QUERY=UENUQ0hHKEZGX0NBU0hfU1QoQU5OLDAsLTksWSxSUCxMT0NBTCxNKSxGRl9DQVNIX1NUKEFOTiwwIC0gMSwtO","SAtIDEsWSxSUCxMT0NBTCxNKSk=&amp;WINDOW=FIRST_POPUP&amp;HEIGHT=450&amp;WIDTH=450&amp;START_MAXIMIZED=FALSE&amp;VAR:CALENDAR=US&amp;VAR:SYMBOL=B10LQP&amp;VAR:INDEX=1"}</definedName>
    <definedName name="_408__FDSAUDITLINK__" localSheetId="7" hidden="1">{"fdsup://directions/FAT Viewer?action=UPDATE&amp;creator=factset&amp;DYN_ARGS=TRUE&amp;DOC_NAME=FAT:FQL_AUDITING_CLIENT_TEMPLATE.FAT&amp;display_string=Audit&amp;VAR:KEY=CJOJAPIBMN&amp;VAR:QUERY=UENUQ0hHKEZGX0NBU0hfU1QoQU5OLDAsLTksWSxSUCxMT0NBTCxNKSxGRl9DQVNIX1NUKEFOTiwwIC0gMSwtO","SAtIDEsWSxSUCxMT0NBTCxNKSk=&amp;WINDOW=FIRST_POPUP&amp;HEIGHT=450&amp;WIDTH=450&amp;START_MAXIMIZED=FALSE&amp;VAR:CALENDAR=US&amp;VAR:SYMBOL=B10LQP&amp;VAR:INDEX=1"}</definedName>
    <definedName name="_408__FDSAUDITLINK__" hidden="1">{"fdsup://directions/FAT Viewer?action=UPDATE&amp;creator=factset&amp;DYN_ARGS=TRUE&amp;DOC_NAME=FAT:FQL_AUDITING_CLIENT_TEMPLATE.FAT&amp;display_string=Audit&amp;VAR:KEY=CJOJAPIBMN&amp;VAR:QUERY=UENUQ0hHKEZGX0NBU0hfU1QoQU5OLDAsLTksWSxSUCxMT0NBTCxNKSxGRl9DQVNIX1NUKEFOTiwwIC0gMSwtO","SAtIDEsWSxSUCxMT0NBTCxNKSk=&amp;WINDOW=FIRST_POPUP&amp;HEIGHT=450&amp;WIDTH=450&amp;START_MAXIMIZED=FALSE&amp;VAR:CALENDAR=US&amp;VAR:SYMBOL=B10LQP&amp;VAR:INDEX=1"}</definedName>
    <definedName name="_408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351"}</definedName>
    <definedName name="_408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351"}</definedName>
    <definedName name="_408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351"}</definedName>
    <definedName name="_408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350"}</definedName>
    <definedName name="_408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350"}</definedName>
    <definedName name="_408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350"}</definedName>
    <definedName name="_408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349"}</definedName>
    <definedName name="_408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349"}</definedName>
    <definedName name="_408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349"}</definedName>
    <definedName name="_408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348"}</definedName>
    <definedName name="_408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348"}</definedName>
    <definedName name="_408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348"}</definedName>
    <definedName name="_408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347"}</definedName>
    <definedName name="_408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347"}</definedName>
    <definedName name="_408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347"}</definedName>
    <definedName name="_408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346"}</definedName>
    <definedName name="_408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346"}</definedName>
    <definedName name="_408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346"}</definedName>
    <definedName name="_408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345"}</definedName>
    <definedName name="_408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345"}</definedName>
    <definedName name="_408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345"}</definedName>
    <definedName name="_408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344"}</definedName>
    <definedName name="_408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344"}</definedName>
    <definedName name="_408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344"}</definedName>
    <definedName name="_408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343"}</definedName>
    <definedName name="_408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343"}</definedName>
    <definedName name="_408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343"}</definedName>
    <definedName name="_408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342"}</definedName>
    <definedName name="_408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342"}</definedName>
    <definedName name="_408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342"}</definedName>
    <definedName name="_409__FDSAUDITLINK__" localSheetId="3" hidden="1">{"fdsup://directions/FAT Viewer?action=UPDATE&amp;creator=factset&amp;DYN_ARGS=TRUE&amp;DOC_NAME=FAT:FQL_AUDITING_CLIENT_TEMPLATE.FAT&amp;display_string=Audit&amp;VAR:KEY=ZWJAXAPERA&amp;VAR:QUERY=RkZfUEFZX09VVF9SQVRJTyhBTk4sMCwtOSxZLFJQKQ==&amp;WINDOW=FIRST_POPUP&amp;HEIGHT=450&amp;WIDTH=450&amp;","START_MAXIMIZED=FALSE&amp;VAR:CALENDAR=US&amp;VAR:SYMBOL=B10LQP&amp;VAR:INDEX=6"}</definedName>
    <definedName name="_409__FDSAUDITLINK__" localSheetId="7" hidden="1">{"fdsup://directions/FAT Viewer?action=UPDATE&amp;creator=factset&amp;DYN_ARGS=TRUE&amp;DOC_NAME=FAT:FQL_AUDITING_CLIENT_TEMPLATE.FAT&amp;display_string=Audit&amp;VAR:KEY=ZWJAXAPERA&amp;VAR:QUERY=RkZfUEFZX09VVF9SQVRJTyhBTk4sMCwtOSxZLFJQKQ==&amp;WINDOW=FIRST_POPUP&amp;HEIGHT=450&amp;WIDTH=450&amp;","START_MAXIMIZED=FALSE&amp;VAR:CALENDAR=US&amp;VAR:SYMBOL=B10LQP&amp;VAR:INDEX=6"}</definedName>
    <definedName name="_409__FDSAUDITLINK__" hidden="1">{"fdsup://directions/FAT Viewer?action=UPDATE&amp;creator=factset&amp;DYN_ARGS=TRUE&amp;DOC_NAME=FAT:FQL_AUDITING_CLIENT_TEMPLATE.FAT&amp;display_string=Audit&amp;VAR:KEY=ZWJAXAPERA&amp;VAR:QUERY=RkZfUEFZX09VVF9SQVRJTyhBTk4sMCwtOSxZLFJQKQ==&amp;WINDOW=FIRST_POPUP&amp;HEIGHT=450&amp;WIDTH=450&amp;","START_MAXIMIZED=FALSE&amp;VAR:CALENDAR=US&amp;VAR:SYMBOL=B10LQP&amp;VAR:INDEX=6"}</definedName>
    <definedName name="_409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341"}</definedName>
    <definedName name="_409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341"}</definedName>
    <definedName name="_409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341"}</definedName>
    <definedName name="_409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340"}</definedName>
    <definedName name="_409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340"}</definedName>
    <definedName name="_409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340"}</definedName>
    <definedName name="_409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339"}</definedName>
    <definedName name="_409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339"}</definedName>
    <definedName name="_409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339"}</definedName>
    <definedName name="_409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338"}</definedName>
    <definedName name="_409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338"}</definedName>
    <definedName name="_409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338"}</definedName>
    <definedName name="_409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337"}</definedName>
    <definedName name="_409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337"}</definedName>
    <definedName name="_409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337"}</definedName>
    <definedName name="_409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336"}</definedName>
    <definedName name="_409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336"}</definedName>
    <definedName name="_409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336"}</definedName>
    <definedName name="_409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335"}</definedName>
    <definedName name="_409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335"}</definedName>
    <definedName name="_409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335"}</definedName>
    <definedName name="_409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334"}</definedName>
    <definedName name="_409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334"}</definedName>
    <definedName name="_409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334"}</definedName>
    <definedName name="_409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333"}</definedName>
    <definedName name="_409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333"}</definedName>
    <definedName name="_409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333"}</definedName>
    <definedName name="_409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332"}</definedName>
    <definedName name="_409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332"}</definedName>
    <definedName name="_409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332"}</definedName>
    <definedName name="_41__FDSAUDITLINK__" localSheetId="3" hidden="1">{"fdsup://directions/FAT Viewer?action=UPDATE&amp;creator=factset&amp;DYN_ARGS=TRUE&amp;DOC_NAME=FAT:FQL_AUDITING_CLIENT_TEMPLATE.FAT&amp;display_string=Audit&amp;VAR:KEY=HKROHKZMBE&amp;VAR:QUERY=RkZfRUJJVERBX09QRVIoTFRNLDAsLCwsTE9DQUwsTSk=&amp;WINDOW=FIRST_POPUP&amp;HEIGHT=450&amp;WIDTH=450&amp;","START_MAXIMIZED=FALSE&amp;VAR:CALENDAR=US&amp;VAR:SYMBOL=B07C76&amp;VAR:INDEX=0"}</definedName>
    <definedName name="_41__FDSAUDITLINK__" localSheetId="7" hidden="1">{"fdsup://directions/FAT Viewer?action=UPDATE&amp;creator=factset&amp;DYN_ARGS=TRUE&amp;DOC_NAME=FAT:FQL_AUDITING_CLIENT_TEMPLATE.FAT&amp;display_string=Audit&amp;VAR:KEY=HKROHKZMBE&amp;VAR:QUERY=RkZfRUJJVERBX09QRVIoTFRNLDAsLCwsTE9DQUwsTSk=&amp;WINDOW=FIRST_POPUP&amp;HEIGHT=450&amp;WIDTH=450&amp;","START_MAXIMIZED=FALSE&amp;VAR:CALENDAR=US&amp;VAR:SYMBOL=B07C76&amp;VAR:INDEX=0"}</definedName>
    <definedName name="_41__FDSAUDITLINK__" hidden="1">{"fdsup://directions/FAT Viewer?action=UPDATE&amp;creator=factset&amp;DYN_ARGS=TRUE&amp;DOC_NAME=FAT:FQL_AUDITING_CLIENT_TEMPLATE.FAT&amp;display_string=Audit&amp;VAR:KEY=HKROHKZMBE&amp;VAR:QUERY=RkZfRUJJVERBX09QRVIoTFRNLDAsLCwsTE9DQUwsTSk=&amp;WINDOW=FIRST_POPUP&amp;HEIGHT=450&amp;WIDTH=450&amp;","START_MAXIMIZED=FALSE&amp;VAR:CALENDAR=US&amp;VAR:SYMBOL=B07C76&amp;VAR:INDEX=0"}</definedName>
    <definedName name="_410__FDSAUDITLINK__" localSheetId="3" hidden="1">{"fdsup://Directions/FactSet Auditing Viewer?action=AUDIT_VALUE&amp;DB=129&amp;ID1=B10LQP&amp;VALUEID=02001&amp;SDATE=2010&amp;PERIODTYPE=ANN_STD&amp;SCFT=3&amp;window=popup_no_bar&amp;width=385&amp;height=120&amp;START_MAXIMIZED=FALSE&amp;creator=factset&amp;display_string=Audit"}</definedName>
    <definedName name="_410__FDSAUDITLINK__" localSheetId="7" hidden="1">{"fdsup://Directions/FactSet Auditing Viewer?action=AUDIT_VALUE&amp;DB=129&amp;ID1=B10LQP&amp;VALUEID=02001&amp;SDATE=2010&amp;PERIODTYPE=ANN_STD&amp;SCFT=3&amp;window=popup_no_bar&amp;width=385&amp;height=120&amp;START_MAXIMIZED=FALSE&amp;creator=factset&amp;display_string=Audit"}</definedName>
    <definedName name="_410__FDSAUDITLINK__" hidden="1">{"fdsup://Directions/FactSet Auditing Viewer?action=AUDIT_VALUE&amp;DB=129&amp;ID1=B10LQP&amp;VALUEID=02001&amp;SDATE=2010&amp;PERIODTYPE=ANN_STD&amp;SCFT=3&amp;window=popup_no_bar&amp;width=385&amp;height=120&amp;START_MAXIMIZED=FALSE&amp;creator=factset&amp;display_string=Audit"}</definedName>
    <definedName name="_410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331"}</definedName>
    <definedName name="_410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331"}</definedName>
    <definedName name="_410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331"}</definedName>
    <definedName name="_410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330"}</definedName>
    <definedName name="_410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330"}</definedName>
    <definedName name="_410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330"}</definedName>
    <definedName name="_410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329"}</definedName>
    <definedName name="_410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329"}</definedName>
    <definedName name="_410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329"}</definedName>
    <definedName name="_410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328"}</definedName>
    <definedName name="_410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328"}</definedName>
    <definedName name="_410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328"}</definedName>
    <definedName name="_410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327"}</definedName>
    <definedName name="_410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327"}</definedName>
    <definedName name="_410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327"}</definedName>
    <definedName name="_410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326"}</definedName>
    <definedName name="_410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326"}</definedName>
    <definedName name="_410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326"}</definedName>
    <definedName name="_410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325"}</definedName>
    <definedName name="_410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325"}</definedName>
    <definedName name="_410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325"}</definedName>
    <definedName name="_410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324"}</definedName>
    <definedName name="_410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324"}</definedName>
    <definedName name="_410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324"}</definedName>
    <definedName name="_410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323"}</definedName>
    <definedName name="_410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323"}</definedName>
    <definedName name="_410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323"}</definedName>
    <definedName name="_410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322"}</definedName>
    <definedName name="_410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322"}</definedName>
    <definedName name="_410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322"}</definedName>
    <definedName name="_411__FDSAUDITLINK__" localSheetId="3" hidden="1">{"fdsup://directions/FAT Viewer?action=UPDATE&amp;creator=factset&amp;DYN_ARGS=TRUE&amp;DOC_NAME=FAT:FQL_AUDITING_CLIENT_TEMPLATE.FAT&amp;display_string=Audit&amp;VAR:KEY=ZWJAXAPERA&amp;VAR:QUERY=RkZfUEFZX09VVF9SQVRJTyhBTk4sMCwtOSxZLFJQKQ==&amp;WINDOW=FIRST_POPUP&amp;HEIGHT=450&amp;WIDTH=450&amp;","START_MAXIMIZED=FALSE&amp;VAR:CALENDAR=US&amp;VAR:SYMBOL=B10LQP&amp;VAR:INDEX=4"}</definedName>
    <definedName name="_411__FDSAUDITLINK__" localSheetId="7" hidden="1">{"fdsup://directions/FAT Viewer?action=UPDATE&amp;creator=factset&amp;DYN_ARGS=TRUE&amp;DOC_NAME=FAT:FQL_AUDITING_CLIENT_TEMPLATE.FAT&amp;display_string=Audit&amp;VAR:KEY=ZWJAXAPERA&amp;VAR:QUERY=RkZfUEFZX09VVF9SQVRJTyhBTk4sMCwtOSxZLFJQKQ==&amp;WINDOW=FIRST_POPUP&amp;HEIGHT=450&amp;WIDTH=450&amp;","START_MAXIMIZED=FALSE&amp;VAR:CALENDAR=US&amp;VAR:SYMBOL=B10LQP&amp;VAR:INDEX=4"}</definedName>
    <definedName name="_411__FDSAUDITLINK__" hidden="1">{"fdsup://directions/FAT Viewer?action=UPDATE&amp;creator=factset&amp;DYN_ARGS=TRUE&amp;DOC_NAME=FAT:FQL_AUDITING_CLIENT_TEMPLATE.FAT&amp;display_string=Audit&amp;VAR:KEY=ZWJAXAPERA&amp;VAR:QUERY=RkZfUEFZX09VVF9SQVRJTyhBTk4sMCwtOSxZLFJQKQ==&amp;WINDOW=FIRST_POPUP&amp;HEIGHT=450&amp;WIDTH=450&amp;","START_MAXIMIZED=FALSE&amp;VAR:CALENDAR=US&amp;VAR:SYMBOL=B10LQP&amp;VAR:INDEX=4"}</definedName>
    <definedName name="_411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321"}</definedName>
    <definedName name="_411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321"}</definedName>
    <definedName name="_411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321"}</definedName>
    <definedName name="_411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320"}</definedName>
    <definedName name="_411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320"}</definedName>
    <definedName name="_411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320"}</definedName>
    <definedName name="_411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319"}</definedName>
    <definedName name="_411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319"}</definedName>
    <definedName name="_411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319"}</definedName>
    <definedName name="_411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318"}</definedName>
    <definedName name="_411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318"}</definedName>
    <definedName name="_411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318"}</definedName>
    <definedName name="_411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317"}</definedName>
    <definedName name="_411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317"}</definedName>
    <definedName name="_411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317"}</definedName>
    <definedName name="_411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316"}</definedName>
    <definedName name="_411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316"}</definedName>
    <definedName name="_411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316"}</definedName>
    <definedName name="_411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315"}</definedName>
    <definedName name="_411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315"}</definedName>
    <definedName name="_411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315"}</definedName>
    <definedName name="_411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314"}</definedName>
    <definedName name="_411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314"}</definedName>
    <definedName name="_411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314"}</definedName>
    <definedName name="_411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313"}</definedName>
    <definedName name="_411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313"}</definedName>
    <definedName name="_411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313"}</definedName>
    <definedName name="_411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312"}</definedName>
    <definedName name="_411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312"}</definedName>
    <definedName name="_411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312"}</definedName>
    <definedName name="_412__FDSAUDITLINK__" localSheetId="3" hidden="1">{"fdsup://directions/FAT Viewer?action=UPDATE&amp;creator=factset&amp;DYN_ARGS=TRUE&amp;DOC_NAME=FAT:FQL_AUDITING_CLIENT_TEMPLATE.FAT&amp;display_string=Audit&amp;VAR:KEY=IHSXADMLOJ&amp;VAR:QUERY=RkZfTkVUX01HTihBTk4sMCwtOSxZLFJQLExPQ0FMLE0p&amp;WINDOW=FIRST_POPUP&amp;HEIGHT=450&amp;WIDTH=450&amp;","START_MAXIMIZED=FALSE&amp;VAR:CALENDAR=US&amp;VAR:SYMBOL=B10LQP&amp;VAR:INDEX=7"}</definedName>
    <definedName name="_412__FDSAUDITLINK__" localSheetId="7" hidden="1">{"fdsup://directions/FAT Viewer?action=UPDATE&amp;creator=factset&amp;DYN_ARGS=TRUE&amp;DOC_NAME=FAT:FQL_AUDITING_CLIENT_TEMPLATE.FAT&amp;display_string=Audit&amp;VAR:KEY=IHSXADMLOJ&amp;VAR:QUERY=RkZfTkVUX01HTihBTk4sMCwtOSxZLFJQLExPQ0FMLE0p&amp;WINDOW=FIRST_POPUP&amp;HEIGHT=450&amp;WIDTH=450&amp;","START_MAXIMIZED=FALSE&amp;VAR:CALENDAR=US&amp;VAR:SYMBOL=B10LQP&amp;VAR:INDEX=7"}</definedName>
    <definedName name="_412__FDSAUDITLINK__" hidden="1">{"fdsup://directions/FAT Viewer?action=UPDATE&amp;creator=factset&amp;DYN_ARGS=TRUE&amp;DOC_NAME=FAT:FQL_AUDITING_CLIENT_TEMPLATE.FAT&amp;display_string=Audit&amp;VAR:KEY=IHSXADMLOJ&amp;VAR:QUERY=RkZfTkVUX01HTihBTk4sMCwtOSxZLFJQLExPQ0FMLE0p&amp;WINDOW=FIRST_POPUP&amp;HEIGHT=450&amp;WIDTH=450&amp;","START_MAXIMIZED=FALSE&amp;VAR:CALENDAR=US&amp;VAR:SYMBOL=B10LQP&amp;VAR:INDEX=7"}</definedName>
    <definedName name="_412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311"}</definedName>
    <definedName name="_412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311"}</definedName>
    <definedName name="_412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311"}</definedName>
    <definedName name="_412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310"}</definedName>
    <definedName name="_412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310"}</definedName>
    <definedName name="_412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310"}</definedName>
    <definedName name="_412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309"}</definedName>
    <definedName name="_412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309"}</definedName>
    <definedName name="_412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309"}</definedName>
    <definedName name="_412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308"}</definedName>
    <definedName name="_412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308"}</definedName>
    <definedName name="_412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308"}</definedName>
    <definedName name="_412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307"}</definedName>
    <definedName name="_412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307"}</definedName>
    <definedName name="_412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307"}</definedName>
    <definedName name="_412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306"}</definedName>
    <definedName name="_412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306"}</definedName>
    <definedName name="_412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306"}</definedName>
    <definedName name="_412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305"}</definedName>
    <definedName name="_412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305"}</definedName>
    <definedName name="_412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305"}</definedName>
    <definedName name="_412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304"}</definedName>
    <definedName name="_412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304"}</definedName>
    <definedName name="_412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304"}</definedName>
    <definedName name="_412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303"}</definedName>
    <definedName name="_412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303"}</definedName>
    <definedName name="_412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303"}</definedName>
    <definedName name="_412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302"}</definedName>
    <definedName name="_412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302"}</definedName>
    <definedName name="_412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302"}</definedName>
    <definedName name="_413__FDSAUDITLINK__" localSheetId="3" hidden="1">{"fdsup://directions/FAT Viewer?action=UPDATE&amp;creator=factset&amp;DYN_ARGS=TRUE&amp;DOC_NAME=FAT:FQL_AUDITING_CLIENT_TEMPLATE.FAT&amp;display_string=Audit&amp;VAR:KEY=IHSXADMLOJ&amp;VAR:QUERY=RkZfTkVUX01HTihBTk4sMCwtOSxZLFJQLExPQ0FMLE0p&amp;WINDOW=FIRST_POPUP&amp;HEIGHT=450&amp;WIDTH=450&amp;","START_MAXIMIZED=FALSE&amp;VAR:CALENDAR=US&amp;VAR:SYMBOL=B10LQP&amp;VAR:INDEX=6"}</definedName>
    <definedName name="_413__FDSAUDITLINK__" localSheetId="7" hidden="1">{"fdsup://directions/FAT Viewer?action=UPDATE&amp;creator=factset&amp;DYN_ARGS=TRUE&amp;DOC_NAME=FAT:FQL_AUDITING_CLIENT_TEMPLATE.FAT&amp;display_string=Audit&amp;VAR:KEY=IHSXADMLOJ&amp;VAR:QUERY=RkZfTkVUX01HTihBTk4sMCwtOSxZLFJQLExPQ0FMLE0p&amp;WINDOW=FIRST_POPUP&amp;HEIGHT=450&amp;WIDTH=450&amp;","START_MAXIMIZED=FALSE&amp;VAR:CALENDAR=US&amp;VAR:SYMBOL=B10LQP&amp;VAR:INDEX=6"}</definedName>
    <definedName name="_413__FDSAUDITLINK__" hidden="1">{"fdsup://directions/FAT Viewer?action=UPDATE&amp;creator=factset&amp;DYN_ARGS=TRUE&amp;DOC_NAME=FAT:FQL_AUDITING_CLIENT_TEMPLATE.FAT&amp;display_string=Audit&amp;VAR:KEY=IHSXADMLOJ&amp;VAR:QUERY=RkZfTkVUX01HTihBTk4sMCwtOSxZLFJQLExPQ0FMLE0p&amp;WINDOW=FIRST_POPUP&amp;HEIGHT=450&amp;WIDTH=450&amp;","START_MAXIMIZED=FALSE&amp;VAR:CALENDAR=US&amp;VAR:SYMBOL=B10LQP&amp;VAR:INDEX=6"}</definedName>
    <definedName name="_413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301"}</definedName>
    <definedName name="_413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301"}</definedName>
    <definedName name="_413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301"}</definedName>
    <definedName name="_413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300"}</definedName>
    <definedName name="_413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300"}</definedName>
    <definedName name="_413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300"}</definedName>
    <definedName name="_413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299"}</definedName>
    <definedName name="_413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299"}</definedName>
    <definedName name="_413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299"}</definedName>
    <definedName name="_413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298"}</definedName>
    <definedName name="_413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298"}</definedName>
    <definedName name="_413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298"}</definedName>
    <definedName name="_413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297"}</definedName>
    <definedName name="_413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297"}</definedName>
    <definedName name="_413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297"}</definedName>
    <definedName name="_413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296"}</definedName>
    <definedName name="_413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296"}</definedName>
    <definedName name="_413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296"}</definedName>
    <definedName name="_413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295"}</definedName>
    <definedName name="_413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295"}</definedName>
    <definedName name="_413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295"}</definedName>
    <definedName name="_413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294"}</definedName>
    <definedName name="_413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294"}</definedName>
    <definedName name="_413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294"}</definedName>
    <definedName name="_413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293"}</definedName>
    <definedName name="_413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293"}</definedName>
    <definedName name="_413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293"}</definedName>
    <definedName name="_413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292"}</definedName>
    <definedName name="_413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292"}</definedName>
    <definedName name="_413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292"}</definedName>
    <definedName name="_414__FDSAUDITLINK__" localSheetId="3" hidden="1">{"fdsup://directions/FAT Viewer?action=UPDATE&amp;creator=factset&amp;DYN_ARGS=TRUE&amp;DOC_NAME=FAT:FQL_AUDITING_CLIENT_TEMPLATE.FAT&amp;display_string=Audit&amp;VAR:KEY=IHSXADMLOJ&amp;VAR:QUERY=RkZfTkVUX01HTihBTk4sMCwtOSxZLFJQLExPQ0FMLE0p&amp;WINDOW=FIRST_POPUP&amp;HEIGHT=450&amp;WIDTH=450&amp;","START_MAXIMIZED=FALSE&amp;VAR:CALENDAR=US&amp;VAR:SYMBOL=B10LQP&amp;VAR:INDEX=5"}</definedName>
    <definedName name="_414__FDSAUDITLINK__" localSheetId="7" hidden="1">{"fdsup://directions/FAT Viewer?action=UPDATE&amp;creator=factset&amp;DYN_ARGS=TRUE&amp;DOC_NAME=FAT:FQL_AUDITING_CLIENT_TEMPLATE.FAT&amp;display_string=Audit&amp;VAR:KEY=IHSXADMLOJ&amp;VAR:QUERY=RkZfTkVUX01HTihBTk4sMCwtOSxZLFJQLExPQ0FMLE0p&amp;WINDOW=FIRST_POPUP&amp;HEIGHT=450&amp;WIDTH=450&amp;","START_MAXIMIZED=FALSE&amp;VAR:CALENDAR=US&amp;VAR:SYMBOL=B10LQP&amp;VAR:INDEX=5"}</definedName>
    <definedName name="_414__FDSAUDITLINK__" hidden="1">{"fdsup://directions/FAT Viewer?action=UPDATE&amp;creator=factset&amp;DYN_ARGS=TRUE&amp;DOC_NAME=FAT:FQL_AUDITING_CLIENT_TEMPLATE.FAT&amp;display_string=Audit&amp;VAR:KEY=IHSXADMLOJ&amp;VAR:QUERY=RkZfTkVUX01HTihBTk4sMCwtOSxZLFJQLExPQ0FMLE0p&amp;WINDOW=FIRST_POPUP&amp;HEIGHT=450&amp;WIDTH=450&amp;","START_MAXIMIZED=FALSE&amp;VAR:CALENDAR=US&amp;VAR:SYMBOL=B10LQP&amp;VAR:INDEX=5"}</definedName>
    <definedName name="_414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291"}</definedName>
    <definedName name="_414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291"}</definedName>
    <definedName name="_414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291"}</definedName>
    <definedName name="_414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290"}</definedName>
    <definedName name="_414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290"}</definedName>
    <definedName name="_414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290"}</definedName>
    <definedName name="_414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289"}</definedName>
    <definedName name="_414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289"}</definedName>
    <definedName name="_414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289"}</definedName>
    <definedName name="_414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288"}</definedName>
    <definedName name="_414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288"}</definedName>
    <definedName name="_414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288"}</definedName>
    <definedName name="_414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287"}</definedName>
    <definedName name="_414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287"}</definedName>
    <definedName name="_414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287"}</definedName>
    <definedName name="_414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286"}</definedName>
    <definedName name="_414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286"}</definedName>
    <definedName name="_414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286"}</definedName>
    <definedName name="_414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285"}</definedName>
    <definedName name="_414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285"}</definedName>
    <definedName name="_414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285"}</definedName>
    <definedName name="_414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284"}</definedName>
    <definedName name="_414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284"}</definedName>
    <definedName name="_414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284"}</definedName>
    <definedName name="_414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283"}</definedName>
    <definedName name="_414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283"}</definedName>
    <definedName name="_414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283"}</definedName>
    <definedName name="_414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282"}</definedName>
    <definedName name="_414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282"}</definedName>
    <definedName name="_414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282"}</definedName>
    <definedName name="_415__FDSAUDITLINK__" localSheetId="3" hidden="1">{"fdsup://directions/FAT Viewer?action=UPDATE&amp;creator=factset&amp;DYN_ARGS=TRUE&amp;DOC_NAME=FAT:FQL_AUDITING_CLIENT_TEMPLATE.FAT&amp;display_string=Audit&amp;VAR:KEY=IHSXADMLOJ&amp;VAR:QUERY=RkZfTkVUX01HTihBTk4sMCwtOSxZLFJQLExPQ0FMLE0p&amp;WINDOW=FIRST_POPUP&amp;HEIGHT=450&amp;WIDTH=450&amp;","START_MAXIMIZED=FALSE&amp;VAR:CALENDAR=US&amp;VAR:SYMBOL=B10LQP&amp;VAR:INDEX=4"}</definedName>
    <definedName name="_415__FDSAUDITLINK__" localSheetId="7" hidden="1">{"fdsup://directions/FAT Viewer?action=UPDATE&amp;creator=factset&amp;DYN_ARGS=TRUE&amp;DOC_NAME=FAT:FQL_AUDITING_CLIENT_TEMPLATE.FAT&amp;display_string=Audit&amp;VAR:KEY=IHSXADMLOJ&amp;VAR:QUERY=RkZfTkVUX01HTihBTk4sMCwtOSxZLFJQLExPQ0FMLE0p&amp;WINDOW=FIRST_POPUP&amp;HEIGHT=450&amp;WIDTH=450&amp;","START_MAXIMIZED=FALSE&amp;VAR:CALENDAR=US&amp;VAR:SYMBOL=B10LQP&amp;VAR:INDEX=4"}</definedName>
    <definedName name="_415__FDSAUDITLINK__" hidden="1">{"fdsup://directions/FAT Viewer?action=UPDATE&amp;creator=factset&amp;DYN_ARGS=TRUE&amp;DOC_NAME=FAT:FQL_AUDITING_CLIENT_TEMPLATE.FAT&amp;display_string=Audit&amp;VAR:KEY=IHSXADMLOJ&amp;VAR:QUERY=RkZfTkVUX01HTihBTk4sMCwtOSxZLFJQLExPQ0FMLE0p&amp;WINDOW=FIRST_POPUP&amp;HEIGHT=450&amp;WIDTH=450&amp;","START_MAXIMIZED=FALSE&amp;VAR:CALENDAR=US&amp;VAR:SYMBOL=B10LQP&amp;VAR:INDEX=4"}</definedName>
    <definedName name="_415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281"}</definedName>
    <definedName name="_415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281"}</definedName>
    <definedName name="_415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281"}</definedName>
    <definedName name="_415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280"}</definedName>
    <definedName name="_415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280"}</definedName>
    <definedName name="_415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280"}</definedName>
    <definedName name="_415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279"}</definedName>
    <definedName name="_415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279"}</definedName>
    <definedName name="_415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279"}</definedName>
    <definedName name="_415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278"}</definedName>
    <definedName name="_415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278"}</definedName>
    <definedName name="_415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278"}</definedName>
    <definedName name="_415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277"}</definedName>
    <definedName name="_415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277"}</definedName>
    <definedName name="_415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277"}</definedName>
    <definedName name="_415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276"}</definedName>
    <definedName name="_415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276"}</definedName>
    <definedName name="_415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276"}</definedName>
    <definedName name="_415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275"}</definedName>
    <definedName name="_415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275"}</definedName>
    <definedName name="_415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275"}</definedName>
    <definedName name="_415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274"}</definedName>
    <definedName name="_415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274"}</definedName>
    <definedName name="_415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274"}</definedName>
    <definedName name="_415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273"}</definedName>
    <definedName name="_415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273"}</definedName>
    <definedName name="_415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273"}</definedName>
    <definedName name="_415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272"}</definedName>
    <definedName name="_415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272"}</definedName>
    <definedName name="_415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272"}</definedName>
    <definedName name="_416__FDSAUDITLINK__" localSheetId="3" hidden="1">{"fdsup://directions/FAT Viewer?action=UPDATE&amp;creator=factset&amp;DYN_ARGS=TRUE&amp;DOC_NAME=FAT:FQL_AUDITING_CLIENT_TEMPLATE.FAT&amp;display_string=Audit&amp;VAR:KEY=IHSXADMLOJ&amp;VAR:QUERY=RkZfTkVUX01HTihBTk4sMCwtOSxZLFJQLExPQ0FMLE0p&amp;WINDOW=FIRST_POPUP&amp;HEIGHT=450&amp;WIDTH=450&amp;","START_MAXIMIZED=FALSE&amp;VAR:CALENDAR=US&amp;VAR:SYMBOL=B10LQP&amp;VAR:INDEX=3"}</definedName>
    <definedName name="_416__FDSAUDITLINK__" localSheetId="7" hidden="1">{"fdsup://directions/FAT Viewer?action=UPDATE&amp;creator=factset&amp;DYN_ARGS=TRUE&amp;DOC_NAME=FAT:FQL_AUDITING_CLIENT_TEMPLATE.FAT&amp;display_string=Audit&amp;VAR:KEY=IHSXADMLOJ&amp;VAR:QUERY=RkZfTkVUX01HTihBTk4sMCwtOSxZLFJQLExPQ0FMLE0p&amp;WINDOW=FIRST_POPUP&amp;HEIGHT=450&amp;WIDTH=450&amp;","START_MAXIMIZED=FALSE&amp;VAR:CALENDAR=US&amp;VAR:SYMBOL=B10LQP&amp;VAR:INDEX=3"}</definedName>
    <definedName name="_416__FDSAUDITLINK__" hidden="1">{"fdsup://directions/FAT Viewer?action=UPDATE&amp;creator=factset&amp;DYN_ARGS=TRUE&amp;DOC_NAME=FAT:FQL_AUDITING_CLIENT_TEMPLATE.FAT&amp;display_string=Audit&amp;VAR:KEY=IHSXADMLOJ&amp;VAR:QUERY=RkZfTkVUX01HTihBTk4sMCwtOSxZLFJQLExPQ0FMLE0p&amp;WINDOW=FIRST_POPUP&amp;HEIGHT=450&amp;WIDTH=450&amp;","START_MAXIMIZED=FALSE&amp;VAR:CALENDAR=US&amp;VAR:SYMBOL=B10LQP&amp;VAR:INDEX=3"}</definedName>
    <definedName name="_416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271"}</definedName>
    <definedName name="_416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271"}</definedName>
    <definedName name="_416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271"}</definedName>
    <definedName name="_416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270"}</definedName>
    <definedName name="_416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270"}</definedName>
    <definedName name="_416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270"}</definedName>
    <definedName name="_416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269"}</definedName>
    <definedName name="_416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269"}</definedName>
    <definedName name="_416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269"}</definedName>
    <definedName name="_416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268"}</definedName>
    <definedName name="_416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268"}</definedName>
    <definedName name="_416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268"}</definedName>
    <definedName name="_416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267"}</definedName>
    <definedName name="_416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267"}</definedName>
    <definedName name="_416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267"}</definedName>
    <definedName name="_416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266"}</definedName>
    <definedName name="_416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266"}</definedName>
    <definedName name="_416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266"}</definedName>
    <definedName name="_416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265"}</definedName>
    <definedName name="_416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265"}</definedName>
    <definedName name="_416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265"}</definedName>
    <definedName name="_416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264"}</definedName>
    <definedName name="_416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264"}</definedName>
    <definedName name="_416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264"}</definedName>
    <definedName name="_416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263"}</definedName>
    <definedName name="_416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263"}</definedName>
    <definedName name="_416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263"}</definedName>
    <definedName name="_416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262"}</definedName>
    <definedName name="_416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262"}</definedName>
    <definedName name="_416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262"}</definedName>
    <definedName name="_417__FDSAUDITLINK__" localSheetId="3" hidden="1">{"fdsup://directions/FAT Viewer?action=UPDATE&amp;creator=factset&amp;DYN_ARGS=TRUE&amp;DOC_NAME=FAT:FQL_AUDITING_CLIENT_TEMPLATE.FAT&amp;display_string=Audit&amp;VAR:KEY=IHSXADMLOJ&amp;VAR:QUERY=RkZfTkVUX01HTihBTk4sMCwtOSxZLFJQLExPQ0FMLE0p&amp;WINDOW=FIRST_POPUP&amp;HEIGHT=450&amp;WIDTH=450&amp;","START_MAXIMIZED=FALSE&amp;VAR:CALENDAR=US&amp;VAR:SYMBOL=B10LQP&amp;VAR:INDEX=2"}</definedName>
    <definedName name="_417__FDSAUDITLINK__" localSheetId="7" hidden="1">{"fdsup://directions/FAT Viewer?action=UPDATE&amp;creator=factset&amp;DYN_ARGS=TRUE&amp;DOC_NAME=FAT:FQL_AUDITING_CLIENT_TEMPLATE.FAT&amp;display_string=Audit&amp;VAR:KEY=IHSXADMLOJ&amp;VAR:QUERY=RkZfTkVUX01HTihBTk4sMCwtOSxZLFJQLExPQ0FMLE0p&amp;WINDOW=FIRST_POPUP&amp;HEIGHT=450&amp;WIDTH=450&amp;","START_MAXIMIZED=FALSE&amp;VAR:CALENDAR=US&amp;VAR:SYMBOL=B10LQP&amp;VAR:INDEX=2"}</definedName>
    <definedName name="_417__FDSAUDITLINK__" hidden="1">{"fdsup://directions/FAT Viewer?action=UPDATE&amp;creator=factset&amp;DYN_ARGS=TRUE&amp;DOC_NAME=FAT:FQL_AUDITING_CLIENT_TEMPLATE.FAT&amp;display_string=Audit&amp;VAR:KEY=IHSXADMLOJ&amp;VAR:QUERY=RkZfTkVUX01HTihBTk4sMCwtOSxZLFJQLExPQ0FMLE0p&amp;WINDOW=FIRST_POPUP&amp;HEIGHT=450&amp;WIDTH=450&amp;","START_MAXIMIZED=FALSE&amp;VAR:CALENDAR=US&amp;VAR:SYMBOL=B10LQP&amp;VAR:INDEX=2"}</definedName>
    <definedName name="_417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261"}</definedName>
    <definedName name="_417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261"}</definedName>
    <definedName name="_417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261"}</definedName>
    <definedName name="_417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260"}</definedName>
    <definedName name="_417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260"}</definedName>
    <definedName name="_417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260"}</definedName>
    <definedName name="_417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259"}</definedName>
    <definedName name="_417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259"}</definedName>
    <definedName name="_417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259"}</definedName>
    <definedName name="_417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258"}</definedName>
    <definedName name="_417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258"}</definedName>
    <definedName name="_417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258"}</definedName>
    <definedName name="_417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257"}</definedName>
    <definedName name="_417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257"}</definedName>
    <definedName name="_417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257"}</definedName>
    <definedName name="_417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256"}</definedName>
    <definedName name="_417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256"}</definedName>
    <definedName name="_417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256"}</definedName>
    <definedName name="_417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255"}</definedName>
    <definedName name="_417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255"}</definedName>
    <definedName name="_417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255"}</definedName>
    <definedName name="_417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254"}</definedName>
    <definedName name="_417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254"}</definedName>
    <definedName name="_417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254"}</definedName>
    <definedName name="_417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253"}</definedName>
    <definedName name="_417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253"}</definedName>
    <definedName name="_417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253"}</definedName>
    <definedName name="_417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252"}</definedName>
    <definedName name="_417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252"}</definedName>
    <definedName name="_417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252"}</definedName>
    <definedName name="_418__FDSAUDITLINK__" localSheetId="3" hidden="1">{"fdsup://directions/FAT Viewer?action=UPDATE&amp;creator=factset&amp;DYN_ARGS=TRUE&amp;DOC_NAME=FAT:FQL_AUDITING_CLIENT_TEMPLATE.FAT&amp;display_string=Audit&amp;VAR:KEY=IHSXADMLOJ&amp;VAR:QUERY=RkZfTkVUX01HTihBTk4sMCwtOSxZLFJQLExPQ0FMLE0p&amp;WINDOW=FIRST_POPUP&amp;HEIGHT=450&amp;WIDTH=450&amp;","START_MAXIMIZED=FALSE&amp;VAR:CALENDAR=US&amp;VAR:SYMBOL=B10LQP&amp;VAR:INDEX=1"}</definedName>
    <definedName name="_418__FDSAUDITLINK__" localSheetId="7" hidden="1">{"fdsup://directions/FAT Viewer?action=UPDATE&amp;creator=factset&amp;DYN_ARGS=TRUE&amp;DOC_NAME=FAT:FQL_AUDITING_CLIENT_TEMPLATE.FAT&amp;display_string=Audit&amp;VAR:KEY=IHSXADMLOJ&amp;VAR:QUERY=RkZfTkVUX01HTihBTk4sMCwtOSxZLFJQLExPQ0FMLE0p&amp;WINDOW=FIRST_POPUP&amp;HEIGHT=450&amp;WIDTH=450&amp;","START_MAXIMIZED=FALSE&amp;VAR:CALENDAR=US&amp;VAR:SYMBOL=B10LQP&amp;VAR:INDEX=1"}</definedName>
    <definedName name="_418__FDSAUDITLINK__" hidden="1">{"fdsup://directions/FAT Viewer?action=UPDATE&amp;creator=factset&amp;DYN_ARGS=TRUE&amp;DOC_NAME=FAT:FQL_AUDITING_CLIENT_TEMPLATE.FAT&amp;display_string=Audit&amp;VAR:KEY=IHSXADMLOJ&amp;VAR:QUERY=RkZfTkVUX01HTihBTk4sMCwtOSxZLFJQLExPQ0FMLE0p&amp;WINDOW=FIRST_POPUP&amp;HEIGHT=450&amp;WIDTH=450&amp;","START_MAXIMIZED=FALSE&amp;VAR:CALENDAR=US&amp;VAR:SYMBOL=B10LQP&amp;VAR:INDEX=1"}</definedName>
    <definedName name="_418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251"}</definedName>
    <definedName name="_418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251"}</definedName>
    <definedName name="_418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251"}</definedName>
    <definedName name="_418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250"}</definedName>
    <definedName name="_418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250"}</definedName>
    <definedName name="_418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250"}</definedName>
    <definedName name="_418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249"}</definedName>
    <definedName name="_418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249"}</definedName>
    <definedName name="_418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249"}</definedName>
    <definedName name="_418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248"}</definedName>
    <definedName name="_418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248"}</definedName>
    <definedName name="_418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248"}</definedName>
    <definedName name="_418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247"}</definedName>
    <definedName name="_418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247"}</definedName>
    <definedName name="_418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247"}</definedName>
    <definedName name="_418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246"}</definedName>
    <definedName name="_418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246"}</definedName>
    <definedName name="_418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246"}</definedName>
    <definedName name="_418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245"}</definedName>
    <definedName name="_418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245"}</definedName>
    <definedName name="_418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245"}</definedName>
    <definedName name="_418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244"}</definedName>
    <definedName name="_418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244"}</definedName>
    <definedName name="_418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244"}</definedName>
    <definedName name="_418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243"}</definedName>
    <definedName name="_418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243"}</definedName>
    <definedName name="_418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243"}</definedName>
    <definedName name="_418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242"}</definedName>
    <definedName name="_418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242"}</definedName>
    <definedName name="_418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242"}</definedName>
    <definedName name="_419__FDSAUDITLINK__" localSheetId="3" hidden="1">{"fdsup://directions/FAT Viewer?action=UPDATE&amp;creator=factset&amp;DYN_ARGS=TRUE&amp;DOC_NAME=FAT:FQL_AUDITING_CLIENT_TEMPLATE.FAT&amp;display_string=Audit&amp;VAR:KEY=AHUXCVSNCH&amp;VAR:QUERY=MTAwICogKEZGX0RQUyhBTk4sMCwtOSxZLFJQKSAvLyBQKDAsLTksWSxSUCkp&amp;WINDOW=FIRST_POPUP&amp;HEIGH","T=450&amp;WIDTH=450&amp;START_MAXIMIZED=FALSE&amp;VAR:CALENDAR=US&amp;VAR:SYMBOL=B10LQP&amp;VAR:INDEX=4"}</definedName>
    <definedName name="_419__FDSAUDITLINK__" localSheetId="7" hidden="1">{"fdsup://directions/FAT Viewer?action=UPDATE&amp;creator=factset&amp;DYN_ARGS=TRUE&amp;DOC_NAME=FAT:FQL_AUDITING_CLIENT_TEMPLATE.FAT&amp;display_string=Audit&amp;VAR:KEY=AHUXCVSNCH&amp;VAR:QUERY=MTAwICogKEZGX0RQUyhBTk4sMCwtOSxZLFJQKSAvLyBQKDAsLTksWSxSUCkp&amp;WINDOW=FIRST_POPUP&amp;HEIGH","T=450&amp;WIDTH=450&amp;START_MAXIMIZED=FALSE&amp;VAR:CALENDAR=US&amp;VAR:SYMBOL=B10LQP&amp;VAR:INDEX=4"}</definedName>
    <definedName name="_419__FDSAUDITLINK__" hidden="1">{"fdsup://directions/FAT Viewer?action=UPDATE&amp;creator=factset&amp;DYN_ARGS=TRUE&amp;DOC_NAME=FAT:FQL_AUDITING_CLIENT_TEMPLATE.FAT&amp;display_string=Audit&amp;VAR:KEY=AHUXCVSNCH&amp;VAR:QUERY=MTAwICogKEZGX0RQUyhBTk4sMCwtOSxZLFJQKSAvLyBQKDAsLTksWSxSUCkp&amp;WINDOW=FIRST_POPUP&amp;HEIGH","T=450&amp;WIDTH=450&amp;START_MAXIMIZED=FALSE&amp;VAR:CALENDAR=US&amp;VAR:SYMBOL=B10LQP&amp;VAR:INDEX=4"}</definedName>
    <definedName name="_419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241"}</definedName>
    <definedName name="_419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241"}</definedName>
    <definedName name="_419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241"}</definedName>
    <definedName name="_419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240"}</definedName>
    <definedName name="_419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240"}</definedName>
    <definedName name="_419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240"}</definedName>
    <definedName name="_419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239"}</definedName>
    <definedName name="_419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239"}</definedName>
    <definedName name="_419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239"}</definedName>
    <definedName name="_419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238"}</definedName>
    <definedName name="_419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238"}</definedName>
    <definedName name="_419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238"}</definedName>
    <definedName name="_419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237"}</definedName>
    <definedName name="_419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237"}</definedName>
    <definedName name="_419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237"}</definedName>
    <definedName name="_419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236"}</definedName>
    <definedName name="_419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236"}</definedName>
    <definedName name="_419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236"}</definedName>
    <definedName name="_419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235"}</definedName>
    <definedName name="_419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235"}</definedName>
    <definedName name="_419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235"}</definedName>
    <definedName name="_419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234"}</definedName>
    <definedName name="_419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234"}</definedName>
    <definedName name="_419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234"}</definedName>
    <definedName name="_419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233"}</definedName>
    <definedName name="_419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233"}</definedName>
    <definedName name="_419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233"}</definedName>
    <definedName name="_419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232"}</definedName>
    <definedName name="_419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232"}</definedName>
    <definedName name="_419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232"}</definedName>
    <definedName name="_42__FDSAUDITLINK__" localSheetId="3" hidden="1">{"fdsup://directions/FAT Viewer?action=UPDATE&amp;creator=factset&amp;DYN_ARGS=TRUE&amp;DOC_NAME=FAT:FQL_AUDITING_CLIENT_TEMPLATE.FAT&amp;display_string=Audit&amp;VAR:KEY=HKROHKZMBE&amp;VAR:QUERY=RkZfRUJJVERBX09QRVIoTFRNLDAsLCwsTE9DQUwsTSk=&amp;WINDOW=FIRST_POPUP&amp;HEIGHT=450&amp;WIDTH=450&amp;","START_MAXIMIZED=FALSE&amp;VAR:CALENDAR=US&amp;VAR:SYMBOL=B07C76&amp;VAR:INDEX=0"}</definedName>
    <definedName name="_42__FDSAUDITLINK__" localSheetId="7" hidden="1">{"fdsup://directions/FAT Viewer?action=UPDATE&amp;creator=factset&amp;DYN_ARGS=TRUE&amp;DOC_NAME=FAT:FQL_AUDITING_CLIENT_TEMPLATE.FAT&amp;display_string=Audit&amp;VAR:KEY=HKROHKZMBE&amp;VAR:QUERY=RkZfRUJJVERBX09QRVIoTFRNLDAsLCwsTE9DQUwsTSk=&amp;WINDOW=FIRST_POPUP&amp;HEIGHT=450&amp;WIDTH=450&amp;","START_MAXIMIZED=FALSE&amp;VAR:CALENDAR=US&amp;VAR:SYMBOL=B07C76&amp;VAR:INDEX=0"}</definedName>
    <definedName name="_42__FDSAUDITLINK__" hidden="1">{"fdsup://directions/FAT Viewer?action=UPDATE&amp;creator=factset&amp;DYN_ARGS=TRUE&amp;DOC_NAME=FAT:FQL_AUDITING_CLIENT_TEMPLATE.FAT&amp;display_string=Audit&amp;VAR:KEY=HKROHKZMBE&amp;VAR:QUERY=RkZfRUJJVERBX09QRVIoTFRNLDAsLCwsTE9DQUwsTSk=&amp;WINDOW=FIRST_POPUP&amp;HEIGHT=450&amp;WIDTH=450&amp;","START_MAXIMIZED=FALSE&amp;VAR:CALENDAR=US&amp;VAR:SYMBOL=B07C76&amp;VAR:INDEX=0"}</definedName>
    <definedName name="_420__FDSAUDITLINK__" localSheetId="3" hidden="1">{"fdsup://directions/FAT Viewer?action=UPDATE&amp;creator=factset&amp;DYN_ARGS=TRUE&amp;DOC_NAME=FAT:FQL_AUDITING_CLIENT_TEMPLATE.FAT&amp;display_string=Audit&amp;VAR:KEY=DYDEHSFSFQ&amp;VAR:QUERY=UENUQ0hHKEZGX05FVF9JTkMoQU5OLDAsLTksWSxSUCxMT0NBTCxNKSxGRl9ORVRfSU5DKEFOTiwtMSwtOSAtI","DEsWSxSUCxMT0NBTCxNKSk=&amp;WINDOW=FIRST_POPUP&amp;HEIGHT=450&amp;WIDTH=450&amp;START_MAXIMIZED=FALSE&amp;VAR:CALENDAR=US&amp;VAR:SYMBOL=B10LQP&amp;VAR:INDEX=7"}</definedName>
    <definedName name="_420__FDSAUDITLINK__" localSheetId="7" hidden="1">{"fdsup://directions/FAT Viewer?action=UPDATE&amp;creator=factset&amp;DYN_ARGS=TRUE&amp;DOC_NAME=FAT:FQL_AUDITING_CLIENT_TEMPLATE.FAT&amp;display_string=Audit&amp;VAR:KEY=DYDEHSFSFQ&amp;VAR:QUERY=UENUQ0hHKEZGX05FVF9JTkMoQU5OLDAsLTksWSxSUCxMT0NBTCxNKSxGRl9ORVRfSU5DKEFOTiwtMSwtOSAtI","DEsWSxSUCxMT0NBTCxNKSk=&amp;WINDOW=FIRST_POPUP&amp;HEIGHT=450&amp;WIDTH=450&amp;START_MAXIMIZED=FALSE&amp;VAR:CALENDAR=US&amp;VAR:SYMBOL=B10LQP&amp;VAR:INDEX=7"}</definedName>
    <definedName name="_420__FDSAUDITLINK__" hidden="1">{"fdsup://directions/FAT Viewer?action=UPDATE&amp;creator=factset&amp;DYN_ARGS=TRUE&amp;DOC_NAME=FAT:FQL_AUDITING_CLIENT_TEMPLATE.FAT&amp;display_string=Audit&amp;VAR:KEY=DYDEHSFSFQ&amp;VAR:QUERY=UENUQ0hHKEZGX05FVF9JTkMoQU5OLDAsLTksWSxSUCxMT0NBTCxNKSxGRl9ORVRfSU5DKEFOTiwtMSwtOSAtI","DEsWSxSUCxMT0NBTCxNKSk=&amp;WINDOW=FIRST_POPUP&amp;HEIGHT=450&amp;WIDTH=450&amp;START_MAXIMIZED=FALSE&amp;VAR:CALENDAR=US&amp;VAR:SYMBOL=B10LQP&amp;VAR:INDEX=7"}</definedName>
    <definedName name="_420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231"}</definedName>
    <definedName name="_420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231"}</definedName>
    <definedName name="_420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231"}</definedName>
    <definedName name="_420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230"}</definedName>
    <definedName name="_420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230"}</definedName>
    <definedName name="_420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230"}</definedName>
    <definedName name="_420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229"}</definedName>
    <definedName name="_420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229"}</definedName>
    <definedName name="_420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229"}</definedName>
    <definedName name="_420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228"}</definedName>
    <definedName name="_420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228"}</definedName>
    <definedName name="_420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228"}</definedName>
    <definedName name="_420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227"}</definedName>
    <definedName name="_420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227"}</definedName>
    <definedName name="_420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227"}</definedName>
    <definedName name="_420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226"}</definedName>
    <definedName name="_420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226"}</definedName>
    <definedName name="_420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226"}</definedName>
    <definedName name="_420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225"}</definedName>
    <definedName name="_420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225"}</definedName>
    <definedName name="_420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225"}</definedName>
    <definedName name="_420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224"}</definedName>
    <definedName name="_420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224"}</definedName>
    <definedName name="_420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224"}</definedName>
    <definedName name="_420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223"}</definedName>
    <definedName name="_420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223"}</definedName>
    <definedName name="_420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223"}</definedName>
    <definedName name="_420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222"}</definedName>
    <definedName name="_420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222"}</definedName>
    <definedName name="_420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222"}</definedName>
    <definedName name="_421__FDSAUDITLINK__" localSheetId="3" hidden="1">{"fdsup://directions/FAT Viewer?action=UPDATE&amp;creator=factset&amp;DYN_ARGS=TRUE&amp;DOC_NAME=FAT:FQL_AUDITING_CLIENT_TEMPLATE.FAT&amp;display_string=Audit&amp;VAR:KEY=DYDEHSFSFQ&amp;VAR:QUERY=UENUQ0hHKEZGX05FVF9JTkMoQU5OLDAsLTksWSxSUCxMT0NBTCxNKSxGRl9ORVRfSU5DKEFOTiwtMSwtOSAtI","DEsWSxSUCxMT0NBTCxNKSk=&amp;WINDOW=FIRST_POPUP&amp;HEIGHT=450&amp;WIDTH=450&amp;START_MAXIMIZED=FALSE&amp;VAR:CALENDAR=US&amp;VAR:SYMBOL=B10LQP&amp;VAR:INDEX=6"}</definedName>
    <definedName name="_421__FDSAUDITLINK__" localSheetId="7" hidden="1">{"fdsup://directions/FAT Viewer?action=UPDATE&amp;creator=factset&amp;DYN_ARGS=TRUE&amp;DOC_NAME=FAT:FQL_AUDITING_CLIENT_TEMPLATE.FAT&amp;display_string=Audit&amp;VAR:KEY=DYDEHSFSFQ&amp;VAR:QUERY=UENUQ0hHKEZGX05FVF9JTkMoQU5OLDAsLTksWSxSUCxMT0NBTCxNKSxGRl9ORVRfSU5DKEFOTiwtMSwtOSAtI","DEsWSxSUCxMT0NBTCxNKSk=&amp;WINDOW=FIRST_POPUP&amp;HEIGHT=450&amp;WIDTH=450&amp;START_MAXIMIZED=FALSE&amp;VAR:CALENDAR=US&amp;VAR:SYMBOL=B10LQP&amp;VAR:INDEX=6"}</definedName>
    <definedName name="_421__FDSAUDITLINK__" hidden="1">{"fdsup://directions/FAT Viewer?action=UPDATE&amp;creator=factset&amp;DYN_ARGS=TRUE&amp;DOC_NAME=FAT:FQL_AUDITING_CLIENT_TEMPLATE.FAT&amp;display_string=Audit&amp;VAR:KEY=DYDEHSFSFQ&amp;VAR:QUERY=UENUQ0hHKEZGX05FVF9JTkMoQU5OLDAsLTksWSxSUCxMT0NBTCxNKSxGRl9ORVRfSU5DKEFOTiwtMSwtOSAtI","DEsWSxSUCxMT0NBTCxNKSk=&amp;WINDOW=FIRST_POPUP&amp;HEIGHT=450&amp;WIDTH=450&amp;START_MAXIMIZED=FALSE&amp;VAR:CALENDAR=US&amp;VAR:SYMBOL=B10LQP&amp;VAR:INDEX=6"}</definedName>
    <definedName name="_421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221"}</definedName>
    <definedName name="_421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221"}</definedName>
    <definedName name="_421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221"}</definedName>
    <definedName name="_421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220"}</definedName>
    <definedName name="_421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220"}</definedName>
    <definedName name="_421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220"}</definedName>
    <definedName name="_421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219"}</definedName>
    <definedName name="_421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219"}</definedName>
    <definedName name="_421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219"}</definedName>
    <definedName name="_421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218"}</definedName>
    <definedName name="_421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218"}</definedName>
    <definedName name="_421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218"}</definedName>
    <definedName name="_421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217"}</definedName>
    <definedName name="_421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217"}</definedName>
    <definedName name="_421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217"}</definedName>
    <definedName name="_421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216"}</definedName>
    <definedName name="_421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216"}</definedName>
    <definedName name="_421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216"}</definedName>
    <definedName name="_421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215"}</definedName>
    <definedName name="_421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215"}</definedName>
    <definedName name="_421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215"}</definedName>
    <definedName name="_421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214"}</definedName>
    <definedName name="_421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214"}</definedName>
    <definedName name="_421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214"}</definedName>
    <definedName name="_421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213"}</definedName>
    <definedName name="_421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213"}</definedName>
    <definedName name="_421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213"}</definedName>
    <definedName name="_421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212"}</definedName>
    <definedName name="_421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212"}</definedName>
    <definedName name="_421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212"}</definedName>
    <definedName name="_422__FDSAUDITLINK__" localSheetId="3" hidden="1">{"fdsup://directions/FAT Viewer?action=UPDATE&amp;creator=factset&amp;DYN_ARGS=TRUE&amp;DOC_NAME=FAT:FQL_AUDITING_CLIENT_TEMPLATE.FAT&amp;display_string=Audit&amp;VAR:KEY=DYDEHSFSFQ&amp;VAR:QUERY=UENUQ0hHKEZGX05FVF9JTkMoQU5OLDAsLTksWSxSUCxMT0NBTCxNKSxGRl9ORVRfSU5DKEFOTiwtMSwtOSAtI","DEsWSxSUCxMT0NBTCxNKSk=&amp;WINDOW=FIRST_POPUP&amp;HEIGHT=450&amp;WIDTH=450&amp;START_MAXIMIZED=FALSE&amp;VAR:CALENDAR=US&amp;VAR:SYMBOL=B10LQP&amp;VAR:INDEX=5"}</definedName>
    <definedName name="_422__FDSAUDITLINK__" localSheetId="7" hidden="1">{"fdsup://directions/FAT Viewer?action=UPDATE&amp;creator=factset&amp;DYN_ARGS=TRUE&amp;DOC_NAME=FAT:FQL_AUDITING_CLIENT_TEMPLATE.FAT&amp;display_string=Audit&amp;VAR:KEY=DYDEHSFSFQ&amp;VAR:QUERY=UENUQ0hHKEZGX05FVF9JTkMoQU5OLDAsLTksWSxSUCxMT0NBTCxNKSxGRl9ORVRfSU5DKEFOTiwtMSwtOSAtI","DEsWSxSUCxMT0NBTCxNKSk=&amp;WINDOW=FIRST_POPUP&amp;HEIGHT=450&amp;WIDTH=450&amp;START_MAXIMIZED=FALSE&amp;VAR:CALENDAR=US&amp;VAR:SYMBOL=B10LQP&amp;VAR:INDEX=5"}</definedName>
    <definedName name="_422__FDSAUDITLINK__" hidden="1">{"fdsup://directions/FAT Viewer?action=UPDATE&amp;creator=factset&amp;DYN_ARGS=TRUE&amp;DOC_NAME=FAT:FQL_AUDITING_CLIENT_TEMPLATE.FAT&amp;display_string=Audit&amp;VAR:KEY=DYDEHSFSFQ&amp;VAR:QUERY=UENUQ0hHKEZGX05FVF9JTkMoQU5OLDAsLTksWSxSUCxMT0NBTCxNKSxGRl9ORVRfSU5DKEFOTiwtMSwtOSAtI","DEsWSxSUCxMT0NBTCxNKSk=&amp;WINDOW=FIRST_POPUP&amp;HEIGHT=450&amp;WIDTH=450&amp;START_MAXIMIZED=FALSE&amp;VAR:CALENDAR=US&amp;VAR:SYMBOL=B10LQP&amp;VAR:INDEX=5"}</definedName>
    <definedName name="_422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211"}</definedName>
    <definedName name="_422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211"}</definedName>
    <definedName name="_422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211"}</definedName>
    <definedName name="_422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210"}</definedName>
    <definedName name="_422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210"}</definedName>
    <definedName name="_422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210"}</definedName>
    <definedName name="_422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209"}</definedName>
    <definedName name="_422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209"}</definedName>
    <definedName name="_422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209"}</definedName>
    <definedName name="_422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208"}</definedName>
    <definedName name="_422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208"}</definedName>
    <definedName name="_422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208"}</definedName>
    <definedName name="_422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207"}</definedName>
    <definedName name="_422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207"}</definedName>
    <definedName name="_422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207"}</definedName>
    <definedName name="_422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206"}</definedName>
    <definedName name="_422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206"}</definedName>
    <definedName name="_422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206"}</definedName>
    <definedName name="_422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205"}</definedName>
    <definedName name="_422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205"}</definedName>
    <definedName name="_422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205"}</definedName>
    <definedName name="_422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204"}</definedName>
    <definedName name="_422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204"}</definedName>
    <definedName name="_422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204"}</definedName>
    <definedName name="_422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203"}</definedName>
    <definedName name="_422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203"}</definedName>
    <definedName name="_422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203"}</definedName>
    <definedName name="_422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202"}</definedName>
    <definedName name="_422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202"}</definedName>
    <definedName name="_422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202"}</definedName>
    <definedName name="_423__FDSAUDITLINK__" localSheetId="3" hidden="1">{"fdsup://directions/FAT Viewer?action=UPDATE&amp;creator=factset&amp;DYN_ARGS=TRUE&amp;DOC_NAME=FAT:FQL_AUDITING_CLIENT_TEMPLATE.FAT&amp;display_string=Audit&amp;VAR:KEY=DYDEHSFSFQ&amp;VAR:QUERY=UENUQ0hHKEZGX05FVF9JTkMoQU5OLDAsLTksWSxSUCxMT0NBTCxNKSxGRl9ORVRfSU5DKEFOTiwtMSwtOSAtI","DEsWSxSUCxMT0NBTCxNKSk=&amp;WINDOW=FIRST_POPUP&amp;HEIGHT=450&amp;WIDTH=450&amp;START_MAXIMIZED=FALSE&amp;VAR:CALENDAR=US&amp;VAR:SYMBOL=B10LQP&amp;VAR:INDEX=4"}</definedName>
    <definedName name="_423__FDSAUDITLINK__" localSheetId="7" hidden="1">{"fdsup://directions/FAT Viewer?action=UPDATE&amp;creator=factset&amp;DYN_ARGS=TRUE&amp;DOC_NAME=FAT:FQL_AUDITING_CLIENT_TEMPLATE.FAT&amp;display_string=Audit&amp;VAR:KEY=DYDEHSFSFQ&amp;VAR:QUERY=UENUQ0hHKEZGX05FVF9JTkMoQU5OLDAsLTksWSxSUCxMT0NBTCxNKSxGRl9ORVRfSU5DKEFOTiwtMSwtOSAtI","DEsWSxSUCxMT0NBTCxNKSk=&amp;WINDOW=FIRST_POPUP&amp;HEIGHT=450&amp;WIDTH=450&amp;START_MAXIMIZED=FALSE&amp;VAR:CALENDAR=US&amp;VAR:SYMBOL=B10LQP&amp;VAR:INDEX=4"}</definedName>
    <definedName name="_423__FDSAUDITLINK__" hidden="1">{"fdsup://directions/FAT Viewer?action=UPDATE&amp;creator=factset&amp;DYN_ARGS=TRUE&amp;DOC_NAME=FAT:FQL_AUDITING_CLIENT_TEMPLATE.FAT&amp;display_string=Audit&amp;VAR:KEY=DYDEHSFSFQ&amp;VAR:QUERY=UENUQ0hHKEZGX05FVF9JTkMoQU5OLDAsLTksWSxSUCxMT0NBTCxNKSxGRl9ORVRfSU5DKEFOTiwtMSwtOSAtI","DEsWSxSUCxMT0NBTCxNKSk=&amp;WINDOW=FIRST_POPUP&amp;HEIGHT=450&amp;WIDTH=450&amp;START_MAXIMIZED=FALSE&amp;VAR:CALENDAR=US&amp;VAR:SYMBOL=B10LQP&amp;VAR:INDEX=4"}</definedName>
    <definedName name="_423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201"}</definedName>
    <definedName name="_423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201"}</definedName>
    <definedName name="_423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201"}</definedName>
    <definedName name="_423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200"}</definedName>
    <definedName name="_423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200"}</definedName>
    <definedName name="_423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200"}</definedName>
    <definedName name="_423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199"}</definedName>
    <definedName name="_423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199"}</definedName>
    <definedName name="_423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199"}</definedName>
    <definedName name="_423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198"}</definedName>
    <definedName name="_423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198"}</definedName>
    <definedName name="_423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198"}</definedName>
    <definedName name="_423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197"}</definedName>
    <definedName name="_423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197"}</definedName>
    <definedName name="_423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197"}</definedName>
    <definedName name="_423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196"}</definedName>
    <definedName name="_423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196"}</definedName>
    <definedName name="_423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196"}</definedName>
    <definedName name="_423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195"}</definedName>
    <definedName name="_423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195"}</definedName>
    <definedName name="_423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195"}</definedName>
    <definedName name="_423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194"}</definedName>
    <definedName name="_423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194"}</definedName>
    <definedName name="_423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194"}</definedName>
    <definedName name="_423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193"}</definedName>
    <definedName name="_423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193"}</definedName>
    <definedName name="_423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193"}</definedName>
    <definedName name="_423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192"}</definedName>
    <definedName name="_423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192"}</definedName>
    <definedName name="_423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192"}</definedName>
    <definedName name="_424__FDSAUDITLINK__" localSheetId="3" hidden="1">{"fdsup://directions/FAT Viewer?action=UPDATE&amp;creator=factset&amp;DYN_ARGS=TRUE&amp;DOC_NAME=FAT:FQL_AUDITING_CLIENT_TEMPLATE.FAT&amp;display_string=Audit&amp;VAR:KEY=DYDEHSFSFQ&amp;VAR:QUERY=UENUQ0hHKEZGX05FVF9JTkMoQU5OLDAsLTksWSxSUCxMT0NBTCxNKSxGRl9ORVRfSU5DKEFOTiwtMSwtOSAtI","DEsWSxSUCxMT0NBTCxNKSk=&amp;WINDOW=FIRST_POPUP&amp;HEIGHT=450&amp;WIDTH=450&amp;START_MAXIMIZED=FALSE&amp;VAR:CALENDAR=US&amp;VAR:SYMBOL=B10LQP&amp;VAR:INDEX=3"}</definedName>
    <definedName name="_424__FDSAUDITLINK__" localSheetId="7" hidden="1">{"fdsup://directions/FAT Viewer?action=UPDATE&amp;creator=factset&amp;DYN_ARGS=TRUE&amp;DOC_NAME=FAT:FQL_AUDITING_CLIENT_TEMPLATE.FAT&amp;display_string=Audit&amp;VAR:KEY=DYDEHSFSFQ&amp;VAR:QUERY=UENUQ0hHKEZGX05FVF9JTkMoQU5OLDAsLTksWSxSUCxMT0NBTCxNKSxGRl9ORVRfSU5DKEFOTiwtMSwtOSAtI","DEsWSxSUCxMT0NBTCxNKSk=&amp;WINDOW=FIRST_POPUP&amp;HEIGHT=450&amp;WIDTH=450&amp;START_MAXIMIZED=FALSE&amp;VAR:CALENDAR=US&amp;VAR:SYMBOL=B10LQP&amp;VAR:INDEX=3"}</definedName>
    <definedName name="_424__FDSAUDITLINK__" hidden="1">{"fdsup://directions/FAT Viewer?action=UPDATE&amp;creator=factset&amp;DYN_ARGS=TRUE&amp;DOC_NAME=FAT:FQL_AUDITING_CLIENT_TEMPLATE.FAT&amp;display_string=Audit&amp;VAR:KEY=DYDEHSFSFQ&amp;VAR:QUERY=UENUQ0hHKEZGX05FVF9JTkMoQU5OLDAsLTksWSxSUCxMT0NBTCxNKSxGRl9ORVRfSU5DKEFOTiwtMSwtOSAtI","DEsWSxSUCxMT0NBTCxNKSk=&amp;WINDOW=FIRST_POPUP&amp;HEIGHT=450&amp;WIDTH=450&amp;START_MAXIMIZED=FALSE&amp;VAR:CALENDAR=US&amp;VAR:SYMBOL=B10LQP&amp;VAR:INDEX=3"}</definedName>
    <definedName name="_424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191"}</definedName>
    <definedName name="_424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191"}</definedName>
    <definedName name="_424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191"}</definedName>
    <definedName name="_424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190"}</definedName>
    <definedName name="_424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190"}</definedName>
    <definedName name="_424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190"}</definedName>
    <definedName name="_424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189"}</definedName>
    <definedName name="_424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189"}</definedName>
    <definedName name="_424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189"}</definedName>
    <definedName name="_424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188"}</definedName>
    <definedName name="_424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188"}</definedName>
    <definedName name="_424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188"}</definedName>
    <definedName name="_424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187"}</definedName>
    <definedName name="_424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187"}</definedName>
    <definedName name="_424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187"}</definedName>
    <definedName name="_424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186"}</definedName>
    <definedName name="_424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186"}</definedName>
    <definedName name="_424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186"}</definedName>
    <definedName name="_424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185"}</definedName>
    <definedName name="_424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185"}</definedName>
    <definedName name="_424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185"}</definedName>
    <definedName name="_424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184"}</definedName>
    <definedName name="_424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184"}</definedName>
    <definedName name="_424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184"}</definedName>
    <definedName name="_424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183"}</definedName>
    <definedName name="_424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183"}</definedName>
    <definedName name="_424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183"}</definedName>
    <definedName name="_424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182"}</definedName>
    <definedName name="_424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182"}</definedName>
    <definedName name="_424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182"}</definedName>
    <definedName name="_425__FDSAUDITLINK__" localSheetId="3" hidden="1">{"fdsup://directions/FAT Viewer?action=UPDATE&amp;creator=factset&amp;DYN_ARGS=TRUE&amp;DOC_NAME=FAT:FQL_AUDITING_CLIENT_TEMPLATE.FAT&amp;display_string=Audit&amp;VAR:KEY=DYDEHSFSFQ&amp;VAR:QUERY=UENUQ0hHKEZGX05FVF9JTkMoQU5OLDAsLTksWSxSUCxMT0NBTCxNKSxGRl9ORVRfSU5DKEFOTiwtMSwtOSAtI","DEsWSxSUCxMT0NBTCxNKSk=&amp;WINDOW=FIRST_POPUP&amp;HEIGHT=450&amp;WIDTH=450&amp;START_MAXIMIZED=FALSE&amp;VAR:CALENDAR=US&amp;VAR:SYMBOL=B10LQP&amp;VAR:INDEX=2"}</definedName>
    <definedName name="_425__FDSAUDITLINK__" localSheetId="7" hidden="1">{"fdsup://directions/FAT Viewer?action=UPDATE&amp;creator=factset&amp;DYN_ARGS=TRUE&amp;DOC_NAME=FAT:FQL_AUDITING_CLIENT_TEMPLATE.FAT&amp;display_string=Audit&amp;VAR:KEY=DYDEHSFSFQ&amp;VAR:QUERY=UENUQ0hHKEZGX05FVF9JTkMoQU5OLDAsLTksWSxSUCxMT0NBTCxNKSxGRl9ORVRfSU5DKEFOTiwtMSwtOSAtI","DEsWSxSUCxMT0NBTCxNKSk=&amp;WINDOW=FIRST_POPUP&amp;HEIGHT=450&amp;WIDTH=450&amp;START_MAXIMIZED=FALSE&amp;VAR:CALENDAR=US&amp;VAR:SYMBOL=B10LQP&amp;VAR:INDEX=2"}</definedName>
    <definedName name="_425__FDSAUDITLINK__" hidden="1">{"fdsup://directions/FAT Viewer?action=UPDATE&amp;creator=factset&amp;DYN_ARGS=TRUE&amp;DOC_NAME=FAT:FQL_AUDITING_CLIENT_TEMPLATE.FAT&amp;display_string=Audit&amp;VAR:KEY=DYDEHSFSFQ&amp;VAR:QUERY=UENUQ0hHKEZGX05FVF9JTkMoQU5OLDAsLTksWSxSUCxMT0NBTCxNKSxGRl9ORVRfSU5DKEFOTiwtMSwtOSAtI","DEsWSxSUCxMT0NBTCxNKSk=&amp;WINDOW=FIRST_POPUP&amp;HEIGHT=450&amp;WIDTH=450&amp;START_MAXIMIZED=FALSE&amp;VAR:CALENDAR=US&amp;VAR:SYMBOL=B10LQP&amp;VAR:INDEX=2"}</definedName>
    <definedName name="_425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181"}</definedName>
    <definedName name="_425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181"}</definedName>
    <definedName name="_425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181"}</definedName>
    <definedName name="_425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180"}</definedName>
    <definedName name="_425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180"}</definedName>
    <definedName name="_425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180"}</definedName>
    <definedName name="_425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179"}</definedName>
    <definedName name="_425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179"}</definedName>
    <definedName name="_425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179"}</definedName>
    <definedName name="_425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178"}</definedName>
    <definedName name="_425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178"}</definedName>
    <definedName name="_425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178"}</definedName>
    <definedName name="_425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177"}</definedName>
    <definedName name="_425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177"}</definedName>
    <definedName name="_425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177"}</definedName>
    <definedName name="_425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176"}</definedName>
    <definedName name="_425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176"}</definedName>
    <definedName name="_425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176"}</definedName>
    <definedName name="_425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175"}</definedName>
    <definedName name="_425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175"}</definedName>
    <definedName name="_425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175"}</definedName>
    <definedName name="_425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174"}</definedName>
    <definedName name="_425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174"}</definedName>
    <definedName name="_425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174"}</definedName>
    <definedName name="_425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173"}</definedName>
    <definedName name="_425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173"}</definedName>
    <definedName name="_425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173"}</definedName>
    <definedName name="_425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172"}</definedName>
    <definedName name="_425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172"}</definedName>
    <definedName name="_425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172"}</definedName>
    <definedName name="_426__FDSAUDITLINK__" localSheetId="3" hidden="1">{"fdsup://directions/FAT Viewer?action=UPDATE&amp;creator=factset&amp;DYN_ARGS=TRUE&amp;DOC_NAME=FAT:FQL_AUDITING_CLIENT_TEMPLATE.FAT&amp;display_string=Audit&amp;VAR:KEY=DYDEHSFSFQ&amp;VAR:QUERY=UENUQ0hHKEZGX05FVF9JTkMoQU5OLDAsLTksWSxSUCxMT0NBTCxNKSxGRl9ORVRfSU5DKEFOTiwtMSwtOSAtI","DEsWSxSUCxMT0NBTCxNKSk=&amp;WINDOW=FIRST_POPUP&amp;HEIGHT=450&amp;WIDTH=450&amp;START_MAXIMIZED=FALSE&amp;VAR:CALENDAR=US&amp;VAR:SYMBOL=B10LQP&amp;VAR:INDEX=1"}</definedName>
    <definedName name="_426__FDSAUDITLINK__" localSheetId="7" hidden="1">{"fdsup://directions/FAT Viewer?action=UPDATE&amp;creator=factset&amp;DYN_ARGS=TRUE&amp;DOC_NAME=FAT:FQL_AUDITING_CLIENT_TEMPLATE.FAT&amp;display_string=Audit&amp;VAR:KEY=DYDEHSFSFQ&amp;VAR:QUERY=UENUQ0hHKEZGX05FVF9JTkMoQU5OLDAsLTksWSxSUCxMT0NBTCxNKSxGRl9ORVRfSU5DKEFOTiwtMSwtOSAtI","DEsWSxSUCxMT0NBTCxNKSk=&amp;WINDOW=FIRST_POPUP&amp;HEIGHT=450&amp;WIDTH=450&amp;START_MAXIMIZED=FALSE&amp;VAR:CALENDAR=US&amp;VAR:SYMBOL=B10LQP&amp;VAR:INDEX=1"}</definedName>
    <definedName name="_426__FDSAUDITLINK__" hidden="1">{"fdsup://directions/FAT Viewer?action=UPDATE&amp;creator=factset&amp;DYN_ARGS=TRUE&amp;DOC_NAME=FAT:FQL_AUDITING_CLIENT_TEMPLATE.FAT&amp;display_string=Audit&amp;VAR:KEY=DYDEHSFSFQ&amp;VAR:QUERY=UENUQ0hHKEZGX05FVF9JTkMoQU5OLDAsLTksWSxSUCxMT0NBTCxNKSxGRl9ORVRfSU5DKEFOTiwtMSwtOSAtI","DEsWSxSUCxMT0NBTCxNKSk=&amp;WINDOW=FIRST_POPUP&amp;HEIGHT=450&amp;WIDTH=450&amp;START_MAXIMIZED=FALSE&amp;VAR:CALENDAR=US&amp;VAR:SYMBOL=B10LQP&amp;VAR:INDEX=1"}</definedName>
    <definedName name="_426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171"}</definedName>
    <definedName name="_426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171"}</definedName>
    <definedName name="_426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171"}</definedName>
    <definedName name="_426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170"}</definedName>
    <definedName name="_426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170"}</definedName>
    <definedName name="_426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170"}</definedName>
    <definedName name="_426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169"}</definedName>
    <definedName name="_426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169"}</definedName>
    <definedName name="_426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169"}</definedName>
    <definedName name="_426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168"}</definedName>
    <definedName name="_426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168"}</definedName>
    <definedName name="_426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168"}</definedName>
    <definedName name="_426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167"}</definedName>
    <definedName name="_426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167"}</definedName>
    <definedName name="_426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167"}</definedName>
    <definedName name="_426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166"}</definedName>
    <definedName name="_426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166"}</definedName>
    <definedName name="_426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166"}</definedName>
    <definedName name="_426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165"}</definedName>
    <definedName name="_426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165"}</definedName>
    <definedName name="_426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165"}</definedName>
    <definedName name="_426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164"}</definedName>
    <definedName name="_426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164"}</definedName>
    <definedName name="_426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164"}</definedName>
    <definedName name="_426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163"}</definedName>
    <definedName name="_426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163"}</definedName>
    <definedName name="_426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163"}</definedName>
    <definedName name="_426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162"}</definedName>
    <definedName name="_426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162"}</definedName>
    <definedName name="_426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162"}</definedName>
    <definedName name="_427__FDSAUDITLINK__" localSheetId="3" hidden="1">{"fdsup://directions/FAT Viewer?action=UPDATE&amp;creator=factset&amp;DYN_ARGS=TRUE&amp;DOC_NAME=FAT:FQL_AUDITING_CLIENT_TEMPLATE.FAT&amp;display_string=Audit&amp;VAR:KEY=DWNQNOHMNG&amp;VAR:QUERY=RkZfRFBTKEFOTiwwLC05LFksUlAp&amp;WINDOW=FIRST_POPUP&amp;HEIGHT=450&amp;WIDTH=450&amp;START_MAXIMIZED=","FALSE&amp;VAR:CALENDAR=US&amp;VAR:SYMBOL=B10LQP&amp;VAR:INDEX=4"}</definedName>
    <definedName name="_427__FDSAUDITLINK__" localSheetId="7" hidden="1">{"fdsup://directions/FAT Viewer?action=UPDATE&amp;creator=factset&amp;DYN_ARGS=TRUE&amp;DOC_NAME=FAT:FQL_AUDITING_CLIENT_TEMPLATE.FAT&amp;display_string=Audit&amp;VAR:KEY=DWNQNOHMNG&amp;VAR:QUERY=RkZfRFBTKEFOTiwwLC05LFksUlAp&amp;WINDOW=FIRST_POPUP&amp;HEIGHT=450&amp;WIDTH=450&amp;START_MAXIMIZED=","FALSE&amp;VAR:CALENDAR=US&amp;VAR:SYMBOL=B10LQP&amp;VAR:INDEX=4"}</definedName>
    <definedName name="_427__FDSAUDITLINK__" hidden="1">{"fdsup://directions/FAT Viewer?action=UPDATE&amp;creator=factset&amp;DYN_ARGS=TRUE&amp;DOC_NAME=FAT:FQL_AUDITING_CLIENT_TEMPLATE.FAT&amp;display_string=Audit&amp;VAR:KEY=DWNQNOHMNG&amp;VAR:QUERY=RkZfRFBTKEFOTiwwLC05LFksUlAp&amp;WINDOW=FIRST_POPUP&amp;HEIGHT=450&amp;WIDTH=450&amp;START_MAXIMIZED=","FALSE&amp;VAR:CALENDAR=US&amp;VAR:SYMBOL=B10LQP&amp;VAR:INDEX=4"}</definedName>
    <definedName name="_427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161"}</definedName>
    <definedName name="_427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161"}</definedName>
    <definedName name="_427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161"}</definedName>
    <definedName name="_427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160"}</definedName>
    <definedName name="_427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160"}</definedName>
    <definedName name="_427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160"}</definedName>
    <definedName name="_427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159"}</definedName>
    <definedName name="_427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159"}</definedName>
    <definedName name="_427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159"}</definedName>
    <definedName name="_427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158"}</definedName>
    <definedName name="_427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158"}</definedName>
    <definedName name="_427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158"}</definedName>
    <definedName name="_427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157"}</definedName>
    <definedName name="_427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157"}</definedName>
    <definedName name="_427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157"}</definedName>
    <definedName name="_427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156"}</definedName>
    <definedName name="_427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156"}</definedName>
    <definedName name="_427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156"}</definedName>
    <definedName name="_427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155"}</definedName>
    <definedName name="_427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155"}</definedName>
    <definedName name="_427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155"}</definedName>
    <definedName name="_427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154"}</definedName>
    <definedName name="_427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154"}</definedName>
    <definedName name="_427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154"}</definedName>
    <definedName name="_427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153"}</definedName>
    <definedName name="_427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153"}</definedName>
    <definedName name="_427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153"}</definedName>
    <definedName name="_427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152"}</definedName>
    <definedName name="_427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152"}</definedName>
    <definedName name="_427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152"}</definedName>
    <definedName name="_428__FDSAUDITLINK__" localSheetId="3"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7"}</definedName>
    <definedName name="_428__FDSAUDITLINK__" localSheetId="7"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7"}</definedName>
    <definedName name="_428__FDSAUDITLINK__"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7"}</definedName>
    <definedName name="_428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151"}</definedName>
    <definedName name="_428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151"}</definedName>
    <definedName name="_428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151"}</definedName>
    <definedName name="_428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150"}</definedName>
    <definedName name="_428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150"}</definedName>
    <definedName name="_428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150"}</definedName>
    <definedName name="_428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149"}</definedName>
    <definedName name="_428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149"}</definedName>
    <definedName name="_428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149"}</definedName>
    <definedName name="_428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148"}</definedName>
    <definedName name="_428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148"}</definedName>
    <definedName name="_428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148"}</definedName>
    <definedName name="_428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147"}</definedName>
    <definedName name="_428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147"}</definedName>
    <definedName name="_428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147"}</definedName>
    <definedName name="_428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146"}</definedName>
    <definedName name="_428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146"}</definedName>
    <definedName name="_428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146"}</definedName>
    <definedName name="_428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145"}</definedName>
    <definedName name="_428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145"}</definedName>
    <definedName name="_428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145"}</definedName>
    <definedName name="_428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144"}</definedName>
    <definedName name="_428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144"}</definedName>
    <definedName name="_428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144"}</definedName>
    <definedName name="_428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143"}</definedName>
    <definedName name="_428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143"}</definedName>
    <definedName name="_428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143"}</definedName>
    <definedName name="_428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142"}</definedName>
    <definedName name="_428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142"}</definedName>
    <definedName name="_428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142"}</definedName>
    <definedName name="_429__FDSAUDITLINK__" localSheetId="3"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6"}</definedName>
    <definedName name="_429__FDSAUDITLINK__" localSheetId="7"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6"}</definedName>
    <definedName name="_429__FDSAUDITLINK__"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6"}</definedName>
    <definedName name="_429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141"}</definedName>
    <definedName name="_429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141"}</definedName>
    <definedName name="_429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141"}</definedName>
    <definedName name="_429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140"}</definedName>
    <definedName name="_429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140"}</definedName>
    <definedName name="_429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140"}</definedName>
    <definedName name="_429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139"}</definedName>
    <definedName name="_429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139"}</definedName>
    <definedName name="_429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139"}</definedName>
    <definedName name="_429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138"}</definedName>
    <definedName name="_429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138"}</definedName>
    <definedName name="_429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138"}</definedName>
    <definedName name="_429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137"}</definedName>
    <definedName name="_429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137"}</definedName>
    <definedName name="_429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137"}</definedName>
    <definedName name="_429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136"}</definedName>
    <definedName name="_429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136"}</definedName>
    <definedName name="_429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136"}</definedName>
    <definedName name="_429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135"}</definedName>
    <definedName name="_429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135"}</definedName>
    <definedName name="_429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135"}</definedName>
    <definedName name="_429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134"}</definedName>
    <definedName name="_429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134"}</definedName>
    <definedName name="_429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134"}</definedName>
    <definedName name="_429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133"}</definedName>
    <definedName name="_429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133"}</definedName>
    <definedName name="_429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133"}</definedName>
    <definedName name="_429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132"}</definedName>
    <definedName name="_429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132"}</definedName>
    <definedName name="_429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132"}</definedName>
    <definedName name="_42wrn.²Ä1­Ó¤ë1_Ü20¤H." localSheetId="3" hidden="1">{#N/A,#N/A,FALSE,"²Ä1­Ó¤ë"}</definedName>
    <definedName name="_42wrn.²Ä1­Ó¤ë1_Ü20¤H." localSheetId="7" hidden="1">{#N/A,#N/A,FALSE,"²Ä1­Ó¤ë"}</definedName>
    <definedName name="_42wrn.²Ä1­Ó¤ë1_Ü20¤H." hidden="1">{#N/A,#N/A,FALSE,"²Ä1­Ó¤ë"}</definedName>
    <definedName name="_43__FDSAUDITLINK__" localSheetId="3" hidden="1">{"fdsup://directions/FAT Viewer?action=UPDATE&amp;creator=factset&amp;DYN_ARGS=TRUE&amp;DOC_NAME=FAT:FQL_AUDITING_CLIENT_TEMPLATE.FAT&amp;display_string=Audit&amp;VAR:KEY=HKROHKZMBE&amp;VAR:QUERY=RkZfRUJJVERBX09QRVIoTFRNLDAsLCwsTE9DQUwsTSk=&amp;WINDOW=FIRST_POPUP&amp;HEIGHT=450&amp;WIDTH=450&amp;","START_MAXIMIZED=FALSE&amp;VAR:CALENDAR=US&amp;VAR:SYMBOL=B07C76&amp;VAR:INDEX=0"}</definedName>
    <definedName name="_43__FDSAUDITLINK__" localSheetId="7" hidden="1">{"fdsup://directions/FAT Viewer?action=UPDATE&amp;creator=factset&amp;DYN_ARGS=TRUE&amp;DOC_NAME=FAT:FQL_AUDITING_CLIENT_TEMPLATE.FAT&amp;display_string=Audit&amp;VAR:KEY=HKROHKZMBE&amp;VAR:QUERY=RkZfRUJJVERBX09QRVIoTFRNLDAsLCwsTE9DQUwsTSk=&amp;WINDOW=FIRST_POPUP&amp;HEIGHT=450&amp;WIDTH=450&amp;","START_MAXIMIZED=FALSE&amp;VAR:CALENDAR=US&amp;VAR:SYMBOL=B07C76&amp;VAR:INDEX=0"}</definedName>
    <definedName name="_43__FDSAUDITLINK__" hidden="1">{"fdsup://directions/FAT Viewer?action=UPDATE&amp;creator=factset&amp;DYN_ARGS=TRUE&amp;DOC_NAME=FAT:FQL_AUDITING_CLIENT_TEMPLATE.FAT&amp;display_string=Audit&amp;VAR:KEY=HKROHKZMBE&amp;VAR:QUERY=RkZfRUJJVERBX09QRVIoTFRNLDAsLCwsTE9DQUwsTSk=&amp;WINDOW=FIRST_POPUP&amp;HEIGHT=450&amp;WIDTH=450&amp;","START_MAXIMIZED=FALSE&amp;VAR:CALENDAR=US&amp;VAR:SYMBOL=B07C76&amp;VAR:INDEX=0"}</definedName>
    <definedName name="_430__FDSAUDITLINK__" localSheetId="3"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5"}</definedName>
    <definedName name="_430__FDSAUDITLINK__" localSheetId="7"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5"}</definedName>
    <definedName name="_430__FDSAUDITLINK__"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5"}</definedName>
    <definedName name="_430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131"}</definedName>
    <definedName name="_430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131"}</definedName>
    <definedName name="_430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131"}</definedName>
    <definedName name="_430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130"}</definedName>
    <definedName name="_430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130"}</definedName>
    <definedName name="_430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130"}</definedName>
    <definedName name="_430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129"}</definedName>
    <definedName name="_430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129"}</definedName>
    <definedName name="_430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129"}</definedName>
    <definedName name="_430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128"}</definedName>
    <definedName name="_430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128"}</definedName>
    <definedName name="_430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128"}</definedName>
    <definedName name="_430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127"}</definedName>
    <definedName name="_430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127"}</definedName>
    <definedName name="_430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127"}</definedName>
    <definedName name="_430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126"}</definedName>
    <definedName name="_430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126"}</definedName>
    <definedName name="_430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126"}</definedName>
    <definedName name="_430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125"}</definedName>
    <definedName name="_430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125"}</definedName>
    <definedName name="_430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125"}</definedName>
    <definedName name="_430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124"}</definedName>
    <definedName name="_430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124"}</definedName>
    <definedName name="_430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124"}</definedName>
    <definedName name="_430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123"}</definedName>
    <definedName name="_430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123"}</definedName>
    <definedName name="_430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123"}</definedName>
    <definedName name="_430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122"}</definedName>
    <definedName name="_430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122"}</definedName>
    <definedName name="_430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122"}</definedName>
    <definedName name="_431__FDSAUDITLINK__" localSheetId="3"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4"}</definedName>
    <definedName name="_431__FDSAUDITLINK__" localSheetId="7"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4"}</definedName>
    <definedName name="_431__FDSAUDITLINK__"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4"}</definedName>
    <definedName name="_431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121"}</definedName>
    <definedName name="_431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121"}</definedName>
    <definedName name="_431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121"}</definedName>
    <definedName name="_431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120"}</definedName>
    <definedName name="_431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120"}</definedName>
    <definedName name="_431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120"}</definedName>
    <definedName name="_431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119"}</definedName>
    <definedName name="_431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119"}</definedName>
    <definedName name="_431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119"}</definedName>
    <definedName name="_431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118"}</definedName>
    <definedName name="_431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118"}</definedName>
    <definedName name="_431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118"}</definedName>
    <definedName name="_431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117"}</definedName>
    <definedName name="_431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117"}</definedName>
    <definedName name="_431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117"}</definedName>
    <definedName name="_431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116"}</definedName>
    <definedName name="_431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116"}</definedName>
    <definedName name="_431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116"}</definedName>
    <definedName name="_431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115"}</definedName>
    <definedName name="_431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115"}</definedName>
    <definedName name="_431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115"}</definedName>
    <definedName name="_431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114"}</definedName>
    <definedName name="_431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114"}</definedName>
    <definedName name="_431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114"}</definedName>
    <definedName name="_431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113"}</definedName>
    <definedName name="_431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113"}</definedName>
    <definedName name="_431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113"}</definedName>
    <definedName name="_431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112"}</definedName>
    <definedName name="_431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112"}</definedName>
    <definedName name="_431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112"}</definedName>
    <definedName name="_432__FDSAUDITLINK__" localSheetId="3"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3"}</definedName>
    <definedName name="_432__FDSAUDITLINK__" localSheetId="7"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3"}</definedName>
    <definedName name="_432__FDSAUDITLINK__"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3"}</definedName>
    <definedName name="_432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111"}</definedName>
    <definedName name="_432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111"}</definedName>
    <definedName name="_432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111"}</definedName>
    <definedName name="_432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110"}</definedName>
    <definedName name="_432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110"}</definedName>
    <definedName name="_432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110"}</definedName>
    <definedName name="_432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109"}</definedName>
    <definedName name="_432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109"}</definedName>
    <definedName name="_432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109"}</definedName>
    <definedName name="_432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108"}</definedName>
    <definedName name="_432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108"}</definedName>
    <definedName name="_432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108"}</definedName>
    <definedName name="_432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107"}</definedName>
    <definedName name="_432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107"}</definedName>
    <definedName name="_432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107"}</definedName>
    <definedName name="_432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106"}</definedName>
    <definedName name="_432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106"}</definedName>
    <definedName name="_432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106"}</definedName>
    <definedName name="_432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105"}</definedName>
    <definedName name="_432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105"}</definedName>
    <definedName name="_432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105"}</definedName>
    <definedName name="_432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104"}</definedName>
    <definedName name="_432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104"}</definedName>
    <definedName name="_432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104"}</definedName>
    <definedName name="_432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103"}</definedName>
    <definedName name="_432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103"}</definedName>
    <definedName name="_432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103"}</definedName>
    <definedName name="_432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102"}</definedName>
    <definedName name="_432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102"}</definedName>
    <definedName name="_432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102"}</definedName>
    <definedName name="_433__FDSAUDITLINK__" localSheetId="3"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2"}</definedName>
    <definedName name="_433__FDSAUDITLINK__" localSheetId="7"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2"}</definedName>
    <definedName name="_433__FDSAUDITLINK__"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2"}</definedName>
    <definedName name="_433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101"}</definedName>
    <definedName name="_433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101"}</definedName>
    <definedName name="_433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101"}</definedName>
    <definedName name="_433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100"}</definedName>
    <definedName name="_433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100"}</definedName>
    <definedName name="_433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100"}</definedName>
    <definedName name="_433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99"}</definedName>
    <definedName name="_433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99"}</definedName>
    <definedName name="_433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99"}</definedName>
    <definedName name="_433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98"}</definedName>
    <definedName name="_433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98"}</definedName>
    <definedName name="_433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98"}</definedName>
    <definedName name="_433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97"}</definedName>
    <definedName name="_433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97"}</definedName>
    <definedName name="_433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97"}</definedName>
    <definedName name="_433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96"}</definedName>
    <definedName name="_433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96"}</definedName>
    <definedName name="_433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96"}</definedName>
    <definedName name="_433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95"}</definedName>
    <definedName name="_433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95"}</definedName>
    <definedName name="_433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95"}</definedName>
    <definedName name="_433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94"}</definedName>
    <definedName name="_433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94"}</definedName>
    <definedName name="_433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94"}</definedName>
    <definedName name="_433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93"}</definedName>
    <definedName name="_433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93"}</definedName>
    <definedName name="_433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93"}</definedName>
    <definedName name="_433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92"}</definedName>
    <definedName name="_433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92"}</definedName>
    <definedName name="_433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92"}</definedName>
    <definedName name="_434__FDSAUDITLINK__" localSheetId="3"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1"}</definedName>
    <definedName name="_434__FDSAUDITLINK__" localSheetId="7"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1"}</definedName>
    <definedName name="_434__FDSAUDITLINK__"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1"}</definedName>
    <definedName name="_434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91"}</definedName>
    <definedName name="_434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91"}</definedName>
    <definedName name="_434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91"}</definedName>
    <definedName name="_434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90"}</definedName>
    <definedName name="_434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90"}</definedName>
    <definedName name="_434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90"}</definedName>
    <definedName name="_434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89"}</definedName>
    <definedName name="_434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89"}</definedName>
    <definedName name="_434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89"}</definedName>
    <definedName name="_434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88"}</definedName>
    <definedName name="_434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88"}</definedName>
    <definedName name="_434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88"}</definedName>
    <definedName name="_434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87"}</definedName>
    <definedName name="_434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87"}</definedName>
    <definedName name="_434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87"}</definedName>
    <definedName name="_434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86"}</definedName>
    <definedName name="_434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86"}</definedName>
    <definedName name="_434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86"}</definedName>
    <definedName name="_434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85"}</definedName>
    <definedName name="_434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85"}</definedName>
    <definedName name="_434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85"}</definedName>
    <definedName name="_434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84"}</definedName>
    <definedName name="_434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84"}</definedName>
    <definedName name="_434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84"}</definedName>
    <definedName name="_434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83"}</definedName>
    <definedName name="_434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83"}</definedName>
    <definedName name="_434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83"}</definedName>
    <definedName name="_434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82"}</definedName>
    <definedName name="_434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82"}</definedName>
    <definedName name="_434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82"}</definedName>
    <definedName name="_435__FDSAUDITLINK__" localSheetId="3" hidden="1">{"fdsup://directions/FAT Viewer?action=UPDATE&amp;creator=factset&amp;DYN_ARGS=TRUE&amp;DOC_NAME=FAT:FQL_AUDITING_CLIENT_TEMPLATE.FAT&amp;display_string=Audit&amp;VAR:KEY=JSBMNUZCTW&amp;VAR:QUERY=RkZfRVBTX0JBU0lDKEFOTiwwLC05LFksUlAp&amp;WINDOW=FIRST_POPUP&amp;HEIGHT=450&amp;WIDTH=450&amp;START_MA","XIMIZED=FALSE&amp;VAR:CALENDAR=US&amp;VAR:SYMBOL=B10LQP&amp;VAR:INDEX=7"}</definedName>
    <definedName name="_435__FDSAUDITLINK__" localSheetId="7" hidden="1">{"fdsup://directions/FAT Viewer?action=UPDATE&amp;creator=factset&amp;DYN_ARGS=TRUE&amp;DOC_NAME=FAT:FQL_AUDITING_CLIENT_TEMPLATE.FAT&amp;display_string=Audit&amp;VAR:KEY=JSBMNUZCTW&amp;VAR:QUERY=RkZfRVBTX0JBU0lDKEFOTiwwLC05LFksUlAp&amp;WINDOW=FIRST_POPUP&amp;HEIGHT=450&amp;WIDTH=450&amp;START_MA","XIMIZED=FALSE&amp;VAR:CALENDAR=US&amp;VAR:SYMBOL=B10LQP&amp;VAR:INDEX=7"}</definedName>
    <definedName name="_435__FDSAUDITLINK__" hidden="1">{"fdsup://directions/FAT Viewer?action=UPDATE&amp;creator=factset&amp;DYN_ARGS=TRUE&amp;DOC_NAME=FAT:FQL_AUDITING_CLIENT_TEMPLATE.FAT&amp;display_string=Audit&amp;VAR:KEY=JSBMNUZCTW&amp;VAR:QUERY=RkZfRVBTX0JBU0lDKEFOTiwwLC05LFksUlAp&amp;WINDOW=FIRST_POPUP&amp;HEIGHT=450&amp;WIDTH=450&amp;START_MA","XIMIZED=FALSE&amp;VAR:CALENDAR=US&amp;VAR:SYMBOL=B10LQP&amp;VAR:INDEX=7"}</definedName>
    <definedName name="_435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81"}</definedName>
    <definedName name="_435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81"}</definedName>
    <definedName name="_435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81"}</definedName>
    <definedName name="_435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80"}</definedName>
    <definedName name="_435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80"}</definedName>
    <definedName name="_435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80"}</definedName>
    <definedName name="_435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79"}</definedName>
    <definedName name="_435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79"}</definedName>
    <definedName name="_435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79"}</definedName>
    <definedName name="_435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78"}</definedName>
    <definedName name="_435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78"}</definedName>
    <definedName name="_435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78"}</definedName>
    <definedName name="_435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77"}</definedName>
    <definedName name="_435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77"}</definedName>
    <definedName name="_435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77"}</definedName>
    <definedName name="_435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76"}</definedName>
    <definedName name="_435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76"}</definedName>
    <definedName name="_435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76"}</definedName>
    <definedName name="_435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75"}</definedName>
    <definedName name="_435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75"}</definedName>
    <definedName name="_435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75"}</definedName>
    <definedName name="_435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74"}</definedName>
    <definedName name="_435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74"}</definedName>
    <definedName name="_435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74"}</definedName>
    <definedName name="_435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73"}</definedName>
    <definedName name="_435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73"}</definedName>
    <definedName name="_435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73"}</definedName>
    <definedName name="_435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72"}</definedName>
    <definedName name="_435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72"}</definedName>
    <definedName name="_435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72"}</definedName>
    <definedName name="_436__FDSAUDITLINK__" localSheetId="3" hidden="1">{"fdsup://directions/FAT Viewer?action=UPDATE&amp;creator=factset&amp;DYN_ARGS=TRUE&amp;DOC_NAME=FAT:FQL_AUDITING_CLIENT_TEMPLATE.FAT&amp;display_string=Audit&amp;VAR:KEY=REHKHGBERW&amp;VAR:QUERY=RkZfRUJJVERBX09QRVJfTUdOKEFOTiwwLC05LFksUlAsTE9DQUwsTSk=&amp;WINDOW=FIRST_POPUP&amp;HEIGHT=45","0&amp;WIDTH=450&amp;START_MAXIMIZED=FALSE&amp;VAR:CALENDAR=US&amp;VAR:SYMBOL=B10LQP&amp;VAR:INDEX=7"}</definedName>
    <definedName name="_436__FDSAUDITLINK__" localSheetId="7" hidden="1">{"fdsup://directions/FAT Viewer?action=UPDATE&amp;creator=factset&amp;DYN_ARGS=TRUE&amp;DOC_NAME=FAT:FQL_AUDITING_CLIENT_TEMPLATE.FAT&amp;display_string=Audit&amp;VAR:KEY=REHKHGBERW&amp;VAR:QUERY=RkZfRUJJVERBX09QRVJfTUdOKEFOTiwwLC05LFksUlAsTE9DQUwsTSk=&amp;WINDOW=FIRST_POPUP&amp;HEIGHT=45","0&amp;WIDTH=450&amp;START_MAXIMIZED=FALSE&amp;VAR:CALENDAR=US&amp;VAR:SYMBOL=B10LQP&amp;VAR:INDEX=7"}</definedName>
    <definedName name="_436__FDSAUDITLINK__" hidden="1">{"fdsup://directions/FAT Viewer?action=UPDATE&amp;creator=factset&amp;DYN_ARGS=TRUE&amp;DOC_NAME=FAT:FQL_AUDITING_CLIENT_TEMPLATE.FAT&amp;display_string=Audit&amp;VAR:KEY=REHKHGBERW&amp;VAR:QUERY=RkZfRUJJVERBX09QRVJfTUdOKEFOTiwwLC05LFksUlAsTE9DQUwsTSk=&amp;WINDOW=FIRST_POPUP&amp;HEIGHT=45","0&amp;WIDTH=450&amp;START_MAXIMIZED=FALSE&amp;VAR:CALENDAR=US&amp;VAR:SYMBOL=B10LQP&amp;VAR:INDEX=7"}</definedName>
    <definedName name="_436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71"}</definedName>
    <definedName name="_436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71"}</definedName>
    <definedName name="_436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71"}</definedName>
    <definedName name="_436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70"}</definedName>
    <definedName name="_436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70"}</definedName>
    <definedName name="_436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70"}</definedName>
    <definedName name="_436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69"}</definedName>
    <definedName name="_436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69"}</definedName>
    <definedName name="_436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69"}</definedName>
    <definedName name="_436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68"}</definedName>
    <definedName name="_436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68"}</definedName>
    <definedName name="_436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68"}</definedName>
    <definedName name="_436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67"}</definedName>
    <definedName name="_436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67"}</definedName>
    <definedName name="_436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67"}</definedName>
    <definedName name="_436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66"}</definedName>
    <definedName name="_436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66"}</definedName>
    <definedName name="_436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66"}</definedName>
    <definedName name="_436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65"}</definedName>
    <definedName name="_436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65"}</definedName>
    <definedName name="_436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65"}</definedName>
    <definedName name="_436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64"}</definedName>
    <definedName name="_436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64"}</definedName>
    <definedName name="_436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64"}</definedName>
    <definedName name="_436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63"}</definedName>
    <definedName name="_436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63"}</definedName>
    <definedName name="_436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63"}</definedName>
    <definedName name="_436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62"}</definedName>
    <definedName name="_436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62"}</definedName>
    <definedName name="_436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62"}</definedName>
    <definedName name="_437__FDSAUDITLINK__" localSheetId="3" hidden="1">{"fdsup://directions/FAT Viewer?action=UPDATE&amp;creator=factset&amp;DYN_ARGS=TRUE&amp;DOC_NAME=FAT:FQL_AUDITING_CLIENT_TEMPLATE.FAT&amp;display_string=Audit&amp;VAR:KEY=REHKHGBERW&amp;VAR:QUERY=RkZfRUJJVERBX09QRVJfTUdOKEFOTiwwLC05LFksUlAsTE9DQUwsTSk=&amp;WINDOW=FIRST_POPUP&amp;HEIGHT=45","0&amp;WIDTH=450&amp;START_MAXIMIZED=FALSE&amp;VAR:CALENDAR=US&amp;VAR:SYMBOL=B10LQP&amp;VAR:INDEX=6"}</definedName>
    <definedName name="_437__FDSAUDITLINK__" localSheetId="7" hidden="1">{"fdsup://directions/FAT Viewer?action=UPDATE&amp;creator=factset&amp;DYN_ARGS=TRUE&amp;DOC_NAME=FAT:FQL_AUDITING_CLIENT_TEMPLATE.FAT&amp;display_string=Audit&amp;VAR:KEY=REHKHGBERW&amp;VAR:QUERY=RkZfRUJJVERBX09QRVJfTUdOKEFOTiwwLC05LFksUlAsTE9DQUwsTSk=&amp;WINDOW=FIRST_POPUP&amp;HEIGHT=45","0&amp;WIDTH=450&amp;START_MAXIMIZED=FALSE&amp;VAR:CALENDAR=US&amp;VAR:SYMBOL=B10LQP&amp;VAR:INDEX=6"}</definedName>
    <definedName name="_437__FDSAUDITLINK__" hidden="1">{"fdsup://directions/FAT Viewer?action=UPDATE&amp;creator=factset&amp;DYN_ARGS=TRUE&amp;DOC_NAME=FAT:FQL_AUDITING_CLIENT_TEMPLATE.FAT&amp;display_string=Audit&amp;VAR:KEY=REHKHGBERW&amp;VAR:QUERY=RkZfRUJJVERBX09QRVJfTUdOKEFOTiwwLC05LFksUlAsTE9DQUwsTSk=&amp;WINDOW=FIRST_POPUP&amp;HEIGHT=45","0&amp;WIDTH=450&amp;START_MAXIMIZED=FALSE&amp;VAR:CALENDAR=US&amp;VAR:SYMBOL=B10LQP&amp;VAR:INDEX=6"}</definedName>
    <definedName name="_437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61"}</definedName>
    <definedName name="_437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61"}</definedName>
    <definedName name="_437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61"}</definedName>
    <definedName name="_437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60"}</definedName>
    <definedName name="_437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60"}</definedName>
    <definedName name="_437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60"}</definedName>
    <definedName name="_437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59"}</definedName>
    <definedName name="_437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59"}</definedName>
    <definedName name="_437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59"}</definedName>
    <definedName name="_437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58"}</definedName>
    <definedName name="_437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58"}</definedName>
    <definedName name="_437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58"}</definedName>
    <definedName name="_437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57"}</definedName>
    <definedName name="_437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57"}</definedName>
    <definedName name="_437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57"}</definedName>
    <definedName name="_437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56"}</definedName>
    <definedName name="_437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56"}</definedName>
    <definedName name="_437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56"}</definedName>
    <definedName name="_437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55"}</definedName>
    <definedName name="_437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55"}</definedName>
    <definedName name="_437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55"}</definedName>
    <definedName name="_437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54"}</definedName>
    <definedName name="_437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54"}</definedName>
    <definedName name="_437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54"}</definedName>
    <definedName name="_437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53"}</definedName>
    <definedName name="_437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53"}</definedName>
    <definedName name="_437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53"}</definedName>
    <definedName name="_437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52"}</definedName>
    <definedName name="_437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52"}</definedName>
    <definedName name="_437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52"}</definedName>
    <definedName name="_438__FDSAUDITLINK__" localSheetId="3" hidden="1">{"fdsup://directions/FAT Viewer?action=UPDATE&amp;creator=factset&amp;DYN_ARGS=TRUE&amp;DOC_NAME=FAT:FQL_AUDITING_CLIENT_TEMPLATE.FAT&amp;display_string=Audit&amp;VAR:KEY=REHKHGBERW&amp;VAR:QUERY=RkZfRUJJVERBX09QRVJfTUdOKEFOTiwwLC05LFksUlAsTE9DQUwsTSk=&amp;WINDOW=FIRST_POPUP&amp;HEIGHT=45","0&amp;WIDTH=450&amp;START_MAXIMIZED=FALSE&amp;VAR:CALENDAR=US&amp;VAR:SYMBOL=B10LQP&amp;VAR:INDEX=5"}</definedName>
    <definedName name="_438__FDSAUDITLINK__" localSheetId="7" hidden="1">{"fdsup://directions/FAT Viewer?action=UPDATE&amp;creator=factset&amp;DYN_ARGS=TRUE&amp;DOC_NAME=FAT:FQL_AUDITING_CLIENT_TEMPLATE.FAT&amp;display_string=Audit&amp;VAR:KEY=REHKHGBERW&amp;VAR:QUERY=RkZfRUJJVERBX09QRVJfTUdOKEFOTiwwLC05LFksUlAsTE9DQUwsTSk=&amp;WINDOW=FIRST_POPUP&amp;HEIGHT=45","0&amp;WIDTH=450&amp;START_MAXIMIZED=FALSE&amp;VAR:CALENDAR=US&amp;VAR:SYMBOL=B10LQP&amp;VAR:INDEX=5"}</definedName>
    <definedName name="_438__FDSAUDITLINK__" hidden="1">{"fdsup://directions/FAT Viewer?action=UPDATE&amp;creator=factset&amp;DYN_ARGS=TRUE&amp;DOC_NAME=FAT:FQL_AUDITING_CLIENT_TEMPLATE.FAT&amp;display_string=Audit&amp;VAR:KEY=REHKHGBERW&amp;VAR:QUERY=RkZfRUJJVERBX09QRVJfTUdOKEFOTiwwLC05LFksUlAsTE9DQUwsTSk=&amp;WINDOW=FIRST_POPUP&amp;HEIGHT=45","0&amp;WIDTH=450&amp;START_MAXIMIZED=FALSE&amp;VAR:CALENDAR=US&amp;VAR:SYMBOL=B10LQP&amp;VAR:INDEX=5"}</definedName>
    <definedName name="_438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51"}</definedName>
    <definedName name="_438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51"}</definedName>
    <definedName name="_438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51"}</definedName>
    <definedName name="_438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50"}</definedName>
    <definedName name="_438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50"}</definedName>
    <definedName name="_438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50"}</definedName>
    <definedName name="_438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definedName>
    <definedName name="_438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definedName>
    <definedName name="_438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definedName>
    <definedName name="_438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48"}</definedName>
    <definedName name="_438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48"}</definedName>
    <definedName name="_438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48"}</definedName>
    <definedName name="_438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47"}</definedName>
    <definedName name="_438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47"}</definedName>
    <definedName name="_438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47"}</definedName>
    <definedName name="_438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46"}</definedName>
    <definedName name="_438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46"}</definedName>
    <definedName name="_438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46"}</definedName>
    <definedName name="_438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45"}</definedName>
    <definedName name="_438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45"}</definedName>
    <definedName name="_438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45"}</definedName>
    <definedName name="_438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44"}</definedName>
    <definedName name="_438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44"}</definedName>
    <definedName name="_438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44"}</definedName>
    <definedName name="_438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43"}</definedName>
    <definedName name="_438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43"}</definedName>
    <definedName name="_438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43"}</definedName>
    <definedName name="_438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42"}</definedName>
    <definedName name="_438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42"}</definedName>
    <definedName name="_438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42"}</definedName>
    <definedName name="_439__FDSAUDITLINK__" localSheetId="3" hidden="1">{"fdsup://directions/FAT Viewer?action=UPDATE&amp;creator=factset&amp;DYN_ARGS=TRUE&amp;DOC_NAME=FAT:FQL_AUDITING_CLIENT_TEMPLATE.FAT&amp;display_string=Audit&amp;VAR:KEY=REHKHGBERW&amp;VAR:QUERY=RkZfRUJJVERBX09QRVJfTUdOKEFOTiwwLC05LFksUlAsTE9DQUwsTSk=&amp;WINDOW=FIRST_POPUP&amp;HEIGHT=45","0&amp;WIDTH=450&amp;START_MAXIMIZED=FALSE&amp;VAR:CALENDAR=US&amp;VAR:SYMBOL=B10LQP&amp;VAR:INDEX=4"}</definedName>
    <definedName name="_439__FDSAUDITLINK__" localSheetId="7" hidden="1">{"fdsup://directions/FAT Viewer?action=UPDATE&amp;creator=factset&amp;DYN_ARGS=TRUE&amp;DOC_NAME=FAT:FQL_AUDITING_CLIENT_TEMPLATE.FAT&amp;display_string=Audit&amp;VAR:KEY=REHKHGBERW&amp;VAR:QUERY=RkZfRUJJVERBX09QRVJfTUdOKEFOTiwwLC05LFksUlAsTE9DQUwsTSk=&amp;WINDOW=FIRST_POPUP&amp;HEIGHT=45","0&amp;WIDTH=450&amp;START_MAXIMIZED=FALSE&amp;VAR:CALENDAR=US&amp;VAR:SYMBOL=B10LQP&amp;VAR:INDEX=4"}</definedName>
    <definedName name="_439__FDSAUDITLINK__" hidden="1">{"fdsup://directions/FAT Viewer?action=UPDATE&amp;creator=factset&amp;DYN_ARGS=TRUE&amp;DOC_NAME=FAT:FQL_AUDITING_CLIENT_TEMPLATE.FAT&amp;display_string=Audit&amp;VAR:KEY=REHKHGBERW&amp;VAR:QUERY=RkZfRUJJVERBX09QRVJfTUdOKEFOTiwwLC05LFksUlAsTE9DQUwsTSk=&amp;WINDOW=FIRST_POPUP&amp;HEIGHT=45","0&amp;WIDTH=450&amp;START_MAXIMIZED=FALSE&amp;VAR:CALENDAR=US&amp;VAR:SYMBOL=B10LQP&amp;VAR:INDEX=4"}</definedName>
    <definedName name="_439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41"}</definedName>
    <definedName name="_439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41"}</definedName>
    <definedName name="_439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41"}</definedName>
    <definedName name="_439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40"}</definedName>
    <definedName name="_439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40"}</definedName>
    <definedName name="_439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40"}</definedName>
    <definedName name="_439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39"}</definedName>
    <definedName name="_439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39"}</definedName>
    <definedName name="_439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39"}</definedName>
    <definedName name="_439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38"}</definedName>
    <definedName name="_439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38"}</definedName>
    <definedName name="_439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38"}</definedName>
    <definedName name="_439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37"}</definedName>
    <definedName name="_439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37"}</definedName>
    <definedName name="_439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37"}</definedName>
    <definedName name="_439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36"}</definedName>
    <definedName name="_439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36"}</definedName>
    <definedName name="_439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36"}</definedName>
    <definedName name="_439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35"}</definedName>
    <definedName name="_439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35"}</definedName>
    <definedName name="_439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35"}</definedName>
    <definedName name="_439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34"}</definedName>
    <definedName name="_439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34"}</definedName>
    <definedName name="_439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34"}</definedName>
    <definedName name="_439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33"}</definedName>
    <definedName name="_439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33"}</definedName>
    <definedName name="_439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33"}</definedName>
    <definedName name="_439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32"}</definedName>
    <definedName name="_439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32"}</definedName>
    <definedName name="_439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32"}</definedName>
    <definedName name="_44__FDSAUDITLINK__" localSheetId="3" hidden="1">{"fdsup://Directions/FactSet Auditing Viewer?action=AUDIT_VALUE&amp;DB=129&amp;ID1=B10LQP&amp;VALUEID=04870&amp;SDATE=2010&amp;PERIODTYPE=ANN_STD&amp;SCFT=3&amp;window=popup_no_bar&amp;width=385&amp;height=120&amp;START_MAXIMIZED=FALSE&amp;creator=factset&amp;display_string=Audit"}</definedName>
    <definedName name="_44__FDSAUDITLINK__" localSheetId="7" hidden="1">{"fdsup://Directions/FactSet Auditing Viewer?action=AUDIT_VALUE&amp;DB=129&amp;ID1=B10LQP&amp;VALUEID=04870&amp;SDATE=2010&amp;PERIODTYPE=ANN_STD&amp;SCFT=3&amp;window=popup_no_bar&amp;width=385&amp;height=120&amp;START_MAXIMIZED=FALSE&amp;creator=factset&amp;display_string=Audit"}</definedName>
    <definedName name="_44__FDSAUDITLINK__" hidden="1">{"fdsup://Directions/FactSet Auditing Viewer?action=AUDIT_VALUE&amp;DB=129&amp;ID1=B10LQP&amp;VALUEID=04870&amp;SDATE=2010&amp;PERIODTYPE=ANN_STD&amp;SCFT=3&amp;window=popup_no_bar&amp;width=385&amp;height=120&amp;START_MAXIMIZED=FALSE&amp;creator=factset&amp;display_string=Audit"}</definedName>
    <definedName name="_440__FDSAUDITLINK__" localSheetId="3" hidden="1">{"fdsup://directions/FAT Viewer?action=UPDATE&amp;creator=factset&amp;DYN_ARGS=TRUE&amp;DOC_NAME=FAT:FQL_AUDITING_CLIENT_TEMPLATE.FAT&amp;display_string=Audit&amp;VAR:KEY=REHKHGBERW&amp;VAR:QUERY=RkZfRUJJVERBX09QRVJfTUdOKEFOTiwwLC05LFksUlAsTE9DQUwsTSk=&amp;WINDOW=FIRST_POPUP&amp;HEIGHT=45","0&amp;WIDTH=450&amp;START_MAXIMIZED=FALSE&amp;VAR:CALENDAR=US&amp;VAR:SYMBOL=B10LQP&amp;VAR:INDEX=3"}</definedName>
    <definedName name="_440__FDSAUDITLINK__" localSheetId="7" hidden="1">{"fdsup://directions/FAT Viewer?action=UPDATE&amp;creator=factset&amp;DYN_ARGS=TRUE&amp;DOC_NAME=FAT:FQL_AUDITING_CLIENT_TEMPLATE.FAT&amp;display_string=Audit&amp;VAR:KEY=REHKHGBERW&amp;VAR:QUERY=RkZfRUJJVERBX09QRVJfTUdOKEFOTiwwLC05LFksUlAsTE9DQUwsTSk=&amp;WINDOW=FIRST_POPUP&amp;HEIGHT=45","0&amp;WIDTH=450&amp;START_MAXIMIZED=FALSE&amp;VAR:CALENDAR=US&amp;VAR:SYMBOL=B10LQP&amp;VAR:INDEX=3"}</definedName>
    <definedName name="_440__FDSAUDITLINK__" hidden="1">{"fdsup://directions/FAT Viewer?action=UPDATE&amp;creator=factset&amp;DYN_ARGS=TRUE&amp;DOC_NAME=FAT:FQL_AUDITING_CLIENT_TEMPLATE.FAT&amp;display_string=Audit&amp;VAR:KEY=REHKHGBERW&amp;VAR:QUERY=RkZfRUJJVERBX09QRVJfTUdOKEFOTiwwLC05LFksUlAsTE9DQUwsTSk=&amp;WINDOW=FIRST_POPUP&amp;HEIGHT=45","0&amp;WIDTH=450&amp;START_MAXIMIZED=FALSE&amp;VAR:CALENDAR=US&amp;VAR:SYMBOL=B10LQP&amp;VAR:INDEX=3"}</definedName>
    <definedName name="_440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31"}</definedName>
    <definedName name="_440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31"}</definedName>
    <definedName name="_440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31"}</definedName>
    <definedName name="_440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30"}</definedName>
    <definedName name="_440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30"}</definedName>
    <definedName name="_440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30"}</definedName>
    <definedName name="_440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29"}</definedName>
    <definedName name="_440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29"}</definedName>
    <definedName name="_440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29"}</definedName>
    <definedName name="_440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28"}</definedName>
    <definedName name="_440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28"}</definedName>
    <definedName name="_440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28"}</definedName>
    <definedName name="_440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27"}</definedName>
    <definedName name="_440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27"}</definedName>
    <definedName name="_440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27"}</definedName>
    <definedName name="_440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26"}</definedName>
    <definedName name="_440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26"}</definedName>
    <definedName name="_440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26"}</definedName>
    <definedName name="_440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25"}</definedName>
    <definedName name="_440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25"}</definedName>
    <definedName name="_440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25"}</definedName>
    <definedName name="_440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24"}</definedName>
    <definedName name="_440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24"}</definedName>
    <definedName name="_440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24"}</definedName>
    <definedName name="_440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23"}</definedName>
    <definedName name="_440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23"}</definedName>
    <definedName name="_440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23"}</definedName>
    <definedName name="_440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22"}</definedName>
    <definedName name="_440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22"}</definedName>
    <definedName name="_440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22"}</definedName>
    <definedName name="_441__FDSAUDITLINK__" localSheetId="3" hidden="1">{"fdsup://directions/FAT Viewer?action=UPDATE&amp;creator=factset&amp;DYN_ARGS=TRUE&amp;DOC_NAME=FAT:FQL_AUDITING_CLIENT_TEMPLATE.FAT&amp;display_string=Audit&amp;VAR:KEY=REHKHGBERW&amp;VAR:QUERY=RkZfRUJJVERBX09QRVJfTUdOKEFOTiwwLC05LFksUlAsTE9DQUwsTSk=&amp;WINDOW=FIRST_POPUP&amp;HEIGHT=45","0&amp;WIDTH=450&amp;START_MAXIMIZED=FALSE&amp;VAR:CALENDAR=US&amp;VAR:SYMBOL=B10LQP&amp;VAR:INDEX=2"}</definedName>
    <definedName name="_441__FDSAUDITLINK__" localSheetId="7" hidden="1">{"fdsup://directions/FAT Viewer?action=UPDATE&amp;creator=factset&amp;DYN_ARGS=TRUE&amp;DOC_NAME=FAT:FQL_AUDITING_CLIENT_TEMPLATE.FAT&amp;display_string=Audit&amp;VAR:KEY=REHKHGBERW&amp;VAR:QUERY=RkZfRUJJVERBX09QRVJfTUdOKEFOTiwwLC05LFksUlAsTE9DQUwsTSk=&amp;WINDOW=FIRST_POPUP&amp;HEIGHT=45","0&amp;WIDTH=450&amp;START_MAXIMIZED=FALSE&amp;VAR:CALENDAR=US&amp;VAR:SYMBOL=B10LQP&amp;VAR:INDEX=2"}</definedName>
    <definedName name="_441__FDSAUDITLINK__" hidden="1">{"fdsup://directions/FAT Viewer?action=UPDATE&amp;creator=factset&amp;DYN_ARGS=TRUE&amp;DOC_NAME=FAT:FQL_AUDITING_CLIENT_TEMPLATE.FAT&amp;display_string=Audit&amp;VAR:KEY=REHKHGBERW&amp;VAR:QUERY=RkZfRUJJVERBX09QRVJfTUdOKEFOTiwwLC05LFksUlAsTE9DQUwsTSk=&amp;WINDOW=FIRST_POPUP&amp;HEIGHT=45","0&amp;WIDTH=450&amp;START_MAXIMIZED=FALSE&amp;VAR:CALENDAR=US&amp;VAR:SYMBOL=B10LQP&amp;VAR:INDEX=2"}</definedName>
    <definedName name="_441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21"}</definedName>
    <definedName name="_441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21"}</definedName>
    <definedName name="_441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21"}</definedName>
    <definedName name="_441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20"}</definedName>
    <definedName name="_441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20"}</definedName>
    <definedName name="_441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20"}</definedName>
    <definedName name="_441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19"}</definedName>
    <definedName name="_441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19"}</definedName>
    <definedName name="_441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19"}</definedName>
    <definedName name="_441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18"}</definedName>
    <definedName name="_441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18"}</definedName>
    <definedName name="_441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18"}</definedName>
    <definedName name="_441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17"}</definedName>
    <definedName name="_441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17"}</definedName>
    <definedName name="_441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17"}</definedName>
    <definedName name="_441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16"}</definedName>
    <definedName name="_441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16"}</definedName>
    <definedName name="_441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16"}</definedName>
    <definedName name="_441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15"}</definedName>
    <definedName name="_441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15"}</definedName>
    <definedName name="_441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15"}</definedName>
    <definedName name="_441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14"}</definedName>
    <definedName name="_441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14"}</definedName>
    <definedName name="_441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14"}</definedName>
    <definedName name="_441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13"}</definedName>
    <definedName name="_441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13"}</definedName>
    <definedName name="_441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13"}</definedName>
    <definedName name="_441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12"}</definedName>
    <definedName name="_441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12"}</definedName>
    <definedName name="_441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12"}</definedName>
    <definedName name="_442__FDSAUDITLINK__" localSheetId="3" hidden="1">{"fdsup://directions/FAT Viewer?action=UPDATE&amp;creator=factset&amp;DYN_ARGS=TRUE&amp;DOC_NAME=FAT:FQL_AUDITING_CLIENT_TEMPLATE.FAT&amp;display_string=Audit&amp;VAR:KEY=REHKHGBERW&amp;VAR:QUERY=RkZfRUJJVERBX09QRVJfTUdOKEFOTiwwLC05LFksUlAsTE9DQUwsTSk=&amp;WINDOW=FIRST_POPUP&amp;HEIGHT=45","0&amp;WIDTH=450&amp;START_MAXIMIZED=FALSE&amp;VAR:CALENDAR=US&amp;VAR:SYMBOL=B10LQP&amp;VAR:INDEX=1"}</definedName>
    <definedName name="_442__FDSAUDITLINK__" localSheetId="7" hidden="1">{"fdsup://directions/FAT Viewer?action=UPDATE&amp;creator=factset&amp;DYN_ARGS=TRUE&amp;DOC_NAME=FAT:FQL_AUDITING_CLIENT_TEMPLATE.FAT&amp;display_string=Audit&amp;VAR:KEY=REHKHGBERW&amp;VAR:QUERY=RkZfRUJJVERBX09QRVJfTUdOKEFOTiwwLC05LFksUlAsTE9DQUwsTSk=&amp;WINDOW=FIRST_POPUP&amp;HEIGHT=45","0&amp;WIDTH=450&amp;START_MAXIMIZED=FALSE&amp;VAR:CALENDAR=US&amp;VAR:SYMBOL=B10LQP&amp;VAR:INDEX=1"}</definedName>
    <definedName name="_442__FDSAUDITLINK__" hidden="1">{"fdsup://directions/FAT Viewer?action=UPDATE&amp;creator=factset&amp;DYN_ARGS=TRUE&amp;DOC_NAME=FAT:FQL_AUDITING_CLIENT_TEMPLATE.FAT&amp;display_string=Audit&amp;VAR:KEY=REHKHGBERW&amp;VAR:QUERY=RkZfRUJJVERBX09QRVJfTUdOKEFOTiwwLC05LFksUlAsTE9DQUwsTSk=&amp;WINDOW=FIRST_POPUP&amp;HEIGHT=45","0&amp;WIDTH=450&amp;START_MAXIMIZED=FALSE&amp;VAR:CALENDAR=US&amp;VAR:SYMBOL=B10LQP&amp;VAR:INDEX=1"}</definedName>
    <definedName name="_442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11"}</definedName>
    <definedName name="_442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11"}</definedName>
    <definedName name="_442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11"}</definedName>
    <definedName name="_4421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10"}</definedName>
    <definedName name="_4421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10"}</definedName>
    <definedName name="_4421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10"}</definedName>
    <definedName name="_442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9"}</definedName>
    <definedName name="_442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9"}</definedName>
    <definedName name="_442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9"}</definedName>
    <definedName name="_442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8"}</definedName>
    <definedName name="_442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8"}</definedName>
    <definedName name="_442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8"}</definedName>
    <definedName name="_442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7"}</definedName>
    <definedName name="_442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7"}</definedName>
    <definedName name="_442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7"}</definedName>
    <definedName name="_442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6"}</definedName>
    <definedName name="_442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6"}</definedName>
    <definedName name="_442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6"}</definedName>
    <definedName name="_4426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definedName>
    <definedName name="_4426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definedName>
    <definedName name="_4426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5"}</definedName>
    <definedName name="_4427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definedName>
    <definedName name="_4427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definedName>
    <definedName name="_4427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definedName>
    <definedName name="_4428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definedName>
    <definedName name="_4428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definedName>
    <definedName name="_4428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3"}</definedName>
    <definedName name="_4429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definedName>
    <definedName name="_4429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definedName>
    <definedName name="_4429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2"}</definedName>
    <definedName name="_443__FDSAUDITLINK__" localSheetId="3" hidden="1">{"fdsup://directions/FAT Viewer?action=UPDATE&amp;creator=factset&amp;DYN_ARGS=TRUE&amp;DOC_NAME=FAT:FQL_AUDITING_CLIENT_TEMPLATE.FAT&amp;display_string=Audit&amp;VAR:KEY=KDUDOBOVQD&amp;VAR:QUERY=RkZfRVBTX0RJTF9CRUZfVU5VU1VBTChBTk4sMCwtOSxZLFJQKQ==&amp;WINDOW=FIRST_POPUP&amp;HEIGHT=450&amp;WI","DTH=450&amp;START_MAXIMIZED=FALSE&amp;VAR:CALENDAR=US&amp;VAR:SYMBOL=B10LQP&amp;VAR:INDEX=7"}</definedName>
    <definedName name="_443__FDSAUDITLINK__" localSheetId="7" hidden="1">{"fdsup://directions/FAT Viewer?action=UPDATE&amp;creator=factset&amp;DYN_ARGS=TRUE&amp;DOC_NAME=FAT:FQL_AUDITING_CLIENT_TEMPLATE.FAT&amp;display_string=Audit&amp;VAR:KEY=KDUDOBOVQD&amp;VAR:QUERY=RkZfRVBTX0RJTF9CRUZfVU5VU1VBTChBTk4sMCwtOSxZLFJQKQ==&amp;WINDOW=FIRST_POPUP&amp;HEIGHT=450&amp;WI","DTH=450&amp;START_MAXIMIZED=FALSE&amp;VAR:CALENDAR=US&amp;VAR:SYMBOL=B10LQP&amp;VAR:INDEX=7"}</definedName>
    <definedName name="_443__FDSAUDITLINK__" hidden="1">{"fdsup://directions/FAT Viewer?action=UPDATE&amp;creator=factset&amp;DYN_ARGS=TRUE&amp;DOC_NAME=FAT:FQL_AUDITING_CLIENT_TEMPLATE.FAT&amp;display_string=Audit&amp;VAR:KEY=KDUDOBOVQD&amp;VAR:QUERY=RkZfRVBTX0RJTF9CRUZfVU5VU1VBTChBTk4sMCwtOSxZLFJQKQ==&amp;WINDOW=FIRST_POPUP&amp;HEIGHT=450&amp;WI","DTH=450&amp;START_MAXIMIZED=FALSE&amp;VAR:CALENDAR=US&amp;VAR:SYMBOL=B10LQP&amp;VAR:INDEX=7"}</definedName>
    <definedName name="_4430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definedName>
    <definedName name="_4430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definedName>
    <definedName name="_4430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1"}</definedName>
    <definedName name="_4432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493"}</definedName>
    <definedName name="_4432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493"}</definedName>
    <definedName name="_4432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493"}</definedName>
    <definedName name="_4433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491"}</definedName>
    <definedName name="_4433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491"}</definedName>
    <definedName name="_4433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491"}</definedName>
    <definedName name="_4434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493"}</definedName>
    <definedName name="_4434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493"}</definedName>
    <definedName name="_4434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493"}</definedName>
    <definedName name="_4435__FDSAUDITLINK__" localSheetId="3"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490"}</definedName>
    <definedName name="_4435__FDSAUDITLINK__" localSheetId="7"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490"}</definedName>
    <definedName name="_4435__FDSAUDITLINK__" hidden="1">{"fdsup://directions/FAT Viewer?action=UPDATE&amp;creator=factset&amp;DYN_ARGS=TRUE&amp;DOC_NAME=FAT:FQL_AUDITING_CLIENT_TEMPLATE.FAT&amp;display_string=Audit&amp;VAR:KEY=BCHUPGTMVQ&amp;VAR:QUERY=RkZfRU5UUlBSX1ZBTF9EQUlMWSgtMkFZLDQxMTAyLEQsLExPQ0FMLCdESUwnKQ==&amp;WINDOW=FIRST_POPUP&amp;H","EIGHT=450&amp;WIDTH=450&amp;START_MAXIMIZED=FALSE&amp;VAR:CALENDAR=US&amp;VAR:SYMBOL=B014K5&amp;VAR:INDEX=490"}</definedName>
    <definedName name="_4436__FDSAUDITLINK__" localSheetId="3" hidden="1">{"fdsup://directions/FAT Viewer?action=UPDATE&amp;creator=factset&amp;DYN_ARGS=TRUE&amp;DOC_NAME=FAT:FQL_AUDITING_CLIENT_TEMPLATE.FAT&amp;display_string=Audit&amp;VAR:KEY=YNYHKRKHGV&amp;VAR:QUERY=RkZfTUlOX0lOVF9BQ0NVTShDQUwsTk9XLE5PVyxELCxVU0Qp&amp;WINDOW=FIRST_POPUP&amp;HEIGHT=450&amp;WIDTH=","450&amp;START_MAXIMIZED=FALSE&amp;VAR:CALENDAR=US&amp;VAR:SYMBOL=B23WQK&amp;VAR:INDEX=0"}</definedName>
    <definedName name="_4436__FDSAUDITLINK__" localSheetId="7" hidden="1">{"fdsup://directions/FAT Viewer?action=UPDATE&amp;creator=factset&amp;DYN_ARGS=TRUE&amp;DOC_NAME=FAT:FQL_AUDITING_CLIENT_TEMPLATE.FAT&amp;display_string=Audit&amp;VAR:KEY=YNYHKRKHGV&amp;VAR:QUERY=RkZfTUlOX0lOVF9BQ0NVTShDQUwsTk9XLE5PVyxELCxVU0Qp&amp;WINDOW=FIRST_POPUP&amp;HEIGHT=450&amp;WIDTH=","450&amp;START_MAXIMIZED=FALSE&amp;VAR:CALENDAR=US&amp;VAR:SYMBOL=B23WQK&amp;VAR:INDEX=0"}</definedName>
    <definedName name="_4436__FDSAUDITLINK__" hidden="1">{"fdsup://directions/FAT Viewer?action=UPDATE&amp;creator=factset&amp;DYN_ARGS=TRUE&amp;DOC_NAME=FAT:FQL_AUDITING_CLIENT_TEMPLATE.FAT&amp;display_string=Audit&amp;VAR:KEY=YNYHKRKHGV&amp;VAR:QUERY=RkZfTUlOX0lOVF9BQ0NVTShDQUwsTk9XLE5PVyxELCxVU0Qp&amp;WINDOW=FIRST_POPUP&amp;HEIGHT=450&amp;WIDTH=","450&amp;START_MAXIMIZED=FALSE&amp;VAR:CALENDAR=US&amp;VAR:SYMBOL=B23WQK&amp;VAR:INDEX=0"}</definedName>
    <definedName name="_4437__FDSAUDITLINK__" localSheetId="3" hidden="1">{"fdsup://directions/FAT Viewer?action=UPDATE&amp;creator=factset&amp;DYN_ARGS=TRUE&amp;DOC_NAME=FAT:FQL_AUDITING_CLIENT_TEMPLATE.FAT&amp;display_string=Audit&amp;VAR:KEY=KBSDIVQZEB&amp;VAR:QUERY=RkZfTUlOX0lOVF9BQ0NVTShDQUwsTk9XLE5PVyxELCxVU0Qp&amp;WINDOW=FIRST_POPUP&amp;HEIGHT=450&amp;WIDTH=","450&amp;START_MAXIMIZED=FALSE&amp;VAR:CALENDAR=US&amp;VAR:SYMBOL=B1VZ1Q&amp;VAR:INDEX=0"}</definedName>
    <definedName name="_4437__FDSAUDITLINK__" localSheetId="7" hidden="1">{"fdsup://directions/FAT Viewer?action=UPDATE&amp;creator=factset&amp;DYN_ARGS=TRUE&amp;DOC_NAME=FAT:FQL_AUDITING_CLIENT_TEMPLATE.FAT&amp;display_string=Audit&amp;VAR:KEY=KBSDIVQZEB&amp;VAR:QUERY=RkZfTUlOX0lOVF9BQ0NVTShDQUwsTk9XLE5PVyxELCxVU0Qp&amp;WINDOW=FIRST_POPUP&amp;HEIGHT=450&amp;WIDTH=","450&amp;START_MAXIMIZED=FALSE&amp;VAR:CALENDAR=US&amp;VAR:SYMBOL=B1VZ1Q&amp;VAR:INDEX=0"}</definedName>
    <definedName name="_4437__FDSAUDITLINK__" hidden="1">{"fdsup://directions/FAT Viewer?action=UPDATE&amp;creator=factset&amp;DYN_ARGS=TRUE&amp;DOC_NAME=FAT:FQL_AUDITING_CLIENT_TEMPLATE.FAT&amp;display_string=Audit&amp;VAR:KEY=KBSDIVQZEB&amp;VAR:QUERY=RkZfTUlOX0lOVF9BQ0NVTShDQUwsTk9XLE5PVyxELCxVU0Qp&amp;WINDOW=FIRST_POPUP&amp;HEIGHT=450&amp;WIDTH=","450&amp;START_MAXIMIZED=FALSE&amp;VAR:CALENDAR=US&amp;VAR:SYMBOL=B1VZ1Q&amp;VAR:INDEX=0"}</definedName>
    <definedName name="_4438__FDSAUDITLINK__" localSheetId="3" hidden="1">{"fdsup://directions/FAT Viewer?action=UPDATE&amp;creator=factset&amp;DYN_ARGS=TRUE&amp;DOC_NAME=FAT:FQL_AUDITING_CLIENT_TEMPLATE.FAT&amp;display_string=Audit&amp;VAR:KEY=SXMJYHWNID&amp;VAR:QUERY=RkZfTUlOX0lOVF9BQ0NVTShDQUwsTk9XLE5PVyxELCxVU0Qp&amp;WINDOW=FIRST_POPUP&amp;HEIGHT=450&amp;WIDTH=","450&amp;START_MAXIMIZED=FALSE&amp;VAR:CALENDAR=US&amp;VAR:SYMBOL=615817&amp;VAR:INDEX=0"}</definedName>
    <definedName name="_4438__FDSAUDITLINK__" localSheetId="7" hidden="1">{"fdsup://directions/FAT Viewer?action=UPDATE&amp;creator=factset&amp;DYN_ARGS=TRUE&amp;DOC_NAME=FAT:FQL_AUDITING_CLIENT_TEMPLATE.FAT&amp;display_string=Audit&amp;VAR:KEY=SXMJYHWNID&amp;VAR:QUERY=RkZfTUlOX0lOVF9BQ0NVTShDQUwsTk9XLE5PVyxELCxVU0Qp&amp;WINDOW=FIRST_POPUP&amp;HEIGHT=450&amp;WIDTH=","450&amp;START_MAXIMIZED=FALSE&amp;VAR:CALENDAR=US&amp;VAR:SYMBOL=615817&amp;VAR:INDEX=0"}</definedName>
    <definedName name="_4438__FDSAUDITLINK__" hidden="1">{"fdsup://directions/FAT Viewer?action=UPDATE&amp;creator=factset&amp;DYN_ARGS=TRUE&amp;DOC_NAME=FAT:FQL_AUDITING_CLIENT_TEMPLATE.FAT&amp;display_string=Audit&amp;VAR:KEY=SXMJYHWNID&amp;VAR:QUERY=RkZfTUlOX0lOVF9BQ0NVTShDQUwsTk9XLE5PVyxELCxVU0Qp&amp;WINDOW=FIRST_POPUP&amp;HEIGHT=450&amp;WIDTH=","450&amp;START_MAXIMIZED=FALSE&amp;VAR:CALENDAR=US&amp;VAR:SYMBOL=615817&amp;VAR:INDEX=0"}</definedName>
    <definedName name="_444__FDSAUDITLINK__" localSheetId="3" hidden="1">{"fdsup://directions/FAT Viewer?action=UPDATE&amp;creator=factset&amp;DYN_ARGS=TRUE&amp;DOC_NAME=FAT:FQL_AUDITING_CLIENT_TEMPLATE.FAT&amp;display_string=Audit&amp;VAR:KEY=MXKNSVUJEZ&amp;VAR:QUERY=UENUQ0hHKEZGX0VCSVREQV9PUEVSKEFOTiwwLC05LFksUlAsTE9DQUwsTSksRkZfRUJJVERBX09QRVIoQU5OL","C0xLC05IC0gMSxZLFJQLExPQ0FMLE0pKQ==&amp;WINDOW=FIRST_POPUP&amp;HEIGHT=450&amp;WIDTH=450&amp;START_MAXIMIZED=FALSE&amp;VAR:CALENDAR=US&amp;VAR:SYMBOL=B10LQP&amp;VAR:INDEX=7"}</definedName>
    <definedName name="_444__FDSAUDITLINK__" localSheetId="7" hidden="1">{"fdsup://directions/FAT Viewer?action=UPDATE&amp;creator=factset&amp;DYN_ARGS=TRUE&amp;DOC_NAME=FAT:FQL_AUDITING_CLIENT_TEMPLATE.FAT&amp;display_string=Audit&amp;VAR:KEY=MXKNSVUJEZ&amp;VAR:QUERY=UENUQ0hHKEZGX0VCSVREQV9PUEVSKEFOTiwwLC05LFksUlAsTE9DQUwsTSksRkZfRUJJVERBX09QRVIoQU5OL","C0xLC05IC0gMSxZLFJQLExPQ0FMLE0pKQ==&amp;WINDOW=FIRST_POPUP&amp;HEIGHT=450&amp;WIDTH=450&amp;START_MAXIMIZED=FALSE&amp;VAR:CALENDAR=US&amp;VAR:SYMBOL=B10LQP&amp;VAR:INDEX=7"}</definedName>
    <definedName name="_444__FDSAUDITLINK__" hidden="1">{"fdsup://directions/FAT Viewer?action=UPDATE&amp;creator=factset&amp;DYN_ARGS=TRUE&amp;DOC_NAME=FAT:FQL_AUDITING_CLIENT_TEMPLATE.FAT&amp;display_string=Audit&amp;VAR:KEY=MXKNSVUJEZ&amp;VAR:QUERY=UENUQ0hHKEZGX0VCSVREQV9PUEVSKEFOTiwwLC05LFksUlAsTE9DQUwsTSksRkZfRUJJVERBX09QRVIoQU5OL","C0xLC05IC0gMSxZLFJQLExPQ0FMLE0pKQ==&amp;WINDOW=FIRST_POPUP&amp;HEIGHT=450&amp;WIDTH=450&amp;START_MAXIMIZED=FALSE&amp;VAR:CALENDAR=US&amp;VAR:SYMBOL=B10LQP&amp;VAR:INDEX=7"}</definedName>
    <definedName name="_4442__FDSAUDITLINK__" localSheetId="3" hidden="1">{"fdsup://directions/FAT Viewer?action=UPDATE&amp;creator=factset&amp;DYN_ARGS=TRUE&amp;DOC_NAME=FAT:FQL_AUDITING_CLIENT_TEMPLATE.FAT&amp;display_string=Audit&amp;VAR:KEY=DYLIBKHAVQ&amp;VAR:QUERY=RkZfTUlOX0lOVF9BQ0NVTShDQUwsTk9XLE5PVyxELCxVU0Qp&amp;WINDOW=FIRST_POPUP&amp;HEIGHT=450&amp;WIDTH=","450&amp;START_MAXIMIZED=FALSE&amp;VAR:CALENDAR=US&amp;VAR:SYMBOL=281722&amp;VAR:INDEX=0"}</definedName>
    <definedName name="_4442__FDSAUDITLINK__" localSheetId="7" hidden="1">{"fdsup://directions/FAT Viewer?action=UPDATE&amp;creator=factset&amp;DYN_ARGS=TRUE&amp;DOC_NAME=FAT:FQL_AUDITING_CLIENT_TEMPLATE.FAT&amp;display_string=Audit&amp;VAR:KEY=DYLIBKHAVQ&amp;VAR:QUERY=RkZfTUlOX0lOVF9BQ0NVTShDQUwsTk9XLE5PVyxELCxVU0Qp&amp;WINDOW=FIRST_POPUP&amp;HEIGHT=450&amp;WIDTH=","450&amp;START_MAXIMIZED=FALSE&amp;VAR:CALENDAR=US&amp;VAR:SYMBOL=281722&amp;VAR:INDEX=0"}</definedName>
    <definedName name="_4442__FDSAUDITLINK__" hidden="1">{"fdsup://directions/FAT Viewer?action=UPDATE&amp;creator=factset&amp;DYN_ARGS=TRUE&amp;DOC_NAME=FAT:FQL_AUDITING_CLIENT_TEMPLATE.FAT&amp;display_string=Audit&amp;VAR:KEY=DYLIBKHAVQ&amp;VAR:QUERY=RkZfTUlOX0lOVF9BQ0NVTShDQUwsTk9XLE5PVyxELCxVU0Qp&amp;WINDOW=FIRST_POPUP&amp;HEIGHT=450&amp;WIDTH=","450&amp;START_MAXIMIZED=FALSE&amp;VAR:CALENDAR=US&amp;VAR:SYMBOL=281722&amp;VAR:INDEX=0"}</definedName>
    <definedName name="_4443__FDSAUDITLINK__" localSheetId="3" hidden="1">{"fdsup://directions/FAT Viewer?action=UPDATE&amp;creator=factset&amp;DYN_ARGS=TRUE&amp;DOC_NAME=FAT:FQL_AUDITING_CLIENT_TEMPLATE.FAT&amp;display_string=Audit&amp;VAR:KEY=RGJAXSRYHW&amp;VAR:QUERY=RkZfTUlOX0lOVF9BQ0NVTShDQUwsTk9XLE5PVyxELCxVU0Qp&amp;WINDOW=FIRST_POPUP&amp;HEIGHT=450&amp;WIDTH=","450&amp;START_MAXIMIZED=FALSE&amp;VAR:CALENDAR=US&amp;VAR:SYMBOL=B3ZCNF&amp;VAR:INDEX=0"}</definedName>
    <definedName name="_4443__FDSAUDITLINK__" localSheetId="7" hidden="1">{"fdsup://directions/FAT Viewer?action=UPDATE&amp;creator=factset&amp;DYN_ARGS=TRUE&amp;DOC_NAME=FAT:FQL_AUDITING_CLIENT_TEMPLATE.FAT&amp;display_string=Audit&amp;VAR:KEY=RGJAXSRYHW&amp;VAR:QUERY=RkZfTUlOX0lOVF9BQ0NVTShDQUwsTk9XLE5PVyxELCxVU0Qp&amp;WINDOW=FIRST_POPUP&amp;HEIGHT=450&amp;WIDTH=","450&amp;START_MAXIMIZED=FALSE&amp;VAR:CALENDAR=US&amp;VAR:SYMBOL=B3ZCNF&amp;VAR:INDEX=0"}</definedName>
    <definedName name="_4443__FDSAUDITLINK__" hidden="1">{"fdsup://directions/FAT Viewer?action=UPDATE&amp;creator=factset&amp;DYN_ARGS=TRUE&amp;DOC_NAME=FAT:FQL_AUDITING_CLIENT_TEMPLATE.FAT&amp;display_string=Audit&amp;VAR:KEY=RGJAXSRYHW&amp;VAR:QUERY=RkZfTUlOX0lOVF9BQ0NVTShDQUwsTk9XLE5PVyxELCxVU0Qp&amp;WINDOW=FIRST_POPUP&amp;HEIGHT=450&amp;WIDTH=","450&amp;START_MAXIMIZED=FALSE&amp;VAR:CALENDAR=US&amp;VAR:SYMBOL=B3ZCNF&amp;VAR:INDEX=0"}</definedName>
    <definedName name="_4445__FDSAUDITLINK__" localSheetId="3" hidden="1">{"fdsup://directions/FAT Viewer?action=UPDATE&amp;creator=factset&amp;DYN_ARGS=TRUE&amp;DOC_NAME=FAT:FQL_AUDITING_CLIENT_TEMPLATE.FAT&amp;display_string=Audit&amp;VAR:KEY=RQJCDAZKXE&amp;VAR:QUERY=RkZfTUlOX0lOVF9BQ0NVTShDQUwsTk9XLE5PVyxELCxVU0Qp&amp;WINDOW=FIRST_POPUP&amp;HEIGHT=450&amp;WIDTH=","450&amp;START_MAXIMIZED=FALSE&amp;VAR:CALENDAR=US&amp;VAR:SYMBOL=573252&amp;VAR:INDEX=0"}</definedName>
    <definedName name="_4445__FDSAUDITLINK__" localSheetId="7" hidden="1">{"fdsup://directions/FAT Viewer?action=UPDATE&amp;creator=factset&amp;DYN_ARGS=TRUE&amp;DOC_NAME=FAT:FQL_AUDITING_CLIENT_TEMPLATE.FAT&amp;display_string=Audit&amp;VAR:KEY=RQJCDAZKXE&amp;VAR:QUERY=RkZfTUlOX0lOVF9BQ0NVTShDQUwsTk9XLE5PVyxELCxVU0Qp&amp;WINDOW=FIRST_POPUP&amp;HEIGHT=450&amp;WIDTH=","450&amp;START_MAXIMIZED=FALSE&amp;VAR:CALENDAR=US&amp;VAR:SYMBOL=573252&amp;VAR:INDEX=0"}</definedName>
    <definedName name="_4445__FDSAUDITLINK__" hidden="1">{"fdsup://directions/FAT Viewer?action=UPDATE&amp;creator=factset&amp;DYN_ARGS=TRUE&amp;DOC_NAME=FAT:FQL_AUDITING_CLIENT_TEMPLATE.FAT&amp;display_string=Audit&amp;VAR:KEY=RQJCDAZKXE&amp;VAR:QUERY=RkZfTUlOX0lOVF9BQ0NVTShDQUwsTk9XLE5PVyxELCxVU0Qp&amp;WINDOW=FIRST_POPUP&amp;HEIGHT=450&amp;WIDTH=","450&amp;START_MAXIMIZED=FALSE&amp;VAR:CALENDAR=US&amp;VAR:SYMBOL=573252&amp;VAR:INDEX=0"}</definedName>
    <definedName name="_4446__FDSAUDITLINK__" localSheetId="3" hidden="1">{"fdsup://directions/FAT Viewer?action=UPDATE&amp;creator=factset&amp;DYN_ARGS=TRUE&amp;DOC_NAME=FAT:FQL_AUDITING_CLIENT_TEMPLATE.FAT&amp;display_string=Audit&amp;VAR:KEY=JYPOHAZUHE&amp;VAR:QUERY=RkZfTUlOX0lOVF9BQ0NVTShDQUwsTk9XLE5PVyxELCxVU0Qp&amp;WINDOW=FIRST_POPUP&amp;HEIGHT=450&amp;WIDTH=","450&amp;START_MAXIMIZED=FALSE&amp;VAR:CALENDAR=US&amp;VAR:SYMBOL=00206R10&amp;VAR:INDEX=0"}</definedName>
    <definedName name="_4446__FDSAUDITLINK__" localSheetId="7" hidden="1">{"fdsup://directions/FAT Viewer?action=UPDATE&amp;creator=factset&amp;DYN_ARGS=TRUE&amp;DOC_NAME=FAT:FQL_AUDITING_CLIENT_TEMPLATE.FAT&amp;display_string=Audit&amp;VAR:KEY=JYPOHAZUHE&amp;VAR:QUERY=RkZfTUlOX0lOVF9BQ0NVTShDQUwsTk9XLE5PVyxELCxVU0Qp&amp;WINDOW=FIRST_POPUP&amp;HEIGHT=450&amp;WIDTH=","450&amp;START_MAXIMIZED=FALSE&amp;VAR:CALENDAR=US&amp;VAR:SYMBOL=00206R10&amp;VAR:INDEX=0"}</definedName>
    <definedName name="_4446__FDSAUDITLINK__" hidden="1">{"fdsup://directions/FAT Viewer?action=UPDATE&amp;creator=factset&amp;DYN_ARGS=TRUE&amp;DOC_NAME=FAT:FQL_AUDITING_CLIENT_TEMPLATE.FAT&amp;display_string=Audit&amp;VAR:KEY=JYPOHAZUHE&amp;VAR:QUERY=RkZfTUlOX0lOVF9BQ0NVTShDQUwsTk9XLE5PVyxELCxVU0Qp&amp;WINDOW=FIRST_POPUP&amp;HEIGHT=450&amp;WIDTH=","450&amp;START_MAXIMIZED=FALSE&amp;VAR:CALENDAR=US&amp;VAR:SYMBOL=00206R10&amp;VAR:INDEX=0"}</definedName>
    <definedName name="_4447__FDSAUDITLINK__" localSheetId="3" hidden="1">{"fdsup://directions/FAT Viewer?action=UPDATE&amp;creator=factset&amp;DYN_ARGS=TRUE&amp;DOC_NAME=FAT:FQL_AUDITING_CLIENT_TEMPLATE.FAT&amp;display_string=Audit&amp;VAR:KEY=KHKLEXWPWV&amp;VAR:QUERY=RkZfTUlOX0lOVF9BQ0NVTShDQUwsTk9XLE5PVyxELCxVU0Qp&amp;WINDOW=FIRST_POPUP&amp;HEIGHT=450&amp;WIDTH=","450&amp;START_MAXIMIZED=FALSE&amp;VAR:CALENDAR=US&amp;VAR:SYMBOL=92343V10&amp;VAR:INDEX=0"}</definedName>
    <definedName name="_4447__FDSAUDITLINK__" localSheetId="7" hidden="1">{"fdsup://directions/FAT Viewer?action=UPDATE&amp;creator=factset&amp;DYN_ARGS=TRUE&amp;DOC_NAME=FAT:FQL_AUDITING_CLIENT_TEMPLATE.FAT&amp;display_string=Audit&amp;VAR:KEY=KHKLEXWPWV&amp;VAR:QUERY=RkZfTUlOX0lOVF9BQ0NVTShDQUwsTk9XLE5PVyxELCxVU0Qp&amp;WINDOW=FIRST_POPUP&amp;HEIGHT=450&amp;WIDTH=","450&amp;START_MAXIMIZED=FALSE&amp;VAR:CALENDAR=US&amp;VAR:SYMBOL=92343V10&amp;VAR:INDEX=0"}</definedName>
    <definedName name="_4447__FDSAUDITLINK__" hidden="1">{"fdsup://directions/FAT Viewer?action=UPDATE&amp;creator=factset&amp;DYN_ARGS=TRUE&amp;DOC_NAME=FAT:FQL_AUDITING_CLIENT_TEMPLATE.FAT&amp;display_string=Audit&amp;VAR:KEY=KHKLEXWPWV&amp;VAR:QUERY=RkZfTUlOX0lOVF9BQ0NVTShDQUwsTk9XLE5PVyxELCxVU0Qp&amp;WINDOW=FIRST_POPUP&amp;HEIGHT=450&amp;WIDTH=","450&amp;START_MAXIMIZED=FALSE&amp;VAR:CALENDAR=US&amp;VAR:SYMBOL=92343V10&amp;VAR:INDEX=0"}</definedName>
    <definedName name="_4448__FDSAUDITLINK__" localSheetId="3" hidden="1">{"fdsup://directions/FAT Viewer?action=UPDATE&amp;creator=factset&amp;DYN_ARGS=TRUE&amp;DOC_NAME=FAT:FQL_AUDITING_CLIENT_TEMPLATE.FAT&amp;display_string=Audit&amp;VAR:KEY=VQTYFYRATS&amp;VAR:QUERY=RkZfTUlOX0lOVF9BQ0NVTShDQUwsTk9XLE5PVyxELCxVU0Qp&amp;WINDOW=FIRST_POPUP&amp;HEIGHT=450&amp;WIDTH=","450&amp;START_MAXIMIZED=FALSE&amp;VAR:CALENDAR=US&amp;VAR:SYMBOL=517617&amp;VAR:INDEX=0"}</definedName>
    <definedName name="_4448__FDSAUDITLINK__" localSheetId="7" hidden="1">{"fdsup://directions/FAT Viewer?action=UPDATE&amp;creator=factset&amp;DYN_ARGS=TRUE&amp;DOC_NAME=FAT:FQL_AUDITING_CLIENT_TEMPLATE.FAT&amp;display_string=Audit&amp;VAR:KEY=VQTYFYRATS&amp;VAR:QUERY=RkZfTUlOX0lOVF9BQ0NVTShDQUwsTk9XLE5PVyxELCxVU0Qp&amp;WINDOW=FIRST_POPUP&amp;HEIGHT=450&amp;WIDTH=","450&amp;START_MAXIMIZED=FALSE&amp;VAR:CALENDAR=US&amp;VAR:SYMBOL=517617&amp;VAR:INDEX=0"}</definedName>
    <definedName name="_4448__FDSAUDITLINK__" hidden="1">{"fdsup://directions/FAT Viewer?action=UPDATE&amp;creator=factset&amp;DYN_ARGS=TRUE&amp;DOC_NAME=FAT:FQL_AUDITING_CLIENT_TEMPLATE.FAT&amp;display_string=Audit&amp;VAR:KEY=VQTYFYRATS&amp;VAR:QUERY=RkZfTUlOX0lOVF9BQ0NVTShDQUwsTk9XLE5PVyxELCxVU0Qp&amp;WINDOW=FIRST_POPUP&amp;HEIGHT=450&amp;WIDTH=","450&amp;START_MAXIMIZED=FALSE&amp;VAR:CALENDAR=US&amp;VAR:SYMBOL=517617&amp;VAR:INDEX=0"}</definedName>
    <definedName name="_4449__FDSAUDITLINK__" localSheetId="3" hidden="1">{"fdsup://directions/FAT Viewer?action=UPDATE&amp;creator=factset&amp;DYN_ARGS=TRUE&amp;DOC_NAME=FAT:FQL_AUDITING_CLIENT_TEMPLATE.FAT&amp;display_string=Audit&amp;VAR:KEY=EHMXELSZUF&amp;VAR:QUERY=RkZfTUlOX0lOVF9BQ0NVTShDQUwsTk9XLE5PVyxELCxVU0Qp&amp;WINDOW=FIRST_POPUP&amp;HEIGHT=450&amp;WIDTH=","450&amp;START_MAXIMIZED=FALSE&amp;VAR:CALENDAR=US&amp;VAR:SYMBOL=584235&amp;VAR:INDEX=0"}</definedName>
    <definedName name="_4449__FDSAUDITLINK__" localSheetId="7" hidden="1">{"fdsup://directions/FAT Viewer?action=UPDATE&amp;creator=factset&amp;DYN_ARGS=TRUE&amp;DOC_NAME=FAT:FQL_AUDITING_CLIENT_TEMPLATE.FAT&amp;display_string=Audit&amp;VAR:KEY=EHMXELSZUF&amp;VAR:QUERY=RkZfTUlOX0lOVF9BQ0NVTShDQUwsTk9XLE5PVyxELCxVU0Qp&amp;WINDOW=FIRST_POPUP&amp;HEIGHT=450&amp;WIDTH=","450&amp;START_MAXIMIZED=FALSE&amp;VAR:CALENDAR=US&amp;VAR:SYMBOL=584235&amp;VAR:INDEX=0"}</definedName>
    <definedName name="_4449__FDSAUDITLINK__" hidden="1">{"fdsup://directions/FAT Viewer?action=UPDATE&amp;creator=factset&amp;DYN_ARGS=TRUE&amp;DOC_NAME=FAT:FQL_AUDITING_CLIENT_TEMPLATE.FAT&amp;display_string=Audit&amp;VAR:KEY=EHMXELSZUF&amp;VAR:QUERY=RkZfTUlOX0lOVF9BQ0NVTShDQUwsTk9XLE5PVyxELCxVU0Qp&amp;WINDOW=FIRST_POPUP&amp;HEIGHT=450&amp;WIDTH=","450&amp;START_MAXIMIZED=FALSE&amp;VAR:CALENDAR=US&amp;VAR:SYMBOL=584235&amp;VAR:INDEX=0"}</definedName>
    <definedName name="_445__FDSAUDITLINK__" localSheetId="3" hidden="1">{"fdsup://directions/FAT Viewer?action=UPDATE&amp;creator=factset&amp;DYN_ARGS=TRUE&amp;DOC_NAME=FAT:FQL_AUDITING_CLIENT_TEMPLATE.FAT&amp;display_string=Audit&amp;VAR:KEY=MXKNSVUJEZ&amp;VAR:QUERY=UENUQ0hHKEZGX0VCSVREQV9PUEVSKEFOTiwwLC05LFksUlAsTE9DQUwsTSksRkZfRUJJVERBX09QRVIoQU5OL","C0xLC05IC0gMSxZLFJQLExPQ0FMLE0pKQ==&amp;WINDOW=FIRST_POPUP&amp;HEIGHT=450&amp;WIDTH=450&amp;START_MAXIMIZED=FALSE&amp;VAR:CALENDAR=US&amp;VAR:SYMBOL=B10LQP&amp;VAR:INDEX=6"}</definedName>
    <definedName name="_445__FDSAUDITLINK__" localSheetId="7" hidden="1">{"fdsup://directions/FAT Viewer?action=UPDATE&amp;creator=factset&amp;DYN_ARGS=TRUE&amp;DOC_NAME=FAT:FQL_AUDITING_CLIENT_TEMPLATE.FAT&amp;display_string=Audit&amp;VAR:KEY=MXKNSVUJEZ&amp;VAR:QUERY=UENUQ0hHKEZGX0VCSVREQV9PUEVSKEFOTiwwLC05LFksUlAsTE9DQUwsTSksRkZfRUJJVERBX09QRVIoQU5OL","C0xLC05IC0gMSxZLFJQLExPQ0FMLE0pKQ==&amp;WINDOW=FIRST_POPUP&amp;HEIGHT=450&amp;WIDTH=450&amp;START_MAXIMIZED=FALSE&amp;VAR:CALENDAR=US&amp;VAR:SYMBOL=B10LQP&amp;VAR:INDEX=6"}</definedName>
    <definedName name="_445__FDSAUDITLINK__" hidden="1">{"fdsup://directions/FAT Viewer?action=UPDATE&amp;creator=factset&amp;DYN_ARGS=TRUE&amp;DOC_NAME=FAT:FQL_AUDITING_CLIENT_TEMPLATE.FAT&amp;display_string=Audit&amp;VAR:KEY=MXKNSVUJEZ&amp;VAR:QUERY=UENUQ0hHKEZGX0VCSVREQV9PUEVSKEFOTiwwLC05LFksUlAsTE9DQUwsTSksRkZfRUJJVERBX09QRVIoQU5OL","C0xLC05IC0gMSxZLFJQLExPQ0FMLE0pKQ==&amp;WINDOW=FIRST_POPUP&amp;HEIGHT=450&amp;WIDTH=450&amp;START_MAXIMIZED=FALSE&amp;VAR:CALENDAR=US&amp;VAR:SYMBOL=B10LQP&amp;VAR:INDEX=6"}</definedName>
    <definedName name="_4450__FDSAUDITLINK__" localSheetId="3" hidden="1">{"fdsup://directions/FAT Viewer?action=UPDATE&amp;creator=factset&amp;DYN_ARGS=TRUE&amp;DOC_NAME=FAT:FQL_AUDITING_CLIENT_TEMPLATE.FAT&amp;display_string=Audit&amp;VAR:KEY=LUVEXQRSPK&amp;VAR:QUERY=RkZfTUlOX0lOVF9BQ0NVTShDQUwsTk9XLE5PVyxELCxVU0Qp&amp;WINDOW=FIRST_POPUP&amp;HEIGHT=450&amp;WIDTH=","450&amp;START_MAXIMIZED=FALSE&amp;VAR:CALENDAR=US&amp;VAR:SYMBOL=763439&amp;VAR:INDEX=0"}</definedName>
    <definedName name="_4450__FDSAUDITLINK__" localSheetId="7" hidden="1">{"fdsup://directions/FAT Viewer?action=UPDATE&amp;creator=factset&amp;DYN_ARGS=TRUE&amp;DOC_NAME=FAT:FQL_AUDITING_CLIENT_TEMPLATE.FAT&amp;display_string=Audit&amp;VAR:KEY=LUVEXQRSPK&amp;VAR:QUERY=RkZfTUlOX0lOVF9BQ0NVTShDQUwsTk9XLE5PVyxELCxVU0Qp&amp;WINDOW=FIRST_POPUP&amp;HEIGHT=450&amp;WIDTH=","450&amp;START_MAXIMIZED=FALSE&amp;VAR:CALENDAR=US&amp;VAR:SYMBOL=763439&amp;VAR:INDEX=0"}</definedName>
    <definedName name="_4450__FDSAUDITLINK__" hidden="1">{"fdsup://directions/FAT Viewer?action=UPDATE&amp;creator=factset&amp;DYN_ARGS=TRUE&amp;DOC_NAME=FAT:FQL_AUDITING_CLIENT_TEMPLATE.FAT&amp;display_string=Audit&amp;VAR:KEY=LUVEXQRSPK&amp;VAR:QUERY=RkZfTUlOX0lOVF9BQ0NVTShDQUwsTk9XLE5PVyxELCxVU0Qp&amp;WINDOW=FIRST_POPUP&amp;HEIGHT=450&amp;WIDTH=","450&amp;START_MAXIMIZED=FALSE&amp;VAR:CALENDAR=US&amp;VAR:SYMBOL=763439&amp;VAR:INDEX=0"}</definedName>
    <definedName name="_4451__FDSAUDITLINK__" localSheetId="3" hidden="1">{"fdsup://directions/FAT Viewer?action=UPDATE&amp;creator=factset&amp;DYN_ARGS=TRUE&amp;DOC_NAME=FAT:FQL_AUDITING_CLIENT_TEMPLATE.FAT&amp;display_string=Audit&amp;VAR:KEY=WVMNSDITAT&amp;VAR:QUERY=RkZfTUlOX0lOVF9BQ0NVTShDQUwsTk9XLE5PVyxELCxVU0Qp&amp;WINDOW=FIRST_POPUP&amp;HEIGHT=450&amp;WIDTH=","450&amp;START_MAXIMIZED=FALSE&amp;VAR:CALENDAR=US&amp;VAR:SYMBOL=581718&amp;VAR:INDEX=0"}</definedName>
    <definedName name="_4451__FDSAUDITLINK__" localSheetId="7" hidden="1">{"fdsup://directions/FAT Viewer?action=UPDATE&amp;creator=factset&amp;DYN_ARGS=TRUE&amp;DOC_NAME=FAT:FQL_AUDITING_CLIENT_TEMPLATE.FAT&amp;display_string=Audit&amp;VAR:KEY=WVMNSDITAT&amp;VAR:QUERY=RkZfTUlOX0lOVF9BQ0NVTShDQUwsTk9XLE5PVyxELCxVU0Qp&amp;WINDOW=FIRST_POPUP&amp;HEIGHT=450&amp;WIDTH=","450&amp;START_MAXIMIZED=FALSE&amp;VAR:CALENDAR=US&amp;VAR:SYMBOL=581718&amp;VAR:INDEX=0"}</definedName>
    <definedName name="_4451__FDSAUDITLINK__" hidden="1">{"fdsup://directions/FAT Viewer?action=UPDATE&amp;creator=factset&amp;DYN_ARGS=TRUE&amp;DOC_NAME=FAT:FQL_AUDITING_CLIENT_TEMPLATE.FAT&amp;display_string=Audit&amp;VAR:KEY=WVMNSDITAT&amp;VAR:QUERY=RkZfTUlOX0lOVF9BQ0NVTShDQUwsTk9XLE5PVyxELCxVU0Qp&amp;WINDOW=FIRST_POPUP&amp;HEIGHT=450&amp;WIDTH=","450&amp;START_MAXIMIZED=FALSE&amp;VAR:CALENDAR=US&amp;VAR:SYMBOL=581718&amp;VAR:INDEX=0"}</definedName>
    <definedName name="_4452__FDSAUDITLINK__" localSheetId="3" hidden="1">{"fdsup://directions/FAT Viewer?action=UPDATE&amp;creator=factset&amp;DYN_ARGS=TRUE&amp;DOC_NAME=FAT:FQL_AUDITING_CLIENT_TEMPLATE.FAT&amp;display_string=Audit&amp;VAR:KEY=CPWDKHEBQZ&amp;VAR:QUERY=RkZfTUlOX0lOVF9BQ0NVTShDQUwsTk9XLE5PVyxELCxVU0Qp&amp;WINDOW=FIRST_POPUP&amp;HEIGHT=450&amp;WIDTH=","450&amp;START_MAXIMIZED=FALSE&amp;VAR:CALENDAR=US&amp;VAR:SYMBOL=05577E10&amp;VAR:INDEX=0"}</definedName>
    <definedName name="_4452__FDSAUDITLINK__" localSheetId="7" hidden="1">{"fdsup://directions/FAT Viewer?action=UPDATE&amp;creator=factset&amp;DYN_ARGS=TRUE&amp;DOC_NAME=FAT:FQL_AUDITING_CLIENT_TEMPLATE.FAT&amp;display_string=Audit&amp;VAR:KEY=CPWDKHEBQZ&amp;VAR:QUERY=RkZfTUlOX0lOVF9BQ0NVTShDQUwsTk9XLE5PVyxELCxVU0Qp&amp;WINDOW=FIRST_POPUP&amp;HEIGHT=450&amp;WIDTH=","450&amp;START_MAXIMIZED=FALSE&amp;VAR:CALENDAR=US&amp;VAR:SYMBOL=05577E10&amp;VAR:INDEX=0"}</definedName>
    <definedName name="_4452__FDSAUDITLINK__" hidden="1">{"fdsup://directions/FAT Viewer?action=UPDATE&amp;creator=factset&amp;DYN_ARGS=TRUE&amp;DOC_NAME=FAT:FQL_AUDITING_CLIENT_TEMPLATE.FAT&amp;display_string=Audit&amp;VAR:KEY=CPWDKHEBQZ&amp;VAR:QUERY=RkZfTUlOX0lOVF9BQ0NVTShDQUwsTk9XLE5PVyxELCxVU0Qp&amp;WINDOW=FIRST_POPUP&amp;HEIGHT=450&amp;WIDTH=","450&amp;START_MAXIMIZED=FALSE&amp;VAR:CALENDAR=US&amp;VAR:SYMBOL=05577E10&amp;VAR:INDEX=0"}</definedName>
    <definedName name="_4453__FDSAUDITLINK__" localSheetId="3" hidden="1">{"fdsup://directions/FAT Viewer?action=UPDATE&amp;creator=factset&amp;DYN_ARGS=TRUE&amp;DOC_NAME=FAT:FQL_AUDITING_CLIENT_TEMPLATE.FAT&amp;display_string=Audit&amp;VAR:KEY=BGDCLKZYZS&amp;VAR:QUERY=RkZfTUlOX0lOVF9BQ0NVTShDQUwsTk9XLE5PVyxELCxVU0Qp&amp;WINDOW=FIRST_POPUP&amp;HEIGHT=450&amp;WIDTH=","450&amp;START_MAXIMIZED=FALSE&amp;VAR:CALENDAR=US&amp;VAR:SYMBOL=288168&amp;VAR:INDEX=0"}</definedName>
    <definedName name="_4453__FDSAUDITLINK__" localSheetId="7" hidden="1">{"fdsup://directions/FAT Viewer?action=UPDATE&amp;creator=factset&amp;DYN_ARGS=TRUE&amp;DOC_NAME=FAT:FQL_AUDITING_CLIENT_TEMPLATE.FAT&amp;display_string=Audit&amp;VAR:KEY=BGDCLKZYZS&amp;VAR:QUERY=RkZfTUlOX0lOVF9BQ0NVTShDQUwsTk9XLE5PVyxELCxVU0Qp&amp;WINDOW=FIRST_POPUP&amp;HEIGHT=450&amp;WIDTH=","450&amp;START_MAXIMIZED=FALSE&amp;VAR:CALENDAR=US&amp;VAR:SYMBOL=288168&amp;VAR:INDEX=0"}</definedName>
    <definedName name="_4453__FDSAUDITLINK__" hidden="1">{"fdsup://directions/FAT Viewer?action=UPDATE&amp;creator=factset&amp;DYN_ARGS=TRUE&amp;DOC_NAME=FAT:FQL_AUDITING_CLIENT_TEMPLATE.FAT&amp;display_string=Audit&amp;VAR:KEY=BGDCLKZYZS&amp;VAR:QUERY=RkZfTUlOX0lOVF9BQ0NVTShDQUwsTk9XLE5PVyxELCxVU0Qp&amp;WINDOW=FIRST_POPUP&amp;HEIGHT=450&amp;WIDTH=","450&amp;START_MAXIMIZED=FALSE&amp;VAR:CALENDAR=US&amp;VAR:SYMBOL=288168&amp;VAR:INDEX=0"}</definedName>
    <definedName name="_4454__FDSAUDITLINK__" localSheetId="3" hidden="1">{"fdsup://directions/FAT Viewer?action=UPDATE&amp;creator=factset&amp;DYN_ARGS=TRUE&amp;DOC_NAME=FAT:FQL_AUDITING_CLIENT_TEMPLATE.FAT&amp;display_string=Audit&amp;VAR:KEY=GNGDUJUVUD&amp;VAR:QUERY=RkZfTUlOX0lOVF9BQ0NVTShDQUwsTk9XLE5PVyxELCxVU0Qp&amp;WINDOW=FIRST_POPUP&amp;HEIGHT=450&amp;WIDTH=","450&amp;START_MAXIMIZED=FALSE&amp;VAR:CALENDAR=US&amp;VAR:SYMBOL=599933&amp;VAR:INDEX=0"}</definedName>
    <definedName name="_4454__FDSAUDITLINK__" localSheetId="7" hidden="1">{"fdsup://directions/FAT Viewer?action=UPDATE&amp;creator=factset&amp;DYN_ARGS=TRUE&amp;DOC_NAME=FAT:FQL_AUDITING_CLIENT_TEMPLATE.FAT&amp;display_string=Audit&amp;VAR:KEY=GNGDUJUVUD&amp;VAR:QUERY=RkZfTUlOX0lOVF9BQ0NVTShDQUwsTk9XLE5PVyxELCxVU0Qp&amp;WINDOW=FIRST_POPUP&amp;HEIGHT=450&amp;WIDTH=","450&amp;START_MAXIMIZED=FALSE&amp;VAR:CALENDAR=US&amp;VAR:SYMBOL=599933&amp;VAR:INDEX=0"}</definedName>
    <definedName name="_4454__FDSAUDITLINK__" hidden="1">{"fdsup://directions/FAT Viewer?action=UPDATE&amp;creator=factset&amp;DYN_ARGS=TRUE&amp;DOC_NAME=FAT:FQL_AUDITING_CLIENT_TEMPLATE.FAT&amp;display_string=Audit&amp;VAR:KEY=GNGDUJUVUD&amp;VAR:QUERY=RkZfTUlOX0lOVF9BQ0NVTShDQUwsTk9XLE5PVyxELCxVU0Qp&amp;WINDOW=FIRST_POPUP&amp;HEIGHT=450&amp;WIDTH=","450&amp;START_MAXIMIZED=FALSE&amp;VAR:CALENDAR=US&amp;VAR:SYMBOL=599933&amp;VAR:INDEX=0"}</definedName>
    <definedName name="_4455__FDSAUDITLINK__" localSheetId="3" hidden="1">{"fdsup://directions/FAT Viewer?action=UPDATE&amp;creator=factset&amp;DYN_ARGS=TRUE&amp;DOC_NAME=FAT:FQL_AUDITING_CLIENT_TEMPLATE.FAT&amp;display_string=Audit&amp;VAR:KEY=CBARUZWFIP&amp;VAR:QUERY=RkZfTUlOX0lOVF9BQ0NVTShDQUwsTk9XLE5PVyxELCxVU0Qp&amp;WINDOW=FIRST_POPUP&amp;HEIGHT=450&amp;WIDTH=","450&amp;START_MAXIMIZED=FALSE&amp;VAR:CALENDAR=US&amp;VAR:SYMBOL=87993910&amp;VAR:INDEX=0"}</definedName>
    <definedName name="_4455__FDSAUDITLINK__" localSheetId="7" hidden="1">{"fdsup://directions/FAT Viewer?action=UPDATE&amp;creator=factset&amp;DYN_ARGS=TRUE&amp;DOC_NAME=FAT:FQL_AUDITING_CLIENT_TEMPLATE.FAT&amp;display_string=Audit&amp;VAR:KEY=CBARUZWFIP&amp;VAR:QUERY=RkZfTUlOX0lOVF9BQ0NVTShDQUwsTk9XLE5PVyxELCxVU0Qp&amp;WINDOW=FIRST_POPUP&amp;HEIGHT=450&amp;WIDTH=","450&amp;START_MAXIMIZED=FALSE&amp;VAR:CALENDAR=US&amp;VAR:SYMBOL=87993910&amp;VAR:INDEX=0"}</definedName>
    <definedName name="_4455__FDSAUDITLINK__" hidden="1">{"fdsup://directions/FAT Viewer?action=UPDATE&amp;creator=factset&amp;DYN_ARGS=TRUE&amp;DOC_NAME=FAT:FQL_AUDITING_CLIENT_TEMPLATE.FAT&amp;display_string=Audit&amp;VAR:KEY=CBARUZWFIP&amp;VAR:QUERY=RkZfTUlOX0lOVF9BQ0NVTShDQUwsTk9XLE5PVyxELCxVU0Qp&amp;WINDOW=FIRST_POPUP&amp;HEIGHT=450&amp;WIDTH=","450&amp;START_MAXIMIZED=FALSE&amp;VAR:CALENDAR=US&amp;VAR:SYMBOL=87993910&amp;VAR:INDEX=0"}</definedName>
    <definedName name="_4456__FDSAUDITLINK__" localSheetId="3" hidden="1">{"fdsup://directions/FAT Viewer?action=UPDATE&amp;creator=factset&amp;DYN_ARGS=TRUE&amp;DOC_NAME=FAT:FQL_AUDITING_CLIENT_TEMPLATE.FAT&amp;display_string=Audit&amp;VAR:KEY=RSXYRIXINC&amp;VAR:QUERY=RkZfTUlOX0lOVF9BQ0NVTShDQUwsTk9XLE5PVyxELCxVU0Qp&amp;WINDOW=FIRST_POPUP&amp;HEIGHT=450&amp;WIDTH=","450&amp;START_MAXIMIZED=FALSE&amp;VAR:CALENDAR=US&amp;VAR:SYMBOL=25470M10&amp;VAR:INDEX=0"}</definedName>
    <definedName name="_4456__FDSAUDITLINK__" localSheetId="7" hidden="1">{"fdsup://directions/FAT Viewer?action=UPDATE&amp;creator=factset&amp;DYN_ARGS=TRUE&amp;DOC_NAME=FAT:FQL_AUDITING_CLIENT_TEMPLATE.FAT&amp;display_string=Audit&amp;VAR:KEY=RSXYRIXINC&amp;VAR:QUERY=RkZfTUlOX0lOVF9BQ0NVTShDQUwsTk9XLE5PVyxELCxVU0Qp&amp;WINDOW=FIRST_POPUP&amp;HEIGHT=450&amp;WIDTH=","450&amp;START_MAXIMIZED=FALSE&amp;VAR:CALENDAR=US&amp;VAR:SYMBOL=25470M10&amp;VAR:INDEX=0"}</definedName>
    <definedName name="_4456__FDSAUDITLINK__" hidden="1">{"fdsup://directions/FAT Viewer?action=UPDATE&amp;creator=factset&amp;DYN_ARGS=TRUE&amp;DOC_NAME=FAT:FQL_AUDITING_CLIENT_TEMPLATE.FAT&amp;display_string=Audit&amp;VAR:KEY=RSXYRIXINC&amp;VAR:QUERY=RkZfTUlOX0lOVF9BQ0NVTShDQUwsTk9XLE5PVyxELCxVU0Qp&amp;WINDOW=FIRST_POPUP&amp;HEIGHT=450&amp;WIDTH=","450&amp;START_MAXIMIZED=FALSE&amp;VAR:CALENDAR=US&amp;VAR:SYMBOL=25470M10&amp;VAR:INDEX=0"}</definedName>
    <definedName name="_4457__FDSAUDITLINK__" localSheetId="3" hidden="1">{"fdsup://directions/FAT Viewer?action=UPDATE&amp;creator=factset&amp;DYN_ARGS=TRUE&amp;DOC_NAME=FAT:FQL_AUDITING_CLIENT_TEMPLATE.FAT&amp;display_string=Audit&amp;VAR:KEY=QVWDGDEFIH&amp;VAR:QUERY=RkZfTUlOX0lOVF9BQ0NVTShDQUwsTk9XLE5PVyxELCxVU0Qp&amp;WINDOW=FIRST_POPUP&amp;HEIGHT=450&amp;WIDTH=","450&amp;START_MAXIMIZED=FALSE&amp;VAR:CALENDAR=US&amp;VAR:SYMBOL=25490A10&amp;VAR:INDEX=0"}</definedName>
    <definedName name="_4457__FDSAUDITLINK__" localSheetId="7" hidden="1">{"fdsup://directions/FAT Viewer?action=UPDATE&amp;creator=factset&amp;DYN_ARGS=TRUE&amp;DOC_NAME=FAT:FQL_AUDITING_CLIENT_TEMPLATE.FAT&amp;display_string=Audit&amp;VAR:KEY=QVWDGDEFIH&amp;VAR:QUERY=RkZfTUlOX0lOVF9BQ0NVTShDQUwsTk9XLE5PVyxELCxVU0Qp&amp;WINDOW=FIRST_POPUP&amp;HEIGHT=450&amp;WIDTH=","450&amp;START_MAXIMIZED=FALSE&amp;VAR:CALENDAR=US&amp;VAR:SYMBOL=25490A10&amp;VAR:INDEX=0"}</definedName>
    <definedName name="_4457__FDSAUDITLINK__" hidden="1">{"fdsup://directions/FAT Viewer?action=UPDATE&amp;creator=factset&amp;DYN_ARGS=TRUE&amp;DOC_NAME=FAT:FQL_AUDITING_CLIENT_TEMPLATE.FAT&amp;display_string=Audit&amp;VAR:KEY=QVWDGDEFIH&amp;VAR:QUERY=RkZfTUlOX0lOVF9BQ0NVTShDQUwsTk9XLE5PVyxELCxVU0Qp&amp;WINDOW=FIRST_POPUP&amp;HEIGHT=450&amp;WIDTH=","450&amp;START_MAXIMIZED=FALSE&amp;VAR:CALENDAR=US&amp;VAR:SYMBOL=25490A10&amp;VAR:INDEX=0"}</definedName>
    <definedName name="_4458__FDSAUDITLINK__" localSheetId="3" hidden="1">{"fdsup://directions/FAT Viewer?action=UPDATE&amp;creator=factset&amp;DYN_ARGS=TRUE&amp;DOC_NAME=FAT:FQL_AUDITING_CLIENT_TEMPLATE.FAT&amp;display_string=Audit&amp;VAR:KEY=NCNEJMPGFG&amp;VAR:QUERY=RkZfTUlOX0lOVF9BQ0NVTShDQUwsTk9XLE5PVyxELCxVU0Qp&amp;WINDOW=FIRST_POPUP&amp;HEIGHT=450&amp;WIDTH=","450&amp;START_MAXIMIZED=FALSE&amp;VAR:CALENDAR=US&amp;VAR:SYMBOL=88731730&amp;VAR:INDEX=0"}</definedName>
    <definedName name="_4458__FDSAUDITLINK__" localSheetId="7" hidden="1">{"fdsup://directions/FAT Viewer?action=UPDATE&amp;creator=factset&amp;DYN_ARGS=TRUE&amp;DOC_NAME=FAT:FQL_AUDITING_CLIENT_TEMPLATE.FAT&amp;display_string=Audit&amp;VAR:KEY=NCNEJMPGFG&amp;VAR:QUERY=RkZfTUlOX0lOVF9BQ0NVTShDQUwsTk9XLE5PVyxELCxVU0Qp&amp;WINDOW=FIRST_POPUP&amp;HEIGHT=450&amp;WIDTH=","450&amp;START_MAXIMIZED=FALSE&amp;VAR:CALENDAR=US&amp;VAR:SYMBOL=88731730&amp;VAR:INDEX=0"}</definedName>
    <definedName name="_4458__FDSAUDITLINK__" hidden="1">{"fdsup://directions/FAT Viewer?action=UPDATE&amp;creator=factset&amp;DYN_ARGS=TRUE&amp;DOC_NAME=FAT:FQL_AUDITING_CLIENT_TEMPLATE.FAT&amp;display_string=Audit&amp;VAR:KEY=NCNEJMPGFG&amp;VAR:QUERY=RkZfTUlOX0lOVF9BQ0NVTShDQUwsTk9XLE5PVyxELCxVU0Qp&amp;WINDOW=FIRST_POPUP&amp;HEIGHT=450&amp;WIDTH=","450&amp;START_MAXIMIZED=FALSE&amp;VAR:CALENDAR=US&amp;VAR:SYMBOL=88731730&amp;VAR:INDEX=0"}</definedName>
    <definedName name="_4459__FDSAUDITLINK__" localSheetId="3" hidden="1">{"fdsup://directions/FAT Viewer?action=UPDATE&amp;creator=factset&amp;DYN_ARGS=TRUE&amp;DOC_NAME=FAT:FQL_AUDITING_CLIENT_TEMPLATE.FAT&amp;display_string=Audit&amp;VAR:KEY=LYBCDOFWDM&amp;VAR:QUERY=RkZfTUlOX0lOVF9BQ0NVTShDQUwsTk9XLE5PVyxELCxVU0Qp&amp;WINDOW=FIRST_POPUP&amp;HEIGHT=450&amp;WIDTH=","450&amp;START_MAXIMIZED=FALSE&amp;VAR:CALENDAR=US&amp;VAR:SYMBOL=12686C10&amp;VAR:INDEX=0"}</definedName>
    <definedName name="_4459__FDSAUDITLINK__" localSheetId="7" hidden="1">{"fdsup://directions/FAT Viewer?action=UPDATE&amp;creator=factset&amp;DYN_ARGS=TRUE&amp;DOC_NAME=FAT:FQL_AUDITING_CLIENT_TEMPLATE.FAT&amp;display_string=Audit&amp;VAR:KEY=LYBCDOFWDM&amp;VAR:QUERY=RkZfTUlOX0lOVF9BQ0NVTShDQUwsTk9XLE5PVyxELCxVU0Qp&amp;WINDOW=FIRST_POPUP&amp;HEIGHT=450&amp;WIDTH=","450&amp;START_MAXIMIZED=FALSE&amp;VAR:CALENDAR=US&amp;VAR:SYMBOL=12686C10&amp;VAR:INDEX=0"}</definedName>
    <definedName name="_4459__FDSAUDITLINK__" hidden="1">{"fdsup://directions/FAT Viewer?action=UPDATE&amp;creator=factset&amp;DYN_ARGS=TRUE&amp;DOC_NAME=FAT:FQL_AUDITING_CLIENT_TEMPLATE.FAT&amp;display_string=Audit&amp;VAR:KEY=LYBCDOFWDM&amp;VAR:QUERY=RkZfTUlOX0lOVF9BQ0NVTShDQUwsTk9XLE5PVyxELCxVU0Qp&amp;WINDOW=FIRST_POPUP&amp;HEIGHT=450&amp;WIDTH=","450&amp;START_MAXIMIZED=FALSE&amp;VAR:CALENDAR=US&amp;VAR:SYMBOL=12686C10&amp;VAR:INDEX=0"}</definedName>
    <definedName name="_446__FDSAUDITLINK__" localSheetId="3" hidden="1">{"fdsup://directions/FAT Viewer?action=UPDATE&amp;creator=factset&amp;DYN_ARGS=TRUE&amp;DOC_NAME=FAT:FQL_AUDITING_CLIENT_TEMPLATE.FAT&amp;display_string=Audit&amp;VAR:KEY=MXKNSVUJEZ&amp;VAR:QUERY=UENUQ0hHKEZGX0VCSVREQV9PUEVSKEFOTiwwLC05LFksUlAsTE9DQUwsTSksRkZfRUJJVERBX09QRVIoQU5OL","C0xLC05IC0gMSxZLFJQLExPQ0FMLE0pKQ==&amp;WINDOW=FIRST_POPUP&amp;HEIGHT=450&amp;WIDTH=450&amp;START_MAXIMIZED=FALSE&amp;VAR:CALENDAR=US&amp;VAR:SYMBOL=B10LQP&amp;VAR:INDEX=5"}</definedName>
    <definedName name="_446__FDSAUDITLINK__" localSheetId="7" hidden="1">{"fdsup://directions/FAT Viewer?action=UPDATE&amp;creator=factset&amp;DYN_ARGS=TRUE&amp;DOC_NAME=FAT:FQL_AUDITING_CLIENT_TEMPLATE.FAT&amp;display_string=Audit&amp;VAR:KEY=MXKNSVUJEZ&amp;VAR:QUERY=UENUQ0hHKEZGX0VCSVREQV9PUEVSKEFOTiwwLC05LFksUlAsTE9DQUwsTSksRkZfRUJJVERBX09QRVIoQU5OL","C0xLC05IC0gMSxZLFJQLExPQ0FMLE0pKQ==&amp;WINDOW=FIRST_POPUP&amp;HEIGHT=450&amp;WIDTH=450&amp;START_MAXIMIZED=FALSE&amp;VAR:CALENDAR=US&amp;VAR:SYMBOL=B10LQP&amp;VAR:INDEX=5"}</definedName>
    <definedName name="_446__FDSAUDITLINK__" hidden="1">{"fdsup://directions/FAT Viewer?action=UPDATE&amp;creator=factset&amp;DYN_ARGS=TRUE&amp;DOC_NAME=FAT:FQL_AUDITING_CLIENT_TEMPLATE.FAT&amp;display_string=Audit&amp;VAR:KEY=MXKNSVUJEZ&amp;VAR:QUERY=UENUQ0hHKEZGX0VCSVREQV9PUEVSKEFOTiwwLC05LFksUlAsTE9DQUwsTSksRkZfRUJJVERBX09QRVIoQU5OL","C0xLC05IC0gMSxZLFJQLExPQ0FMLE0pKQ==&amp;WINDOW=FIRST_POPUP&amp;HEIGHT=450&amp;WIDTH=450&amp;START_MAXIMIZED=FALSE&amp;VAR:CALENDAR=US&amp;VAR:SYMBOL=B10LQP&amp;VAR:INDEX=5"}</definedName>
    <definedName name="_4460__FDSAUDITLINK__" localSheetId="3" hidden="1">{"fdsup://directions/FAT Viewer?action=UPDATE&amp;creator=factset&amp;DYN_ARGS=TRUE&amp;DOC_NAME=FAT:FQL_AUDITING_CLIENT_TEMPLATE.FAT&amp;display_string=Audit&amp;VAR:KEY=SLQNEJIRSD&amp;VAR:QUERY=RkZfTUlOX0lOVF9BQ0NVTShDQUwsTk9XLE5PVyxELCxVU0Qp&amp;WINDOW=FIRST_POPUP&amp;HEIGHT=450&amp;WIDTH=","450&amp;START_MAXIMIZED=FALSE&amp;VAR:CALENDAR=US&amp;VAR:SYMBOL=20030N10&amp;VAR:INDEX=0"}</definedName>
    <definedName name="_4460__FDSAUDITLINK__" localSheetId="7" hidden="1">{"fdsup://directions/FAT Viewer?action=UPDATE&amp;creator=factset&amp;DYN_ARGS=TRUE&amp;DOC_NAME=FAT:FQL_AUDITING_CLIENT_TEMPLATE.FAT&amp;display_string=Audit&amp;VAR:KEY=SLQNEJIRSD&amp;VAR:QUERY=RkZfTUlOX0lOVF9BQ0NVTShDQUwsTk9XLE5PVyxELCxVU0Qp&amp;WINDOW=FIRST_POPUP&amp;HEIGHT=450&amp;WIDTH=","450&amp;START_MAXIMIZED=FALSE&amp;VAR:CALENDAR=US&amp;VAR:SYMBOL=20030N10&amp;VAR:INDEX=0"}</definedName>
    <definedName name="_4460__FDSAUDITLINK__" hidden="1">{"fdsup://directions/FAT Viewer?action=UPDATE&amp;creator=factset&amp;DYN_ARGS=TRUE&amp;DOC_NAME=FAT:FQL_AUDITING_CLIENT_TEMPLATE.FAT&amp;display_string=Audit&amp;VAR:KEY=SLQNEJIRSD&amp;VAR:QUERY=RkZfTUlOX0lOVF9BQ0NVTShDQUwsTk9XLE5PVyxELCxVU0Qp&amp;WINDOW=FIRST_POPUP&amp;HEIGHT=450&amp;WIDTH=","450&amp;START_MAXIMIZED=FALSE&amp;VAR:CALENDAR=US&amp;VAR:SYMBOL=20030N10&amp;VAR:INDEX=0"}</definedName>
    <definedName name="_4461__FDSAUDITLINK__" localSheetId="3" hidden="1">{"fdsup://directions/FAT Viewer?action=UPDATE&amp;creator=factset&amp;DYN_ARGS=TRUE&amp;DOC_NAME=FAT:FQL_AUDITING_CLIENT_TEMPLATE.FAT&amp;display_string=Audit&amp;VAR:KEY=YPCHCXITQT&amp;VAR:QUERY=RkZfTUlOX0lOVF9BQ0NVTShDQUwsTk9XLE5PVyxELCxVU0Qp&amp;WINDOW=FIRST_POPUP&amp;HEIGHT=450&amp;WIDTH=","450&amp;START_MAXIMIZED=FALSE&amp;VAR:CALENDAR=US&amp;VAR:SYMBOL=46120210&amp;VAR:INDEX=0"}</definedName>
    <definedName name="_4461__FDSAUDITLINK__" localSheetId="7" hidden="1">{"fdsup://directions/FAT Viewer?action=UPDATE&amp;creator=factset&amp;DYN_ARGS=TRUE&amp;DOC_NAME=FAT:FQL_AUDITING_CLIENT_TEMPLATE.FAT&amp;display_string=Audit&amp;VAR:KEY=YPCHCXITQT&amp;VAR:QUERY=RkZfTUlOX0lOVF9BQ0NVTShDQUwsTk9XLE5PVyxELCxVU0Qp&amp;WINDOW=FIRST_POPUP&amp;HEIGHT=450&amp;WIDTH=","450&amp;START_MAXIMIZED=FALSE&amp;VAR:CALENDAR=US&amp;VAR:SYMBOL=46120210&amp;VAR:INDEX=0"}</definedName>
    <definedName name="_4461__FDSAUDITLINK__" hidden="1">{"fdsup://directions/FAT Viewer?action=UPDATE&amp;creator=factset&amp;DYN_ARGS=TRUE&amp;DOC_NAME=FAT:FQL_AUDITING_CLIENT_TEMPLATE.FAT&amp;display_string=Audit&amp;VAR:KEY=YPCHCXITQT&amp;VAR:QUERY=RkZfTUlOX0lOVF9BQ0NVTShDQUwsTk9XLE5PVyxELCxVU0Qp&amp;WINDOW=FIRST_POPUP&amp;HEIGHT=450&amp;WIDTH=","450&amp;START_MAXIMIZED=FALSE&amp;VAR:CALENDAR=US&amp;VAR:SYMBOL=46120210&amp;VAR:INDEX=0"}</definedName>
    <definedName name="_4462__FDSAUDITLINK__" localSheetId="3" hidden="1">{"fdsup://directions/FAT Viewer?action=UPDATE&amp;creator=factset&amp;DYN_ARGS=TRUE&amp;DOC_NAME=FAT:FQL_AUDITING_CLIENT_TEMPLATE.FAT&amp;display_string=Audit&amp;VAR:KEY=INKTOFCXGH&amp;VAR:QUERY=RkZfTUlOX0lOVF9BQ0NVTShDQUwsTk9XLE5PVyxELCxVU0Qp&amp;WINDOW=FIRST_POPUP&amp;HEIGHT=450&amp;WIDTH=","450&amp;START_MAXIMIZED=FALSE&amp;VAR:CALENDAR=US&amp;VAR:SYMBOL=79466L30&amp;VAR:INDEX=0"}</definedName>
    <definedName name="_4462__FDSAUDITLINK__" localSheetId="7" hidden="1">{"fdsup://directions/FAT Viewer?action=UPDATE&amp;creator=factset&amp;DYN_ARGS=TRUE&amp;DOC_NAME=FAT:FQL_AUDITING_CLIENT_TEMPLATE.FAT&amp;display_string=Audit&amp;VAR:KEY=INKTOFCXGH&amp;VAR:QUERY=RkZfTUlOX0lOVF9BQ0NVTShDQUwsTk9XLE5PVyxELCxVU0Qp&amp;WINDOW=FIRST_POPUP&amp;HEIGHT=450&amp;WIDTH=","450&amp;START_MAXIMIZED=FALSE&amp;VAR:CALENDAR=US&amp;VAR:SYMBOL=79466L30&amp;VAR:INDEX=0"}</definedName>
    <definedName name="_4462__FDSAUDITLINK__" hidden="1">{"fdsup://directions/FAT Viewer?action=UPDATE&amp;creator=factset&amp;DYN_ARGS=TRUE&amp;DOC_NAME=FAT:FQL_AUDITING_CLIENT_TEMPLATE.FAT&amp;display_string=Audit&amp;VAR:KEY=INKTOFCXGH&amp;VAR:QUERY=RkZfTUlOX0lOVF9BQ0NVTShDQUwsTk9XLE5PVyxELCxVU0Qp&amp;WINDOW=FIRST_POPUP&amp;HEIGHT=450&amp;WIDTH=","450&amp;START_MAXIMIZED=FALSE&amp;VAR:CALENDAR=US&amp;VAR:SYMBOL=79466L30&amp;VAR:INDEX=0"}</definedName>
    <definedName name="_4463__FDSAUDITLINK__" localSheetId="3" hidden="1">{"fdsup://directions/FAT Viewer?action=UPDATE&amp;creator=factset&amp;DYN_ARGS=TRUE&amp;DOC_NAME=FAT:FQL_AUDITING_CLIENT_TEMPLATE.FAT&amp;display_string=Audit&amp;VAR:KEY=ZQVITCPYPM&amp;VAR:QUERY=RkZfTUlOX0lOVF9BQ0NVTShDQUwsTk9XLE5PVyxELCxVU0Qp&amp;WINDOW=FIRST_POPUP&amp;HEIGHT=450&amp;WIDTH=","450&amp;START_MAXIMIZED=FALSE&amp;VAR:CALENDAR=US&amp;VAR:SYMBOL=68389X10&amp;VAR:INDEX=0"}</definedName>
    <definedName name="_4463__FDSAUDITLINK__" localSheetId="7" hidden="1">{"fdsup://directions/FAT Viewer?action=UPDATE&amp;creator=factset&amp;DYN_ARGS=TRUE&amp;DOC_NAME=FAT:FQL_AUDITING_CLIENT_TEMPLATE.FAT&amp;display_string=Audit&amp;VAR:KEY=ZQVITCPYPM&amp;VAR:QUERY=RkZfTUlOX0lOVF9BQ0NVTShDQUwsTk9XLE5PVyxELCxVU0Qp&amp;WINDOW=FIRST_POPUP&amp;HEIGHT=450&amp;WIDTH=","450&amp;START_MAXIMIZED=FALSE&amp;VAR:CALENDAR=US&amp;VAR:SYMBOL=68389X10&amp;VAR:INDEX=0"}</definedName>
    <definedName name="_4463__FDSAUDITLINK__" hidden="1">{"fdsup://directions/FAT Viewer?action=UPDATE&amp;creator=factset&amp;DYN_ARGS=TRUE&amp;DOC_NAME=FAT:FQL_AUDITING_CLIENT_TEMPLATE.FAT&amp;display_string=Audit&amp;VAR:KEY=ZQVITCPYPM&amp;VAR:QUERY=RkZfTUlOX0lOVF9BQ0NVTShDQUwsTk9XLE5PVyxELCxVU0Qp&amp;WINDOW=FIRST_POPUP&amp;HEIGHT=450&amp;WIDTH=","450&amp;START_MAXIMIZED=FALSE&amp;VAR:CALENDAR=US&amp;VAR:SYMBOL=68389X10&amp;VAR:INDEX=0"}</definedName>
    <definedName name="_4464__FDSAUDITLINK__" localSheetId="3" hidden="1">{"fdsup://directions/FAT Viewer?action=UPDATE&amp;creator=factset&amp;DYN_ARGS=TRUE&amp;DOC_NAME=FAT:FQL_AUDITING_CLIENT_TEMPLATE.FAT&amp;display_string=Audit&amp;VAR:KEY=ITERAPQVUB&amp;VAR:QUERY=RkZfTUlOX0lOVF9BQ0NVTShDQUwsTk9XLE5PVyxELCxVU0Qp&amp;WINDOW=FIRST_POPUP&amp;HEIGHT=450&amp;WIDTH=","450&amp;START_MAXIMIZED=FALSE&amp;VAR:CALENDAR=US&amp;VAR:SYMBOL=59491810&amp;VAR:INDEX=0"}</definedName>
    <definedName name="_4464__FDSAUDITLINK__" localSheetId="7" hidden="1">{"fdsup://directions/FAT Viewer?action=UPDATE&amp;creator=factset&amp;DYN_ARGS=TRUE&amp;DOC_NAME=FAT:FQL_AUDITING_CLIENT_TEMPLATE.FAT&amp;display_string=Audit&amp;VAR:KEY=ITERAPQVUB&amp;VAR:QUERY=RkZfTUlOX0lOVF9BQ0NVTShDQUwsTk9XLE5PVyxELCxVU0Qp&amp;WINDOW=FIRST_POPUP&amp;HEIGHT=450&amp;WIDTH=","450&amp;START_MAXIMIZED=FALSE&amp;VAR:CALENDAR=US&amp;VAR:SYMBOL=59491810&amp;VAR:INDEX=0"}</definedName>
    <definedName name="_4464__FDSAUDITLINK__" hidden="1">{"fdsup://directions/FAT Viewer?action=UPDATE&amp;creator=factset&amp;DYN_ARGS=TRUE&amp;DOC_NAME=FAT:FQL_AUDITING_CLIENT_TEMPLATE.FAT&amp;display_string=Audit&amp;VAR:KEY=ITERAPQVUB&amp;VAR:QUERY=RkZfTUlOX0lOVF9BQ0NVTShDQUwsTk9XLE5PVyxELCxVU0Qp&amp;WINDOW=FIRST_POPUP&amp;HEIGHT=450&amp;WIDTH=","450&amp;START_MAXIMIZED=FALSE&amp;VAR:CALENDAR=US&amp;VAR:SYMBOL=59491810&amp;VAR:INDEX=0"}</definedName>
    <definedName name="_4465__FDSAUDITLINK__" localSheetId="3" hidden="1">{"fdsup://directions/FAT Viewer?action=UPDATE&amp;creator=factset&amp;DYN_ARGS=TRUE&amp;DOC_NAME=FAT:FQL_AUDITING_CLIENT_TEMPLATE.FAT&amp;display_string=Audit&amp;VAR:KEY=FINYBIBINU&amp;VAR:QUERY=RkZfTUlOX0lOVF9BQ0NVTShDQUwsTk9XLE5PVyxELCxVU0Qp&amp;WINDOW=FIRST_POPUP&amp;HEIGHT=450&amp;WIDTH=","450&amp;START_MAXIMIZED=FALSE&amp;VAR:CALENDAR=US&amp;VAR:SYMBOL=484628&amp;VAR:INDEX=0"}</definedName>
    <definedName name="_4465__FDSAUDITLINK__" localSheetId="7" hidden="1">{"fdsup://directions/FAT Viewer?action=UPDATE&amp;creator=factset&amp;DYN_ARGS=TRUE&amp;DOC_NAME=FAT:FQL_AUDITING_CLIENT_TEMPLATE.FAT&amp;display_string=Audit&amp;VAR:KEY=FINYBIBINU&amp;VAR:QUERY=RkZfTUlOX0lOVF9BQ0NVTShDQUwsTk9XLE5PVyxELCxVU0Qp&amp;WINDOW=FIRST_POPUP&amp;HEIGHT=450&amp;WIDTH=","450&amp;START_MAXIMIZED=FALSE&amp;VAR:CALENDAR=US&amp;VAR:SYMBOL=484628&amp;VAR:INDEX=0"}</definedName>
    <definedName name="_4465__FDSAUDITLINK__" hidden="1">{"fdsup://directions/FAT Viewer?action=UPDATE&amp;creator=factset&amp;DYN_ARGS=TRUE&amp;DOC_NAME=FAT:FQL_AUDITING_CLIENT_TEMPLATE.FAT&amp;display_string=Audit&amp;VAR:KEY=FINYBIBINU&amp;VAR:QUERY=RkZfTUlOX0lOVF9BQ0NVTShDQUwsTk9XLE5PVyxELCxVU0Qp&amp;WINDOW=FIRST_POPUP&amp;HEIGHT=450&amp;WIDTH=","450&amp;START_MAXIMIZED=FALSE&amp;VAR:CALENDAR=US&amp;VAR:SYMBOL=484628&amp;VAR:INDEX=0"}</definedName>
    <definedName name="_4466__FDSAUDITLINK__" localSheetId="3" hidden="1">{"fdsup://directions/FAT Viewer?action=UPDATE&amp;creator=factset&amp;DYN_ARGS=TRUE&amp;DOC_NAME=FAT:FQL_AUDITING_CLIENT_TEMPLATE.FAT&amp;display_string=Audit&amp;VAR:KEY=MTQPGDWXWD&amp;VAR:QUERY=RkZfTUlOX0lOVF9BQ0NVTShDQUwsTk9XLE5PVyxELCxVU0Qp&amp;WINDOW=FIRST_POPUP&amp;HEIGHT=450&amp;WIDTH=","450&amp;START_MAXIMIZED=FALSE&amp;VAR:CALENDAR=US&amp;VAR:SYMBOL=42823610&amp;VAR:INDEX=0"}</definedName>
    <definedName name="_4466__FDSAUDITLINK__" localSheetId="7" hidden="1">{"fdsup://directions/FAT Viewer?action=UPDATE&amp;creator=factset&amp;DYN_ARGS=TRUE&amp;DOC_NAME=FAT:FQL_AUDITING_CLIENT_TEMPLATE.FAT&amp;display_string=Audit&amp;VAR:KEY=MTQPGDWXWD&amp;VAR:QUERY=RkZfTUlOX0lOVF9BQ0NVTShDQUwsTk9XLE5PVyxELCxVU0Qp&amp;WINDOW=FIRST_POPUP&amp;HEIGHT=450&amp;WIDTH=","450&amp;START_MAXIMIZED=FALSE&amp;VAR:CALENDAR=US&amp;VAR:SYMBOL=42823610&amp;VAR:INDEX=0"}</definedName>
    <definedName name="_4466__FDSAUDITLINK__" hidden="1">{"fdsup://directions/FAT Viewer?action=UPDATE&amp;creator=factset&amp;DYN_ARGS=TRUE&amp;DOC_NAME=FAT:FQL_AUDITING_CLIENT_TEMPLATE.FAT&amp;display_string=Audit&amp;VAR:KEY=MTQPGDWXWD&amp;VAR:QUERY=RkZfTUlOX0lOVF9BQ0NVTShDQUwsTk9XLE5PVyxELCxVU0Qp&amp;WINDOW=FIRST_POPUP&amp;HEIGHT=450&amp;WIDTH=","450&amp;START_MAXIMIZED=FALSE&amp;VAR:CALENDAR=US&amp;VAR:SYMBOL=42823610&amp;VAR:INDEX=0"}</definedName>
    <definedName name="_4467__FDSAUDITLINK__" localSheetId="3" hidden="1">{"fdsup://directions/FAT Viewer?action=UPDATE&amp;creator=factset&amp;DYN_ARGS=TRUE&amp;DOC_NAME=FAT:FQL_AUDITING_CLIENT_TEMPLATE.FAT&amp;display_string=Audit&amp;VAR:KEY=NADAROZSVK&amp;VAR:QUERY=RkZfTUlOX0lOVF9BQ0NVTShDQUwsTk9XLE5PVyxELCxVU0Qp&amp;WINDOW=FIRST_POPUP&amp;HEIGHT=450&amp;WIDTH=","450&amp;START_MAXIMIZED=FALSE&amp;VAR:CALENDAR=US&amp;VAR:SYMBOL=24702R10&amp;VAR:INDEX=0"}</definedName>
    <definedName name="_4467__FDSAUDITLINK__" localSheetId="7" hidden="1">{"fdsup://directions/FAT Viewer?action=UPDATE&amp;creator=factset&amp;DYN_ARGS=TRUE&amp;DOC_NAME=FAT:FQL_AUDITING_CLIENT_TEMPLATE.FAT&amp;display_string=Audit&amp;VAR:KEY=NADAROZSVK&amp;VAR:QUERY=RkZfTUlOX0lOVF9BQ0NVTShDQUwsTk9XLE5PVyxELCxVU0Qp&amp;WINDOW=FIRST_POPUP&amp;HEIGHT=450&amp;WIDTH=","450&amp;START_MAXIMIZED=FALSE&amp;VAR:CALENDAR=US&amp;VAR:SYMBOL=24702R10&amp;VAR:INDEX=0"}</definedName>
    <definedName name="_4467__FDSAUDITLINK__" hidden="1">{"fdsup://directions/FAT Viewer?action=UPDATE&amp;creator=factset&amp;DYN_ARGS=TRUE&amp;DOC_NAME=FAT:FQL_AUDITING_CLIENT_TEMPLATE.FAT&amp;display_string=Audit&amp;VAR:KEY=NADAROZSVK&amp;VAR:QUERY=RkZfTUlOX0lOVF9BQ0NVTShDQUwsTk9XLE5PVyxELCxVU0Qp&amp;WINDOW=FIRST_POPUP&amp;HEIGHT=450&amp;WIDTH=","450&amp;START_MAXIMIZED=FALSE&amp;VAR:CALENDAR=US&amp;VAR:SYMBOL=24702R10&amp;VAR:INDEX=0"}</definedName>
    <definedName name="_4468__FDSAUDITLINK__" localSheetId="3" hidden="1">{"fdsup://directions/FAT Viewer?action=UPDATE&amp;creator=factset&amp;DYN_ARGS=TRUE&amp;DOC_NAME=FAT:FQL_AUDITING_CLIENT_TEMPLATE.FAT&amp;display_string=Audit&amp;VAR:KEY=PYHGJSVQHC&amp;VAR:QUERY=RkZfTUlOX0lOVF9BQ0NVTShDQUwsTk9XLE5PVyxELCxVU0Qp&amp;WINDOW=FIRST_POPUP&amp;HEIGHT=450&amp;WIDTH=","450&amp;START_MAXIMIZED=FALSE&amp;VAR:CALENDAR=US&amp;VAR:SYMBOL=621808&amp;VAR:INDEX=0"}</definedName>
    <definedName name="_4468__FDSAUDITLINK__" localSheetId="7" hidden="1">{"fdsup://directions/FAT Viewer?action=UPDATE&amp;creator=factset&amp;DYN_ARGS=TRUE&amp;DOC_NAME=FAT:FQL_AUDITING_CLIENT_TEMPLATE.FAT&amp;display_string=Audit&amp;VAR:KEY=PYHGJSVQHC&amp;VAR:QUERY=RkZfTUlOX0lOVF9BQ0NVTShDQUwsTk9XLE5PVyxELCxVU0Qp&amp;WINDOW=FIRST_POPUP&amp;HEIGHT=450&amp;WIDTH=","450&amp;START_MAXIMIZED=FALSE&amp;VAR:CALENDAR=US&amp;VAR:SYMBOL=621808&amp;VAR:INDEX=0"}</definedName>
    <definedName name="_4468__FDSAUDITLINK__" hidden="1">{"fdsup://directions/FAT Viewer?action=UPDATE&amp;creator=factset&amp;DYN_ARGS=TRUE&amp;DOC_NAME=FAT:FQL_AUDITING_CLIENT_TEMPLATE.FAT&amp;display_string=Audit&amp;VAR:KEY=PYHGJSVQHC&amp;VAR:QUERY=RkZfTUlOX0lOVF9BQ0NVTShDQUwsTk9XLE5PVyxELCxVU0Qp&amp;WINDOW=FIRST_POPUP&amp;HEIGHT=450&amp;WIDTH=","450&amp;START_MAXIMIZED=FALSE&amp;VAR:CALENDAR=US&amp;VAR:SYMBOL=621808&amp;VAR:INDEX=0"}</definedName>
    <definedName name="_4469__FDSAUDITLINK__" localSheetId="3" hidden="1">{"fdsup://directions/FAT Viewer?action=UPDATE&amp;creator=factset&amp;DYN_ARGS=TRUE&amp;DOC_NAME=FAT:FQL_AUDITING_CLIENT_TEMPLATE.FAT&amp;display_string=Audit&amp;VAR:KEY=CHQPYBOFYD&amp;VAR:QUERY=RkZfTUlOX0lOVF9BQ0NVTShDQUwsTk9XLE5PVyxELCxVU0Qp&amp;WINDOW=FIRST_POPUP&amp;HEIGHT=450&amp;WIDTH=","450&amp;START_MAXIMIZED=FALSE&amp;VAR:CALENDAR=US&amp;VAR:SYMBOL=L6388F11&amp;VAR:INDEX=0"}</definedName>
    <definedName name="_4469__FDSAUDITLINK__" localSheetId="7" hidden="1">{"fdsup://directions/FAT Viewer?action=UPDATE&amp;creator=factset&amp;DYN_ARGS=TRUE&amp;DOC_NAME=FAT:FQL_AUDITING_CLIENT_TEMPLATE.FAT&amp;display_string=Audit&amp;VAR:KEY=CHQPYBOFYD&amp;VAR:QUERY=RkZfTUlOX0lOVF9BQ0NVTShDQUwsTk9XLE5PVyxELCxVU0Qp&amp;WINDOW=FIRST_POPUP&amp;HEIGHT=450&amp;WIDTH=","450&amp;START_MAXIMIZED=FALSE&amp;VAR:CALENDAR=US&amp;VAR:SYMBOL=L6388F11&amp;VAR:INDEX=0"}</definedName>
    <definedName name="_4469__FDSAUDITLINK__" hidden="1">{"fdsup://directions/FAT Viewer?action=UPDATE&amp;creator=factset&amp;DYN_ARGS=TRUE&amp;DOC_NAME=FAT:FQL_AUDITING_CLIENT_TEMPLATE.FAT&amp;display_string=Audit&amp;VAR:KEY=CHQPYBOFYD&amp;VAR:QUERY=RkZfTUlOX0lOVF9BQ0NVTShDQUwsTk9XLE5PVyxELCxVU0Qp&amp;WINDOW=FIRST_POPUP&amp;HEIGHT=450&amp;WIDTH=","450&amp;START_MAXIMIZED=FALSE&amp;VAR:CALENDAR=US&amp;VAR:SYMBOL=L6388F11&amp;VAR:INDEX=0"}</definedName>
    <definedName name="_447__FDSAUDITLINK__" localSheetId="3" hidden="1">{"fdsup://directions/FAT Viewer?action=UPDATE&amp;creator=factset&amp;DYN_ARGS=TRUE&amp;DOC_NAME=FAT:FQL_AUDITING_CLIENT_TEMPLATE.FAT&amp;display_string=Audit&amp;VAR:KEY=MXKNSVUJEZ&amp;VAR:QUERY=UENUQ0hHKEZGX0VCSVREQV9PUEVSKEFOTiwwLC05LFksUlAsTE9DQUwsTSksRkZfRUJJVERBX09QRVIoQU5OL","C0xLC05IC0gMSxZLFJQLExPQ0FMLE0pKQ==&amp;WINDOW=FIRST_POPUP&amp;HEIGHT=450&amp;WIDTH=450&amp;START_MAXIMIZED=FALSE&amp;VAR:CALENDAR=US&amp;VAR:SYMBOL=B10LQP&amp;VAR:INDEX=4"}</definedName>
    <definedName name="_447__FDSAUDITLINK__" localSheetId="7" hidden="1">{"fdsup://directions/FAT Viewer?action=UPDATE&amp;creator=factset&amp;DYN_ARGS=TRUE&amp;DOC_NAME=FAT:FQL_AUDITING_CLIENT_TEMPLATE.FAT&amp;display_string=Audit&amp;VAR:KEY=MXKNSVUJEZ&amp;VAR:QUERY=UENUQ0hHKEZGX0VCSVREQV9PUEVSKEFOTiwwLC05LFksUlAsTE9DQUwsTSksRkZfRUJJVERBX09QRVIoQU5OL","C0xLC05IC0gMSxZLFJQLExPQ0FMLE0pKQ==&amp;WINDOW=FIRST_POPUP&amp;HEIGHT=450&amp;WIDTH=450&amp;START_MAXIMIZED=FALSE&amp;VAR:CALENDAR=US&amp;VAR:SYMBOL=B10LQP&amp;VAR:INDEX=4"}</definedName>
    <definedName name="_447__FDSAUDITLINK__" hidden="1">{"fdsup://directions/FAT Viewer?action=UPDATE&amp;creator=factset&amp;DYN_ARGS=TRUE&amp;DOC_NAME=FAT:FQL_AUDITING_CLIENT_TEMPLATE.FAT&amp;display_string=Audit&amp;VAR:KEY=MXKNSVUJEZ&amp;VAR:QUERY=UENUQ0hHKEZGX0VCSVREQV9PUEVSKEFOTiwwLC05LFksUlAsTE9DQUwsTSksRkZfRUJJVERBX09QRVIoQU5OL","C0xLC05IC0gMSxZLFJQLExPQ0FMLE0pKQ==&amp;WINDOW=FIRST_POPUP&amp;HEIGHT=450&amp;WIDTH=450&amp;START_MAXIMIZED=FALSE&amp;VAR:CALENDAR=US&amp;VAR:SYMBOL=B10LQP&amp;VAR:INDEX=4"}</definedName>
    <definedName name="_4470__FDSAUDITLINK__" localSheetId="3" hidden="1">{"fdsup://directions/FAT Viewer?action=UPDATE&amp;creator=factset&amp;DYN_ARGS=TRUE&amp;DOC_NAME=FAT:FQL_AUDITING_CLIENT_TEMPLATE.FAT&amp;display_string=Audit&amp;VAR:KEY=XOXIHCLOFC&amp;VAR:QUERY=RkZfTUlOX0lOVF9BQ0NVTShDQUwsTk9XLE5PVyxELCxVU0Qp&amp;WINDOW=FIRST_POPUP&amp;HEIGHT=450&amp;WIDTH=","450&amp;START_MAXIMIZED=FALSE&amp;VAR:CALENDAR=US&amp;VAR:SYMBOL=612927&amp;VAR:INDEX=0"}</definedName>
    <definedName name="_4470__FDSAUDITLINK__" localSheetId="7" hidden="1">{"fdsup://directions/FAT Viewer?action=UPDATE&amp;creator=factset&amp;DYN_ARGS=TRUE&amp;DOC_NAME=FAT:FQL_AUDITING_CLIENT_TEMPLATE.FAT&amp;display_string=Audit&amp;VAR:KEY=XOXIHCLOFC&amp;VAR:QUERY=RkZfTUlOX0lOVF9BQ0NVTShDQUwsTk9XLE5PVyxELCxVU0Qp&amp;WINDOW=FIRST_POPUP&amp;HEIGHT=450&amp;WIDTH=","450&amp;START_MAXIMIZED=FALSE&amp;VAR:CALENDAR=US&amp;VAR:SYMBOL=612927&amp;VAR:INDEX=0"}</definedName>
    <definedName name="_4470__FDSAUDITLINK__" hidden="1">{"fdsup://directions/FAT Viewer?action=UPDATE&amp;creator=factset&amp;DYN_ARGS=TRUE&amp;DOC_NAME=FAT:FQL_AUDITING_CLIENT_TEMPLATE.FAT&amp;display_string=Audit&amp;VAR:KEY=XOXIHCLOFC&amp;VAR:QUERY=RkZfTUlOX0lOVF9BQ0NVTShDQUwsTk9XLE5PVyxELCxVU0Qp&amp;WINDOW=FIRST_POPUP&amp;HEIGHT=450&amp;WIDTH=","450&amp;START_MAXIMIZED=FALSE&amp;VAR:CALENDAR=US&amp;VAR:SYMBOL=612927&amp;VAR:INDEX=0"}</definedName>
    <definedName name="_4471__FDSAUDITLINK__" localSheetId="3" hidden="1">{"fdsup://directions/FAT Viewer?action=UPDATE&amp;creator=factset&amp;DYN_ARGS=TRUE&amp;DOC_NAME=FAT:FQL_AUDITING_CLIENT_TEMPLATE.FAT&amp;display_string=Audit&amp;VAR:KEY=SHOJMVQNUB&amp;VAR:QUERY=RkZfTUlOX0lOVF9BQ0NVTShDQUwsTk9XLE5PVyxELCxVU0Qp&amp;WINDOW=FIRST_POPUP&amp;HEIGHT=450&amp;WIDTH=","450&amp;START_MAXIMIZED=FALSE&amp;VAR:CALENDAR=US&amp;VAR:SYMBOL=641311&amp;VAR:INDEX=0"}</definedName>
    <definedName name="_4471__FDSAUDITLINK__" localSheetId="7" hidden="1">{"fdsup://directions/FAT Viewer?action=UPDATE&amp;creator=factset&amp;DYN_ARGS=TRUE&amp;DOC_NAME=FAT:FQL_AUDITING_CLIENT_TEMPLATE.FAT&amp;display_string=Audit&amp;VAR:KEY=SHOJMVQNUB&amp;VAR:QUERY=RkZfTUlOX0lOVF9BQ0NVTShDQUwsTk9XLE5PVyxELCxVU0Qp&amp;WINDOW=FIRST_POPUP&amp;HEIGHT=450&amp;WIDTH=","450&amp;START_MAXIMIZED=FALSE&amp;VAR:CALENDAR=US&amp;VAR:SYMBOL=641311&amp;VAR:INDEX=0"}</definedName>
    <definedName name="_4471__FDSAUDITLINK__" hidden="1">{"fdsup://directions/FAT Viewer?action=UPDATE&amp;creator=factset&amp;DYN_ARGS=TRUE&amp;DOC_NAME=FAT:FQL_AUDITING_CLIENT_TEMPLATE.FAT&amp;display_string=Audit&amp;VAR:KEY=SHOJMVQNUB&amp;VAR:QUERY=RkZfTUlOX0lOVF9BQ0NVTShDQUwsTk9XLE5PVyxELCxVU0Qp&amp;WINDOW=FIRST_POPUP&amp;HEIGHT=450&amp;WIDTH=","450&amp;START_MAXIMIZED=FALSE&amp;VAR:CALENDAR=US&amp;VAR:SYMBOL=641311&amp;VAR:INDEX=0"}</definedName>
    <definedName name="_4472__FDSAUDITLINK__" localSheetId="3" hidden="1">{"fdsup://directions/FAT Viewer?action=UPDATE&amp;creator=factset&amp;DYN_ARGS=TRUE&amp;DOC_NAME=FAT:FQL_AUDITING_CLIENT_TEMPLATE.FAT&amp;display_string=Audit&amp;VAR:KEY=RQXCTSLSDY&amp;VAR:QUERY=RkZfTUlOX0lOVF9BQ0NVTShDQUwsTk9XLE5PVyxELCxVU0Qp&amp;WINDOW=FIRST_POPUP&amp;HEIGHT=450&amp;WIDTH=","450&amp;START_MAXIMIZED=FALSE&amp;VAR:CALENDAR=US&amp;VAR:SYMBOL=607355&amp;VAR:INDEX=0"}</definedName>
    <definedName name="_4472__FDSAUDITLINK__" localSheetId="7" hidden="1">{"fdsup://directions/FAT Viewer?action=UPDATE&amp;creator=factset&amp;DYN_ARGS=TRUE&amp;DOC_NAME=FAT:FQL_AUDITING_CLIENT_TEMPLATE.FAT&amp;display_string=Audit&amp;VAR:KEY=RQXCTSLSDY&amp;VAR:QUERY=RkZfTUlOX0lOVF9BQ0NVTShDQUwsTk9XLE5PVyxELCxVU0Qp&amp;WINDOW=FIRST_POPUP&amp;HEIGHT=450&amp;WIDTH=","450&amp;START_MAXIMIZED=FALSE&amp;VAR:CALENDAR=US&amp;VAR:SYMBOL=607355&amp;VAR:INDEX=0"}</definedName>
    <definedName name="_4472__FDSAUDITLINK__" hidden="1">{"fdsup://directions/FAT Viewer?action=UPDATE&amp;creator=factset&amp;DYN_ARGS=TRUE&amp;DOC_NAME=FAT:FQL_AUDITING_CLIENT_TEMPLATE.FAT&amp;display_string=Audit&amp;VAR:KEY=RQXCTSLSDY&amp;VAR:QUERY=RkZfTUlOX0lOVF9BQ0NVTShDQUwsTk9XLE5PVyxELCxVU0Qp&amp;WINDOW=FIRST_POPUP&amp;HEIGHT=450&amp;WIDTH=","450&amp;START_MAXIMIZED=FALSE&amp;VAR:CALENDAR=US&amp;VAR:SYMBOL=607355&amp;VAR:INDEX=0"}</definedName>
    <definedName name="_4473__FDSAUDITLINK__" localSheetId="3" hidden="1">{"fdsup://directions/FAT Viewer?action=UPDATE&amp;creator=factset&amp;DYN_ARGS=TRUE&amp;DOC_NAME=FAT:FQL_AUDITING_CLIENT_TEMPLATE.FAT&amp;display_string=Audit&amp;VAR:KEY=XAFMTMFUVA&amp;VAR:QUERY=RkZfTUlOX0lOVF9BQ0NVTShDQUwsTk9XLE5PVyxELCxVU0Qp&amp;WINDOW=FIRST_POPUP&amp;HEIGHT=450&amp;WIDTH=","450&amp;START_MAXIMIZED=FALSE&amp;VAR:CALENDAR=US&amp;VAR:SYMBOL=B16GWD&amp;VAR:INDEX=0"}</definedName>
    <definedName name="_4473__FDSAUDITLINK__" localSheetId="7" hidden="1">{"fdsup://directions/FAT Viewer?action=UPDATE&amp;creator=factset&amp;DYN_ARGS=TRUE&amp;DOC_NAME=FAT:FQL_AUDITING_CLIENT_TEMPLATE.FAT&amp;display_string=Audit&amp;VAR:KEY=XAFMTMFUVA&amp;VAR:QUERY=RkZfTUlOX0lOVF9BQ0NVTShDQUwsTk9XLE5PVyxELCxVU0Qp&amp;WINDOW=FIRST_POPUP&amp;HEIGHT=450&amp;WIDTH=","450&amp;START_MAXIMIZED=FALSE&amp;VAR:CALENDAR=US&amp;VAR:SYMBOL=B16GWD&amp;VAR:INDEX=0"}</definedName>
    <definedName name="_4473__FDSAUDITLINK__" hidden="1">{"fdsup://directions/FAT Viewer?action=UPDATE&amp;creator=factset&amp;DYN_ARGS=TRUE&amp;DOC_NAME=FAT:FQL_AUDITING_CLIENT_TEMPLATE.FAT&amp;display_string=Audit&amp;VAR:KEY=XAFMTMFUVA&amp;VAR:QUERY=RkZfTUlOX0lOVF9BQ0NVTShDQUwsTk9XLE5PVyxELCxVU0Qp&amp;WINDOW=FIRST_POPUP&amp;HEIGHT=450&amp;WIDTH=","450&amp;START_MAXIMIZED=FALSE&amp;VAR:CALENDAR=US&amp;VAR:SYMBOL=B16GWD&amp;VAR:INDEX=0"}</definedName>
    <definedName name="_4474__FDSAUDITLINK__" localSheetId="3" hidden="1">{"fdsup://directions/FAT Viewer?action=UPDATE&amp;creator=factset&amp;DYN_ARGS=TRUE&amp;DOC_NAME=FAT:FQL_AUDITING_CLIENT_TEMPLATE.FAT&amp;display_string=Audit&amp;VAR:KEY=EJULKHAZSR&amp;VAR:QUERY=RkZfTUlOX0lOVF9BQ0NVTShDQUwsTk9XLE5PVyxELCxVU0Qp&amp;WINDOW=FIRST_POPUP&amp;HEIGHT=450&amp;WIDTH=","450&amp;START_MAXIMIZED=FALSE&amp;VAR:CALENDAR=US&amp;VAR:SYMBOL=664137&amp;VAR:INDEX=0"}</definedName>
    <definedName name="_4474__FDSAUDITLINK__" localSheetId="7" hidden="1">{"fdsup://directions/FAT Viewer?action=UPDATE&amp;creator=factset&amp;DYN_ARGS=TRUE&amp;DOC_NAME=FAT:FQL_AUDITING_CLIENT_TEMPLATE.FAT&amp;display_string=Audit&amp;VAR:KEY=EJULKHAZSR&amp;VAR:QUERY=RkZfTUlOX0lOVF9BQ0NVTShDQUwsTk9XLE5PVyxELCxVU0Qp&amp;WINDOW=FIRST_POPUP&amp;HEIGHT=450&amp;WIDTH=","450&amp;START_MAXIMIZED=FALSE&amp;VAR:CALENDAR=US&amp;VAR:SYMBOL=664137&amp;VAR:INDEX=0"}</definedName>
    <definedName name="_4474__FDSAUDITLINK__" hidden="1">{"fdsup://directions/FAT Viewer?action=UPDATE&amp;creator=factset&amp;DYN_ARGS=TRUE&amp;DOC_NAME=FAT:FQL_AUDITING_CLIENT_TEMPLATE.FAT&amp;display_string=Audit&amp;VAR:KEY=EJULKHAZSR&amp;VAR:QUERY=RkZfTUlOX0lOVF9BQ0NVTShDQUwsTk9XLE5PVyxELCxVU0Qp&amp;WINDOW=FIRST_POPUP&amp;HEIGHT=450&amp;WIDTH=","450&amp;START_MAXIMIZED=FALSE&amp;VAR:CALENDAR=US&amp;VAR:SYMBOL=664137&amp;VAR:INDEX=0"}</definedName>
    <definedName name="_4475__FDSAUDITLINK__" localSheetId="3" hidden="1">{"fdsup://directions/FAT Viewer?action=UPDATE&amp;creator=factset&amp;DYN_ARGS=TRUE&amp;DOC_NAME=FAT:FQL_AUDITING_CLIENT_TEMPLATE.FAT&amp;display_string=Audit&amp;VAR:KEY=TGXOLUVUPO&amp;VAR:QUERY=RkZfTUlOX0lOVF9BQ0NVTShDQUwsTk9XLE5PVyxELCxVU0Qp&amp;WINDOW=FIRST_POPUP&amp;HEIGHT=450&amp;WIDTH=","450&amp;START_MAXIMIZED=FALSE&amp;VAR:CALENDAR=US&amp;VAR:SYMBOL=288004&amp;VAR:INDEX=0"}</definedName>
    <definedName name="_4475__FDSAUDITLINK__" localSheetId="7" hidden="1">{"fdsup://directions/FAT Viewer?action=UPDATE&amp;creator=factset&amp;DYN_ARGS=TRUE&amp;DOC_NAME=FAT:FQL_AUDITING_CLIENT_TEMPLATE.FAT&amp;display_string=Audit&amp;VAR:KEY=TGXOLUVUPO&amp;VAR:QUERY=RkZfTUlOX0lOVF9BQ0NVTShDQUwsTk9XLE5PVyxELCxVU0Qp&amp;WINDOW=FIRST_POPUP&amp;HEIGHT=450&amp;WIDTH=","450&amp;START_MAXIMIZED=FALSE&amp;VAR:CALENDAR=US&amp;VAR:SYMBOL=288004&amp;VAR:INDEX=0"}</definedName>
    <definedName name="_4475__FDSAUDITLINK__" hidden="1">{"fdsup://directions/FAT Viewer?action=UPDATE&amp;creator=factset&amp;DYN_ARGS=TRUE&amp;DOC_NAME=FAT:FQL_AUDITING_CLIENT_TEMPLATE.FAT&amp;display_string=Audit&amp;VAR:KEY=TGXOLUVUPO&amp;VAR:QUERY=RkZfTUlOX0lOVF9BQ0NVTShDQUwsTk9XLE5PVyxELCxVU0Qp&amp;WINDOW=FIRST_POPUP&amp;HEIGHT=450&amp;WIDTH=","450&amp;START_MAXIMIZED=FALSE&amp;VAR:CALENDAR=US&amp;VAR:SYMBOL=288004&amp;VAR:INDEX=0"}</definedName>
    <definedName name="_4476__FDSAUDITLINK__" localSheetId="3" hidden="1">{"fdsup://directions/FAT Viewer?action=UPDATE&amp;creator=factset&amp;DYN_ARGS=TRUE&amp;DOC_NAME=FAT:FQL_AUDITING_CLIENT_TEMPLATE.FAT&amp;display_string=Audit&amp;VAR:KEY=DKXUPMVCLG&amp;VAR:QUERY=RkZfTUlOX0lOVF9BQ0NVTShDQUwsTk9XLE5PVyxELCxVU0Qp&amp;WINDOW=FIRST_POPUP&amp;HEIGHT=450&amp;WIDTH=","450&amp;START_MAXIMIZED=FALSE&amp;VAR:CALENDAR=US&amp;VAR:SYMBOL=266747&amp;VAR:INDEX=0"}</definedName>
    <definedName name="_4476__FDSAUDITLINK__" localSheetId="7" hidden="1">{"fdsup://directions/FAT Viewer?action=UPDATE&amp;creator=factset&amp;DYN_ARGS=TRUE&amp;DOC_NAME=FAT:FQL_AUDITING_CLIENT_TEMPLATE.FAT&amp;display_string=Audit&amp;VAR:KEY=DKXUPMVCLG&amp;VAR:QUERY=RkZfTUlOX0lOVF9BQ0NVTShDQUwsTk9XLE5PVyxELCxVU0Qp&amp;WINDOW=FIRST_POPUP&amp;HEIGHT=450&amp;WIDTH=","450&amp;START_MAXIMIZED=FALSE&amp;VAR:CALENDAR=US&amp;VAR:SYMBOL=266747&amp;VAR:INDEX=0"}</definedName>
    <definedName name="_4476__FDSAUDITLINK__" hidden="1">{"fdsup://directions/FAT Viewer?action=UPDATE&amp;creator=factset&amp;DYN_ARGS=TRUE&amp;DOC_NAME=FAT:FQL_AUDITING_CLIENT_TEMPLATE.FAT&amp;display_string=Audit&amp;VAR:KEY=DKXUPMVCLG&amp;VAR:QUERY=RkZfTUlOX0lOVF9BQ0NVTShDQUwsTk9XLE5PVyxELCxVU0Qp&amp;WINDOW=FIRST_POPUP&amp;HEIGHT=450&amp;WIDTH=","450&amp;START_MAXIMIZED=FALSE&amp;VAR:CALENDAR=US&amp;VAR:SYMBOL=266747&amp;VAR:INDEX=0"}</definedName>
    <definedName name="_4477__FDSAUDITLINK__" localSheetId="3" hidden="1">{"fdsup://directions/FAT Viewer?action=UPDATE&amp;creator=factset&amp;DYN_ARGS=TRUE&amp;DOC_NAME=FAT:FQL_AUDITING_CLIENT_TEMPLATE.FAT&amp;display_string=Audit&amp;VAR:KEY=IVMLCNKFAN&amp;VAR:QUERY=RkZfTUlOX0lOVF9BQ0NVTShDQUwsTk9XLE5PVyxELCxVU0Qp&amp;WINDOW=FIRST_POPUP&amp;HEIGHT=450&amp;WIDTH=","450&amp;START_MAXIMIZED=FALSE&amp;VAR:CALENDAR=US&amp;VAR:SYMBOL=600585&amp;VAR:INDEX=0"}</definedName>
    <definedName name="_4477__FDSAUDITLINK__" localSheetId="7" hidden="1">{"fdsup://directions/FAT Viewer?action=UPDATE&amp;creator=factset&amp;DYN_ARGS=TRUE&amp;DOC_NAME=FAT:FQL_AUDITING_CLIENT_TEMPLATE.FAT&amp;display_string=Audit&amp;VAR:KEY=IVMLCNKFAN&amp;VAR:QUERY=RkZfTUlOX0lOVF9BQ0NVTShDQUwsTk9XLE5PVyxELCxVU0Qp&amp;WINDOW=FIRST_POPUP&amp;HEIGHT=450&amp;WIDTH=","450&amp;START_MAXIMIZED=FALSE&amp;VAR:CALENDAR=US&amp;VAR:SYMBOL=600585&amp;VAR:INDEX=0"}</definedName>
    <definedName name="_4477__FDSAUDITLINK__" hidden="1">{"fdsup://directions/FAT Viewer?action=UPDATE&amp;creator=factset&amp;DYN_ARGS=TRUE&amp;DOC_NAME=FAT:FQL_AUDITING_CLIENT_TEMPLATE.FAT&amp;display_string=Audit&amp;VAR:KEY=IVMLCNKFAN&amp;VAR:QUERY=RkZfTUlOX0lOVF9BQ0NVTShDQUwsTk9XLE5PVyxELCxVU0Qp&amp;WINDOW=FIRST_POPUP&amp;HEIGHT=450&amp;WIDTH=","450&amp;START_MAXIMIZED=FALSE&amp;VAR:CALENDAR=US&amp;VAR:SYMBOL=600585&amp;VAR:INDEX=0"}</definedName>
    <definedName name="_4478__FDSAUDITLINK__" localSheetId="3" hidden="1">{"fdsup://directions/FAT Viewer?action=UPDATE&amp;creator=factset&amp;DYN_ARGS=TRUE&amp;DOC_NAME=FAT:FQL_AUDITING_CLIENT_TEMPLATE.FAT&amp;display_string=Audit&amp;VAR:KEY=OFYXOREDWD&amp;VAR:QUERY=RkZfTUlOX0lOVF9BQ0NVTShDQUwsTk9XLE5PVyxELCxVU0Qp&amp;WINDOW=FIRST_POPUP&amp;HEIGHT=450&amp;WIDTH=","450&amp;START_MAXIMIZED=FALSE&amp;VAR:CALENDAR=US&amp;VAR:SYMBOL=03783310&amp;VAR:INDEX=0"}</definedName>
    <definedName name="_4478__FDSAUDITLINK__" localSheetId="7" hidden="1">{"fdsup://directions/FAT Viewer?action=UPDATE&amp;creator=factset&amp;DYN_ARGS=TRUE&amp;DOC_NAME=FAT:FQL_AUDITING_CLIENT_TEMPLATE.FAT&amp;display_string=Audit&amp;VAR:KEY=OFYXOREDWD&amp;VAR:QUERY=RkZfTUlOX0lOVF9BQ0NVTShDQUwsTk9XLE5PVyxELCxVU0Qp&amp;WINDOW=FIRST_POPUP&amp;HEIGHT=450&amp;WIDTH=","450&amp;START_MAXIMIZED=FALSE&amp;VAR:CALENDAR=US&amp;VAR:SYMBOL=03783310&amp;VAR:INDEX=0"}</definedName>
    <definedName name="_4478__FDSAUDITLINK__" hidden="1">{"fdsup://directions/FAT Viewer?action=UPDATE&amp;creator=factset&amp;DYN_ARGS=TRUE&amp;DOC_NAME=FAT:FQL_AUDITING_CLIENT_TEMPLATE.FAT&amp;display_string=Audit&amp;VAR:KEY=OFYXOREDWD&amp;VAR:QUERY=RkZfTUlOX0lOVF9BQ0NVTShDQUwsTk9XLE5PVyxELCxVU0Qp&amp;WINDOW=FIRST_POPUP&amp;HEIGHT=450&amp;WIDTH=","450&amp;START_MAXIMIZED=FALSE&amp;VAR:CALENDAR=US&amp;VAR:SYMBOL=03783310&amp;VAR:INDEX=0"}</definedName>
    <definedName name="_4479__FDSAUDITLINK__" localSheetId="3" hidden="1">{"fdsup://directions/FAT Viewer?action=UPDATE&amp;creator=factset&amp;DYN_ARGS=TRUE&amp;DOC_NAME=FAT:FQL_AUDITING_CLIENT_TEMPLATE.FAT&amp;display_string=Audit&amp;VAR:KEY=LWLKPIHANU&amp;VAR:QUERY=RkZfTUlOX0lOVF9BQ0NVTShDQUwsTk9XLE5PVyxELCxVU0Qp&amp;WINDOW=FIRST_POPUP&amp;HEIGHT=450&amp;WIDTH=","450&amp;START_MAXIMIZED=FALSE&amp;VAR:CALENDAR=US&amp;VAR:SYMBOL=080216&amp;VAR:INDEX=0"}</definedName>
    <definedName name="_4479__FDSAUDITLINK__" localSheetId="7" hidden="1">{"fdsup://directions/FAT Viewer?action=UPDATE&amp;creator=factset&amp;DYN_ARGS=TRUE&amp;DOC_NAME=FAT:FQL_AUDITING_CLIENT_TEMPLATE.FAT&amp;display_string=Audit&amp;VAR:KEY=LWLKPIHANU&amp;VAR:QUERY=RkZfTUlOX0lOVF9BQ0NVTShDQUwsTk9XLE5PVyxELCxVU0Qp&amp;WINDOW=FIRST_POPUP&amp;HEIGHT=450&amp;WIDTH=","450&amp;START_MAXIMIZED=FALSE&amp;VAR:CALENDAR=US&amp;VAR:SYMBOL=080216&amp;VAR:INDEX=0"}</definedName>
    <definedName name="_4479__FDSAUDITLINK__" hidden="1">{"fdsup://directions/FAT Viewer?action=UPDATE&amp;creator=factset&amp;DYN_ARGS=TRUE&amp;DOC_NAME=FAT:FQL_AUDITING_CLIENT_TEMPLATE.FAT&amp;display_string=Audit&amp;VAR:KEY=LWLKPIHANU&amp;VAR:QUERY=RkZfTUlOX0lOVF9BQ0NVTShDQUwsTk9XLE5PVyxELCxVU0Qp&amp;WINDOW=FIRST_POPUP&amp;HEIGHT=450&amp;WIDTH=","450&amp;START_MAXIMIZED=FALSE&amp;VAR:CALENDAR=US&amp;VAR:SYMBOL=080216&amp;VAR:INDEX=0"}</definedName>
    <definedName name="_448__FDSAUDITLINK__" localSheetId="3" hidden="1">{"fdsup://directions/FAT Viewer?action=UPDATE&amp;creator=factset&amp;DYN_ARGS=TRUE&amp;DOC_NAME=FAT:FQL_AUDITING_CLIENT_TEMPLATE.FAT&amp;display_string=Audit&amp;VAR:KEY=MXKNSVUJEZ&amp;VAR:QUERY=UENUQ0hHKEZGX0VCSVREQV9PUEVSKEFOTiwwLC05LFksUlAsTE9DQUwsTSksRkZfRUJJVERBX09QRVIoQU5OL","C0xLC05IC0gMSxZLFJQLExPQ0FMLE0pKQ==&amp;WINDOW=FIRST_POPUP&amp;HEIGHT=450&amp;WIDTH=450&amp;START_MAXIMIZED=FALSE&amp;VAR:CALENDAR=US&amp;VAR:SYMBOL=B10LQP&amp;VAR:INDEX=3"}</definedName>
    <definedName name="_448__FDSAUDITLINK__" localSheetId="7" hidden="1">{"fdsup://directions/FAT Viewer?action=UPDATE&amp;creator=factset&amp;DYN_ARGS=TRUE&amp;DOC_NAME=FAT:FQL_AUDITING_CLIENT_TEMPLATE.FAT&amp;display_string=Audit&amp;VAR:KEY=MXKNSVUJEZ&amp;VAR:QUERY=UENUQ0hHKEZGX0VCSVREQV9PUEVSKEFOTiwwLC05LFksUlAsTE9DQUwsTSksRkZfRUJJVERBX09QRVIoQU5OL","C0xLC05IC0gMSxZLFJQLExPQ0FMLE0pKQ==&amp;WINDOW=FIRST_POPUP&amp;HEIGHT=450&amp;WIDTH=450&amp;START_MAXIMIZED=FALSE&amp;VAR:CALENDAR=US&amp;VAR:SYMBOL=B10LQP&amp;VAR:INDEX=3"}</definedName>
    <definedName name="_448__FDSAUDITLINK__" hidden="1">{"fdsup://directions/FAT Viewer?action=UPDATE&amp;creator=factset&amp;DYN_ARGS=TRUE&amp;DOC_NAME=FAT:FQL_AUDITING_CLIENT_TEMPLATE.FAT&amp;display_string=Audit&amp;VAR:KEY=MXKNSVUJEZ&amp;VAR:QUERY=UENUQ0hHKEZGX0VCSVREQV9PUEVSKEFOTiwwLC05LFksUlAsTE9DQUwsTSksRkZfRUJJVERBX09QRVIoQU5OL","C0xLC05IC0gMSxZLFJQLExPQ0FMLE0pKQ==&amp;WINDOW=FIRST_POPUP&amp;HEIGHT=450&amp;WIDTH=450&amp;START_MAXIMIZED=FALSE&amp;VAR:CALENDAR=US&amp;VAR:SYMBOL=B10LQP&amp;VAR:INDEX=3"}</definedName>
    <definedName name="_4480__FDSAUDITLINK__" localSheetId="3" hidden="1">{"fdsup://directions/FAT Viewer?action=UPDATE&amp;creator=factset&amp;DYN_ARGS=TRUE&amp;DOC_NAME=FAT:FQL_AUDITING_CLIENT_TEMPLATE.FAT&amp;display_string=Audit&amp;VAR:KEY=FIHENIFING&amp;VAR:QUERY=RkZfTUlOX0lOVF9BQ0NVTShDQUwsTk9XLE5PVyxELCxVU0Qp&amp;WINDOW=FIRST_POPUP&amp;HEIGHT=450&amp;WIDTH=","450&amp;START_MAXIMIZED=FALSE&amp;VAR:CALENDAR=US&amp;VAR:SYMBOL=605104&amp;VAR:INDEX=0"}</definedName>
    <definedName name="_4480__FDSAUDITLINK__" localSheetId="7" hidden="1">{"fdsup://directions/FAT Viewer?action=UPDATE&amp;creator=factset&amp;DYN_ARGS=TRUE&amp;DOC_NAME=FAT:FQL_AUDITING_CLIENT_TEMPLATE.FAT&amp;display_string=Audit&amp;VAR:KEY=FIHENIFING&amp;VAR:QUERY=RkZfTUlOX0lOVF9BQ0NVTShDQUwsTk9XLE5PVyxELCxVU0Qp&amp;WINDOW=FIRST_POPUP&amp;HEIGHT=450&amp;WIDTH=","450&amp;START_MAXIMIZED=FALSE&amp;VAR:CALENDAR=US&amp;VAR:SYMBOL=605104&amp;VAR:INDEX=0"}</definedName>
    <definedName name="_4480__FDSAUDITLINK__" hidden="1">{"fdsup://directions/FAT Viewer?action=UPDATE&amp;creator=factset&amp;DYN_ARGS=TRUE&amp;DOC_NAME=FAT:FQL_AUDITING_CLIENT_TEMPLATE.FAT&amp;display_string=Audit&amp;VAR:KEY=FIHENIFING&amp;VAR:QUERY=RkZfTUlOX0lOVF9BQ0NVTShDQUwsTk9XLE5PVyxELCxVU0Qp&amp;WINDOW=FIRST_POPUP&amp;HEIGHT=450&amp;WIDTH=","450&amp;START_MAXIMIZED=FALSE&amp;VAR:CALENDAR=US&amp;VAR:SYMBOL=605104&amp;VAR:INDEX=0"}</definedName>
    <definedName name="_4481__FDSAUDITLINK__" localSheetId="3" hidden="1">{"fdsup://directions/FAT Viewer?action=UPDATE&amp;creator=factset&amp;DYN_ARGS=TRUE&amp;DOC_NAME=FAT:FQL_AUDITING_CLIENT_TEMPLATE.FAT&amp;display_string=Audit&amp;VAR:KEY=TYBYHWVSTQ&amp;VAR:QUERY=RkZfTUlOX0lOVF9BQ0NVTShDQUwsTk9XLE5PVyxELCxVU0Qp&amp;WINDOW=FIRST_POPUP&amp;HEIGHT=450&amp;WIDTH=","450&amp;START_MAXIMIZED=FALSE&amp;VAR:CALENDAR=US&amp;VAR:SYMBOL=632758&amp;VAR:INDEX=0"}</definedName>
    <definedName name="_4481__FDSAUDITLINK__" localSheetId="7" hidden="1">{"fdsup://directions/FAT Viewer?action=UPDATE&amp;creator=factset&amp;DYN_ARGS=TRUE&amp;DOC_NAME=FAT:FQL_AUDITING_CLIENT_TEMPLATE.FAT&amp;display_string=Audit&amp;VAR:KEY=TYBYHWVSTQ&amp;VAR:QUERY=RkZfTUlOX0lOVF9BQ0NVTShDQUwsTk9XLE5PVyxELCxVU0Qp&amp;WINDOW=FIRST_POPUP&amp;HEIGHT=450&amp;WIDTH=","450&amp;START_MAXIMIZED=FALSE&amp;VAR:CALENDAR=US&amp;VAR:SYMBOL=632758&amp;VAR:INDEX=0"}</definedName>
    <definedName name="_4481__FDSAUDITLINK__" hidden="1">{"fdsup://directions/FAT Viewer?action=UPDATE&amp;creator=factset&amp;DYN_ARGS=TRUE&amp;DOC_NAME=FAT:FQL_AUDITING_CLIENT_TEMPLATE.FAT&amp;display_string=Audit&amp;VAR:KEY=TYBYHWVSTQ&amp;VAR:QUERY=RkZfTUlOX0lOVF9BQ0NVTShDQUwsTk9XLE5PVyxELCxVU0Qp&amp;WINDOW=FIRST_POPUP&amp;HEIGHT=450&amp;WIDTH=","450&amp;START_MAXIMIZED=FALSE&amp;VAR:CALENDAR=US&amp;VAR:SYMBOL=632758&amp;VAR:INDEX=0"}</definedName>
    <definedName name="_4482__FDSAUDITLINK__" localSheetId="3" hidden="1">{"fdsup://directions/FAT Viewer?action=UPDATE&amp;creator=factset&amp;DYN_ARGS=TRUE&amp;DOC_NAME=FAT:FQL_AUDITING_CLIENT_TEMPLATE.FAT&amp;display_string=Audit&amp;VAR:KEY=NCPUROLWXI&amp;VAR:QUERY=RkZfTUlOX0lOVF9BQ0NVTShDQUwsTk9XLE5PVyxELCxVU0Qp&amp;WINDOW=FIRST_POPUP&amp;HEIGHT=450&amp;WIDTH=","450&amp;START_MAXIMIZED=FALSE&amp;VAR:CALENDAR=US&amp;VAR:SYMBOL=B292SM&amp;VAR:INDEX=0"}</definedName>
    <definedName name="_4482__FDSAUDITLINK__" localSheetId="7" hidden="1">{"fdsup://directions/FAT Viewer?action=UPDATE&amp;creator=factset&amp;DYN_ARGS=TRUE&amp;DOC_NAME=FAT:FQL_AUDITING_CLIENT_TEMPLATE.FAT&amp;display_string=Audit&amp;VAR:KEY=NCPUROLWXI&amp;VAR:QUERY=RkZfTUlOX0lOVF9BQ0NVTShDQUwsTk9XLE5PVyxELCxVU0Qp&amp;WINDOW=FIRST_POPUP&amp;HEIGHT=450&amp;WIDTH=","450&amp;START_MAXIMIZED=FALSE&amp;VAR:CALENDAR=US&amp;VAR:SYMBOL=B292SM&amp;VAR:INDEX=0"}</definedName>
    <definedName name="_4482__FDSAUDITLINK__" hidden="1">{"fdsup://directions/FAT Viewer?action=UPDATE&amp;creator=factset&amp;DYN_ARGS=TRUE&amp;DOC_NAME=FAT:FQL_AUDITING_CLIENT_TEMPLATE.FAT&amp;display_string=Audit&amp;VAR:KEY=NCPUROLWXI&amp;VAR:QUERY=RkZfTUlOX0lOVF9BQ0NVTShDQUwsTk9XLE5PVyxELCxVU0Qp&amp;WINDOW=FIRST_POPUP&amp;HEIGHT=450&amp;WIDTH=","450&amp;START_MAXIMIZED=FALSE&amp;VAR:CALENDAR=US&amp;VAR:SYMBOL=B292SM&amp;VAR:INDEX=0"}</definedName>
    <definedName name="_4483__FDSAUDITLINK__" localSheetId="3" hidden="1">{"fdsup://directions/FAT Viewer?action=UPDATE&amp;creator=factset&amp;DYN_ARGS=TRUE&amp;DOC_NAME=FAT:FQL_AUDITING_CLIENT_TEMPLATE.FAT&amp;display_string=Audit&amp;VAR:KEY=GZMPMTCRGB&amp;VAR:QUERY=RkZfTUlOX0lOVF9BQ0NVTShDQUwsTk9XLE5PVyxELCxVU0Qp&amp;WINDOW=FIRST_POPUP&amp;HEIGHT=450&amp;WIDTH=","450&amp;START_MAXIMIZED=FALSE&amp;VAR:CALENDAR=US&amp;VAR:SYMBOL=B6YTLS&amp;VAR:INDEX=0"}</definedName>
    <definedName name="_4483__FDSAUDITLINK__" localSheetId="7" hidden="1">{"fdsup://directions/FAT Viewer?action=UPDATE&amp;creator=factset&amp;DYN_ARGS=TRUE&amp;DOC_NAME=FAT:FQL_AUDITING_CLIENT_TEMPLATE.FAT&amp;display_string=Audit&amp;VAR:KEY=GZMPMTCRGB&amp;VAR:QUERY=RkZfTUlOX0lOVF9BQ0NVTShDQUwsTk9XLE5PVyxELCxVU0Qp&amp;WINDOW=FIRST_POPUP&amp;HEIGHT=450&amp;WIDTH=","450&amp;START_MAXIMIZED=FALSE&amp;VAR:CALENDAR=US&amp;VAR:SYMBOL=B6YTLS&amp;VAR:INDEX=0"}</definedName>
    <definedName name="_4483__FDSAUDITLINK__" hidden="1">{"fdsup://directions/FAT Viewer?action=UPDATE&amp;creator=factset&amp;DYN_ARGS=TRUE&amp;DOC_NAME=FAT:FQL_AUDITING_CLIENT_TEMPLATE.FAT&amp;display_string=Audit&amp;VAR:KEY=GZMPMTCRGB&amp;VAR:QUERY=RkZfTUlOX0lOVF9BQ0NVTShDQUwsTk9XLE5PVyxELCxVU0Qp&amp;WINDOW=FIRST_POPUP&amp;HEIGHT=450&amp;WIDTH=","450&amp;START_MAXIMIZED=FALSE&amp;VAR:CALENDAR=US&amp;VAR:SYMBOL=B6YTLS&amp;VAR:INDEX=0"}</definedName>
    <definedName name="_4484__FDSAUDITLINK__" localSheetId="3" hidden="1">{"fdsup://directions/FAT Viewer?action=UPDATE&amp;creator=factset&amp;DYN_ARGS=TRUE&amp;DOC_NAME=FAT:FQL_AUDITING_CLIENT_TEMPLATE.FAT&amp;display_string=Audit&amp;VAR:KEY=HKBSBMZGNM&amp;VAR:QUERY=RkZfTUlOX0lOVF9BQ0NVTShDQUwsTk9XLE5PVyxELCxVU0Qp&amp;WINDOW=FIRST_POPUP&amp;HEIGHT=450&amp;WIDTH=","450&amp;START_MAXIMIZED=FALSE&amp;VAR:CALENDAR=US&amp;VAR:SYMBOL=014119&amp;VAR:INDEX=0"}</definedName>
    <definedName name="_4484__FDSAUDITLINK__" localSheetId="7" hidden="1">{"fdsup://directions/FAT Viewer?action=UPDATE&amp;creator=factset&amp;DYN_ARGS=TRUE&amp;DOC_NAME=FAT:FQL_AUDITING_CLIENT_TEMPLATE.FAT&amp;display_string=Audit&amp;VAR:KEY=HKBSBMZGNM&amp;VAR:QUERY=RkZfTUlOX0lOVF9BQ0NVTShDQUwsTk9XLE5PVyxELCxVU0Qp&amp;WINDOW=FIRST_POPUP&amp;HEIGHT=450&amp;WIDTH=","450&amp;START_MAXIMIZED=FALSE&amp;VAR:CALENDAR=US&amp;VAR:SYMBOL=014119&amp;VAR:INDEX=0"}</definedName>
    <definedName name="_4484__FDSAUDITLINK__" hidden="1">{"fdsup://directions/FAT Viewer?action=UPDATE&amp;creator=factset&amp;DYN_ARGS=TRUE&amp;DOC_NAME=FAT:FQL_AUDITING_CLIENT_TEMPLATE.FAT&amp;display_string=Audit&amp;VAR:KEY=HKBSBMZGNM&amp;VAR:QUERY=RkZfTUlOX0lOVF9BQ0NVTShDQUwsTk9XLE5PVyxELCxVU0Qp&amp;WINDOW=FIRST_POPUP&amp;HEIGHT=450&amp;WIDTH=","450&amp;START_MAXIMIZED=FALSE&amp;VAR:CALENDAR=US&amp;VAR:SYMBOL=014119&amp;VAR:INDEX=0"}</definedName>
    <definedName name="_4485__FDSAUDITLINK__" localSheetId="3" hidden="1">{"fdsup://directions/FAT Viewer?action=UPDATE&amp;creator=factset&amp;DYN_ARGS=TRUE&amp;DOC_NAME=FAT:FQL_AUDITING_CLIENT_TEMPLATE.FAT&amp;display_string=Audit&amp;VAR:KEY=IBSZIVKHGV&amp;VAR:QUERY=RkZfTUlOX0lOVF9BQ0NVTShDQUwsTk9XLE5PVyxELCxVU0Qp&amp;WINDOW=FIRST_POPUP&amp;HEIGHT=450&amp;WIDTH=","450&amp;START_MAXIMIZED=FALSE&amp;VAR:CALENDAR=US&amp;VAR:SYMBOL=G3922B10&amp;VAR:INDEX=0"}</definedName>
    <definedName name="_4485__FDSAUDITLINK__" localSheetId="7" hidden="1">{"fdsup://directions/FAT Viewer?action=UPDATE&amp;creator=factset&amp;DYN_ARGS=TRUE&amp;DOC_NAME=FAT:FQL_AUDITING_CLIENT_TEMPLATE.FAT&amp;display_string=Audit&amp;VAR:KEY=IBSZIVKHGV&amp;VAR:QUERY=RkZfTUlOX0lOVF9BQ0NVTShDQUwsTk9XLE5PVyxELCxVU0Qp&amp;WINDOW=FIRST_POPUP&amp;HEIGHT=450&amp;WIDTH=","450&amp;START_MAXIMIZED=FALSE&amp;VAR:CALENDAR=US&amp;VAR:SYMBOL=G3922B10&amp;VAR:INDEX=0"}</definedName>
    <definedName name="_4485__FDSAUDITLINK__" hidden="1">{"fdsup://directions/FAT Viewer?action=UPDATE&amp;creator=factset&amp;DYN_ARGS=TRUE&amp;DOC_NAME=FAT:FQL_AUDITING_CLIENT_TEMPLATE.FAT&amp;display_string=Audit&amp;VAR:KEY=IBSZIVKHGV&amp;VAR:QUERY=RkZfTUlOX0lOVF9BQ0NVTShDQUwsTk9XLE5PVyxELCxVU0Qp&amp;WINDOW=FIRST_POPUP&amp;HEIGHT=450&amp;WIDTH=","450&amp;START_MAXIMIZED=FALSE&amp;VAR:CALENDAR=US&amp;VAR:SYMBOL=G3922B10&amp;VAR:INDEX=0"}</definedName>
    <definedName name="_4486__FDSAUDITLINK__" localSheetId="3" hidden="1">{"fdsup://directions/FAT Viewer?action=UPDATE&amp;creator=factset&amp;DYN_ARGS=TRUE&amp;DOC_NAME=FAT:FQL_AUDITING_CLIENT_TEMPLATE.FAT&amp;display_string=Audit&amp;VAR:KEY=JKNUHULOJE&amp;VAR:QUERY=RkZfTUlOX0lOVF9BQ0NVTShDQUwsTk9XLE5PVyxELCxVU0Qp&amp;WINDOW=FIRST_POPUP&amp;HEIGHT=450&amp;WIDTH=","450&amp;START_MAXIMIZED=FALSE&amp;VAR:CALENDAR=US&amp;VAR:SYMBOL=G1151C10&amp;VAR:INDEX=0"}</definedName>
    <definedName name="_4486__FDSAUDITLINK__" localSheetId="7" hidden="1">{"fdsup://directions/FAT Viewer?action=UPDATE&amp;creator=factset&amp;DYN_ARGS=TRUE&amp;DOC_NAME=FAT:FQL_AUDITING_CLIENT_TEMPLATE.FAT&amp;display_string=Audit&amp;VAR:KEY=JKNUHULOJE&amp;VAR:QUERY=RkZfTUlOX0lOVF9BQ0NVTShDQUwsTk9XLE5PVyxELCxVU0Qp&amp;WINDOW=FIRST_POPUP&amp;HEIGHT=450&amp;WIDTH=","450&amp;START_MAXIMIZED=FALSE&amp;VAR:CALENDAR=US&amp;VAR:SYMBOL=G1151C10&amp;VAR:INDEX=0"}</definedName>
    <definedName name="_4486__FDSAUDITLINK__" hidden="1">{"fdsup://directions/FAT Viewer?action=UPDATE&amp;creator=factset&amp;DYN_ARGS=TRUE&amp;DOC_NAME=FAT:FQL_AUDITING_CLIENT_TEMPLATE.FAT&amp;display_string=Audit&amp;VAR:KEY=JKNUHULOJE&amp;VAR:QUERY=RkZfTUlOX0lOVF9BQ0NVTShDQUwsTk9XLE5PVyxELCxVU0Qp&amp;WINDOW=FIRST_POPUP&amp;HEIGHT=450&amp;WIDTH=","450&amp;START_MAXIMIZED=FALSE&amp;VAR:CALENDAR=US&amp;VAR:SYMBOL=G1151C10&amp;VAR:INDEX=0"}</definedName>
    <definedName name="_4487__FDSAUDITLINK__" localSheetId="3" hidden="1">{"fdsup://directions/FAT Viewer?action=UPDATE&amp;creator=factset&amp;DYN_ARGS=TRUE&amp;DOC_NAME=FAT:FQL_AUDITING_CLIENT_TEMPLATE.FAT&amp;display_string=Audit&amp;VAR:KEY=KVEFQTWBGJ&amp;VAR:QUERY=RkZfTUlOX0lOVF9BQ0NVTShDQUwsTk9XLE5PVyxELCxVU0Qp&amp;WINDOW=FIRST_POPUP&amp;HEIGHT=450&amp;WIDTH=","450&amp;START_MAXIMIZED=FALSE&amp;VAR:CALENDAR=US&amp;VAR:SYMBOL=20536310&amp;VAR:INDEX=0"}</definedName>
    <definedName name="_4487__FDSAUDITLINK__" localSheetId="7" hidden="1">{"fdsup://directions/FAT Viewer?action=UPDATE&amp;creator=factset&amp;DYN_ARGS=TRUE&amp;DOC_NAME=FAT:FQL_AUDITING_CLIENT_TEMPLATE.FAT&amp;display_string=Audit&amp;VAR:KEY=KVEFQTWBGJ&amp;VAR:QUERY=RkZfTUlOX0lOVF9BQ0NVTShDQUwsTk9XLE5PVyxELCxVU0Qp&amp;WINDOW=FIRST_POPUP&amp;HEIGHT=450&amp;WIDTH=","450&amp;START_MAXIMIZED=FALSE&amp;VAR:CALENDAR=US&amp;VAR:SYMBOL=20536310&amp;VAR:INDEX=0"}</definedName>
    <definedName name="_4487__FDSAUDITLINK__" hidden="1">{"fdsup://directions/FAT Viewer?action=UPDATE&amp;creator=factset&amp;DYN_ARGS=TRUE&amp;DOC_NAME=FAT:FQL_AUDITING_CLIENT_TEMPLATE.FAT&amp;display_string=Audit&amp;VAR:KEY=KVEFQTWBGJ&amp;VAR:QUERY=RkZfTUlOX0lOVF9BQ0NVTShDQUwsTk9XLE5PVyxELCxVU0Qp&amp;WINDOW=FIRST_POPUP&amp;HEIGHT=450&amp;WIDTH=","450&amp;START_MAXIMIZED=FALSE&amp;VAR:CALENDAR=US&amp;VAR:SYMBOL=20536310&amp;VAR:INDEX=0"}</definedName>
    <definedName name="_4488__FDSAUDITLINK__" localSheetId="3" hidden="1">{"fdsup://directions/FAT Viewer?action=UPDATE&amp;creator=factset&amp;DYN_ARGS=TRUE&amp;DOC_NAME=FAT:FQL_AUDITING_CLIENT_TEMPLATE.FAT&amp;display_string=Audit&amp;VAR:KEY=MTQPGDWXWD&amp;VAR:QUERY=RkZfTUlOX0lOVF9BQ0NVTShDQUwsTk9XLE5PVyxELCxVU0Qp&amp;WINDOW=FIRST_POPUP&amp;HEIGHT=450&amp;WIDTH=","450&amp;START_MAXIMIZED=FALSE&amp;VAR:CALENDAR=US&amp;VAR:SYMBOL=42823610&amp;VAR:INDEX=0"}</definedName>
    <definedName name="_4488__FDSAUDITLINK__" localSheetId="7" hidden="1">{"fdsup://directions/FAT Viewer?action=UPDATE&amp;creator=factset&amp;DYN_ARGS=TRUE&amp;DOC_NAME=FAT:FQL_AUDITING_CLIENT_TEMPLATE.FAT&amp;display_string=Audit&amp;VAR:KEY=MTQPGDWXWD&amp;VAR:QUERY=RkZfTUlOX0lOVF9BQ0NVTShDQUwsTk9XLE5PVyxELCxVU0Qp&amp;WINDOW=FIRST_POPUP&amp;HEIGHT=450&amp;WIDTH=","450&amp;START_MAXIMIZED=FALSE&amp;VAR:CALENDAR=US&amp;VAR:SYMBOL=42823610&amp;VAR:INDEX=0"}</definedName>
    <definedName name="_4488__FDSAUDITLINK__" hidden="1">{"fdsup://directions/FAT Viewer?action=UPDATE&amp;creator=factset&amp;DYN_ARGS=TRUE&amp;DOC_NAME=FAT:FQL_AUDITING_CLIENT_TEMPLATE.FAT&amp;display_string=Audit&amp;VAR:KEY=MTQPGDWXWD&amp;VAR:QUERY=RkZfTUlOX0lOVF9BQ0NVTShDQUwsTk9XLE5PVyxELCxVU0Qp&amp;WINDOW=FIRST_POPUP&amp;HEIGHT=450&amp;WIDTH=","450&amp;START_MAXIMIZED=FALSE&amp;VAR:CALENDAR=US&amp;VAR:SYMBOL=42823610&amp;VAR:INDEX=0"}</definedName>
    <definedName name="_4489__FDSAUDITLINK__" localSheetId="3" hidden="1">{"fdsup://directions/FAT Viewer?action=UPDATE&amp;creator=factset&amp;DYN_ARGS=TRUE&amp;DOC_NAME=FAT:FQL_AUDITING_CLIENT_TEMPLATE.FAT&amp;display_string=Audit&amp;VAR:KEY=PUHCXSZQZA&amp;VAR:QUERY=RkZfTUlOX0lOVF9BQ0NVTShDQUwsTk9XLE5PVyxELCxVU0Qp&amp;WINDOW=FIRST_POPUP&amp;HEIGHT=450&amp;WIDTH=","450&amp;START_MAXIMIZED=FALSE&amp;VAR:CALENDAR=US&amp;VAR:SYMBOL=45920010&amp;VAR:INDEX=0"}</definedName>
    <definedName name="_4489__FDSAUDITLINK__" localSheetId="7" hidden="1">{"fdsup://directions/FAT Viewer?action=UPDATE&amp;creator=factset&amp;DYN_ARGS=TRUE&amp;DOC_NAME=FAT:FQL_AUDITING_CLIENT_TEMPLATE.FAT&amp;display_string=Audit&amp;VAR:KEY=PUHCXSZQZA&amp;VAR:QUERY=RkZfTUlOX0lOVF9BQ0NVTShDQUwsTk9XLE5PVyxELCxVU0Qp&amp;WINDOW=FIRST_POPUP&amp;HEIGHT=450&amp;WIDTH=","450&amp;START_MAXIMIZED=FALSE&amp;VAR:CALENDAR=US&amp;VAR:SYMBOL=45920010&amp;VAR:INDEX=0"}</definedName>
    <definedName name="_4489__FDSAUDITLINK__" hidden="1">{"fdsup://directions/FAT Viewer?action=UPDATE&amp;creator=factset&amp;DYN_ARGS=TRUE&amp;DOC_NAME=FAT:FQL_AUDITING_CLIENT_TEMPLATE.FAT&amp;display_string=Audit&amp;VAR:KEY=PUHCXSZQZA&amp;VAR:QUERY=RkZfTUlOX0lOVF9BQ0NVTShDQUwsTk9XLE5PVyxELCxVU0Qp&amp;WINDOW=FIRST_POPUP&amp;HEIGHT=450&amp;WIDTH=","450&amp;START_MAXIMIZED=FALSE&amp;VAR:CALENDAR=US&amp;VAR:SYMBOL=45920010&amp;VAR:INDEX=0"}</definedName>
    <definedName name="_449__FDSAUDITLINK__" localSheetId="3" hidden="1">{"fdsup://directions/FAT Viewer?action=UPDATE&amp;creator=factset&amp;DYN_ARGS=TRUE&amp;DOC_NAME=FAT:FQL_AUDITING_CLIENT_TEMPLATE.FAT&amp;display_string=Audit&amp;VAR:KEY=MXKNSVUJEZ&amp;VAR:QUERY=UENUQ0hHKEZGX0VCSVREQV9PUEVSKEFOTiwwLC05LFksUlAsTE9DQUwsTSksRkZfRUJJVERBX09QRVIoQU5OL","C0xLC05IC0gMSxZLFJQLExPQ0FMLE0pKQ==&amp;WINDOW=FIRST_POPUP&amp;HEIGHT=450&amp;WIDTH=450&amp;START_MAXIMIZED=FALSE&amp;VAR:CALENDAR=US&amp;VAR:SYMBOL=B10LQP&amp;VAR:INDEX=2"}</definedName>
    <definedName name="_449__FDSAUDITLINK__" localSheetId="7" hidden="1">{"fdsup://directions/FAT Viewer?action=UPDATE&amp;creator=factset&amp;DYN_ARGS=TRUE&amp;DOC_NAME=FAT:FQL_AUDITING_CLIENT_TEMPLATE.FAT&amp;display_string=Audit&amp;VAR:KEY=MXKNSVUJEZ&amp;VAR:QUERY=UENUQ0hHKEZGX0VCSVREQV9PUEVSKEFOTiwwLC05LFksUlAsTE9DQUwsTSksRkZfRUJJVERBX09QRVIoQU5OL","C0xLC05IC0gMSxZLFJQLExPQ0FMLE0pKQ==&amp;WINDOW=FIRST_POPUP&amp;HEIGHT=450&amp;WIDTH=450&amp;START_MAXIMIZED=FALSE&amp;VAR:CALENDAR=US&amp;VAR:SYMBOL=B10LQP&amp;VAR:INDEX=2"}</definedName>
    <definedName name="_449__FDSAUDITLINK__" hidden="1">{"fdsup://directions/FAT Viewer?action=UPDATE&amp;creator=factset&amp;DYN_ARGS=TRUE&amp;DOC_NAME=FAT:FQL_AUDITING_CLIENT_TEMPLATE.FAT&amp;display_string=Audit&amp;VAR:KEY=MXKNSVUJEZ&amp;VAR:QUERY=UENUQ0hHKEZGX0VCSVREQV9PUEVSKEFOTiwwLC05LFksUlAsTE9DQUwsTSksRkZfRUJJVERBX09QRVIoQU5OL","C0xLC05IC0gMSxZLFJQLExPQ0FMLE0pKQ==&amp;WINDOW=FIRST_POPUP&amp;HEIGHT=450&amp;WIDTH=450&amp;START_MAXIMIZED=FALSE&amp;VAR:CALENDAR=US&amp;VAR:SYMBOL=B10LQP&amp;VAR:INDEX=2"}</definedName>
    <definedName name="_4490__FDSAUDITLINK__" localSheetId="3" hidden="1">{"fdsup://directions/FAT Viewer?action=UPDATE&amp;creator=factset&amp;DYN_ARGS=TRUE&amp;DOC_NAME=FAT:FQL_AUDITING_CLIENT_TEMPLATE.FAT&amp;display_string=Audit&amp;VAR:KEY=LKPUPWRKHI&amp;VAR:QUERY=RkZfTUlOX0lOVF9BQ0NVTShDQUwsTk9XLE5PVyxELCxVU0Qp&amp;WINDOW=FIRST_POPUP&amp;HEIGHT=450&amp;WIDTH=","450&amp;START_MAXIMIZED=FALSE&amp;VAR:CALENDAR=US&amp;VAR:SYMBOL=B1GBXT&amp;VAR:INDEX=0"}</definedName>
    <definedName name="_4490__FDSAUDITLINK__" localSheetId="7" hidden="1">{"fdsup://directions/FAT Viewer?action=UPDATE&amp;creator=factset&amp;DYN_ARGS=TRUE&amp;DOC_NAME=FAT:FQL_AUDITING_CLIENT_TEMPLATE.FAT&amp;display_string=Audit&amp;VAR:KEY=LKPUPWRKHI&amp;VAR:QUERY=RkZfTUlOX0lOVF9BQ0NVTShDQUwsTk9XLE5PVyxELCxVU0Qp&amp;WINDOW=FIRST_POPUP&amp;HEIGHT=450&amp;WIDTH=","450&amp;START_MAXIMIZED=FALSE&amp;VAR:CALENDAR=US&amp;VAR:SYMBOL=B1GBXT&amp;VAR:INDEX=0"}</definedName>
    <definedName name="_4490__FDSAUDITLINK__" hidden="1">{"fdsup://directions/FAT Viewer?action=UPDATE&amp;creator=factset&amp;DYN_ARGS=TRUE&amp;DOC_NAME=FAT:FQL_AUDITING_CLIENT_TEMPLATE.FAT&amp;display_string=Audit&amp;VAR:KEY=LKPUPWRKHI&amp;VAR:QUERY=RkZfTUlOX0lOVF9BQ0NVTShDQUwsTk9XLE5PVyxELCxVU0Qp&amp;WINDOW=FIRST_POPUP&amp;HEIGHT=450&amp;WIDTH=","450&amp;START_MAXIMIZED=FALSE&amp;VAR:CALENDAR=US&amp;VAR:SYMBOL=B1GBXT&amp;VAR:INDEX=0"}</definedName>
    <definedName name="_4491__FDSAUDITLINK__" localSheetId="3" hidden="1">{"fdsup://directions/FAT Viewer?action=UPDATE&amp;creator=factset&amp;DYN_ARGS=TRUE&amp;DOC_NAME=FAT:FQL_AUDITING_CLIENT_TEMPLATE.FAT&amp;display_string=Audit&amp;VAR:KEY=PMDSBAVUPE&amp;VAR:QUERY=RkZfTUlOX0lOVF9BQ0NVTShDQUwsTk9XLE5PVyxELCxVU0Qp&amp;WINDOW=FIRST_POPUP&amp;HEIGHT=450&amp;WIDTH=","450&amp;START_MAXIMIZED=FALSE&amp;VAR:CALENDAR=US&amp;VAR:SYMBOL=52186330&amp;VAR:INDEX=0"}</definedName>
    <definedName name="_4491__FDSAUDITLINK__" localSheetId="7" hidden="1">{"fdsup://directions/FAT Viewer?action=UPDATE&amp;creator=factset&amp;DYN_ARGS=TRUE&amp;DOC_NAME=FAT:FQL_AUDITING_CLIENT_TEMPLATE.FAT&amp;display_string=Audit&amp;VAR:KEY=PMDSBAVUPE&amp;VAR:QUERY=RkZfTUlOX0lOVF9BQ0NVTShDQUwsTk9XLE5PVyxELCxVU0Qp&amp;WINDOW=FIRST_POPUP&amp;HEIGHT=450&amp;WIDTH=","450&amp;START_MAXIMIZED=FALSE&amp;VAR:CALENDAR=US&amp;VAR:SYMBOL=52186330&amp;VAR:INDEX=0"}</definedName>
    <definedName name="_4491__FDSAUDITLINK__" hidden="1">{"fdsup://directions/FAT Viewer?action=UPDATE&amp;creator=factset&amp;DYN_ARGS=TRUE&amp;DOC_NAME=FAT:FQL_AUDITING_CLIENT_TEMPLATE.FAT&amp;display_string=Audit&amp;VAR:KEY=PMDSBAVUPE&amp;VAR:QUERY=RkZfTUlOX0lOVF9BQ0NVTShDQUwsTk9XLE5PVyxELCxVU0Qp&amp;WINDOW=FIRST_POPUP&amp;HEIGHT=450&amp;WIDTH=","450&amp;START_MAXIMIZED=FALSE&amp;VAR:CALENDAR=US&amp;VAR:SYMBOL=52186330&amp;VAR:INDEX=0"}</definedName>
    <definedName name="_4492__FDSAUDITLINK__" localSheetId="3" hidden="1">{"fdsup://directions/FAT Viewer?action=UPDATE&amp;creator=factset&amp;DYN_ARGS=TRUE&amp;DOC_NAME=FAT:FQL_AUDITING_CLIENT_TEMPLATE.FAT&amp;display_string=Audit&amp;VAR:KEY=WZMLAVEPUJ&amp;VAR:QUERY=RkZfTUlOX0lOVF9BQ0NVTShDQUwsTk9XLE5PVyxELCxVU0Qp&amp;WINDOW=FIRST_POPUP&amp;HEIGHT=450&amp;WIDTH=","450&amp;START_MAXIMIZED=FALSE&amp;VAR:CALENDAR=US&amp;VAR:SYMBOL=30307510&amp;VAR:INDEX=0"}</definedName>
    <definedName name="_4492__FDSAUDITLINK__" localSheetId="7" hidden="1">{"fdsup://directions/FAT Viewer?action=UPDATE&amp;creator=factset&amp;DYN_ARGS=TRUE&amp;DOC_NAME=FAT:FQL_AUDITING_CLIENT_TEMPLATE.FAT&amp;display_string=Audit&amp;VAR:KEY=WZMLAVEPUJ&amp;VAR:QUERY=RkZfTUlOX0lOVF9BQ0NVTShDQUwsTk9XLE5PVyxELCxVU0Qp&amp;WINDOW=FIRST_POPUP&amp;HEIGHT=450&amp;WIDTH=","450&amp;START_MAXIMIZED=FALSE&amp;VAR:CALENDAR=US&amp;VAR:SYMBOL=30307510&amp;VAR:INDEX=0"}</definedName>
    <definedName name="_4492__FDSAUDITLINK__" hidden="1">{"fdsup://directions/FAT Viewer?action=UPDATE&amp;creator=factset&amp;DYN_ARGS=TRUE&amp;DOC_NAME=FAT:FQL_AUDITING_CLIENT_TEMPLATE.FAT&amp;display_string=Audit&amp;VAR:KEY=WZMLAVEPUJ&amp;VAR:QUERY=RkZfTUlOX0lOVF9BQ0NVTShDQUwsTk9XLE5PVyxELCxVU0Qp&amp;WINDOW=FIRST_POPUP&amp;HEIGHT=450&amp;WIDTH=","450&amp;START_MAXIMIZED=FALSE&amp;VAR:CALENDAR=US&amp;VAR:SYMBOL=30307510&amp;VAR:INDEX=0"}</definedName>
    <definedName name="_4493__FDSAUDITLINK__" localSheetId="3" hidden="1">{"fdsup://directions/FAT Viewer?action=UPDATE&amp;creator=factset&amp;DYN_ARGS=TRUE&amp;DOC_NAME=FAT:FQL_AUDITING_CLIENT_TEMPLATE.FAT&amp;display_string=Audit&amp;VAR:KEY=FWBMPWNWLQ&amp;VAR:QUERY=RkZfTUlOX0lOVF9BQ0NVTShDQUwsTk9XLE5PVyxELCxVU0Qp&amp;WINDOW=FIRST_POPUP&amp;HEIGHT=450&amp;WIDTH=","450&amp;START_MAXIMIZED=FALSE&amp;VAR:CALENDAR=US&amp;VAR:SYMBOL=212606&amp;VAR:INDEX=0"}</definedName>
    <definedName name="_4493__FDSAUDITLINK__" localSheetId="7" hidden="1">{"fdsup://directions/FAT Viewer?action=UPDATE&amp;creator=factset&amp;DYN_ARGS=TRUE&amp;DOC_NAME=FAT:FQL_AUDITING_CLIENT_TEMPLATE.FAT&amp;display_string=Audit&amp;VAR:KEY=FWBMPWNWLQ&amp;VAR:QUERY=RkZfTUlOX0lOVF9BQ0NVTShDQUwsTk9XLE5PVyxELCxVU0Qp&amp;WINDOW=FIRST_POPUP&amp;HEIGHT=450&amp;WIDTH=","450&amp;START_MAXIMIZED=FALSE&amp;VAR:CALENDAR=US&amp;VAR:SYMBOL=212606&amp;VAR:INDEX=0"}</definedName>
    <definedName name="_4493__FDSAUDITLINK__" hidden="1">{"fdsup://directions/FAT Viewer?action=UPDATE&amp;creator=factset&amp;DYN_ARGS=TRUE&amp;DOC_NAME=FAT:FQL_AUDITING_CLIENT_TEMPLATE.FAT&amp;display_string=Audit&amp;VAR:KEY=FWBMPWNWLQ&amp;VAR:QUERY=RkZfTUlOX0lOVF9BQ0NVTShDQUwsTk9XLE5PVyxELCxVU0Qp&amp;WINDOW=FIRST_POPUP&amp;HEIGHT=450&amp;WIDTH=","450&amp;START_MAXIMIZED=FALSE&amp;VAR:CALENDAR=US&amp;VAR:SYMBOL=212606&amp;VAR:INDEX=0"}</definedName>
    <definedName name="_4494__FDSAUDITLINK__" localSheetId="3" hidden="1">{"fdsup://directions/FAT Viewer?action=UPDATE&amp;creator=factset&amp;DYN_ARGS=TRUE&amp;DOC_NAME=FAT:FQL_AUDITING_CLIENT_TEMPLATE.FAT&amp;display_string=Audit&amp;VAR:KEY=XOXULQFUVM&amp;VAR:QUERY=RkZfTUlOX0lOVF9BQ0NVTShDQUwsTk9XLE5PVyxELCxVU0Qp&amp;WINDOW=FIRST_POPUP&amp;HEIGHT=450&amp;WIDTH=","450&amp;START_MAXIMIZED=FALSE&amp;VAR:CALENDAR=US&amp;VAR:SYMBOL=22822710&amp;VAR:INDEX=0"}</definedName>
    <definedName name="_4494__FDSAUDITLINK__" localSheetId="7" hidden="1">{"fdsup://directions/FAT Viewer?action=UPDATE&amp;creator=factset&amp;DYN_ARGS=TRUE&amp;DOC_NAME=FAT:FQL_AUDITING_CLIENT_TEMPLATE.FAT&amp;display_string=Audit&amp;VAR:KEY=XOXULQFUVM&amp;VAR:QUERY=RkZfTUlOX0lOVF9BQ0NVTShDQUwsTk9XLE5PVyxELCxVU0Qp&amp;WINDOW=FIRST_POPUP&amp;HEIGHT=450&amp;WIDTH=","450&amp;START_MAXIMIZED=FALSE&amp;VAR:CALENDAR=US&amp;VAR:SYMBOL=22822710&amp;VAR:INDEX=0"}</definedName>
    <definedName name="_4494__FDSAUDITLINK__" hidden="1">{"fdsup://directions/FAT Viewer?action=UPDATE&amp;creator=factset&amp;DYN_ARGS=TRUE&amp;DOC_NAME=FAT:FQL_AUDITING_CLIENT_TEMPLATE.FAT&amp;display_string=Audit&amp;VAR:KEY=XOXULQFUVM&amp;VAR:QUERY=RkZfTUlOX0lOVF9BQ0NVTShDQUwsTk9XLE5PVyxELCxVU0Qp&amp;WINDOW=FIRST_POPUP&amp;HEIGHT=450&amp;WIDTH=","450&amp;START_MAXIMIZED=FALSE&amp;VAR:CALENDAR=US&amp;VAR:SYMBOL=22822710&amp;VAR:INDEX=0"}</definedName>
    <definedName name="_4495__FDSAUDITLINK__" localSheetId="3" hidden="1">{"fdsup://directions/FAT Viewer?action=UPDATE&amp;creator=factset&amp;DYN_ARGS=TRUE&amp;DOC_NAME=FAT:FQL_AUDITING_CLIENT_TEMPLATE.FAT&amp;display_string=Audit&amp;VAR:KEY=WDSZKFALGP&amp;VAR:QUERY=RkZfTUlOX0lOVF9BQ0NVTShDQUwsTk9XLE5PVyxELCxVU0Qp&amp;WINDOW=FIRST_POPUP&amp;HEIGHT=450&amp;WIDTH=","450&amp;START_MAXIMIZED=FALSE&amp;VAR:CALENDAR=US&amp;VAR:SYMBOL=78388J10&amp;VAR:INDEX=0"}</definedName>
    <definedName name="_4495__FDSAUDITLINK__" localSheetId="7" hidden="1">{"fdsup://directions/FAT Viewer?action=UPDATE&amp;creator=factset&amp;DYN_ARGS=TRUE&amp;DOC_NAME=FAT:FQL_AUDITING_CLIENT_TEMPLATE.FAT&amp;display_string=Audit&amp;VAR:KEY=WDSZKFALGP&amp;VAR:QUERY=RkZfTUlOX0lOVF9BQ0NVTShDQUwsTk9XLE5PVyxELCxVU0Qp&amp;WINDOW=FIRST_POPUP&amp;HEIGHT=450&amp;WIDTH=","450&amp;START_MAXIMIZED=FALSE&amp;VAR:CALENDAR=US&amp;VAR:SYMBOL=78388J10&amp;VAR:INDEX=0"}</definedName>
    <definedName name="_4495__FDSAUDITLINK__" hidden="1">{"fdsup://directions/FAT Viewer?action=UPDATE&amp;creator=factset&amp;DYN_ARGS=TRUE&amp;DOC_NAME=FAT:FQL_AUDITING_CLIENT_TEMPLATE.FAT&amp;display_string=Audit&amp;VAR:KEY=WDSZKFALGP&amp;VAR:QUERY=RkZfTUlOX0lOVF9BQ0NVTShDQUwsTk9XLE5PVyxELCxVU0Qp&amp;WINDOW=FIRST_POPUP&amp;HEIGHT=450&amp;WIDTH=","450&amp;START_MAXIMIZED=FALSE&amp;VAR:CALENDAR=US&amp;VAR:SYMBOL=78388J10&amp;VAR:INDEX=0"}</definedName>
    <definedName name="_4496__FDSAUDITLINK__" localSheetId="3" hidden="1">{"fdsup://directions/FAT Viewer?action=UPDATE&amp;creator=factset&amp;DYN_ARGS=TRUE&amp;DOC_NAME=FAT:FQL_AUDITING_CLIENT_TEMPLATE.FAT&amp;display_string=Audit&amp;VAR:KEY=LQTMDULKVQ&amp;VAR:QUERY=RkZfTUlOX0lOVF9BQ0NVTShDQUwsTk9XLE5PVyxELCxVU0Qp&amp;WINDOW=FIRST_POPUP&amp;HEIGHT=450&amp;WIDTH=","450&amp;START_MAXIMIZED=FALSE&amp;VAR:CALENDAR=US&amp;VAR:SYMBOL=03027X10&amp;VAR:INDEX=0"}</definedName>
    <definedName name="_4496__FDSAUDITLINK__" localSheetId="7" hidden="1">{"fdsup://directions/FAT Viewer?action=UPDATE&amp;creator=factset&amp;DYN_ARGS=TRUE&amp;DOC_NAME=FAT:FQL_AUDITING_CLIENT_TEMPLATE.FAT&amp;display_string=Audit&amp;VAR:KEY=LQTMDULKVQ&amp;VAR:QUERY=RkZfTUlOX0lOVF9BQ0NVTShDQUwsTk9XLE5PVyxELCxVU0Qp&amp;WINDOW=FIRST_POPUP&amp;HEIGHT=450&amp;WIDTH=","450&amp;START_MAXIMIZED=FALSE&amp;VAR:CALENDAR=US&amp;VAR:SYMBOL=03027X10&amp;VAR:INDEX=0"}</definedName>
    <definedName name="_4496__FDSAUDITLINK__" hidden="1">{"fdsup://directions/FAT Viewer?action=UPDATE&amp;creator=factset&amp;DYN_ARGS=TRUE&amp;DOC_NAME=FAT:FQL_AUDITING_CLIENT_TEMPLATE.FAT&amp;display_string=Audit&amp;VAR:KEY=LQTMDULKVQ&amp;VAR:QUERY=RkZfTUlOX0lOVF9BQ0NVTShDQUwsTk9XLE5PVyxELCxVU0Qp&amp;WINDOW=FIRST_POPUP&amp;HEIGHT=450&amp;WIDTH=","450&amp;START_MAXIMIZED=FALSE&amp;VAR:CALENDAR=US&amp;VAR:SYMBOL=03027X10&amp;VAR:INDEX=0"}</definedName>
    <definedName name="_4497__FDSAUDITLINK__" localSheetId="3" hidden="1">{"fdsup://directions/FAT Viewer?action=UPDATE&amp;creator=factset&amp;DYN_ARGS=TRUE&amp;DOC_NAME=FAT:FQL_AUDITING_CLIENT_TEMPLATE.FAT&amp;display_string=Audit&amp;VAR:KEY=RSFSFGJUPM&amp;VAR:QUERY=RkZfTUlOX0lOVF9BQ0NVTShDQUwsTk9XLE5PVyxELCxVU0Qp&amp;WINDOW=FIRST_POPUP&amp;HEIGHT=450&amp;WIDTH=","450&amp;START_MAXIMIZED=FALSE&amp;VAR:CALENDAR=US&amp;VAR:SYMBOL=26613Q10&amp;VAR:INDEX=0"}</definedName>
    <definedName name="_4497__FDSAUDITLINK__" localSheetId="7" hidden="1">{"fdsup://directions/FAT Viewer?action=UPDATE&amp;creator=factset&amp;DYN_ARGS=TRUE&amp;DOC_NAME=FAT:FQL_AUDITING_CLIENT_TEMPLATE.FAT&amp;display_string=Audit&amp;VAR:KEY=RSFSFGJUPM&amp;VAR:QUERY=RkZfTUlOX0lOVF9BQ0NVTShDQUwsTk9XLE5PVyxELCxVU0Qp&amp;WINDOW=FIRST_POPUP&amp;HEIGHT=450&amp;WIDTH=","450&amp;START_MAXIMIZED=FALSE&amp;VAR:CALENDAR=US&amp;VAR:SYMBOL=26613Q10&amp;VAR:INDEX=0"}</definedName>
    <definedName name="_4497__FDSAUDITLINK__" hidden="1">{"fdsup://directions/FAT Viewer?action=UPDATE&amp;creator=factset&amp;DYN_ARGS=TRUE&amp;DOC_NAME=FAT:FQL_AUDITING_CLIENT_TEMPLATE.FAT&amp;display_string=Audit&amp;VAR:KEY=RSFSFGJUPM&amp;VAR:QUERY=RkZfTUlOX0lOVF9BQ0NVTShDQUwsTk9XLE5PVyxELCxVU0Qp&amp;WINDOW=FIRST_POPUP&amp;HEIGHT=450&amp;WIDTH=","450&amp;START_MAXIMIZED=FALSE&amp;VAR:CALENDAR=US&amp;VAR:SYMBOL=26613Q10&amp;VAR:INDEX=0"}</definedName>
    <definedName name="_4498__FDSAUDITLINK__" localSheetId="3" hidden="1">{"fdsup://directions/FAT Viewer?action=UPDATE&amp;creator=factset&amp;DYN_ARGS=TRUE&amp;DOC_NAME=FAT:FQL_AUDITING_CLIENT_TEMPLATE.FAT&amp;display_string=Audit&amp;VAR:KEY=ORUPOZQHUF&amp;VAR:QUERY=RkZfTUlOX0lOVF9BQ0NVTShDQUwsTk9XLE5PVyxELCxVU0Qp&amp;WINDOW=FIRST_POPUP&amp;HEIGHT=450&amp;WIDTH=","450&amp;START_MAXIMIZED=FALSE&amp;VAR:CALENDAR=US&amp;VAR:SYMBOL=25386810&amp;VAR:INDEX=0"}</definedName>
    <definedName name="_4498__FDSAUDITLINK__" localSheetId="7" hidden="1">{"fdsup://directions/FAT Viewer?action=UPDATE&amp;creator=factset&amp;DYN_ARGS=TRUE&amp;DOC_NAME=FAT:FQL_AUDITING_CLIENT_TEMPLATE.FAT&amp;display_string=Audit&amp;VAR:KEY=ORUPOZQHUF&amp;VAR:QUERY=RkZfTUlOX0lOVF9BQ0NVTShDQUwsTk9XLE5PVyxELCxVU0Qp&amp;WINDOW=FIRST_POPUP&amp;HEIGHT=450&amp;WIDTH=","450&amp;START_MAXIMIZED=FALSE&amp;VAR:CALENDAR=US&amp;VAR:SYMBOL=25386810&amp;VAR:INDEX=0"}</definedName>
    <definedName name="_4498__FDSAUDITLINK__" hidden="1">{"fdsup://directions/FAT Viewer?action=UPDATE&amp;creator=factset&amp;DYN_ARGS=TRUE&amp;DOC_NAME=FAT:FQL_AUDITING_CLIENT_TEMPLATE.FAT&amp;display_string=Audit&amp;VAR:KEY=ORUPOZQHUF&amp;VAR:QUERY=RkZfTUlOX0lOVF9BQ0NVTShDQUwsTk9XLE5PVyxELCxVU0Qp&amp;WINDOW=FIRST_POPUP&amp;HEIGHT=450&amp;WIDTH=","450&amp;START_MAXIMIZED=FALSE&amp;VAR:CALENDAR=US&amp;VAR:SYMBOL=25386810&amp;VAR:INDEX=0"}</definedName>
    <definedName name="_4499__FDSAUDITLINK__" localSheetId="3" hidden="1">{"fdsup://directions/FAT Viewer?action=UPDATE&amp;creator=factset&amp;DYN_ARGS=TRUE&amp;DOC_NAME=FAT:FQL_AUDITING_CLIENT_TEMPLATE.FAT&amp;display_string=Audit&amp;VAR:KEY=BSPARIJQDW&amp;VAR:QUERY=RkZfTUlOX0lOVF9BQ0NVTShDQUwsTk9XLE5PVyxELCxVU0Qp&amp;WINDOW=FIRST_POPUP&amp;HEIGHT=450&amp;WIDTH=","450&amp;START_MAXIMIZED=FALSE&amp;VAR:CALENDAR=US&amp;VAR:SYMBOL=IIJI&amp;VAR:INDEX=0"}</definedName>
    <definedName name="_4499__FDSAUDITLINK__" localSheetId="7" hidden="1">{"fdsup://directions/FAT Viewer?action=UPDATE&amp;creator=factset&amp;DYN_ARGS=TRUE&amp;DOC_NAME=FAT:FQL_AUDITING_CLIENT_TEMPLATE.FAT&amp;display_string=Audit&amp;VAR:KEY=BSPARIJQDW&amp;VAR:QUERY=RkZfTUlOX0lOVF9BQ0NVTShDQUwsTk9XLE5PVyxELCxVU0Qp&amp;WINDOW=FIRST_POPUP&amp;HEIGHT=450&amp;WIDTH=","450&amp;START_MAXIMIZED=FALSE&amp;VAR:CALENDAR=US&amp;VAR:SYMBOL=IIJI&amp;VAR:INDEX=0"}</definedName>
    <definedName name="_4499__FDSAUDITLINK__" hidden="1">{"fdsup://directions/FAT Viewer?action=UPDATE&amp;creator=factset&amp;DYN_ARGS=TRUE&amp;DOC_NAME=FAT:FQL_AUDITING_CLIENT_TEMPLATE.FAT&amp;display_string=Audit&amp;VAR:KEY=BSPARIJQDW&amp;VAR:QUERY=RkZfTUlOX0lOVF9BQ0NVTShDQUwsTk9XLE5PVyxELCxVU0Qp&amp;WINDOW=FIRST_POPUP&amp;HEIGHT=450&amp;WIDTH=","450&amp;START_MAXIMIZED=FALSE&amp;VAR:CALENDAR=US&amp;VAR:SYMBOL=IIJI&amp;VAR:INDEX=0"}</definedName>
    <definedName name="_45__FDSAUDITLINK__" localSheetId="3" hidden="1">{"fdsup://directions/FAT Viewer?action=UPDATE&amp;creator=factset&amp;DYN_ARGS=TRUE&amp;DOC_NAME=FAT:FQL_AUDITING_CLIENT_TEMPLATE.FAT&amp;display_string=Audit&amp;VAR:KEY=DWJIHCNWFC&amp;VAR:QUERY=RkZfU0FMRVMoTFRNLDAsLCwsLE0p&amp;WINDOW=FIRST_POPUP&amp;HEIGHT=450&amp;WIDTH=450&amp;START_MAXIMIZED=","FALSE&amp;VAR:CALENDAR=US&amp;VAR:SYMBOL=B07C76&amp;VAR:INDEX=0"}</definedName>
    <definedName name="_45__FDSAUDITLINK__" localSheetId="7" hidden="1">{"fdsup://directions/FAT Viewer?action=UPDATE&amp;creator=factset&amp;DYN_ARGS=TRUE&amp;DOC_NAME=FAT:FQL_AUDITING_CLIENT_TEMPLATE.FAT&amp;display_string=Audit&amp;VAR:KEY=DWJIHCNWFC&amp;VAR:QUERY=RkZfU0FMRVMoTFRNLDAsLCwsLE0p&amp;WINDOW=FIRST_POPUP&amp;HEIGHT=450&amp;WIDTH=450&amp;START_MAXIMIZED=","FALSE&amp;VAR:CALENDAR=US&amp;VAR:SYMBOL=B07C76&amp;VAR:INDEX=0"}</definedName>
    <definedName name="_45__FDSAUDITLINK__" hidden="1">{"fdsup://directions/FAT Viewer?action=UPDATE&amp;creator=factset&amp;DYN_ARGS=TRUE&amp;DOC_NAME=FAT:FQL_AUDITING_CLIENT_TEMPLATE.FAT&amp;display_string=Audit&amp;VAR:KEY=DWJIHCNWFC&amp;VAR:QUERY=RkZfU0FMRVMoTFRNLDAsLCwsLE0p&amp;WINDOW=FIRST_POPUP&amp;HEIGHT=450&amp;WIDTH=450&amp;START_MAXIMIZED=","FALSE&amp;VAR:CALENDAR=US&amp;VAR:SYMBOL=B07C76&amp;VAR:INDEX=0"}</definedName>
    <definedName name="_450__FDSAUDITLINK__" localSheetId="3" hidden="1">{"fdsup://directions/FAT Viewer?action=UPDATE&amp;creator=factset&amp;DYN_ARGS=TRUE&amp;DOC_NAME=FAT:FQL_AUDITING_CLIENT_TEMPLATE.FAT&amp;display_string=Audit&amp;VAR:KEY=MXKNSVUJEZ&amp;VAR:QUERY=UENUQ0hHKEZGX0VCSVREQV9PUEVSKEFOTiwwLC05LFksUlAsTE9DQUwsTSksRkZfRUJJVERBX09QRVIoQU5OL","C0xLC05IC0gMSxZLFJQLExPQ0FMLE0pKQ==&amp;WINDOW=FIRST_POPUP&amp;HEIGHT=450&amp;WIDTH=450&amp;START_MAXIMIZED=FALSE&amp;VAR:CALENDAR=US&amp;VAR:SYMBOL=B10LQP&amp;VAR:INDEX=1"}</definedName>
    <definedName name="_450__FDSAUDITLINK__" localSheetId="7" hidden="1">{"fdsup://directions/FAT Viewer?action=UPDATE&amp;creator=factset&amp;DYN_ARGS=TRUE&amp;DOC_NAME=FAT:FQL_AUDITING_CLIENT_TEMPLATE.FAT&amp;display_string=Audit&amp;VAR:KEY=MXKNSVUJEZ&amp;VAR:QUERY=UENUQ0hHKEZGX0VCSVREQV9PUEVSKEFOTiwwLC05LFksUlAsTE9DQUwsTSksRkZfRUJJVERBX09QRVIoQU5OL","C0xLC05IC0gMSxZLFJQLExPQ0FMLE0pKQ==&amp;WINDOW=FIRST_POPUP&amp;HEIGHT=450&amp;WIDTH=450&amp;START_MAXIMIZED=FALSE&amp;VAR:CALENDAR=US&amp;VAR:SYMBOL=B10LQP&amp;VAR:INDEX=1"}</definedName>
    <definedName name="_450__FDSAUDITLINK__" hidden="1">{"fdsup://directions/FAT Viewer?action=UPDATE&amp;creator=factset&amp;DYN_ARGS=TRUE&amp;DOC_NAME=FAT:FQL_AUDITING_CLIENT_TEMPLATE.FAT&amp;display_string=Audit&amp;VAR:KEY=MXKNSVUJEZ&amp;VAR:QUERY=UENUQ0hHKEZGX0VCSVREQV9PUEVSKEFOTiwwLC05LFksUlAsTE9DQUwsTSksRkZfRUJJVERBX09QRVIoQU5OL","C0xLC05IC0gMSxZLFJQLExPQ0FMLE0pKQ==&amp;WINDOW=FIRST_POPUP&amp;HEIGHT=450&amp;WIDTH=450&amp;START_MAXIMIZED=FALSE&amp;VAR:CALENDAR=US&amp;VAR:SYMBOL=B10LQP&amp;VAR:INDEX=1"}</definedName>
    <definedName name="_4500__FDSAUDITLINK__" localSheetId="3" hidden="1">{"fdsup://directions/FAT Viewer?action=UPDATE&amp;creator=factset&amp;DYN_ARGS=TRUE&amp;DOC_NAME=FAT:FQL_AUDITING_CLIENT_TEMPLATE.FAT&amp;display_string=Audit&amp;VAR:KEY=NEFEBYFEFO&amp;VAR:QUERY=RkZfTUlOX0lOVF9BQ0NVTShDQUwsTk9XLE5PVyxELCxVU0Qp&amp;WINDOW=FIRST_POPUP&amp;HEIGHT=450&amp;WIDTH=","450&amp;START_MAXIMIZED=FALSE&amp;VAR:CALENDAR=US&amp;VAR:SYMBOL=B0Q3G9&amp;VAR:INDEX=0"}</definedName>
    <definedName name="_4500__FDSAUDITLINK__" localSheetId="7" hidden="1">{"fdsup://directions/FAT Viewer?action=UPDATE&amp;creator=factset&amp;DYN_ARGS=TRUE&amp;DOC_NAME=FAT:FQL_AUDITING_CLIENT_TEMPLATE.FAT&amp;display_string=Audit&amp;VAR:KEY=NEFEBYFEFO&amp;VAR:QUERY=RkZfTUlOX0lOVF9BQ0NVTShDQUwsTk9XLE5PVyxELCxVU0Qp&amp;WINDOW=FIRST_POPUP&amp;HEIGHT=450&amp;WIDTH=","450&amp;START_MAXIMIZED=FALSE&amp;VAR:CALENDAR=US&amp;VAR:SYMBOL=B0Q3G9&amp;VAR:INDEX=0"}</definedName>
    <definedName name="_4500__FDSAUDITLINK__" hidden="1">{"fdsup://directions/FAT Viewer?action=UPDATE&amp;creator=factset&amp;DYN_ARGS=TRUE&amp;DOC_NAME=FAT:FQL_AUDITING_CLIENT_TEMPLATE.FAT&amp;display_string=Audit&amp;VAR:KEY=NEFEBYFEFO&amp;VAR:QUERY=RkZfTUlOX0lOVF9BQ0NVTShDQUwsTk9XLE5PVyxELCxVU0Qp&amp;WINDOW=FIRST_POPUP&amp;HEIGHT=450&amp;WIDTH=","450&amp;START_MAXIMIZED=FALSE&amp;VAR:CALENDAR=US&amp;VAR:SYMBOL=B0Q3G9&amp;VAR:INDEX=0"}</definedName>
    <definedName name="_4501__FDSAUDITLINK__" localSheetId="3" hidden="1">{"fdsup://directions/FAT Viewer?action=UPDATE&amp;creator=factset&amp;DYN_ARGS=TRUE&amp;DOC_NAME=FAT:FQL_AUDITING_CLIENT_TEMPLATE.FAT&amp;display_string=Audit&amp;VAR:KEY=JIBGHOTIRO&amp;VAR:QUERY=RkZfTUlOX0lOVF9BQ0NVTShDQUwsTk9XLE5PVyxELCxVU0Qp&amp;WINDOW=FIRST_POPUP&amp;HEIGHT=450&amp;WIDTH=","450&amp;START_MAXIMIZED=FALSE&amp;VAR:CALENDAR=US&amp;VAR:SYMBOL=SINA&amp;VAR:INDEX=0"}</definedName>
    <definedName name="_4501__FDSAUDITLINK__" localSheetId="7" hidden="1">{"fdsup://directions/FAT Viewer?action=UPDATE&amp;creator=factset&amp;DYN_ARGS=TRUE&amp;DOC_NAME=FAT:FQL_AUDITING_CLIENT_TEMPLATE.FAT&amp;display_string=Audit&amp;VAR:KEY=JIBGHOTIRO&amp;VAR:QUERY=RkZfTUlOX0lOVF9BQ0NVTShDQUwsTk9XLE5PVyxELCxVU0Qp&amp;WINDOW=FIRST_POPUP&amp;HEIGHT=450&amp;WIDTH=","450&amp;START_MAXIMIZED=FALSE&amp;VAR:CALENDAR=US&amp;VAR:SYMBOL=SINA&amp;VAR:INDEX=0"}</definedName>
    <definedName name="_4501__FDSAUDITLINK__" hidden="1">{"fdsup://directions/FAT Viewer?action=UPDATE&amp;creator=factset&amp;DYN_ARGS=TRUE&amp;DOC_NAME=FAT:FQL_AUDITING_CLIENT_TEMPLATE.FAT&amp;display_string=Audit&amp;VAR:KEY=JIBGHOTIRO&amp;VAR:QUERY=RkZfTUlOX0lOVF9BQ0NVTShDQUwsTk9XLE5PVyxELCxVU0Qp&amp;WINDOW=FIRST_POPUP&amp;HEIGHT=450&amp;WIDTH=","450&amp;START_MAXIMIZED=FALSE&amp;VAR:CALENDAR=US&amp;VAR:SYMBOL=SINA&amp;VAR:INDEX=0"}</definedName>
    <definedName name="_4502__FDSAUDITLINK__" localSheetId="3" hidden="1">{"fdsup://directions/FAT Viewer?action=UPDATE&amp;creator=factset&amp;DYN_ARGS=TRUE&amp;DOC_NAME=FAT:FQL_AUDITING_CLIENT_TEMPLATE.FAT&amp;display_string=Audit&amp;VAR:KEY=LKRYJWDSVW&amp;VAR:QUERY=RkZfTUlOX0lOVF9BQ0NVTShDQUwsTk9XLE5PVyxELCxVU0Qp&amp;WINDOW=FIRST_POPUP&amp;HEIGHT=450&amp;WIDTH=","450&amp;START_MAXIMIZED=FALSE&amp;VAR:CALENDAR=US&amp;VAR:SYMBOL=83408W10&amp;VAR:INDEX=0"}</definedName>
    <definedName name="_4502__FDSAUDITLINK__" localSheetId="7" hidden="1">{"fdsup://directions/FAT Viewer?action=UPDATE&amp;creator=factset&amp;DYN_ARGS=TRUE&amp;DOC_NAME=FAT:FQL_AUDITING_CLIENT_TEMPLATE.FAT&amp;display_string=Audit&amp;VAR:KEY=LKRYJWDSVW&amp;VAR:QUERY=RkZfTUlOX0lOVF9BQ0NVTShDQUwsTk9XLE5PVyxELCxVU0Qp&amp;WINDOW=FIRST_POPUP&amp;HEIGHT=450&amp;WIDTH=","450&amp;START_MAXIMIZED=FALSE&amp;VAR:CALENDAR=US&amp;VAR:SYMBOL=83408W10&amp;VAR:INDEX=0"}</definedName>
    <definedName name="_4502__FDSAUDITLINK__" hidden="1">{"fdsup://directions/FAT Viewer?action=UPDATE&amp;creator=factset&amp;DYN_ARGS=TRUE&amp;DOC_NAME=FAT:FQL_AUDITING_CLIENT_TEMPLATE.FAT&amp;display_string=Audit&amp;VAR:KEY=LKRYJWDSVW&amp;VAR:QUERY=RkZfTUlOX0lOVF9BQ0NVTShDQUwsTk9XLE5PVyxELCxVU0Qp&amp;WINDOW=FIRST_POPUP&amp;HEIGHT=450&amp;WIDTH=","450&amp;START_MAXIMIZED=FALSE&amp;VAR:CALENDAR=US&amp;VAR:SYMBOL=83408W10&amp;VAR:INDEX=0"}</definedName>
    <definedName name="_4503__FDSAUDITLINK__" localSheetId="3" hidden="1">{"fdsup://directions/FAT Viewer?action=UPDATE&amp;creator=factset&amp;DYN_ARGS=TRUE&amp;DOC_NAME=FAT:FQL_AUDITING_CLIENT_TEMPLATE.FAT&amp;display_string=Audit&amp;VAR:KEY=EFGJELYNYZ&amp;VAR:QUERY=RkZfTUlOX0lOVF9BQ0NVTShDQUwsTk9XLE5PVyxELCxVU0Qp&amp;WINDOW=FIRST_POPUP&amp;HEIGHT=450&amp;WIDTH=","450&amp;START_MAXIMIZED=FALSE&amp;VAR:CALENDAR=US&amp;VAR:SYMBOL=98433210&amp;VAR:INDEX=0"}</definedName>
    <definedName name="_4503__FDSAUDITLINK__" localSheetId="7" hidden="1">{"fdsup://directions/FAT Viewer?action=UPDATE&amp;creator=factset&amp;DYN_ARGS=TRUE&amp;DOC_NAME=FAT:FQL_AUDITING_CLIENT_TEMPLATE.FAT&amp;display_string=Audit&amp;VAR:KEY=EFGJELYNYZ&amp;VAR:QUERY=RkZfTUlOX0lOVF9BQ0NVTShDQUwsTk9XLE5PVyxELCxVU0Qp&amp;WINDOW=FIRST_POPUP&amp;HEIGHT=450&amp;WIDTH=","450&amp;START_MAXIMIZED=FALSE&amp;VAR:CALENDAR=US&amp;VAR:SYMBOL=98433210&amp;VAR:INDEX=0"}</definedName>
    <definedName name="_4503__FDSAUDITLINK__" hidden="1">{"fdsup://directions/FAT Viewer?action=UPDATE&amp;creator=factset&amp;DYN_ARGS=TRUE&amp;DOC_NAME=FAT:FQL_AUDITING_CLIENT_TEMPLATE.FAT&amp;display_string=Audit&amp;VAR:KEY=EFGJELYNYZ&amp;VAR:QUERY=RkZfTUlOX0lOVF9BQ0NVTShDQUwsTk9XLE5PVyxELCxVU0Qp&amp;WINDOW=FIRST_POPUP&amp;HEIGHT=450&amp;WIDTH=","450&amp;START_MAXIMIZED=FALSE&amp;VAR:CALENDAR=US&amp;VAR:SYMBOL=98433210&amp;VAR:INDEX=0"}</definedName>
    <definedName name="_4504__FDSAUDITLINK__" localSheetId="3" hidden="1">{"fdsup://directions/FAT Viewer?action=UPDATE&amp;creator=factset&amp;DYN_ARGS=TRUE&amp;DOC_NAME=FAT:FQL_AUDITING_CLIENT_TEMPLATE.FAT&amp;display_string=Audit&amp;VAR:KEY=TGVKVMZOHQ&amp;VAR:QUERY=RkZfTUlOX0lOVF9BQ0NVTShDQUwsTk9XLE5PVyxELCxVU0Qp&amp;WINDOW=FIRST_POPUP&amp;HEIGHT=450&amp;WIDTH=","450&amp;START_MAXIMIZED=FALSE&amp;VAR:CALENDAR=US&amp;VAR:SYMBOL=435413&amp;VAR:INDEX=0"}</definedName>
    <definedName name="_4504__FDSAUDITLINK__" localSheetId="7" hidden="1">{"fdsup://directions/FAT Viewer?action=UPDATE&amp;creator=factset&amp;DYN_ARGS=TRUE&amp;DOC_NAME=FAT:FQL_AUDITING_CLIENT_TEMPLATE.FAT&amp;display_string=Audit&amp;VAR:KEY=TGVKVMZOHQ&amp;VAR:QUERY=RkZfTUlOX0lOVF9BQ0NVTShDQUwsTk9XLE5PVyxELCxVU0Qp&amp;WINDOW=FIRST_POPUP&amp;HEIGHT=450&amp;WIDTH=","450&amp;START_MAXIMIZED=FALSE&amp;VAR:CALENDAR=US&amp;VAR:SYMBOL=435413&amp;VAR:INDEX=0"}</definedName>
    <definedName name="_4504__FDSAUDITLINK__" hidden="1">{"fdsup://directions/FAT Viewer?action=UPDATE&amp;creator=factset&amp;DYN_ARGS=TRUE&amp;DOC_NAME=FAT:FQL_AUDITING_CLIENT_TEMPLATE.FAT&amp;display_string=Audit&amp;VAR:KEY=TGVKVMZOHQ&amp;VAR:QUERY=RkZfTUlOX0lOVF9BQ0NVTShDQUwsTk9XLE5PVyxELCxVU0Qp&amp;WINDOW=FIRST_POPUP&amp;HEIGHT=450&amp;WIDTH=","450&amp;START_MAXIMIZED=FALSE&amp;VAR:CALENDAR=US&amp;VAR:SYMBOL=435413&amp;VAR:INDEX=0"}</definedName>
    <definedName name="_4505__FDSAUDITLINK__" localSheetId="3" hidden="1">{"fdsup://directions/FAT Viewer?action=UPDATE&amp;creator=factset&amp;DYN_ARGS=TRUE&amp;DOC_NAME=FAT:FQL_AUDITING_CLIENT_TEMPLATE.FAT&amp;display_string=Audit&amp;VAR:KEY=FCBEXYHSZQ&amp;VAR:QUERY=RkZfTUlOX0lOVF9BQ0NVTShDQUwsTk9XLE5PVyxELCxVU0Qp&amp;WINDOW=FIRST_POPUP&amp;HEIGHT=450&amp;WIDTH=","450&amp;START_MAXIMIZED=FALSE&amp;VAR:CALENDAR=US&amp;VAR:SYMBOL=29444U50&amp;VAR:INDEX=0"}</definedName>
    <definedName name="_4505__FDSAUDITLINK__" localSheetId="7" hidden="1">{"fdsup://directions/FAT Viewer?action=UPDATE&amp;creator=factset&amp;DYN_ARGS=TRUE&amp;DOC_NAME=FAT:FQL_AUDITING_CLIENT_TEMPLATE.FAT&amp;display_string=Audit&amp;VAR:KEY=FCBEXYHSZQ&amp;VAR:QUERY=RkZfTUlOX0lOVF9BQ0NVTShDQUwsTk9XLE5PVyxELCxVU0Qp&amp;WINDOW=FIRST_POPUP&amp;HEIGHT=450&amp;WIDTH=","450&amp;START_MAXIMIZED=FALSE&amp;VAR:CALENDAR=US&amp;VAR:SYMBOL=29444U50&amp;VAR:INDEX=0"}</definedName>
    <definedName name="_4505__FDSAUDITLINK__" hidden="1">{"fdsup://directions/FAT Viewer?action=UPDATE&amp;creator=factset&amp;DYN_ARGS=TRUE&amp;DOC_NAME=FAT:FQL_AUDITING_CLIENT_TEMPLATE.FAT&amp;display_string=Audit&amp;VAR:KEY=FCBEXYHSZQ&amp;VAR:QUERY=RkZfTUlOX0lOVF9BQ0NVTShDQUwsTk9XLE5PVyxELCxVU0Qp&amp;WINDOW=FIRST_POPUP&amp;HEIGHT=450&amp;WIDTH=","450&amp;START_MAXIMIZED=FALSE&amp;VAR:CALENDAR=US&amp;VAR:SYMBOL=29444U50&amp;VAR:INDEX=0"}</definedName>
    <definedName name="_4506__FDSAUDITLINK__" localSheetId="3" hidden="1">{"fdsup://directions/FAT Viewer?action=UPDATE&amp;creator=factset&amp;DYN_ARGS=TRUE&amp;DOC_NAME=FAT:FQL_AUDITING_CLIENT_TEMPLATE.FAT&amp;display_string=Audit&amp;VAR:KEY=UTWNQTQXCZ&amp;VAR:QUERY=RkZfTUlOX0lOVF9BQ0NVTShDQUwsTk9XLE5PVyxELCxVU0Qp&amp;WINDOW=FIRST_POPUP&amp;HEIGHT=450&amp;WIDTH=","450&amp;START_MAXIMIZED=FALSE&amp;VAR:CALENDAR=US&amp;VAR:SYMBOL=447621&amp;VAR:INDEX=0"}</definedName>
    <definedName name="_4506__FDSAUDITLINK__" localSheetId="7" hidden="1">{"fdsup://directions/FAT Viewer?action=UPDATE&amp;creator=factset&amp;DYN_ARGS=TRUE&amp;DOC_NAME=FAT:FQL_AUDITING_CLIENT_TEMPLATE.FAT&amp;display_string=Audit&amp;VAR:KEY=UTWNQTQXCZ&amp;VAR:QUERY=RkZfTUlOX0lOVF9BQ0NVTShDQUwsTk9XLE5PVyxELCxVU0Qp&amp;WINDOW=FIRST_POPUP&amp;HEIGHT=450&amp;WIDTH=","450&amp;START_MAXIMIZED=FALSE&amp;VAR:CALENDAR=US&amp;VAR:SYMBOL=447621&amp;VAR:INDEX=0"}</definedName>
    <definedName name="_4506__FDSAUDITLINK__" hidden="1">{"fdsup://directions/FAT Viewer?action=UPDATE&amp;creator=factset&amp;DYN_ARGS=TRUE&amp;DOC_NAME=FAT:FQL_AUDITING_CLIENT_TEMPLATE.FAT&amp;display_string=Audit&amp;VAR:KEY=UTWNQTQXCZ&amp;VAR:QUERY=RkZfTUlOX0lOVF9BQ0NVTShDQUwsTk9XLE5PVyxELCxVU0Qp&amp;WINDOW=FIRST_POPUP&amp;HEIGHT=450&amp;WIDTH=","450&amp;START_MAXIMIZED=FALSE&amp;VAR:CALENDAR=US&amp;VAR:SYMBOL=447621&amp;VAR:INDEX=0"}</definedName>
    <definedName name="_4507__FDSAUDITLINK__" localSheetId="3" hidden="1">{"fdsup://directions/FAT Viewer?action=UPDATE&amp;creator=factset&amp;DYN_ARGS=TRUE&amp;DOC_NAME=FAT:FQL_AUDITING_CLIENT_TEMPLATE.FAT&amp;display_string=Audit&amp;VAR:KEY=EDUVSNYJIF&amp;VAR:QUERY=RkZfTUlOX0lOVF9BQ0NVTShDQUwsTk9XLE5PVyxELCxVU0Qp&amp;WINDOW=FIRST_POPUP&amp;HEIGHT=450&amp;WIDTH=","450&amp;START_MAXIMIZED=FALSE&amp;VAR:CALENDAR=US&amp;VAR:SYMBOL=599933&amp;VAR:INDEX=0"}</definedName>
    <definedName name="_4507__FDSAUDITLINK__" localSheetId="7" hidden="1">{"fdsup://directions/FAT Viewer?action=UPDATE&amp;creator=factset&amp;DYN_ARGS=TRUE&amp;DOC_NAME=FAT:FQL_AUDITING_CLIENT_TEMPLATE.FAT&amp;display_string=Audit&amp;VAR:KEY=EDUVSNYJIF&amp;VAR:QUERY=RkZfTUlOX0lOVF9BQ0NVTShDQUwsTk9XLE5PVyxELCxVU0Qp&amp;WINDOW=FIRST_POPUP&amp;HEIGHT=450&amp;WIDTH=","450&amp;START_MAXIMIZED=FALSE&amp;VAR:CALENDAR=US&amp;VAR:SYMBOL=599933&amp;VAR:INDEX=0"}</definedName>
    <definedName name="_4507__FDSAUDITLINK__" hidden="1">{"fdsup://directions/FAT Viewer?action=UPDATE&amp;creator=factset&amp;DYN_ARGS=TRUE&amp;DOC_NAME=FAT:FQL_AUDITING_CLIENT_TEMPLATE.FAT&amp;display_string=Audit&amp;VAR:KEY=EDUVSNYJIF&amp;VAR:QUERY=RkZfTUlOX0lOVF9BQ0NVTShDQUwsTk9XLE5PVyxELCxVU0Qp&amp;WINDOW=FIRST_POPUP&amp;HEIGHT=450&amp;WIDTH=","450&amp;START_MAXIMIZED=FALSE&amp;VAR:CALENDAR=US&amp;VAR:SYMBOL=599933&amp;VAR:INDEX=0"}</definedName>
    <definedName name="_4508__FDSAUDITLINK__" localSheetId="3" hidden="1">{"fdsup://directions/FAT Viewer?action=UPDATE&amp;creator=factset&amp;DYN_ARGS=TRUE&amp;DOC_NAME=FAT:FQL_AUDITING_CLIENT_TEMPLATE.FAT&amp;display_string=Audit&amp;VAR:KEY=VKLWXOHYXW&amp;VAR:QUERY=RkZfTUlOX0lOVF9BQ0NVTShDQUwsTk9XLE5PVyxELCxVU0Qp&amp;WINDOW=FIRST_POPUP&amp;HEIGHT=450&amp;WIDTH=","450&amp;START_MAXIMIZED=FALSE&amp;VAR:CALENDAR=US&amp;VAR:SYMBOL=92932M10&amp;VAR:INDEX=0"}</definedName>
    <definedName name="_4508__FDSAUDITLINK__" localSheetId="7" hidden="1">{"fdsup://directions/FAT Viewer?action=UPDATE&amp;creator=factset&amp;DYN_ARGS=TRUE&amp;DOC_NAME=FAT:FQL_AUDITING_CLIENT_TEMPLATE.FAT&amp;display_string=Audit&amp;VAR:KEY=VKLWXOHYXW&amp;VAR:QUERY=RkZfTUlOX0lOVF9BQ0NVTShDQUwsTk9XLE5PVyxELCxVU0Qp&amp;WINDOW=FIRST_POPUP&amp;HEIGHT=450&amp;WIDTH=","450&amp;START_MAXIMIZED=FALSE&amp;VAR:CALENDAR=US&amp;VAR:SYMBOL=92932M10&amp;VAR:INDEX=0"}</definedName>
    <definedName name="_4508__FDSAUDITLINK__" hidden="1">{"fdsup://directions/FAT Viewer?action=UPDATE&amp;creator=factset&amp;DYN_ARGS=TRUE&amp;DOC_NAME=FAT:FQL_AUDITING_CLIENT_TEMPLATE.FAT&amp;display_string=Audit&amp;VAR:KEY=VKLWXOHYXW&amp;VAR:QUERY=RkZfTUlOX0lOVF9BQ0NVTShDQUwsTk9XLE5PVyxELCxVU0Qp&amp;WINDOW=FIRST_POPUP&amp;HEIGHT=450&amp;WIDTH=","450&amp;START_MAXIMIZED=FALSE&amp;VAR:CALENDAR=US&amp;VAR:SYMBOL=92932M10&amp;VAR:INDEX=0"}</definedName>
    <definedName name="_4509__FDSAUDITLINK__" localSheetId="3" hidden="1">{"fdsup://directions/FAT Viewer?action=UPDATE&amp;creator=factset&amp;DYN_ARGS=TRUE&amp;DOC_NAME=FAT:FQL_AUDITING_CLIENT_TEMPLATE.FAT&amp;display_string=Audit&amp;VAR:KEY=ZKZQFEJOTU&amp;VAR:QUERY=RkZfTUlOX0lOVF9BQ0NVTShDQUwsTk9XLE5PVyxELCxVU0Qp&amp;WINDOW=FIRST_POPUP&amp;HEIGHT=450&amp;WIDTH=","450&amp;START_MAXIMIZED=FALSE&amp;VAR:CALENDAR=US&amp;VAR:SYMBOL=30208110&amp;VAR:INDEX=0"}</definedName>
    <definedName name="_4509__FDSAUDITLINK__" localSheetId="7" hidden="1">{"fdsup://directions/FAT Viewer?action=UPDATE&amp;creator=factset&amp;DYN_ARGS=TRUE&amp;DOC_NAME=FAT:FQL_AUDITING_CLIENT_TEMPLATE.FAT&amp;display_string=Audit&amp;VAR:KEY=ZKZQFEJOTU&amp;VAR:QUERY=RkZfTUlOX0lOVF9BQ0NVTShDQUwsTk9XLE5PVyxELCxVU0Qp&amp;WINDOW=FIRST_POPUP&amp;HEIGHT=450&amp;WIDTH=","450&amp;START_MAXIMIZED=FALSE&amp;VAR:CALENDAR=US&amp;VAR:SYMBOL=30208110&amp;VAR:INDEX=0"}</definedName>
    <definedName name="_4509__FDSAUDITLINK__" hidden="1">{"fdsup://directions/FAT Viewer?action=UPDATE&amp;creator=factset&amp;DYN_ARGS=TRUE&amp;DOC_NAME=FAT:FQL_AUDITING_CLIENT_TEMPLATE.FAT&amp;display_string=Audit&amp;VAR:KEY=ZKZQFEJOTU&amp;VAR:QUERY=RkZfTUlOX0lOVF9BQ0NVTShDQUwsTk9XLE5PVyxELCxVU0Qp&amp;WINDOW=FIRST_POPUP&amp;HEIGHT=450&amp;WIDTH=","450&amp;START_MAXIMIZED=FALSE&amp;VAR:CALENDAR=US&amp;VAR:SYMBOL=30208110&amp;VAR:INDEX=0"}</definedName>
    <definedName name="_451__FDSAUDITLINK__" localSheetId="3" hidden="1">{"fdsup://directions/FAT Viewer?action=UPDATE&amp;creator=factset&amp;DYN_ARGS=TRUE&amp;DOC_NAME=FAT:FQL_AUDITING_CLIENT_TEMPLATE.FAT&amp;display_string=Audit&amp;VAR:KEY=ZUXEJEHKLM&amp;VAR:QUERY=RkZfREVCVChBTk4sMCwtOSxZLFJQKSAvLyBDRV9GRl9FTlRSUFJfVkFMKDAsLTksWSwnMEQnKQ==&amp;WINDOW=F","IRST_POPUP&amp;HEIGHT=450&amp;WIDTH=450&amp;START_MAXIMIZED=FALSE&amp;VAR:CALENDAR=US&amp;VAR:SYMBOL=B10LQP&amp;VAR:INDEX=7"}</definedName>
    <definedName name="_451__FDSAUDITLINK__" localSheetId="7" hidden="1">{"fdsup://directions/FAT Viewer?action=UPDATE&amp;creator=factset&amp;DYN_ARGS=TRUE&amp;DOC_NAME=FAT:FQL_AUDITING_CLIENT_TEMPLATE.FAT&amp;display_string=Audit&amp;VAR:KEY=ZUXEJEHKLM&amp;VAR:QUERY=RkZfREVCVChBTk4sMCwtOSxZLFJQKSAvLyBDRV9GRl9FTlRSUFJfVkFMKDAsLTksWSwnMEQnKQ==&amp;WINDOW=F","IRST_POPUP&amp;HEIGHT=450&amp;WIDTH=450&amp;START_MAXIMIZED=FALSE&amp;VAR:CALENDAR=US&amp;VAR:SYMBOL=B10LQP&amp;VAR:INDEX=7"}</definedName>
    <definedName name="_451__FDSAUDITLINK__" hidden="1">{"fdsup://directions/FAT Viewer?action=UPDATE&amp;creator=factset&amp;DYN_ARGS=TRUE&amp;DOC_NAME=FAT:FQL_AUDITING_CLIENT_TEMPLATE.FAT&amp;display_string=Audit&amp;VAR:KEY=ZUXEJEHKLM&amp;VAR:QUERY=RkZfREVCVChBTk4sMCwtOSxZLFJQKSAvLyBDRV9GRl9FTlRSUFJfVkFMKDAsLTksWSwnMEQnKQ==&amp;WINDOW=F","IRST_POPUP&amp;HEIGHT=450&amp;WIDTH=450&amp;START_MAXIMIZED=FALSE&amp;VAR:CALENDAR=US&amp;VAR:SYMBOL=B10LQP&amp;VAR:INDEX=7"}</definedName>
    <definedName name="_4510__FDSAUDITLINK__" localSheetId="3" hidden="1">{"fdsup://directions/FAT Viewer?action=UPDATE&amp;creator=factset&amp;DYN_ARGS=TRUE&amp;DOC_NAME=FAT:FQL_AUDITING_CLIENT_TEMPLATE.FAT&amp;display_string=Audit&amp;VAR:KEY=MLIBEHANOT&amp;VAR:QUERY=RkZfTUlOX0lOVF9BQ0NVTShDQUwsTk9XLE5PVyxELCxVU0Qp&amp;WINDOW=FIRST_POPUP&amp;HEIGHT=450&amp;WIDTH=","450&amp;START_MAXIMIZED=FALSE&amp;VAR:CALENDAR=US&amp;VAR:SYMBOL=87993910&amp;VAR:INDEX=0"}</definedName>
    <definedName name="_4510__FDSAUDITLINK__" localSheetId="7" hidden="1">{"fdsup://directions/FAT Viewer?action=UPDATE&amp;creator=factset&amp;DYN_ARGS=TRUE&amp;DOC_NAME=FAT:FQL_AUDITING_CLIENT_TEMPLATE.FAT&amp;display_string=Audit&amp;VAR:KEY=MLIBEHANOT&amp;VAR:QUERY=RkZfTUlOX0lOVF9BQ0NVTShDQUwsTk9XLE5PVyxELCxVU0Qp&amp;WINDOW=FIRST_POPUP&amp;HEIGHT=450&amp;WIDTH=","450&amp;START_MAXIMIZED=FALSE&amp;VAR:CALENDAR=US&amp;VAR:SYMBOL=87993910&amp;VAR:INDEX=0"}</definedName>
    <definedName name="_4510__FDSAUDITLINK__" hidden="1">{"fdsup://directions/FAT Viewer?action=UPDATE&amp;creator=factset&amp;DYN_ARGS=TRUE&amp;DOC_NAME=FAT:FQL_AUDITING_CLIENT_TEMPLATE.FAT&amp;display_string=Audit&amp;VAR:KEY=MLIBEHANOT&amp;VAR:QUERY=RkZfTUlOX0lOVF9BQ0NVTShDQUwsTk9XLE5PVyxELCxVU0Qp&amp;WINDOW=FIRST_POPUP&amp;HEIGHT=450&amp;WIDTH=","450&amp;START_MAXIMIZED=FALSE&amp;VAR:CALENDAR=US&amp;VAR:SYMBOL=87993910&amp;VAR:INDEX=0"}</definedName>
    <definedName name="_4511__FDSAUDITLINK__" localSheetId="3" hidden="1">{"fdsup://directions/FAT Viewer?action=UPDATE&amp;creator=factset&amp;DYN_ARGS=TRUE&amp;DOC_NAME=FAT:FQL_AUDITING_CLIENT_TEMPLATE.FAT&amp;display_string=Audit&amp;VAR:KEY=DIZAVSBCFU&amp;VAR:QUERY=RkZfTUlOX0lOVF9BQ0NVTShDQUwsTk9XLE5PVyxELCxVU0Qp&amp;WINDOW=FIRST_POPUP&amp;HEIGHT=450&amp;WIDTH=","450&amp;START_MAXIMIZED=FALSE&amp;VAR:CALENDAR=US&amp;VAR:SYMBOL=565478&amp;VAR:INDEX=0"}</definedName>
    <definedName name="_4511__FDSAUDITLINK__" localSheetId="7" hidden="1">{"fdsup://directions/FAT Viewer?action=UPDATE&amp;creator=factset&amp;DYN_ARGS=TRUE&amp;DOC_NAME=FAT:FQL_AUDITING_CLIENT_TEMPLATE.FAT&amp;display_string=Audit&amp;VAR:KEY=DIZAVSBCFU&amp;VAR:QUERY=RkZfTUlOX0lOVF9BQ0NVTShDQUwsTk9XLE5PVyxELCxVU0Qp&amp;WINDOW=FIRST_POPUP&amp;HEIGHT=450&amp;WIDTH=","450&amp;START_MAXIMIZED=FALSE&amp;VAR:CALENDAR=US&amp;VAR:SYMBOL=565478&amp;VAR:INDEX=0"}</definedName>
    <definedName name="_4511__FDSAUDITLINK__" hidden="1">{"fdsup://directions/FAT Viewer?action=UPDATE&amp;creator=factset&amp;DYN_ARGS=TRUE&amp;DOC_NAME=FAT:FQL_AUDITING_CLIENT_TEMPLATE.FAT&amp;display_string=Audit&amp;VAR:KEY=DIZAVSBCFU&amp;VAR:QUERY=RkZfTUlOX0lOVF9BQ0NVTShDQUwsTk9XLE5PVyxELCxVU0Qp&amp;WINDOW=FIRST_POPUP&amp;HEIGHT=450&amp;WIDTH=","450&amp;START_MAXIMIZED=FALSE&amp;VAR:CALENDAR=US&amp;VAR:SYMBOL=565478&amp;VAR:INDEX=0"}</definedName>
    <definedName name="_4512__FDSAUDITLINK__" localSheetId="3" hidden="1">{"fdsup://directions/FAT Viewer?action=UPDATE&amp;creator=factset&amp;DYN_ARGS=TRUE&amp;DOC_NAME=FAT:FQL_AUDITING_CLIENT_TEMPLATE.FAT&amp;display_string=Audit&amp;VAR:KEY=ZKZQFEJOTU&amp;VAR:QUERY=RkZfTUlOX0lOVF9BQ0NVTShDQUwsTk9XLE5PVyxELCxVU0Qp&amp;WINDOW=FIRST_POPUP&amp;HEIGHT=450&amp;WIDTH=","450&amp;START_MAXIMIZED=FALSE&amp;VAR:CALENDAR=US&amp;VAR:SYMBOL=30208110&amp;VAR:INDEX=0"}</definedName>
    <definedName name="_4512__FDSAUDITLINK__" localSheetId="7" hidden="1">{"fdsup://directions/FAT Viewer?action=UPDATE&amp;creator=factset&amp;DYN_ARGS=TRUE&amp;DOC_NAME=FAT:FQL_AUDITING_CLIENT_TEMPLATE.FAT&amp;display_string=Audit&amp;VAR:KEY=ZKZQFEJOTU&amp;VAR:QUERY=RkZfTUlOX0lOVF9BQ0NVTShDQUwsTk9XLE5PVyxELCxVU0Qp&amp;WINDOW=FIRST_POPUP&amp;HEIGHT=450&amp;WIDTH=","450&amp;START_MAXIMIZED=FALSE&amp;VAR:CALENDAR=US&amp;VAR:SYMBOL=30208110&amp;VAR:INDEX=0"}</definedName>
    <definedName name="_4512__FDSAUDITLINK__" hidden="1">{"fdsup://directions/FAT Viewer?action=UPDATE&amp;creator=factset&amp;DYN_ARGS=TRUE&amp;DOC_NAME=FAT:FQL_AUDITING_CLIENT_TEMPLATE.FAT&amp;display_string=Audit&amp;VAR:KEY=ZKZQFEJOTU&amp;VAR:QUERY=RkZfTUlOX0lOVF9BQ0NVTShDQUwsTk9XLE5PVyxELCxVU0Qp&amp;WINDOW=FIRST_POPUP&amp;HEIGHT=450&amp;WIDTH=","450&amp;START_MAXIMIZED=FALSE&amp;VAR:CALENDAR=US&amp;VAR:SYMBOL=30208110&amp;VAR:INDEX=0"}</definedName>
    <definedName name="_4513__FDSAUDITLINK__" localSheetId="3" hidden="1">{"fdsup://directions/FAT Viewer?action=UPDATE&amp;creator=factset&amp;DYN_ARGS=TRUE&amp;DOC_NAME=FAT:FQL_AUDITING_CLIENT_TEMPLATE.FAT&amp;display_string=Audit&amp;VAR:KEY=QRWXUJOLKT&amp;VAR:QUERY=RkZfTUlOX0lOVF9BQ0NVTShDQUwsTk9XLE5PVyxELCxVU0Qp&amp;WINDOW=FIRST_POPUP&amp;HEIGHT=450&amp;WIDTH=","450&amp;START_MAXIMIZED=FALSE&amp;VAR:CALENDAR=US&amp;VAR:SYMBOL=90921430&amp;VAR:INDEX=0"}</definedName>
    <definedName name="_4513__FDSAUDITLINK__" localSheetId="7" hidden="1">{"fdsup://directions/FAT Viewer?action=UPDATE&amp;creator=factset&amp;DYN_ARGS=TRUE&amp;DOC_NAME=FAT:FQL_AUDITING_CLIENT_TEMPLATE.FAT&amp;display_string=Audit&amp;VAR:KEY=QRWXUJOLKT&amp;VAR:QUERY=RkZfTUlOX0lOVF9BQ0NVTShDQUwsTk9XLE5PVyxELCxVU0Qp&amp;WINDOW=FIRST_POPUP&amp;HEIGHT=450&amp;WIDTH=","450&amp;START_MAXIMIZED=FALSE&amp;VAR:CALENDAR=US&amp;VAR:SYMBOL=90921430&amp;VAR:INDEX=0"}</definedName>
    <definedName name="_4513__FDSAUDITLINK__" hidden="1">{"fdsup://directions/FAT Viewer?action=UPDATE&amp;creator=factset&amp;DYN_ARGS=TRUE&amp;DOC_NAME=FAT:FQL_AUDITING_CLIENT_TEMPLATE.FAT&amp;display_string=Audit&amp;VAR:KEY=QRWXUJOLKT&amp;VAR:QUERY=RkZfTUlOX0lOVF9BQ0NVTShDQUwsTk9XLE5PVyxELCxVU0Qp&amp;WINDOW=FIRST_POPUP&amp;HEIGHT=450&amp;WIDTH=","450&amp;START_MAXIMIZED=FALSE&amp;VAR:CALENDAR=US&amp;VAR:SYMBOL=90921430&amp;VAR:INDEX=0"}</definedName>
    <definedName name="_4514__FDSAUDITLINK__" localSheetId="3" hidden="1">{"fdsup://directions/FAT Viewer?action=UPDATE&amp;creator=factset&amp;DYN_ARGS=TRUE&amp;DOC_NAME=FAT:FQL_AUDITING_CLIENT_TEMPLATE.FAT&amp;display_string=Audit&amp;VAR:KEY=HIVITQDKNI&amp;VAR:QUERY=RkZfTUlOX0lOVF9BQ0NVTShDQUwsTk9XLE5PVyxELCxVU0Qp&amp;WINDOW=FIRST_POPUP&amp;HEIGHT=450&amp;WIDTH=","450&amp;START_MAXIMIZED=FALSE&amp;VAR:CALENDAR=US&amp;VAR:SYMBOL=416343&amp;VAR:INDEX=0"}</definedName>
    <definedName name="_4514__FDSAUDITLINK__" localSheetId="7" hidden="1">{"fdsup://directions/FAT Viewer?action=UPDATE&amp;creator=factset&amp;DYN_ARGS=TRUE&amp;DOC_NAME=FAT:FQL_AUDITING_CLIENT_TEMPLATE.FAT&amp;display_string=Audit&amp;VAR:KEY=HIVITQDKNI&amp;VAR:QUERY=RkZfTUlOX0lOVF9BQ0NVTShDQUwsTk9XLE5PVyxELCxVU0Qp&amp;WINDOW=FIRST_POPUP&amp;HEIGHT=450&amp;WIDTH=","450&amp;START_MAXIMIZED=FALSE&amp;VAR:CALENDAR=US&amp;VAR:SYMBOL=416343&amp;VAR:INDEX=0"}</definedName>
    <definedName name="_4514__FDSAUDITLINK__" hidden="1">{"fdsup://directions/FAT Viewer?action=UPDATE&amp;creator=factset&amp;DYN_ARGS=TRUE&amp;DOC_NAME=FAT:FQL_AUDITING_CLIENT_TEMPLATE.FAT&amp;display_string=Audit&amp;VAR:KEY=HIVITQDKNI&amp;VAR:QUERY=RkZfTUlOX0lOVF9BQ0NVTShDQUwsTk9XLE5PVyxELCxVU0Qp&amp;WINDOW=FIRST_POPUP&amp;HEIGHT=450&amp;WIDTH=","450&amp;START_MAXIMIZED=FALSE&amp;VAR:CALENDAR=US&amp;VAR:SYMBOL=416343&amp;VAR:INDEX=0"}</definedName>
    <definedName name="_4515__FDSAUDITLINK__" localSheetId="3" hidden="1">{"fdsup://directions/FAT Viewer?action=UPDATE&amp;creator=factset&amp;DYN_ARGS=TRUE&amp;DOC_NAME=FAT:FQL_AUDITING_CLIENT_TEMPLATE.FAT&amp;display_string=Audit&amp;VAR:KEY=GPYBIZWNGP&amp;VAR:QUERY=RkZfTUlOX0lOVF9BQ0NVTShDQUwsTk9XLE5PVyxELCxVU0Qp&amp;WINDOW=FIRST_POPUP&amp;HEIGHT=450&amp;WIDTH=","450&amp;START_MAXIMIZED=FALSE&amp;VAR:CALENDAR=US&amp;VAR:SYMBOL=B5KKT9&amp;VAR:INDEX=0"}</definedName>
    <definedName name="_4515__FDSAUDITLINK__" localSheetId="7" hidden="1">{"fdsup://directions/FAT Viewer?action=UPDATE&amp;creator=factset&amp;DYN_ARGS=TRUE&amp;DOC_NAME=FAT:FQL_AUDITING_CLIENT_TEMPLATE.FAT&amp;display_string=Audit&amp;VAR:KEY=GPYBIZWNGP&amp;VAR:QUERY=RkZfTUlOX0lOVF9BQ0NVTShDQUwsTk9XLE5PVyxELCxVU0Qp&amp;WINDOW=FIRST_POPUP&amp;HEIGHT=450&amp;WIDTH=","450&amp;START_MAXIMIZED=FALSE&amp;VAR:CALENDAR=US&amp;VAR:SYMBOL=B5KKT9&amp;VAR:INDEX=0"}</definedName>
    <definedName name="_4515__FDSAUDITLINK__" hidden="1">{"fdsup://directions/FAT Viewer?action=UPDATE&amp;creator=factset&amp;DYN_ARGS=TRUE&amp;DOC_NAME=FAT:FQL_AUDITING_CLIENT_TEMPLATE.FAT&amp;display_string=Audit&amp;VAR:KEY=GPYBIZWNGP&amp;VAR:QUERY=RkZfTUlOX0lOVF9BQ0NVTShDQUwsTk9XLE5PVyxELCxVU0Qp&amp;WINDOW=FIRST_POPUP&amp;HEIGHT=450&amp;WIDTH=","450&amp;START_MAXIMIZED=FALSE&amp;VAR:CALENDAR=US&amp;VAR:SYMBOL=B5KKT9&amp;VAR:INDEX=0"}</definedName>
    <definedName name="_4516__FDSAUDITLINK__" localSheetId="3" hidden="1">{"fdsup://directions/FAT Viewer?action=UPDATE&amp;creator=factset&amp;DYN_ARGS=TRUE&amp;DOC_NAME=FAT:FQL_AUDITING_CLIENT_TEMPLATE.FAT&amp;display_string=Audit&amp;VAR:KEY=EVOJUXYFAV&amp;VAR:QUERY=RkZfTUlOX0lOVF9BQ0NVTShDQUwsTk9XLE5PVyxELCxVU0Qp&amp;WINDOW=FIRST_POPUP&amp;HEIGHT=450&amp;WIDTH=","450&amp;START_MAXIMIZED=FALSE&amp;VAR:CALENDAR=US&amp;VAR:SYMBOL=656320&amp;VAR:INDEX=0"}</definedName>
    <definedName name="_4516__FDSAUDITLINK__" localSheetId="7" hidden="1">{"fdsup://directions/FAT Viewer?action=UPDATE&amp;creator=factset&amp;DYN_ARGS=TRUE&amp;DOC_NAME=FAT:FQL_AUDITING_CLIENT_TEMPLATE.FAT&amp;display_string=Audit&amp;VAR:KEY=EVOJUXYFAV&amp;VAR:QUERY=RkZfTUlOX0lOVF9BQ0NVTShDQUwsTk9XLE5PVyxELCxVU0Qp&amp;WINDOW=FIRST_POPUP&amp;HEIGHT=450&amp;WIDTH=","450&amp;START_MAXIMIZED=FALSE&amp;VAR:CALENDAR=US&amp;VAR:SYMBOL=656320&amp;VAR:INDEX=0"}</definedName>
    <definedName name="_4516__FDSAUDITLINK__" hidden="1">{"fdsup://directions/FAT Viewer?action=UPDATE&amp;creator=factset&amp;DYN_ARGS=TRUE&amp;DOC_NAME=FAT:FQL_AUDITING_CLIENT_TEMPLATE.FAT&amp;display_string=Audit&amp;VAR:KEY=EVOJUXYFAV&amp;VAR:QUERY=RkZfTUlOX0lOVF9BQ0NVTShDQUwsTk9XLE5PVyxELCxVU0Qp&amp;WINDOW=FIRST_POPUP&amp;HEIGHT=450&amp;WIDTH=","450&amp;START_MAXIMIZED=FALSE&amp;VAR:CALENDAR=US&amp;VAR:SYMBOL=656320&amp;VAR:INDEX=0"}</definedName>
    <definedName name="_4517__FDSAUDITLINK__" localSheetId="3" hidden="1">{"fdsup://directions/FAT Viewer?action=UPDATE&amp;creator=factset&amp;DYN_ARGS=TRUE&amp;DOC_NAME=FAT:FQL_AUDITING_CLIENT_TEMPLATE.FAT&amp;display_string=Audit&amp;VAR:KEY=OVSVMBMZGB&amp;VAR:QUERY=RkZfTUlOX0lOVF9BQ0NVTShDQUwsTk9XLE5PVyxELCxVU0Qp&amp;WINDOW=FIRST_POPUP&amp;HEIGHT=450&amp;WIDTH=","450&amp;START_MAXIMIZED=FALSE&amp;VAR:CALENDAR=US&amp;VAR:SYMBOL=B59FPS&amp;VAR:INDEX=0"}</definedName>
    <definedName name="_4517__FDSAUDITLINK__" localSheetId="7" hidden="1">{"fdsup://directions/FAT Viewer?action=UPDATE&amp;creator=factset&amp;DYN_ARGS=TRUE&amp;DOC_NAME=FAT:FQL_AUDITING_CLIENT_TEMPLATE.FAT&amp;display_string=Audit&amp;VAR:KEY=OVSVMBMZGB&amp;VAR:QUERY=RkZfTUlOX0lOVF9BQ0NVTShDQUwsTk9XLE5PVyxELCxVU0Qp&amp;WINDOW=FIRST_POPUP&amp;HEIGHT=450&amp;WIDTH=","450&amp;START_MAXIMIZED=FALSE&amp;VAR:CALENDAR=US&amp;VAR:SYMBOL=B59FPS&amp;VAR:INDEX=0"}</definedName>
    <definedName name="_4517__FDSAUDITLINK__" hidden="1">{"fdsup://directions/FAT Viewer?action=UPDATE&amp;creator=factset&amp;DYN_ARGS=TRUE&amp;DOC_NAME=FAT:FQL_AUDITING_CLIENT_TEMPLATE.FAT&amp;display_string=Audit&amp;VAR:KEY=OVSVMBMZGB&amp;VAR:QUERY=RkZfTUlOX0lOVF9BQ0NVTShDQUwsTk9XLE5PVyxELCxVU0Qp&amp;WINDOW=FIRST_POPUP&amp;HEIGHT=450&amp;WIDTH=","450&amp;START_MAXIMIZED=FALSE&amp;VAR:CALENDAR=US&amp;VAR:SYMBOL=B59FPS&amp;VAR:INDEX=0"}</definedName>
    <definedName name="_4518__FDSAUDITLINK__" localSheetId="3" hidden="1">{"fdsup://directions/FAT Viewer?action=UPDATE&amp;creator=factset&amp;DYN_ARGS=TRUE&amp;DOC_NAME=FAT:FQL_AUDITING_CLIENT_TEMPLATE.FAT&amp;display_string=Audit&amp;VAR:KEY=CPITSVUNET&amp;VAR:QUERY=RkZfTUlOX0lOVF9BQ0NVTShDQUwsTk9XLE5PVyxELCxVU0Qp&amp;WINDOW=FIRST_POPUP&amp;HEIGHT=450&amp;WIDTH=","450&amp;START_MAXIMIZED=FALSE&amp;VAR:CALENDAR=US&amp;VAR:SYMBOL=B03MYN&amp;VAR:INDEX=0"}</definedName>
    <definedName name="_4518__FDSAUDITLINK__" localSheetId="7" hidden="1">{"fdsup://directions/FAT Viewer?action=UPDATE&amp;creator=factset&amp;DYN_ARGS=TRUE&amp;DOC_NAME=FAT:FQL_AUDITING_CLIENT_TEMPLATE.FAT&amp;display_string=Audit&amp;VAR:KEY=CPITSVUNET&amp;VAR:QUERY=RkZfTUlOX0lOVF9BQ0NVTShDQUwsTk9XLE5PVyxELCxVU0Qp&amp;WINDOW=FIRST_POPUP&amp;HEIGHT=450&amp;WIDTH=","450&amp;START_MAXIMIZED=FALSE&amp;VAR:CALENDAR=US&amp;VAR:SYMBOL=B03MYN&amp;VAR:INDEX=0"}</definedName>
    <definedName name="_4518__FDSAUDITLINK__" hidden="1">{"fdsup://directions/FAT Viewer?action=UPDATE&amp;creator=factset&amp;DYN_ARGS=TRUE&amp;DOC_NAME=FAT:FQL_AUDITING_CLIENT_TEMPLATE.FAT&amp;display_string=Audit&amp;VAR:KEY=CPITSVUNET&amp;VAR:QUERY=RkZfTUlOX0lOVF9BQ0NVTShDQUwsTk9XLE5PVyxELCxVU0Qp&amp;WINDOW=FIRST_POPUP&amp;HEIGHT=450&amp;WIDTH=","450&amp;START_MAXIMIZED=FALSE&amp;VAR:CALENDAR=US&amp;VAR:SYMBOL=B03MYN&amp;VAR:INDEX=0"}</definedName>
    <definedName name="_4519__FDSAUDITLINK__" localSheetId="3" hidden="1">{"fdsup://directions/FAT Viewer?action=UPDATE&amp;creator=factset&amp;DYN_ARGS=TRUE&amp;DOC_NAME=FAT:FQL_AUDITING_CLIENT_TEMPLATE.FAT&amp;display_string=Audit&amp;VAR:KEY=CHCZMXQTEJ&amp;VAR:QUERY=RkZfTUlOX0lOVF9BQ0NVTShDQUwsTk9XLE5PVyxELCxVU0Qp&amp;WINDOW=FIRST_POPUP&amp;HEIGHT=450&amp;WIDTH=","450&amp;START_MAXIMIZED=FALSE&amp;VAR:CALENDAR=US&amp;VAR:SYMBOL=B01NPJ&amp;VAR:INDEX=0"}</definedName>
    <definedName name="_4519__FDSAUDITLINK__" localSheetId="7" hidden="1">{"fdsup://directions/FAT Viewer?action=UPDATE&amp;creator=factset&amp;DYN_ARGS=TRUE&amp;DOC_NAME=FAT:FQL_AUDITING_CLIENT_TEMPLATE.FAT&amp;display_string=Audit&amp;VAR:KEY=CHCZMXQTEJ&amp;VAR:QUERY=RkZfTUlOX0lOVF9BQ0NVTShDQUwsTk9XLE5PVyxELCxVU0Qp&amp;WINDOW=FIRST_POPUP&amp;HEIGHT=450&amp;WIDTH=","450&amp;START_MAXIMIZED=FALSE&amp;VAR:CALENDAR=US&amp;VAR:SYMBOL=B01NPJ&amp;VAR:INDEX=0"}</definedName>
    <definedName name="_4519__FDSAUDITLINK__" hidden="1">{"fdsup://directions/FAT Viewer?action=UPDATE&amp;creator=factset&amp;DYN_ARGS=TRUE&amp;DOC_NAME=FAT:FQL_AUDITING_CLIENT_TEMPLATE.FAT&amp;display_string=Audit&amp;VAR:KEY=CHCZMXQTEJ&amp;VAR:QUERY=RkZfTUlOX0lOVF9BQ0NVTShDQUwsTk9XLE5PVyxELCxVU0Qp&amp;WINDOW=FIRST_POPUP&amp;HEIGHT=450&amp;WIDTH=","450&amp;START_MAXIMIZED=FALSE&amp;VAR:CALENDAR=US&amp;VAR:SYMBOL=B01NPJ&amp;VAR:INDEX=0"}</definedName>
    <definedName name="_452__FDSAUDITLINK__" localSheetId="3"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7"}</definedName>
    <definedName name="_452__FDSAUDITLINK__" localSheetId="7"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7"}</definedName>
    <definedName name="_452__FDSAUDITLINK__"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7"}</definedName>
    <definedName name="_4520__FDSAUDITLINK__" localSheetId="3" hidden="1">{"fdsup://directions/FAT Viewer?action=UPDATE&amp;creator=factset&amp;DYN_ARGS=TRUE&amp;DOC_NAME=FAT:FQL_AUDITING_CLIENT_TEMPLATE.FAT&amp;display_string=Audit&amp;VAR:KEY=QXYNOTOHAF&amp;VAR:QUERY=RkZfTUlOX0lOVF9BQ0NVTShDQUwsTk9XLE5PVyxELCxVU0Qp&amp;WINDOW=FIRST_POPUP&amp;HEIGHT=450&amp;WIDTH=","450&amp;START_MAXIMIZED=FALSE&amp;VAR:CALENDAR=US&amp;VAR:SYMBOL=620605&amp;VAR:INDEX=0"}</definedName>
    <definedName name="_4520__FDSAUDITLINK__" localSheetId="7" hidden="1">{"fdsup://directions/FAT Viewer?action=UPDATE&amp;creator=factset&amp;DYN_ARGS=TRUE&amp;DOC_NAME=FAT:FQL_AUDITING_CLIENT_TEMPLATE.FAT&amp;display_string=Audit&amp;VAR:KEY=QXYNOTOHAF&amp;VAR:QUERY=RkZfTUlOX0lOVF9BQ0NVTShDQUwsTk9XLE5PVyxELCxVU0Qp&amp;WINDOW=FIRST_POPUP&amp;HEIGHT=450&amp;WIDTH=","450&amp;START_MAXIMIZED=FALSE&amp;VAR:CALENDAR=US&amp;VAR:SYMBOL=620605&amp;VAR:INDEX=0"}</definedName>
    <definedName name="_4520__FDSAUDITLINK__" hidden="1">{"fdsup://directions/FAT Viewer?action=UPDATE&amp;creator=factset&amp;DYN_ARGS=TRUE&amp;DOC_NAME=FAT:FQL_AUDITING_CLIENT_TEMPLATE.FAT&amp;display_string=Audit&amp;VAR:KEY=QXYNOTOHAF&amp;VAR:QUERY=RkZfTUlOX0lOVF9BQ0NVTShDQUwsTk9XLE5PVyxELCxVU0Qp&amp;WINDOW=FIRST_POPUP&amp;HEIGHT=450&amp;WIDTH=","450&amp;START_MAXIMIZED=FALSE&amp;VAR:CALENDAR=US&amp;VAR:SYMBOL=620605&amp;VAR:INDEX=0"}</definedName>
    <definedName name="_4521__FDSAUDITLINK__" localSheetId="3" hidden="1">{"fdsup://directions/FAT Viewer?action=UPDATE&amp;creator=factset&amp;DYN_ARGS=TRUE&amp;DOC_NAME=FAT:FQL_AUDITING_CLIENT_TEMPLATE.FAT&amp;display_string=Audit&amp;VAR:KEY=YBKHYHWNQT&amp;VAR:QUERY=RkZfTUlOX0lOVF9BQ0NVTShDQUwsTk9XLE5PVyxELCxVU0Qp&amp;WINDOW=FIRST_POPUP&amp;HEIGHT=450&amp;WIDTH=","450&amp;START_MAXIMIZED=FALSE&amp;VAR:CALENDAR=US&amp;VAR:SYMBOL=624185&amp;VAR:INDEX=0"}</definedName>
    <definedName name="_4521__FDSAUDITLINK__" localSheetId="7" hidden="1">{"fdsup://directions/FAT Viewer?action=UPDATE&amp;creator=factset&amp;DYN_ARGS=TRUE&amp;DOC_NAME=FAT:FQL_AUDITING_CLIENT_TEMPLATE.FAT&amp;display_string=Audit&amp;VAR:KEY=YBKHYHWNQT&amp;VAR:QUERY=RkZfTUlOX0lOVF9BQ0NVTShDQUwsTk9XLE5PVyxELCxVU0Qp&amp;WINDOW=FIRST_POPUP&amp;HEIGHT=450&amp;WIDTH=","450&amp;START_MAXIMIZED=FALSE&amp;VAR:CALENDAR=US&amp;VAR:SYMBOL=624185&amp;VAR:INDEX=0"}</definedName>
    <definedName name="_4521__FDSAUDITLINK__" hidden="1">{"fdsup://directions/FAT Viewer?action=UPDATE&amp;creator=factset&amp;DYN_ARGS=TRUE&amp;DOC_NAME=FAT:FQL_AUDITING_CLIENT_TEMPLATE.FAT&amp;display_string=Audit&amp;VAR:KEY=YBKHYHWNQT&amp;VAR:QUERY=RkZfTUlOX0lOVF9BQ0NVTShDQUwsTk9XLE5PVyxELCxVU0Qp&amp;WINDOW=FIRST_POPUP&amp;HEIGHT=450&amp;WIDTH=","450&amp;START_MAXIMIZED=FALSE&amp;VAR:CALENDAR=US&amp;VAR:SYMBOL=624185&amp;VAR:INDEX=0"}</definedName>
    <definedName name="_4522__FDSAUDITLINK__" localSheetId="3" hidden="1">{"fdsup://directions/FAT Viewer?action=UPDATE&amp;creator=factset&amp;DYN_ARGS=TRUE&amp;DOC_NAME=FAT:FQL_AUDITING_CLIENT_TEMPLATE.FAT&amp;display_string=Audit&amp;VAR:KEY=YNMPGFENKP&amp;VAR:QUERY=RkZfTUlOX0lOVF9BQ0NVTShDQUwsTk9XLE5PVyxELCxVU0Qp&amp;WINDOW=FIRST_POPUP&amp;HEIGHT=450&amp;WIDTH=","450&amp;START_MAXIMIZED=FALSE&amp;VAR:CALENDAR=US&amp;VAR:SYMBOL=B0BZM4&amp;VAR:INDEX=0"}</definedName>
    <definedName name="_4522__FDSAUDITLINK__" localSheetId="7" hidden="1">{"fdsup://directions/FAT Viewer?action=UPDATE&amp;creator=factset&amp;DYN_ARGS=TRUE&amp;DOC_NAME=FAT:FQL_AUDITING_CLIENT_TEMPLATE.FAT&amp;display_string=Audit&amp;VAR:KEY=YNMPGFENKP&amp;VAR:QUERY=RkZfTUlOX0lOVF9BQ0NVTShDQUwsTk9XLE5PVyxELCxVU0Qp&amp;WINDOW=FIRST_POPUP&amp;HEIGHT=450&amp;WIDTH=","450&amp;START_MAXIMIZED=FALSE&amp;VAR:CALENDAR=US&amp;VAR:SYMBOL=B0BZM4&amp;VAR:INDEX=0"}</definedName>
    <definedName name="_4522__FDSAUDITLINK__" hidden="1">{"fdsup://directions/FAT Viewer?action=UPDATE&amp;creator=factset&amp;DYN_ARGS=TRUE&amp;DOC_NAME=FAT:FQL_AUDITING_CLIENT_TEMPLATE.FAT&amp;display_string=Audit&amp;VAR:KEY=YNMPGFENKP&amp;VAR:QUERY=RkZfTUlOX0lOVF9BQ0NVTShDQUwsTk9XLE5PVyxELCxVU0Qp&amp;WINDOW=FIRST_POPUP&amp;HEIGHT=450&amp;WIDTH=","450&amp;START_MAXIMIZED=FALSE&amp;VAR:CALENDAR=US&amp;VAR:SYMBOL=B0BZM4&amp;VAR:INDEX=0"}</definedName>
    <definedName name="_4523__FDSAUDITLINK__" localSheetId="3" hidden="1">{"fdsup://directions/FAT Viewer?action=UPDATE&amp;creator=factset&amp;DYN_ARGS=TRUE&amp;DOC_NAME=FAT:FQL_AUDITING_CLIENT_TEMPLATE.FAT&amp;display_string=Audit&amp;VAR:KEY=ATYBSNCRQH&amp;VAR:QUERY=RkZfTUlOX0lOVF9BQ0NVTShDQUwsTk9XLE5PVyxELCxVU0Qp&amp;WINDOW=FIRST_POPUP&amp;HEIGHT=450&amp;WIDTH=","450&amp;START_MAXIMIZED=FALSE&amp;VAR:CALENDAR=US&amp;VAR:SYMBOL=B3MMQT&amp;VAR:INDEX=0"}</definedName>
    <definedName name="_4523__FDSAUDITLINK__" localSheetId="7" hidden="1">{"fdsup://directions/FAT Viewer?action=UPDATE&amp;creator=factset&amp;DYN_ARGS=TRUE&amp;DOC_NAME=FAT:FQL_AUDITING_CLIENT_TEMPLATE.FAT&amp;display_string=Audit&amp;VAR:KEY=ATYBSNCRQH&amp;VAR:QUERY=RkZfTUlOX0lOVF9BQ0NVTShDQUwsTk9XLE5PVyxELCxVU0Qp&amp;WINDOW=FIRST_POPUP&amp;HEIGHT=450&amp;WIDTH=","450&amp;START_MAXIMIZED=FALSE&amp;VAR:CALENDAR=US&amp;VAR:SYMBOL=B3MMQT&amp;VAR:INDEX=0"}</definedName>
    <definedName name="_4523__FDSAUDITLINK__" hidden="1">{"fdsup://directions/FAT Viewer?action=UPDATE&amp;creator=factset&amp;DYN_ARGS=TRUE&amp;DOC_NAME=FAT:FQL_AUDITING_CLIENT_TEMPLATE.FAT&amp;display_string=Audit&amp;VAR:KEY=ATYBSNCRQH&amp;VAR:QUERY=RkZfTUlOX0lOVF9BQ0NVTShDQUwsTk9XLE5PVyxELCxVU0Qp&amp;WINDOW=FIRST_POPUP&amp;HEIGHT=450&amp;WIDTH=","450&amp;START_MAXIMIZED=FALSE&amp;VAR:CALENDAR=US&amp;VAR:SYMBOL=B3MMQT&amp;VAR:INDEX=0"}</definedName>
    <definedName name="_4524__FDSAUDITLINK__" localSheetId="3" hidden="1">{"fdsup://directions/FAT Viewer?action=UPDATE&amp;creator=factset&amp;DYN_ARGS=TRUE&amp;DOC_NAME=FAT:FQL_AUDITING_CLIENT_TEMPLATE.FAT&amp;display_string=Audit&amp;VAR:KEY=ULYBSBQJIF&amp;VAR:QUERY=RkZfTUlOX0lOVF9BQ0NVTShDQUwsTk9XLE5PVyxELCxVU0Qp&amp;WINDOW=FIRST_POPUP&amp;HEIGHT=450&amp;WIDTH=","450&amp;START_MAXIMIZED=FALSE&amp;VAR:CALENDAR=US&amp;VAR:SYMBOL=615159&amp;VAR:INDEX=0"}</definedName>
    <definedName name="_4524__FDSAUDITLINK__" localSheetId="7" hidden="1">{"fdsup://directions/FAT Viewer?action=UPDATE&amp;creator=factset&amp;DYN_ARGS=TRUE&amp;DOC_NAME=FAT:FQL_AUDITING_CLIENT_TEMPLATE.FAT&amp;display_string=Audit&amp;VAR:KEY=ULYBSBQJIF&amp;VAR:QUERY=RkZfTUlOX0lOVF9BQ0NVTShDQUwsTk9XLE5PVyxELCxVU0Qp&amp;WINDOW=FIRST_POPUP&amp;HEIGHT=450&amp;WIDTH=","450&amp;START_MAXIMIZED=FALSE&amp;VAR:CALENDAR=US&amp;VAR:SYMBOL=615159&amp;VAR:INDEX=0"}</definedName>
    <definedName name="_4524__FDSAUDITLINK__" hidden="1">{"fdsup://directions/FAT Viewer?action=UPDATE&amp;creator=factset&amp;DYN_ARGS=TRUE&amp;DOC_NAME=FAT:FQL_AUDITING_CLIENT_TEMPLATE.FAT&amp;display_string=Audit&amp;VAR:KEY=ULYBSBQJIF&amp;VAR:QUERY=RkZfTUlOX0lOVF9BQ0NVTShDQUwsTk9XLE5PVyxELCxVU0Qp&amp;WINDOW=FIRST_POPUP&amp;HEIGHT=450&amp;WIDTH=","450&amp;START_MAXIMIZED=FALSE&amp;VAR:CALENDAR=US&amp;VAR:SYMBOL=615159&amp;VAR:INDEX=0"}</definedName>
    <definedName name="_4525__FDSAUDITLINK__" localSheetId="3" hidden="1">{"fdsup://directions/FAT Viewer?action=UPDATE&amp;creator=factset&amp;DYN_ARGS=TRUE&amp;DOC_NAME=FAT:FQL_AUDITING_CLIENT_TEMPLATE.FAT&amp;display_string=Audit&amp;VAR:KEY=ZAPUZQTWPG&amp;VAR:QUERY=RkZfTUlOX0lOVF9BQ0NVTShDQUwsTk9XLE5PVyxELCxVU0Qp&amp;WINDOW=FIRST_POPUP&amp;HEIGHT=450&amp;WIDTH=","450&amp;START_MAXIMIZED=FALSE&amp;VAR:CALENDAR=US&amp;VAR:SYMBOL=620512&amp;VAR:INDEX=0"}</definedName>
    <definedName name="_4525__FDSAUDITLINK__" localSheetId="7" hidden="1">{"fdsup://directions/FAT Viewer?action=UPDATE&amp;creator=factset&amp;DYN_ARGS=TRUE&amp;DOC_NAME=FAT:FQL_AUDITING_CLIENT_TEMPLATE.FAT&amp;display_string=Audit&amp;VAR:KEY=ZAPUZQTWPG&amp;VAR:QUERY=RkZfTUlOX0lOVF9BQ0NVTShDQUwsTk9XLE5PVyxELCxVU0Qp&amp;WINDOW=FIRST_POPUP&amp;HEIGHT=450&amp;WIDTH=","450&amp;START_MAXIMIZED=FALSE&amp;VAR:CALENDAR=US&amp;VAR:SYMBOL=620512&amp;VAR:INDEX=0"}</definedName>
    <definedName name="_4525__FDSAUDITLINK__" hidden="1">{"fdsup://directions/FAT Viewer?action=UPDATE&amp;creator=factset&amp;DYN_ARGS=TRUE&amp;DOC_NAME=FAT:FQL_AUDITING_CLIENT_TEMPLATE.FAT&amp;display_string=Audit&amp;VAR:KEY=ZAPUZQTWPG&amp;VAR:QUERY=RkZfTUlOX0lOVF9BQ0NVTShDQUwsTk9XLE5PVyxELCxVU0Qp&amp;WINDOW=FIRST_POPUP&amp;HEIGHT=450&amp;WIDTH=","450&amp;START_MAXIMIZED=FALSE&amp;VAR:CALENDAR=US&amp;VAR:SYMBOL=620512&amp;VAR:INDEX=0"}</definedName>
    <definedName name="_4526__FDSAUDITLINK__" localSheetId="3" hidden="1">{"fdsup://directions/FAT Viewer?action=UPDATE&amp;creator=factset&amp;DYN_ARGS=TRUE&amp;DOC_NAME=FAT:FQL_AUDITING_CLIENT_TEMPLATE.FAT&amp;display_string=Audit&amp;VAR:KEY=FCXGNYDSLO&amp;VAR:QUERY=RkZfTUlOX0lOVF9BQ0NVTShDQUwsTk9XLE5PVyxELCxVU0Qp&amp;WINDOW=FIRST_POPUP&amp;HEIGHT=450&amp;WIDTH=","450&amp;START_MAXIMIZED=FALSE&amp;VAR:CALENDAR=US&amp;VAR:SYMBOL=B0L7MM&amp;VAR:INDEX=0"}</definedName>
    <definedName name="_4526__FDSAUDITLINK__" localSheetId="7" hidden="1">{"fdsup://directions/FAT Viewer?action=UPDATE&amp;creator=factset&amp;DYN_ARGS=TRUE&amp;DOC_NAME=FAT:FQL_AUDITING_CLIENT_TEMPLATE.FAT&amp;display_string=Audit&amp;VAR:KEY=FCXGNYDSLO&amp;VAR:QUERY=RkZfTUlOX0lOVF9BQ0NVTShDQUwsTk9XLE5PVyxELCxVU0Qp&amp;WINDOW=FIRST_POPUP&amp;HEIGHT=450&amp;WIDTH=","450&amp;START_MAXIMIZED=FALSE&amp;VAR:CALENDAR=US&amp;VAR:SYMBOL=B0L7MM&amp;VAR:INDEX=0"}</definedName>
    <definedName name="_4526__FDSAUDITLINK__" hidden="1">{"fdsup://directions/FAT Viewer?action=UPDATE&amp;creator=factset&amp;DYN_ARGS=TRUE&amp;DOC_NAME=FAT:FQL_AUDITING_CLIENT_TEMPLATE.FAT&amp;display_string=Audit&amp;VAR:KEY=FCXGNYDSLO&amp;VAR:QUERY=RkZfTUlOX0lOVF9BQ0NVTShDQUwsTk9XLE5PVyxELCxVU0Qp&amp;WINDOW=FIRST_POPUP&amp;HEIGHT=450&amp;WIDTH=","450&amp;START_MAXIMIZED=FALSE&amp;VAR:CALENDAR=US&amp;VAR:SYMBOL=B0L7MM&amp;VAR:INDEX=0"}</definedName>
    <definedName name="_452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501"}</definedName>
    <definedName name="_452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501"}</definedName>
    <definedName name="_452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501"}</definedName>
    <definedName name="_452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500"}</definedName>
    <definedName name="_452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500"}</definedName>
    <definedName name="_452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500"}</definedName>
    <definedName name="_453__FDSAUDITLINK__" localSheetId="3"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6"}</definedName>
    <definedName name="_453__FDSAUDITLINK__" localSheetId="7"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6"}</definedName>
    <definedName name="_453__FDSAUDITLINK__"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6"}</definedName>
    <definedName name="_453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499"}</definedName>
    <definedName name="_453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499"}</definedName>
    <definedName name="_453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499"}</definedName>
    <definedName name="_453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498"}</definedName>
    <definedName name="_453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498"}</definedName>
    <definedName name="_453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498"}</definedName>
    <definedName name="_453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497"}</definedName>
    <definedName name="_453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497"}</definedName>
    <definedName name="_453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497"}</definedName>
    <definedName name="_453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496"}</definedName>
    <definedName name="_453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496"}</definedName>
    <definedName name="_453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496"}</definedName>
    <definedName name="_453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495"}</definedName>
    <definedName name="_453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495"}</definedName>
    <definedName name="_453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495"}</definedName>
    <definedName name="_453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494"}</definedName>
    <definedName name="_453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494"}</definedName>
    <definedName name="_453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494"}</definedName>
    <definedName name="_453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493"}</definedName>
    <definedName name="_453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493"}</definedName>
    <definedName name="_453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493"}</definedName>
    <definedName name="_453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492"}</definedName>
    <definedName name="_453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492"}</definedName>
    <definedName name="_453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492"}</definedName>
    <definedName name="_453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491"}</definedName>
    <definedName name="_453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491"}</definedName>
    <definedName name="_453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491"}</definedName>
    <definedName name="_453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490"}</definedName>
    <definedName name="_453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490"}</definedName>
    <definedName name="_453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490"}</definedName>
    <definedName name="_454__FDSAUDITLINK__" localSheetId="3"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5"}</definedName>
    <definedName name="_454__FDSAUDITLINK__" localSheetId="7"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5"}</definedName>
    <definedName name="_454__FDSAUDITLINK__"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5"}</definedName>
    <definedName name="_454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489"}</definedName>
    <definedName name="_454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489"}</definedName>
    <definedName name="_454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489"}</definedName>
    <definedName name="_454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488"}</definedName>
    <definedName name="_454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488"}</definedName>
    <definedName name="_454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488"}</definedName>
    <definedName name="_454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487"}</definedName>
    <definedName name="_454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487"}</definedName>
    <definedName name="_454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487"}</definedName>
    <definedName name="_454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486"}</definedName>
    <definedName name="_454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486"}</definedName>
    <definedName name="_454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486"}</definedName>
    <definedName name="_454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485"}</definedName>
    <definedName name="_454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485"}</definedName>
    <definedName name="_454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485"}</definedName>
    <definedName name="_454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484"}</definedName>
    <definedName name="_454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484"}</definedName>
    <definedName name="_454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484"}</definedName>
    <definedName name="_454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483"}</definedName>
    <definedName name="_454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483"}</definedName>
    <definedName name="_454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483"}</definedName>
    <definedName name="_454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482"}</definedName>
    <definedName name="_454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482"}</definedName>
    <definedName name="_454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482"}</definedName>
    <definedName name="_454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481"}</definedName>
    <definedName name="_454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481"}</definedName>
    <definedName name="_454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481"}</definedName>
    <definedName name="_454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480"}</definedName>
    <definedName name="_454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480"}</definedName>
    <definedName name="_454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480"}</definedName>
    <definedName name="_455__FDSAUDITLINK__" localSheetId="3"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4"}</definedName>
    <definedName name="_455__FDSAUDITLINK__" localSheetId="7"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4"}</definedName>
    <definedName name="_455__FDSAUDITLINK__"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4"}</definedName>
    <definedName name="_455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479"}</definedName>
    <definedName name="_455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479"}</definedName>
    <definedName name="_455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479"}</definedName>
    <definedName name="_455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478"}</definedName>
    <definedName name="_455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478"}</definedName>
    <definedName name="_455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478"}</definedName>
    <definedName name="_455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477"}</definedName>
    <definedName name="_455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477"}</definedName>
    <definedName name="_455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477"}</definedName>
    <definedName name="_455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476"}</definedName>
    <definedName name="_455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476"}</definedName>
    <definedName name="_455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476"}</definedName>
    <definedName name="_455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475"}</definedName>
    <definedName name="_455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475"}</definedName>
    <definedName name="_455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475"}</definedName>
    <definedName name="_455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474"}</definedName>
    <definedName name="_455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474"}</definedName>
    <definedName name="_455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474"}</definedName>
    <definedName name="_455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473"}</definedName>
    <definedName name="_455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473"}</definedName>
    <definedName name="_455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473"}</definedName>
    <definedName name="_455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472"}</definedName>
    <definedName name="_455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472"}</definedName>
    <definedName name="_455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472"}</definedName>
    <definedName name="_455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471"}</definedName>
    <definedName name="_455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471"}</definedName>
    <definedName name="_455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471"}</definedName>
    <definedName name="_455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470"}</definedName>
    <definedName name="_455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470"}</definedName>
    <definedName name="_455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470"}</definedName>
    <definedName name="_456__FDSAUDITLINK__" localSheetId="3"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3"}</definedName>
    <definedName name="_456__FDSAUDITLINK__" localSheetId="7"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3"}</definedName>
    <definedName name="_456__FDSAUDITLINK__"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3"}</definedName>
    <definedName name="_456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469"}</definedName>
    <definedName name="_456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469"}</definedName>
    <definedName name="_456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469"}</definedName>
    <definedName name="_456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468"}</definedName>
    <definedName name="_456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468"}</definedName>
    <definedName name="_456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468"}</definedName>
    <definedName name="_456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467"}</definedName>
    <definedName name="_456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467"}</definedName>
    <definedName name="_456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467"}</definedName>
    <definedName name="_456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466"}</definedName>
    <definedName name="_456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466"}</definedName>
    <definedName name="_456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466"}</definedName>
    <definedName name="_456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465"}</definedName>
    <definedName name="_456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465"}</definedName>
    <definedName name="_456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465"}</definedName>
    <definedName name="_456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464"}</definedName>
    <definedName name="_456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464"}</definedName>
    <definedName name="_456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464"}</definedName>
    <definedName name="_456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463"}</definedName>
    <definedName name="_456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463"}</definedName>
    <definedName name="_456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463"}</definedName>
    <definedName name="_456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462"}</definedName>
    <definedName name="_456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462"}</definedName>
    <definedName name="_456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462"}</definedName>
    <definedName name="_456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461"}</definedName>
    <definedName name="_456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461"}</definedName>
    <definedName name="_456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461"}</definedName>
    <definedName name="_456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460"}</definedName>
    <definedName name="_456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460"}</definedName>
    <definedName name="_456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460"}</definedName>
    <definedName name="_457__FDSAUDITLINK__" localSheetId="3"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2"}</definedName>
    <definedName name="_457__FDSAUDITLINK__" localSheetId="7"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2"}</definedName>
    <definedName name="_457__FDSAUDITLINK__"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2"}</definedName>
    <definedName name="_457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459"}</definedName>
    <definedName name="_457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459"}</definedName>
    <definedName name="_457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459"}</definedName>
    <definedName name="_457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458"}</definedName>
    <definedName name="_457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458"}</definedName>
    <definedName name="_457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458"}</definedName>
    <definedName name="_457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457"}</definedName>
    <definedName name="_457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457"}</definedName>
    <definedName name="_457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457"}</definedName>
    <definedName name="_457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456"}</definedName>
    <definedName name="_457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456"}</definedName>
    <definedName name="_457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456"}</definedName>
    <definedName name="_457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455"}</definedName>
    <definedName name="_457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455"}</definedName>
    <definedName name="_457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455"}</definedName>
    <definedName name="_457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454"}</definedName>
    <definedName name="_457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454"}</definedName>
    <definedName name="_457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454"}</definedName>
    <definedName name="_457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453"}</definedName>
    <definedName name="_457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453"}</definedName>
    <definedName name="_457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453"}</definedName>
    <definedName name="_457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452"}</definedName>
    <definedName name="_457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452"}</definedName>
    <definedName name="_457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452"}</definedName>
    <definedName name="_457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451"}</definedName>
    <definedName name="_457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451"}</definedName>
    <definedName name="_457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451"}</definedName>
    <definedName name="_457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450"}</definedName>
    <definedName name="_457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450"}</definedName>
    <definedName name="_457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450"}</definedName>
    <definedName name="_458__FDSAUDITLINK__" localSheetId="3"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1"}</definedName>
    <definedName name="_458__FDSAUDITLINK__" localSheetId="7"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1"}</definedName>
    <definedName name="_458__FDSAUDITLINK__"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1"}</definedName>
    <definedName name="_458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449"}</definedName>
    <definedName name="_458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449"}</definedName>
    <definedName name="_458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449"}</definedName>
    <definedName name="_458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448"}</definedName>
    <definedName name="_458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448"}</definedName>
    <definedName name="_458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448"}</definedName>
    <definedName name="_458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447"}</definedName>
    <definedName name="_458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447"}</definedName>
    <definedName name="_458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447"}</definedName>
    <definedName name="_458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446"}</definedName>
    <definedName name="_458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446"}</definedName>
    <definedName name="_458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446"}</definedName>
    <definedName name="_458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445"}</definedName>
    <definedName name="_458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445"}</definedName>
    <definedName name="_458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445"}</definedName>
    <definedName name="_458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444"}</definedName>
    <definedName name="_458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444"}</definedName>
    <definedName name="_458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444"}</definedName>
    <definedName name="_458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443"}</definedName>
    <definedName name="_458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443"}</definedName>
    <definedName name="_458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443"}</definedName>
    <definedName name="_458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442"}</definedName>
    <definedName name="_458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442"}</definedName>
    <definedName name="_458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442"}</definedName>
    <definedName name="_458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441"}</definedName>
    <definedName name="_458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441"}</definedName>
    <definedName name="_458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441"}</definedName>
    <definedName name="_458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440"}</definedName>
    <definedName name="_458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440"}</definedName>
    <definedName name="_458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440"}</definedName>
    <definedName name="_459__FDSAUDITLINK__" localSheetId="3" hidden="1">{"fdsup://directions/FAT Viewer?action=UPDATE&amp;creator=factset&amp;DYN_ARGS=TRUE&amp;DOC_NAME=FAT:FQL_AUDITING_CLIENT_TEMPLATE.FAT&amp;display_string=Audit&amp;VAR:KEY=QJMXERSPIL&amp;VAR:QUERY=Q0VfRkZfRU5UUlBSX1ZBTCgwLC05LFksJzBEJykgLy8gRkZfU0FMRVMoQU5OLDAsLTksWSxSUCk=&amp;WINDOW=F","IRST_POPUP&amp;HEIGHT=450&amp;WIDTH=450&amp;START_MAXIMIZED=FALSE&amp;VAR:CALENDAR=US&amp;VAR:SYMBOL=B10LQP&amp;VAR:INDEX=7"}</definedName>
    <definedName name="_459__FDSAUDITLINK__" localSheetId="7" hidden="1">{"fdsup://directions/FAT Viewer?action=UPDATE&amp;creator=factset&amp;DYN_ARGS=TRUE&amp;DOC_NAME=FAT:FQL_AUDITING_CLIENT_TEMPLATE.FAT&amp;display_string=Audit&amp;VAR:KEY=QJMXERSPIL&amp;VAR:QUERY=Q0VfRkZfRU5UUlBSX1ZBTCgwLC05LFksJzBEJykgLy8gRkZfU0FMRVMoQU5OLDAsLTksWSxSUCk=&amp;WINDOW=F","IRST_POPUP&amp;HEIGHT=450&amp;WIDTH=450&amp;START_MAXIMIZED=FALSE&amp;VAR:CALENDAR=US&amp;VAR:SYMBOL=B10LQP&amp;VAR:INDEX=7"}</definedName>
    <definedName name="_459__FDSAUDITLINK__" hidden="1">{"fdsup://directions/FAT Viewer?action=UPDATE&amp;creator=factset&amp;DYN_ARGS=TRUE&amp;DOC_NAME=FAT:FQL_AUDITING_CLIENT_TEMPLATE.FAT&amp;display_string=Audit&amp;VAR:KEY=QJMXERSPIL&amp;VAR:QUERY=Q0VfRkZfRU5UUlBSX1ZBTCgwLC05LFksJzBEJykgLy8gRkZfU0FMRVMoQU5OLDAsLTksWSxSUCk=&amp;WINDOW=F","IRST_POPUP&amp;HEIGHT=450&amp;WIDTH=450&amp;START_MAXIMIZED=FALSE&amp;VAR:CALENDAR=US&amp;VAR:SYMBOL=B10LQP&amp;VAR:INDEX=7"}</definedName>
    <definedName name="_459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439"}</definedName>
    <definedName name="_459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439"}</definedName>
    <definedName name="_459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439"}</definedName>
    <definedName name="_459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438"}</definedName>
    <definedName name="_459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438"}</definedName>
    <definedName name="_459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438"}</definedName>
    <definedName name="_459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437"}</definedName>
    <definedName name="_459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437"}</definedName>
    <definedName name="_459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437"}</definedName>
    <definedName name="_459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436"}</definedName>
    <definedName name="_459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436"}</definedName>
    <definedName name="_459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436"}</definedName>
    <definedName name="_459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435"}</definedName>
    <definedName name="_459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435"}</definedName>
    <definedName name="_459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435"}</definedName>
    <definedName name="_459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434"}</definedName>
    <definedName name="_459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434"}</definedName>
    <definedName name="_459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434"}</definedName>
    <definedName name="_459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433"}</definedName>
    <definedName name="_459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433"}</definedName>
    <definedName name="_459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433"}</definedName>
    <definedName name="_459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432"}</definedName>
    <definedName name="_459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432"}</definedName>
    <definedName name="_459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432"}</definedName>
    <definedName name="_459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431"}</definedName>
    <definedName name="_459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431"}</definedName>
    <definedName name="_459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431"}</definedName>
    <definedName name="_459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430"}</definedName>
    <definedName name="_459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430"}</definedName>
    <definedName name="_459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430"}</definedName>
    <definedName name="_46__FDSAUDITLINK__" localSheetId="3" hidden="1">{"fdsup://directions/FAT Viewer?action=UPDATE&amp;creator=factset&amp;DYN_ARGS=TRUE&amp;DOC_NAME=FAT:FQL_AUDITING_CLIENT_TEMPLATE.FAT&amp;display_string=Audit&amp;VAR:KEY=DWJIHCNWFC&amp;VAR:QUERY=RkZfU0FMRVMoTFRNLDAsLCwsLE0p&amp;WINDOW=FIRST_POPUP&amp;HEIGHT=450&amp;WIDTH=450&amp;START_MAXIMIZED=","FALSE&amp;VAR:CALENDAR=US&amp;VAR:SYMBOL=B07C76&amp;VAR:INDEX=0"}</definedName>
    <definedName name="_46__FDSAUDITLINK__" localSheetId="7" hidden="1">{"fdsup://directions/FAT Viewer?action=UPDATE&amp;creator=factset&amp;DYN_ARGS=TRUE&amp;DOC_NAME=FAT:FQL_AUDITING_CLIENT_TEMPLATE.FAT&amp;display_string=Audit&amp;VAR:KEY=DWJIHCNWFC&amp;VAR:QUERY=RkZfU0FMRVMoTFRNLDAsLCwsLE0p&amp;WINDOW=FIRST_POPUP&amp;HEIGHT=450&amp;WIDTH=450&amp;START_MAXIMIZED=","FALSE&amp;VAR:CALENDAR=US&amp;VAR:SYMBOL=B07C76&amp;VAR:INDEX=0"}</definedName>
    <definedName name="_46__FDSAUDITLINK__" hidden="1">{"fdsup://directions/FAT Viewer?action=UPDATE&amp;creator=factset&amp;DYN_ARGS=TRUE&amp;DOC_NAME=FAT:FQL_AUDITING_CLIENT_TEMPLATE.FAT&amp;display_string=Audit&amp;VAR:KEY=DWJIHCNWFC&amp;VAR:QUERY=RkZfU0FMRVMoTFRNLDAsLCwsLE0p&amp;WINDOW=FIRST_POPUP&amp;HEIGHT=450&amp;WIDTH=450&amp;START_MAXIMIZED=","FALSE&amp;VAR:CALENDAR=US&amp;VAR:SYMBOL=B07C76&amp;VAR:INDEX=0"}</definedName>
    <definedName name="_460__FDSAUDITLINK__" localSheetId="3" hidden="1">{"fdsup://directions/FAT Viewer?action=UPDATE&amp;creator=factset&amp;DYN_ARGS=TRUE&amp;DOC_NAME=FAT:FQL_AUDITING_CLIENT_TEMPLATE.FAT&amp;display_string=Audit&amp;VAR:KEY=IPULMTKFAR&amp;VAR:QUERY=RkZfRUJJVF9PUEVSX01HTihBTk4sMCwtOSxZLFJQLExPQ0FMLE0p&amp;WINDOW=FIRST_POPUP&amp;HEIGHT=450&amp;WI","DTH=450&amp;START_MAXIMIZED=FALSE&amp;VAR:CALENDAR=US&amp;VAR:SYMBOL=B10LQP&amp;VAR:INDEX=7"}</definedName>
    <definedName name="_460__FDSAUDITLINK__" localSheetId="7" hidden="1">{"fdsup://directions/FAT Viewer?action=UPDATE&amp;creator=factset&amp;DYN_ARGS=TRUE&amp;DOC_NAME=FAT:FQL_AUDITING_CLIENT_TEMPLATE.FAT&amp;display_string=Audit&amp;VAR:KEY=IPULMTKFAR&amp;VAR:QUERY=RkZfRUJJVF9PUEVSX01HTihBTk4sMCwtOSxZLFJQLExPQ0FMLE0p&amp;WINDOW=FIRST_POPUP&amp;HEIGHT=450&amp;WI","DTH=450&amp;START_MAXIMIZED=FALSE&amp;VAR:CALENDAR=US&amp;VAR:SYMBOL=B10LQP&amp;VAR:INDEX=7"}</definedName>
    <definedName name="_460__FDSAUDITLINK__" hidden="1">{"fdsup://directions/FAT Viewer?action=UPDATE&amp;creator=factset&amp;DYN_ARGS=TRUE&amp;DOC_NAME=FAT:FQL_AUDITING_CLIENT_TEMPLATE.FAT&amp;display_string=Audit&amp;VAR:KEY=IPULMTKFAR&amp;VAR:QUERY=RkZfRUJJVF9PUEVSX01HTihBTk4sMCwtOSxZLFJQLExPQ0FMLE0p&amp;WINDOW=FIRST_POPUP&amp;HEIGHT=450&amp;WI","DTH=450&amp;START_MAXIMIZED=FALSE&amp;VAR:CALENDAR=US&amp;VAR:SYMBOL=B10LQP&amp;VAR:INDEX=7"}</definedName>
    <definedName name="_460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429"}</definedName>
    <definedName name="_460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429"}</definedName>
    <definedName name="_460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429"}</definedName>
    <definedName name="_460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428"}</definedName>
    <definedName name="_460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428"}</definedName>
    <definedName name="_460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428"}</definedName>
    <definedName name="_460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427"}</definedName>
    <definedName name="_460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427"}</definedName>
    <definedName name="_460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427"}</definedName>
    <definedName name="_460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426"}</definedName>
    <definedName name="_460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426"}</definedName>
    <definedName name="_460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426"}</definedName>
    <definedName name="_460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425"}</definedName>
    <definedName name="_460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425"}</definedName>
    <definedName name="_460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425"}</definedName>
    <definedName name="_460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424"}</definedName>
    <definedName name="_460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424"}</definedName>
    <definedName name="_460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424"}</definedName>
    <definedName name="_460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423"}</definedName>
    <definedName name="_460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423"}</definedName>
    <definedName name="_460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423"}</definedName>
    <definedName name="_460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422"}</definedName>
    <definedName name="_460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422"}</definedName>
    <definedName name="_460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422"}</definedName>
    <definedName name="_460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421"}</definedName>
    <definedName name="_460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421"}</definedName>
    <definedName name="_460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421"}</definedName>
    <definedName name="_460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420"}</definedName>
    <definedName name="_460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420"}</definedName>
    <definedName name="_460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420"}</definedName>
    <definedName name="_461__FDSAUDITLINK__" localSheetId="3" hidden="1">{"fdsup://directions/FAT Viewer?action=UPDATE&amp;creator=factset&amp;DYN_ARGS=TRUE&amp;DOC_NAME=FAT:FQL_AUDITING_CLIENT_TEMPLATE.FAT&amp;display_string=Audit&amp;VAR:KEY=IPULMTKFAR&amp;VAR:QUERY=RkZfRUJJVF9PUEVSX01HTihBTk4sMCwtOSxZLFJQLExPQ0FMLE0p&amp;WINDOW=FIRST_POPUP&amp;HEIGHT=450&amp;WI","DTH=450&amp;START_MAXIMIZED=FALSE&amp;VAR:CALENDAR=US&amp;VAR:SYMBOL=B10LQP&amp;VAR:INDEX=6"}</definedName>
    <definedName name="_461__FDSAUDITLINK__" localSheetId="7" hidden="1">{"fdsup://directions/FAT Viewer?action=UPDATE&amp;creator=factset&amp;DYN_ARGS=TRUE&amp;DOC_NAME=FAT:FQL_AUDITING_CLIENT_TEMPLATE.FAT&amp;display_string=Audit&amp;VAR:KEY=IPULMTKFAR&amp;VAR:QUERY=RkZfRUJJVF9PUEVSX01HTihBTk4sMCwtOSxZLFJQLExPQ0FMLE0p&amp;WINDOW=FIRST_POPUP&amp;HEIGHT=450&amp;WI","DTH=450&amp;START_MAXIMIZED=FALSE&amp;VAR:CALENDAR=US&amp;VAR:SYMBOL=B10LQP&amp;VAR:INDEX=6"}</definedName>
    <definedName name="_461__FDSAUDITLINK__" hidden="1">{"fdsup://directions/FAT Viewer?action=UPDATE&amp;creator=factset&amp;DYN_ARGS=TRUE&amp;DOC_NAME=FAT:FQL_AUDITING_CLIENT_TEMPLATE.FAT&amp;display_string=Audit&amp;VAR:KEY=IPULMTKFAR&amp;VAR:QUERY=RkZfRUJJVF9PUEVSX01HTihBTk4sMCwtOSxZLFJQLExPQ0FMLE0p&amp;WINDOW=FIRST_POPUP&amp;HEIGHT=450&amp;WI","DTH=450&amp;START_MAXIMIZED=FALSE&amp;VAR:CALENDAR=US&amp;VAR:SYMBOL=B10LQP&amp;VAR:INDEX=6"}</definedName>
    <definedName name="_461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419"}</definedName>
    <definedName name="_461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419"}</definedName>
    <definedName name="_461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419"}</definedName>
    <definedName name="_461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418"}</definedName>
    <definedName name="_461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418"}</definedName>
    <definedName name="_461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418"}</definedName>
    <definedName name="_461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417"}</definedName>
    <definedName name="_461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417"}</definedName>
    <definedName name="_461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417"}</definedName>
    <definedName name="_461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416"}</definedName>
    <definedName name="_461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416"}</definedName>
    <definedName name="_461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416"}</definedName>
    <definedName name="_461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415"}</definedName>
    <definedName name="_461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415"}</definedName>
    <definedName name="_461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415"}</definedName>
    <definedName name="_461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414"}</definedName>
    <definedName name="_461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414"}</definedName>
    <definedName name="_461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414"}</definedName>
    <definedName name="_461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413"}</definedName>
    <definedName name="_461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413"}</definedName>
    <definedName name="_461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413"}</definedName>
    <definedName name="_461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412"}</definedName>
    <definedName name="_461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412"}</definedName>
    <definedName name="_461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412"}</definedName>
    <definedName name="_461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411"}</definedName>
    <definedName name="_461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411"}</definedName>
    <definedName name="_461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411"}</definedName>
    <definedName name="_461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410"}</definedName>
    <definedName name="_461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410"}</definedName>
    <definedName name="_461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410"}</definedName>
    <definedName name="_462__FDSAUDITLINK__" localSheetId="3" hidden="1">{"fdsup://directions/FAT Viewer?action=UPDATE&amp;creator=factset&amp;DYN_ARGS=TRUE&amp;DOC_NAME=FAT:FQL_AUDITING_CLIENT_TEMPLATE.FAT&amp;display_string=Audit&amp;VAR:KEY=IPULMTKFAR&amp;VAR:QUERY=RkZfRUJJVF9PUEVSX01HTihBTk4sMCwtOSxZLFJQLExPQ0FMLE0p&amp;WINDOW=FIRST_POPUP&amp;HEIGHT=450&amp;WI","DTH=450&amp;START_MAXIMIZED=FALSE&amp;VAR:CALENDAR=US&amp;VAR:SYMBOL=B10LQP&amp;VAR:INDEX=5"}</definedName>
    <definedName name="_462__FDSAUDITLINK__" localSheetId="7" hidden="1">{"fdsup://directions/FAT Viewer?action=UPDATE&amp;creator=factset&amp;DYN_ARGS=TRUE&amp;DOC_NAME=FAT:FQL_AUDITING_CLIENT_TEMPLATE.FAT&amp;display_string=Audit&amp;VAR:KEY=IPULMTKFAR&amp;VAR:QUERY=RkZfRUJJVF9PUEVSX01HTihBTk4sMCwtOSxZLFJQLExPQ0FMLE0p&amp;WINDOW=FIRST_POPUP&amp;HEIGHT=450&amp;WI","DTH=450&amp;START_MAXIMIZED=FALSE&amp;VAR:CALENDAR=US&amp;VAR:SYMBOL=B10LQP&amp;VAR:INDEX=5"}</definedName>
    <definedName name="_462__FDSAUDITLINK__" hidden="1">{"fdsup://directions/FAT Viewer?action=UPDATE&amp;creator=factset&amp;DYN_ARGS=TRUE&amp;DOC_NAME=FAT:FQL_AUDITING_CLIENT_TEMPLATE.FAT&amp;display_string=Audit&amp;VAR:KEY=IPULMTKFAR&amp;VAR:QUERY=RkZfRUJJVF9PUEVSX01HTihBTk4sMCwtOSxZLFJQLExPQ0FMLE0p&amp;WINDOW=FIRST_POPUP&amp;HEIGHT=450&amp;WI","DTH=450&amp;START_MAXIMIZED=FALSE&amp;VAR:CALENDAR=US&amp;VAR:SYMBOL=B10LQP&amp;VAR:INDEX=5"}</definedName>
    <definedName name="_462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409"}</definedName>
    <definedName name="_462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409"}</definedName>
    <definedName name="_462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409"}</definedName>
    <definedName name="_462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408"}</definedName>
    <definedName name="_462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408"}</definedName>
    <definedName name="_462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408"}</definedName>
    <definedName name="_462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407"}</definedName>
    <definedName name="_462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407"}</definedName>
    <definedName name="_462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407"}</definedName>
    <definedName name="_462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406"}</definedName>
    <definedName name="_462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406"}</definedName>
    <definedName name="_462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406"}</definedName>
    <definedName name="_462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405"}</definedName>
    <definedName name="_462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405"}</definedName>
    <definedName name="_462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405"}</definedName>
    <definedName name="_462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404"}</definedName>
    <definedName name="_462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404"}</definedName>
    <definedName name="_462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404"}</definedName>
    <definedName name="_462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403"}</definedName>
    <definedName name="_462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403"}</definedName>
    <definedName name="_462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403"}</definedName>
    <definedName name="_462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402"}</definedName>
    <definedName name="_462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402"}</definedName>
    <definedName name="_462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402"}</definedName>
    <definedName name="_462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401"}</definedName>
    <definedName name="_462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401"}</definedName>
    <definedName name="_462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401"}</definedName>
    <definedName name="_462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400"}</definedName>
    <definedName name="_462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400"}</definedName>
    <definedName name="_462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400"}</definedName>
    <definedName name="_463__FDSAUDITLINK__" localSheetId="3" hidden="1">{"fdsup://directions/FAT Viewer?action=UPDATE&amp;creator=factset&amp;DYN_ARGS=TRUE&amp;DOC_NAME=FAT:FQL_AUDITING_CLIENT_TEMPLATE.FAT&amp;display_string=Audit&amp;VAR:KEY=IPULMTKFAR&amp;VAR:QUERY=RkZfRUJJVF9PUEVSX01HTihBTk4sMCwtOSxZLFJQLExPQ0FMLE0p&amp;WINDOW=FIRST_POPUP&amp;HEIGHT=450&amp;WI","DTH=450&amp;START_MAXIMIZED=FALSE&amp;VAR:CALENDAR=US&amp;VAR:SYMBOL=B10LQP&amp;VAR:INDEX=4"}</definedName>
    <definedName name="_463__FDSAUDITLINK__" localSheetId="7" hidden="1">{"fdsup://directions/FAT Viewer?action=UPDATE&amp;creator=factset&amp;DYN_ARGS=TRUE&amp;DOC_NAME=FAT:FQL_AUDITING_CLIENT_TEMPLATE.FAT&amp;display_string=Audit&amp;VAR:KEY=IPULMTKFAR&amp;VAR:QUERY=RkZfRUJJVF9PUEVSX01HTihBTk4sMCwtOSxZLFJQLExPQ0FMLE0p&amp;WINDOW=FIRST_POPUP&amp;HEIGHT=450&amp;WI","DTH=450&amp;START_MAXIMIZED=FALSE&amp;VAR:CALENDAR=US&amp;VAR:SYMBOL=B10LQP&amp;VAR:INDEX=4"}</definedName>
    <definedName name="_463__FDSAUDITLINK__" hidden="1">{"fdsup://directions/FAT Viewer?action=UPDATE&amp;creator=factset&amp;DYN_ARGS=TRUE&amp;DOC_NAME=FAT:FQL_AUDITING_CLIENT_TEMPLATE.FAT&amp;display_string=Audit&amp;VAR:KEY=IPULMTKFAR&amp;VAR:QUERY=RkZfRUJJVF9PUEVSX01HTihBTk4sMCwtOSxZLFJQLExPQ0FMLE0p&amp;WINDOW=FIRST_POPUP&amp;HEIGHT=450&amp;WI","DTH=450&amp;START_MAXIMIZED=FALSE&amp;VAR:CALENDAR=US&amp;VAR:SYMBOL=B10LQP&amp;VAR:INDEX=4"}</definedName>
    <definedName name="_463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399"}</definedName>
    <definedName name="_463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399"}</definedName>
    <definedName name="_463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399"}</definedName>
    <definedName name="_463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398"}</definedName>
    <definedName name="_463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398"}</definedName>
    <definedName name="_463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398"}</definedName>
    <definedName name="_463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397"}</definedName>
    <definedName name="_463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397"}</definedName>
    <definedName name="_463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397"}</definedName>
    <definedName name="_463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396"}</definedName>
    <definedName name="_463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396"}</definedName>
    <definedName name="_463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396"}</definedName>
    <definedName name="_463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395"}</definedName>
    <definedName name="_463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395"}</definedName>
    <definedName name="_463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395"}</definedName>
    <definedName name="_463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394"}</definedName>
    <definedName name="_463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394"}</definedName>
    <definedName name="_463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394"}</definedName>
    <definedName name="_463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393"}</definedName>
    <definedName name="_463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393"}</definedName>
    <definedName name="_463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393"}</definedName>
    <definedName name="_463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392"}</definedName>
    <definedName name="_463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392"}</definedName>
    <definedName name="_463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392"}</definedName>
    <definedName name="_463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391"}</definedName>
    <definedName name="_463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391"}</definedName>
    <definedName name="_463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391"}</definedName>
    <definedName name="_463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390"}</definedName>
    <definedName name="_463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390"}</definedName>
    <definedName name="_463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390"}</definedName>
    <definedName name="_464__FDSAUDITLINK__" localSheetId="3" hidden="1">{"fdsup://directions/FAT Viewer?action=UPDATE&amp;creator=factset&amp;DYN_ARGS=TRUE&amp;DOC_NAME=FAT:FQL_AUDITING_CLIENT_TEMPLATE.FAT&amp;display_string=Audit&amp;VAR:KEY=IPULMTKFAR&amp;VAR:QUERY=RkZfRUJJVF9PUEVSX01HTihBTk4sMCwtOSxZLFJQLExPQ0FMLE0p&amp;WINDOW=FIRST_POPUP&amp;HEIGHT=450&amp;WI","DTH=450&amp;START_MAXIMIZED=FALSE&amp;VAR:CALENDAR=US&amp;VAR:SYMBOL=B10LQP&amp;VAR:INDEX=3"}</definedName>
    <definedName name="_464__FDSAUDITLINK__" localSheetId="7" hidden="1">{"fdsup://directions/FAT Viewer?action=UPDATE&amp;creator=factset&amp;DYN_ARGS=TRUE&amp;DOC_NAME=FAT:FQL_AUDITING_CLIENT_TEMPLATE.FAT&amp;display_string=Audit&amp;VAR:KEY=IPULMTKFAR&amp;VAR:QUERY=RkZfRUJJVF9PUEVSX01HTihBTk4sMCwtOSxZLFJQLExPQ0FMLE0p&amp;WINDOW=FIRST_POPUP&amp;HEIGHT=450&amp;WI","DTH=450&amp;START_MAXIMIZED=FALSE&amp;VAR:CALENDAR=US&amp;VAR:SYMBOL=B10LQP&amp;VAR:INDEX=3"}</definedName>
    <definedName name="_464__FDSAUDITLINK__" hidden="1">{"fdsup://directions/FAT Viewer?action=UPDATE&amp;creator=factset&amp;DYN_ARGS=TRUE&amp;DOC_NAME=FAT:FQL_AUDITING_CLIENT_TEMPLATE.FAT&amp;display_string=Audit&amp;VAR:KEY=IPULMTKFAR&amp;VAR:QUERY=RkZfRUJJVF9PUEVSX01HTihBTk4sMCwtOSxZLFJQLExPQ0FMLE0p&amp;WINDOW=FIRST_POPUP&amp;HEIGHT=450&amp;WI","DTH=450&amp;START_MAXIMIZED=FALSE&amp;VAR:CALENDAR=US&amp;VAR:SYMBOL=B10LQP&amp;VAR:INDEX=3"}</definedName>
    <definedName name="_464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389"}</definedName>
    <definedName name="_464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389"}</definedName>
    <definedName name="_464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389"}</definedName>
    <definedName name="_464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388"}</definedName>
    <definedName name="_464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388"}</definedName>
    <definedName name="_464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388"}</definedName>
    <definedName name="_464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387"}</definedName>
    <definedName name="_464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387"}</definedName>
    <definedName name="_464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387"}</definedName>
    <definedName name="_464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386"}</definedName>
    <definedName name="_464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386"}</definedName>
    <definedName name="_464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386"}</definedName>
    <definedName name="_464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385"}</definedName>
    <definedName name="_464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385"}</definedName>
    <definedName name="_464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385"}</definedName>
    <definedName name="_464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384"}</definedName>
    <definedName name="_464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384"}</definedName>
    <definedName name="_464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384"}</definedName>
    <definedName name="_464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383"}</definedName>
    <definedName name="_464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383"}</definedName>
    <definedName name="_464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383"}</definedName>
    <definedName name="_464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382"}</definedName>
    <definedName name="_464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382"}</definedName>
    <definedName name="_464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382"}</definedName>
    <definedName name="_464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381"}</definedName>
    <definedName name="_464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381"}</definedName>
    <definedName name="_464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381"}</definedName>
    <definedName name="_464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380"}</definedName>
    <definedName name="_464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380"}</definedName>
    <definedName name="_464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380"}</definedName>
    <definedName name="_465__FDSAUDITLINK__" localSheetId="3" hidden="1">{"fdsup://directions/FAT Viewer?action=UPDATE&amp;creator=factset&amp;DYN_ARGS=TRUE&amp;DOC_NAME=FAT:FQL_AUDITING_CLIENT_TEMPLATE.FAT&amp;display_string=Audit&amp;VAR:KEY=IPULMTKFAR&amp;VAR:QUERY=RkZfRUJJVF9PUEVSX01HTihBTk4sMCwtOSxZLFJQLExPQ0FMLE0p&amp;WINDOW=FIRST_POPUP&amp;HEIGHT=450&amp;WI","DTH=450&amp;START_MAXIMIZED=FALSE&amp;VAR:CALENDAR=US&amp;VAR:SYMBOL=B10LQP&amp;VAR:INDEX=2"}</definedName>
    <definedName name="_465__FDSAUDITLINK__" localSheetId="7" hidden="1">{"fdsup://directions/FAT Viewer?action=UPDATE&amp;creator=factset&amp;DYN_ARGS=TRUE&amp;DOC_NAME=FAT:FQL_AUDITING_CLIENT_TEMPLATE.FAT&amp;display_string=Audit&amp;VAR:KEY=IPULMTKFAR&amp;VAR:QUERY=RkZfRUJJVF9PUEVSX01HTihBTk4sMCwtOSxZLFJQLExPQ0FMLE0p&amp;WINDOW=FIRST_POPUP&amp;HEIGHT=450&amp;WI","DTH=450&amp;START_MAXIMIZED=FALSE&amp;VAR:CALENDAR=US&amp;VAR:SYMBOL=B10LQP&amp;VAR:INDEX=2"}</definedName>
    <definedName name="_465__FDSAUDITLINK__" hidden="1">{"fdsup://directions/FAT Viewer?action=UPDATE&amp;creator=factset&amp;DYN_ARGS=TRUE&amp;DOC_NAME=FAT:FQL_AUDITING_CLIENT_TEMPLATE.FAT&amp;display_string=Audit&amp;VAR:KEY=IPULMTKFAR&amp;VAR:QUERY=RkZfRUJJVF9PUEVSX01HTihBTk4sMCwtOSxZLFJQLExPQ0FMLE0p&amp;WINDOW=FIRST_POPUP&amp;HEIGHT=450&amp;WI","DTH=450&amp;START_MAXIMIZED=FALSE&amp;VAR:CALENDAR=US&amp;VAR:SYMBOL=B10LQP&amp;VAR:INDEX=2"}</definedName>
    <definedName name="_465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379"}</definedName>
    <definedName name="_465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379"}</definedName>
    <definedName name="_465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379"}</definedName>
    <definedName name="_465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378"}</definedName>
    <definedName name="_465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378"}</definedName>
    <definedName name="_465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378"}</definedName>
    <definedName name="_465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377"}</definedName>
    <definedName name="_465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377"}</definedName>
    <definedName name="_465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377"}</definedName>
    <definedName name="_465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376"}</definedName>
    <definedName name="_465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376"}</definedName>
    <definedName name="_465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376"}</definedName>
    <definedName name="_465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375"}</definedName>
    <definedName name="_465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375"}</definedName>
    <definedName name="_465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375"}</definedName>
    <definedName name="_465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374"}</definedName>
    <definedName name="_465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374"}</definedName>
    <definedName name="_465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374"}</definedName>
    <definedName name="_465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373"}</definedName>
    <definedName name="_465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373"}</definedName>
    <definedName name="_465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373"}</definedName>
    <definedName name="_465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372"}</definedName>
    <definedName name="_465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372"}</definedName>
    <definedName name="_465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372"}</definedName>
    <definedName name="_465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371"}</definedName>
    <definedName name="_465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371"}</definedName>
    <definedName name="_465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371"}</definedName>
    <definedName name="_465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370"}</definedName>
    <definedName name="_465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370"}</definedName>
    <definedName name="_465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370"}</definedName>
    <definedName name="_466__FDSAUDITLINK__" localSheetId="3" hidden="1">{"fdsup://directions/FAT Viewer?action=UPDATE&amp;creator=factset&amp;DYN_ARGS=TRUE&amp;DOC_NAME=FAT:FQL_AUDITING_CLIENT_TEMPLATE.FAT&amp;display_string=Audit&amp;VAR:KEY=IPULMTKFAR&amp;VAR:QUERY=RkZfRUJJVF9PUEVSX01HTihBTk4sMCwtOSxZLFJQLExPQ0FMLE0p&amp;WINDOW=FIRST_POPUP&amp;HEIGHT=450&amp;WI","DTH=450&amp;START_MAXIMIZED=FALSE&amp;VAR:CALENDAR=US&amp;VAR:SYMBOL=B10LQP&amp;VAR:INDEX=1"}</definedName>
    <definedName name="_466__FDSAUDITLINK__" localSheetId="7" hidden="1">{"fdsup://directions/FAT Viewer?action=UPDATE&amp;creator=factset&amp;DYN_ARGS=TRUE&amp;DOC_NAME=FAT:FQL_AUDITING_CLIENT_TEMPLATE.FAT&amp;display_string=Audit&amp;VAR:KEY=IPULMTKFAR&amp;VAR:QUERY=RkZfRUJJVF9PUEVSX01HTihBTk4sMCwtOSxZLFJQLExPQ0FMLE0p&amp;WINDOW=FIRST_POPUP&amp;HEIGHT=450&amp;WI","DTH=450&amp;START_MAXIMIZED=FALSE&amp;VAR:CALENDAR=US&amp;VAR:SYMBOL=B10LQP&amp;VAR:INDEX=1"}</definedName>
    <definedName name="_466__FDSAUDITLINK__" hidden="1">{"fdsup://directions/FAT Viewer?action=UPDATE&amp;creator=factset&amp;DYN_ARGS=TRUE&amp;DOC_NAME=FAT:FQL_AUDITING_CLIENT_TEMPLATE.FAT&amp;display_string=Audit&amp;VAR:KEY=IPULMTKFAR&amp;VAR:QUERY=RkZfRUJJVF9PUEVSX01HTihBTk4sMCwtOSxZLFJQLExPQ0FMLE0p&amp;WINDOW=FIRST_POPUP&amp;HEIGHT=450&amp;WI","DTH=450&amp;START_MAXIMIZED=FALSE&amp;VAR:CALENDAR=US&amp;VAR:SYMBOL=B10LQP&amp;VAR:INDEX=1"}</definedName>
    <definedName name="_466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369"}</definedName>
    <definedName name="_466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369"}</definedName>
    <definedName name="_466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369"}</definedName>
    <definedName name="_466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368"}</definedName>
    <definedName name="_466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368"}</definedName>
    <definedName name="_466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368"}</definedName>
    <definedName name="_466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367"}</definedName>
    <definedName name="_466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367"}</definedName>
    <definedName name="_466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367"}</definedName>
    <definedName name="_466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366"}</definedName>
    <definedName name="_466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366"}</definedName>
    <definedName name="_466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366"}</definedName>
    <definedName name="_466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365"}</definedName>
    <definedName name="_466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365"}</definedName>
    <definedName name="_466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365"}</definedName>
    <definedName name="_466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364"}</definedName>
    <definedName name="_466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364"}</definedName>
    <definedName name="_466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364"}</definedName>
    <definedName name="_466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363"}</definedName>
    <definedName name="_466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363"}</definedName>
    <definedName name="_466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363"}</definedName>
    <definedName name="_466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362"}</definedName>
    <definedName name="_466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362"}</definedName>
    <definedName name="_466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362"}</definedName>
    <definedName name="_466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361"}</definedName>
    <definedName name="_466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361"}</definedName>
    <definedName name="_466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361"}</definedName>
    <definedName name="_466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360"}</definedName>
    <definedName name="_466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360"}</definedName>
    <definedName name="_466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360"}</definedName>
    <definedName name="_467__FDSAUDITLINK__" localSheetId="3" hidden="1">{"fdsup://directions/FAT Viewer?action=UPDATE&amp;creator=factset&amp;DYN_ARGS=TRUE&amp;DOC_NAME=FAT:FQL_AUDITING_CLIENT_TEMPLATE.FAT&amp;display_string=Audit&amp;VAR:KEY=DIBUNMPMRM&amp;VAR:QUERY=Q0VfRkZfRU5UUlBSX1ZBTCgwLC05LFksJzBEJykgLy8gRkZfRUJJVERBX09QRVIoQU5OLDAsLTksWSxSUCk=&amp;","WINDOW=FIRST_POPUP&amp;HEIGHT=450&amp;WIDTH=450&amp;START_MAXIMIZED=FALSE&amp;VAR:CALENDAR=US&amp;VAR:SYMBOL=B10LQP&amp;VAR:INDEX=7"}</definedName>
    <definedName name="_467__FDSAUDITLINK__" localSheetId="7" hidden="1">{"fdsup://directions/FAT Viewer?action=UPDATE&amp;creator=factset&amp;DYN_ARGS=TRUE&amp;DOC_NAME=FAT:FQL_AUDITING_CLIENT_TEMPLATE.FAT&amp;display_string=Audit&amp;VAR:KEY=DIBUNMPMRM&amp;VAR:QUERY=Q0VfRkZfRU5UUlBSX1ZBTCgwLC05LFksJzBEJykgLy8gRkZfRUJJVERBX09QRVIoQU5OLDAsLTksWSxSUCk=&amp;","WINDOW=FIRST_POPUP&amp;HEIGHT=450&amp;WIDTH=450&amp;START_MAXIMIZED=FALSE&amp;VAR:CALENDAR=US&amp;VAR:SYMBOL=B10LQP&amp;VAR:INDEX=7"}</definedName>
    <definedName name="_467__FDSAUDITLINK__" hidden="1">{"fdsup://directions/FAT Viewer?action=UPDATE&amp;creator=factset&amp;DYN_ARGS=TRUE&amp;DOC_NAME=FAT:FQL_AUDITING_CLIENT_TEMPLATE.FAT&amp;display_string=Audit&amp;VAR:KEY=DIBUNMPMRM&amp;VAR:QUERY=Q0VfRkZfRU5UUlBSX1ZBTCgwLC05LFksJzBEJykgLy8gRkZfRUJJVERBX09QRVIoQU5OLDAsLTksWSxSUCk=&amp;","WINDOW=FIRST_POPUP&amp;HEIGHT=450&amp;WIDTH=450&amp;START_MAXIMIZED=FALSE&amp;VAR:CALENDAR=US&amp;VAR:SYMBOL=B10LQP&amp;VAR:INDEX=7"}</definedName>
    <definedName name="_467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359"}</definedName>
    <definedName name="_467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359"}</definedName>
    <definedName name="_467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359"}</definedName>
    <definedName name="_467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358"}</definedName>
    <definedName name="_467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358"}</definedName>
    <definedName name="_467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358"}</definedName>
    <definedName name="_467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357"}</definedName>
    <definedName name="_467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357"}</definedName>
    <definedName name="_467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357"}</definedName>
    <definedName name="_467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356"}</definedName>
    <definedName name="_467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356"}</definedName>
    <definedName name="_467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356"}</definedName>
    <definedName name="_467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355"}</definedName>
    <definedName name="_467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355"}</definedName>
    <definedName name="_467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355"}</definedName>
    <definedName name="_467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354"}</definedName>
    <definedName name="_467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354"}</definedName>
    <definedName name="_467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354"}</definedName>
    <definedName name="_467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353"}</definedName>
    <definedName name="_467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353"}</definedName>
    <definedName name="_467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353"}</definedName>
    <definedName name="_467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352"}</definedName>
    <definedName name="_467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352"}</definedName>
    <definedName name="_467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352"}</definedName>
    <definedName name="_467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351"}</definedName>
    <definedName name="_467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351"}</definedName>
    <definedName name="_467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351"}</definedName>
    <definedName name="_467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350"}</definedName>
    <definedName name="_467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350"}</definedName>
    <definedName name="_467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350"}</definedName>
    <definedName name="_468__FDSAUDITLINK__" localSheetId="3" hidden="1">{"fdsup://directions/FAT Viewer?action=UPDATE&amp;creator=factset&amp;DYN_ARGS=TRUE&amp;DOC_NAME=FAT:FQL_AUDITING_CLIENT_TEMPLATE.FAT&amp;display_string=Audit&amp;VAR:KEY=VSBMNOFSFC&amp;VAR:QUERY=UENUQ0hHKEZGX0VCSVRfT1BFUihBTk4sMCwtOSxZLFJQLExPQ0FMLE0pLEZGX0VCSVRfT1BFUihBTk4sLTEsL","TkgLSAxLFksUlAsTE9DQUwsTSkp&amp;WINDOW=FIRST_POPUP&amp;HEIGHT=450&amp;WIDTH=450&amp;START_MAXIMIZED=FALSE&amp;VAR:CALENDAR=US&amp;VAR:SYMBOL=B10LQP&amp;VAR:INDEX=7"}</definedName>
    <definedName name="_468__FDSAUDITLINK__" localSheetId="7" hidden="1">{"fdsup://directions/FAT Viewer?action=UPDATE&amp;creator=factset&amp;DYN_ARGS=TRUE&amp;DOC_NAME=FAT:FQL_AUDITING_CLIENT_TEMPLATE.FAT&amp;display_string=Audit&amp;VAR:KEY=VSBMNOFSFC&amp;VAR:QUERY=UENUQ0hHKEZGX0VCSVRfT1BFUihBTk4sMCwtOSxZLFJQLExPQ0FMLE0pLEZGX0VCSVRfT1BFUihBTk4sLTEsL","TkgLSAxLFksUlAsTE9DQUwsTSkp&amp;WINDOW=FIRST_POPUP&amp;HEIGHT=450&amp;WIDTH=450&amp;START_MAXIMIZED=FALSE&amp;VAR:CALENDAR=US&amp;VAR:SYMBOL=B10LQP&amp;VAR:INDEX=7"}</definedName>
    <definedName name="_468__FDSAUDITLINK__" hidden="1">{"fdsup://directions/FAT Viewer?action=UPDATE&amp;creator=factset&amp;DYN_ARGS=TRUE&amp;DOC_NAME=FAT:FQL_AUDITING_CLIENT_TEMPLATE.FAT&amp;display_string=Audit&amp;VAR:KEY=VSBMNOFSFC&amp;VAR:QUERY=UENUQ0hHKEZGX0VCSVRfT1BFUihBTk4sMCwtOSxZLFJQLExPQ0FMLE0pLEZGX0VCSVRfT1BFUihBTk4sLTEsL","TkgLSAxLFksUlAsTE9DQUwsTSkp&amp;WINDOW=FIRST_POPUP&amp;HEIGHT=450&amp;WIDTH=450&amp;START_MAXIMIZED=FALSE&amp;VAR:CALENDAR=US&amp;VAR:SYMBOL=B10LQP&amp;VAR:INDEX=7"}</definedName>
    <definedName name="_468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349"}</definedName>
    <definedName name="_468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349"}</definedName>
    <definedName name="_468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349"}</definedName>
    <definedName name="_468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348"}</definedName>
    <definedName name="_468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348"}</definedName>
    <definedName name="_468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348"}</definedName>
    <definedName name="_468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347"}</definedName>
    <definedName name="_468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347"}</definedName>
    <definedName name="_468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347"}</definedName>
    <definedName name="_468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346"}</definedName>
    <definedName name="_468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346"}</definedName>
    <definedName name="_468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346"}</definedName>
    <definedName name="_468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345"}</definedName>
    <definedName name="_468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345"}</definedName>
    <definedName name="_468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345"}</definedName>
    <definedName name="_468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344"}</definedName>
    <definedName name="_468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344"}</definedName>
    <definedName name="_468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344"}</definedName>
    <definedName name="_468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343"}</definedName>
    <definedName name="_468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343"}</definedName>
    <definedName name="_468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343"}</definedName>
    <definedName name="_468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342"}</definedName>
    <definedName name="_468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342"}</definedName>
    <definedName name="_468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342"}</definedName>
    <definedName name="_468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341"}</definedName>
    <definedName name="_468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341"}</definedName>
    <definedName name="_468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341"}</definedName>
    <definedName name="_468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340"}</definedName>
    <definedName name="_468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340"}</definedName>
    <definedName name="_468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340"}</definedName>
    <definedName name="_469__FDSAUDITLINK__" localSheetId="3" hidden="1">{"fdsup://directions/FAT Viewer?action=UPDATE&amp;creator=factset&amp;DYN_ARGS=TRUE&amp;DOC_NAME=FAT:FQL_AUDITING_CLIENT_TEMPLATE.FAT&amp;display_string=Audit&amp;VAR:KEY=VSBMNOFSFC&amp;VAR:QUERY=UENUQ0hHKEZGX0VCSVRfT1BFUihBTk4sMCwtOSxZLFJQLExPQ0FMLE0pLEZGX0VCSVRfT1BFUihBTk4sLTEsL","TkgLSAxLFksUlAsTE9DQUwsTSkp&amp;WINDOW=FIRST_POPUP&amp;HEIGHT=450&amp;WIDTH=450&amp;START_MAXIMIZED=FALSE&amp;VAR:CALENDAR=US&amp;VAR:SYMBOL=B10LQP&amp;VAR:INDEX=6"}</definedName>
    <definedName name="_469__FDSAUDITLINK__" localSheetId="7" hidden="1">{"fdsup://directions/FAT Viewer?action=UPDATE&amp;creator=factset&amp;DYN_ARGS=TRUE&amp;DOC_NAME=FAT:FQL_AUDITING_CLIENT_TEMPLATE.FAT&amp;display_string=Audit&amp;VAR:KEY=VSBMNOFSFC&amp;VAR:QUERY=UENUQ0hHKEZGX0VCSVRfT1BFUihBTk4sMCwtOSxZLFJQLExPQ0FMLE0pLEZGX0VCSVRfT1BFUihBTk4sLTEsL","TkgLSAxLFksUlAsTE9DQUwsTSkp&amp;WINDOW=FIRST_POPUP&amp;HEIGHT=450&amp;WIDTH=450&amp;START_MAXIMIZED=FALSE&amp;VAR:CALENDAR=US&amp;VAR:SYMBOL=B10LQP&amp;VAR:INDEX=6"}</definedName>
    <definedName name="_469__FDSAUDITLINK__" hidden="1">{"fdsup://directions/FAT Viewer?action=UPDATE&amp;creator=factset&amp;DYN_ARGS=TRUE&amp;DOC_NAME=FAT:FQL_AUDITING_CLIENT_TEMPLATE.FAT&amp;display_string=Audit&amp;VAR:KEY=VSBMNOFSFC&amp;VAR:QUERY=UENUQ0hHKEZGX0VCSVRfT1BFUihBTk4sMCwtOSxZLFJQLExPQ0FMLE0pLEZGX0VCSVRfT1BFUihBTk4sLTEsL","TkgLSAxLFksUlAsTE9DQUwsTSkp&amp;WINDOW=FIRST_POPUP&amp;HEIGHT=450&amp;WIDTH=450&amp;START_MAXIMIZED=FALSE&amp;VAR:CALENDAR=US&amp;VAR:SYMBOL=B10LQP&amp;VAR:INDEX=6"}</definedName>
    <definedName name="_469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339"}</definedName>
    <definedName name="_469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339"}</definedName>
    <definedName name="_469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339"}</definedName>
    <definedName name="_469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338"}</definedName>
    <definedName name="_469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338"}</definedName>
    <definedName name="_469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338"}</definedName>
    <definedName name="_469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337"}</definedName>
    <definedName name="_469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337"}</definedName>
    <definedName name="_469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337"}</definedName>
    <definedName name="_469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336"}</definedName>
    <definedName name="_469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336"}</definedName>
    <definedName name="_469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336"}</definedName>
    <definedName name="_469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335"}</definedName>
    <definedName name="_469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335"}</definedName>
    <definedName name="_469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335"}</definedName>
    <definedName name="_469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334"}</definedName>
    <definedName name="_469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334"}</definedName>
    <definedName name="_469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334"}</definedName>
    <definedName name="_469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333"}</definedName>
    <definedName name="_469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333"}</definedName>
    <definedName name="_469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333"}</definedName>
    <definedName name="_469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332"}</definedName>
    <definedName name="_469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332"}</definedName>
    <definedName name="_469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332"}</definedName>
    <definedName name="_469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331"}</definedName>
    <definedName name="_469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331"}</definedName>
    <definedName name="_469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331"}</definedName>
    <definedName name="_469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330"}</definedName>
    <definedName name="_469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330"}</definedName>
    <definedName name="_469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330"}</definedName>
    <definedName name="_47__FDSAUDITLINK__" localSheetId="3" hidden="1">{"fdsup://directions/FAT Viewer?action=UPDATE&amp;creator=factset&amp;DYN_ARGS=TRUE&amp;DOC_NAME=FAT:FQL_AUDITING_CLIENT_TEMPLATE.FAT&amp;display_string=Audit&amp;VAR:KEY=VQLOVKHWNS&amp;VAR:QUERY=RkZfRUJJVERBX09QRVIoTFRNLDAsLCwsLE0p&amp;WINDOW=FIRST_POPUP&amp;HEIGHT=450&amp;WIDTH=450&amp;START_MA","XIMIZED=FALSE&amp;VAR:CALENDAR=US&amp;VAR:SYMBOL=B07C76&amp;VAR:INDEX=0"}</definedName>
    <definedName name="_47__FDSAUDITLINK__" localSheetId="7" hidden="1">{"fdsup://directions/FAT Viewer?action=UPDATE&amp;creator=factset&amp;DYN_ARGS=TRUE&amp;DOC_NAME=FAT:FQL_AUDITING_CLIENT_TEMPLATE.FAT&amp;display_string=Audit&amp;VAR:KEY=VQLOVKHWNS&amp;VAR:QUERY=RkZfRUJJVERBX09QRVIoTFRNLDAsLCwsLE0p&amp;WINDOW=FIRST_POPUP&amp;HEIGHT=450&amp;WIDTH=450&amp;START_MA","XIMIZED=FALSE&amp;VAR:CALENDAR=US&amp;VAR:SYMBOL=B07C76&amp;VAR:INDEX=0"}</definedName>
    <definedName name="_47__FDSAUDITLINK__" hidden="1">{"fdsup://directions/FAT Viewer?action=UPDATE&amp;creator=factset&amp;DYN_ARGS=TRUE&amp;DOC_NAME=FAT:FQL_AUDITING_CLIENT_TEMPLATE.FAT&amp;display_string=Audit&amp;VAR:KEY=VQLOVKHWNS&amp;VAR:QUERY=RkZfRUJJVERBX09QRVIoTFRNLDAsLCwsLE0p&amp;WINDOW=FIRST_POPUP&amp;HEIGHT=450&amp;WIDTH=450&amp;START_MA","XIMIZED=FALSE&amp;VAR:CALENDAR=US&amp;VAR:SYMBOL=B07C76&amp;VAR:INDEX=0"}</definedName>
    <definedName name="_470__FDSAUDITLINK__" localSheetId="3" hidden="1">{"fdsup://directions/FAT Viewer?action=UPDATE&amp;creator=factset&amp;DYN_ARGS=TRUE&amp;DOC_NAME=FAT:FQL_AUDITING_CLIENT_TEMPLATE.FAT&amp;display_string=Audit&amp;VAR:KEY=VSBMNOFSFC&amp;VAR:QUERY=UENUQ0hHKEZGX0VCSVRfT1BFUihBTk4sMCwtOSxZLFJQLExPQ0FMLE0pLEZGX0VCSVRfT1BFUihBTk4sLTEsL","TkgLSAxLFksUlAsTE9DQUwsTSkp&amp;WINDOW=FIRST_POPUP&amp;HEIGHT=450&amp;WIDTH=450&amp;START_MAXIMIZED=FALSE&amp;VAR:CALENDAR=US&amp;VAR:SYMBOL=B10LQP&amp;VAR:INDEX=5"}</definedName>
    <definedName name="_470__FDSAUDITLINK__" localSheetId="7" hidden="1">{"fdsup://directions/FAT Viewer?action=UPDATE&amp;creator=factset&amp;DYN_ARGS=TRUE&amp;DOC_NAME=FAT:FQL_AUDITING_CLIENT_TEMPLATE.FAT&amp;display_string=Audit&amp;VAR:KEY=VSBMNOFSFC&amp;VAR:QUERY=UENUQ0hHKEZGX0VCSVRfT1BFUihBTk4sMCwtOSxZLFJQLExPQ0FMLE0pLEZGX0VCSVRfT1BFUihBTk4sLTEsL","TkgLSAxLFksUlAsTE9DQUwsTSkp&amp;WINDOW=FIRST_POPUP&amp;HEIGHT=450&amp;WIDTH=450&amp;START_MAXIMIZED=FALSE&amp;VAR:CALENDAR=US&amp;VAR:SYMBOL=B10LQP&amp;VAR:INDEX=5"}</definedName>
    <definedName name="_470__FDSAUDITLINK__" hidden="1">{"fdsup://directions/FAT Viewer?action=UPDATE&amp;creator=factset&amp;DYN_ARGS=TRUE&amp;DOC_NAME=FAT:FQL_AUDITING_CLIENT_TEMPLATE.FAT&amp;display_string=Audit&amp;VAR:KEY=VSBMNOFSFC&amp;VAR:QUERY=UENUQ0hHKEZGX0VCSVRfT1BFUihBTk4sMCwtOSxZLFJQLExPQ0FMLE0pLEZGX0VCSVRfT1BFUihBTk4sLTEsL","TkgLSAxLFksUlAsTE9DQUwsTSkp&amp;WINDOW=FIRST_POPUP&amp;HEIGHT=450&amp;WIDTH=450&amp;START_MAXIMIZED=FALSE&amp;VAR:CALENDAR=US&amp;VAR:SYMBOL=B10LQP&amp;VAR:INDEX=5"}</definedName>
    <definedName name="_470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329"}</definedName>
    <definedName name="_470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329"}</definedName>
    <definedName name="_470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329"}</definedName>
    <definedName name="_470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328"}</definedName>
    <definedName name="_470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328"}</definedName>
    <definedName name="_470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328"}</definedName>
    <definedName name="_470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327"}</definedName>
    <definedName name="_470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327"}</definedName>
    <definedName name="_470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327"}</definedName>
    <definedName name="_470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326"}</definedName>
    <definedName name="_470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326"}</definedName>
    <definedName name="_470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326"}</definedName>
    <definedName name="_470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325"}</definedName>
    <definedName name="_470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325"}</definedName>
    <definedName name="_470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325"}</definedName>
    <definedName name="_470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324"}</definedName>
    <definedName name="_470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324"}</definedName>
    <definedName name="_470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324"}</definedName>
    <definedName name="_470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323"}</definedName>
    <definedName name="_470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323"}</definedName>
    <definedName name="_470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323"}</definedName>
    <definedName name="_470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322"}</definedName>
    <definedName name="_470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322"}</definedName>
    <definedName name="_470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322"}</definedName>
    <definedName name="_470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321"}</definedName>
    <definedName name="_470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321"}</definedName>
    <definedName name="_470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321"}</definedName>
    <definedName name="_470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320"}</definedName>
    <definedName name="_470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320"}</definedName>
    <definedName name="_470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320"}</definedName>
    <definedName name="_471__FDSAUDITLINK__" localSheetId="3" hidden="1">{"fdsup://directions/FAT Viewer?action=UPDATE&amp;creator=factset&amp;DYN_ARGS=TRUE&amp;DOC_NAME=FAT:FQL_AUDITING_CLIENT_TEMPLATE.FAT&amp;display_string=Audit&amp;VAR:KEY=VSBMNOFSFC&amp;VAR:QUERY=UENUQ0hHKEZGX0VCSVRfT1BFUihBTk4sMCwtOSxZLFJQLExPQ0FMLE0pLEZGX0VCSVRfT1BFUihBTk4sLTEsL","TkgLSAxLFksUlAsTE9DQUwsTSkp&amp;WINDOW=FIRST_POPUP&amp;HEIGHT=450&amp;WIDTH=450&amp;START_MAXIMIZED=FALSE&amp;VAR:CALENDAR=US&amp;VAR:SYMBOL=B10LQP&amp;VAR:INDEX=4"}</definedName>
    <definedName name="_471__FDSAUDITLINK__" localSheetId="7" hidden="1">{"fdsup://directions/FAT Viewer?action=UPDATE&amp;creator=factset&amp;DYN_ARGS=TRUE&amp;DOC_NAME=FAT:FQL_AUDITING_CLIENT_TEMPLATE.FAT&amp;display_string=Audit&amp;VAR:KEY=VSBMNOFSFC&amp;VAR:QUERY=UENUQ0hHKEZGX0VCSVRfT1BFUihBTk4sMCwtOSxZLFJQLExPQ0FMLE0pLEZGX0VCSVRfT1BFUihBTk4sLTEsL","TkgLSAxLFksUlAsTE9DQUwsTSkp&amp;WINDOW=FIRST_POPUP&amp;HEIGHT=450&amp;WIDTH=450&amp;START_MAXIMIZED=FALSE&amp;VAR:CALENDAR=US&amp;VAR:SYMBOL=B10LQP&amp;VAR:INDEX=4"}</definedName>
    <definedName name="_471__FDSAUDITLINK__" hidden="1">{"fdsup://directions/FAT Viewer?action=UPDATE&amp;creator=factset&amp;DYN_ARGS=TRUE&amp;DOC_NAME=FAT:FQL_AUDITING_CLIENT_TEMPLATE.FAT&amp;display_string=Audit&amp;VAR:KEY=VSBMNOFSFC&amp;VAR:QUERY=UENUQ0hHKEZGX0VCSVRfT1BFUihBTk4sMCwtOSxZLFJQLExPQ0FMLE0pLEZGX0VCSVRfT1BFUihBTk4sLTEsL","TkgLSAxLFksUlAsTE9DQUwsTSkp&amp;WINDOW=FIRST_POPUP&amp;HEIGHT=450&amp;WIDTH=450&amp;START_MAXIMIZED=FALSE&amp;VAR:CALENDAR=US&amp;VAR:SYMBOL=B10LQP&amp;VAR:INDEX=4"}</definedName>
    <definedName name="_471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319"}</definedName>
    <definedName name="_471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319"}</definedName>
    <definedName name="_471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319"}</definedName>
    <definedName name="_471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318"}</definedName>
    <definedName name="_471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318"}</definedName>
    <definedName name="_471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318"}</definedName>
    <definedName name="_471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317"}</definedName>
    <definedName name="_471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317"}</definedName>
    <definedName name="_471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317"}</definedName>
    <definedName name="_471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316"}</definedName>
    <definedName name="_471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316"}</definedName>
    <definedName name="_471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316"}</definedName>
    <definedName name="_471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315"}</definedName>
    <definedName name="_471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315"}</definedName>
    <definedName name="_471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315"}</definedName>
    <definedName name="_471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314"}</definedName>
    <definedName name="_471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314"}</definedName>
    <definedName name="_471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314"}</definedName>
    <definedName name="_471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313"}</definedName>
    <definedName name="_471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313"}</definedName>
    <definedName name="_471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313"}</definedName>
    <definedName name="_471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312"}</definedName>
    <definedName name="_471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312"}</definedName>
    <definedName name="_471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312"}</definedName>
    <definedName name="_471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311"}</definedName>
    <definedName name="_471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311"}</definedName>
    <definedName name="_471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311"}</definedName>
    <definedName name="_471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310"}</definedName>
    <definedName name="_471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310"}</definedName>
    <definedName name="_471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310"}</definedName>
    <definedName name="_472__FDSAUDITLINK__" localSheetId="3" hidden="1">{"fdsup://directions/FAT Viewer?action=UPDATE&amp;creator=factset&amp;DYN_ARGS=TRUE&amp;DOC_NAME=FAT:FQL_AUDITING_CLIENT_TEMPLATE.FAT&amp;display_string=Audit&amp;VAR:KEY=VSBMNOFSFC&amp;VAR:QUERY=UENUQ0hHKEZGX0VCSVRfT1BFUihBTk4sMCwtOSxZLFJQLExPQ0FMLE0pLEZGX0VCSVRfT1BFUihBTk4sLTEsL","TkgLSAxLFksUlAsTE9DQUwsTSkp&amp;WINDOW=FIRST_POPUP&amp;HEIGHT=450&amp;WIDTH=450&amp;START_MAXIMIZED=FALSE&amp;VAR:CALENDAR=US&amp;VAR:SYMBOL=B10LQP&amp;VAR:INDEX=3"}</definedName>
    <definedName name="_472__FDSAUDITLINK__" localSheetId="7" hidden="1">{"fdsup://directions/FAT Viewer?action=UPDATE&amp;creator=factset&amp;DYN_ARGS=TRUE&amp;DOC_NAME=FAT:FQL_AUDITING_CLIENT_TEMPLATE.FAT&amp;display_string=Audit&amp;VAR:KEY=VSBMNOFSFC&amp;VAR:QUERY=UENUQ0hHKEZGX0VCSVRfT1BFUihBTk4sMCwtOSxZLFJQLExPQ0FMLE0pLEZGX0VCSVRfT1BFUihBTk4sLTEsL","TkgLSAxLFksUlAsTE9DQUwsTSkp&amp;WINDOW=FIRST_POPUP&amp;HEIGHT=450&amp;WIDTH=450&amp;START_MAXIMIZED=FALSE&amp;VAR:CALENDAR=US&amp;VAR:SYMBOL=B10LQP&amp;VAR:INDEX=3"}</definedName>
    <definedName name="_472__FDSAUDITLINK__" hidden="1">{"fdsup://directions/FAT Viewer?action=UPDATE&amp;creator=factset&amp;DYN_ARGS=TRUE&amp;DOC_NAME=FAT:FQL_AUDITING_CLIENT_TEMPLATE.FAT&amp;display_string=Audit&amp;VAR:KEY=VSBMNOFSFC&amp;VAR:QUERY=UENUQ0hHKEZGX0VCSVRfT1BFUihBTk4sMCwtOSxZLFJQLExPQ0FMLE0pLEZGX0VCSVRfT1BFUihBTk4sLTEsL","TkgLSAxLFksUlAsTE9DQUwsTSkp&amp;WINDOW=FIRST_POPUP&amp;HEIGHT=450&amp;WIDTH=450&amp;START_MAXIMIZED=FALSE&amp;VAR:CALENDAR=US&amp;VAR:SYMBOL=B10LQP&amp;VAR:INDEX=3"}</definedName>
    <definedName name="_472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309"}</definedName>
    <definedName name="_472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309"}</definedName>
    <definedName name="_472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309"}</definedName>
    <definedName name="_472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308"}</definedName>
    <definedName name="_472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308"}</definedName>
    <definedName name="_472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308"}</definedName>
    <definedName name="_472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307"}</definedName>
    <definedName name="_472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307"}</definedName>
    <definedName name="_472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307"}</definedName>
    <definedName name="_472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306"}</definedName>
    <definedName name="_472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306"}</definedName>
    <definedName name="_472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306"}</definedName>
    <definedName name="_472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305"}</definedName>
    <definedName name="_472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305"}</definedName>
    <definedName name="_472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305"}</definedName>
    <definedName name="_472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304"}</definedName>
    <definedName name="_472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304"}</definedName>
    <definedName name="_472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304"}</definedName>
    <definedName name="_472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303"}</definedName>
    <definedName name="_472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303"}</definedName>
    <definedName name="_472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303"}</definedName>
    <definedName name="_472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302"}</definedName>
    <definedName name="_472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302"}</definedName>
    <definedName name="_472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302"}</definedName>
    <definedName name="_472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301"}</definedName>
    <definedName name="_472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301"}</definedName>
    <definedName name="_472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301"}</definedName>
    <definedName name="_472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300"}</definedName>
    <definedName name="_472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300"}</definedName>
    <definedName name="_472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300"}</definedName>
    <definedName name="_473__FDSAUDITLINK__" localSheetId="3" hidden="1">{"fdsup://directions/FAT Viewer?action=UPDATE&amp;creator=factset&amp;DYN_ARGS=TRUE&amp;DOC_NAME=FAT:FQL_AUDITING_CLIENT_TEMPLATE.FAT&amp;display_string=Audit&amp;VAR:KEY=VSBMNOFSFC&amp;VAR:QUERY=UENUQ0hHKEZGX0VCSVRfT1BFUihBTk4sMCwtOSxZLFJQLExPQ0FMLE0pLEZGX0VCSVRfT1BFUihBTk4sLTEsL","TkgLSAxLFksUlAsTE9DQUwsTSkp&amp;WINDOW=FIRST_POPUP&amp;HEIGHT=450&amp;WIDTH=450&amp;START_MAXIMIZED=FALSE&amp;VAR:CALENDAR=US&amp;VAR:SYMBOL=B10LQP&amp;VAR:INDEX=2"}</definedName>
    <definedName name="_473__FDSAUDITLINK__" localSheetId="7" hidden="1">{"fdsup://directions/FAT Viewer?action=UPDATE&amp;creator=factset&amp;DYN_ARGS=TRUE&amp;DOC_NAME=FAT:FQL_AUDITING_CLIENT_TEMPLATE.FAT&amp;display_string=Audit&amp;VAR:KEY=VSBMNOFSFC&amp;VAR:QUERY=UENUQ0hHKEZGX0VCSVRfT1BFUihBTk4sMCwtOSxZLFJQLExPQ0FMLE0pLEZGX0VCSVRfT1BFUihBTk4sLTEsL","TkgLSAxLFksUlAsTE9DQUwsTSkp&amp;WINDOW=FIRST_POPUP&amp;HEIGHT=450&amp;WIDTH=450&amp;START_MAXIMIZED=FALSE&amp;VAR:CALENDAR=US&amp;VAR:SYMBOL=B10LQP&amp;VAR:INDEX=2"}</definedName>
    <definedName name="_473__FDSAUDITLINK__" hidden="1">{"fdsup://directions/FAT Viewer?action=UPDATE&amp;creator=factset&amp;DYN_ARGS=TRUE&amp;DOC_NAME=FAT:FQL_AUDITING_CLIENT_TEMPLATE.FAT&amp;display_string=Audit&amp;VAR:KEY=VSBMNOFSFC&amp;VAR:QUERY=UENUQ0hHKEZGX0VCSVRfT1BFUihBTk4sMCwtOSxZLFJQLExPQ0FMLE0pLEZGX0VCSVRfT1BFUihBTk4sLTEsL","TkgLSAxLFksUlAsTE9DQUwsTSkp&amp;WINDOW=FIRST_POPUP&amp;HEIGHT=450&amp;WIDTH=450&amp;START_MAXIMIZED=FALSE&amp;VAR:CALENDAR=US&amp;VAR:SYMBOL=B10LQP&amp;VAR:INDEX=2"}</definedName>
    <definedName name="_473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299"}</definedName>
    <definedName name="_473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299"}</definedName>
    <definedName name="_473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299"}</definedName>
    <definedName name="_473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298"}</definedName>
    <definedName name="_473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298"}</definedName>
    <definedName name="_473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298"}</definedName>
    <definedName name="_473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297"}</definedName>
    <definedName name="_473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297"}</definedName>
    <definedName name="_473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297"}</definedName>
    <definedName name="_473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296"}</definedName>
    <definedName name="_473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296"}</definedName>
    <definedName name="_473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296"}</definedName>
    <definedName name="_473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295"}</definedName>
    <definedName name="_473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295"}</definedName>
    <definedName name="_473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295"}</definedName>
    <definedName name="_473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294"}</definedName>
    <definedName name="_473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294"}</definedName>
    <definedName name="_473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294"}</definedName>
    <definedName name="_473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293"}</definedName>
    <definedName name="_473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293"}</definedName>
    <definedName name="_473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293"}</definedName>
    <definedName name="_473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292"}</definedName>
    <definedName name="_473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292"}</definedName>
    <definedName name="_473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292"}</definedName>
    <definedName name="_473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291"}</definedName>
    <definedName name="_473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291"}</definedName>
    <definedName name="_473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291"}</definedName>
    <definedName name="_473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290"}</definedName>
    <definedName name="_473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290"}</definedName>
    <definedName name="_473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290"}</definedName>
    <definedName name="_474__FDSAUDITLINK__" localSheetId="3" hidden="1">{"fdsup://directions/FAT Viewer?action=UPDATE&amp;creator=factset&amp;DYN_ARGS=TRUE&amp;DOC_NAME=FAT:FQL_AUDITING_CLIENT_TEMPLATE.FAT&amp;display_string=Audit&amp;VAR:KEY=VSBMNOFSFC&amp;VAR:QUERY=UENUQ0hHKEZGX0VCSVRfT1BFUihBTk4sMCwtOSxZLFJQLExPQ0FMLE0pLEZGX0VCSVRfT1BFUihBTk4sLTEsL","TkgLSAxLFksUlAsTE9DQUwsTSkp&amp;WINDOW=FIRST_POPUP&amp;HEIGHT=450&amp;WIDTH=450&amp;START_MAXIMIZED=FALSE&amp;VAR:CALENDAR=US&amp;VAR:SYMBOL=B10LQP&amp;VAR:INDEX=1"}</definedName>
    <definedName name="_474__FDSAUDITLINK__" localSheetId="7" hidden="1">{"fdsup://directions/FAT Viewer?action=UPDATE&amp;creator=factset&amp;DYN_ARGS=TRUE&amp;DOC_NAME=FAT:FQL_AUDITING_CLIENT_TEMPLATE.FAT&amp;display_string=Audit&amp;VAR:KEY=VSBMNOFSFC&amp;VAR:QUERY=UENUQ0hHKEZGX0VCSVRfT1BFUihBTk4sMCwtOSxZLFJQLExPQ0FMLE0pLEZGX0VCSVRfT1BFUihBTk4sLTEsL","TkgLSAxLFksUlAsTE9DQUwsTSkp&amp;WINDOW=FIRST_POPUP&amp;HEIGHT=450&amp;WIDTH=450&amp;START_MAXIMIZED=FALSE&amp;VAR:CALENDAR=US&amp;VAR:SYMBOL=B10LQP&amp;VAR:INDEX=1"}</definedName>
    <definedName name="_474__FDSAUDITLINK__" hidden="1">{"fdsup://directions/FAT Viewer?action=UPDATE&amp;creator=factset&amp;DYN_ARGS=TRUE&amp;DOC_NAME=FAT:FQL_AUDITING_CLIENT_TEMPLATE.FAT&amp;display_string=Audit&amp;VAR:KEY=VSBMNOFSFC&amp;VAR:QUERY=UENUQ0hHKEZGX0VCSVRfT1BFUihBTk4sMCwtOSxZLFJQLExPQ0FMLE0pLEZGX0VCSVRfT1BFUihBTk4sLTEsL","TkgLSAxLFksUlAsTE9DQUwsTSkp&amp;WINDOW=FIRST_POPUP&amp;HEIGHT=450&amp;WIDTH=450&amp;START_MAXIMIZED=FALSE&amp;VAR:CALENDAR=US&amp;VAR:SYMBOL=B10LQP&amp;VAR:INDEX=1"}</definedName>
    <definedName name="_474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289"}</definedName>
    <definedName name="_474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289"}</definedName>
    <definedName name="_474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289"}</definedName>
    <definedName name="_474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288"}</definedName>
    <definedName name="_474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288"}</definedName>
    <definedName name="_474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288"}</definedName>
    <definedName name="_474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287"}</definedName>
    <definedName name="_474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287"}</definedName>
    <definedName name="_474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287"}</definedName>
    <definedName name="_474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286"}</definedName>
    <definedName name="_474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286"}</definedName>
    <definedName name="_474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286"}</definedName>
    <definedName name="_474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285"}</definedName>
    <definedName name="_474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285"}</definedName>
    <definedName name="_474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285"}</definedName>
    <definedName name="_474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284"}</definedName>
    <definedName name="_474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284"}</definedName>
    <definedName name="_474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284"}</definedName>
    <definedName name="_474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283"}</definedName>
    <definedName name="_474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283"}</definedName>
    <definedName name="_474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283"}</definedName>
    <definedName name="_474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282"}</definedName>
    <definedName name="_474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282"}</definedName>
    <definedName name="_474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282"}</definedName>
    <definedName name="_474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281"}</definedName>
    <definedName name="_474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281"}</definedName>
    <definedName name="_474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281"}</definedName>
    <definedName name="_474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280"}</definedName>
    <definedName name="_474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280"}</definedName>
    <definedName name="_474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280"}</definedName>
    <definedName name="_475__FDSAUDITLINK__" localSheetId="3" hidden="1">{"fdsup://directions/FAT Viewer?action=UPDATE&amp;creator=factset&amp;DYN_ARGS=TRUE&amp;DOC_NAME=FAT:FQL_AUDITING_CLIENT_TEMPLATE.FAT&amp;display_string=Audit&amp;VAR:KEY=KBUVENAHIR&amp;VAR:QUERY=Q0VfRkZfRU5UUlBSX1ZBTCgwLC05LFksJzBEJykgLy8gRkZfRUJJVF9PUEVSKEFOTiwwLC05LFksUlAp&amp;WIND","OW=FIRST_POPUP&amp;HEIGHT=450&amp;WIDTH=450&amp;START_MAXIMIZED=FALSE&amp;VAR:CALENDAR=US&amp;VAR:SYMBOL=B10LQP&amp;VAR:INDEX=7"}</definedName>
    <definedName name="_475__FDSAUDITLINK__" localSheetId="7" hidden="1">{"fdsup://directions/FAT Viewer?action=UPDATE&amp;creator=factset&amp;DYN_ARGS=TRUE&amp;DOC_NAME=FAT:FQL_AUDITING_CLIENT_TEMPLATE.FAT&amp;display_string=Audit&amp;VAR:KEY=KBUVENAHIR&amp;VAR:QUERY=Q0VfRkZfRU5UUlBSX1ZBTCgwLC05LFksJzBEJykgLy8gRkZfRUJJVF9PUEVSKEFOTiwwLC05LFksUlAp&amp;WIND","OW=FIRST_POPUP&amp;HEIGHT=450&amp;WIDTH=450&amp;START_MAXIMIZED=FALSE&amp;VAR:CALENDAR=US&amp;VAR:SYMBOL=B10LQP&amp;VAR:INDEX=7"}</definedName>
    <definedName name="_475__FDSAUDITLINK__" hidden="1">{"fdsup://directions/FAT Viewer?action=UPDATE&amp;creator=factset&amp;DYN_ARGS=TRUE&amp;DOC_NAME=FAT:FQL_AUDITING_CLIENT_TEMPLATE.FAT&amp;display_string=Audit&amp;VAR:KEY=KBUVENAHIR&amp;VAR:QUERY=Q0VfRkZfRU5UUlBSX1ZBTCgwLC05LFksJzBEJykgLy8gRkZfRUJJVF9PUEVSKEFOTiwwLC05LFksUlAp&amp;WIND","OW=FIRST_POPUP&amp;HEIGHT=450&amp;WIDTH=450&amp;START_MAXIMIZED=FALSE&amp;VAR:CALENDAR=US&amp;VAR:SYMBOL=B10LQP&amp;VAR:INDEX=7"}</definedName>
    <definedName name="_475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279"}</definedName>
    <definedName name="_475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279"}</definedName>
    <definedName name="_475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279"}</definedName>
    <definedName name="_475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278"}</definedName>
    <definedName name="_475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278"}</definedName>
    <definedName name="_475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278"}</definedName>
    <definedName name="_475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277"}</definedName>
    <definedName name="_475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277"}</definedName>
    <definedName name="_475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277"}</definedName>
    <definedName name="_475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276"}</definedName>
    <definedName name="_475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276"}</definedName>
    <definedName name="_475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276"}</definedName>
    <definedName name="_475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275"}</definedName>
    <definedName name="_475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275"}</definedName>
    <definedName name="_475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275"}</definedName>
    <definedName name="_475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274"}</definedName>
    <definedName name="_475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274"}</definedName>
    <definedName name="_475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274"}</definedName>
    <definedName name="_475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273"}</definedName>
    <definedName name="_475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273"}</definedName>
    <definedName name="_475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273"}</definedName>
    <definedName name="_475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272"}</definedName>
    <definedName name="_475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272"}</definedName>
    <definedName name="_475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272"}</definedName>
    <definedName name="_475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271"}</definedName>
    <definedName name="_475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271"}</definedName>
    <definedName name="_475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271"}</definedName>
    <definedName name="_475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270"}</definedName>
    <definedName name="_475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270"}</definedName>
    <definedName name="_475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270"}</definedName>
    <definedName name="_476__FDSAUDITLINK__" localSheetId="3"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7"}</definedName>
    <definedName name="_476__FDSAUDITLINK__" localSheetId="7"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7"}</definedName>
    <definedName name="_476__FDSAUDITLINK__"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7"}</definedName>
    <definedName name="_476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269"}</definedName>
    <definedName name="_476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269"}</definedName>
    <definedName name="_476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269"}</definedName>
    <definedName name="_476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268"}</definedName>
    <definedName name="_476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268"}</definedName>
    <definedName name="_476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268"}</definedName>
    <definedName name="_476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267"}</definedName>
    <definedName name="_476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267"}</definedName>
    <definedName name="_476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267"}</definedName>
    <definedName name="_476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266"}</definedName>
    <definedName name="_476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266"}</definedName>
    <definedName name="_476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266"}</definedName>
    <definedName name="_476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265"}</definedName>
    <definedName name="_476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265"}</definedName>
    <definedName name="_476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265"}</definedName>
    <definedName name="_476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264"}</definedName>
    <definedName name="_476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264"}</definedName>
    <definedName name="_476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264"}</definedName>
    <definedName name="_476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263"}</definedName>
    <definedName name="_476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263"}</definedName>
    <definedName name="_476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263"}</definedName>
    <definedName name="_476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262"}</definedName>
    <definedName name="_476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262"}</definedName>
    <definedName name="_476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262"}</definedName>
    <definedName name="_476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261"}</definedName>
    <definedName name="_476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261"}</definedName>
    <definedName name="_476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261"}</definedName>
    <definedName name="_476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260"}</definedName>
    <definedName name="_476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260"}</definedName>
    <definedName name="_476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260"}</definedName>
    <definedName name="_477__FDSAUDITLINK__" localSheetId="3"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6"}</definedName>
    <definedName name="_477__FDSAUDITLINK__" localSheetId="7"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6"}</definedName>
    <definedName name="_477__FDSAUDITLINK__"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6"}</definedName>
    <definedName name="_477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259"}</definedName>
    <definedName name="_477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259"}</definedName>
    <definedName name="_477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259"}</definedName>
    <definedName name="_477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258"}</definedName>
    <definedName name="_477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258"}</definedName>
    <definedName name="_477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258"}</definedName>
    <definedName name="_477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257"}</definedName>
    <definedName name="_477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257"}</definedName>
    <definedName name="_477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257"}</definedName>
    <definedName name="_477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256"}</definedName>
    <definedName name="_477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256"}</definedName>
    <definedName name="_477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256"}</definedName>
    <definedName name="_477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255"}</definedName>
    <definedName name="_477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255"}</definedName>
    <definedName name="_477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255"}</definedName>
    <definedName name="_477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254"}</definedName>
    <definedName name="_477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254"}</definedName>
    <definedName name="_477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254"}</definedName>
    <definedName name="_477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253"}</definedName>
    <definedName name="_477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253"}</definedName>
    <definedName name="_477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253"}</definedName>
    <definedName name="_477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252"}</definedName>
    <definedName name="_477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252"}</definedName>
    <definedName name="_477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252"}</definedName>
    <definedName name="_477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251"}</definedName>
    <definedName name="_477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251"}</definedName>
    <definedName name="_477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251"}</definedName>
    <definedName name="_477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250"}</definedName>
    <definedName name="_477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250"}</definedName>
    <definedName name="_477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250"}</definedName>
    <definedName name="_478__FDSAUDITLINK__" localSheetId="3"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5"}</definedName>
    <definedName name="_478__FDSAUDITLINK__" localSheetId="7"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5"}</definedName>
    <definedName name="_478__FDSAUDITLINK__"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5"}</definedName>
    <definedName name="_478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249"}</definedName>
    <definedName name="_478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249"}</definedName>
    <definedName name="_478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249"}</definedName>
    <definedName name="_478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248"}</definedName>
    <definedName name="_478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248"}</definedName>
    <definedName name="_478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248"}</definedName>
    <definedName name="_478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247"}</definedName>
    <definedName name="_478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247"}</definedName>
    <definedName name="_478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247"}</definedName>
    <definedName name="_478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246"}</definedName>
    <definedName name="_478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246"}</definedName>
    <definedName name="_478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246"}</definedName>
    <definedName name="_478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245"}</definedName>
    <definedName name="_478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245"}</definedName>
    <definedName name="_478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245"}</definedName>
    <definedName name="_478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244"}</definedName>
    <definedName name="_478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244"}</definedName>
    <definedName name="_478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244"}</definedName>
    <definedName name="_478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243"}</definedName>
    <definedName name="_478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243"}</definedName>
    <definedName name="_478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243"}</definedName>
    <definedName name="_478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242"}</definedName>
    <definedName name="_478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242"}</definedName>
    <definedName name="_478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242"}</definedName>
    <definedName name="_478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241"}</definedName>
    <definedName name="_478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241"}</definedName>
    <definedName name="_478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241"}</definedName>
    <definedName name="_478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240"}</definedName>
    <definedName name="_478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240"}</definedName>
    <definedName name="_478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240"}</definedName>
    <definedName name="_479__FDSAUDITLINK__" localSheetId="3"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4"}</definedName>
    <definedName name="_479__FDSAUDITLINK__" localSheetId="7"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4"}</definedName>
    <definedName name="_479__FDSAUDITLINK__"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4"}</definedName>
    <definedName name="_479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239"}</definedName>
    <definedName name="_479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239"}</definedName>
    <definedName name="_479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239"}</definedName>
    <definedName name="_479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238"}</definedName>
    <definedName name="_479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238"}</definedName>
    <definedName name="_479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238"}</definedName>
    <definedName name="_479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237"}</definedName>
    <definedName name="_479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237"}</definedName>
    <definedName name="_479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237"}</definedName>
    <definedName name="_479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236"}</definedName>
    <definedName name="_479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236"}</definedName>
    <definedName name="_479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236"}</definedName>
    <definedName name="_479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235"}</definedName>
    <definedName name="_479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235"}</definedName>
    <definedName name="_479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235"}</definedName>
    <definedName name="_479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234"}</definedName>
    <definedName name="_479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234"}</definedName>
    <definedName name="_479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234"}</definedName>
    <definedName name="_479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233"}</definedName>
    <definedName name="_479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233"}</definedName>
    <definedName name="_479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233"}</definedName>
    <definedName name="_479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232"}</definedName>
    <definedName name="_479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232"}</definedName>
    <definedName name="_479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232"}</definedName>
    <definedName name="_479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231"}</definedName>
    <definedName name="_479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231"}</definedName>
    <definedName name="_479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231"}</definedName>
    <definedName name="_479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230"}</definedName>
    <definedName name="_479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230"}</definedName>
    <definedName name="_479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230"}</definedName>
    <definedName name="_48__FDSAUDITLINK__" localSheetId="3" hidden="1">{"fdsup://directions/FAT Viewer?action=UPDATE&amp;creator=factset&amp;DYN_ARGS=TRUE&amp;DOC_NAME=FAT:FQL_AUDITING_CLIENT_TEMPLATE.FAT&amp;display_string=Audit&amp;VAR:KEY=VQLOVKHWNS&amp;VAR:QUERY=RkZfRUJJVERBX09QRVIoTFRNLDAsLCwsLE0p&amp;WINDOW=FIRST_POPUP&amp;HEIGHT=450&amp;WIDTH=450&amp;START_MA","XIMIZED=FALSE&amp;VAR:CALENDAR=US&amp;VAR:SYMBOL=B07C76&amp;VAR:INDEX=0"}</definedName>
    <definedName name="_48__FDSAUDITLINK__" localSheetId="7" hidden="1">{"fdsup://directions/FAT Viewer?action=UPDATE&amp;creator=factset&amp;DYN_ARGS=TRUE&amp;DOC_NAME=FAT:FQL_AUDITING_CLIENT_TEMPLATE.FAT&amp;display_string=Audit&amp;VAR:KEY=VQLOVKHWNS&amp;VAR:QUERY=RkZfRUJJVERBX09QRVIoTFRNLDAsLCwsLE0p&amp;WINDOW=FIRST_POPUP&amp;HEIGHT=450&amp;WIDTH=450&amp;START_MA","XIMIZED=FALSE&amp;VAR:CALENDAR=US&amp;VAR:SYMBOL=B07C76&amp;VAR:INDEX=0"}</definedName>
    <definedName name="_48__FDSAUDITLINK__" hidden="1">{"fdsup://directions/FAT Viewer?action=UPDATE&amp;creator=factset&amp;DYN_ARGS=TRUE&amp;DOC_NAME=FAT:FQL_AUDITING_CLIENT_TEMPLATE.FAT&amp;display_string=Audit&amp;VAR:KEY=VQLOVKHWNS&amp;VAR:QUERY=RkZfRUJJVERBX09QRVIoTFRNLDAsLCwsLE0p&amp;WINDOW=FIRST_POPUP&amp;HEIGHT=450&amp;WIDTH=450&amp;START_MA","XIMIZED=FALSE&amp;VAR:CALENDAR=US&amp;VAR:SYMBOL=B07C76&amp;VAR:INDEX=0"}</definedName>
    <definedName name="_480__FDSAUDITLINK__" localSheetId="3"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3"}</definedName>
    <definedName name="_480__FDSAUDITLINK__" localSheetId="7"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3"}</definedName>
    <definedName name="_480__FDSAUDITLINK__"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3"}</definedName>
    <definedName name="_480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229"}</definedName>
    <definedName name="_480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229"}</definedName>
    <definedName name="_480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229"}</definedName>
    <definedName name="_480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228"}</definedName>
    <definedName name="_480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228"}</definedName>
    <definedName name="_480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228"}</definedName>
    <definedName name="_480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227"}</definedName>
    <definedName name="_480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227"}</definedName>
    <definedName name="_480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227"}</definedName>
    <definedName name="_480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226"}</definedName>
    <definedName name="_480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226"}</definedName>
    <definedName name="_480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226"}</definedName>
    <definedName name="_480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225"}</definedName>
    <definedName name="_480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225"}</definedName>
    <definedName name="_480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225"}</definedName>
    <definedName name="_480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224"}</definedName>
    <definedName name="_480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224"}</definedName>
    <definedName name="_480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224"}</definedName>
    <definedName name="_480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223"}</definedName>
    <definedName name="_480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223"}</definedName>
    <definedName name="_480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223"}</definedName>
    <definedName name="_480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222"}</definedName>
    <definedName name="_480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222"}</definedName>
    <definedName name="_480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222"}</definedName>
    <definedName name="_480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221"}</definedName>
    <definedName name="_480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221"}</definedName>
    <definedName name="_480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221"}</definedName>
    <definedName name="_480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220"}</definedName>
    <definedName name="_480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220"}</definedName>
    <definedName name="_480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220"}</definedName>
    <definedName name="_481__FDSAUDITLINK__" localSheetId="3"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2"}</definedName>
    <definedName name="_481__FDSAUDITLINK__" localSheetId="7"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2"}</definedName>
    <definedName name="_481__FDSAUDITLINK__"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2"}</definedName>
    <definedName name="_481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219"}</definedName>
    <definedName name="_481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219"}</definedName>
    <definedName name="_481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219"}</definedName>
    <definedName name="_481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218"}</definedName>
    <definedName name="_481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218"}</definedName>
    <definedName name="_481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218"}</definedName>
    <definedName name="_481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217"}</definedName>
    <definedName name="_481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217"}</definedName>
    <definedName name="_481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217"}</definedName>
    <definedName name="_481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216"}</definedName>
    <definedName name="_481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216"}</definedName>
    <definedName name="_481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216"}</definedName>
    <definedName name="_481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215"}</definedName>
    <definedName name="_481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215"}</definedName>
    <definedName name="_481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215"}</definedName>
    <definedName name="_481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214"}</definedName>
    <definedName name="_481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214"}</definedName>
    <definedName name="_481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214"}</definedName>
    <definedName name="_481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213"}</definedName>
    <definedName name="_481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213"}</definedName>
    <definedName name="_481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213"}</definedName>
    <definedName name="_481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212"}</definedName>
    <definedName name="_481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212"}</definedName>
    <definedName name="_481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212"}</definedName>
    <definedName name="_481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211"}</definedName>
    <definedName name="_481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211"}</definedName>
    <definedName name="_481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211"}</definedName>
    <definedName name="_481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210"}</definedName>
    <definedName name="_481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210"}</definedName>
    <definedName name="_481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210"}</definedName>
    <definedName name="_482__FDSAUDITLINK__" localSheetId="3"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1"}</definedName>
    <definedName name="_482__FDSAUDITLINK__" localSheetId="7"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1"}</definedName>
    <definedName name="_482__FDSAUDITLINK__"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1"}</definedName>
    <definedName name="_482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209"}</definedName>
    <definedName name="_482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209"}</definedName>
    <definedName name="_482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209"}</definedName>
    <definedName name="_482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208"}</definedName>
    <definedName name="_482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208"}</definedName>
    <definedName name="_482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208"}</definedName>
    <definedName name="_482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207"}</definedName>
    <definedName name="_482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207"}</definedName>
    <definedName name="_482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207"}</definedName>
    <definedName name="_482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206"}</definedName>
    <definedName name="_482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206"}</definedName>
    <definedName name="_482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206"}</definedName>
    <definedName name="_482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205"}</definedName>
    <definedName name="_482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205"}</definedName>
    <definedName name="_482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205"}</definedName>
    <definedName name="_482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204"}</definedName>
    <definedName name="_482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204"}</definedName>
    <definedName name="_482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204"}</definedName>
    <definedName name="_482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203"}</definedName>
    <definedName name="_482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203"}</definedName>
    <definedName name="_482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203"}</definedName>
    <definedName name="_482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202"}</definedName>
    <definedName name="_482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202"}</definedName>
    <definedName name="_482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202"}</definedName>
    <definedName name="_482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201"}</definedName>
    <definedName name="_482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201"}</definedName>
    <definedName name="_482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201"}</definedName>
    <definedName name="_482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200"}</definedName>
    <definedName name="_482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200"}</definedName>
    <definedName name="_482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200"}</definedName>
    <definedName name="_483__FDSAUDITLINK__" localSheetId="3" hidden="1">{"fdsup://directions/FAT Viewer?action=UPDATE&amp;creator=factset&amp;DYN_ARGS=TRUE&amp;DOC_NAME=FAT:FQL_AUDITING_CLIENT_TEMPLATE.FAT&amp;display_string=Audit&amp;VAR:KEY=RSBOPITGLU&amp;VAR:QUERY=UCgwLC05LFkpIC8vIEZGX09QRVJfUFNfTkVUX0NGKEFOTiwwLC05LFksUlAp&amp;WINDOW=FIRST_POPUP&amp;HEIGH","T=450&amp;WIDTH=450&amp;START_MAXIMIZED=FALSE&amp;VAR:CALENDAR=US&amp;VAR:SYMBOL=B10LQP&amp;VAR:INDEX=7"}</definedName>
    <definedName name="_483__FDSAUDITLINK__" localSheetId="7" hidden="1">{"fdsup://directions/FAT Viewer?action=UPDATE&amp;creator=factset&amp;DYN_ARGS=TRUE&amp;DOC_NAME=FAT:FQL_AUDITING_CLIENT_TEMPLATE.FAT&amp;display_string=Audit&amp;VAR:KEY=RSBOPITGLU&amp;VAR:QUERY=UCgwLC05LFkpIC8vIEZGX09QRVJfUFNfTkVUX0NGKEFOTiwwLC05LFksUlAp&amp;WINDOW=FIRST_POPUP&amp;HEIGH","T=450&amp;WIDTH=450&amp;START_MAXIMIZED=FALSE&amp;VAR:CALENDAR=US&amp;VAR:SYMBOL=B10LQP&amp;VAR:INDEX=7"}</definedName>
    <definedName name="_483__FDSAUDITLINK__" hidden="1">{"fdsup://directions/FAT Viewer?action=UPDATE&amp;creator=factset&amp;DYN_ARGS=TRUE&amp;DOC_NAME=FAT:FQL_AUDITING_CLIENT_TEMPLATE.FAT&amp;display_string=Audit&amp;VAR:KEY=RSBOPITGLU&amp;VAR:QUERY=UCgwLC05LFkpIC8vIEZGX09QRVJfUFNfTkVUX0NGKEFOTiwwLC05LFksUlAp&amp;WINDOW=FIRST_POPUP&amp;HEIGH","T=450&amp;WIDTH=450&amp;START_MAXIMIZED=FALSE&amp;VAR:CALENDAR=US&amp;VAR:SYMBOL=B10LQP&amp;VAR:INDEX=7"}</definedName>
    <definedName name="_483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199"}</definedName>
    <definedName name="_483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199"}</definedName>
    <definedName name="_483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199"}</definedName>
    <definedName name="_483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198"}</definedName>
    <definedName name="_483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198"}</definedName>
    <definedName name="_483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198"}</definedName>
    <definedName name="_483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197"}</definedName>
    <definedName name="_483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197"}</definedName>
    <definedName name="_483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197"}</definedName>
    <definedName name="_483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196"}</definedName>
    <definedName name="_483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196"}</definedName>
    <definedName name="_483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196"}</definedName>
    <definedName name="_483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195"}</definedName>
    <definedName name="_483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195"}</definedName>
    <definedName name="_483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195"}</definedName>
    <definedName name="_483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194"}</definedName>
    <definedName name="_483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194"}</definedName>
    <definedName name="_483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194"}</definedName>
    <definedName name="_483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193"}</definedName>
    <definedName name="_483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193"}</definedName>
    <definedName name="_483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193"}</definedName>
    <definedName name="_483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192"}</definedName>
    <definedName name="_483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192"}</definedName>
    <definedName name="_483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192"}</definedName>
    <definedName name="_483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191"}</definedName>
    <definedName name="_483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191"}</definedName>
    <definedName name="_483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191"}</definedName>
    <definedName name="_483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190"}</definedName>
    <definedName name="_483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190"}</definedName>
    <definedName name="_483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190"}</definedName>
    <definedName name="_484__FDSAUDITLINK__" localSheetId="3" hidden="1">{"fdsup://directions/FAT Viewer?action=UPDATE&amp;creator=factset&amp;DYN_ARGS=TRUE&amp;DOC_NAME=FAT:FQL_AUDITING_CLIENT_TEMPLATE.FAT&amp;display_string=Audit&amp;VAR:KEY=VERMFOLOBY&amp;VAR:QUERY=RkZfR1JPU1NfTUdOKEFOTiwwLC05LFksUlAsTE9DQUwsTSk=&amp;WINDOW=FIRST_POPUP&amp;HEIGHT=450&amp;WIDTH=","450&amp;START_MAXIMIZED=FALSE&amp;VAR:CALENDAR=US&amp;VAR:SYMBOL=B10LQP&amp;VAR:INDEX=7"}</definedName>
    <definedName name="_484__FDSAUDITLINK__" localSheetId="7" hidden="1">{"fdsup://directions/FAT Viewer?action=UPDATE&amp;creator=factset&amp;DYN_ARGS=TRUE&amp;DOC_NAME=FAT:FQL_AUDITING_CLIENT_TEMPLATE.FAT&amp;display_string=Audit&amp;VAR:KEY=VERMFOLOBY&amp;VAR:QUERY=RkZfR1JPU1NfTUdOKEFOTiwwLC05LFksUlAsTE9DQUwsTSk=&amp;WINDOW=FIRST_POPUP&amp;HEIGHT=450&amp;WIDTH=","450&amp;START_MAXIMIZED=FALSE&amp;VAR:CALENDAR=US&amp;VAR:SYMBOL=B10LQP&amp;VAR:INDEX=7"}</definedName>
    <definedName name="_484__FDSAUDITLINK__" hidden="1">{"fdsup://directions/FAT Viewer?action=UPDATE&amp;creator=factset&amp;DYN_ARGS=TRUE&amp;DOC_NAME=FAT:FQL_AUDITING_CLIENT_TEMPLATE.FAT&amp;display_string=Audit&amp;VAR:KEY=VERMFOLOBY&amp;VAR:QUERY=RkZfR1JPU1NfTUdOKEFOTiwwLC05LFksUlAsTE9DQUwsTSk=&amp;WINDOW=FIRST_POPUP&amp;HEIGHT=450&amp;WIDTH=","450&amp;START_MAXIMIZED=FALSE&amp;VAR:CALENDAR=US&amp;VAR:SYMBOL=B10LQP&amp;VAR:INDEX=7"}</definedName>
    <definedName name="_484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189"}</definedName>
    <definedName name="_484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189"}</definedName>
    <definedName name="_484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189"}</definedName>
    <definedName name="_484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188"}</definedName>
    <definedName name="_484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188"}</definedName>
    <definedName name="_484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188"}</definedName>
    <definedName name="_484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187"}</definedName>
    <definedName name="_484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187"}</definedName>
    <definedName name="_484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187"}</definedName>
    <definedName name="_484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186"}</definedName>
    <definedName name="_484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186"}</definedName>
    <definedName name="_484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186"}</definedName>
    <definedName name="_484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185"}</definedName>
    <definedName name="_484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185"}</definedName>
    <definedName name="_484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185"}</definedName>
    <definedName name="_484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184"}</definedName>
    <definedName name="_484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184"}</definedName>
    <definedName name="_484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184"}</definedName>
    <definedName name="_484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183"}</definedName>
    <definedName name="_484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183"}</definedName>
    <definedName name="_484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183"}</definedName>
    <definedName name="_484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182"}</definedName>
    <definedName name="_484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182"}</definedName>
    <definedName name="_484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182"}</definedName>
    <definedName name="_484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181"}</definedName>
    <definedName name="_484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181"}</definedName>
    <definedName name="_484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181"}</definedName>
    <definedName name="_484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180"}</definedName>
    <definedName name="_484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180"}</definedName>
    <definedName name="_484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180"}</definedName>
    <definedName name="_485__FDSAUDITLINK__" localSheetId="3" hidden="1">{"fdsup://directions/FAT Viewer?action=UPDATE&amp;creator=factset&amp;DYN_ARGS=TRUE&amp;DOC_NAME=FAT:FQL_AUDITING_CLIENT_TEMPLATE.FAT&amp;display_string=Audit&amp;VAR:KEY=VERMFOLOBY&amp;VAR:QUERY=RkZfR1JPU1NfTUdOKEFOTiwwLC05LFksUlAsTE9DQUwsTSk=&amp;WINDOW=FIRST_POPUP&amp;HEIGHT=450&amp;WIDTH=","450&amp;START_MAXIMIZED=FALSE&amp;VAR:CALENDAR=US&amp;VAR:SYMBOL=B10LQP&amp;VAR:INDEX=6"}</definedName>
    <definedName name="_485__FDSAUDITLINK__" localSheetId="7" hidden="1">{"fdsup://directions/FAT Viewer?action=UPDATE&amp;creator=factset&amp;DYN_ARGS=TRUE&amp;DOC_NAME=FAT:FQL_AUDITING_CLIENT_TEMPLATE.FAT&amp;display_string=Audit&amp;VAR:KEY=VERMFOLOBY&amp;VAR:QUERY=RkZfR1JPU1NfTUdOKEFOTiwwLC05LFksUlAsTE9DQUwsTSk=&amp;WINDOW=FIRST_POPUP&amp;HEIGHT=450&amp;WIDTH=","450&amp;START_MAXIMIZED=FALSE&amp;VAR:CALENDAR=US&amp;VAR:SYMBOL=B10LQP&amp;VAR:INDEX=6"}</definedName>
    <definedName name="_485__FDSAUDITLINK__" hidden="1">{"fdsup://directions/FAT Viewer?action=UPDATE&amp;creator=factset&amp;DYN_ARGS=TRUE&amp;DOC_NAME=FAT:FQL_AUDITING_CLIENT_TEMPLATE.FAT&amp;display_string=Audit&amp;VAR:KEY=VERMFOLOBY&amp;VAR:QUERY=RkZfR1JPU1NfTUdOKEFOTiwwLC05LFksUlAsTE9DQUwsTSk=&amp;WINDOW=FIRST_POPUP&amp;HEIGHT=450&amp;WIDTH=","450&amp;START_MAXIMIZED=FALSE&amp;VAR:CALENDAR=US&amp;VAR:SYMBOL=B10LQP&amp;VAR:INDEX=6"}</definedName>
    <definedName name="_485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179"}</definedName>
    <definedName name="_485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179"}</definedName>
    <definedName name="_485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179"}</definedName>
    <definedName name="_485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178"}</definedName>
    <definedName name="_485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178"}</definedName>
    <definedName name="_485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178"}</definedName>
    <definedName name="_485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177"}</definedName>
    <definedName name="_485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177"}</definedName>
    <definedName name="_485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177"}</definedName>
    <definedName name="_485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176"}</definedName>
    <definedName name="_485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176"}</definedName>
    <definedName name="_485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176"}</definedName>
    <definedName name="_485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175"}</definedName>
    <definedName name="_485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175"}</definedName>
    <definedName name="_485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175"}</definedName>
    <definedName name="_485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174"}</definedName>
    <definedName name="_485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174"}</definedName>
    <definedName name="_485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174"}</definedName>
    <definedName name="_485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173"}</definedName>
    <definedName name="_485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173"}</definedName>
    <definedName name="_485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173"}</definedName>
    <definedName name="_485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172"}</definedName>
    <definedName name="_485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172"}</definedName>
    <definedName name="_485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172"}</definedName>
    <definedName name="_485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171"}</definedName>
    <definedName name="_485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171"}</definedName>
    <definedName name="_485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171"}</definedName>
    <definedName name="_485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170"}</definedName>
    <definedName name="_485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170"}</definedName>
    <definedName name="_485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170"}</definedName>
    <definedName name="_486__FDSAUDITLINK__" localSheetId="3" hidden="1">{"fdsup://directions/FAT Viewer?action=UPDATE&amp;creator=factset&amp;DYN_ARGS=TRUE&amp;DOC_NAME=FAT:FQL_AUDITING_CLIENT_TEMPLATE.FAT&amp;display_string=Audit&amp;VAR:KEY=VERMFOLOBY&amp;VAR:QUERY=RkZfR1JPU1NfTUdOKEFOTiwwLC05LFksUlAsTE9DQUwsTSk=&amp;WINDOW=FIRST_POPUP&amp;HEIGHT=450&amp;WIDTH=","450&amp;START_MAXIMIZED=FALSE&amp;VAR:CALENDAR=US&amp;VAR:SYMBOL=B10LQP&amp;VAR:INDEX=5"}</definedName>
    <definedName name="_486__FDSAUDITLINK__" localSheetId="7" hidden="1">{"fdsup://directions/FAT Viewer?action=UPDATE&amp;creator=factset&amp;DYN_ARGS=TRUE&amp;DOC_NAME=FAT:FQL_AUDITING_CLIENT_TEMPLATE.FAT&amp;display_string=Audit&amp;VAR:KEY=VERMFOLOBY&amp;VAR:QUERY=RkZfR1JPU1NfTUdOKEFOTiwwLC05LFksUlAsTE9DQUwsTSk=&amp;WINDOW=FIRST_POPUP&amp;HEIGHT=450&amp;WIDTH=","450&amp;START_MAXIMIZED=FALSE&amp;VAR:CALENDAR=US&amp;VAR:SYMBOL=B10LQP&amp;VAR:INDEX=5"}</definedName>
    <definedName name="_486__FDSAUDITLINK__" hidden="1">{"fdsup://directions/FAT Viewer?action=UPDATE&amp;creator=factset&amp;DYN_ARGS=TRUE&amp;DOC_NAME=FAT:FQL_AUDITING_CLIENT_TEMPLATE.FAT&amp;display_string=Audit&amp;VAR:KEY=VERMFOLOBY&amp;VAR:QUERY=RkZfR1JPU1NfTUdOKEFOTiwwLC05LFksUlAsTE9DQUwsTSk=&amp;WINDOW=FIRST_POPUP&amp;HEIGHT=450&amp;WIDTH=","450&amp;START_MAXIMIZED=FALSE&amp;VAR:CALENDAR=US&amp;VAR:SYMBOL=B10LQP&amp;VAR:INDEX=5"}</definedName>
    <definedName name="_486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169"}</definedName>
    <definedName name="_486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169"}</definedName>
    <definedName name="_486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169"}</definedName>
    <definedName name="_486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168"}</definedName>
    <definedName name="_486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168"}</definedName>
    <definedName name="_486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168"}</definedName>
    <definedName name="_486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167"}</definedName>
    <definedName name="_486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167"}</definedName>
    <definedName name="_486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167"}</definedName>
    <definedName name="_486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166"}</definedName>
    <definedName name="_486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166"}</definedName>
    <definedName name="_486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166"}</definedName>
    <definedName name="_486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165"}</definedName>
    <definedName name="_486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165"}</definedName>
    <definedName name="_486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165"}</definedName>
    <definedName name="_486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164"}</definedName>
    <definedName name="_486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164"}</definedName>
    <definedName name="_486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164"}</definedName>
    <definedName name="_486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163"}</definedName>
    <definedName name="_486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163"}</definedName>
    <definedName name="_486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163"}</definedName>
    <definedName name="_486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162"}</definedName>
    <definedName name="_486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162"}</definedName>
    <definedName name="_486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162"}</definedName>
    <definedName name="_486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161"}</definedName>
    <definedName name="_486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161"}</definedName>
    <definedName name="_486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161"}</definedName>
    <definedName name="_486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160"}</definedName>
    <definedName name="_486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160"}</definedName>
    <definedName name="_486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160"}</definedName>
    <definedName name="_487__FDSAUDITLINK__" localSheetId="3" hidden="1">{"fdsup://directions/FAT Viewer?action=UPDATE&amp;creator=factset&amp;DYN_ARGS=TRUE&amp;DOC_NAME=FAT:FQL_AUDITING_CLIENT_TEMPLATE.FAT&amp;display_string=Audit&amp;VAR:KEY=VERMFOLOBY&amp;VAR:QUERY=RkZfR1JPU1NfTUdOKEFOTiwwLC05LFksUlAsTE9DQUwsTSk=&amp;WINDOW=FIRST_POPUP&amp;HEIGHT=450&amp;WIDTH=","450&amp;START_MAXIMIZED=FALSE&amp;VAR:CALENDAR=US&amp;VAR:SYMBOL=B10LQP&amp;VAR:INDEX=4"}</definedName>
    <definedName name="_487__FDSAUDITLINK__" localSheetId="7" hidden="1">{"fdsup://directions/FAT Viewer?action=UPDATE&amp;creator=factset&amp;DYN_ARGS=TRUE&amp;DOC_NAME=FAT:FQL_AUDITING_CLIENT_TEMPLATE.FAT&amp;display_string=Audit&amp;VAR:KEY=VERMFOLOBY&amp;VAR:QUERY=RkZfR1JPU1NfTUdOKEFOTiwwLC05LFksUlAsTE9DQUwsTSk=&amp;WINDOW=FIRST_POPUP&amp;HEIGHT=450&amp;WIDTH=","450&amp;START_MAXIMIZED=FALSE&amp;VAR:CALENDAR=US&amp;VAR:SYMBOL=B10LQP&amp;VAR:INDEX=4"}</definedName>
    <definedName name="_487__FDSAUDITLINK__" hidden="1">{"fdsup://directions/FAT Viewer?action=UPDATE&amp;creator=factset&amp;DYN_ARGS=TRUE&amp;DOC_NAME=FAT:FQL_AUDITING_CLIENT_TEMPLATE.FAT&amp;display_string=Audit&amp;VAR:KEY=VERMFOLOBY&amp;VAR:QUERY=RkZfR1JPU1NfTUdOKEFOTiwwLC05LFksUlAsTE9DQUwsTSk=&amp;WINDOW=FIRST_POPUP&amp;HEIGHT=450&amp;WIDTH=","450&amp;START_MAXIMIZED=FALSE&amp;VAR:CALENDAR=US&amp;VAR:SYMBOL=B10LQP&amp;VAR:INDEX=4"}</definedName>
    <definedName name="_487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159"}</definedName>
    <definedName name="_487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159"}</definedName>
    <definedName name="_487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159"}</definedName>
    <definedName name="_487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158"}</definedName>
    <definedName name="_487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158"}</definedName>
    <definedName name="_487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158"}</definedName>
    <definedName name="_487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157"}</definedName>
    <definedName name="_487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157"}</definedName>
    <definedName name="_487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157"}</definedName>
    <definedName name="_487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156"}</definedName>
    <definedName name="_487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156"}</definedName>
    <definedName name="_487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156"}</definedName>
    <definedName name="_487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155"}</definedName>
    <definedName name="_487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155"}</definedName>
    <definedName name="_487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155"}</definedName>
    <definedName name="_487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154"}</definedName>
    <definedName name="_487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154"}</definedName>
    <definedName name="_487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154"}</definedName>
    <definedName name="_487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153"}</definedName>
    <definedName name="_487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153"}</definedName>
    <definedName name="_487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153"}</definedName>
    <definedName name="_487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152"}</definedName>
    <definedName name="_487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152"}</definedName>
    <definedName name="_487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152"}</definedName>
    <definedName name="_487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151"}</definedName>
    <definedName name="_487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151"}</definedName>
    <definedName name="_487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151"}</definedName>
    <definedName name="_487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150"}</definedName>
    <definedName name="_487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150"}</definedName>
    <definedName name="_487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150"}</definedName>
    <definedName name="_488__FDSAUDITLINK__" localSheetId="3" hidden="1">{"fdsup://directions/FAT Viewer?action=UPDATE&amp;creator=factset&amp;DYN_ARGS=TRUE&amp;DOC_NAME=FAT:FQL_AUDITING_CLIENT_TEMPLATE.FAT&amp;display_string=Audit&amp;VAR:KEY=VERMFOLOBY&amp;VAR:QUERY=RkZfR1JPU1NfTUdOKEFOTiwwLC05LFksUlAsTE9DQUwsTSk=&amp;WINDOW=FIRST_POPUP&amp;HEIGHT=450&amp;WIDTH=","450&amp;START_MAXIMIZED=FALSE&amp;VAR:CALENDAR=US&amp;VAR:SYMBOL=B10LQP&amp;VAR:INDEX=3"}</definedName>
    <definedName name="_488__FDSAUDITLINK__" localSheetId="7" hidden="1">{"fdsup://directions/FAT Viewer?action=UPDATE&amp;creator=factset&amp;DYN_ARGS=TRUE&amp;DOC_NAME=FAT:FQL_AUDITING_CLIENT_TEMPLATE.FAT&amp;display_string=Audit&amp;VAR:KEY=VERMFOLOBY&amp;VAR:QUERY=RkZfR1JPU1NfTUdOKEFOTiwwLC05LFksUlAsTE9DQUwsTSk=&amp;WINDOW=FIRST_POPUP&amp;HEIGHT=450&amp;WIDTH=","450&amp;START_MAXIMIZED=FALSE&amp;VAR:CALENDAR=US&amp;VAR:SYMBOL=B10LQP&amp;VAR:INDEX=3"}</definedName>
    <definedName name="_488__FDSAUDITLINK__" hidden="1">{"fdsup://directions/FAT Viewer?action=UPDATE&amp;creator=factset&amp;DYN_ARGS=TRUE&amp;DOC_NAME=FAT:FQL_AUDITING_CLIENT_TEMPLATE.FAT&amp;display_string=Audit&amp;VAR:KEY=VERMFOLOBY&amp;VAR:QUERY=RkZfR1JPU1NfTUdOKEFOTiwwLC05LFksUlAsTE9DQUwsTSk=&amp;WINDOW=FIRST_POPUP&amp;HEIGHT=450&amp;WIDTH=","450&amp;START_MAXIMIZED=FALSE&amp;VAR:CALENDAR=US&amp;VAR:SYMBOL=B10LQP&amp;VAR:INDEX=3"}</definedName>
    <definedName name="_488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149"}</definedName>
    <definedName name="_488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149"}</definedName>
    <definedName name="_488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149"}</definedName>
    <definedName name="_488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148"}</definedName>
    <definedName name="_488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148"}</definedName>
    <definedName name="_488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148"}</definedName>
    <definedName name="_488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147"}</definedName>
    <definedName name="_488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147"}</definedName>
    <definedName name="_488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147"}</definedName>
    <definedName name="_488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146"}</definedName>
    <definedName name="_488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146"}</definedName>
    <definedName name="_488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146"}</definedName>
    <definedName name="_488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145"}</definedName>
    <definedName name="_488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145"}</definedName>
    <definedName name="_488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145"}</definedName>
    <definedName name="_488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144"}</definedName>
    <definedName name="_488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144"}</definedName>
    <definedName name="_488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144"}</definedName>
    <definedName name="_488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143"}</definedName>
    <definedName name="_488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143"}</definedName>
    <definedName name="_488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143"}</definedName>
    <definedName name="_488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142"}</definedName>
    <definedName name="_488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142"}</definedName>
    <definedName name="_488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142"}</definedName>
    <definedName name="_488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141"}</definedName>
    <definedName name="_488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141"}</definedName>
    <definedName name="_488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141"}</definedName>
    <definedName name="_488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140"}</definedName>
    <definedName name="_488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140"}</definedName>
    <definedName name="_488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140"}</definedName>
    <definedName name="_489__FDSAUDITLINK__" localSheetId="3" hidden="1">{"fdsup://directions/FAT Viewer?action=UPDATE&amp;creator=factset&amp;DYN_ARGS=TRUE&amp;DOC_NAME=FAT:FQL_AUDITING_CLIENT_TEMPLATE.FAT&amp;display_string=Audit&amp;VAR:KEY=VERMFOLOBY&amp;VAR:QUERY=RkZfR1JPU1NfTUdOKEFOTiwwLC05LFksUlAsTE9DQUwsTSk=&amp;WINDOW=FIRST_POPUP&amp;HEIGHT=450&amp;WIDTH=","450&amp;START_MAXIMIZED=FALSE&amp;VAR:CALENDAR=US&amp;VAR:SYMBOL=B10LQP&amp;VAR:INDEX=2"}</definedName>
    <definedName name="_489__FDSAUDITLINK__" localSheetId="7" hidden="1">{"fdsup://directions/FAT Viewer?action=UPDATE&amp;creator=factset&amp;DYN_ARGS=TRUE&amp;DOC_NAME=FAT:FQL_AUDITING_CLIENT_TEMPLATE.FAT&amp;display_string=Audit&amp;VAR:KEY=VERMFOLOBY&amp;VAR:QUERY=RkZfR1JPU1NfTUdOKEFOTiwwLC05LFksUlAsTE9DQUwsTSk=&amp;WINDOW=FIRST_POPUP&amp;HEIGHT=450&amp;WIDTH=","450&amp;START_MAXIMIZED=FALSE&amp;VAR:CALENDAR=US&amp;VAR:SYMBOL=B10LQP&amp;VAR:INDEX=2"}</definedName>
    <definedName name="_489__FDSAUDITLINK__" hidden="1">{"fdsup://directions/FAT Viewer?action=UPDATE&amp;creator=factset&amp;DYN_ARGS=TRUE&amp;DOC_NAME=FAT:FQL_AUDITING_CLIENT_TEMPLATE.FAT&amp;display_string=Audit&amp;VAR:KEY=VERMFOLOBY&amp;VAR:QUERY=RkZfR1JPU1NfTUdOKEFOTiwwLC05LFksUlAsTE9DQUwsTSk=&amp;WINDOW=FIRST_POPUP&amp;HEIGHT=450&amp;WIDTH=","450&amp;START_MAXIMIZED=FALSE&amp;VAR:CALENDAR=US&amp;VAR:SYMBOL=B10LQP&amp;VAR:INDEX=2"}</definedName>
    <definedName name="_489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139"}</definedName>
    <definedName name="_489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139"}</definedName>
    <definedName name="_489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139"}</definedName>
    <definedName name="_489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138"}</definedName>
    <definedName name="_489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138"}</definedName>
    <definedName name="_489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138"}</definedName>
    <definedName name="_489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137"}</definedName>
    <definedName name="_489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137"}</definedName>
    <definedName name="_489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137"}</definedName>
    <definedName name="_489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136"}</definedName>
    <definedName name="_489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136"}</definedName>
    <definedName name="_489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136"}</definedName>
    <definedName name="_489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135"}</definedName>
    <definedName name="_489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135"}</definedName>
    <definedName name="_489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135"}</definedName>
    <definedName name="_489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134"}</definedName>
    <definedName name="_489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134"}</definedName>
    <definedName name="_489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134"}</definedName>
    <definedName name="_489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133"}</definedName>
    <definedName name="_489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133"}</definedName>
    <definedName name="_489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133"}</definedName>
    <definedName name="_489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132"}</definedName>
    <definedName name="_489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132"}</definedName>
    <definedName name="_489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132"}</definedName>
    <definedName name="_489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131"}</definedName>
    <definedName name="_489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131"}</definedName>
    <definedName name="_489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131"}</definedName>
    <definedName name="_489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130"}</definedName>
    <definedName name="_489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130"}</definedName>
    <definedName name="_489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130"}</definedName>
    <definedName name="_49__FDSAUDITLINK__" localSheetId="3" hidden="1">{"fdsup://directions/FAT Viewer?action=UPDATE&amp;creator=factset&amp;DYN_ARGS=TRUE&amp;DOC_NAME=FAT:FQL_AUDITING_CLIENT_TEMPLATE.FAT&amp;display_string=Audit&amp;VAR:KEY=VQLOVKHWNS&amp;VAR:QUERY=RkZfRUJJVERBX09QRVIoTFRNLDAsLCwsLE0p&amp;WINDOW=FIRST_POPUP&amp;HEIGHT=450&amp;WIDTH=450&amp;START_MA","XIMIZED=FALSE&amp;VAR:CALENDAR=US&amp;VAR:SYMBOL=B07C76&amp;VAR:INDEX=0"}</definedName>
    <definedName name="_49__FDSAUDITLINK__" localSheetId="7" hidden="1">{"fdsup://directions/FAT Viewer?action=UPDATE&amp;creator=factset&amp;DYN_ARGS=TRUE&amp;DOC_NAME=FAT:FQL_AUDITING_CLIENT_TEMPLATE.FAT&amp;display_string=Audit&amp;VAR:KEY=VQLOVKHWNS&amp;VAR:QUERY=RkZfRUJJVERBX09QRVIoTFRNLDAsLCwsLE0p&amp;WINDOW=FIRST_POPUP&amp;HEIGHT=450&amp;WIDTH=450&amp;START_MA","XIMIZED=FALSE&amp;VAR:CALENDAR=US&amp;VAR:SYMBOL=B07C76&amp;VAR:INDEX=0"}</definedName>
    <definedName name="_49__FDSAUDITLINK__" hidden="1">{"fdsup://directions/FAT Viewer?action=UPDATE&amp;creator=factset&amp;DYN_ARGS=TRUE&amp;DOC_NAME=FAT:FQL_AUDITING_CLIENT_TEMPLATE.FAT&amp;display_string=Audit&amp;VAR:KEY=VQLOVKHWNS&amp;VAR:QUERY=RkZfRUJJVERBX09QRVIoTFRNLDAsLCwsLE0p&amp;WINDOW=FIRST_POPUP&amp;HEIGHT=450&amp;WIDTH=450&amp;START_MA","XIMIZED=FALSE&amp;VAR:CALENDAR=US&amp;VAR:SYMBOL=B07C76&amp;VAR:INDEX=0"}</definedName>
    <definedName name="_490__FDSAUDITLINK__" localSheetId="3" hidden="1">{"fdsup://directions/FAT Viewer?action=UPDATE&amp;creator=factset&amp;DYN_ARGS=TRUE&amp;DOC_NAME=FAT:FQL_AUDITING_CLIENT_TEMPLATE.FAT&amp;display_string=Audit&amp;VAR:KEY=VERMFOLOBY&amp;VAR:QUERY=RkZfR1JPU1NfTUdOKEFOTiwwLC05LFksUlAsTE9DQUwsTSk=&amp;WINDOW=FIRST_POPUP&amp;HEIGHT=450&amp;WIDTH=","450&amp;START_MAXIMIZED=FALSE&amp;VAR:CALENDAR=US&amp;VAR:SYMBOL=B10LQP&amp;VAR:INDEX=1"}</definedName>
    <definedName name="_490__FDSAUDITLINK__" localSheetId="7" hidden="1">{"fdsup://directions/FAT Viewer?action=UPDATE&amp;creator=factset&amp;DYN_ARGS=TRUE&amp;DOC_NAME=FAT:FQL_AUDITING_CLIENT_TEMPLATE.FAT&amp;display_string=Audit&amp;VAR:KEY=VERMFOLOBY&amp;VAR:QUERY=RkZfR1JPU1NfTUdOKEFOTiwwLC05LFksUlAsTE9DQUwsTSk=&amp;WINDOW=FIRST_POPUP&amp;HEIGHT=450&amp;WIDTH=","450&amp;START_MAXIMIZED=FALSE&amp;VAR:CALENDAR=US&amp;VAR:SYMBOL=B10LQP&amp;VAR:INDEX=1"}</definedName>
    <definedName name="_490__FDSAUDITLINK__" hidden="1">{"fdsup://directions/FAT Viewer?action=UPDATE&amp;creator=factset&amp;DYN_ARGS=TRUE&amp;DOC_NAME=FAT:FQL_AUDITING_CLIENT_TEMPLATE.FAT&amp;display_string=Audit&amp;VAR:KEY=VERMFOLOBY&amp;VAR:QUERY=RkZfR1JPU1NfTUdOKEFOTiwwLC05LFksUlAsTE9DQUwsTSk=&amp;WINDOW=FIRST_POPUP&amp;HEIGHT=450&amp;WIDTH=","450&amp;START_MAXIMIZED=FALSE&amp;VAR:CALENDAR=US&amp;VAR:SYMBOL=B10LQP&amp;VAR:INDEX=1"}</definedName>
    <definedName name="_490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129"}</definedName>
    <definedName name="_490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129"}</definedName>
    <definedName name="_490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129"}</definedName>
    <definedName name="_490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128"}</definedName>
    <definedName name="_490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128"}</definedName>
    <definedName name="_490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128"}</definedName>
    <definedName name="_490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127"}</definedName>
    <definedName name="_490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127"}</definedName>
    <definedName name="_490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127"}</definedName>
    <definedName name="_490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126"}</definedName>
    <definedName name="_490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126"}</definedName>
    <definedName name="_490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126"}</definedName>
    <definedName name="_490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125"}</definedName>
    <definedName name="_490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125"}</definedName>
    <definedName name="_490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125"}</definedName>
    <definedName name="_490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124"}</definedName>
    <definedName name="_490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124"}</definedName>
    <definedName name="_490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124"}</definedName>
    <definedName name="_490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123"}</definedName>
    <definedName name="_490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123"}</definedName>
    <definedName name="_490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123"}</definedName>
    <definedName name="_490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122"}</definedName>
    <definedName name="_490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122"}</definedName>
    <definedName name="_490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122"}</definedName>
    <definedName name="_490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121"}</definedName>
    <definedName name="_490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121"}</definedName>
    <definedName name="_490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121"}</definedName>
    <definedName name="_490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120"}</definedName>
    <definedName name="_490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120"}</definedName>
    <definedName name="_490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120"}</definedName>
    <definedName name="_491__FDSAUDITLINK__" localSheetId="3" hidden="1">{"fdsup://directions/FAT Viewer?action=UPDATE&amp;creator=factset&amp;DYN_ARGS=TRUE&amp;DOC_NAME=FAT:FQL_AUDITING_CLIENT_TEMPLATE.FAT&amp;display_string=Audit&amp;VAR:KEY=YVEBCFWZWN&amp;VAR:QUERY=UCgwLC05LFkpIC8vIEZGX0JQUyhBTk4sMCwtOSxZLFJQKQ==&amp;WINDOW=FIRST_POPUP&amp;HEIGHT=450&amp;WIDTH=","450&amp;START_MAXIMIZED=FALSE&amp;VAR:CALENDAR=US&amp;VAR:SYMBOL=B10LQP&amp;VAR:INDEX=7"}</definedName>
    <definedName name="_491__FDSAUDITLINK__" localSheetId="7" hidden="1">{"fdsup://directions/FAT Viewer?action=UPDATE&amp;creator=factset&amp;DYN_ARGS=TRUE&amp;DOC_NAME=FAT:FQL_AUDITING_CLIENT_TEMPLATE.FAT&amp;display_string=Audit&amp;VAR:KEY=YVEBCFWZWN&amp;VAR:QUERY=UCgwLC05LFkpIC8vIEZGX0JQUyhBTk4sMCwtOSxZLFJQKQ==&amp;WINDOW=FIRST_POPUP&amp;HEIGHT=450&amp;WIDTH=","450&amp;START_MAXIMIZED=FALSE&amp;VAR:CALENDAR=US&amp;VAR:SYMBOL=B10LQP&amp;VAR:INDEX=7"}</definedName>
    <definedName name="_491__FDSAUDITLINK__" hidden="1">{"fdsup://directions/FAT Viewer?action=UPDATE&amp;creator=factset&amp;DYN_ARGS=TRUE&amp;DOC_NAME=FAT:FQL_AUDITING_CLIENT_TEMPLATE.FAT&amp;display_string=Audit&amp;VAR:KEY=YVEBCFWZWN&amp;VAR:QUERY=UCgwLC05LFkpIC8vIEZGX0JQUyhBTk4sMCwtOSxZLFJQKQ==&amp;WINDOW=FIRST_POPUP&amp;HEIGHT=450&amp;WIDTH=","450&amp;START_MAXIMIZED=FALSE&amp;VAR:CALENDAR=US&amp;VAR:SYMBOL=B10LQP&amp;VAR:INDEX=7"}</definedName>
    <definedName name="_491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119"}</definedName>
    <definedName name="_491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119"}</definedName>
    <definedName name="_491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119"}</definedName>
    <definedName name="_491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118"}</definedName>
    <definedName name="_491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118"}</definedName>
    <definedName name="_491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118"}</definedName>
    <definedName name="_491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117"}</definedName>
    <definedName name="_491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117"}</definedName>
    <definedName name="_491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117"}</definedName>
    <definedName name="_491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116"}</definedName>
    <definedName name="_491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116"}</definedName>
    <definedName name="_491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116"}</definedName>
    <definedName name="_491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115"}</definedName>
    <definedName name="_491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115"}</definedName>
    <definedName name="_491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115"}</definedName>
    <definedName name="_491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114"}</definedName>
    <definedName name="_491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114"}</definedName>
    <definedName name="_491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114"}</definedName>
    <definedName name="_491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113"}</definedName>
    <definedName name="_491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113"}</definedName>
    <definedName name="_491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113"}</definedName>
    <definedName name="_491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112"}</definedName>
    <definedName name="_491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112"}</definedName>
    <definedName name="_491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112"}</definedName>
    <definedName name="_491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111"}</definedName>
    <definedName name="_491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111"}</definedName>
    <definedName name="_491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111"}</definedName>
    <definedName name="_491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110"}</definedName>
    <definedName name="_491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110"}</definedName>
    <definedName name="_491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110"}</definedName>
    <definedName name="_492__FDSAUDITLINK__" localSheetId="3" hidden="1">{"fdsup://directions/FAT Viewer?action=UPDATE&amp;creator=factset&amp;DYN_ARGS=TRUE&amp;DOC_NAME=FAT:FQL_AUDITING_CLIENT_TEMPLATE.FAT&amp;display_string=Audit&amp;VAR:KEY=MTSRYVMFKB&amp;VAR:QUERY=UENUQ0hHKEZGX0dST1NTX0lOQyhBTk4sMCwtOSxZLFJQLExPQ0FMLE0pLEZGX0dST1NTX0lOQyhBTk4sLTEsL","TkgLSAxLFksUlAsTE9DQUwsTSkp&amp;WINDOW=FIRST_POPUP&amp;HEIGHT=450&amp;WIDTH=450&amp;START_MAXIMIZED=FALSE&amp;VAR:CALENDAR=US&amp;VAR:SYMBOL=B10LQP&amp;VAR:INDEX=7"}</definedName>
    <definedName name="_492__FDSAUDITLINK__" localSheetId="7" hidden="1">{"fdsup://directions/FAT Viewer?action=UPDATE&amp;creator=factset&amp;DYN_ARGS=TRUE&amp;DOC_NAME=FAT:FQL_AUDITING_CLIENT_TEMPLATE.FAT&amp;display_string=Audit&amp;VAR:KEY=MTSRYVMFKB&amp;VAR:QUERY=UENUQ0hHKEZGX0dST1NTX0lOQyhBTk4sMCwtOSxZLFJQLExPQ0FMLE0pLEZGX0dST1NTX0lOQyhBTk4sLTEsL","TkgLSAxLFksUlAsTE9DQUwsTSkp&amp;WINDOW=FIRST_POPUP&amp;HEIGHT=450&amp;WIDTH=450&amp;START_MAXIMIZED=FALSE&amp;VAR:CALENDAR=US&amp;VAR:SYMBOL=B10LQP&amp;VAR:INDEX=7"}</definedName>
    <definedName name="_492__FDSAUDITLINK__" hidden="1">{"fdsup://directions/FAT Viewer?action=UPDATE&amp;creator=factset&amp;DYN_ARGS=TRUE&amp;DOC_NAME=FAT:FQL_AUDITING_CLIENT_TEMPLATE.FAT&amp;display_string=Audit&amp;VAR:KEY=MTSRYVMFKB&amp;VAR:QUERY=UENUQ0hHKEZGX0dST1NTX0lOQyhBTk4sMCwtOSxZLFJQLExPQ0FMLE0pLEZGX0dST1NTX0lOQyhBTk4sLTEsL","TkgLSAxLFksUlAsTE9DQUwsTSkp&amp;WINDOW=FIRST_POPUP&amp;HEIGHT=450&amp;WIDTH=450&amp;START_MAXIMIZED=FALSE&amp;VAR:CALENDAR=US&amp;VAR:SYMBOL=B10LQP&amp;VAR:INDEX=7"}</definedName>
    <definedName name="_492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109"}</definedName>
    <definedName name="_492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109"}</definedName>
    <definedName name="_492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109"}</definedName>
    <definedName name="_492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108"}</definedName>
    <definedName name="_492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108"}</definedName>
    <definedName name="_492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108"}</definedName>
    <definedName name="_492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107"}</definedName>
    <definedName name="_492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107"}</definedName>
    <definedName name="_492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107"}</definedName>
    <definedName name="_492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106"}</definedName>
    <definedName name="_492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106"}</definedName>
    <definedName name="_492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106"}</definedName>
    <definedName name="_492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105"}</definedName>
    <definedName name="_492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105"}</definedName>
    <definedName name="_492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105"}</definedName>
    <definedName name="_492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104"}</definedName>
    <definedName name="_492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104"}</definedName>
    <definedName name="_492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104"}</definedName>
    <definedName name="_492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103"}</definedName>
    <definedName name="_492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103"}</definedName>
    <definedName name="_492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103"}</definedName>
    <definedName name="_492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102"}</definedName>
    <definedName name="_492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102"}</definedName>
    <definedName name="_492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102"}</definedName>
    <definedName name="_492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101"}</definedName>
    <definedName name="_492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101"}</definedName>
    <definedName name="_492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101"}</definedName>
    <definedName name="_492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100"}</definedName>
    <definedName name="_492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100"}</definedName>
    <definedName name="_492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100"}</definedName>
    <definedName name="_493__FDSAUDITLINK__" localSheetId="3" hidden="1">{"fdsup://directions/FAT Viewer?action=UPDATE&amp;creator=factset&amp;DYN_ARGS=TRUE&amp;DOC_NAME=FAT:FQL_AUDITING_CLIENT_TEMPLATE.FAT&amp;display_string=Audit&amp;VAR:KEY=MTSRYVMFKB&amp;VAR:QUERY=UENUQ0hHKEZGX0dST1NTX0lOQyhBTk4sMCwtOSxZLFJQLExPQ0FMLE0pLEZGX0dST1NTX0lOQyhBTk4sLTEsL","TkgLSAxLFksUlAsTE9DQUwsTSkp&amp;WINDOW=FIRST_POPUP&amp;HEIGHT=450&amp;WIDTH=450&amp;START_MAXIMIZED=FALSE&amp;VAR:CALENDAR=US&amp;VAR:SYMBOL=B10LQP&amp;VAR:INDEX=6"}</definedName>
    <definedName name="_493__FDSAUDITLINK__" localSheetId="7" hidden="1">{"fdsup://directions/FAT Viewer?action=UPDATE&amp;creator=factset&amp;DYN_ARGS=TRUE&amp;DOC_NAME=FAT:FQL_AUDITING_CLIENT_TEMPLATE.FAT&amp;display_string=Audit&amp;VAR:KEY=MTSRYVMFKB&amp;VAR:QUERY=UENUQ0hHKEZGX0dST1NTX0lOQyhBTk4sMCwtOSxZLFJQLExPQ0FMLE0pLEZGX0dST1NTX0lOQyhBTk4sLTEsL","TkgLSAxLFksUlAsTE9DQUwsTSkp&amp;WINDOW=FIRST_POPUP&amp;HEIGHT=450&amp;WIDTH=450&amp;START_MAXIMIZED=FALSE&amp;VAR:CALENDAR=US&amp;VAR:SYMBOL=B10LQP&amp;VAR:INDEX=6"}</definedName>
    <definedName name="_493__FDSAUDITLINK__" hidden="1">{"fdsup://directions/FAT Viewer?action=UPDATE&amp;creator=factset&amp;DYN_ARGS=TRUE&amp;DOC_NAME=FAT:FQL_AUDITING_CLIENT_TEMPLATE.FAT&amp;display_string=Audit&amp;VAR:KEY=MTSRYVMFKB&amp;VAR:QUERY=UENUQ0hHKEZGX0dST1NTX0lOQyhBTk4sMCwtOSxZLFJQLExPQ0FMLE0pLEZGX0dST1NTX0lOQyhBTk4sLTEsL","TkgLSAxLFksUlAsTE9DQUwsTSkp&amp;WINDOW=FIRST_POPUP&amp;HEIGHT=450&amp;WIDTH=450&amp;START_MAXIMIZED=FALSE&amp;VAR:CALENDAR=US&amp;VAR:SYMBOL=B10LQP&amp;VAR:INDEX=6"}</definedName>
    <definedName name="_493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99"}</definedName>
    <definedName name="_493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99"}</definedName>
    <definedName name="_493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99"}</definedName>
    <definedName name="_493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98"}</definedName>
    <definedName name="_493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98"}</definedName>
    <definedName name="_493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98"}</definedName>
    <definedName name="_493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97"}</definedName>
    <definedName name="_493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97"}</definedName>
    <definedName name="_493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97"}</definedName>
    <definedName name="_493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96"}</definedName>
    <definedName name="_493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96"}</definedName>
    <definedName name="_493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96"}</definedName>
    <definedName name="_493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95"}</definedName>
    <definedName name="_493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95"}</definedName>
    <definedName name="_493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95"}</definedName>
    <definedName name="_493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94"}</definedName>
    <definedName name="_493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94"}</definedName>
    <definedName name="_493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94"}</definedName>
    <definedName name="_493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93"}</definedName>
    <definedName name="_493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93"}</definedName>
    <definedName name="_493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93"}</definedName>
    <definedName name="_493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92"}</definedName>
    <definedName name="_493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92"}</definedName>
    <definedName name="_493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92"}</definedName>
    <definedName name="_493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91"}</definedName>
    <definedName name="_493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91"}</definedName>
    <definedName name="_493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91"}</definedName>
    <definedName name="_493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90"}</definedName>
    <definedName name="_493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90"}</definedName>
    <definedName name="_493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90"}</definedName>
    <definedName name="_494__FDSAUDITLINK__" localSheetId="3" hidden="1">{"fdsup://directions/FAT Viewer?action=UPDATE&amp;creator=factset&amp;DYN_ARGS=TRUE&amp;DOC_NAME=FAT:FQL_AUDITING_CLIENT_TEMPLATE.FAT&amp;display_string=Audit&amp;VAR:KEY=MTSRYVMFKB&amp;VAR:QUERY=UENUQ0hHKEZGX0dST1NTX0lOQyhBTk4sMCwtOSxZLFJQLExPQ0FMLE0pLEZGX0dST1NTX0lOQyhBTk4sLTEsL","TkgLSAxLFksUlAsTE9DQUwsTSkp&amp;WINDOW=FIRST_POPUP&amp;HEIGHT=450&amp;WIDTH=450&amp;START_MAXIMIZED=FALSE&amp;VAR:CALENDAR=US&amp;VAR:SYMBOL=B10LQP&amp;VAR:INDEX=5"}</definedName>
    <definedName name="_494__FDSAUDITLINK__" localSheetId="7" hidden="1">{"fdsup://directions/FAT Viewer?action=UPDATE&amp;creator=factset&amp;DYN_ARGS=TRUE&amp;DOC_NAME=FAT:FQL_AUDITING_CLIENT_TEMPLATE.FAT&amp;display_string=Audit&amp;VAR:KEY=MTSRYVMFKB&amp;VAR:QUERY=UENUQ0hHKEZGX0dST1NTX0lOQyhBTk4sMCwtOSxZLFJQLExPQ0FMLE0pLEZGX0dST1NTX0lOQyhBTk4sLTEsL","TkgLSAxLFksUlAsTE9DQUwsTSkp&amp;WINDOW=FIRST_POPUP&amp;HEIGHT=450&amp;WIDTH=450&amp;START_MAXIMIZED=FALSE&amp;VAR:CALENDAR=US&amp;VAR:SYMBOL=B10LQP&amp;VAR:INDEX=5"}</definedName>
    <definedName name="_494__FDSAUDITLINK__" hidden="1">{"fdsup://directions/FAT Viewer?action=UPDATE&amp;creator=factset&amp;DYN_ARGS=TRUE&amp;DOC_NAME=FAT:FQL_AUDITING_CLIENT_TEMPLATE.FAT&amp;display_string=Audit&amp;VAR:KEY=MTSRYVMFKB&amp;VAR:QUERY=UENUQ0hHKEZGX0dST1NTX0lOQyhBTk4sMCwtOSxZLFJQLExPQ0FMLE0pLEZGX0dST1NTX0lOQyhBTk4sLTEsL","TkgLSAxLFksUlAsTE9DQUwsTSkp&amp;WINDOW=FIRST_POPUP&amp;HEIGHT=450&amp;WIDTH=450&amp;START_MAXIMIZED=FALSE&amp;VAR:CALENDAR=US&amp;VAR:SYMBOL=B10LQP&amp;VAR:INDEX=5"}</definedName>
    <definedName name="_494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89"}</definedName>
    <definedName name="_494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89"}</definedName>
    <definedName name="_494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89"}</definedName>
    <definedName name="_494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88"}</definedName>
    <definedName name="_494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88"}</definedName>
    <definedName name="_494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88"}</definedName>
    <definedName name="_494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87"}</definedName>
    <definedName name="_494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87"}</definedName>
    <definedName name="_494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87"}</definedName>
    <definedName name="_494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86"}</definedName>
    <definedName name="_494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86"}</definedName>
    <definedName name="_494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86"}</definedName>
    <definedName name="_494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85"}</definedName>
    <definedName name="_494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85"}</definedName>
    <definedName name="_494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85"}</definedName>
    <definedName name="_494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84"}</definedName>
    <definedName name="_494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84"}</definedName>
    <definedName name="_494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84"}</definedName>
    <definedName name="_494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83"}</definedName>
    <definedName name="_494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83"}</definedName>
    <definedName name="_494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83"}</definedName>
    <definedName name="_494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82"}</definedName>
    <definedName name="_494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82"}</definedName>
    <definedName name="_494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82"}</definedName>
    <definedName name="_494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81"}</definedName>
    <definedName name="_494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81"}</definedName>
    <definedName name="_494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81"}</definedName>
    <definedName name="_494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80"}</definedName>
    <definedName name="_494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80"}</definedName>
    <definedName name="_494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80"}</definedName>
    <definedName name="_495__FDSAUDITLINK__" localSheetId="3" hidden="1">{"fdsup://directions/FAT Viewer?action=UPDATE&amp;creator=factset&amp;DYN_ARGS=TRUE&amp;DOC_NAME=FAT:FQL_AUDITING_CLIENT_TEMPLATE.FAT&amp;display_string=Audit&amp;VAR:KEY=MTSRYVMFKB&amp;VAR:QUERY=UENUQ0hHKEZGX0dST1NTX0lOQyhBTk4sMCwtOSxZLFJQLExPQ0FMLE0pLEZGX0dST1NTX0lOQyhBTk4sLTEsL","TkgLSAxLFksUlAsTE9DQUwsTSkp&amp;WINDOW=FIRST_POPUP&amp;HEIGHT=450&amp;WIDTH=450&amp;START_MAXIMIZED=FALSE&amp;VAR:CALENDAR=US&amp;VAR:SYMBOL=B10LQP&amp;VAR:INDEX=4"}</definedName>
    <definedName name="_495__FDSAUDITLINK__" localSheetId="7" hidden="1">{"fdsup://directions/FAT Viewer?action=UPDATE&amp;creator=factset&amp;DYN_ARGS=TRUE&amp;DOC_NAME=FAT:FQL_AUDITING_CLIENT_TEMPLATE.FAT&amp;display_string=Audit&amp;VAR:KEY=MTSRYVMFKB&amp;VAR:QUERY=UENUQ0hHKEZGX0dST1NTX0lOQyhBTk4sMCwtOSxZLFJQLExPQ0FMLE0pLEZGX0dST1NTX0lOQyhBTk4sLTEsL","TkgLSAxLFksUlAsTE9DQUwsTSkp&amp;WINDOW=FIRST_POPUP&amp;HEIGHT=450&amp;WIDTH=450&amp;START_MAXIMIZED=FALSE&amp;VAR:CALENDAR=US&amp;VAR:SYMBOL=B10LQP&amp;VAR:INDEX=4"}</definedName>
    <definedName name="_495__FDSAUDITLINK__" hidden="1">{"fdsup://directions/FAT Viewer?action=UPDATE&amp;creator=factset&amp;DYN_ARGS=TRUE&amp;DOC_NAME=FAT:FQL_AUDITING_CLIENT_TEMPLATE.FAT&amp;display_string=Audit&amp;VAR:KEY=MTSRYVMFKB&amp;VAR:QUERY=UENUQ0hHKEZGX0dST1NTX0lOQyhBTk4sMCwtOSxZLFJQLExPQ0FMLE0pLEZGX0dST1NTX0lOQyhBTk4sLTEsL","TkgLSAxLFksUlAsTE9DQUwsTSkp&amp;WINDOW=FIRST_POPUP&amp;HEIGHT=450&amp;WIDTH=450&amp;START_MAXIMIZED=FALSE&amp;VAR:CALENDAR=US&amp;VAR:SYMBOL=B10LQP&amp;VAR:INDEX=4"}</definedName>
    <definedName name="_495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79"}</definedName>
    <definedName name="_495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79"}</definedName>
    <definedName name="_495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79"}</definedName>
    <definedName name="_495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78"}</definedName>
    <definedName name="_495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78"}</definedName>
    <definedName name="_495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78"}</definedName>
    <definedName name="_495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77"}</definedName>
    <definedName name="_495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77"}</definedName>
    <definedName name="_495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77"}</definedName>
    <definedName name="_495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76"}</definedName>
    <definedName name="_495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76"}</definedName>
    <definedName name="_495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76"}</definedName>
    <definedName name="_495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75"}</definedName>
    <definedName name="_495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75"}</definedName>
    <definedName name="_495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75"}</definedName>
    <definedName name="_495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74"}</definedName>
    <definedName name="_495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74"}</definedName>
    <definedName name="_495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74"}</definedName>
    <definedName name="_495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73"}</definedName>
    <definedName name="_495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73"}</definedName>
    <definedName name="_495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73"}</definedName>
    <definedName name="_495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72"}</definedName>
    <definedName name="_495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72"}</definedName>
    <definedName name="_495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72"}</definedName>
    <definedName name="_495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71"}</definedName>
    <definedName name="_495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71"}</definedName>
    <definedName name="_495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71"}</definedName>
    <definedName name="_495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70"}</definedName>
    <definedName name="_495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70"}</definedName>
    <definedName name="_495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70"}</definedName>
    <definedName name="_496__FDSAUDITLINK__" localSheetId="3" hidden="1">{"fdsup://directions/FAT Viewer?action=UPDATE&amp;creator=factset&amp;DYN_ARGS=TRUE&amp;DOC_NAME=FAT:FQL_AUDITING_CLIENT_TEMPLATE.FAT&amp;display_string=Audit&amp;VAR:KEY=MTSRYVMFKB&amp;VAR:QUERY=UENUQ0hHKEZGX0dST1NTX0lOQyhBTk4sMCwtOSxZLFJQLExPQ0FMLE0pLEZGX0dST1NTX0lOQyhBTk4sLTEsL","TkgLSAxLFksUlAsTE9DQUwsTSkp&amp;WINDOW=FIRST_POPUP&amp;HEIGHT=450&amp;WIDTH=450&amp;START_MAXIMIZED=FALSE&amp;VAR:CALENDAR=US&amp;VAR:SYMBOL=B10LQP&amp;VAR:INDEX=3"}</definedName>
    <definedName name="_496__FDSAUDITLINK__" localSheetId="7" hidden="1">{"fdsup://directions/FAT Viewer?action=UPDATE&amp;creator=factset&amp;DYN_ARGS=TRUE&amp;DOC_NAME=FAT:FQL_AUDITING_CLIENT_TEMPLATE.FAT&amp;display_string=Audit&amp;VAR:KEY=MTSRYVMFKB&amp;VAR:QUERY=UENUQ0hHKEZGX0dST1NTX0lOQyhBTk4sMCwtOSxZLFJQLExPQ0FMLE0pLEZGX0dST1NTX0lOQyhBTk4sLTEsL","TkgLSAxLFksUlAsTE9DQUwsTSkp&amp;WINDOW=FIRST_POPUP&amp;HEIGHT=450&amp;WIDTH=450&amp;START_MAXIMIZED=FALSE&amp;VAR:CALENDAR=US&amp;VAR:SYMBOL=B10LQP&amp;VAR:INDEX=3"}</definedName>
    <definedName name="_496__FDSAUDITLINK__" hidden="1">{"fdsup://directions/FAT Viewer?action=UPDATE&amp;creator=factset&amp;DYN_ARGS=TRUE&amp;DOC_NAME=FAT:FQL_AUDITING_CLIENT_TEMPLATE.FAT&amp;display_string=Audit&amp;VAR:KEY=MTSRYVMFKB&amp;VAR:QUERY=UENUQ0hHKEZGX0dST1NTX0lOQyhBTk4sMCwtOSxZLFJQLExPQ0FMLE0pLEZGX0dST1NTX0lOQyhBTk4sLTEsL","TkgLSAxLFksUlAsTE9DQUwsTSkp&amp;WINDOW=FIRST_POPUP&amp;HEIGHT=450&amp;WIDTH=450&amp;START_MAXIMIZED=FALSE&amp;VAR:CALENDAR=US&amp;VAR:SYMBOL=B10LQP&amp;VAR:INDEX=3"}</definedName>
    <definedName name="_496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69"}</definedName>
    <definedName name="_496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69"}</definedName>
    <definedName name="_496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69"}</definedName>
    <definedName name="_496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68"}</definedName>
    <definedName name="_496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68"}</definedName>
    <definedName name="_496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68"}</definedName>
    <definedName name="_496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67"}</definedName>
    <definedName name="_496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67"}</definedName>
    <definedName name="_496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67"}</definedName>
    <definedName name="_496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66"}</definedName>
    <definedName name="_496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66"}</definedName>
    <definedName name="_496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66"}</definedName>
    <definedName name="_496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65"}</definedName>
    <definedName name="_496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65"}</definedName>
    <definedName name="_496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65"}</definedName>
    <definedName name="_496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64"}</definedName>
    <definedName name="_496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64"}</definedName>
    <definedName name="_496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64"}</definedName>
    <definedName name="_496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63"}</definedName>
    <definedName name="_496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63"}</definedName>
    <definedName name="_496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63"}</definedName>
    <definedName name="_496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62"}</definedName>
    <definedName name="_496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62"}</definedName>
    <definedName name="_496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62"}</definedName>
    <definedName name="_496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61"}</definedName>
    <definedName name="_496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61"}</definedName>
    <definedName name="_496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61"}</definedName>
    <definedName name="_496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60"}</definedName>
    <definedName name="_496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60"}</definedName>
    <definedName name="_496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60"}</definedName>
    <definedName name="_497__FDSAUDITLINK__" localSheetId="3" hidden="1">{"fdsup://directions/FAT Viewer?action=UPDATE&amp;creator=factset&amp;DYN_ARGS=TRUE&amp;DOC_NAME=FAT:FQL_AUDITING_CLIENT_TEMPLATE.FAT&amp;display_string=Audit&amp;VAR:KEY=MTSRYVMFKB&amp;VAR:QUERY=UENUQ0hHKEZGX0dST1NTX0lOQyhBTk4sMCwtOSxZLFJQLExPQ0FMLE0pLEZGX0dST1NTX0lOQyhBTk4sLTEsL","TkgLSAxLFksUlAsTE9DQUwsTSkp&amp;WINDOW=FIRST_POPUP&amp;HEIGHT=450&amp;WIDTH=450&amp;START_MAXIMIZED=FALSE&amp;VAR:CALENDAR=US&amp;VAR:SYMBOL=B10LQP&amp;VAR:INDEX=2"}</definedName>
    <definedName name="_497__FDSAUDITLINK__" localSheetId="7" hidden="1">{"fdsup://directions/FAT Viewer?action=UPDATE&amp;creator=factset&amp;DYN_ARGS=TRUE&amp;DOC_NAME=FAT:FQL_AUDITING_CLIENT_TEMPLATE.FAT&amp;display_string=Audit&amp;VAR:KEY=MTSRYVMFKB&amp;VAR:QUERY=UENUQ0hHKEZGX0dST1NTX0lOQyhBTk4sMCwtOSxZLFJQLExPQ0FMLE0pLEZGX0dST1NTX0lOQyhBTk4sLTEsL","TkgLSAxLFksUlAsTE9DQUwsTSkp&amp;WINDOW=FIRST_POPUP&amp;HEIGHT=450&amp;WIDTH=450&amp;START_MAXIMIZED=FALSE&amp;VAR:CALENDAR=US&amp;VAR:SYMBOL=B10LQP&amp;VAR:INDEX=2"}</definedName>
    <definedName name="_497__FDSAUDITLINK__" hidden="1">{"fdsup://directions/FAT Viewer?action=UPDATE&amp;creator=factset&amp;DYN_ARGS=TRUE&amp;DOC_NAME=FAT:FQL_AUDITING_CLIENT_TEMPLATE.FAT&amp;display_string=Audit&amp;VAR:KEY=MTSRYVMFKB&amp;VAR:QUERY=UENUQ0hHKEZGX0dST1NTX0lOQyhBTk4sMCwtOSxZLFJQLExPQ0FMLE0pLEZGX0dST1NTX0lOQyhBTk4sLTEsL","TkgLSAxLFksUlAsTE9DQUwsTSkp&amp;WINDOW=FIRST_POPUP&amp;HEIGHT=450&amp;WIDTH=450&amp;START_MAXIMIZED=FALSE&amp;VAR:CALENDAR=US&amp;VAR:SYMBOL=B10LQP&amp;VAR:INDEX=2"}</definedName>
    <definedName name="_497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59"}</definedName>
    <definedName name="_497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59"}</definedName>
    <definedName name="_497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59"}</definedName>
    <definedName name="_497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58"}</definedName>
    <definedName name="_497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58"}</definedName>
    <definedName name="_497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58"}</definedName>
    <definedName name="_497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57"}</definedName>
    <definedName name="_497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57"}</definedName>
    <definedName name="_497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57"}</definedName>
    <definedName name="_497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56"}</definedName>
    <definedName name="_497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56"}</definedName>
    <definedName name="_497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56"}</definedName>
    <definedName name="_497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55"}</definedName>
    <definedName name="_497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55"}</definedName>
    <definedName name="_497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55"}</definedName>
    <definedName name="_497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54"}</definedName>
    <definedName name="_497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54"}</definedName>
    <definedName name="_497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54"}</definedName>
    <definedName name="_497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53"}</definedName>
    <definedName name="_497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53"}</definedName>
    <definedName name="_497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53"}</definedName>
    <definedName name="_497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52"}</definedName>
    <definedName name="_497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52"}</definedName>
    <definedName name="_497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52"}</definedName>
    <definedName name="_497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51"}</definedName>
    <definedName name="_497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51"}</definedName>
    <definedName name="_497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51"}</definedName>
    <definedName name="_497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50"}</definedName>
    <definedName name="_497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50"}</definedName>
    <definedName name="_497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50"}</definedName>
    <definedName name="_498__FDSAUDITLINK__" localSheetId="3" hidden="1">{"fdsup://directions/FAT Viewer?action=UPDATE&amp;creator=factset&amp;DYN_ARGS=TRUE&amp;DOC_NAME=FAT:FQL_AUDITING_CLIENT_TEMPLATE.FAT&amp;display_string=Audit&amp;VAR:KEY=MTSRYVMFKB&amp;VAR:QUERY=UENUQ0hHKEZGX0dST1NTX0lOQyhBTk4sMCwtOSxZLFJQLExPQ0FMLE0pLEZGX0dST1NTX0lOQyhBTk4sLTEsL","TkgLSAxLFksUlAsTE9DQUwsTSkp&amp;WINDOW=FIRST_POPUP&amp;HEIGHT=450&amp;WIDTH=450&amp;START_MAXIMIZED=FALSE&amp;VAR:CALENDAR=US&amp;VAR:SYMBOL=B10LQP&amp;VAR:INDEX=1"}</definedName>
    <definedName name="_498__FDSAUDITLINK__" localSheetId="7" hidden="1">{"fdsup://directions/FAT Viewer?action=UPDATE&amp;creator=factset&amp;DYN_ARGS=TRUE&amp;DOC_NAME=FAT:FQL_AUDITING_CLIENT_TEMPLATE.FAT&amp;display_string=Audit&amp;VAR:KEY=MTSRYVMFKB&amp;VAR:QUERY=UENUQ0hHKEZGX0dST1NTX0lOQyhBTk4sMCwtOSxZLFJQLExPQ0FMLE0pLEZGX0dST1NTX0lOQyhBTk4sLTEsL","TkgLSAxLFksUlAsTE9DQUwsTSkp&amp;WINDOW=FIRST_POPUP&amp;HEIGHT=450&amp;WIDTH=450&amp;START_MAXIMIZED=FALSE&amp;VAR:CALENDAR=US&amp;VAR:SYMBOL=B10LQP&amp;VAR:INDEX=1"}</definedName>
    <definedName name="_498__FDSAUDITLINK__" hidden="1">{"fdsup://directions/FAT Viewer?action=UPDATE&amp;creator=factset&amp;DYN_ARGS=TRUE&amp;DOC_NAME=FAT:FQL_AUDITING_CLIENT_TEMPLATE.FAT&amp;display_string=Audit&amp;VAR:KEY=MTSRYVMFKB&amp;VAR:QUERY=UENUQ0hHKEZGX0dST1NTX0lOQyhBTk4sMCwtOSxZLFJQLExPQ0FMLE0pLEZGX0dST1NTX0lOQyhBTk4sLTEsL","TkgLSAxLFksUlAsTE9DQUwsTSkp&amp;WINDOW=FIRST_POPUP&amp;HEIGHT=450&amp;WIDTH=450&amp;START_MAXIMIZED=FALSE&amp;VAR:CALENDAR=US&amp;VAR:SYMBOL=B10LQP&amp;VAR:INDEX=1"}</definedName>
    <definedName name="_498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49"}</definedName>
    <definedName name="_498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49"}</definedName>
    <definedName name="_498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49"}</definedName>
    <definedName name="_498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48"}</definedName>
    <definedName name="_498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48"}</definedName>
    <definedName name="_498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48"}</definedName>
    <definedName name="_498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47"}</definedName>
    <definedName name="_498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47"}</definedName>
    <definedName name="_498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47"}</definedName>
    <definedName name="_498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46"}</definedName>
    <definedName name="_498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46"}</definedName>
    <definedName name="_498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46"}</definedName>
    <definedName name="_498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45"}</definedName>
    <definedName name="_498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45"}</definedName>
    <definedName name="_498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45"}</definedName>
    <definedName name="_498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44"}</definedName>
    <definedName name="_498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44"}</definedName>
    <definedName name="_498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44"}</definedName>
    <definedName name="_498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43"}</definedName>
    <definedName name="_498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43"}</definedName>
    <definedName name="_498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43"}</definedName>
    <definedName name="_498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42"}</definedName>
    <definedName name="_498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42"}</definedName>
    <definedName name="_498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42"}</definedName>
    <definedName name="_498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41"}</definedName>
    <definedName name="_498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41"}</definedName>
    <definedName name="_498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41"}</definedName>
    <definedName name="_498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40"}</definedName>
    <definedName name="_498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40"}</definedName>
    <definedName name="_498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40"}</definedName>
    <definedName name="_499__FDSAUDITLINK__" localSheetId="3" hidden="1">{"fdsup://directions/FAT Viewer?action=UPDATE&amp;creator=factset&amp;DYN_ARGS=TRUE&amp;DOC_NAME=FAT:FQL_AUDITING_CLIENT_TEMPLATE.FAT&amp;display_string=Audit&amp;VAR:KEY=FSHYRQLGHQ&amp;VAR:QUERY=UCgwLC05LFkpIC8vIEZGX1NBTEVTX1BTKEFOTiwwLC05LFksUlAp&amp;WINDOW=FIRST_POPUP&amp;HEIGHT=450&amp;WI","DTH=450&amp;START_MAXIMIZED=FALSE&amp;VAR:CALENDAR=US&amp;VAR:SYMBOL=B10LQP&amp;VAR:INDEX=7"}</definedName>
    <definedName name="_499__FDSAUDITLINK__" localSheetId="7" hidden="1">{"fdsup://directions/FAT Viewer?action=UPDATE&amp;creator=factset&amp;DYN_ARGS=TRUE&amp;DOC_NAME=FAT:FQL_AUDITING_CLIENT_TEMPLATE.FAT&amp;display_string=Audit&amp;VAR:KEY=FSHYRQLGHQ&amp;VAR:QUERY=UCgwLC05LFkpIC8vIEZGX1NBTEVTX1BTKEFOTiwwLC05LFksUlAp&amp;WINDOW=FIRST_POPUP&amp;HEIGHT=450&amp;WI","DTH=450&amp;START_MAXIMIZED=FALSE&amp;VAR:CALENDAR=US&amp;VAR:SYMBOL=B10LQP&amp;VAR:INDEX=7"}</definedName>
    <definedName name="_499__FDSAUDITLINK__" hidden="1">{"fdsup://directions/FAT Viewer?action=UPDATE&amp;creator=factset&amp;DYN_ARGS=TRUE&amp;DOC_NAME=FAT:FQL_AUDITING_CLIENT_TEMPLATE.FAT&amp;display_string=Audit&amp;VAR:KEY=FSHYRQLGHQ&amp;VAR:QUERY=UCgwLC05LFkpIC8vIEZGX1NBTEVTX1BTKEFOTiwwLC05LFksUlAp&amp;WINDOW=FIRST_POPUP&amp;HEIGHT=450&amp;WI","DTH=450&amp;START_MAXIMIZED=FALSE&amp;VAR:CALENDAR=US&amp;VAR:SYMBOL=B10LQP&amp;VAR:INDEX=7"}</definedName>
    <definedName name="_499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39"}</definedName>
    <definedName name="_499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39"}</definedName>
    <definedName name="_499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39"}</definedName>
    <definedName name="_499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38"}</definedName>
    <definedName name="_499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38"}</definedName>
    <definedName name="_499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38"}</definedName>
    <definedName name="_499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37"}</definedName>
    <definedName name="_499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37"}</definedName>
    <definedName name="_499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37"}</definedName>
    <definedName name="_499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36"}</definedName>
    <definedName name="_499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36"}</definedName>
    <definedName name="_499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36"}</definedName>
    <definedName name="_499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35"}</definedName>
    <definedName name="_499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35"}</definedName>
    <definedName name="_499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35"}</definedName>
    <definedName name="_499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34"}</definedName>
    <definedName name="_499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34"}</definedName>
    <definedName name="_499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34"}</definedName>
    <definedName name="_499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33"}</definedName>
    <definedName name="_499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33"}</definedName>
    <definedName name="_499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33"}</definedName>
    <definedName name="_499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32"}</definedName>
    <definedName name="_499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32"}</definedName>
    <definedName name="_499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32"}</definedName>
    <definedName name="_499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31"}</definedName>
    <definedName name="_499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31"}</definedName>
    <definedName name="_499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31"}</definedName>
    <definedName name="_499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30"}</definedName>
    <definedName name="_499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30"}</definedName>
    <definedName name="_499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30"}</definedName>
    <definedName name="_5__FDSAUDITLINK__" localSheetId="3" hidden="1">{"fdsup://directions/FAT Viewer?action=UPDATE&amp;creator=factset&amp;DYN_ARGS=TRUE&amp;DOC_NAME=FAT:FQL_AUDITING_CLIENT_TEMPLATE.FAT&amp;display_string=Audit&amp;VAR:KEY=GLKHAXIZEZ&amp;VAR:QUERY=RkZfRVBTKEFOTixOT1csLTFBWSwsLFVTRCk=&amp;WINDOW=FIRST_POPUP&amp;HEIGHT=450&amp;WIDTH=450&amp;START_MA","XIMIZED=FALSE&amp;VAR:CALENDAR=US&amp;VAR:SYMBOL=B014K5&amp;VAR:INDEX=1"}</definedName>
    <definedName name="_5__FDSAUDITLINK__" localSheetId="7" hidden="1">{"fdsup://directions/FAT Viewer?action=UPDATE&amp;creator=factset&amp;DYN_ARGS=TRUE&amp;DOC_NAME=FAT:FQL_AUDITING_CLIENT_TEMPLATE.FAT&amp;display_string=Audit&amp;VAR:KEY=GLKHAXIZEZ&amp;VAR:QUERY=RkZfRVBTKEFOTixOT1csLTFBWSwsLFVTRCk=&amp;WINDOW=FIRST_POPUP&amp;HEIGHT=450&amp;WIDTH=450&amp;START_MA","XIMIZED=FALSE&amp;VAR:CALENDAR=US&amp;VAR:SYMBOL=B014K5&amp;VAR:INDEX=1"}</definedName>
    <definedName name="_5__FDSAUDITLINK__" hidden="1">{"fdsup://directions/FAT Viewer?action=UPDATE&amp;creator=factset&amp;DYN_ARGS=TRUE&amp;DOC_NAME=FAT:FQL_AUDITING_CLIENT_TEMPLATE.FAT&amp;display_string=Audit&amp;VAR:KEY=GLKHAXIZEZ&amp;VAR:QUERY=RkZfRVBTKEFOTixOT1csLTFBWSwsLFVTRCk=&amp;WINDOW=FIRST_POPUP&amp;HEIGHT=450&amp;WIDTH=450&amp;START_MA","XIMIZED=FALSE&amp;VAR:CALENDAR=US&amp;VAR:SYMBOL=B014K5&amp;VAR:INDEX=1"}</definedName>
    <definedName name="_50__FDSAUDITLINK__" localSheetId="3" hidden="1">{"fdsup://directions/FAT Viewer?action=UPDATE&amp;creator=factset&amp;DYN_ARGS=TRUE&amp;DOC_NAME=FAT:FQL_AUDITING_CLIENT_TEMPLATE.FAT&amp;display_string=Audit&amp;VAR:KEY=ARCNIVYDMV&amp;VAR:QUERY=UENUQ0hHKEZGX0JQU19UQU5HKEFOTiwwLC05LFksUlAsTE9DQUwsTSksRkZfQlBTX1RBTkcoQU5OLDAgLSAxL","C05IC0gMSxZLFJQLExPQ0FMLE0pKQ==&amp;WINDOW=FIRST_POPUP&amp;HEIGHT=450&amp;WIDTH=450&amp;START_MAXIMIZED=FALSE&amp;VAR:CALENDAR=US&amp;VAR:SYMBOL=B10LQP&amp;VAR:INDEX=2"}</definedName>
    <definedName name="_50__FDSAUDITLINK__" localSheetId="7" hidden="1">{"fdsup://directions/FAT Viewer?action=UPDATE&amp;creator=factset&amp;DYN_ARGS=TRUE&amp;DOC_NAME=FAT:FQL_AUDITING_CLIENT_TEMPLATE.FAT&amp;display_string=Audit&amp;VAR:KEY=ARCNIVYDMV&amp;VAR:QUERY=UENUQ0hHKEZGX0JQU19UQU5HKEFOTiwwLC05LFksUlAsTE9DQUwsTSksRkZfQlBTX1RBTkcoQU5OLDAgLSAxL","C05IC0gMSxZLFJQLExPQ0FMLE0pKQ==&amp;WINDOW=FIRST_POPUP&amp;HEIGHT=450&amp;WIDTH=450&amp;START_MAXIMIZED=FALSE&amp;VAR:CALENDAR=US&amp;VAR:SYMBOL=B10LQP&amp;VAR:INDEX=2"}</definedName>
    <definedName name="_50__FDSAUDITLINK__" hidden="1">{"fdsup://directions/FAT Viewer?action=UPDATE&amp;creator=factset&amp;DYN_ARGS=TRUE&amp;DOC_NAME=FAT:FQL_AUDITING_CLIENT_TEMPLATE.FAT&amp;display_string=Audit&amp;VAR:KEY=ARCNIVYDMV&amp;VAR:QUERY=UENUQ0hHKEZGX0JQU19UQU5HKEFOTiwwLC05LFksUlAsTE9DQUwsTSksRkZfQlBTX1RBTkcoQU5OLDAgLSAxL","C05IC0gMSxZLFJQLExPQ0FMLE0pKQ==&amp;WINDOW=FIRST_POPUP&amp;HEIGHT=450&amp;WIDTH=450&amp;START_MAXIMIZED=FALSE&amp;VAR:CALENDAR=US&amp;VAR:SYMBOL=B10LQP&amp;VAR:INDEX=2"}</definedName>
    <definedName name="_500__FDSAUDITLINK__" localSheetId="3"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7"}</definedName>
    <definedName name="_500__FDSAUDITLINK__" localSheetId="7"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7"}</definedName>
    <definedName name="_500__FDSAUDITLINK__"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7"}</definedName>
    <definedName name="_500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29"}</definedName>
    <definedName name="_500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29"}</definedName>
    <definedName name="_500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29"}</definedName>
    <definedName name="_500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28"}</definedName>
    <definedName name="_500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28"}</definedName>
    <definedName name="_500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28"}</definedName>
    <definedName name="_500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27"}</definedName>
    <definedName name="_500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27"}</definedName>
    <definedName name="_500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27"}</definedName>
    <definedName name="_500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26"}</definedName>
    <definedName name="_500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26"}</definedName>
    <definedName name="_500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26"}</definedName>
    <definedName name="_500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25"}</definedName>
    <definedName name="_500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25"}</definedName>
    <definedName name="_500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25"}</definedName>
    <definedName name="_500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24"}</definedName>
    <definedName name="_500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24"}</definedName>
    <definedName name="_500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24"}</definedName>
    <definedName name="_500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23"}</definedName>
    <definedName name="_500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23"}</definedName>
    <definedName name="_500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23"}</definedName>
    <definedName name="_500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22"}</definedName>
    <definedName name="_500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22"}</definedName>
    <definedName name="_500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22"}</definedName>
    <definedName name="_500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21"}</definedName>
    <definedName name="_500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21"}</definedName>
    <definedName name="_500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21"}</definedName>
    <definedName name="_500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20"}</definedName>
    <definedName name="_500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20"}</definedName>
    <definedName name="_500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20"}</definedName>
    <definedName name="_501__FDSAUDITLINK__" localSheetId="3"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6"}</definedName>
    <definedName name="_501__FDSAUDITLINK__" localSheetId="7"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6"}</definedName>
    <definedName name="_501__FDSAUDITLINK__"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6"}</definedName>
    <definedName name="_501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19"}</definedName>
    <definedName name="_501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19"}</definedName>
    <definedName name="_501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19"}</definedName>
    <definedName name="_501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18"}</definedName>
    <definedName name="_501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18"}</definedName>
    <definedName name="_501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18"}</definedName>
    <definedName name="_501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17"}</definedName>
    <definedName name="_501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17"}</definedName>
    <definedName name="_501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17"}</definedName>
    <definedName name="_501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16"}</definedName>
    <definedName name="_501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16"}</definedName>
    <definedName name="_501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16"}</definedName>
    <definedName name="_501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15"}</definedName>
    <definedName name="_501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15"}</definedName>
    <definedName name="_501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15"}</definedName>
    <definedName name="_501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14"}</definedName>
    <definedName name="_501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14"}</definedName>
    <definedName name="_501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14"}</definedName>
    <definedName name="_501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13"}</definedName>
    <definedName name="_501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13"}</definedName>
    <definedName name="_501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13"}</definedName>
    <definedName name="_501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12"}</definedName>
    <definedName name="_501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12"}</definedName>
    <definedName name="_501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12"}</definedName>
    <definedName name="_501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11"}</definedName>
    <definedName name="_501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11"}</definedName>
    <definedName name="_501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11"}</definedName>
    <definedName name="_5019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10"}</definedName>
    <definedName name="_5019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10"}</definedName>
    <definedName name="_5019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10"}</definedName>
    <definedName name="_502__FDSAUDITLINK__" localSheetId="3"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5"}</definedName>
    <definedName name="_502__FDSAUDITLINK__" localSheetId="7"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5"}</definedName>
    <definedName name="_502__FDSAUDITLINK__"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5"}</definedName>
    <definedName name="_5020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9"}</definedName>
    <definedName name="_5020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9"}</definedName>
    <definedName name="_5020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9"}</definedName>
    <definedName name="_5021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8"}</definedName>
    <definedName name="_5021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8"}</definedName>
    <definedName name="_5021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8"}</definedName>
    <definedName name="_5022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7"}</definedName>
    <definedName name="_5022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7"}</definedName>
    <definedName name="_5022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7"}</definedName>
    <definedName name="_5023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6"}</definedName>
    <definedName name="_5023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6"}</definedName>
    <definedName name="_5023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6"}</definedName>
    <definedName name="_5024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definedName>
    <definedName name="_5024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definedName>
    <definedName name="_5024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5"}</definedName>
    <definedName name="_5025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definedName>
    <definedName name="_5025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definedName>
    <definedName name="_5025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4"}</definedName>
    <definedName name="_5026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definedName>
    <definedName name="_5026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definedName>
    <definedName name="_5026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3"}</definedName>
    <definedName name="_5027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definedName>
    <definedName name="_5027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definedName>
    <definedName name="_5027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2"}</definedName>
    <definedName name="_5028__FDSAUDITLINK__" localSheetId="3"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definedName>
    <definedName name="_5028__FDSAUDITLINK__" localSheetId="7"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definedName>
    <definedName name="_5028__FDSAUDITLINK__" hidden="1">{"fdsup://directions/FAT Viewer?action=UPDATE&amp;creator=factset&amp;DYN_ARGS=TRUE&amp;DOC_NAME=FAT:FQL_AUDITING_CLIENT_TEMPLATE.FAT&amp;display_string=Audit&amp;VAR:KEY=MHCFSRKNIX&amp;VAR:QUERY=RkZfRU5UUlBSX1ZBTF9EQUlMWSgtMkFZLDQxMjg4LEQsLExPQ0FMLCdESUwnKQ==&amp;WINDOW=FIRST_POPUP&amp;H","EIGHT=450&amp;WIDTH=450&amp;START_MAXIMIZED=FALSE&amp;VAR:CALENDAR=US&amp;VAR:SYMBOL=B07C76&amp;VAR:INDEX=1"}</definedName>
    <definedName name="_503__FDSAUDITLINK__" localSheetId="3"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4"}</definedName>
    <definedName name="_503__FDSAUDITLINK__" localSheetId="7"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4"}</definedName>
    <definedName name="_503__FDSAUDITLINK__"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4"}</definedName>
    <definedName name="_504__FDSAUDITLINK__" localSheetId="3"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3"}</definedName>
    <definedName name="_504__FDSAUDITLINK__" localSheetId="7"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3"}</definedName>
    <definedName name="_504__FDSAUDITLINK__"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3"}</definedName>
    <definedName name="_505__FDSAUDITLINK__" localSheetId="3"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2"}</definedName>
    <definedName name="_505__FDSAUDITLINK__" localSheetId="7"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2"}</definedName>
    <definedName name="_505__FDSAUDITLINK__"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2"}</definedName>
    <definedName name="_506__FDSAUDITLINK__" localSheetId="3"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1"}</definedName>
    <definedName name="_506__FDSAUDITLINK__" localSheetId="7"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1"}</definedName>
    <definedName name="_506__FDSAUDITLINK__"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1"}</definedName>
    <definedName name="_507__FDSAUDITLINK__" localSheetId="3" hidden="1">{"fdsup://directions/FAT Viewer?action=UPDATE&amp;creator=factset&amp;DYN_ARGS=TRUE&amp;DOC_NAME=FAT:FQL_AUDITING_CLIENT_TEMPLATE.FAT&amp;display_string=Audit&amp;VAR:KEY=OVCBENIREN&amp;VAR:QUERY=UCgwLC05LFkpIC8vIEZGX0VQUyhBTk4sMCwtOSxZLFJQKQ==&amp;WINDOW=FIRST_POPUP&amp;HEIGHT=450&amp;WIDTH=","450&amp;START_MAXIMIZED=FALSE&amp;VAR:CALENDAR=US&amp;VAR:SYMBOL=B10LQP&amp;VAR:INDEX=7"}</definedName>
    <definedName name="_507__FDSAUDITLINK__" localSheetId="7" hidden="1">{"fdsup://directions/FAT Viewer?action=UPDATE&amp;creator=factset&amp;DYN_ARGS=TRUE&amp;DOC_NAME=FAT:FQL_AUDITING_CLIENT_TEMPLATE.FAT&amp;display_string=Audit&amp;VAR:KEY=OVCBENIREN&amp;VAR:QUERY=UCgwLC05LFkpIC8vIEZGX0VQUyhBTk4sMCwtOSxZLFJQKQ==&amp;WINDOW=FIRST_POPUP&amp;HEIGHT=450&amp;WIDTH=","450&amp;START_MAXIMIZED=FALSE&amp;VAR:CALENDAR=US&amp;VAR:SYMBOL=B10LQP&amp;VAR:INDEX=7"}</definedName>
    <definedName name="_507__FDSAUDITLINK__" hidden="1">{"fdsup://directions/FAT Viewer?action=UPDATE&amp;creator=factset&amp;DYN_ARGS=TRUE&amp;DOC_NAME=FAT:FQL_AUDITING_CLIENT_TEMPLATE.FAT&amp;display_string=Audit&amp;VAR:KEY=OVCBENIREN&amp;VAR:QUERY=UCgwLC05LFkpIC8vIEZGX0VQUyhBTk4sMCwtOSxZLFJQKQ==&amp;WINDOW=FIRST_POPUP&amp;HEIGHT=450&amp;WIDTH=","450&amp;START_MAXIMIZED=FALSE&amp;VAR:CALENDAR=US&amp;VAR:SYMBOL=B10LQP&amp;VAR:INDEX=7"}</definedName>
    <definedName name="_508__FDSAUDITLINK__" localSheetId="3" hidden="1">{"fdsup://directions/FAT Viewer?action=UPDATE&amp;creator=factset&amp;DYN_ARGS=TRUE&amp;DOC_NAME=FAT:FQL_AUDITING_CLIENT_TEMPLATE.FAT&amp;display_string=Audit&amp;VAR:KEY=GTYVQPADKD&amp;VAR:QUERY=UENUQ0hHKEZGX1NBTEVTKEFOTiwwLC05LFksUlAsTE9DQUwsTSksRkZfU0FMRVMoQU5OLC0xLC05IC0gMSxZL","FJQLExPQ0FMLE0pKQ==&amp;WINDOW=FIRST_POPUP&amp;HEIGHT=450&amp;WIDTH=450&amp;START_MAXIMIZED=FALSE&amp;VAR:CALENDAR=US&amp;VAR:SYMBOL=B10LQP&amp;VAR:INDEX=7"}</definedName>
    <definedName name="_508__FDSAUDITLINK__" localSheetId="7" hidden="1">{"fdsup://directions/FAT Viewer?action=UPDATE&amp;creator=factset&amp;DYN_ARGS=TRUE&amp;DOC_NAME=FAT:FQL_AUDITING_CLIENT_TEMPLATE.FAT&amp;display_string=Audit&amp;VAR:KEY=GTYVQPADKD&amp;VAR:QUERY=UENUQ0hHKEZGX1NBTEVTKEFOTiwwLC05LFksUlAsTE9DQUwsTSksRkZfU0FMRVMoQU5OLC0xLC05IC0gMSxZL","FJQLExPQ0FMLE0pKQ==&amp;WINDOW=FIRST_POPUP&amp;HEIGHT=450&amp;WIDTH=450&amp;START_MAXIMIZED=FALSE&amp;VAR:CALENDAR=US&amp;VAR:SYMBOL=B10LQP&amp;VAR:INDEX=7"}</definedName>
    <definedName name="_508__FDSAUDITLINK__" hidden="1">{"fdsup://directions/FAT Viewer?action=UPDATE&amp;creator=factset&amp;DYN_ARGS=TRUE&amp;DOC_NAME=FAT:FQL_AUDITING_CLIENT_TEMPLATE.FAT&amp;display_string=Audit&amp;VAR:KEY=GTYVQPADKD&amp;VAR:QUERY=UENUQ0hHKEZGX1NBTEVTKEFOTiwwLC05LFksUlAsTE9DQUwsTSksRkZfU0FMRVMoQU5OLC0xLC05IC0gMSxZL","FJQLExPQ0FMLE0pKQ==&amp;WINDOW=FIRST_POPUP&amp;HEIGHT=450&amp;WIDTH=450&amp;START_MAXIMIZED=FALSE&amp;VAR:CALENDAR=US&amp;VAR:SYMBOL=B10LQP&amp;VAR:INDEX=7"}</definedName>
    <definedName name="_509__FDSAUDITLINK__" localSheetId="3" hidden="1">{"fdsup://directions/FAT Viewer?action=UPDATE&amp;creator=factset&amp;DYN_ARGS=TRUE&amp;DOC_NAME=FAT:FQL_AUDITING_CLIENT_TEMPLATE.FAT&amp;display_string=Audit&amp;VAR:KEY=GTYVQPADKD&amp;VAR:QUERY=UENUQ0hHKEZGX1NBTEVTKEFOTiwwLC05LFksUlAsTE9DQUwsTSksRkZfU0FMRVMoQU5OLC0xLC05IC0gMSxZL","FJQLExPQ0FMLE0pKQ==&amp;WINDOW=FIRST_POPUP&amp;HEIGHT=450&amp;WIDTH=450&amp;START_MAXIMIZED=FALSE&amp;VAR:CALENDAR=US&amp;VAR:SYMBOL=B10LQP&amp;VAR:INDEX=6"}</definedName>
    <definedName name="_509__FDSAUDITLINK__" localSheetId="7" hidden="1">{"fdsup://directions/FAT Viewer?action=UPDATE&amp;creator=factset&amp;DYN_ARGS=TRUE&amp;DOC_NAME=FAT:FQL_AUDITING_CLIENT_TEMPLATE.FAT&amp;display_string=Audit&amp;VAR:KEY=GTYVQPADKD&amp;VAR:QUERY=UENUQ0hHKEZGX1NBTEVTKEFOTiwwLC05LFksUlAsTE9DQUwsTSksRkZfU0FMRVMoQU5OLC0xLC05IC0gMSxZL","FJQLExPQ0FMLE0pKQ==&amp;WINDOW=FIRST_POPUP&amp;HEIGHT=450&amp;WIDTH=450&amp;START_MAXIMIZED=FALSE&amp;VAR:CALENDAR=US&amp;VAR:SYMBOL=B10LQP&amp;VAR:INDEX=6"}</definedName>
    <definedName name="_509__FDSAUDITLINK__" hidden="1">{"fdsup://directions/FAT Viewer?action=UPDATE&amp;creator=factset&amp;DYN_ARGS=TRUE&amp;DOC_NAME=FAT:FQL_AUDITING_CLIENT_TEMPLATE.FAT&amp;display_string=Audit&amp;VAR:KEY=GTYVQPADKD&amp;VAR:QUERY=UENUQ0hHKEZGX1NBTEVTKEFOTiwwLC05LFksUlAsTE9DQUwsTSksRkZfU0FMRVMoQU5OLC0xLC05IC0gMSxZL","FJQLExPQ0FMLE0pKQ==&amp;WINDOW=FIRST_POPUP&amp;HEIGHT=450&amp;WIDTH=450&amp;START_MAXIMIZED=FALSE&amp;VAR:CALENDAR=US&amp;VAR:SYMBOL=B10LQP&amp;VAR:INDEX=6"}</definedName>
    <definedName name="_51__FDSAUDITLINK__" localSheetId="3" hidden="1">{"fdsup://directions/FAT Viewer?action=UPDATE&amp;creator=factset&amp;DYN_ARGS=TRUE&amp;DOC_NAME=FAT:FQL_AUDITING_CLIENT_TEMPLATE.FAT&amp;display_string=Audit&amp;VAR:KEY=JIHCTKNEPK&amp;VAR:QUERY=RkZfTkVUX0lOQyhMVE0sMCwsLCwsTSk=&amp;WINDOW=FIRST_POPUP&amp;HEIGHT=450&amp;WIDTH=450&amp;START_MAXIMI","ZED=FALSE&amp;VAR:CALENDAR=US&amp;VAR:SYMBOL=B07C76&amp;VAR:INDEX=0"}</definedName>
    <definedName name="_51__FDSAUDITLINK__" localSheetId="7" hidden="1">{"fdsup://directions/FAT Viewer?action=UPDATE&amp;creator=factset&amp;DYN_ARGS=TRUE&amp;DOC_NAME=FAT:FQL_AUDITING_CLIENT_TEMPLATE.FAT&amp;display_string=Audit&amp;VAR:KEY=JIHCTKNEPK&amp;VAR:QUERY=RkZfTkVUX0lOQyhMVE0sMCwsLCwsTSk=&amp;WINDOW=FIRST_POPUP&amp;HEIGHT=450&amp;WIDTH=450&amp;START_MAXIMI","ZED=FALSE&amp;VAR:CALENDAR=US&amp;VAR:SYMBOL=B07C76&amp;VAR:INDEX=0"}</definedName>
    <definedName name="_51__FDSAUDITLINK__" hidden="1">{"fdsup://directions/FAT Viewer?action=UPDATE&amp;creator=factset&amp;DYN_ARGS=TRUE&amp;DOC_NAME=FAT:FQL_AUDITING_CLIENT_TEMPLATE.FAT&amp;display_string=Audit&amp;VAR:KEY=JIHCTKNEPK&amp;VAR:QUERY=RkZfTkVUX0lOQyhMVE0sMCwsLCwsTSk=&amp;WINDOW=FIRST_POPUP&amp;HEIGHT=450&amp;WIDTH=450&amp;START_MAXIMI","ZED=FALSE&amp;VAR:CALENDAR=US&amp;VAR:SYMBOL=B07C76&amp;VAR:INDEX=0"}</definedName>
    <definedName name="_510__FDSAUDITLINK__" localSheetId="3" hidden="1">{"fdsup://directions/FAT Viewer?action=UPDATE&amp;creator=factset&amp;DYN_ARGS=TRUE&amp;DOC_NAME=FAT:FQL_AUDITING_CLIENT_TEMPLATE.FAT&amp;display_string=Audit&amp;VAR:KEY=GTYVQPADKD&amp;VAR:QUERY=UENUQ0hHKEZGX1NBTEVTKEFOTiwwLC05LFksUlAsTE9DQUwsTSksRkZfU0FMRVMoQU5OLC0xLC05IC0gMSxZL","FJQLExPQ0FMLE0pKQ==&amp;WINDOW=FIRST_POPUP&amp;HEIGHT=450&amp;WIDTH=450&amp;START_MAXIMIZED=FALSE&amp;VAR:CALENDAR=US&amp;VAR:SYMBOL=B10LQP&amp;VAR:INDEX=5"}</definedName>
    <definedName name="_510__FDSAUDITLINK__" localSheetId="7" hidden="1">{"fdsup://directions/FAT Viewer?action=UPDATE&amp;creator=factset&amp;DYN_ARGS=TRUE&amp;DOC_NAME=FAT:FQL_AUDITING_CLIENT_TEMPLATE.FAT&amp;display_string=Audit&amp;VAR:KEY=GTYVQPADKD&amp;VAR:QUERY=UENUQ0hHKEZGX1NBTEVTKEFOTiwwLC05LFksUlAsTE9DQUwsTSksRkZfU0FMRVMoQU5OLC0xLC05IC0gMSxZL","FJQLExPQ0FMLE0pKQ==&amp;WINDOW=FIRST_POPUP&amp;HEIGHT=450&amp;WIDTH=450&amp;START_MAXIMIZED=FALSE&amp;VAR:CALENDAR=US&amp;VAR:SYMBOL=B10LQP&amp;VAR:INDEX=5"}</definedName>
    <definedName name="_510__FDSAUDITLINK__" hidden="1">{"fdsup://directions/FAT Viewer?action=UPDATE&amp;creator=factset&amp;DYN_ARGS=TRUE&amp;DOC_NAME=FAT:FQL_AUDITING_CLIENT_TEMPLATE.FAT&amp;display_string=Audit&amp;VAR:KEY=GTYVQPADKD&amp;VAR:QUERY=UENUQ0hHKEZGX1NBTEVTKEFOTiwwLC05LFksUlAsTE9DQUwsTSksRkZfU0FMRVMoQU5OLC0xLC05IC0gMSxZL","FJQLExPQ0FMLE0pKQ==&amp;WINDOW=FIRST_POPUP&amp;HEIGHT=450&amp;WIDTH=450&amp;START_MAXIMIZED=FALSE&amp;VAR:CALENDAR=US&amp;VAR:SYMBOL=B10LQP&amp;VAR:INDEX=5"}</definedName>
    <definedName name="_511__FDSAUDITLINK__" localSheetId="3" hidden="1">{"fdsup://directions/FAT Viewer?action=UPDATE&amp;creator=factset&amp;DYN_ARGS=TRUE&amp;DOC_NAME=FAT:FQL_AUDITING_CLIENT_TEMPLATE.FAT&amp;display_string=Audit&amp;VAR:KEY=GTYVQPADKD&amp;VAR:QUERY=UENUQ0hHKEZGX1NBTEVTKEFOTiwwLC05LFksUlAsTE9DQUwsTSksRkZfU0FMRVMoQU5OLC0xLC05IC0gMSxZL","FJQLExPQ0FMLE0pKQ==&amp;WINDOW=FIRST_POPUP&amp;HEIGHT=450&amp;WIDTH=450&amp;START_MAXIMIZED=FALSE&amp;VAR:CALENDAR=US&amp;VAR:SYMBOL=B10LQP&amp;VAR:INDEX=4"}</definedName>
    <definedName name="_511__FDSAUDITLINK__" localSheetId="7" hidden="1">{"fdsup://directions/FAT Viewer?action=UPDATE&amp;creator=factset&amp;DYN_ARGS=TRUE&amp;DOC_NAME=FAT:FQL_AUDITING_CLIENT_TEMPLATE.FAT&amp;display_string=Audit&amp;VAR:KEY=GTYVQPADKD&amp;VAR:QUERY=UENUQ0hHKEZGX1NBTEVTKEFOTiwwLC05LFksUlAsTE9DQUwsTSksRkZfU0FMRVMoQU5OLC0xLC05IC0gMSxZL","FJQLExPQ0FMLE0pKQ==&amp;WINDOW=FIRST_POPUP&amp;HEIGHT=450&amp;WIDTH=450&amp;START_MAXIMIZED=FALSE&amp;VAR:CALENDAR=US&amp;VAR:SYMBOL=B10LQP&amp;VAR:INDEX=4"}</definedName>
    <definedName name="_511__FDSAUDITLINK__" hidden="1">{"fdsup://directions/FAT Viewer?action=UPDATE&amp;creator=factset&amp;DYN_ARGS=TRUE&amp;DOC_NAME=FAT:FQL_AUDITING_CLIENT_TEMPLATE.FAT&amp;display_string=Audit&amp;VAR:KEY=GTYVQPADKD&amp;VAR:QUERY=UENUQ0hHKEZGX1NBTEVTKEFOTiwwLC05LFksUlAsTE9DQUwsTSksRkZfU0FMRVMoQU5OLC0xLC05IC0gMSxZL","FJQLExPQ0FMLE0pKQ==&amp;WINDOW=FIRST_POPUP&amp;HEIGHT=450&amp;WIDTH=450&amp;START_MAXIMIZED=FALSE&amp;VAR:CALENDAR=US&amp;VAR:SYMBOL=B10LQP&amp;VAR:INDEX=4"}</definedName>
    <definedName name="_512__FDSAUDITLINK__" localSheetId="3" hidden="1">{"fdsup://directions/FAT Viewer?action=UPDATE&amp;creator=factset&amp;DYN_ARGS=TRUE&amp;DOC_NAME=FAT:FQL_AUDITING_CLIENT_TEMPLATE.FAT&amp;display_string=Audit&amp;VAR:KEY=GTYVQPADKD&amp;VAR:QUERY=UENUQ0hHKEZGX1NBTEVTKEFOTiwwLC05LFksUlAsTE9DQUwsTSksRkZfU0FMRVMoQU5OLC0xLC05IC0gMSxZL","FJQLExPQ0FMLE0pKQ==&amp;WINDOW=FIRST_POPUP&amp;HEIGHT=450&amp;WIDTH=450&amp;START_MAXIMIZED=FALSE&amp;VAR:CALENDAR=US&amp;VAR:SYMBOL=B10LQP&amp;VAR:INDEX=3"}</definedName>
    <definedName name="_512__FDSAUDITLINK__" localSheetId="7" hidden="1">{"fdsup://directions/FAT Viewer?action=UPDATE&amp;creator=factset&amp;DYN_ARGS=TRUE&amp;DOC_NAME=FAT:FQL_AUDITING_CLIENT_TEMPLATE.FAT&amp;display_string=Audit&amp;VAR:KEY=GTYVQPADKD&amp;VAR:QUERY=UENUQ0hHKEZGX1NBTEVTKEFOTiwwLC05LFksUlAsTE9DQUwsTSksRkZfU0FMRVMoQU5OLC0xLC05IC0gMSxZL","FJQLExPQ0FMLE0pKQ==&amp;WINDOW=FIRST_POPUP&amp;HEIGHT=450&amp;WIDTH=450&amp;START_MAXIMIZED=FALSE&amp;VAR:CALENDAR=US&amp;VAR:SYMBOL=B10LQP&amp;VAR:INDEX=3"}</definedName>
    <definedName name="_512__FDSAUDITLINK__" hidden="1">{"fdsup://directions/FAT Viewer?action=UPDATE&amp;creator=factset&amp;DYN_ARGS=TRUE&amp;DOC_NAME=FAT:FQL_AUDITING_CLIENT_TEMPLATE.FAT&amp;display_string=Audit&amp;VAR:KEY=GTYVQPADKD&amp;VAR:QUERY=UENUQ0hHKEZGX1NBTEVTKEFOTiwwLC05LFksUlAsTE9DQUwsTSksRkZfU0FMRVMoQU5OLC0xLC05IC0gMSxZL","FJQLExPQ0FMLE0pKQ==&amp;WINDOW=FIRST_POPUP&amp;HEIGHT=450&amp;WIDTH=450&amp;START_MAXIMIZED=FALSE&amp;VAR:CALENDAR=US&amp;VAR:SYMBOL=B10LQP&amp;VAR:INDEX=3"}</definedName>
    <definedName name="_513__FDSAUDITLINK__" localSheetId="3" hidden="1">{"fdsup://directions/FAT Viewer?action=UPDATE&amp;creator=factset&amp;DYN_ARGS=TRUE&amp;DOC_NAME=FAT:FQL_AUDITING_CLIENT_TEMPLATE.FAT&amp;display_string=Audit&amp;VAR:KEY=GTYVQPADKD&amp;VAR:QUERY=UENUQ0hHKEZGX1NBTEVTKEFOTiwwLC05LFksUlAsTE9DQUwsTSksRkZfU0FMRVMoQU5OLC0xLC05IC0gMSxZL","FJQLExPQ0FMLE0pKQ==&amp;WINDOW=FIRST_POPUP&amp;HEIGHT=450&amp;WIDTH=450&amp;START_MAXIMIZED=FALSE&amp;VAR:CALENDAR=US&amp;VAR:SYMBOL=B10LQP&amp;VAR:INDEX=2"}</definedName>
    <definedName name="_513__FDSAUDITLINK__" localSheetId="7" hidden="1">{"fdsup://directions/FAT Viewer?action=UPDATE&amp;creator=factset&amp;DYN_ARGS=TRUE&amp;DOC_NAME=FAT:FQL_AUDITING_CLIENT_TEMPLATE.FAT&amp;display_string=Audit&amp;VAR:KEY=GTYVQPADKD&amp;VAR:QUERY=UENUQ0hHKEZGX1NBTEVTKEFOTiwwLC05LFksUlAsTE9DQUwsTSksRkZfU0FMRVMoQU5OLC0xLC05IC0gMSxZL","FJQLExPQ0FMLE0pKQ==&amp;WINDOW=FIRST_POPUP&amp;HEIGHT=450&amp;WIDTH=450&amp;START_MAXIMIZED=FALSE&amp;VAR:CALENDAR=US&amp;VAR:SYMBOL=B10LQP&amp;VAR:INDEX=2"}</definedName>
    <definedName name="_513__FDSAUDITLINK__" hidden="1">{"fdsup://directions/FAT Viewer?action=UPDATE&amp;creator=factset&amp;DYN_ARGS=TRUE&amp;DOC_NAME=FAT:FQL_AUDITING_CLIENT_TEMPLATE.FAT&amp;display_string=Audit&amp;VAR:KEY=GTYVQPADKD&amp;VAR:QUERY=UENUQ0hHKEZGX1NBTEVTKEFOTiwwLC05LFksUlAsTE9DQUwsTSksRkZfU0FMRVMoQU5OLC0xLC05IC0gMSxZL","FJQLExPQ0FMLE0pKQ==&amp;WINDOW=FIRST_POPUP&amp;HEIGHT=450&amp;WIDTH=450&amp;START_MAXIMIZED=FALSE&amp;VAR:CALENDAR=US&amp;VAR:SYMBOL=B10LQP&amp;VAR:INDEX=2"}</definedName>
    <definedName name="_514__FDSAUDITLINK__" localSheetId="3" hidden="1">{"fdsup://directions/FAT Viewer?action=UPDATE&amp;creator=factset&amp;DYN_ARGS=TRUE&amp;DOC_NAME=FAT:FQL_AUDITING_CLIENT_TEMPLATE.FAT&amp;display_string=Audit&amp;VAR:KEY=GTYVQPADKD&amp;VAR:QUERY=UENUQ0hHKEZGX1NBTEVTKEFOTiwwLC05LFksUlAsTE9DQUwsTSksRkZfU0FMRVMoQU5OLC0xLC05IC0gMSxZL","FJQLExPQ0FMLE0pKQ==&amp;WINDOW=FIRST_POPUP&amp;HEIGHT=450&amp;WIDTH=450&amp;START_MAXIMIZED=FALSE&amp;VAR:CALENDAR=US&amp;VAR:SYMBOL=B10LQP&amp;VAR:INDEX=1"}</definedName>
    <definedName name="_514__FDSAUDITLINK__" localSheetId="7" hidden="1">{"fdsup://directions/FAT Viewer?action=UPDATE&amp;creator=factset&amp;DYN_ARGS=TRUE&amp;DOC_NAME=FAT:FQL_AUDITING_CLIENT_TEMPLATE.FAT&amp;display_string=Audit&amp;VAR:KEY=GTYVQPADKD&amp;VAR:QUERY=UENUQ0hHKEZGX1NBTEVTKEFOTiwwLC05LFksUlAsTE9DQUwsTSksRkZfU0FMRVMoQU5OLC0xLC05IC0gMSxZL","FJQLExPQ0FMLE0pKQ==&amp;WINDOW=FIRST_POPUP&amp;HEIGHT=450&amp;WIDTH=450&amp;START_MAXIMIZED=FALSE&amp;VAR:CALENDAR=US&amp;VAR:SYMBOL=B10LQP&amp;VAR:INDEX=1"}</definedName>
    <definedName name="_514__FDSAUDITLINK__" hidden="1">{"fdsup://directions/FAT Viewer?action=UPDATE&amp;creator=factset&amp;DYN_ARGS=TRUE&amp;DOC_NAME=FAT:FQL_AUDITING_CLIENT_TEMPLATE.FAT&amp;display_string=Audit&amp;VAR:KEY=GTYVQPADKD&amp;VAR:QUERY=UENUQ0hHKEZGX1NBTEVTKEFOTiwwLC05LFksUlAsTE9DQUwsTSksRkZfU0FMRVMoQU5OLC0xLC05IC0gMSxZL","FJQLExPQ0FMLE0pKQ==&amp;WINDOW=FIRST_POPUP&amp;HEIGHT=450&amp;WIDTH=450&amp;START_MAXIMIZED=FALSE&amp;VAR:CALENDAR=US&amp;VAR:SYMBOL=B10LQP&amp;VAR:INDEX=1"}</definedName>
    <definedName name="_515__FDSAUDITLINK__" localSheetId="3" hidden="1">{"fdsup://Directions/FactSet Auditing Viewer?action=AUDIT_VALUE&amp;DB=129&amp;ID1=B10LQP&amp;VALUEID=04851&amp;SDATE=2010&amp;PERIODTYPE=ANN_STD&amp;SCFT=3&amp;window=popup_no_bar&amp;width=385&amp;height=120&amp;START_MAXIMIZED=FALSE&amp;creator=factset&amp;display_string=Audit"}</definedName>
    <definedName name="_515__FDSAUDITLINK__" localSheetId="7" hidden="1">{"fdsup://Directions/FactSet Auditing Viewer?action=AUDIT_VALUE&amp;DB=129&amp;ID1=B10LQP&amp;VALUEID=04851&amp;SDATE=2010&amp;PERIODTYPE=ANN_STD&amp;SCFT=3&amp;window=popup_no_bar&amp;width=385&amp;height=120&amp;START_MAXIMIZED=FALSE&amp;creator=factset&amp;display_string=Audit"}</definedName>
    <definedName name="_515__FDSAUDITLINK__" hidden="1">{"fdsup://Directions/FactSet Auditing Viewer?action=AUDIT_VALUE&amp;DB=129&amp;ID1=B10LQP&amp;VALUEID=04851&amp;SDATE=2010&amp;PERIODTYPE=ANN_STD&amp;SCFT=3&amp;window=popup_no_bar&amp;width=385&amp;height=120&amp;START_MAXIMIZED=FALSE&amp;creator=factset&amp;display_string=Audit"}</definedName>
    <definedName name="_516__FDSAUDITLINK__" localSheetId="3" hidden="1">{"fdsup://Directions/FactSet Auditing Viewer?action=AUDIT_VALUE&amp;DB=129&amp;ID1=B10LQP&amp;VALUEID=01001&amp;SDATE=2010&amp;PERIODTYPE=ANN_STD&amp;SCFT=3&amp;window=popup_no_bar&amp;width=385&amp;height=120&amp;START_MAXIMIZED=FALSE&amp;creator=factset&amp;display_string=Audit"}</definedName>
    <definedName name="_516__FDSAUDITLINK__" localSheetId="7" hidden="1">{"fdsup://Directions/FactSet Auditing Viewer?action=AUDIT_VALUE&amp;DB=129&amp;ID1=B10LQP&amp;VALUEID=01001&amp;SDATE=2010&amp;PERIODTYPE=ANN_STD&amp;SCFT=3&amp;window=popup_no_bar&amp;width=385&amp;height=120&amp;START_MAXIMIZED=FALSE&amp;creator=factset&amp;display_string=Audit"}</definedName>
    <definedName name="_516__FDSAUDITLINK__" hidden="1">{"fdsup://Directions/FactSet Auditing Viewer?action=AUDIT_VALUE&amp;DB=129&amp;ID1=B10LQP&amp;VALUEID=01001&amp;SDATE=2010&amp;PERIODTYPE=ANN_STD&amp;SCFT=3&amp;window=popup_no_bar&amp;width=385&amp;height=120&amp;START_MAXIMIZED=FALSE&amp;creator=factset&amp;display_string=Audit"}</definedName>
    <definedName name="_517__FDSAUDITLINK__" localSheetId="3" hidden="1">{"fdsup://Directions/FactSet Auditing Viewer?action=AUDIT_VALUE&amp;DB=129&amp;ID1=B10LQP&amp;VALUEID=01001&amp;SDATE=2011&amp;PERIODTYPE=ANN_STD&amp;SCFT=3&amp;window=popup_no_bar&amp;width=385&amp;height=120&amp;START_MAXIMIZED=FALSE&amp;creator=factset&amp;display_string=Audit"}</definedName>
    <definedName name="_517__FDSAUDITLINK__" localSheetId="7" hidden="1">{"fdsup://Directions/FactSet Auditing Viewer?action=AUDIT_VALUE&amp;DB=129&amp;ID1=B10LQP&amp;VALUEID=01001&amp;SDATE=2011&amp;PERIODTYPE=ANN_STD&amp;SCFT=3&amp;window=popup_no_bar&amp;width=385&amp;height=120&amp;START_MAXIMIZED=FALSE&amp;creator=factset&amp;display_string=Audit"}</definedName>
    <definedName name="_517__FDSAUDITLINK__" hidden="1">{"fdsup://Directions/FactSet Auditing Viewer?action=AUDIT_VALUE&amp;DB=129&amp;ID1=B10LQP&amp;VALUEID=01001&amp;SDATE=2011&amp;PERIODTYPE=ANN_STD&amp;SCFT=3&amp;window=popup_no_bar&amp;width=385&amp;height=120&amp;START_MAXIMIZED=FALSE&amp;creator=factset&amp;display_string=Audit"}</definedName>
    <definedName name="_518__FDSAUDITLINK__" localSheetId="3"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7"}</definedName>
    <definedName name="_518__FDSAUDITLINK__" localSheetId="7"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7"}</definedName>
    <definedName name="_518__FDSAUDITLINK__"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7"}</definedName>
    <definedName name="_519__FDSAUDITLINK__" localSheetId="3"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6"}</definedName>
    <definedName name="_519__FDSAUDITLINK__" localSheetId="7"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6"}</definedName>
    <definedName name="_519__FDSAUDITLINK__"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6"}</definedName>
    <definedName name="_52__FDSAUDITLINK__" localSheetId="3" hidden="1">{"fdsup://directions/FAT Viewer?action=UPDATE&amp;creator=factset&amp;DYN_ARGS=TRUE&amp;DOC_NAME=FAT:FQL_AUDITING_CLIENT_TEMPLATE.FAT&amp;display_string=Audit&amp;VAR:KEY=JIHCTKNEPK&amp;VAR:QUERY=RkZfTkVUX0lOQyhMVE0sMCwsLCwsTSk=&amp;WINDOW=FIRST_POPUP&amp;HEIGHT=450&amp;WIDTH=450&amp;START_MAXIMI","ZED=FALSE&amp;VAR:CALENDAR=US&amp;VAR:SYMBOL=B07C76&amp;VAR:INDEX=0"}</definedName>
    <definedName name="_52__FDSAUDITLINK__" localSheetId="7" hidden="1">{"fdsup://directions/FAT Viewer?action=UPDATE&amp;creator=factset&amp;DYN_ARGS=TRUE&amp;DOC_NAME=FAT:FQL_AUDITING_CLIENT_TEMPLATE.FAT&amp;display_string=Audit&amp;VAR:KEY=JIHCTKNEPK&amp;VAR:QUERY=RkZfTkVUX0lOQyhMVE0sMCwsLCwsTSk=&amp;WINDOW=FIRST_POPUP&amp;HEIGHT=450&amp;WIDTH=450&amp;START_MAXIMI","ZED=FALSE&amp;VAR:CALENDAR=US&amp;VAR:SYMBOL=B07C76&amp;VAR:INDEX=0"}</definedName>
    <definedName name="_52__FDSAUDITLINK__" hidden="1">{"fdsup://directions/FAT Viewer?action=UPDATE&amp;creator=factset&amp;DYN_ARGS=TRUE&amp;DOC_NAME=FAT:FQL_AUDITING_CLIENT_TEMPLATE.FAT&amp;display_string=Audit&amp;VAR:KEY=JIHCTKNEPK&amp;VAR:QUERY=RkZfTkVUX0lOQyhMVE0sMCwsLCwsTSk=&amp;WINDOW=FIRST_POPUP&amp;HEIGHT=450&amp;WIDTH=450&amp;START_MAXIMI","ZED=FALSE&amp;VAR:CALENDAR=US&amp;VAR:SYMBOL=B07C76&amp;VAR:INDEX=0"}</definedName>
    <definedName name="_520__FDSAUDITLINK__" localSheetId="3"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5"}</definedName>
    <definedName name="_520__FDSAUDITLINK__" localSheetId="7"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5"}</definedName>
    <definedName name="_520__FDSAUDITLINK__"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5"}</definedName>
    <definedName name="_521__FDSAUDITLINK__" localSheetId="3"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4"}</definedName>
    <definedName name="_521__FDSAUDITLINK__" localSheetId="7"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4"}</definedName>
    <definedName name="_521__FDSAUDITLINK__"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4"}</definedName>
    <definedName name="_522__FDSAUDITLINK__" localSheetId="3"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3"}</definedName>
    <definedName name="_522__FDSAUDITLINK__" localSheetId="7"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3"}</definedName>
    <definedName name="_522__FDSAUDITLINK__"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3"}</definedName>
    <definedName name="_523__FDSAUDITLINK__" localSheetId="3"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2"}</definedName>
    <definedName name="_523__FDSAUDITLINK__" localSheetId="7"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2"}</definedName>
    <definedName name="_523__FDSAUDITLINK__"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2"}</definedName>
    <definedName name="_524__FDSAUDITLINK__" localSheetId="3"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1"}</definedName>
    <definedName name="_524__FDSAUDITLINK__" localSheetId="7"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1"}</definedName>
    <definedName name="_524__FDSAUDITLINK__"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1"}</definedName>
    <definedName name="_525__FDSAUDITLINK__" localSheetId="3"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0"}</definedName>
    <definedName name="_525__FDSAUDITLINK__" localSheetId="7"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0"}</definedName>
    <definedName name="_525__FDSAUDITLINK__" hidden="1">{"fdsup://directions/FAT Viewer?action=UPDATE&amp;creator=factset&amp;DYN_ARGS=TRUE&amp;DOC_NAME=FAT:FQL_AUDITING_CLIENT_TEMPLATE.FAT&amp;display_string=Audit&amp;VAR:KEY=VQHIBKXGPA&amp;VAR:QUERY=RkZfR1JPU1NfSU5DKEFOTiwwLC05LFksUlAsVVNELE0p&amp;WINDOW=FIRST_POPUP&amp;HEIGHT=450&amp;WIDTH=450&amp;","START_MAXIMIZED=FALSE&amp;VAR:CALENDAR=US&amp;VAR:SYMBOL=B10LQP&amp;VAR:INDEX=0"}</definedName>
    <definedName name="_526__FDSAUDITLINK__" localSheetId="3"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7"}</definedName>
    <definedName name="_526__FDSAUDITLINK__" localSheetId="7"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7"}</definedName>
    <definedName name="_526__FDSAUDITLINK__"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7"}</definedName>
    <definedName name="_527__FDSAUDITLINK__" localSheetId="3"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6"}</definedName>
    <definedName name="_527__FDSAUDITLINK__" localSheetId="7"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6"}</definedName>
    <definedName name="_527__FDSAUDITLINK__"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6"}</definedName>
    <definedName name="_528__FDSAUDITLINK__" localSheetId="3"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5"}</definedName>
    <definedName name="_528__FDSAUDITLINK__" localSheetId="7"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5"}</definedName>
    <definedName name="_528__FDSAUDITLINK__"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5"}</definedName>
    <definedName name="_529__FDSAUDITLINK__" localSheetId="3"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4"}</definedName>
    <definedName name="_529__FDSAUDITLINK__" localSheetId="7"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4"}</definedName>
    <definedName name="_529__FDSAUDITLINK__"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4"}</definedName>
    <definedName name="_53__FDSAUDITLINK__" localSheetId="3" hidden="1">{"fdsup://directions/FAT Viewer?action=UPDATE&amp;creator=factset&amp;DYN_ARGS=TRUE&amp;DOC_NAME=FAT:FQL_AUDITING_CLIENT_TEMPLATE.FAT&amp;display_string=Audit&amp;VAR:KEY=JIHCTKNEPK&amp;VAR:QUERY=RkZfTkVUX0lOQyhMVE0sMCwsLCwsTSk=&amp;WINDOW=FIRST_POPUP&amp;HEIGHT=450&amp;WIDTH=450&amp;START_MAXIMI","ZED=FALSE&amp;VAR:CALENDAR=US&amp;VAR:SYMBOL=B07C76&amp;VAR:INDEX=0"}</definedName>
    <definedName name="_53__FDSAUDITLINK__" localSheetId="7" hidden="1">{"fdsup://directions/FAT Viewer?action=UPDATE&amp;creator=factset&amp;DYN_ARGS=TRUE&amp;DOC_NAME=FAT:FQL_AUDITING_CLIENT_TEMPLATE.FAT&amp;display_string=Audit&amp;VAR:KEY=JIHCTKNEPK&amp;VAR:QUERY=RkZfTkVUX0lOQyhMVE0sMCwsLCwsTSk=&amp;WINDOW=FIRST_POPUP&amp;HEIGHT=450&amp;WIDTH=450&amp;START_MAXIMI","ZED=FALSE&amp;VAR:CALENDAR=US&amp;VAR:SYMBOL=B07C76&amp;VAR:INDEX=0"}</definedName>
    <definedName name="_53__FDSAUDITLINK__" hidden="1">{"fdsup://directions/FAT Viewer?action=UPDATE&amp;creator=factset&amp;DYN_ARGS=TRUE&amp;DOC_NAME=FAT:FQL_AUDITING_CLIENT_TEMPLATE.FAT&amp;display_string=Audit&amp;VAR:KEY=JIHCTKNEPK&amp;VAR:QUERY=RkZfTkVUX0lOQyhMVE0sMCwsLCwsTSk=&amp;WINDOW=FIRST_POPUP&amp;HEIGHT=450&amp;WIDTH=450&amp;START_MAXIMI","ZED=FALSE&amp;VAR:CALENDAR=US&amp;VAR:SYMBOL=B07C76&amp;VAR:INDEX=0"}</definedName>
    <definedName name="_530__FDSAUDITLINK__" localSheetId="3"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3"}</definedName>
    <definedName name="_530__FDSAUDITLINK__" localSheetId="7"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3"}</definedName>
    <definedName name="_530__FDSAUDITLINK__"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3"}</definedName>
    <definedName name="_531__FDSAUDITLINK__" localSheetId="3"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2"}</definedName>
    <definedName name="_531__FDSAUDITLINK__" localSheetId="7"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2"}</definedName>
    <definedName name="_531__FDSAUDITLINK__"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2"}</definedName>
    <definedName name="_532__FDSAUDITLINK__" localSheetId="3"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1"}</definedName>
    <definedName name="_532__FDSAUDITLINK__" localSheetId="7"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1"}</definedName>
    <definedName name="_532__FDSAUDITLINK__"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1"}</definedName>
    <definedName name="_533__FDSAUDITLINK__" localSheetId="3"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0"}</definedName>
    <definedName name="_533__FDSAUDITLINK__" localSheetId="7"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0"}</definedName>
    <definedName name="_533__FDSAUDITLINK__" hidden="1">{"fdsup://directions/FAT Viewer?action=UPDATE&amp;creator=factset&amp;DYN_ARGS=TRUE&amp;DOC_NAME=FAT:FQL_AUDITING_CLIENT_TEMPLATE.FAT&amp;display_string=Audit&amp;VAR:KEY=YRCZERQBCP&amp;VAR:QUERY=RkZfTkVUX0lOQyhBTk4sMCwtOSxZLFJQLFVTRCxNKQ==&amp;WINDOW=FIRST_POPUP&amp;HEIGHT=450&amp;WIDTH=450&amp;","START_MAXIMIZED=FALSE&amp;VAR:CALENDAR=US&amp;VAR:SYMBOL=B10LQP&amp;VAR:INDEX=0"}</definedName>
    <definedName name="_534__FDSAUDITLINK__" localSheetId="3" hidden="1">{"fdsup://directions/FAT Viewer?action=UPDATE&amp;creator=factset&amp;DYN_ARGS=TRUE&amp;DOC_NAME=FAT:FQL_AUDITING_CLIENT_TEMPLATE.FAT&amp;display_string=Audit&amp;VAR:KEY=ZKLCLEVEFC&amp;VAR:QUERY=RkZfRVBTX0JBU0lDKEFOTiwwLC05LFksUlAsVVNELE0p&amp;WINDOW=FIRST_POPUP&amp;HEIGHT=450&amp;WIDTH=450&amp;","START_MAXIMIZED=FALSE&amp;VAR:CALENDAR=US&amp;VAR:SYMBOL=B10LQP&amp;VAR:INDEX=7"}</definedName>
    <definedName name="_534__FDSAUDITLINK__" localSheetId="7" hidden="1">{"fdsup://directions/FAT Viewer?action=UPDATE&amp;creator=factset&amp;DYN_ARGS=TRUE&amp;DOC_NAME=FAT:FQL_AUDITING_CLIENT_TEMPLATE.FAT&amp;display_string=Audit&amp;VAR:KEY=ZKLCLEVEFC&amp;VAR:QUERY=RkZfRVBTX0JBU0lDKEFOTiwwLC05LFksUlAsVVNELE0p&amp;WINDOW=FIRST_POPUP&amp;HEIGHT=450&amp;WIDTH=450&amp;","START_MAXIMIZED=FALSE&amp;VAR:CALENDAR=US&amp;VAR:SYMBOL=B10LQP&amp;VAR:INDEX=7"}</definedName>
    <definedName name="_534__FDSAUDITLINK__" hidden="1">{"fdsup://directions/FAT Viewer?action=UPDATE&amp;creator=factset&amp;DYN_ARGS=TRUE&amp;DOC_NAME=FAT:FQL_AUDITING_CLIENT_TEMPLATE.FAT&amp;display_string=Audit&amp;VAR:KEY=ZKLCLEVEFC&amp;VAR:QUERY=RkZfRVBTX0JBU0lDKEFOTiwwLC05LFksUlAsVVNELE0p&amp;WINDOW=FIRST_POPUP&amp;HEIGHT=450&amp;WIDTH=450&amp;","START_MAXIMIZED=FALSE&amp;VAR:CALENDAR=US&amp;VAR:SYMBOL=B10LQP&amp;VAR:INDEX=7"}</definedName>
    <definedName name="_535__FDSAUDITLINK__" localSheetId="3" hidden="1">{"fdsup://directions/FAT Viewer?action=UPDATE&amp;creator=factset&amp;DYN_ARGS=TRUE&amp;DOC_NAME=FAT:FQL_AUDITING_CLIENT_TEMPLATE.FAT&amp;display_string=Audit&amp;VAR:KEY=ZKLCLEVEFC&amp;VAR:QUERY=RkZfRVBTX0JBU0lDKEFOTiwwLC05LFksUlAsVVNELE0p&amp;WINDOW=FIRST_POPUP&amp;HEIGHT=450&amp;WIDTH=450&amp;","START_MAXIMIZED=FALSE&amp;VAR:CALENDAR=US&amp;VAR:SYMBOL=B10LQP&amp;VAR:INDEX=6"}</definedName>
    <definedName name="_535__FDSAUDITLINK__" localSheetId="7" hidden="1">{"fdsup://directions/FAT Viewer?action=UPDATE&amp;creator=factset&amp;DYN_ARGS=TRUE&amp;DOC_NAME=FAT:FQL_AUDITING_CLIENT_TEMPLATE.FAT&amp;display_string=Audit&amp;VAR:KEY=ZKLCLEVEFC&amp;VAR:QUERY=RkZfRVBTX0JBU0lDKEFOTiwwLC05LFksUlAsVVNELE0p&amp;WINDOW=FIRST_POPUP&amp;HEIGHT=450&amp;WIDTH=450&amp;","START_MAXIMIZED=FALSE&amp;VAR:CALENDAR=US&amp;VAR:SYMBOL=B10LQP&amp;VAR:INDEX=6"}</definedName>
    <definedName name="_535__FDSAUDITLINK__" hidden="1">{"fdsup://directions/FAT Viewer?action=UPDATE&amp;creator=factset&amp;DYN_ARGS=TRUE&amp;DOC_NAME=FAT:FQL_AUDITING_CLIENT_TEMPLATE.FAT&amp;display_string=Audit&amp;VAR:KEY=ZKLCLEVEFC&amp;VAR:QUERY=RkZfRVBTX0JBU0lDKEFOTiwwLC05LFksUlAsVVNELE0p&amp;WINDOW=FIRST_POPUP&amp;HEIGHT=450&amp;WIDTH=450&amp;","START_MAXIMIZED=FALSE&amp;VAR:CALENDAR=US&amp;VAR:SYMBOL=B10LQP&amp;VAR:INDEX=6"}</definedName>
    <definedName name="_536__FDSAUDITLINK__" localSheetId="3" hidden="1">{"fdsup://directions/FAT Viewer?action=UPDATE&amp;creator=factset&amp;DYN_ARGS=TRUE&amp;DOC_NAME=FAT:FQL_AUDITING_CLIENT_TEMPLATE.FAT&amp;display_string=Audit&amp;VAR:KEY=ZKLCLEVEFC&amp;VAR:QUERY=RkZfRVBTX0JBU0lDKEFOTiwwLC05LFksUlAsVVNELE0p&amp;WINDOW=FIRST_POPUP&amp;HEIGHT=450&amp;WIDTH=450&amp;","START_MAXIMIZED=FALSE&amp;VAR:CALENDAR=US&amp;VAR:SYMBOL=B10LQP&amp;VAR:INDEX=5"}</definedName>
    <definedName name="_536__FDSAUDITLINK__" localSheetId="7" hidden="1">{"fdsup://directions/FAT Viewer?action=UPDATE&amp;creator=factset&amp;DYN_ARGS=TRUE&amp;DOC_NAME=FAT:FQL_AUDITING_CLIENT_TEMPLATE.FAT&amp;display_string=Audit&amp;VAR:KEY=ZKLCLEVEFC&amp;VAR:QUERY=RkZfRVBTX0JBU0lDKEFOTiwwLC05LFksUlAsVVNELE0p&amp;WINDOW=FIRST_POPUP&amp;HEIGHT=450&amp;WIDTH=450&amp;","START_MAXIMIZED=FALSE&amp;VAR:CALENDAR=US&amp;VAR:SYMBOL=B10LQP&amp;VAR:INDEX=5"}</definedName>
    <definedName name="_536__FDSAUDITLINK__" hidden="1">{"fdsup://directions/FAT Viewer?action=UPDATE&amp;creator=factset&amp;DYN_ARGS=TRUE&amp;DOC_NAME=FAT:FQL_AUDITING_CLIENT_TEMPLATE.FAT&amp;display_string=Audit&amp;VAR:KEY=ZKLCLEVEFC&amp;VAR:QUERY=RkZfRVBTX0JBU0lDKEFOTiwwLC05LFksUlAsVVNELE0p&amp;WINDOW=FIRST_POPUP&amp;HEIGHT=450&amp;WIDTH=450&amp;","START_MAXIMIZED=FALSE&amp;VAR:CALENDAR=US&amp;VAR:SYMBOL=B10LQP&amp;VAR:INDEX=5"}</definedName>
    <definedName name="_537__FDSAUDITLINK__" localSheetId="3" hidden="1">{"fdsup://directions/FAT Viewer?action=UPDATE&amp;creator=factset&amp;DYN_ARGS=TRUE&amp;DOC_NAME=FAT:FQL_AUDITING_CLIENT_TEMPLATE.FAT&amp;display_string=Audit&amp;VAR:KEY=ZKLCLEVEFC&amp;VAR:QUERY=RkZfRVBTX0JBU0lDKEFOTiwwLC05LFksUlAsVVNELE0p&amp;WINDOW=FIRST_POPUP&amp;HEIGHT=450&amp;WIDTH=450&amp;","START_MAXIMIZED=FALSE&amp;VAR:CALENDAR=US&amp;VAR:SYMBOL=B10LQP&amp;VAR:INDEX=4"}</definedName>
    <definedName name="_537__FDSAUDITLINK__" localSheetId="7" hidden="1">{"fdsup://directions/FAT Viewer?action=UPDATE&amp;creator=factset&amp;DYN_ARGS=TRUE&amp;DOC_NAME=FAT:FQL_AUDITING_CLIENT_TEMPLATE.FAT&amp;display_string=Audit&amp;VAR:KEY=ZKLCLEVEFC&amp;VAR:QUERY=RkZfRVBTX0JBU0lDKEFOTiwwLC05LFksUlAsVVNELE0p&amp;WINDOW=FIRST_POPUP&amp;HEIGHT=450&amp;WIDTH=450&amp;","START_MAXIMIZED=FALSE&amp;VAR:CALENDAR=US&amp;VAR:SYMBOL=B10LQP&amp;VAR:INDEX=4"}</definedName>
    <definedName name="_537__FDSAUDITLINK__" hidden="1">{"fdsup://directions/FAT Viewer?action=UPDATE&amp;creator=factset&amp;DYN_ARGS=TRUE&amp;DOC_NAME=FAT:FQL_AUDITING_CLIENT_TEMPLATE.FAT&amp;display_string=Audit&amp;VAR:KEY=ZKLCLEVEFC&amp;VAR:QUERY=RkZfRVBTX0JBU0lDKEFOTiwwLC05LFksUlAsVVNELE0p&amp;WINDOW=FIRST_POPUP&amp;HEIGHT=450&amp;WIDTH=450&amp;","START_MAXIMIZED=FALSE&amp;VAR:CALENDAR=US&amp;VAR:SYMBOL=B10LQP&amp;VAR:INDEX=4"}</definedName>
    <definedName name="_538__FDSAUDITLINK__" localSheetId="3" hidden="1">{"fdsup://directions/FAT Viewer?action=UPDATE&amp;creator=factset&amp;DYN_ARGS=TRUE&amp;DOC_NAME=FAT:FQL_AUDITING_CLIENT_TEMPLATE.FAT&amp;display_string=Audit&amp;VAR:KEY=ZKLCLEVEFC&amp;VAR:QUERY=RkZfRVBTX0JBU0lDKEFOTiwwLC05LFksUlAsVVNELE0p&amp;WINDOW=FIRST_POPUP&amp;HEIGHT=450&amp;WIDTH=450&amp;","START_MAXIMIZED=FALSE&amp;VAR:CALENDAR=US&amp;VAR:SYMBOL=B10LQP&amp;VAR:INDEX=3"}</definedName>
    <definedName name="_538__FDSAUDITLINK__" localSheetId="7" hidden="1">{"fdsup://directions/FAT Viewer?action=UPDATE&amp;creator=factset&amp;DYN_ARGS=TRUE&amp;DOC_NAME=FAT:FQL_AUDITING_CLIENT_TEMPLATE.FAT&amp;display_string=Audit&amp;VAR:KEY=ZKLCLEVEFC&amp;VAR:QUERY=RkZfRVBTX0JBU0lDKEFOTiwwLC05LFksUlAsVVNELE0p&amp;WINDOW=FIRST_POPUP&amp;HEIGHT=450&amp;WIDTH=450&amp;","START_MAXIMIZED=FALSE&amp;VAR:CALENDAR=US&amp;VAR:SYMBOL=B10LQP&amp;VAR:INDEX=3"}</definedName>
    <definedName name="_538__FDSAUDITLINK__" hidden="1">{"fdsup://directions/FAT Viewer?action=UPDATE&amp;creator=factset&amp;DYN_ARGS=TRUE&amp;DOC_NAME=FAT:FQL_AUDITING_CLIENT_TEMPLATE.FAT&amp;display_string=Audit&amp;VAR:KEY=ZKLCLEVEFC&amp;VAR:QUERY=RkZfRVBTX0JBU0lDKEFOTiwwLC05LFksUlAsVVNELE0p&amp;WINDOW=FIRST_POPUP&amp;HEIGHT=450&amp;WIDTH=450&amp;","START_MAXIMIZED=FALSE&amp;VAR:CALENDAR=US&amp;VAR:SYMBOL=B10LQP&amp;VAR:INDEX=3"}</definedName>
    <definedName name="_539__FDSAUDITLINK__" localSheetId="3" hidden="1">{"fdsup://directions/FAT Viewer?action=UPDATE&amp;creator=factset&amp;DYN_ARGS=TRUE&amp;DOC_NAME=FAT:FQL_AUDITING_CLIENT_TEMPLATE.FAT&amp;display_string=Audit&amp;VAR:KEY=ZKLCLEVEFC&amp;VAR:QUERY=RkZfRVBTX0JBU0lDKEFOTiwwLC05LFksUlAsVVNELE0p&amp;WINDOW=FIRST_POPUP&amp;HEIGHT=450&amp;WIDTH=450&amp;","START_MAXIMIZED=FALSE&amp;VAR:CALENDAR=US&amp;VAR:SYMBOL=B10LQP&amp;VAR:INDEX=2"}</definedName>
    <definedName name="_539__FDSAUDITLINK__" localSheetId="7" hidden="1">{"fdsup://directions/FAT Viewer?action=UPDATE&amp;creator=factset&amp;DYN_ARGS=TRUE&amp;DOC_NAME=FAT:FQL_AUDITING_CLIENT_TEMPLATE.FAT&amp;display_string=Audit&amp;VAR:KEY=ZKLCLEVEFC&amp;VAR:QUERY=RkZfRVBTX0JBU0lDKEFOTiwwLC05LFksUlAsVVNELE0p&amp;WINDOW=FIRST_POPUP&amp;HEIGHT=450&amp;WIDTH=450&amp;","START_MAXIMIZED=FALSE&amp;VAR:CALENDAR=US&amp;VAR:SYMBOL=B10LQP&amp;VAR:INDEX=2"}</definedName>
    <definedName name="_539__FDSAUDITLINK__" hidden="1">{"fdsup://directions/FAT Viewer?action=UPDATE&amp;creator=factset&amp;DYN_ARGS=TRUE&amp;DOC_NAME=FAT:FQL_AUDITING_CLIENT_TEMPLATE.FAT&amp;display_string=Audit&amp;VAR:KEY=ZKLCLEVEFC&amp;VAR:QUERY=RkZfRVBTX0JBU0lDKEFOTiwwLC05LFksUlAsVVNELE0p&amp;WINDOW=FIRST_POPUP&amp;HEIGHT=450&amp;WIDTH=450&amp;","START_MAXIMIZED=FALSE&amp;VAR:CALENDAR=US&amp;VAR:SYMBOL=B10LQP&amp;VAR:INDEX=2"}</definedName>
    <definedName name="_54__FDSAUDITLINK__" localSheetId="3" hidden="1">{"fdsup://directions/FAT Viewer?action=UPDATE&amp;creator=factset&amp;DYN_ARGS=TRUE&amp;DOC_NAME=FAT:FQL_AUDITING_CLIENT_TEMPLATE.FAT&amp;display_string=Audit&amp;VAR:KEY=CVUPKBMZKZ&amp;VAR:QUERY=RkZfTkVUX0lOQyhMVE0sMCwsLCwsTSk=&amp;WINDOW=FIRST_POPUP&amp;HEIGHT=450&amp;WIDTH=450&amp;START_MAXIMI","ZED=FALSE&amp;VAR:CALENDAR=US&amp;VAR:SYMBOL=B0D749&amp;VAR:INDEX=0"}</definedName>
    <definedName name="_54__FDSAUDITLINK__" localSheetId="7" hidden="1">{"fdsup://directions/FAT Viewer?action=UPDATE&amp;creator=factset&amp;DYN_ARGS=TRUE&amp;DOC_NAME=FAT:FQL_AUDITING_CLIENT_TEMPLATE.FAT&amp;display_string=Audit&amp;VAR:KEY=CVUPKBMZKZ&amp;VAR:QUERY=RkZfTkVUX0lOQyhMVE0sMCwsLCwsTSk=&amp;WINDOW=FIRST_POPUP&amp;HEIGHT=450&amp;WIDTH=450&amp;START_MAXIMI","ZED=FALSE&amp;VAR:CALENDAR=US&amp;VAR:SYMBOL=B0D749&amp;VAR:INDEX=0"}</definedName>
    <definedName name="_54__FDSAUDITLINK__" hidden="1">{"fdsup://directions/FAT Viewer?action=UPDATE&amp;creator=factset&amp;DYN_ARGS=TRUE&amp;DOC_NAME=FAT:FQL_AUDITING_CLIENT_TEMPLATE.FAT&amp;display_string=Audit&amp;VAR:KEY=CVUPKBMZKZ&amp;VAR:QUERY=RkZfTkVUX0lOQyhMVE0sMCwsLCwsTSk=&amp;WINDOW=FIRST_POPUP&amp;HEIGHT=450&amp;WIDTH=450&amp;START_MAXIMI","ZED=FALSE&amp;VAR:CALENDAR=US&amp;VAR:SYMBOL=B0D749&amp;VAR:INDEX=0"}</definedName>
    <definedName name="_540__FDSAUDITLINK__" localSheetId="3" hidden="1">{"fdsup://directions/FAT Viewer?action=UPDATE&amp;creator=factset&amp;DYN_ARGS=TRUE&amp;DOC_NAME=FAT:FQL_AUDITING_CLIENT_TEMPLATE.FAT&amp;display_string=Audit&amp;VAR:KEY=ZKLCLEVEFC&amp;VAR:QUERY=RkZfRVBTX0JBU0lDKEFOTiwwLC05LFksUlAsVVNELE0p&amp;WINDOW=FIRST_POPUP&amp;HEIGHT=450&amp;WIDTH=450&amp;","START_MAXIMIZED=FALSE&amp;VAR:CALENDAR=US&amp;VAR:SYMBOL=B10LQP&amp;VAR:INDEX=1"}</definedName>
    <definedName name="_540__FDSAUDITLINK__" localSheetId="7" hidden="1">{"fdsup://directions/FAT Viewer?action=UPDATE&amp;creator=factset&amp;DYN_ARGS=TRUE&amp;DOC_NAME=FAT:FQL_AUDITING_CLIENT_TEMPLATE.FAT&amp;display_string=Audit&amp;VAR:KEY=ZKLCLEVEFC&amp;VAR:QUERY=RkZfRVBTX0JBU0lDKEFOTiwwLC05LFksUlAsVVNELE0p&amp;WINDOW=FIRST_POPUP&amp;HEIGHT=450&amp;WIDTH=450&amp;","START_MAXIMIZED=FALSE&amp;VAR:CALENDAR=US&amp;VAR:SYMBOL=B10LQP&amp;VAR:INDEX=1"}</definedName>
    <definedName name="_540__FDSAUDITLINK__" hidden="1">{"fdsup://directions/FAT Viewer?action=UPDATE&amp;creator=factset&amp;DYN_ARGS=TRUE&amp;DOC_NAME=FAT:FQL_AUDITING_CLIENT_TEMPLATE.FAT&amp;display_string=Audit&amp;VAR:KEY=ZKLCLEVEFC&amp;VAR:QUERY=RkZfRVBTX0JBU0lDKEFOTiwwLC05LFksUlAsVVNELE0p&amp;WINDOW=FIRST_POPUP&amp;HEIGHT=450&amp;WIDTH=450&amp;","START_MAXIMIZED=FALSE&amp;VAR:CALENDAR=US&amp;VAR:SYMBOL=B10LQP&amp;VAR:INDEX=1"}</definedName>
    <definedName name="_541__FDSAUDITLINK__" localSheetId="3" hidden="1">{"fdsup://directions/FAT Viewer?action=UPDATE&amp;creator=factset&amp;DYN_ARGS=TRUE&amp;DOC_NAME=FAT:FQL_AUDITING_CLIENT_TEMPLATE.FAT&amp;display_string=Audit&amp;VAR:KEY=ZKLCLEVEFC&amp;VAR:QUERY=RkZfRVBTX0JBU0lDKEFOTiwwLC05LFksUlAsVVNELE0p&amp;WINDOW=FIRST_POPUP&amp;HEIGHT=450&amp;WIDTH=450&amp;","START_MAXIMIZED=FALSE&amp;VAR:CALENDAR=US&amp;VAR:SYMBOL=B10LQP&amp;VAR:INDEX=0"}</definedName>
    <definedName name="_541__FDSAUDITLINK__" localSheetId="7" hidden="1">{"fdsup://directions/FAT Viewer?action=UPDATE&amp;creator=factset&amp;DYN_ARGS=TRUE&amp;DOC_NAME=FAT:FQL_AUDITING_CLIENT_TEMPLATE.FAT&amp;display_string=Audit&amp;VAR:KEY=ZKLCLEVEFC&amp;VAR:QUERY=RkZfRVBTX0JBU0lDKEFOTiwwLC05LFksUlAsVVNELE0p&amp;WINDOW=FIRST_POPUP&amp;HEIGHT=450&amp;WIDTH=450&amp;","START_MAXIMIZED=FALSE&amp;VAR:CALENDAR=US&amp;VAR:SYMBOL=B10LQP&amp;VAR:INDEX=0"}</definedName>
    <definedName name="_541__FDSAUDITLINK__" hidden="1">{"fdsup://directions/FAT Viewer?action=UPDATE&amp;creator=factset&amp;DYN_ARGS=TRUE&amp;DOC_NAME=FAT:FQL_AUDITING_CLIENT_TEMPLATE.FAT&amp;display_string=Audit&amp;VAR:KEY=ZKLCLEVEFC&amp;VAR:QUERY=RkZfRVBTX0JBU0lDKEFOTiwwLC05LFksUlAsVVNELE0p&amp;WINDOW=FIRST_POPUP&amp;HEIGHT=450&amp;WIDTH=450&amp;","START_MAXIMIZED=FALSE&amp;VAR:CALENDAR=US&amp;VAR:SYMBOL=B10LQP&amp;VAR:INDEX=0"}</definedName>
    <definedName name="_542__FDSAUDITLINK__" localSheetId="3"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7"}</definedName>
    <definedName name="_542__FDSAUDITLINK__" localSheetId="7"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7"}</definedName>
    <definedName name="_542__FDSAUDITLINK__"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7"}</definedName>
    <definedName name="_543__FDSAUDITLINK__" localSheetId="3"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6"}</definedName>
    <definedName name="_543__FDSAUDITLINK__" localSheetId="7"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6"}</definedName>
    <definedName name="_543__FDSAUDITLINK__"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6"}</definedName>
    <definedName name="_544__FDSAUDITLINK__" localSheetId="3"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5"}</definedName>
    <definedName name="_544__FDSAUDITLINK__" localSheetId="7"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5"}</definedName>
    <definedName name="_544__FDSAUDITLINK__"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5"}</definedName>
    <definedName name="_545__FDSAUDITLINK__" localSheetId="3"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4"}</definedName>
    <definedName name="_545__FDSAUDITLINK__" localSheetId="7"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4"}</definedName>
    <definedName name="_545__FDSAUDITLINK__"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4"}</definedName>
    <definedName name="_546__FDSAUDITLINK__" localSheetId="3"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3"}</definedName>
    <definedName name="_546__FDSAUDITLINK__" localSheetId="7"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3"}</definedName>
    <definedName name="_546__FDSAUDITLINK__"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3"}</definedName>
    <definedName name="_547__FDSAUDITLINK__" localSheetId="3"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2"}</definedName>
    <definedName name="_547__FDSAUDITLINK__" localSheetId="7"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2"}</definedName>
    <definedName name="_547__FDSAUDITLINK__"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2"}</definedName>
    <definedName name="_548__FDSAUDITLINK__" localSheetId="3"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1"}</definedName>
    <definedName name="_548__FDSAUDITLINK__" localSheetId="7"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1"}</definedName>
    <definedName name="_548__FDSAUDITLINK__"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1"}</definedName>
    <definedName name="_549__FDSAUDITLINK__" localSheetId="3"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0"}</definedName>
    <definedName name="_549__FDSAUDITLINK__" localSheetId="7"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0"}</definedName>
    <definedName name="_549__FDSAUDITLINK__" hidden="1">{"fdsup://directions/FAT Viewer?action=UPDATE&amp;creator=factset&amp;DYN_ARGS=TRUE&amp;DOC_NAME=FAT:FQL_AUDITING_CLIENT_TEMPLATE.FAT&amp;display_string=Audit&amp;VAR:KEY=TSBIDWVCLW&amp;VAR:QUERY=RkZfRUJJVERBX09QRVIoQU5OLDAsLTksWSxSUCxVU0QsTSk=&amp;WINDOW=FIRST_POPUP&amp;HEIGHT=450&amp;WIDTH=","450&amp;START_MAXIMIZED=FALSE&amp;VAR:CALENDAR=US&amp;VAR:SYMBOL=B10LQP&amp;VAR:INDEX=0"}</definedName>
    <definedName name="_55__FDSAUDITLINK__" localSheetId="3" hidden="1">{"fdsup://directions/FAT Viewer?action=UPDATE&amp;creator=factset&amp;DYN_ARGS=TRUE&amp;DOC_NAME=FAT:FQL_AUDITING_CLIENT_TEMPLATE.FAT&amp;display_string=Audit&amp;VAR:KEY=QZGRMLIRUD&amp;VAR:QUERY=RkZfRUJJVERBX09QRVIoTFRNLDAsLCwsLE0p&amp;WINDOW=FIRST_POPUP&amp;HEIGHT=450&amp;WIDTH=450&amp;START_MA","XIMIZED=FALSE&amp;VAR:CALENDAR=US&amp;VAR:SYMBOL=B0D749&amp;VAR:INDEX=0"}</definedName>
    <definedName name="_55__FDSAUDITLINK__" localSheetId="7" hidden="1">{"fdsup://directions/FAT Viewer?action=UPDATE&amp;creator=factset&amp;DYN_ARGS=TRUE&amp;DOC_NAME=FAT:FQL_AUDITING_CLIENT_TEMPLATE.FAT&amp;display_string=Audit&amp;VAR:KEY=QZGRMLIRUD&amp;VAR:QUERY=RkZfRUJJVERBX09QRVIoTFRNLDAsLCwsLE0p&amp;WINDOW=FIRST_POPUP&amp;HEIGHT=450&amp;WIDTH=450&amp;START_MA","XIMIZED=FALSE&amp;VAR:CALENDAR=US&amp;VAR:SYMBOL=B0D749&amp;VAR:INDEX=0"}</definedName>
    <definedName name="_55__FDSAUDITLINK__" hidden="1">{"fdsup://directions/FAT Viewer?action=UPDATE&amp;creator=factset&amp;DYN_ARGS=TRUE&amp;DOC_NAME=FAT:FQL_AUDITING_CLIENT_TEMPLATE.FAT&amp;display_string=Audit&amp;VAR:KEY=QZGRMLIRUD&amp;VAR:QUERY=RkZfRUJJVERBX09QRVIoTFRNLDAsLCwsLE0p&amp;WINDOW=FIRST_POPUP&amp;HEIGHT=450&amp;WIDTH=450&amp;START_MA","XIMIZED=FALSE&amp;VAR:CALENDAR=US&amp;VAR:SYMBOL=B0D749&amp;VAR:INDEX=0"}</definedName>
    <definedName name="_550__FDSAUDITLINK__" localSheetId="3" hidden="1">{"fdsup://Directions/FactSet Auditing Viewer?action=AUDIT_VALUE&amp;DB=129&amp;ID1=B10LQP&amp;VALUEID=05192&amp;SDATE=2010&amp;PERIODTYPE=ANN_STD&amp;SCFT=3&amp;window=popup_no_bar&amp;width=385&amp;height=120&amp;START_MAXIMIZED=FALSE&amp;creator=factset&amp;display_string=Audit"}</definedName>
    <definedName name="_550__FDSAUDITLINK__" localSheetId="7" hidden="1">{"fdsup://Directions/FactSet Auditing Viewer?action=AUDIT_VALUE&amp;DB=129&amp;ID1=B10LQP&amp;VALUEID=05192&amp;SDATE=2010&amp;PERIODTYPE=ANN_STD&amp;SCFT=3&amp;window=popup_no_bar&amp;width=385&amp;height=120&amp;START_MAXIMIZED=FALSE&amp;creator=factset&amp;display_string=Audit"}</definedName>
    <definedName name="_550__FDSAUDITLINK__" hidden="1">{"fdsup://Directions/FactSet Auditing Viewer?action=AUDIT_VALUE&amp;DB=129&amp;ID1=B10LQP&amp;VALUEID=05192&amp;SDATE=2010&amp;PERIODTYPE=ANN_STD&amp;SCFT=3&amp;window=popup_no_bar&amp;width=385&amp;height=120&amp;START_MAXIMIZED=FALSE&amp;creator=factset&amp;display_string=Audit"}</definedName>
    <definedName name="_551__FDSAUDITLINK__" localSheetId="3" hidden="1">{"fdsup://Directions/FactSet Auditing Viewer?action=AUDIT_VALUE&amp;DB=129&amp;ID1=B10LQP&amp;VALUEID=05194&amp;SDATE=2011&amp;PERIODTYPE=ANN_STD&amp;SCFT=3&amp;window=popup_no_bar&amp;width=385&amp;height=120&amp;START_MAXIMIZED=FALSE&amp;creator=factset&amp;display_string=Audit"}</definedName>
    <definedName name="_551__FDSAUDITLINK__" localSheetId="7" hidden="1">{"fdsup://Directions/FactSet Auditing Viewer?action=AUDIT_VALUE&amp;DB=129&amp;ID1=B10LQP&amp;VALUEID=05194&amp;SDATE=2011&amp;PERIODTYPE=ANN_STD&amp;SCFT=3&amp;window=popup_no_bar&amp;width=385&amp;height=120&amp;START_MAXIMIZED=FALSE&amp;creator=factset&amp;display_string=Audit"}</definedName>
    <definedName name="_551__FDSAUDITLINK__" hidden="1">{"fdsup://Directions/FactSet Auditing Viewer?action=AUDIT_VALUE&amp;DB=129&amp;ID1=B10LQP&amp;VALUEID=05194&amp;SDATE=2011&amp;PERIODTYPE=ANN_STD&amp;SCFT=3&amp;window=popup_no_bar&amp;width=385&amp;height=120&amp;START_MAXIMIZED=FALSE&amp;creator=factset&amp;display_string=Audit"}</definedName>
    <definedName name="_552__FDSAUDITLINK__" localSheetId="3" hidden="1">{"fdsup://Directions/FactSet Auditing Viewer?action=AUDIT_VALUE&amp;DB=129&amp;ID1=B10LQP&amp;VALUEID=01001&amp;SDATE=2010&amp;PERIODTYPE=ANN_STD&amp;SCFT=3&amp;window=popup_no_bar&amp;width=385&amp;height=120&amp;START_MAXIMIZED=FALSE&amp;creator=factset&amp;display_string=Audit"}</definedName>
    <definedName name="_552__FDSAUDITLINK__" localSheetId="7" hidden="1">{"fdsup://Directions/FactSet Auditing Viewer?action=AUDIT_VALUE&amp;DB=129&amp;ID1=B10LQP&amp;VALUEID=01001&amp;SDATE=2010&amp;PERIODTYPE=ANN_STD&amp;SCFT=3&amp;window=popup_no_bar&amp;width=385&amp;height=120&amp;START_MAXIMIZED=FALSE&amp;creator=factset&amp;display_string=Audit"}</definedName>
    <definedName name="_552__FDSAUDITLINK__" hidden="1">{"fdsup://Directions/FactSet Auditing Viewer?action=AUDIT_VALUE&amp;DB=129&amp;ID1=B10LQP&amp;VALUEID=01001&amp;SDATE=2010&amp;PERIODTYPE=ANN_STD&amp;SCFT=3&amp;window=popup_no_bar&amp;width=385&amp;height=120&amp;START_MAXIMIZED=FALSE&amp;creator=factset&amp;display_string=Audit"}</definedName>
    <definedName name="_553__FDSAUDITLINK__" localSheetId="3" hidden="1">{"fdsup://Directions/FactSet Auditing Viewer?action=AUDIT_VALUE&amp;DB=129&amp;ID1=B10LQP&amp;VALUEID=01001&amp;SDATE=2011&amp;PERIODTYPE=ANN_STD&amp;SCFT=3&amp;window=popup_no_bar&amp;width=385&amp;height=120&amp;START_MAXIMIZED=FALSE&amp;creator=factset&amp;display_string=Audit"}</definedName>
    <definedName name="_553__FDSAUDITLINK__" localSheetId="7" hidden="1">{"fdsup://Directions/FactSet Auditing Viewer?action=AUDIT_VALUE&amp;DB=129&amp;ID1=B10LQP&amp;VALUEID=01001&amp;SDATE=2011&amp;PERIODTYPE=ANN_STD&amp;SCFT=3&amp;window=popup_no_bar&amp;width=385&amp;height=120&amp;START_MAXIMIZED=FALSE&amp;creator=factset&amp;display_string=Audit"}</definedName>
    <definedName name="_553__FDSAUDITLINK__" hidden="1">{"fdsup://Directions/FactSet Auditing Viewer?action=AUDIT_VALUE&amp;DB=129&amp;ID1=B10LQP&amp;VALUEID=01001&amp;SDATE=2011&amp;PERIODTYPE=ANN_STD&amp;SCFT=3&amp;window=popup_no_bar&amp;width=385&amp;height=120&amp;START_MAXIMIZED=FALSE&amp;creator=factset&amp;display_string=Audit"}</definedName>
    <definedName name="_554__FDSAUDITLINK__" localSheetId="3"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7"}</definedName>
    <definedName name="_554__FDSAUDITLINK__" localSheetId="7"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7"}</definedName>
    <definedName name="_554__FDSAUDITLINK__"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7"}</definedName>
    <definedName name="_555__FDSAUDITLINK__" localSheetId="3"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6"}</definedName>
    <definedName name="_555__FDSAUDITLINK__" localSheetId="7"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6"}</definedName>
    <definedName name="_555__FDSAUDITLINK__"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6"}</definedName>
    <definedName name="_556__FDSAUDITLINK__" localSheetId="3"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5"}</definedName>
    <definedName name="_556__FDSAUDITLINK__" localSheetId="7"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5"}</definedName>
    <definedName name="_556__FDSAUDITLINK__"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5"}</definedName>
    <definedName name="_557__FDSAUDITLINK__" localSheetId="3"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4"}</definedName>
    <definedName name="_557__FDSAUDITLINK__" localSheetId="7"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4"}</definedName>
    <definedName name="_557__FDSAUDITLINK__"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4"}</definedName>
    <definedName name="_558__FDSAUDITLINK__" localSheetId="3"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3"}</definedName>
    <definedName name="_558__FDSAUDITLINK__" localSheetId="7"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3"}</definedName>
    <definedName name="_558__FDSAUDITLINK__"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3"}</definedName>
    <definedName name="_559__FDSAUDITLINK__" localSheetId="3"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2"}</definedName>
    <definedName name="_559__FDSAUDITLINK__" localSheetId="7"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2"}</definedName>
    <definedName name="_559__FDSAUDITLINK__"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2"}</definedName>
    <definedName name="_56__FDSAUDITLINK__" localSheetId="3" hidden="1">{"fdsup://directions/FAT Viewer?action=UPDATE&amp;creator=factset&amp;DYN_ARGS=TRUE&amp;DOC_NAME=FAT:FQL_AUDITING_CLIENT_TEMPLATE.FAT&amp;display_string=Audit&amp;VAR:KEY=ODSPWPYBET&amp;VAR:QUERY=RkZfU0FMRVMoTFRNLDAsLCwsLE0p&amp;WINDOW=FIRST_POPUP&amp;HEIGHT=450&amp;WIDTH=450&amp;START_MAXIMIZED=","FALSE&amp;VAR:CALENDAR=US&amp;VAR:SYMBOL=B0D749&amp;VAR:INDEX=0"}</definedName>
    <definedName name="_56__FDSAUDITLINK__" localSheetId="7" hidden="1">{"fdsup://directions/FAT Viewer?action=UPDATE&amp;creator=factset&amp;DYN_ARGS=TRUE&amp;DOC_NAME=FAT:FQL_AUDITING_CLIENT_TEMPLATE.FAT&amp;display_string=Audit&amp;VAR:KEY=ODSPWPYBET&amp;VAR:QUERY=RkZfU0FMRVMoTFRNLDAsLCwsLE0p&amp;WINDOW=FIRST_POPUP&amp;HEIGHT=450&amp;WIDTH=450&amp;START_MAXIMIZED=","FALSE&amp;VAR:CALENDAR=US&amp;VAR:SYMBOL=B0D749&amp;VAR:INDEX=0"}</definedName>
    <definedName name="_56__FDSAUDITLINK__" hidden="1">{"fdsup://directions/FAT Viewer?action=UPDATE&amp;creator=factset&amp;DYN_ARGS=TRUE&amp;DOC_NAME=FAT:FQL_AUDITING_CLIENT_TEMPLATE.FAT&amp;display_string=Audit&amp;VAR:KEY=ODSPWPYBET&amp;VAR:QUERY=RkZfU0FMRVMoTFRNLDAsLCwsLE0p&amp;WINDOW=FIRST_POPUP&amp;HEIGHT=450&amp;WIDTH=450&amp;START_MAXIMIZED=","FALSE&amp;VAR:CALENDAR=US&amp;VAR:SYMBOL=B0D749&amp;VAR:INDEX=0"}</definedName>
    <definedName name="_560__FDSAUDITLINK__" localSheetId="3"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1"}</definedName>
    <definedName name="_560__FDSAUDITLINK__" localSheetId="7"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1"}</definedName>
    <definedName name="_560__FDSAUDITLINK__"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1"}</definedName>
    <definedName name="_561__FDSAUDITLINK__" localSheetId="3"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0"}</definedName>
    <definedName name="_561__FDSAUDITLINK__" localSheetId="7"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0"}</definedName>
    <definedName name="_561__FDSAUDITLINK__"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0"}</definedName>
    <definedName name="_562__FDSAUDITLINK__" localSheetId="3"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7"}</definedName>
    <definedName name="_562__FDSAUDITLINK__" localSheetId="7"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7"}</definedName>
    <definedName name="_562__FDSAUDITLINK__"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7"}</definedName>
    <definedName name="_563__FDSAUDITLINK__" localSheetId="3"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6"}</definedName>
    <definedName name="_563__FDSAUDITLINK__" localSheetId="7"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6"}</definedName>
    <definedName name="_563__FDSAUDITLINK__"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6"}</definedName>
    <definedName name="_564__FDSAUDITLINK__" localSheetId="3"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5"}</definedName>
    <definedName name="_564__FDSAUDITLINK__" localSheetId="7"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5"}</definedName>
    <definedName name="_564__FDSAUDITLINK__"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5"}</definedName>
    <definedName name="_565__FDSAUDITLINK__" localSheetId="3"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4"}</definedName>
    <definedName name="_565__FDSAUDITLINK__" localSheetId="7"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4"}</definedName>
    <definedName name="_565__FDSAUDITLINK__"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4"}</definedName>
    <definedName name="_566__FDSAUDITLINK__" localSheetId="3"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3"}</definedName>
    <definedName name="_566__FDSAUDITLINK__" localSheetId="7"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3"}</definedName>
    <definedName name="_566__FDSAUDITLINK__"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3"}</definedName>
    <definedName name="_567__FDSAUDITLINK__" localSheetId="3"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2"}</definedName>
    <definedName name="_567__FDSAUDITLINK__" localSheetId="7"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2"}</definedName>
    <definedName name="_567__FDSAUDITLINK__"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2"}</definedName>
    <definedName name="_568__FDSAUDITLINK__" localSheetId="3"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1"}</definedName>
    <definedName name="_568__FDSAUDITLINK__" localSheetId="7"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1"}</definedName>
    <definedName name="_568__FDSAUDITLINK__"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1"}</definedName>
    <definedName name="_569__FDSAUDITLINK__" localSheetId="3"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0"}</definedName>
    <definedName name="_569__FDSAUDITLINK__" localSheetId="7"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0"}</definedName>
    <definedName name="_569__FDSAUDITLINK__" hidden="1">{"fdsup://directions/FAT Viewer?action=UPDATE&amp;creator=factset&amp;DYN_ARGS=TRUE&amp;DOC_NAME=FAT:FQL_AUDITING_CLIENT_TEMPLATE.FAT&amp;display_string=Audit&amp;VAR:KEY=VCLIXGZGLG&amp;VAR:QUERY=RkZfRVBTX0RJTF9CRUZfVU5VU1VBTChBTk4sMCwtOSxZLFJQLFVTRCxNKQ==&amp;WINDOW=FIRST_POPUP&amp;HEIGH","T=450&amp;WIDTH=450&amp;START_MAXIMIZED=FALSE&amp;VAR:CALENDAR=US&amp;VAR:SYMBOL=B10LQP&amp;VAR:INDEX=0"}</definedName>
    <definedName name="_57__FDSAUDITLINK__" localSheetId="3" hidden="1">{"fdsup://directions/FAT Viewer?action=UPDATE&amp;creator=factset&amp;DYN_ARGS=TRUE&amp;DOC_NAME=FAT:FQL_AUDITING_CLIENT_TEMPLATE.FAT&amp;display_string=Audit&amp;VAR:KEY=QXIBGXUFIT&amp;VAR:QUERY=RkZfTkVUX0lOQyhMVE0sMCwsLCwsTSk=&amp;WINDOW=FIRST_POPUP&amp;HEIGHT=450&amp;WIDTH=450&amp;START_MAXIMI","ZED=FALSE&amp;VAR:CALENDAR=US&amp;VAR:SYMBOL=220015&amp;VAR:INDEX=0"}</definedName>
    <definedName name="_57__FDSAUDITLINK__" localSheetId="7" hidden="1">{"fdsup://directions/FAT Viewer?action=UPDATE&amp;creator=factset&amp;DYN_ARGS=TRUE&amp;DOC_NAME=FAT:FQL_AUDITING_CLIENT_TEMPLATE.FAT&amp;display_string=Audit&amp;VAR:KEY=QXIBGXUFIT&amp;VAR:QUERY=RkZfTkVUX0lOQyhMVE0sMCwsLCwsTSk=&amp;WINDOW=FIRST_POPUP&amp;HEIGHT=450&amp;WIDTH=450&amp;START_MAXIMI","ZED=FALSE&amp;VAR:CALENDAR=US&amp;VAR:SYMBOL=220015&amp;VAR:INDEX=0"}</definedName>
    <definedName name="_57__FDSAUDITLINK__" hidden="1">{"fdsup://directions/FAT Viewer?action=UPDATE&amp;creator=factset&amp;DYN_ARGS=TRUE&amp;DOC_NAME=FAT:FQL_AUDITING_CLIENT_TEMPLATE.FAT&amp;display_string=Audit&amp;VAR:KEY=QXIBGXUFIT&amp;VAR:QUERY=RkZfTkVUX0lOQyhMVE0sMCwsLCwsTSk=&amp;WINDOW=FIRST_POPUP&amp;HEIGHT=450&amp;WIDTH=450&amp;START_MAXIMI","ZED=FALSE&amp;VAR:CALENDAR=US&amp;VAR:SYMBOL=220015&amp;VAR:INDEX=0"}</definedName>
    <definedName name="_570__FDSAUDITLINK__" localSheetId="3" hidden="1">{"fdsup://directions/FAT Viewer?action=UPDATE&amp;creator=factset&amp;DYN_ARGS=TRUE&amp;DOC_NAME=FAT:FQL_AUDITING_CLIENT_TEMPLATE.FAT&amp;display_string=Audit&amp;VAR:KEY=ZUFEZAZITE&amp;VAR:QUERY=RkZfRVBTX0RJTChBTk4sMCwtOSxZLFJQLFVTRCxNKQ==&amp;WINDOW=FIRST_POPUP&amp;HEIGHT=450&amp;WIDTH=450&amp;","START_MAXIMIZED=FALSE&amp;VAR:CALENDAR=US&amp;VAR:SYMBOL=B10LQP&amp;VAR:INDEX=2"}</definedName>
    <definedName name="_570__FDSAUDITLINK__" localSheetId="7" hidden="1">{"fdsup://directions/FAT Viewer?action=UPDATE&amp;creator=factset&amp;DYN_ARGS=TRUE&amp;DOC_NAME=FAT:FQL_AUDITING_CLIENT_TEMPLATE.FAT&amp;display_string=Audit&amp;VAR:KEY=ZUFEZAZITE&amp;VAR:QUERY=RkZfRVBTX0RJTChBTk4sMCwtOSxZLFJQLFVTRCxNKQ==&amp;WINDOW=FIRST_POPUP&amp;HEIGHT=450&amp;WIDTH=450&amp;","START_MAXIMIZED=FALSE&amp;VAR:CALENDAR=US&amp;VAR:SYMBOL=B10LQP&amp;VAR:INDEX=2"}</definedName>
    <definedName name="_570__FDSAUDITLINK__" hidden="1">{"fdsup://directions/FAT Viewer?action=UPDATE&amp;creator=factset&amp;DYN_ARGS=TRUE&amp;DOC_NAME=FAT:FQL_AUDITING_CLIENT_TEMPLATE.FAT&amp;display_string=Audit&amp;VAR:KEY=ZUFEZAZITE&amp;VAR:QUERY=RkZfRVBTX0RJTChBTk4sMCwtOSxZLFJQLFVTRCxNKQ==&amp;WINDOW=FIRST_POPUP&amp;HEIGHT=450&amp;WIDTH=450&amp;","START_MAXIMIZED=FALSE&amp;VAR:CALENDAR=US&amp;VAR:SYMBOL=B10LQP&amp;VAR:INDEX=2"}</definedName>
    <definedName name="_571__FDSAUDITLINK__" localSheetId="3" hidden="1">{"fdsup://directions/FAT Viewer?action=UPDATE&amp;creator=factset&amp;DYN_ARGS=TRUE&amp;DOC_NAME=FAT:FQL_AUDITING_CLIENT_TEMPLATE.FAT&amp;display_string=Audit&amp;VAR:KEY=ZUFEZAZITE&amp;VAR:QUERY=RkZfRVBTX0RJTChBTk4sMCwtOSxZLFJQLFVTRCxNKQ==&amp;WINDOW=FIRST_POPUP&amp;HEIGHT=450&amp;WIDTH=450&amp;","START_MAXIMIZED=FALSE&amp;VAR:CALENDAR=US&amp;VAR:SYMBOL=B10LQP&amp;VAR:INDEX=1"}</definedName>
    <definedName name="_571__FDSAUDITLINK__" localSheetId="7" hidden="1">{"fdsup://directions/FAT Viewer?action=UPDATE&amp;creator=factset&amp;DYN_ARGS=TRUE&amp;DOC_NAME=FAT:FQL_AUDITING_CLIENT_TEMPLATE.FAT&amp;display_string=Audit&amp;VAR:KEY=ZUFEZAZITE&amp;VAR:QUERY=RkZfRVBTX0RJTChBTk4sMCwtOSxZLFJQLFVTRCxNKQ==&amp;WINDOW=FIRST_POPUP&amp;HEIGHT=450&amp;WIDTH=450&amp;","START_MAXIMIZED=FALSE&amp;VAR:CALENDAR=US&amp;VAR:SYMBOL=B10LQP&amp;VAR:INDEX=1"}</definedName>
    <definedName name="_571__FDSAUDITLINK__" hidden="1">{"fdsup://directions/FAT Viewer?action=UPDATE&amp;creator=factset&amp;DYN_ARGS=TRUE&amp;DOC_NAME=FAT:FQL_AUDITING_CLIENT_TEMPLATE.FAT&amp;display_string=Audit&amp;VAR:KEY=ZUFEZAZITE&amp;VAR:QUERY=RkZfRVBTX0RJTChBTk4sMCwtOSxZLFJQLFVTRCxNKQ==&amp;WINDOW=FIRST_POPUP&amp;HEIGHT=450&amp;WIDTH=450&amp;","START_MAXIMIZED=FALSE&amp;VAR:CALENDAR=US&amp;VAR:SYMBOL=B10LQP&amp;VAR:INDEX=1"}</definedName>
    <definedName name="_572__FDSAUDITLINK__" localSheetId="3" hidden="1">{"fdsup://directions/FAT Viewer?action=UPDATE&amp;creator=factset&amp;DYN_ARGS=TRUE&amp;DOC_NAME=FAT:FQL_AUDITING_CLIENT_TEMPLATE.FAT&amp;display_string=Audit&amp;VAR:KEY=ZUFEZAZITE&amp;VAR:QUERY=RkZfRVBTX0RJTChBTk4sMCwtOSxZLFJQLFVTRCxNKQ==&amp;WINDOW=FIRST_POPUP&amp;HEIGHT=450&amp;WIDTH=450&amp;","START_MAXIMIZED=FALSE&amp;VAR:CALENDAR=US&amp;VAR:SYMBOL=B10LQP&amp;VAR:INDEX=0"}</definedName>
    <definedName name="_572__FDSAUDITLINK__" localSheetId="7" hidden="1">{"fdsup://directions/FAT Viewer?action=UPDATE&amp;creator=factset&amp;DYN_ARGS=TRUE&amp;DOC_NAME=FAT:FQL_AUDITING_CLIENT_TEMPLATE.FAT&amp;display_string=Audit&amp;VAR:KEY=ZUFEZAZITE&amp;VAR:QUERY=RkZfRVBTX0RJTChBTk4sMCwtOSxZLFJQLFVTRCxNKQ==&amp;WINDOW=FIRST_POPUP&amp;HEIGHT=450&amp;WIDTH=450&amp;","START_MAXIMIZED=FALSE&amp;VAR:CALENDAR=US&amp;VAR:SYMBOL=B10LQP&amp;VAR:INDEX=0"}</definedName>
    <definedName name="_572__FDSAUDITLINK__" hidden="1">{"fdsup://directions/FAT Viewer?action=UPDATE&amp;creator=factset&amp;DYN_ARGS=TRUE&amp;DOC_NAME=FAT:FQL_AUDITING_CLIENT_TEMPLATE.FAT&amp;display_string=Audit&amp;VAR:KEY=ZUFEZAZITE&amp;VAR:QUERY=RkZfRVBTX0RJTChBTk4sMCwtOSxZLFJQLFVTRCxNKQ==&amp;WINDOW=FIRST_POPUP&amp;HEIGHT=450&amp;WIDTH=450&amp;","START_MAXIMIZED=FALSE&amp;VAR:CALENDAR=US&amp;VAR:SYMBOL=B10LQP&amp;VAR:INDEX=0"}</definedName>
    <definedName name="_573__FDSAUDITLINK__" localSheetId="3"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7"}</definedName>
    <definedName name="_573__FDSAUDITLINK__" localSheetId="7"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7"}</definedName>
    <definedName name="_573__FDSAUDITLINK__"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7"}</definedName>
    <definedName name="_574__FDSAUDITLINK__" localSheetId="3"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6"}</definedName>
    <definedName name="_574__FDSAUDITLINK__" localSheetId="7"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6"}</definedName>
    <definedName name="_574__FDSAUDITLINK__"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6"}</definedName>
    <definedName name="_575__FDSAUDITLINK__" localSheetId="3"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5"}</definedName>
    <definedName name="_575__FDSAUDITLINK__" localSheetId="7"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5"}</definedName>
    <definedName name="_575__FDSAUDITLINK__"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5"}</definedName>
    <definedName name="_576__FDSAUDITLINK__" localSheetId="3"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4"}</definedName>
    <definedName name="_576__FDSAUDITLINK__" localSheetId="7"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4"}</definedName>
    <definedName name="_576__FDSAUDITLINK__"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4"}</definedName>
    <definedName name="_577__FDSAUDITLINK__" localSheetId="3"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3"}</definedName>
    <definedName name="_577__FDSAUDITLINK__" localSheetId="7"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3"}</definedName>
    <definedName name="_577__FDSAUDITLINK__"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3"}</definedName>
    <definedName name="_578__FDSAUDITLINK__" localSheetId="3"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2"}</definedName>
    <definedName name="_578__FDSAUDITLINK__" localSheetId="7"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2"}</definedName>
    <definedName name="_578__FDSAUDITLINK__"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2"}</definedName>
    <definedName name="_579__FDSAUDITLINK__" localSheetId="3"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1"}</definedName>
    <definedName name="_579__FDSAUDITLINK__" localSheetId="7"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1"}</definedName>
    <definedName name="_579__FDSAUDITLINK__"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1"}</definedName>
    <definedName name="_58__FDSAUDITLINK__" localSheetId="3" hidden="1">{"fdsup://directions/FAT Viewer?action=UPDATE&amp;creator=factset&amp;DYN_ARGS=TRUE&amp;DOC_NAME=FAT:FQL_AUDITING_CLIENT_TEMPLATE.FAT&amp;display_string=Audit&amp;VAR:KEY=YLWDAPYTMT&amp;VAR:QUERY=RkZfRUJJVERBX09QRVIoTFRNLDAsLCwsLE0p&amp;WINDOW=FIRST_POPUP&amp;HEIGHT=450&amp;WIDTH=450&amp;START_MA","XIMIZED=FALSE&amp;VAR:CALENDAR=US&amp;VAR:SYMBOL=220015&amp;VAR:INDEX=0"}</definedName>
    <definedName name="_58__FDSAUDITLINK__" localSheetId="7" hidden="1">{"fdsup://directions/FAT Viewer?action=UPDATE&amp;creator=factset&amp;DYN_ARGS=TRUE&amp;DOC_NAME=FAT:FQL_AUDITING_CLIENT_TEMPLATE.FAT&amp;display_string=Audit&amp;VAR:KEY=YLWDAPYTMT&amp;VAR:QUERY=RkZfRUJJVERBX09QRVIoTFRNLDAsLCwsLE0p&amp;WINDOW=FIRST_POPUP&amp;HEIGHT=450&amp;WIDTH=450&amp;START_MA","XIMIZED=FALSE&amp;VAR:CALENDAR=US&amp;VAR:SYMBOL=220015&amp;VAR:INDEX=0"}</definedName>
    <definedName name="_58__FDSAUDITLINK__" hidden="1">{"fdsup://directions/FAT Viewer?action=UPDATE&amp;creator=factset&amp;DYN_ARGS=TRUE&amp;DOC_NAME=FAT:FQL_AUDITING_CLIENT_TEMPLATE.FAT&amp;display_string=Audit&amp;VAR:KEY=YLWDAPYTMT&amp;VAR:QUERY=RkZfRUJJVERBX09QRVIoTFRNLDAsLCwsLE0p&amp;WINDOW=FIRST_POPUP&amp;HEIGHT=450&amp;WIDTH=450&amp;START_MA","XIMIZED=FALSE&amp;VAR:CALENDAR=US&amp;VAR:SYMBOL=220015&amp;VAR:INDEX=0"}</definedName>
    <definedName name="_580__FDSAUDITLINK__" localSheetId="3"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0"}</definedName>
    <definedName name="_580__FDSAUDITLINK__" localSheetId="7"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0"}</definedName>
    <definedName name="_580__FDSAUDITLINK__" hidden="1">{"fdsup://directions/FAT Viewer?action=UPDATE&amp;creator=factset&amp;DYN_ARGS=TRUE&amp;DOC_NAME=FAT:FQL_AUDITING_CLIENT_TEMPLATE.FAT&amp;display_string=Audit&amp;VAR:KEY=GDUZQRGJSR&amp;VAR:QUERY=RkZfRUJJVF9PUEVSKEFOTiwwLC05LFksUlAsVVNELE0p&amp;WINDOW=FIRST_POPUP&amp;HEIGHT=450&amp;WIDTH=450&amp;","START_MAXIMIZED=FALSE&amp;VAR:CALENDAR=US&amp;VAR:SYMBOL=B10LQP&amp;VAR:INDEX=0"}</definedName>
    <definedName name="_581__FDSAUDITLINK__" localSheetId="3" hidden="1">{"fdsup://Directions/FactSet Auditing Viewer?action=AUDIT_VALUE&amp;DB=129&amp;ID1=B10LQP&amp;VALUEID=18140&amp;SDATE=2010&amp;PERIODTYPE=ANN_STD&amp;SCFT=3&amp;window=popup_no_bar&amp;width=385&amp;height=120&amp;START_MAXIMIZED=FALSE&amp;creator=factset&amp;display_string=Audit"}</definedName>
    <definedName name="_581__FDSAUDITLINK__" localSheetId="7" hidden="1">{"fdsup://Directions/FactSet Auditing Viewer?action=AUDIT_VALUE&amp;DB=129&amp;ID1=B10LQP&amp;VALUEID=18140&amp;SDATE=2010&amp;PERIODTYPE=ANN_STD&amp;SCFT=3&amp;window=popup_no_bar&amp;width=385&amp;height=120&amp;START_MAXIMIZED=FALSE&amp;creator=factset&amp;display_string=Audit"}</definedName>
    <definedName name="_581__FDSAUDITLINK__" hidden="1">{"fdsup://Directions/FactSet Auditing Viewer?action=AUDIT_VALUE&amp;DB=129&amp;ID1=B10LQP&amp;VALUEID=18140&amp;SDATE=2010&amp;PERIODTYPE=ANN_STD&amp;SCFT=3&amp;window=popup_no_bar&amp;width=385&amp;height=120&amp;START_MAXIMIZED=FALSE&amp;creator=factset&amp;display_string=Audit"}</definedName>
    <definedName name="_582__FDSAUDITLINK__" localSheetId="3" hidden="1">{"fdsup://Directions/FactSet Auditing Viewer?action=AUDIT_VALUE&amp;DB=129&amp;ID1=B10LQP&amp;VALUEID=05192&amp;SDATE=2011&amp;PERIODTYPE=ANN_STD&amp;SCFT=3&amp;window=popup_no_bar&amp;width=385&amp;height=120&amp;START_MAXIMIZED=FALSE&amp;creator=factset&amp;display_string=Audit"}</definedName>
    <definedName name="_582__FDSAUDITLINK__" localSheetId="7" hidden="1">{"fdsup://Directions/FactSet Auditing Viewer?action=AUDIT_VALUE&amp;DB=129&amp;ID1=B10LQP&amp;VALUEID=05192&amp;SDATE=2011&amp;PERIODTYPE=ANN_STD&amp;SCFT=3&amp;window=popup_no_bar&amp;width=385&amp;height=120&amp;START_MAXIMIZED=FALSE&amp;creator=factset&amp;display_string=Audit"}</definedName>
    <definedName name="_582__FDSAUDITLINK__" hidden="1">{"fdsup://Directions/FactSet Auditing Viewer?action=AUDIT_VALUE&amp;DB=129&amp;ID1=B10LQP&amp;VALUEID=05192&amp;SDATE=2011&amp;PERIODTYPE=ANN_STD&amp;SCFT=3&amp;window=popup_no_bar&amp;width=385&amp;height=120&amp;START_MAXIMIZED=FALSE&amp;creator=factset&amp;display_string=Audit"}</definedName>
    <definedName name="_583__FDSAUDITLINK__" localSheetId="3" hidden="1">{"fdsup://directions/FAT Viewer?action=UPDATE&amp;creator=factset&amp;DYN_ARGS=TRUE&amp;DOC_NAME=FAT:FQL_AUDITING_CLIENT_TEMPLATE.FAT&amp;display_string=Audit&amp;VAR:KEY=MRCHQLQBEV&amp;VAR:QUERY=RkZfTkVUX0lOQyhMVE0sMCk=&amp;WINDOW=FIRST_POPUP&amp;HEIGHT=450&amp;WIDTH=450&amp;START_MAXIMIZED=FALS","E&amp;VAR:CALENDAR=US&amp;VAR:SYMBOL=79466L30&amp;VAR:INDEX=0"}</definedName>
    <definedName name="_583__FDSAUDITLINK__" localSheetId="7" hidden="1">{"fdsup://directions/FAT Viewer?action=UPDATE&amp;creator=factset&amp;DYN_ARGS=TRUE&amp;DOC_NAME=FAT:FQL_AUDITING_CLIENT_TEMPLATE.FAT&amp;display_string=Audit&amp;VAR:KEY=MRCHQLQBEV&amp;VAR:QUERY=RkZfTkVUX0lOQyhMVE0sMCk=&amp;WINDOW=FIRST_POPUP&amp;HEIGHT=450&amp;WIDTH=450&amp;START_MAXIMIZED=FALS","E&amp;VAR:CALENDAR=US&amp;VAR:SYMBOL=79466L30&amp;VAR:INDEX=0"}</definedName>
    <definedName name="_583__FDSAUDITLINK__" hidden="1">{"fdsup://directions/FAT Viewer?action=UPDATE&amp;creator=factset&amp;DYN_ARGS=TRUE&amp;DOC_NAME=FAT:FQL_AUDITING_CLIENT_TEMPLATE.FAT&amp;display_string=Audit&amp;VAR:KEY=MRCHQLQBEV&amp;VAR:QUERY=RkZfTkVUX0lOQyhMVE0sMCk=&amp;WINDOW=FIRST_POPUP&amp;HEIGHT=450&amp;WIDTH=450&amp;START_MAXIMIZED=FALS","E&amp;VAR:CALENDAR=US&amp;VAR:SYMBOL=79466L30&amp;VAR:INDEX=0"}</definedName>
    <definedName name="_584__FDSAUDITLINK__" localSheetId="3" hidden="1">{"fdsup://directions/FAT Viewer?action=UPDATE&amp;creator=factset&amp;DYN_ARGS=TRUE&amp;DOC_NAME=FAT:FQL_AUDITING_CLIENT_TEMPLATE.FAT&amp;display_string=Audit&amp;VAR:KEY=FYNCPUBYJQ&amp;VAR:QUERY=RkZfTkVUX0lOQyhMVE0sMCk=&amp;WINDOW=FIRST_POPUP&amp;HEIGHT=450&amp;WIDTH=450&amp;START_MAXIMIZED=FALS","E&amp;VAR:CALENDAR=US&amp;VAR:SYMBOL=07327110&amp;VAR:INDEX=0"}</definedName>
    <definedName name="_584__FDSAUDITLINK__" localSheetId="7" hidden="1">{"fdsup://directions/FAT Viewer?action=UPDATE&amp;creator=factset&amp;DYN_ARGS=TRUE&amp;DOC_NAME=FAT:FQL_AUDITING_CLIENT_TEMPLATE.FAT&amp;display_string=Audit&amp;VAR:KEY=FYNCPUBYJQ&amp;VAR:QUERY=RkZfTkVUX0lOQyhMVE0sMCk=&amp;WINDOW=FIRST_POPUP&amp;HEIGHT=450&amp;WIDTH=450&amp;START_MAXIMIZED=FALS","E&amp;VAR:CALENDAR=US&amp;VAR:SYMBOL=07327110&amp;VAR:INDEX=0"}</definedName>
    <definedName name="_584__FDSAUDITLINK__" hidden="1">{"fdsup://directions/FAT Viewer?action=UPDATE&amp;creator=factset&amp;DYN_ARGS=TRUE&amp;DOC_NAME=FAT:FQL_AUDITING_CLIENT_TEMPLATE.FAT&amp;display_string=Audit&amp;VAR:KEY=FYNCPUBYJQ&amp;VAR:QUERY=RkZfTkVUX0lOQyhMVE0sMCk=&amp;WINDOW=FIRST_POPUP&amp;HEIGHT=450&amp;WIDTH=450&amp;START_MAXIMIZED=FALS","E&amp;VAR:CALENDAR=US&amp;VAR:SYMBOL=07327110&amp;VAR:INDEX=0"}</definedName>
    <definedName name="_585__FDSAUDITLINK__" localSheetId="3" hidden="1">{"fdsup://directions/FAT Viewer?action=UPDATE&amp;creator=factset&amp;DYN_ARGS=TRUE&amp;DOC_NAME=FAT:FQL_AUDITING_CLIENT_TEMPLATE.FAT&amp;display_string=Audit&amp;VAR:KEY=MLMFKHUFYN&amp;VAR:QUERY=RkZfTkVUX0lOQyhMVE0sMCk=&amp;WINDOW=FIRST_POPUP&amp;HEIGHT=450&amp;WIDTH=450&amp;START_MAXIMIZED=FALS","E&amp;VAR:CALENDAR=US&amp;VAR:SYMBOL=24802Y10&amp;VAR:INDEX=0"}</definedName>
    <definedName name="_585__FDSAUDITLINK__" localSheetId="7" hidden="1">{"fdsup://directions/FAT Viewer?action=UPDATE&amp;creator=factset&amp;DYN_ARGS=TRUE&amp;DOC_NAME=FAT:FQL_AUDITING_CLIENT_TEMPLATE.FAT&amp;display_string=Audit&amp;VAR:KEY=MLMFKHUFYN&amp;VAR:QUERY=RkZfTkVUX0lOQyhMVE0sMCk=&amp;WINDOW=FIRST_POPUP&amp;HEIGHT=450&amp;WIDTH=450&amp;START_MAXIMIZED=FALS","E&amp;VAR:CALENDAR=US&amp;VAR:SYMBOL=24802Y10&amp;VAR:INDEX=0"}</definedName>
    <definedName name="_585__FDSAUDITLINK__" hidden="1">{"fdsup://directions/FAT Viewer?action=UPDATE&amp;creator=factset&amp;DYN_ARGS=TRUE&amp;DOC_NAME=FAT:FQL_AUDITING_CLIENT_TEMPLATE.FAT&amp;display_string=Audit&amp;VAR:KEY=MLMFKHUFYN&amp;VAR:QUERY=RkZfTkVUX0lOQyhMVE0sMCk=&amp;WINDOW=FIRST_POPUP&amp;HEIGHT=450&amp;WIDTH=450&amp;START_MAXIMIZED=FALS","E&amp;VAR:CALENDAR=US&amp;VAR:SYMBOL=24802Y10&amp;VAR:INDEX=0"}</definedName>
    <definedName name="_586__FDSAUDITLINK__" localSheetId="3" hidden="1">{"fdsup://directions/FAT Viewer?action=UPDATE&amp;creator=factset&amp;DYN_ARGS=TRUE&amp;DOC_NAME=FAT:FQL_AUDITING_CLIENT_TEMPLATE.FAT&amp;display_string=Audit&amp;VAR:KEY=ZYLMPCDKLE&amp;VAR:QUERY=RkZfTkVUX0lOQyhMVE0sMCk=&amp;WINDOW=FIRST_POPUP&amp;HEIGHT=450&amp;WIDTH=450&amp;START_MAXIMIZED=FALS","E&amp;VAR:CALENDAR=US&amp;VAR:SYMBOL=40171V10&amp;VAR:INDEX=0"}</definedName>
    <definedName name="_586__FDSAUDITLINK__" localSheetId="7" hidden="1">{"fdsup://directions/FAT Viewer?action=UPDATE&amp;creator=factset&amp;DYN_ARGS=TRUE&amp;DOC_NAME=FAT:FQL_AUDITING_CLIENT_TEMPLATE.FAT&amp;display_string=Audit&amp;VAR:KEY=ZYLMPCDKLE&amp;VAR:QUERY=RkZfTkVUX0lOQyhMVE0sMCk=&amp;WINDOW=FIRST_POPUP&amp;HEIGHT=450&amp;WIDTH=450&amp;START_MAXIMIZED=FALS","E&amp;VAR:CALENDAR=US&amp;VAR:SYMBOL=40171V10&amp;VAR:INDEX=0"}</definedName>
    <definedName name="_586__FDSAUDITLINK__" hidden="1">{"fdsup://directions/FAT Viewer?action=UPDATE&amp;creator=factset&amp;DYN_ARGS=TRUE&amp;DOC_NAME=FAT:FQL_AUDITING_CLIENT_TEMPLATE.FAT&amp;display_string=Audit&amp;VAR:KEY=ZYLMPCDKLE&amp;VAR:QUERY=RkZfTkVUX0lOQyhMVE0sMCk=&amp;WINDOW=FIRST_POPUP&amp;HEIGHT=450&amp;WIDTH=450&amp;START_MAXIMIZED=FALS","E&amp;VAR:CALENDAR=US&amp;VAR:SYMBOL=40171V10&amp;VAR:INDEX=0"}</definedName>
    <definedName name="_587__FDSAUDITLINK__" localSheetId="3" hidden="1">{"fdsup://directions/FAT Viewer?action=UPDATE&amp;creator=factset&amp;DYN_ARGS=TRUE&amp;DOC_NAME=FAT:FQL_AUDITING_CLIENT_TEMPLATE.FAT&amp;display_string=Audit&amp;VAR:KEY=MFMLWPWFMR&amp;VAR:QUERY=RkZfTkVUX0lOQyhMVE0sMCk=&amp;WINDOW=FIRST_POPUP&amp;HEIGHT=450&amp;WIDTH=450&amp;START_MAXIMIZED=FALS","E&amp;VAR:CALENDAR=US&amp;VAR:SYMBOL=30064K10&amp;VAR:INDEX=0"}</definedName>
    <definedName name="_587__FDSAUDITLINK__" localSheetId="7" hidden="1">{"fdsup://directions/FAT Viewer?action=UPDATE&amp;creator=factset&amp;DYN_ARGS=TRUE&amp;DOC_NAME=FAT:FQL_AUDITING_CLIENT_TEMPLATE.FAT&amp;display_string=Audit&amp;VAR:KEY=MFMLWPWFMR&amp;VAR:QUERY=RkZfTkVUX0lOQyhMVE0sMCk=&amp;WINDOW=FIRST_POPUP&amp;HEIGHT=450&amp;WIDTH=450&amp;START_MAXIMIZED=FALS","E&amp;VAR:CALENDAR=US&amp;VAR:SYMBOL=30064K10&amp;VAR:INDEX=0"}</definedName>
    <definedName name="_587__FDSAUDITLINK__" hidden="1">{"fdsup://directions/FAT Viewer?action=UPDATE&amp;creator=factset&amp;DYN_ARGS=TRUE&amp;DOC_NAME=FAT:FQL_AUDITING_CLIENT_TEMPLATE.FAT&amp;display_string=Audit&amp;VAR:KEY=MFMLWPWFMR&amp;VAR:QUERY=RkZfTkVUX0lOQyhMVE0sMCk=&amp;WINDOW=FIRST_POPUP&amp;HEIGHT=450&amp;WIDTH=450&amp;START_MAXIMIZED=FALS","E&amp;VAR:CALENDAR=US&amp;VAR:SYMBOL=30064K10&amp;VAR:INDEX=0"}</definedName>
    <definedName name="_588__FDSAUDITLINK__" localSheetId="3" hidden="1">{"fdsup://directions/FAT Viewer?action=UPDATE&amp;creator=factset&amp;DYN_ARGS=TRUE&amp;DOC_NAME=FAT:FQL_AUDITING_CLIENT_TEMPLATE.FAT&amp;display_string=Audit&amp;VAR:KEY=VODQDIZCXS&amp;VAR:QUERY=RkZfTkVUX0lOQyhMVE0sMCk=&amp;WINDOW=FIRST_POPUP&amp;HEIGHT=450&amp;WIDTH=450&amp;START_MAXIMIZED=FALS","E&amp;VAR:CALENDAR=US&amp;VAR:SYMBOL=632758&amp;VAR:INDEX=0"}</definedName>
    <definedName name="_588__FDSAUDITLINK__" localSheetId="7" hidden="1">{"fdsup://directions/FAT Viewer?action=UPDATE&amp;creator=factset&amp;DYN_ARGS=TRUE&amp;DOC_NAME=FAT:FQL_AUDITING_CLIENT_TEMPLATE.FAT&amp;display_string=Audit&amp;VAR:KEY=VODQDIZCXS&amp;VAR:QUERY=RkZfTkVUX0lOQyhMVE0sMCk=&amp;WINDOW=FIRST_POPUP&amp;HEIGHT=450&amp;WIDTH=450&amp;START_MAXIMIZED=FALS","E&amp;VAR:CALENDAR=US&amp;VAR:SYMBOL=632758&amp;VAR:INDEX=0"}</definedName>
    <definedName name="_588__FDSAUDITLINK__" hidden="1">{"fdsup://directions/FAT Viewer?action=UPDATE&amp;creator=factset&amp;DYN_ARGS=TRUE&amp;DOC_NAME=FAT:FQL_AUDITING_CLIENT_TEMPLATE.FAT&amp;display_string=Audit&amp;VAR:KEY=VODQDIZCXS&amp;VAR:QUERY=RkZfTkVUX0lOQyhMVE0sMCk=&amp;WINDOW=FIRST_POPUP&amp;HEIGHT=450&amp;WIDTH=450&amp;START_MAXIMIZED=FALS","E&amp;VAR:CALENDAR=US&amp;VAR:SYMBOL=632758&amp;VAR:INDEX=0"}</definedName>
    <definedName name="_589__FDSAUDITLINK__" localSheetId="3" hidden="1">{"fdsup://directions/FAT Viewer?action=UPDATE&amp;creator=factset&amp;DYN_ARGS=TRUE&amp;DOC_NAME=FAT:FQL_AUDITING_CLIENT_TEMPLATE.FAT&amp;display_string=Audit&amp;VAR:KEY=IPCBULCVQR&amp;VAR:QUERY=RkZfTkVUX0lOQyhMVE0sMCk=&amp;WINDOW=FIRST_POPUP&amp;HEIGHT=450&amp;WIDTH=450&amp;START_MAXIMIZED=FALS","E&amp;VAR:CALENDAR=US&amp;VAR:SYMBOL=24802N10&amp;VAR:INDEX=0"}</definedName>
    <definedName name="_589__FDSAUDITLINK__" localSheetId="7" hidden="1">{"fdsup://directions/FAT Viewer?action=UPDATE&amp;creator=factset&amp;DYN_ARGS=TRUE&amp;DOC_NAME=FAT:FQL_AUDITING_CLIENT_TEMPLATE.FAT&amp;display_string=Audit&amp;VAR:KEY=IPCBULCVQR&amp;VAR:QUERY=RkZfTkVUX0lOQyhMVE0sMCk=&amp;WINDOW=FIRST_POPUP&amp;HEIGHT=450&amp;WIDTH=450&amp;START_MAXIMIZED=FALS","E&amp;VAR:CALENDAR=US&amp;VAR:SYMBOL=24802N10&amp;VAR:INDEX=0"}</definedName>
    <definedName name="_589__FDSAUDITLINK__" hidden="1">{"fdsup://directions/FAT Viewer?action=UPDATE&amp;creator=factset&amp;DYN_ARGS=TRUE&amp;DOC_NAME=FAT:FQL_AUDITING_CLIENT_TEMPLATE.FAT&amp;display_string=Audit&amp;VAR:KEY=IPCBULCVQR&amp;VAR:QUERY=RkZfTkVUX0lOQyhMVE0sMCk=&amp;WINDOW=FIRST_POPUP&amp;HEIGHT=450&amp;WIDTH=450&amp;START_MAXIMIZED=FALS","E&amp;VAR:CALENDAR=US&amp;VAR:SYMBOL=24802N10&amp;VAR:INDEX=0"}</definedName>
    <definedName name="_59__FDSAUDITLINK__" localSheetId="3" hidden="1">{"fdsup://directions/FAT Viewer?action=UPDATE&amp;creator=factset&amp;DYN_ARGS=TRUE&amp;DOC_NAME=FAT:FQL_AUDITING_CLIENT_TEMPLATE.FAT&amp;display_string=Audit&amp;VAR:KEY=UVSHQBSTSP&amp;VAR:QUERY=RkZfU0FMRVMoTFRNLDAsLCwsLE0p&amp;WINDOW=FIRST_POPUP&amp;HEIGHT=450&amp;WIDTH=450&amp;START_MAXIMIZED=","FALSE&amp;VAR:CALENDAR=US&amp;VAR:SYMBOL=220015&amp;VAR:INDEX=0"}</definedName>
    <definedName name="_59__FDSAUDITLINK__" localSheetId="7" hidden="1">{"fdsup://directions/FAT Viewer?action=UPDATE&amp;creator=factset&amp;DYN_ARGS=TRUE&amp;DOC_NAME=FAT:FQL_AUDITING_CLIENT_TEMPLATE.FAT&amp;display_string=Audit&amp;VAR:KEY=UVSHQBSTSP&amp;VAR:QUERY=RkZfU0FMRVMoTFRNLDAsLCwsLE0p&amp;WINDOW=FIRST_POPUP&amp;HEIGHT=450&amp;WIDTH=450&amp;START_MAXIMIZED=","FALSE&amp;VAR:CALENDAR=US&amp;VAR:SYMBOL=220015&amp;VAR:INDEX=0"}</definedName>
    <definedName name="_59__FDSAUDITLINK__" hidden="1">{"fdsup://directions/FAT Viewer?action=UPDATE&amp;creator=factset&amp;DYN_ARGS=TRUE&amp;DOC_NAME=FAT:FQL_AUDITING_CLIENT_TEMPLATE.FAT&amp;display_string=Audit&amp;VAR:KEY=UVSHQBSTSP&amp;VAR:QUERY=RkZfU0FMRVMoTFRNLDAsLCwsLE0p&amp;WINDOW=FIRST_POPUP&amp;HEIGHT=450&amp;WIDTH=450&amp;START_MAXIMIZED=","FALSE&amp;VAR:CALENDAR=US&amp;VAR:SYMBOL=220015&amp;VAR:INDEX=0"}</definedName>
    <definedName name="_590__FDSAUDITLINK__" localSheetId="3" hidden="1">{"fdsup://directions/FAT Viewer?action=UPDATE&amp;creator=factset&amp;DYN_ARGS=TRUE&amp;DOC_NAME=FAT:FQL_AUDITING_CLIENT_TEMPLATE.FAT&amp;display_string=Audit&amp;VAR:KEY=HQZYLGXAPA&amp;VAR:QUERY=RkZfTkVUX0lOQyhMVE0sMCk=&amp;WINDOW=FIRST_POPUP&amp;HEIGHT=450&amp;WIDTH=450&amp;START_MAXIMIZED=FALS","E&amp;VAR:CALENDAR=US&amp;VAR:SYMBOL=56275010&amp;VAR:INDEX=0"}</definedName>
    <definedName name="_590__FDSAUDITLINK__" localSheetId="7" hidden="1">{"fdsup://directions/FAT Viewer?action=UPDATE&amp;creator=factset&amp;DYN_ARGS=TRUE&amp;DOC_NAME=FAT:FQL_AUDITING_CLIENT_TEMPLATE.FAT&amp;display_string=Audit&amp;VAR:KEY=HQZYLGXAPA&amp;VAR:QUERY=RkZfTkVUX0lOQyhMVE0sMCk=&amp;WINDOW=FIRST_POPUP&amp;HEIGHT=450&amp;WIDTH=450&amp;START_MAXIMIZED=FALS","E&amp;VAR:CALENDAR=US&amp;VAR:SYMBOL=56275010&amp;VAR:INDEX=0"}</definedName>
    <definedName name="_590__FDSAUDITLINK__" hidden="1">{"fdsup://directions/FAT Viewer?action=UPDATE&amp;creator=factset&amp;DYN_ARGS=TRUE&amp;DOC_NAME=FAT:FQL_AUDITING_CLIENT_TEMPLATE.FAT&amp;display_string=Audit&amp;VAR:KEY=HQZYLGXAPA&amp;VAR:QUERY=RkZfTkVUX0lOQyhMVE0sMCk=&amp;WINDOW=FIRST_POPUP&amp;HEIGHT=450&amp;WIDTH=450&amp;START_MAXIMIZED=FALS","E&amp;VAR:CALENDAR=US&amp;VAR:SYMBOL=56275010&amp;VAR:INDEX=0"}</definedName>
    <definedName name="_591__FDSAUDITLINK__" localSheetId="3" hidden="1">{"fdsup://directions/FAT Viewer?action=UPDATE&amp;creator=factset&amp;DYN_ARGS=TRUE&amp;DOC_NAME=FAT:FQL_AUDITING_CLIENT_TEMPLATE.FAT&amp;display_string=Audit&amp;VAR:KEY=IZGNILQJUF&amp;VAR:QUERY=RkZfTkVUX0lOQyhMVE0sMCk=&amp;WINDOW=FIRST_POPUP&amp;HEIGHT=450&amp;WIDTH=450&amp;START_MAXIMIZED=FALS","E&amp;VAR:CALENDAR=US&amp;VAR:SYMBOL=46612K10&amp;VAR:INDEX=0"}</definedName>
    <definedName name="_591__FDSAUDITLINK__" localSheetId="7" hidden="1">{"fdsup://directions/FAT Viewer?action=UPDATE&amp;creator=factset&amp;DYN_ARGS=TRUE&amp;DOC_NAME=FAT:FQL_AUDITING_CLIENT_TEMPLATE.FAT&amp;display_string=Audit&amp;VAR:KEY=IZGNILQJUF&amp;VAR:QUERY=RkZfTkVUX0lOQyhMVE0sMCk=&amp;WINDOW=FIRST_POPUP&amp;HEIGHT=450&amp;WIDTH=450&amp;START_MAXIMIZED=FALS","E&amp;VAR:CALENDAR=US&amp;VAR:SYMBOL=46612K10&amp;VAR:INDEX=0"}</definedName>
    <definedName name="_591__FDSAUDITLINK__" hidden="1">{"fdsup://directions/FAT Viewer?action=UPDATE&amp;creator=factset&amp;DYN_ARGS=TRUE&amp;DOC_NAME=FAT:FQL_AUDITING_CLIENT_TEMPLATE.FAT&amp;display_string=Audit&amp;VAR:KEY=IZGNILQJUF&amp;VAR:QUERY=RkZfTkVUX0lOQyhMVE0sMCk=&amp;WINDOW=FIRST_POPUP&amp;HEIGHT=450&amp;WIDTH=450&amp;START_MAXIMIZED=FALS","E&amp;VAR:CALENDAR=US&amp;VAR:SYMBOL=46612K10&amp;VAR:INDEX=0"}</definedName>
    <definedName name="_592__FDSAUDITLINK__" localSheetId="3" hidden="1">{"fdsup://directions/FAT Viewer?action=UPDATE&amp;creator=factset&amp;DYN_ARGS=TRUE&amp;DOC_NAME=FAT:FQL_AUDITING_CLIENT_TEMPLATE.FAT&amp;display_string=Audit&amp;VAR:KEY=HIDCFELQBC&amp;VAR:QUERY=RkZfTkVUX0lOQyhMVE0sMCk=&amp;WINDOW=FIRST_POPUP&amp;HEIGHT=450&amp;WIDTH=450&amp;START_MAXIMIZED=FALS","E&amp;VAR:CALENDAR=US&amp;VAR:SYMBOL=04033V20&amp;VAR:INDEX=0"}</definedName>
    <definedName name="_592__FDSAUDITLINK__" localSheetId="7" hidden="1">{"fdsup://directions/FAT Viewer?action=UPDATE&amp;creator=factset&amp;DYN_ARGS=TRUE&amp;DOC_NAME=FAT:FQL_AUDITING_CLIENT_TEMPLATE.FAT&amp;display_string=Audit&amp;VAR:KEY=HIDCFELQBC&amp;VAR:QUERY=RkZfTkVUX0lOQyhMVE0sMCk=&amp;WINDOW=FIRST_POPUP&amp;HEIGHT=450&amp;WIDTH=450&amp;START_MAXIMIZED=FALS","E&amp;VAR:CALENDAR=US&amp;VAR:SYMBOL=04033V20&amp;VAR:INDEX=0"}</definedName>
    <definedName name="_592__FDSAUDITLINK__" hidden="1">{"fdsup://directions/FAT Viewer?action=UPDATE&amp;creator=factset&amp;DYN_ARGS=TRUE&amp;DOC_NAME=FAT:FQL_AUDITING_CLIENT_TEMPLATE.FAT&amp;display_string=Audit&amp;VAR:KEY=HIDCFELQBC&amp;VAR:QUERY=RkZfTkVUX0lOQyhMVE0sMCk=&amp;WINDOW=FIRST_POPUP&amp;HEIGHT=450&amp;WIDTH=450&amp;START_MAXIMIZED=FALS","E&amp;VAR:CALENDAR=US&amp;VAR:SYMBOL=04033V20&amp;VAR:INDEX=0"}</definedName>
    <definedName name="_593__FDSAUDITLINK__" localSheetId="3" hidden="1">{"fdsup://directions/FAT Viewer?action=UPDATE&amp;creator=factset&amp;DYN_ARGS=TRUE&amp;DOC_NAME=FAT:FQL_AUDITING_CLIENT_TEMPLATE.FAT&amp;display_string=Audit&amp;VAR:KEY=YDSPUPGTGD&amp;VAR:QUERY=RkZfTkVUX0lOQyhMVE0sMCk=&amp;WINDOW=FIRST_POPUP&amp;HEIGHT=450&amp;WIDTH=450&amp;START_MAXIMIZED=FALS","E&amp;VAR:CALENDAR=US&amp;VAR:SYMBOL=59490110&amp;VAR:INDEX=0"}</definedName>
    <definedName name="_593__FDSAUDITLINK__" localSheetId="7" hidden="1">{"fdsup://directions/FAT Viewer?action=UPDATE&amp;creator=factset&amp;DYN_ARGS=TRUE&amp;DOC_NAME=FAT:FQL_AUDITING_CLIENT_TEMPLATE.FAT&amp;display_string=Audit&amp;VAR:KEY=YDSPUPGTGD&amp;VAR:QUERY=RkZfTkVUX0lOQyhMVE0sMCk=&amp;WINDOW=FIRST_POPUP&amp;HEIGHT=450&amp;WIDTH=450&amp;START_MAXIMIZED=FALS","E&amp;VAR:CALENDAR=US&amp;VAR:SYMBOL=59490110&amp;VAR:INDEX=0"}</definedName>
    <definedName name="_593__FDSAUDITLINK__" hidden="1">{"fdsup://directions/FAT Viewer?action=UPDATE&amp;creator=factset&amp;DYN_ARGS=TRUE&amp;DOC_NAME=FAT:FQL_AUDITING_CLIENT_TEMPLATE.FAT&amp;display_string=Audit&amp;VAR:KEY=YDSPUPGTGD&amp;VAR:QUERY=RkZfTkVUX0lOQyhMVE0sMCk=&amp;WINDOW=FIRST_POPUP&amp;HEIGHT=450&amp;WIDTH=450&amp;START_MAXIMIZED=FALS","E&amp;VAR:CALENDAR=US&amp;VAR:SYMBOL=59490110&amp;VAR:INDEX=0"}</definedName>
    <definedName name="_594__FDSAUDITLINK__" localSheetId="3" hidden="1">{"fdsup://directions/FAT Viewer?action=UPDATE&amp;creator=factset&amp;DYN_ARGS=TRUE&amp;DOC_NAME=FAT:FQL_AUDITING_CLIENT_TEMPLATE.FAT&amp;display_string=Audit&amp;VAR:KEY=HUVMTMVGTC&amp;VAR:QUERY=RkZfTkVUX0lOQyhMVE0sMCk=&amp;WINDOW=FIRST_POPUP&amp;HEIGHT=450&amp;WIDTH=450&amp;START_MAXIMIZED=FALS","E&amp;VAR:CALENDAR=US&amp;VAR:SYMBOL=080216&amp;VAR:INDEX=0"}</definedName>
    <definedName name="_594__FDSAUDITLINK__" localSheetId="7" hidden="1">{"fdsup://directions/FAT Viewer?action=UPDATE&amp;creator=factset&amp;DYN_ARGS=TRUE&amp;DOC_NAME=FAT:FQL_AUDITING_CLIENT_TEMPLATE.FAT&amp;display_string=Audit&amp;VAR:KEY=HUVMTMVGTC&amp;VAR:QUERY=RkZfTkVUX0lOQyhMVE0sMCk=&amp;WINDOW=FIRST_POPUP&amp;HEIGHT=450&amp;WIDTH=450&amp;START_MAXIMIZED=FALS","E&amp;VAR:CALENDAR=US&amp;VAR:SYMBOL=080216&amp;VAR:INDEX=0"}</definedName>
    <definedName name="_594__FDSAUDITLINK__" hidden="1">{"fdsup://directions/FAT Viewer?action=UPDATE&amp;creator=factset&amp;DYN_ARGS=TRUE&amp;DOC_NAME=FAT:FQL_AUDITING_CLIENT_TEMPLATE.FAT&amp;display_string=Audit&amp;VAR:KEY=HUVMTMVGTC&amp;VAR:QUERY=RkZfTkVUX0lOQyhMVE0sMCk=&amp;WINDOW=FIRST_POPUP&amp;HEIGHT=450&amp;WIDTH=450&amp;START_MAXIMIZED=FALS","E&amp;VAR:CALENDAR=US&amp;VAR:SYMBOL=080216&amp;VAR:INDEX=0"}</definedName>
    <definedName name="_595__FDSAUDITLINK__" localSheetId="3" hidden="1">{"fdsup://directions/FAT Viewer?action=UPDATE&amp;creator=factset&amp;DYN_ARGS=TRUE&amp;DOC_NAME=FAT:FQL_AUDITING_CLIENT_TEMPLATE.FAT&amp;display_string=Audit&amp;VAR:KEY=MLQPYFWPWJ&amp;VAR:QUERY=RkZfTkVUX0lOQyhMVE0sMCk=&amp;WINDOW=FIRST_POPUP&amp;HEIGHT=450&amp;WIDTH=450&amp;START_MAXIMIZED=FALS","E&amp;VAR:CALENDAR=US&amp;VAR:SYMBOL=46120210&amp;VAR:INDEX=0"}</definedName>
    <definedName name="_595__FDSAUDITLINK__" localSheetId="7" hidden="1">{"fdsup://directions/FAT Viewer?action=UPDATE&amp;creator=factset&amp;DYN_ARGS=TRUE&amp;DOC_NAME=FAT:FQL_AUDITING_CLIENT_TEMPLATE.FAT&amp;display_string=Audit&amp;VAR:KEY=MLQPYFWPWJ&amp;VAR:QUERY=RkZfTkVUX0lOQyhMVE0sMCk=&amp;WINDOW=FIRST_POPUP&amp;HEIGHT=450&amp;WIDTH=450&amp;START_MAXIMIZED=FALS","E&amp;VAR:CALENDAR=US&amp;VAR:SYMBOL=46120210&amp;VAR:INDEX=0"}</definedName>
    <definedName name="_595__FDSAUDITLINK__" hidden="1">{"fdsup://directions/FAT Viewer?action=UPDATE&amp;creator=factset&amp;DYN_ARGS=TRUE&amp;DOC_NAME=FAT:FQL_AUDITING_CLIENT_TEMPLATE.FAT&amp;display_string=Audit&amp;VAR:KEY=MLQPYFWPWJ&amp;VAR:QUERY=RkZfTkVUX0lOQyhMVE0sMCk=&amp;WINDOW=FIRST_POPUP&amp;HEIGHT=450&amp;WIDTH=450&amp;START_MAXIMIZED=FALS","E&amp;VAR:CALENDAR=US&amp;VAR:SYMBOL=46120210&amp;VAR:INDEX=0"}</definedName>
    <definedName name="_596__FDSAUDITLINK__" localSheetId="3" hidden="1">{"fdsup://directions/FAT Viewer?action=UPDATE&amp;creator=factset&amp;DYN_ARGS=TRUE&amp;DOC_NAME=FAT:FQL_AUDITING_CLIENT_TEMPLATE.FAT&amp;display_string=Audit&amp;VAR:KEY=HMJGDQZCLC&amp;VAR:QUERY=RkZfTkVUX0lOQyhMVE0sMCk=&amp;WINDOW=FIRST_POPUP&amp;HEIGHT=450&amp;WIDTH=450&amp;START_MAXIMIZED=FALS","E&amp;VAR:CALENDAR=US&amp;VAR:SYMBOL=484628&amp;VAR:INDEX=0"}</definedName>
    <definedName name="_596__FDSAUDITLINK__" localSheetId="7" hidden="1">{"fdsup://directions/FAT Viewer?action=UPDATE&amp;creator=factset&amp;DYN_ARGS=TRUE&amp;DOC_NAME=FAT:FQL_AUDITING_CLIENT_TEMPLATE.FAT&amp;display_string=Audit&amp;VAR:KEY=HMJGDQZCLC&amp;VAR:QUERY=RkZfTkVUX0lOQyhMVE0sMCk=&amp;WINDOW=FIRST_POPUP&amp;HEIGHT=450&amp;WIDTH=450&amp;START_MAXIMIZED=FALS","E&amp;VAR:CALENDAR=US&amp;VAR:SYMBOL=484628&amp;VAR:INDEX=0"}</definedName>
    <definedName name="_596__FDSAUDITLINK__" hidden="1">{"fdsup://directions/FAT Viewer?action=UPDATE&amp;creator=factset&amp;DYN_ARGS=TRUE&amp;DOC_NAME=FAT:FQL_AUDITING_CLIENT_TEMPLATE.FAT&amp;display_string=Audit&amp;VAR:KEY=HMJGDQZCLC&amp;VAR:QUERY=RkZfTkVUX0lOQyhMVE0sMCk=&amp;WINDOW=FIRST_POPUP&amp;HEIGHT=450&amp;WIDTH=450&amp;START_MAXIMIZED=FALS","E&amp;VAR:CALENDAR=US&amp;VAR:SYMBOL=484628&amp;VAR:INDEX=0"}</definedName>
    <definedName name="_597__FDSAUDITLINK__" localSheetId="3" hidden="1">{"fdsup://directions/FAT Viewer?action=UPDATE&amp;creator=factset&amp;DYN_ARGS=TRUE&amp;DOC_NAME=FAT:FQL_AUDITING_CLIENT_TEMPLATE.FAT&amp;display_string=Audit&amp;VAR:KEY=SDEBUFOPKR&amp;VAR:QUERY=RkZfTkVUX0lOQyhMVE0sMCk=&amp;WINDOW=FIRST_POPUP&amp;HEIGHT=450&amp;WIDTH=450&amp;START_MAXIMIZED=FALS","E&amp;VAR:CALENDAR=US&amp;VAR:SYMBOL=68389X10&amp;VAR:INDEX=0"}</definedName>
    <definedName name="_597__FDSAUDITLINK__" localSheetId="7" hidden="1">{"fdsup://directions/FAT Viewer?action=UPDATE&amp;creator=factset&amp;DYN_ARGS=TRUE&amp;DOC_NAME=FAT:FQL_AUDITING_CLIENT_TEMPLATE.FAT&amp;display_string=Audit&amp;VAR:KEY=SDEBUFOPKR&amp;VAR:QUERY=RkZfTkVUX0lOQyhMVE0sMCk=&amp;WINDOW=FIRST_POPUP&amp;HEIGHT=450&amp;WIDTH=450&amp;START_MAXIMIZED=FALS","E&amp;VAR:CALENDAR=US&amp;VAR:SYMBOL=68389X10&amp;VAR:INDEX=0"}</definedName>
    <definedName name="_597__FDSAUDITLINK__" hidden="1">{"fdsup://directions/FAT Viewer?action=UPDATE&amp;creator=factset&amp;DYN_ARGS=TRUE&amp;DOC_NAME=FAT:FQL_AUDITING_CLIENT_TEMPLATE.FAT&amp;display_string=Audit&amp;VAR:KEY=SDEBUFOPKR&amp;VAR:QUERY=RkZfTkVUX0lOQyhMVE0sMCk=&amp;WINDOW=FIRST_POPUP&amp;HEIGHT=450&amp;WIDTH=450&amp;START_MAXIMIZED=FALS","E&amp;VAR:CALENDAR=US&amp;VAR:SYMBOL=68389X10&amp;VAR:INDEX=0"}</definedName>
    <definedName name="_598__FDSAUDITLINK__" localSheetId="3" hidden="1">{"fdsup://directions/FAT Viewer?action=UPDATE&amp;creator=factset&amp;DYN_ARGS=TRUE&amp;DOC_NAME=FAT:FQL_AUDITING_CLIENT_TEMPLATE.FAT&amp;display_string=Audit&amp;VAR:KEY=HAHGBQXKFW&amp;VAR:QUERY=RkZfTkVUX0lOQyhMVE0sMCk=&amp;WINDOW=FIRST_POPUP&amp;HEIGHT=450&amp;WIDTH=450&amp;START_MAXIMIZED=FALS","E&amp;VAR:CALENDAR=US&amp;VAR:SYMBOL=B10LQP&amp;VAR:INDEX=0"}</definedName>
    <definedName name="_598__FDSAUDITLINK__" localSheetId="7" hidden="1">{"fdsup://directions/FAT Viewer?action=UPDATE&amp;creator=factset&amp;DYN_ARGS=TRUE&amp;DOC_NAME=FAT:FQL_AUDITING_CLIENT_TEMPLATE.FAT&amp;display_string=Audit&amp;VAR:KEY=HAHGBQXKFW&amp;VAR:QUERY=RkZfTkVUX0lOQyhMVE0sMCk=&amp;WINDOW=FIRST_POPUP&amp;HEIGHT=450&amp;WIDTH=450&amp;START_MAXIMIZED=FALS","E&amp;VAR:CALENDAR=US&amp;VAR:SYMBOL=B10LQP&amp;VAR:INDEX=0"}</definedName>
    <definedName name="_598__FDSAUDITLINK__" hidden="1">{"fdsup://directions/FAT Viewer?action=UPDATE&amp;creator=factset&amp;DYN_ARGS=TRUE&amp;DOC_NAME=FAT:FQL_AUDITING_CLIENT_TEMPLATE.FAT&amp;display_string=Audit&amp;VAR:KEY=HAHGBQXKFW&amp;VAR:QUERY=RkZfTkVUX0lOQyhMVE0sMCk=&amp;WINDOW=FIRST_POPUP&amp;HEIGHT=450&amp;WIDTH=450&amp;START_MAXIMIZED=FALS","E&amp;VAR:CALENDAR=US&amp;VAR:SYMBOL=B10LQP&amp;VAR:INDEX=0"}</definedName>
    <definedName name="_599__FDSAUDITLINK__" localSheetId="3" hidden="1">{"fdsup://directions/FAT Viewer?action=UPDATE&amp;creator=factset&amp;DYN_ARGS=TRUE&amp;DOC_NAME=FAT:FQL_AUDITING_CLIENT_TEMPLATE.FAT&amp;display_string=Audit&amp;VAR:KEY=JQHUFKZGJK&amp;VAR:QUERY=UkdGX1RBWF9SQVRFKEFOTiwwLCwsLCwsTk9BVURJVCk=&amp;WINDOW=FIRST_POPUP&amp;HEIGHT=450&amp;WIDTH=450&amp;","START_MAXIMIZED=FALSE&amp;VAR:CALENDAR=US&amp;VAR:SYMBOL=CERN&amp;VAR:INDEX=0"}</definedName>
    <definedName name="_599__FDSAUDITLINK__" localSheetId="7" hidden="1">{"fdsup://directions/FAT Viewer?action=UPDATE&amp;creator=factset&amp;DYN_ARGS=TRUE&amp;DOC_NAME=FAT:FQL_AUDITING_CLIENT_TEMPLATE.FAT&amp;display_string=Audit&amp;VAR:KEY=JQHUFKZGJK&amp;VAR:QUERY=UkdGX1RBWF9SQVRFKEFOTiwwLCwsLCwsTk9BVURJVCk=&amp;WINDOW=FIRST_POPUP&amp;HEIGHT=450&amp;WIDTH=450&amp;","START_MAXIMIZED=FALSE&amp;VAR:CALENDAR=US&amp;VAR:SYMBOL=CERN&amp;VAR:INDEX=0"}</definedName>
    <definedName name="_599__FDSAUDITLINK__" hidden="1">{"fdsup://directions/FAT Viewer?action=UPDATE&amp;creator=factset&amp;DYN_ARGS=TRUE&amp;DOC_NAME=FAT:FQL_AUDITING_CLIENT_TEMPLATE.FAT&amp;display_string=Audit&amp;VAR:KEY=JQHUFKZGJK&amp;VAR:QUERY=UkdGX1RBWF9SQVRFKEFOTiwwLCwsLCwsTk9BVURJVCk=&amp;WINDOW=FIRST_POPUP&amp;HEIGHT=450&amp;WIDTH=450&amp;","START_MAXIMIZED=FALSE&amp;VAR:CALENDAR=US&amp;VAR:SYMBOL=CERN&amp;VAR:INDEX=0"}</definedName>
    <definedName name="_6__FDSAUDITLINK__" localSheetId="3" hidden="1">{"fdsup://directions/FAT Viewer?action=UPDATE&amp;creator=factset&amp;DYN_ARGS=TRUE&amp;DOC_NAME=FAT:FQL_AUDITING_CLIENT_TEMPLATE.FAT&amp;display_string=Audit&amp;VAR:KEY=GLKHAXIZEZ&amp;VAR:QUERY=RkZfRVBTKEFOTixOT1csLTFBWSwsLFVTRCk=&amp;WINDOW=FIRST_POPUP&amp;HEIGHT=450&amp;WIDTH=450&amp;START_MA","XIMIZED=FALSE&amp;VAR:CALENDAR=US&amp;VAR:SYMBOL=B014K5&amp;VAR:INDEX=0"}</definedName>
    <definedName name="_6__FDSAUDITLINK__" localSheetId="7" hidden="1">{"fdsup://directions/FAT Viewer?action=UPDATE&amp;creator=factset&amp;DYN_ARGS=TRUE&amp;DOC_NAME=FAT:FQL_AUDITING_CLIENT_TEMPLATE.FAT&amp;display_string=Audit&amp;VAR:KEY=GLKHAXIZEZ&amp;VAR:QUERY=RkZfRVBTKEFOTixOT1csLTFBWSwsLFVTRCk=&amp;WINDOW=FIRST_POPUP&amp;HEIGHT=450&amp;WIDTH=450&amp;START_MA","XIMIZED=FALSE&amp;VAR:CALENDAR=US&amp;VAR:SYMBOL=B014K5&amp;VAR:INDEX=0"}</definedName>
    <definedName name="_6__FDSAUDITLINK__" hidden="1">{"fdsup://directions/FAT Viewer?action=UPDATE&amp;creator=factset&amp;DYN_ARGS=TRUE&amp;DOC_NAME=FAT:FQL_AUDITING_CLIENT_TEMPLATE.FAT&amp;display_string=Audit&amp;VAR:KEY=GLKHAXIZEZ&amp;VAR:QUERY=RkZfRVBTKEFOTixOT1csLTFBWSwsLFVTRCk=&amp;WINDOW=FIRST_POPUP&amp;HEIGHT=450&amp;WIDTH=450&amp;START_MA","XIMIZED=FALSE&amp;VAR:CALENDAR=US&amp;VAR:SYMBOL=B014K5&amp;VAR:INDEX=0"}</definedName>
    <definedName name="_60__FDSAUDITLINK__" localSheetId="3" hidden="1">{"fdsup://directions/FAT Viewer?action=UPDATE&amp;creator=factset&amp;DYN_ARGS=TRUE&amp;DOC_NAME=FAT:FQL_AUDITING_CLIENT_TEMPLATE.FAT&amp;display_string=Audit&amp;VAR:KEY=IPWVKVMLWR&amp;VAR:QUERY=RkZfTkVUX0lOQyhMVE0sMCwsLCwsTSk=&amp;WINDOW=FIRST_POPUP&amp;HEIGHT=450&amp;WIDTH=450&amp;START_MAXIMI","ZED=FALSE&amp;VAR:CALENDAR=US&amp;VAR:SYMBOL=B031NN&amp;VAR:INDEX=0"}</definedName>
    <definedName name="_60__FDSAUDITLINK__" localSheetId="7" hidden="1">{"fdsup://directions/FAT Viewer?action=UPDATE&amp;creator=factset&amp;DYN_ARGS=TRUE&amp;DOC_NAME=FAT:FQL_AUDITING_CLIENT_TEMPLATE.FAT&amp;display_string=Audit&amp;VAR:KEY=IPWVKVMLWR&amp;VAR:QUERY=RkZfTkVUX0lOQyhMVE0sMCwsLCwsTSk=&amp;WINDOW=FIRST_POPUP&amp;HEIGHT=450&amp;WIDTH=450&amp;START_MAXIMI","ZED=FALSE&amp;VAR:CALENDAR=US&amp;VAR:SYMBOL=B031NN&amp;VAR:INDEX=0"}</definedName>
    <definedName name="_60__FDSAUDITLINK__" hidden="1">{"fdsup://directions/FAT Viewer?action=UPDATE&amp;creator=factset&amp;DYN_ARGS=TRUE&amp;DOC_NAME=FAT:FQL_AUDITING_CLIENT_TEMPLATE.FAT&amp;display_string=Audit&amp;VAR:KEY=IPWVKVMLWR&amp;VAR:QUERY=RkZfTkVUX0lOQyhMVE0sMCwsLCwsTSk=&amp;WINDOW=FIRST_POPUP&amp;HEIGHT=450&amp;WIDTH=450&amp;START_MAXIMI","ZED=FALSE&amp;VAR:CALENDAR=US&amp;VAR:SYMBOL=B031NN&amp;VAR:INDEX=0"}</definedName>
    <definedName name="_600__FDSAUDITLINK__" localSheetId="3" hidden="1">{"fdsup://directions/FAT Viewer?action=UPDATE&amp;creator=factset&amp;DYN_ARGS=TRUE&amp;DOC_NAME=FAT:FQL_AUDITING_CLIENT_TEMPLATE.FAT&amp;display_string=Audit&amp;VAR:KEY=XYTYLMBKTK&amp;VAR:QUERY=UkdGX1RBWF9SQVRFKEFOTiwwLCwsLCwsTk9BVURJVCk=&amp;WINDOW=FIRST_POPUP&amp;HEIGHT=450&amp;WIDTH=450&amp;","START_MAXIMIZED=FALSE&amp;VAR:CALENDAR=US&amp;VAR:SYMBOL=CALD&amp;VAR:INDEX=0"}</definedName>
    <definedName name="_600__FDSAUDITLINK__" localSheetId="7" hidden="1">{"fdsup://directions/FAT Viewer?action=UPDATE&amp;creator=factset&amp;DYN_ARGS=TRUE&amp;DOC_NAME=FAT:FQL_AUDITING_CLIENT_TEMPLATE.FAT&amp;display_string=Audit&amp;VAR:KEY=XYTYLMBKTK&amp;VAR:QUERY=UkdGX1RBWF9SQVRFKEFOTiwwLCwsLCwsTk9BVURJVCk=&amp;WINDOW=FIRST_POPUP&amp;HEIGHT=450&amp;WIDTH=450&amp;","START_MAXIMIZED=FALSE&amp;VAR:CALENDAR=US&amp;VAR:SYMBOL=CALD&amp;VAR:INDEX=0"}</definedName>
    <definedName name="_600__FDSAUDITLINK__" hidden="1">{"fdsup://directions/FAT Viewer?action=UPDATE&amp;creator=factset&amp;DYN_ARGS=TRUE&amp;DOC_NAME=FAT:FQL_AUDITING_CLIENT_TEMPLATE.FAT&amp;display_string=Audit&amp;VAR:KEY=XYTYLMBKTK&amp;VAR:QUERY=UkdGX1RBWF9SQVRFKEFOTiwwLCwsLCwsTk9BVURJVCk=&amp;WINDOW=FIRST_POPUP&amp;HEIGHT=450&amp;WIDTH=450&amp;","START_MAXIMIZED=FALSE&amp;VAR:CALENDAR=US&amp;VAR:SYMBOL=CALD&amp;VAR:INDEX=0"}</definedName>
    <definedName name="_601__FDSAUDITLINK__" localSheetId="3" hidden="1">{"fdsup://directions/FAT Viewer?action=UPDATE&amp;creator=factset&amp;DYN_ARGS=TRUE&amp;DOC_NAME=FAT:FQL_AUDITING_CLIENT_TEMPLATE.FAT&amp;display_string=Audit&amp;VAR:KEY=LYXSHMNSTC&amp;VAR:QUERY=UkdGX1RBWF9SQVRFKEFOTiwwLCwsLCwsTk9BVURJVCk=&amp;WINDOW=FIRST_POPUP&amp;HEIGHT=450&amp;WIDTH=450&amp;","START_MAXIMIZED=FALSE&amp;VAR:CALENDAR=US&amp;VAR:SYMBOL=CA&amp;VAR:INDEX=0"}</definedName>
    <definedName name="_601__FDSAUDITLINK__" localSheetId="7" hidden="1">{"fdsup://directions/FAT Viewer?action=UPDATE&amp;creator=factset&amp;DYN_ARGS=TRUE&amp;DOC_NAME=FAT:FQL_AUDITING_CLIENT_TEMPLATE.FAT&amp;display_string=Audit&amp;VAR:KEY=LYXSHMNSTC&amp;VAR:QUERY=UkdGX1RBWF9SQVRFKEFOTiwwLCwsLCwsTk9BVURJVCk=&amp;WINDOW=FIRST_POPUP&amp;HEIGHT=450&amp;WIDTH=450&amp;","START_MAXIMIZED=FALSE&amp;VAR:CALENDAR=US&amp;VAR:SYMBOL=CA&amp;VAR:INDEX=0"}</definedName>
    <definedName name="_601__FDSAUDITLINK__" hidden="1">{"fdsup://directions/FAT Viewer?action=UPDATE&amp;creator=factset&amp;DYN_ARGS=TRUE&amp;DOC_NAME=FAT:FQL_AUDITING_CLIENT_TEMPLATE.FAT&amp;display_string=Audit&amp;VAR:KEY=LYXSHMNSTC&amp;VAR:QUERY=UkdGX1RBWF9SQVRFKEFOTiwwLCwsLCwsTk9BVURJVCk=&amp;WINDOW=FIRST_POPUP&amp;HEIGHT=450&amp;WIDTH=450&amp;","START_MAXIMIZED=FALSE&amp;VAR:CALENDAR=US&amp;VAR:SYMBOL=CA&amp;VAR:INDEX=0"}</definedName>
    <definedName name="_602__FDSAUDITLINK__" localSheetId="3" hidden="1">{"fdsup://directions/FAT Viewer?action=UPDATE&amp;creator=factset&amp;DYN_ARGS=TRUE&amp;DOC_NAME=FAT:FQL_AUDITING_CLIENT_TEMPLATE.FAT&amp;display_string=Audit&amp;VAR:KEY=LYXSHMNSTC&amp;VAR:QUERY=UkdGX1RBWF9SQVRFKEFOTiwwLCwsLCwsTk9BVURJVCk=&amp;WINDOW=FIRST_POPUP&amp;HEIGHT=450&amp;WIDTH=450&amp;","START_MAXIMIZED=FALSE&amp;VAR:CALENDAR=US&amp;VAR:SYMBOL=CA&amp;VAR:INDEX=0"}</definedName>
    <definedName name="_602__FDSAUDITLINK__" localSheetId="7" hidden="1">{"fdsup://directions/FAT Viewer?action=UPDATE&amp;creator=factset&amp;DYN_ARGS=TRUE&amp;DOC_NAME=FAT:FQL_AUDITING_CLIENT_TEMPLATE.FAT&amp;display_string=Audit&amp;VAR:KEY=LYXSHMNSTC&amp;VAR:QUERY=UkdGX1RBWF9SQVRFKEFOTiwwLCwsLCwsTk9BVURJVCk=&amp;WINDOW=FIRST_POPUP&amp;HEIGHT=450&amp;WIDTH=450&amp;","START_MAXIMIZED=FALSE&amp;VAR:CALENDAR=US&amp;VAR:SYMBOL=CA&amp;VAR:INDEX=0"}</definedName>
    <definedName name="_602__FDSAUDITLINK__" hidden="1">{"fdsup://directions/FAT Viewer?action=UPDATE&amp;creator=factset&amp;DYN_ARGS=TRUE&amp;DOC_NAME=FAT:FQL_AUDITING_CLIENT_TEMPLATE.FAT&amp;display_string=Audit&amp;VAR:KEY=LYXSHMNSTC&amp;VAR:QUERY=UkdGX1RBWF9SQVRFKEFOTiwwLCwsLCwsTk9BVURJVCk=&amp;WINDOW=FIRST_POPUP&amp;HEIGHT=450&amp;WIDTH=450&amp;","START_MAXIMIZED=FALSE&amp;VAR:CALENDAR=US&amp;VAR:SYMBOL=CA&amp;VAR:INDEX=0"}</definedName>
    <definedName name="_603__FDSAUDITLINK__" localSheetId="3" hidden="1">{"fdsup://directions/FAT Viewer?action=UPDATE&amp;creator=factset&amp;DYN_ARGS=TRUE&amp;DOC_NAME=FAT:FQL_AUDITING_CLIENT_TEMPLATE.FAT&amp;display_string=Audit&amp;VAR:KEY=BYXIVYJMDA&amp;VAR:QUERY=UkdGX1RBWF9SQVRFKEFOTiwwLCwsLCwsTk9BVURJVCk=&amp;WINDOW=FIRST_POPUP&amp;HEIGHT=450&amp;WIDTH=450&amp;","START_MAXIMIZED=FALSE&amp;VAR:CALENDAR=US&amp;VAR:SYMBOL=BSFT&amp;VAR:INDEX=0"}</definedName>
    <definedName name="_603__FDSAUDITLINK__" localSheetId="7" hidden="1">{"fdsup://directions/FAT Viewer?action=UPDATE&amp;creator=factset&amp;DYN_ARGS=TRUE&amp;DOC_NAME=FAT:FQL_AUDITING_CLIENT_TEMPLATE.FAT&amp;display_string=Audit&amp;VAR:KEY=BYXIVYJMDA&amp;VAR:QUERY=UkdGX1RBWF9SQVRFKEFOTiwwLCwsLCwsTk9BVURJVCk=&amp;WINDOW=FIRST_POPUP&amp;HEIGHT=450&amp;WIDTH=450&amp;","START_MAXIMIZED=FALSE&amp;VAR:CALENDAR=US&amp;VAR:SYMBOL=BSFT&amp;VAR:INDEX=0"}</definedName>
    <definedName name="_603__FDSAUDITLINK__" hidden="1">{"fdsup://directions/FAT Viewer?action=UPDATE&amp;creator=factset&amp;DYN_ARGS=TRUE&amp;DOC_NAME=FAT:FQL_AUDITING_CLIENT_TEMPLATE.FAT&amp;display_string=Audit&amp;VAR:KEY=BYXIVYJMDA&amp;VAR:QUERY=UkdGX1RBWF9SQVRFKEFOTiwwLCwsLCwsTk9BVURJVCk=&amp;WINDOW=FIRST_POPUP&amp;HEIGHT=450&amp;WIDTH=450&amp;","START_MAXIMIZED=FALSE&amp;VAR:CALENDAR=US&amp;VAR:SYMBOL=BSFT&amp;VAR:INDEX=0"}</definedName>
    <definedName name="_604__FDSAUDITLINK__" localSheetId="3" hidden="1">{"fdsup://directions/FAT Viewer?action=UPDATE&amp;creator=factset&amp;DYN_ARGS=TRUE&amp;DOC_NAME=FAT:FQL_AUDITING_CLIENT_TEMPLATE.FAT&amp;display_string=Audit&amp;VAR:KEY=TEDSNYLCJE&amp;VAR:QUERY=UkdGX1RBWF9SQVRFKEFOTiwwLCwsLCwsTk9BVURJVCk=&amp;WINDOW=FIRST_POPUP&amp;HEIGHT=450&amp;WIDTH=450&amp;","START_MAXIMIZED=FALSE&amp;VAR:CALENDAR=US&amp;VAR:SYMBOL=BLKB&amp;VAR:INDEX=0"}</definedName>
    <definedName name="_604__FDSAUDITLINK__" localSheetId="7" hidden="1">{"fdsup://directions/FAT Viewer?action=UPDATE&amp;creator=factset&amp;DYN_ARGS=TRUE&amp;DOC_NAME=FAT:FQL_AUDITING_CLIENT_TEMPLATE.FAT&amp;display_string=Audit&amp;VAR:KEY=TEDSNYLCJE&amp;VAR:QUERY=UkdGX1RBWF9SQVRFKEFOTiwwLCwsLCwsTk9BVURJVCk=&amp;WINDOW=FIRST_POPUP&amp;HEIGHT=450&amp;WIDTH=450&amp;","START_MAXIMIZED=FALSE&amp;VAR:CALENDAR=US&amp;VAR:SYMBOL=BLKB&amp;VAR:INDEX=0"}</definedName>
    <definedName name="_604__FDSAUDITLINK__" hidden="1">{"fdsup://directions/FAT Viewer?action=UPDATE&amp;creator=factset&amp;DYN_ARGS=TRUE&amp;DOC_NAME=FAT:FQL_AUDITING_CLIENT_TEMPLATE.FAT&amp;display_string=Audit&amp;VAR:KEY=TEDSNYLCJE&amp;VAR:QUERY=UkdGX1RBWF9SQVRFKEFOTiwwLCwsLCwsTk9BVURJVCk=&amp;WINDOW=FIRST_POPUP&amp;HEIGHT=450&amp;WIDTH=450&amp;","START_MAXIMIZED=FALSE&amp;VAR:CALENDAR=US&amp;VAR:SYMBOL=BLKB&amp;VAR:INDEX=0"}</definedName>
    <definedName name="_605__FDSAUDITLINK__" localSheetId="3" hidden="1">{"fdsup://directions/FAT Viewer?action=UPDATE&amp;creator=factset&amp;DYN_ARGS=TRUE&amp;DOC_NAME=FAT:FQL_AUDITING_CLIENT_TEMPLATE.FAT&amp;display_string=Audit&amp;VAR:KEY=TEDSNYLCJE&amp;VAR:QUERY=UkdGX1RBWF9SQVRFKEFOTiwwLCwsLCwsTk9BVURJVCk=&amp;WINDOW=FIRST_POPUP&amp;HEIGHT=450&amp;WIDTH=450&amp;","START_MAXIMIZED=FALSE&amp;VAR:CALENDAR=US&amp;VAR:SYMBOL=BLKB&amp;VAR:INDEX=0"}</definedName>
    <definedName name="_605__FDSAUDITLINK__" localSheetId="7" hidden="1">{"fdsup://directions/FAT Viewer?action=UPDATE&amp;creator=factset&amp;DYN_ARGS=TRUE&amp;DOC_NAME=FAT:FQL_AUDITING_CLIENT_TEMPLATE.FAT&amp;display_string=Audit&amp;VAR:KEY=TEDSNYLCJE&amp;VAR:QUERY=UkdGX1RBWF9SQVRFKEFOTiwwLCwsLCwsTk9BVURJVCk=&amp;WINDOW=FIRST_POPUP&amp;HEIGHT=450&amp;WIDTH=450&amp;","START_MAXIMIZED=FALSE&amp;VAR:CALENDAR=US&amp;VAR:SYMBOL=BLKB&amp;VAR:INDEX=0"}</definedName>
    <definedName name="_605__FDSAUDITLINK__" hidden="1">{"fdsup://directions/FAT Viewer?action=UPDATE&amp;creator=factset&amp;DYN_ARGS=TRUE&amp;DOC_NAME=FAT:FQL_AUDITING_CLIENT_TEMPLATE.FAT&amp;display_string=Audit&amp;VAR:KEY=TEDSNYLCJE&amp;VAR:QUERY=UkdGX1RBWF9SQVRFKEFOTiwwLCwsLCwsTk9BVURJVCk=&amp;WINDOW=FIRST_POPUP&amp;HEIGHT=450&amp;WIDTH=450&amp;","START_MAXIMIZED=FALSE&amp;VAR:CALENDAR=US&amp;VAR:SYMBOL=BLKB&amp;VAR:INDEX=0"}</definedName>
    <definedName name="_606__FDSAUDITLINK__" localSheetId="3" hidden="1">{"fdsup://directions/FAT Viewer?action=UPDATE&amp;creator=factset&amp;DYN_ARGS=TRUE&amp;DOC_NAME=FAT:FQL_AUDITING_CLIENT_TEMPLATE.FAT&amp;display_string=Audit&amp;VAR:KEY=XUVQVURUZI&amp;VAR:QUERY=UkdGX1RBWF9SQVRFKEFOTiwwLCwsLCwsTk9BVURJVCk=&amp;WINDOW=FIRST_POPUP&amp;HEIGHT=450&amp;WIDTH=450&amp;","START_MAXIMIZED=FALSE&amp;VAR:CALENDAR=US&amp;VAR:SYMBOL=AVID&amp;VAR:INDEX=0"}</definedName>
    <definedName name="_606__FDSAUDITLINK__" localSheetId="7" hidden="1">{"fdsup://directions/FAT Viewer?action=UPDATE&amp;creator=factset&amp;DYN_ARGS=TRUE&amp;DOC_NAME=FAT:FQL_AUDITING_CLIENT_TEMPLATE.FAT&amp;display_string=Audit&amp;VAR:KEY=XUVQVURUZI&amp;VAR:QUERY=UkdGX1RBWF9SQVRFKEFOTiwwLCwsLCwsTk9BVURJVCk=&amp;WINDOW=FIRST_POPUP&amp;HEIGHT=450&amp;WIDTH=450&amp;","START_MAXIMIZED=FALSE&amp;VAR:CALENDAR=US&amp;VAR:SYMBOL=AVID&amp;VAR:INDEX=0"}</definedName>
    <definedName name="_606__FDSAUDITLINK__" hidden="1">{"fdsup://directions/FAT Viewer?action=UPDATE&amp;creator=factset&amp;DYN_ARGS=TRUE&amp;DOC_NAME=FAT:FQL_AUDITING_CLIENT_TEMPLATE.FAT&amp;display_string=Audit&amp;VAR:KEY=XUVQVURUZI&amp;VAR:QUERY=UkdGX1RBWF9SQVRFKEFOTiwwLCwsLCwsTk9BVURJVCk=&amp;WINDOW=FIRST_POPUP&amp;HEIGHT=450&amp;WIDTH=450&amp;","START_MAXIMIZED=FALSE&amp;VAR:CALENDAR=US&amp;VAR:SYMBOL=AVID&amp;VAR:INDEX=0"}</definedName>
    <definedName name="_607__FDSAUDITLINK__" localSheetId="3" hidden="1">{"fdsup://directions/FAT Viewer?action=UPDATE&amp;creator=factset&amp;DYN_ARGS=TRUE&amp;DOC_NAME=FAT:FQL_AUDITING_CLIENT_TEMPLATE.FAT&amp;display_string=Audit&amp;VAR:KEY=BERGHIXSZM&amp;VAR:QUERY=UkdGX1RBWF9SQVRFKEFOTiwwLCwsLCwsTk9BVURJVCk=&amp;WINDOW=FIRST_POPUP&amp;HEIGHT=450&amp;WIDTH=450&amp;","START_MAXIMIZED=FALSE&amp;VAR:CALENDAR=US&amp;VAR:SYMBOL=011827&amp;VAR:INDEX=0"}</definedName>
    <definedName name="_607__FDSAUDITLINK__" localSheetId="7" hidden="1">{"fdsup://directions/FAT Viewer?action=UPDATE&amp;creator=factset&amp;DYN_ARGS=TRUE&amp;DOC_NAME=FAT:FQL_AUDITING_CLIENT_TEMPLATE.FAT&amp;display_string=Audit&amp;VAR:KEY=BERGHIXSZM&amp;VAR:QUERY=UkdGX1RBWF9SQVRFKEFOTiwwLCwsLCwsTk9BVURJVCk=&amp;WINDOW=FIRST_POPUP&amp;HEIGHT=450&amp;WIDTH=450&amp;","START_MAXIMIZED=FALSE&amp;VAR:CALENDAR=US&amp;VAR:SYMBOL=011827&amp;VAR:INDEX=0"}</definedName>
    <definedName name="_607__FDSAUDITLINK__" hidden="1">{"fdsup://directions/FAT Viewer?action=UPDATE&amp;creator=factset&amp;DYN_ARGS=TRUE&amp;DOC_NAME=FAT:FQL_AUDITING_CLIENT_TEMPLATE.FAT&amp;display_string=Audit&amp;VAR:KEY=BERGHIXSZM&amp;VAR:QUERY=UkdGX1RBWF9SQVRFKEFOTiwwLCwsLCwsTk9BVURJVCk=&amp;WINDOW=FIRST_POPUP&amp;HEIGHT=450&amp;WIDTH=450&amp;","START_MAXIMIZED=FALSE&amp;VAR:CALENDAR=US&amp;VAR:SYMBOL=011827&amp;VAR:INDEX=0"}</definedName>
    <definedName name="_608__FDSAUDITLINK__" localSheetId="3" hidden="1">{"fdsup://directions/FAT Viewer?action=UPDATE&amp;creator=factset&amp;DYN_ARGS=TRUE&amp;DOC_NAME=FAT:FQL_AUDITING_CLIENT_TEMPLATE.FAT&amp;display_string=Audit&amp;VAR:KEY=BERGHIXSZM&amp;VAR:QUERY=UkdGX1RBWF9SQVRFKEFOTiwwLCwsLCwsTk9BVURJVCk=&amp;WINDOW=FIRST_POPUP&amp;HEIGHT=450&amp;WIDTH=450&amp;","START_MAXIMIZED=FALSE&amp;VAR:CALENDAR=US&amp;VAR:SYMBOL=011827&amp;VAR:INDEX=0"}</definedName>
    <definedName name="_608__FDSAUDITLINK__" localSheetId="7" hidden="1">{"fdsup://directions/FAT Viewer?action=UPDATE&amp;creator=factset&amp;DYN_ARGS=TRUE&amp;DOC_NAME=FAT:FQL_AUDITING_CLIENT_TEMPLATE.FAT&amp;display_string=Audit&amp;VAR:KEY=BERGHIXSZM&amp;VAR:QUERY=UkdGX1RBWF9SQVRFKEFOTiwwLCwsLCwsTk9BVURJVCk=&amp;WINDOW=FIRST_POPUP&amp;HEIGHT=450&amp;WIDTH=450&amp;","START_MAXIMIZED=FALSE&amp;VAR:CALENDAR=US&amp;VAR:SYMBOL=011827&amp;VAR:INDEX=0"}</definedName>
    <definedName name="_608__FDSAUDITLINK__" hidden="1">{"fdsup://directions/FAT Viewer?action=UPDATE&amp;creator=factset&amp;DYN_ARGS=TRUE&amp;DOC_NAME=FAT:FQL_AUDITING_CLIENT_TEMPLATE.FAT&amp;display_string=Audit&amp;VAR:KEY=BERGHIXSZM&amp;VAR:QUERY=UkdGX1RBWF9SQVRFKEFOTiwwLCwsLCwsTk9BVURJVCk=&amp;WINDOW=FIRST_POPUP&amp;HEIGHT=450&amp;WIDTH=450&amp;","START_MAXIMIZED=FALSE&amp;VAR:CALENDAR=US&amp;VAR:SYMBOL=011827&amp;VAR:INDEX=0"}</definedName>
    <definedName name="_609__FDSAUDITLINK__" localSheetId="3" hidden="1">{"fdsup://directions/FAT Viewer?action=UPDATE&amp;creator=factset&amp;DYN_ARGS=TRUE&amp;DOC_NAME=FAT:FQL_AUDITING_CLIENT_TEMPLATE.FAT&amp;display_string=Audit&amp;VAR:KEY=XILIBABGBW&amp;VAR:QUERY=UkdGX1RBWF9SQVRFKEFOTiwwLCwsLCwsTk9BVURJVCk=&amp;WINDOW=FIRST_POPUP&amp;HEIGHT=450&amp;WIDTH=450&amp;","START_MAXIMIZED=FALSE&amp;VAR:CALENDAR=US&amp;VAR:SYMBOL=ATHN&amp;VAR:INDEX=0"}</definedName>
    <definedName name="_609__FDSAUDITLINK__" localSheetId="7" hidden="1">{"fdsup://directions/FAT Viewer?action=UPDATE&amp;creator=factset&amp;DYN_ARGS=TRUE&amp;DOC_NAME=FAT:FQL_AUDITING_CLIENT_TEMPLATE.FAT&amp;display_string=Audit&amp;VAR:KEY=XILIBABGBW&amp;VAR:QUERY=UkdGX1RBWF9SQVRFKEFOTiwwLCwsLCwsTk9BVURJVCk=&amp;WINDOW=FIRST_POPUP&amp;HEIGHT=450&amp;WIDTH=450&amp;","START_MAXIMIZED=FALSE&amp;VAR:CALENDAR=US&amp;VAR:SYMBOL=ATHN&amp;VAR:INDEX=0"}</definedName>
    <definedName name="_609__FDSAUDITLINK__" hidden="1">{"fdsup://directions/FAT Viewer?action=UPDATE&amp;creator=factset&amp;DYN_ARGS=TRUE&amp;DOC_NAME=FAT:FQL_AUDITING_CLIENT_TEMPLATE.FAT&amp;display_string=Audit&amp;VAR:KEY=XILIBABGBW&amp;VAR:QUERY=UkdGX1RBWF9SQVRFKEFOTiwwLCwsLCwsTk9BVURJVCk=&amp;WINDOW=FIRST_POPUP&amp;HEIGHT=450&amp;WIDTH=450&amp;","START_MAXIMIZED=FALSE&amp;VAR:CALENDAR=US&amp;VAR:SYMBOL=ATHN&amp;VAR:INDEX=0"}</definedName>
    <definedName name="_61__FDSAUDITLINK__" localSheetId="3" hidden="1">{"fdsup://directions/FAT Viewer?action=UPDATE&amp;creator=factset&amp;DYN_ARGS=TRUE&amp;DOC_NAME=FAT:FQL_AUDITING_CLIENT_TEMPLATE.FAT&amp;display_string=Audit&amp;VAR:KEY=ANEFIHKJCP&amp;VAR:QUERY=RkZfRUJJVERBX09QRVIoTFRNLDAsLCwsLE0p&amp;WINDOW=FIRST_POPUP&amp;HEIGHT=450&amp;WIDTH=450&amp;START_MA","XIMIZED=FALSE&amp;VAR:CALENDAR=US&amp;VAR:SYMBOL=B031NN&amp;VAR:INDEX=0"}</definedName>
    <definedName name="_61__FDSAUDITLINK__" localSheetId="7" hidden="1">{"fdsup://directions/FAT Viewer?action=UPDATE&amp;creator=factset&amp;DYN_ARGS=TRUE&amp;DOC_NAME=FAT:FQL_AUDITING_CLIENT_TEMPLATE.FAT&amp;display_string=Audit&amp;VAR:KEY=ANEFIHKJCP&amp;VAR:QUERY=RkZfRUJJVERBX09QRVIoTFRNLDAsLCwsLE0p&amp;WINDOW=FIRST_POPUP&amp;HEIGHT=450&amp;WIDTH=450&amp;START_MA","XIMIZED=FALSE&amp;VAR:CALENDAR=US&amp;VAR:SYMBOL=B031NN&amp;VAR:INDEX=0"}</definedName>
    <definedName name="_61__FDSAUDITLINK__" hidden="1">{"fdsup://directions/FAT Viewer?action=UPDATE&amp;creator=factset&amp;DYN_ARGS=TRUE&amp;DOC_NAME=FAT:FQL_AUDITING_CLIENT_TEMPLATE.FAT&amp;display_string=Audit&amp;VAR:KEY=ANEFIHKJCP&amp;VAR:QUERY=RkZfRUJJVERBX09QRVIoTFRNLDAsLCwsLE0p&amp;WINDOW=FIRST_POPUP&amp;HEIGHT=450&amp;WIDTH=450&amp;START_MA","XIMIZED=FALSE&amp;VAR:CALENDAR=US&amp;VAR:SYMBOL=B031NN&amp;VAR:INDEX=0"}</definedName>
    <definedName name="_610__FDSAUDITLINK__" localSheetId="3" hidden="1">{"fdsup://directions/FAT Viewer?action=UPDATE&amp;creator=factset&amp;DYN_ARGS=TRUE&amp;DOC_NAME=FAT:FQL_AUDITING_CLIENT_TEMPLATE.FAT&amp;display_string=Audit&amp;VAR:KEY=XILIBABGBW&amp;VAR:QUERY=UkdGX1RBWF9SQVRFKEFOTiwwLCwsLCwsTk9BVURJVCk=&amp;WINDOW=FIRST_POPUP&amp;HEIGHT=450&amp;WIDTH=450&amp;","START_MAXIMIZED=FALSE&amp;VAR:CALENDAR=US&amp;VAR:SYMBOL=ATHN&amp;VAR:INDEX=0"}</definedName>
    <definedName name="_610__FDSAUDITLINK__" localSheetId="7" hidden="1">{"fdsup://directions/FAT Viewer?action=UPDATE&amp;creator=factset&amp;DYN_ARGS=TRUE&amp;DOC_NAME=FAT:FQL_AUDITING_CLIENT_TEMPLATE.FAT&amp;display_string=Audit&amp;VAR:KEY=XILIBABGBW&amp;VAR:QUERY=UkdGX1RBWF9SQVRFKEFOTiwwLCwsLCwsTk9BVURJVCk=&amp;WINDOW=FIRST_POPUP&amp;HEIGHT=450&amp;WIDTH=450&amp;","START_MAXIMIZED=FALSE&amp;VAR:CALENDAR=US&amp;VAR:SYMBOL=ATHN&amp;VAR:INDEX=0"}</definedName>
    <definedName name="_610__FDSAUDITLINK__" hidden="1">{"fdsup://directions/FAT Viewer?action=UPDATE&amp;creator=factset&amp;DYN_ARGS=TRUE&amp;DOC_NAME=FAT:FQL_AUDITING_CLIENT_TEMPLATE.FAT&amp;display_string=Audit&amp;VAR:KEY=XILIBABGBW&amp;VAR:QUERY=UkdGX1RBWF9SQVRFKEFOTiwwLCwsLCwsTk9BVURJVCk=&amp;WINDOW=FIRST_POPUP&amp;HEIGHT=450&amp;WIDTH=450&amp;","START_MAXIMIZED=FALSE&amp;VAR:CALENDAR=US&amp;VAR:SYMBOL=ATHN&amp;VAR:INDEX=0"}</definedName>
    <definedName name="_611__FDSAUDITLINK__" localSheetId="3" hidden="1">{"fdsup://directions/FAT Viewer?action=UPDATE&amp;creator=factset&amp;DYN_ARGS=TRUE&amp;DOC_NAME=FAT:FQL_AUDITING_CLIENT_TEMPLATE.FAT&amp;display_string=Audit&amp;VAR:KEY=JGRCDQPOHE&amp;VAR:QUERY=UkdGX1RBWF9SQVRFKEFOTiwwLCwsLCwsTk9BVURJVCk=&amp;WINDOW=FIRST_POPUP&amp;HEIGHT=450&amp;WIDTH=450&amp;","START_MAXIMIZED=FALSE&amp;VAR:CALENDAR=US&amp;VAR:SYMBOL=ARTG&amp;VAR:INDEX=0"}</definedName>
    <definedName name="_611__FDSAUDITLINK__" localSheetId="7" hidden="1">{"fdsup://directions/FAT Viewer?action=UPDATE&amp;creator=factset&amp;DYN_ARGS=TRUE&amp;DOC_NAME=FAT:FQL_AUDITING_CLIENT_TEMPLATE.FAT&amp;display_string=Audit&amp;VAR:KEY=JGRCDQPOHE&amp;VAR:QUERY=UkdGX1RBWF9SQVRFKEFOTiwwLCwsLCwsTk9BVURJVCk=&amp;WINDOW=FIRST_POPUP&amp;HEIGHT=450&amp;WIDTH=450&amp;","START_MAXIMIZED=FALSE&amp;VAR:CALENDAR=US&amp;VAR:SYMBOL=ARTG&amp;VAR:INDEX=0"}</definedName>
    <definedName name="_611__FDSAUDITLINK__" hidden="1">{"fdsup://directions/FAT Viewer?action=UPDATE&amp;creator=factset&amp;DYN_ARGS=TRUE&amp;DOC_NAME=FAT:FQL_AUDITING_CLIENT_TEMPLATE.FAT&amp;display_string=Audit&amp;VAR:KEY=JGRCDQPOHE&amp;VAR:QUERY=UkdGX1RBWF9SQVRFKEFOTiwwLCwsLCwsTk9BVURJVCk=&amp;WINDOW=FIRST_POPUP&amp;HEIGHT=450&amp;WIDTH=450&amp;","START_MAXIMIZED=FALSE&amp;VAR:CALENDAR=US&amp;VAR:SYMBOL=ARTG&amp;VAR:INDEX=0"}</definedName>
    <definedName name="_612__FDSAUDITLINK__" localSheetId="3" hidden="1">{"fdsup://directions/FAT Viewer?action=UPDATE&amp;creator=factset&amp;DYN_ARGS=TRUE&amp;DOC_NAME=FAT:FQL_AUDITING_CLIENT_TEMPLATE.FAT&amp;display_string=Audit&amp;VAR:KEY=JGRCDQPOHE&amp;VAR:QUERY=UkdGX1RBWF9SQVRFKEFOTiwwLCwsLCwsTk9BVURJVCk=&amp;WINDOW=FIRST_POPUP&amp;HEIGHT=450&amp;WIDTH=450&amp;","START_MAXIMIZED=FALSE&amp;VAR:CALENDAR=US&amp;VAR:SYMBOL=ARTG&amp;VAR:INDEX=0"}</definedName>
    <definedName name="_612__FDSAUDITLINK__" localSheetId="7" hidden="1">{"fdsup://directions/FAT Viewer?action=UPDATE&amp;creator=factset&amp;DYN_ARGS=TRUE&amp;DOC_NAME=FAT:FQL_AUDITING_CLIENT_TEMPLATE.FAT&amp;display_string=Audit&amp;VAR:KEY=JGRCDQPOHE&amp;VAR:QUERY=UkdGX1RBWF9SQVRFKEFOTiwwLCwsLCwsTk9BVURJVCk=&amp;WINDOW=FIRST_POPUP&amp;HEIGHT=450&amp;WIDTH=450&amp;","START_MAXIMIZED=FALSE&amp;VAR:CALENDAR=US&amp;VAR:SYMBOL=ARTG&amp;VAR:INDEX=0"}</definedName>
    <definedName name="_612__FDSAUDITLINK__" hidden="1">{"fdsup://directions/FAT Viewer?action=UPDATE&amp;creator=factset&amp;DYN_ARGS=TRUE&amp;DOC_NAME=FAT:FQL_AUDITING_CLIENT_TEMPLATE.FAT&amp;display_string=Audit&amp;VAR:KEY=JGRCDQPOHE&amp;VAR:QUERY=UkdGX1RBWF9SQVRFKEFOTiwwLCwsLCwsTk9BVURJVCk=&amp;WINDOW=FIRST_POPUP&amp;HEIGHT=450&amp;WIDTH=450&amp;","START_MAXIMIZED=FALSE&amp;VAR:CALENDAR=US&amp;VAR:SYMBOL=ARTG&amp;VAR:INDEX=0"}</definedName>
    <definedName name="_613__FDSAUDITLINK__" localSheetId="3" hidden="1">{"fdsup://directions/FAT Viewer?action=UPDATE&amp;creator=factset&amp;DYN_ARGS=TRUE&amp;DOC_NAME=FAT:FQL_AUDITING_CLIENT_TEMPLATE.FAT&amp;display_string=Audit&amp;VAR:KEY=TCRAPGZUXU&amp;VAR:QUERY=UkdGX1RBWF9SQVRFKEFOTiwwLCwsLCwsTk9BVURJVCk=&amp;WINDOW=FIRST_POPUP&amp;HEIGHT=450&amp;WIDTH=450&amp;","START_MAXIMIZED=FALSE&amp;VAR:CALENDAR=US&amp;VAR:SYMBOL=ARBA&amp;VAR:INDEX=0"}</definedName>
    <definedName name="_613__FDSAUDITLINK__" localSheetId="7" hidden="1">{"fdsup://directions/FAT Viewer?action=UPDATE&amp;creator=factset&amp;DYN_ARGS=TRUE&amp;DOC_NAME=FAT:FQL_AUDITING_CLIENT_TEMPLATE.FAT&amp;display_string=Audit&amp;VAR:KEY=TCRAPGZUXU&amp;VAR:QUERY=UkdGX1RBWF9SQVRFKEFOTiwwLCwsLCwsTk9BVURJVCk=&amp;WINDOW=FIRST_POPUP&amp;HEIGHT=450&amp;WIDTH=450&amp;","START_MAXIMIZED=FALSE&amp;VAR:CALENDAR=US&amp;VAR:SYMBOL=ARBA&amp;VAR:INDEX=0"}</definedName>
    <definedName name="_613__FDSAUDITLINK__" hidden="1">{"fdsup://directions/FAT Viewer?action=UPDATE&amp;creator=factset&amp;DYN_ARGS=TRUE&amp;DOC_NAME=FAT:FQL_AUDITING_CLIENT_TEMPLATE.FAT&amp;display_string=Audit&amp;VAR:KEY=TCRAPGZUXU&amp;VAR:QUERY=UkdGX1RBWF9SQVRFKEFOTiwwLCwsLCwsTk9BVURJVCk=&amp;WINDOW=FIRST_POPUP&amp;HEIGHT=450&amp;WIDTH=450&amp;","START_MAXIMIZED=FALSE&amp;VAR:CALENDAR=US&amp;VAR:SYMBOL=ARBA&amp;VAR:INDEX=0"}</definedName>
    <definedName name="_614__FDSAUDITLINK__" localSheetId="3" hidden="1">{"fdsup://directions/FAT Viewer?action=UPDATE&amp;creator=factset&amp;DYN_ARGS=TRUE&amp;DOC_NAME=FAT:FQL_AUDITING_CLIENT_TEMPLATE.FAT&amp;display_string=Audit&amp;VAR:KEY=TCRAPGZUXU&amp;VAR:QUERY=UkdGX1RBWF9SQVRFKEFOTiwwLCwsLCwsTk9BVURJVCk=&amp;WINDOW=FIRST_POPUP&amp;HEIGHT=450&amp;WIDTH=450&amp;","START_MAXIMIZED=FALSE&amp;VAR:CALENDAR=US&amp;VAR:SYMBOL=ARBA&amp;VAR:INDEX=0"}</definedName>
    <definedName name="_614__FDSAUDITLINK__" localSheetId="7" hidden="1">{"fdsup://directions/FAT Viewer?action=UPDATE&amp;creator=factset&amp;DYN_ARGS=TRUE&amp;DOC_NAME=FAT:FQL_AUDITING_CLIENT_TEMPLATE.FAT&amp;display_string=Audit&amp;VAR:KEY=TCRAPGZUXU&amp;VAR:QUERY=UkdGX1RBWF9SQVRFKEFOTiwwLCwsLCwsTk9BVURJVCk=&amp;WINDOW=FIRST_POPUP&amp;HEIGHT=450&amp;WIDTH=450&amp;","START_MAXIMIZED=FALSE&amp;VAR:CALENDAR=US&amp;VAR:SYMBOL=ARBA&amp;VAR:INDEX=0"}</definedName>
    <definedName name="_614__FDSAUDITLINK__" hidden="1">{"fdsup://directions/FAT Viewer?action=UPDATE&amp;creator=factset&amp;DYN_ARGS=TRUE&amp;DOC_NAME=FAT:FQL_AUDITING_CLIENT_TEMPLATE.FAT&amp;display_string=Audit&amp;VAR:KEY=TCRAPGZUXU&amp;VAR:QUERY=UkdGX1RBWF9SQVRFKEFOTiwwLCwsLCwsTk9BVURJVCk=&amp;WINDOW=FIRST_POPUP&amp;HEIGHT=450&amp;WIDTH=450&amp;","START_MAXIMIZED=FALSE&amp;VAR:CALENDAR=US&amp;VAR:SYMBOL=ARBA&amp;VAR:INDEX=0"}</definedName>
    <definedName name="_615__FDSAUDITLINK__" localSheetId="3" hidden="1">{"fdsup://directions/FAT Viewer?action=UPDATE&amp;creator=factset&amp;DYN_ARGS=TRUE&amp;DOC_NAME=FAT:FQL_AUDITING_CLIENT_TEMPLATE.FAT&amp;display_string=Audit&amp;VAR:KEY=RCJMJKJSZY&amp;VAR:QUERY=UkdGX1RBWF9SQVRFKEFOTiwwLCwsLCwsTk9BVURJVCk=&amp;WINDOW=FIRST_POPUP&amp;HEIGHT=450&amp;WIDTH=450&amp;","START_MAXIMIZED=FALSE&amp;VAR:CALENDAR=US&amp;VAR:SYMBOL=ANSS&amp;VAR:INDEX=0"}</definedName>
    <definedName name="_615__FDSAUDITLINK__" localSheetId="7" hidden="1">{"fdsup://directions/FAT Viewer?action=UPDATE&amp;creator=factset&amp;DYN_ARGS=TRUE&amp;DOC_NAME=FAT:FQL_AUDITING_CLIENT_TEMPLATE.FAT&amp;display_string=Audit&amp;VAR:KEY=RCJMJKJSZY&amp;VAR:QUERY=UkdGX1RBWF9SQVRFKEFOTiwwLCwsLCwsTk9BVURJVCk=&amp;WINDOW=FIRST_POPUP&amp;HEIGHT=450&amp;WIDTH=450&amp;","START_MAXIMIZED=FALSE&amp;VAR:CALENDAR=US&amp;VAR:SYMBOL=ANSS&amp;VAR:INDEX=0"}</definedName>
    <definedName name="_615__FDSAUDITLINK__" hidden="1">{"fdsup://directions/FAT Viewer?action=UPDATE&amp;creator=factset&amp;DYN_ARGS=TRUE&amp;DOC_NAME=FAT:FQL_AUDITING_CLIENT_TEMPLATE.FAT&amp;display_string=Audit&amp;VAR:KEY=RCJMJKJSZY&amp;VAR:QUERY=UkdGX1RBWF9SQVRFKEFOTiwwLCwsLCwsTk9BVURJVCk=&amp;WINDOW=FIRST_POPUP&amp;HEIGHT=450&amp;WIDTH=450&amp;","START_MAXIMIZED=FALSE&amp;VAR:CALENDAR=US&amp;VAR:SYMBOL=ANSS&amp;VAR:INDEX=0"}</definedName>
    <definedName name="_616__FDSAUDITLINK__" localSheetId="3" hidden="1">{"fdsup://directions/FAT Viewer?action=UPDATE&amp;creator=factset&amp;DYN_ARGS=TRUE&amp;DOC_NAME=FAT:FQL_AUDITING_CLIENT_TEMPLATE.FAT&amp;display_string=Audit&amp;VAR:KEY=RCJMJKJSZY&amp;VAR:QUERY=UkdGX1RBWF9SQVRFKEFOTiwwLCwsLCwsTk9BVURJVCk=&amp;WINDOW=FIRST_POPUP&amp;HEIGHT=450&amp;WIDTH=450&amp;","START_MAXIMIZED=FALSE&amp;VAR:CALENDAR=US&amp;VAR:SYMBOL=ANSS&amp;VAR:INDEX=0"}</definedName>
    <definedName name="_616__FDSAUDITLINK__" localSheetId="7" hidden="1">{"fdsup://directions/FAT Viewer?action=UPDATE&amp;creator=factset&amp;DYN_ARGS=TRUE&amp;DOC_NAME=FAT:FQL_AUDITING_CLIENT_TEMPLATE.FAT&amp;display_string=Audit&amp;VAR:KEY=RCJMJKJSZY&amp;VAR:QUERY=UkdGX1RBWF9SQVRFKEFOTiwwLCwsLCwsTk9BVURJVCk=&amp;WINDOW=FIRST_POPUP&amp;HEIGHT=450&amp;WIDTH=450&amp;","START_MAXIMIZED=FALSE&amp;VAR:CALENDAR=US&amp;VAR:SYMBOL=ANSS&amp;VAR:INDEX=0"}</definedName>
    <definedName name="_616__FDSAUDITLINK__" hidden="1">{"fdsup://directions/FAT Viewer?action=UPDATE&amp;creator=factset&amp;DYN_ARGS=TRUE&amp;DOC_NAME=FAT:FQL_AUDITING_CLIENT_TEMPLATE.FAT&amp;display_string=Audit&amp;VAR:KEY=RCJMJKJSZY&amp;VAR:QUERY=UkdGX1RBWF9SQVRFKEFOTiwwLCwsLCwsTk9BVURJVCk=&amp;WINDOW=FIRST_POPUP&amp;HEIGHT=450&amp;WIDTH=450&amp;","START_MAXIMIZED=FALSE&amp;VAR:CALENDAR=US&amp;VAR:SYMBOL=ANSS&amp;VAR:INDEX=0"}</definedName>
    <definedName name="_617__FDSAUDITLINK__" localSheetId="3" hidden="1">{"fdsup://directions/FAT Viewer?action=UPDATE&amp;creator=factset&amp;DYN_ARGS=TRUE&amp;DOC_NAME=FAT:FQL_AUDITING_CLIENT_TEMPLATE.FAT&amp;display_string=Audit&amp;VAR:KEY=ZOTGJITOVQ&amp;VAR:QUERY=UkdGX1RBWF9SQVRFKEFOTiwwLCwsLCwsTk9BVURJVCk=&amp;WINDOW=FIRST_POPUP&amp;HEIGHT=450&amp;WIDTH=450&amp;","START_MAXIMIZED=FALSE&amp;VAR:CALENDAR=US&amp;VAR:SYMBOL=AMZN&amp;VAR:INDEX=0"}</definedName>
    <definedName name="_617__FDSAUDITLINK__" localSheetId="7" hidden="1">{"fdsup://directions/FAT Viewer?action=UPDATE&amp;creator=factset&amp;DYN_ARGS=TRUE&amp;DOC_NAME=FAT:FQL_AUDITING_CLIENT_TEMPLATE.FAT&amp;display_string=Audit&amp;VAR:KEY=ZOTGJITOVQ&amp;VAR:QUERY=UkdGX1RBWF9SQVRFKEFOTiwwLCwsLCwsTk9BVURJVCk=&amp;WINDOW=FIRST_POPUP&amp;HEIGHT=450&amp;WIDTH=450&amp;","START_MAXIMIZED=FALSE&amp;VAR:CALENDAR=US&amp;VAR:SYMBOL=AMZN&amp;VAR:INDEX=0"}</definedName>
    <definedName name="_617__FDSAUDITLINK__" hidden="1">{"fdsup://directions/FAT Viewer?action=UPDATE&amp;creator=factset&amp;DYN_ARGS=TRUE&amp;DOC_NAME=FAT:FQL_AUDITING_CLIENT_TEMPLATE.FAT&amp;display_string=Audit&amp;VAR:KEY=ZOTGJITOVQ&amp;VAR:QUERY=UkdGX1RBWF9SQVRFKEFOTiwwLCwsLCwsTk9BVURJVCk=&amp;WINDOW=FIRST_POPUP&amp;HEIGHT=450&amp;WIDTH=450&amp;","START_MAXIMIZED=FALSE&amp;VAR:CALENDAR=US&amp;VAR:SYMBOL=AMZN&amp;VAR:INDEX=0"}</definedName>
    <definedName name="_618__FDSAUDITLINK__" localSheetId="3" hidden="1">{"fdsup://directions/FAT Viewer?action=UPDATE&amp;creator=factset&amp;DYN_ARGS=TRUE&amp;DOC_NAME=FAT:FQL_AUDITING_CLIENT_TEMPLATE.FAT&amp;display_string=Audit&amp;VAR:KEY=ZOTGJITOVQ&amp;VAR:QUERY=UkdGX1RBWF9SQVRFKEFOTiwwLCwsLCwsTk9BVURJVCk=&amp;WINDOW=FIRST_POPUP&amp;HEIGHT=450&amp;WIDTH=450&amp;","START_MAXIMIZED=FALSE&amp;VAR:CALENDAR=US&amp;VAR:SYMBOL=AMZN&amp;VAR:INDEX=0"}</definedName>
    <definedName name="_618__FDSAUDITLINK__" localSheetId="7" hidden="1">{"fdsup://directions/FAT Viewer?action=UPDATE&amp;creator=factset&amp;DYN_ARGS=TRUE&amp;DOC_NAME=FAT:FQL_AUDITING_CLIENT_TEMPLATE.FAT&amp;display_string=Audit&amp;VAR:KEY=ZOTGJITOVQ&amp;VAR:QUERY=UkdGX1RBWF9SQVRFKEFOTiwwLCwsLCwsTk9BVURJVCk=&amp;WINDOW=FIRST_POPUP&amp;HEIGHT=450&amp;WIDTH=450&amp;","START_MAXIMIZED=FALSE&amp;VAR:CALENDAR=US&amp;VAR:SYMBOL=AMZN&amp;VAR:INDEX=0"}</definedName>
    <definedName name="_618__FDSAUDITLINK__" hidden="1">{"fdsup://directions/FAT Viewer?action=UPDATE&amp;creator=factset&amp;DYN_ARGS=TRUE&amp;DOC_NAME=FAT:FQL_AUDITING_CLIENT_TEMPLATE.FAT&amp;display_string=Audit&amp;VAR:KEY=ZOTGJITOVQ&amp;VAR:QUERY=UkdGX1RBWF9SQVRFKEFOTiwwLCwsLCwsTk9BVURJVCk=&amp;WINDOW=FIRST_POPUP&amp;HEIGHT=450&amp;WIDTH=450&amp;","START_MAXIMIZED=FALSE&amp;VAR:CALENDAR=US&amp;VAR:SYMBOL=AMZN&amp;VAR:INDEX=0"}</definedName>
    <definedName name="_619__FDSAUDITLINK__" localSheetId="3" hidden="1">{"fdsup://directions/FAT Viewer?action=UPDATE&amp;creator=factset&amp;DYN_ARGS=TRUE&amp;DOC_NAME=FAT:FQL_AUDITING_CLIENT_TEMPLATE.FAT&amp;display_string=Audit&amp;VAR:KEY=JGDIZSBKDQ&amp;VAR:QUERY=UkdGX1RBWF9SQVRFKEFOTiwwLCwsLCwsTk9BVURJVCk=&amp;WINDOW=FIRST_POPUP&amp;HEIGHT=450&amp;WIDTH=450&amp;","START_MAXIMIZED=FALSE&amp;VAR:CALENDAR=US&amp;VAR:SYMBOL=ADVS&amp;VAR:INDEX=0"}</definedName>
    <definedName name="_619__FDSAUDITLINK__" localSheetId="7" hidden="1">{"fdsup://directions/FAT Viewer?action=UPDATE&amp;creator=factset&amp;DYN_ARGS=TRUE&amp;DOC_NAME=FAT:FQL_AUDITING_CLIENT_TEMPLATE.FAT&amp;display_string=Audit&amp;VAR:KEY=JGDIZSBKDQ&amp;VAR:QUERY=UkdGX1RBWF9SQVRFKEFOTiwwLCwsLCwsTk9BVURJVCk=&amp;WINDOW=FIRST_POPUP&amp;HEIGHT=450&amp;WIDTH=450&amp;","START_MAXIMIZED=FALSE&amp;VAR:CALENDAR=US&amp;VAR:SYMBOL=ADVS&amp;VAR:INDEX=0"}</definedName>
    <definedName name="_619__FDSAUDITLINK__" hidden="1">{"fdsup://directions/FAT Viewer?action=UPDATE&amp;creator=factset&amp;DYN_ARGS=TRUE&amp;DOC_NAME=FAT:FQL_AUDITING_CLIENT_TEMPLATE.FAT&amp;display_string=Audit&amp;VAR:KEY=JGDIZSBKDQ&amp;VAR:QUERY=UkdGX1RBWF9SQVRFKEFOTiwwLCwsLCwsTk9BVURJVCk=&amp;WINDOW=FIRST_POPUP&amp;HEIGHT=450&amp;WIDTH=450&amp;","START_MAXIMIZED=FALSE&amp;VAR:CALENDAR=US&amp;VAR:SYMBOL=ADVS&amp;VAR:INDEX=0"}</definedName>
    <definedName name="_62__FDSAUDITLINK__" localSheetId="3" hidden="1">{"fdsup://directions/FAT Viewer?action=UPDATE&amp;creator=factset&amp;DYN_ARGS=TRUE&amp;DOC_NAME=FAT:FQL_AUDITING_CLIENT_TEMPLATE.FAT&amp;display_string=Audit&amp;VAR:KEY=SPWPSBGDYJ&amp;VAR:QUERY=RkZfU0FMRVMoTFRNLDAsLCwsLE0p&amp;WINDOW=FIRST_POPUP&amp;HEIGHT=450&amp;WIDTH=450&amp;START_MAXIMIZED=","FALSE&amp;VAR:CALENDAR=US&amp;VAR:SYMBOL=B031NN&amp;VAR:INDEX=0"}</definedName>
    <definedName name="_62__FDSAUDITLINK__" localSheetId="7" hidden="1">{"fdsup://directions/FAT Viewer?action=UPDATE&amp;creator=factset&amp;DYN_ARGS=TRUE&amp;DOC_NAME=FAT:FQL_AUDITING_CLIENT_TEMPLATE.FAT&amp;display_string=Audit&amp;VAR:KEY=SPWPSBGDYJ&amp;VAR:QUERY=RkZfU0FMRVMoTFRNLDAsLCwsLE0p&amp;WINDOW=FIRST_POPUP&amp;HEIGHT=450&amp;WIDTH=450&amp;START_MAXIMIZED=","FALSE&amp;VAR:CALENDAR=US&amp;VAR:SYMBOL=B031NN&amp;VAR:INDEX=0"}</definedName>
    <definedName name="_62__FDSAUDITLINK__" hidden="1">{"fdsup://directions/FAT Viewer?action=UPDATE&amp;creator=factset&amp;DYN_ARGS=TRUE&amp;DOC_NAME=FAT:FQL_AUDITING_CLIENT_TEMPLATE.FAT&amp;display_string=Audit&amp;VAR:KEY=SPWPSBGDYJ&amp;VAR:QUERY=RkZfU0FMRVMoTFRNLDAsLCwsLE0p&amp;WINDOW=FIRST_POPUP&amp;HEIGHT=450&amp;WIDTH=450&amp;START_MAXIMIZED=","FALSE&amp;VAR:CALENDAR=US&amp;VAR:SYMBOL=B031NN&amp;VAR:INDEX=0"}</definedName>
    <definedName name="_620__FDSAUDITLINK__" localSheetId="3" hidden="1">{"fdsup://directions/FAT Viewer?action=UPDATE&amp;creator=factset&amp;DYN_ARGS=TRUE&amp;DOC_NAME=FAT:FQL_AUDITING_CLIENT_TEMPLATE.FAT&amp;display_string=Audit&amp;VAR:KEY=JGDIZSBKDQ&amp;VAR:QUERY=UkdGX1RBWF9SQVRFKEFOTiwwLCwsLCwsTk9BVURJVCk=&amp;WINDOW=FIRST_POPUP&amp;HEIGHT=450&amp;WIDTH=450&amp;","START_MAXIMIZED=FALSE&amp;VAR:CALENDAR=US&amp;VAR:SYMBOL=ADVS&amp;VAR:INDEX=0"}</definedName>
    <definedName name="_620__FDSAUDITLINK__" localSheetId="7" hidden="1">{"fdsup://directions/FAT Viewer?action=UPDATE&amp;creator=factset&amp;DYN_ARGS=TRUE&amp;DOC_NAME=FAT:FQL_AUDITING_CLIENT_TEMPLATE.FAT&amp;display_string=Audit&amp;VAR:KEY=JGDIZSBKDQ&amp;VAR:QUERY=UkdGX1RBWF9SQVRFKEFOTiwwLCwsLCwsTk9BVURJVCk=&amp;WINDOW=FIRST_POPUP&amp;HEIGHT=450&amp;WIDTH=450&amp;","START_MAXIMIZED=FALSE&amp;VAR:CALENDAR=US&amp;VAR:SYMBOL=ADVS&amp;VAR:INDEX=0"}</definedName>
    <definedName name="_620__FDSAUDITLINK__" hidden="1">{"fdsup://directions/FAT Viewer?action=UPDATE&amp;creator=factset&amp;DYN_ARGS=TRUE&amp;DOC_NAME=FAT:FQL_AUDITING_CLIENT_TEMPLATE.FAT&amp;display_string=Audit&amp;VAR:KEY=JGDIZSBKDQ&amp;VAR:QUERY=UkdGX1RBWF9SQVRFKEFOTiwwLCwsLCwsTk9BVURJVCk=&amp;WINDOW=FIRST_POPUP&amp;HEIGHT=450&amp;WIDTH=450&amp;","START_MAXIMIZED=FALSE&amp;VAR:CALENDAR=US&amp;VAR:SYMBOL=ADVS&amp;VAR:INDEX=0"}</definedName>
    <definedName name="_621__FDSAUDITLINK__" localSheetId="3" hidden="1">{"fdsup://directions/FAT Viewer?action=UPDATE&amp;creator=factset&amp;DYN_ARGS=TRUE&amp;DOC_NAME=FAT:FQL_AUDITING_CLIENT_TEMPLATE.FAT&amp;display_string=Audit&amp;VAR:KEY=XSVWZYJWBO&amp;VAR:QUERY=UkdGX1RBWF9SQVRFKEFOTiwwLCwsLCwsTk9BVURJVCk=&amp;WINDOW=FIRST_POPUP&amp;HEIGHT=450&amp;WIDTH=450&amp;","START_MAXIMIZED=FALSE&amp;VAR:CALENDAR=US&amp;VAR:SYMBOL=ACTU&amp;VAR:INDEX=0"}</definedName>
    <definedName name="_621__FDSAUDITLINK__" localSheetId="7" hidden="1">{"fdsup://directions/FAT Viewer?action=UPDATE&amp;creator=factset&amp;DYN_ARGS=TRUE&amp;DOC_NAME=FAT:FQL_AUDITING_CLIENT_TEMPLATE.FAT&amp;display_string=Audit&amp;VAR:KEY=XSVWZYJWBO&amp;VAR:QUERY=UkdGX1RBWF9SQVRFKEFOTiwwLCwsLCwsTk9BVURJVCk=&amp;WINDOW=FIRST_POPUP&amp;HEIGHT=450&amp;WIDTH=450&amp;","START_MAXIMIZED=FALSE&amp;VAR:CALENDAR=US&amp;VAR:SYMBOL=ACTU&amp;VAR:INDEX=0"}</definedName>
    <definedName name="_621__FDSAUDITLINK__" hidden="1">{"fdsup://directions/FAT Viewer?action=UPDATE&amp;creator=factset&amp;DYN_ARGS=TRUE&amp;DOC_NAME=FAT:FQL_AUDITING_CLIENT_TEMPLATE.FAT&amp;display_string=Audit&amp;VAR:KEY=XSVWZYJWBO&amp;VAR:QUERY=UkdGX1RBWF9SQVRFKEFOTiwwLCwsLCwsTk9BVURJVCk=&amp;WINDOW=FIRST_POPUP&amp;HEIGHT=450&amp;WIDTH=450&amp;","START_MAXIMIZED=FALSE&amp;VAR:CALENDAR=US&amp;VAR:SYMBOL=ACTU&amp;VAR:INDEX=0"}</definedName>
    <definedName name="_622__FDSAUDITLINK__" localSheetId="3" hidden="1">{"fdsup://directions/FAT Viewer?action=UPDATE&amp;creator=factset&amp;DYN_ARGS=TRUE&amp;DOC_NAME=FAT:FQL_AUDITING_CLIENT_TEMPLATE.FAT&amp;display_string=Audit&amp;VAR:KEY=XSVWZYJWBO&amp;VAR:QUERY=UkdGX1RBWF9SQVRFKEFOTiwwLCwsLCwsTk9BVURJVCk=&amp;WINDOW=FIRST_POPUP&amp;HEIGHT=450&amp;WIDTH=450&amp;","START_MAXIMIZED=FALSE&amp;VAR:CALENDAR=US&amp;VAR:SYMBOL=ACTU&amp;VAR:INDEX=0"}</definedName>
    <definedName name="_622__FDSAUDITLINK__" localSheetId="7" hidden="1">{"fdsup://directions/FAT Viewer?action=UPDATE&amp;creator=factset&amp;DYN_ARGS=TRUE&amp;DOC_NAME=FAT:FQL_AUDITING_CLIENT_TEMPLATE.FAT&amp;display_string=Audit&amp;VAR:KEY=XSVWZYJWBO&amp;VAR:QUERY=UkdGX1RBWF9SQVRFKEFOTiwwLCwsLCwsTk9BVURJVCk=&amp;WINDOW=FIRST_POPUP&amp;HEIGHT=450&amp;WIDTH=450&amp;","START_MAXIMIZED=FALSE&amp;VAR:CALENDAR=US&amp;VAR:SYMBOL=ACTU&amp;VAR:INDEX=0"}</definedName>
    <definedName name="_622__FDSAUDITLINK__" hidden="1">{"fdsup://directions/FAT Viewer?action=UPDATE&amp;creator=factset&amp;DYN_ARGS=TRUE&amp;DOC_NAME=FAT:FQL_AUDITING_CLIENT_TEMPLATE.FAT&amp;display_string=Audit&amp;VAR:KEY=XSVWZYJWBO&amp;VAR:QUERY=UkdGX1RBWF9SQVRFKEFOTiwwLCwsLCwsTk9BVURJVCk=&amp;WINDOW=FIRST_POPUP&amp;HEIGHT=450&amp;WIDTH=450&amp;","START_MAXIMIZED=FALSE&amp;VAR:CALENDAR=US&amp;VAR:SYMBOL=ACTU&amp;VAR:INDEX=0"}</definedName>
    <definedName name="_623__FDSAUDITLINK__" localSheetId="3" hidden="1">{"fdsup://directions/FAT Viewer?action=UPDATE&amp;creator=factset&amp;DYN_ARGS=TRUE&amp;DOC_NAME=FAT:FQL_AUDITING_CLIENT_TEMPLATE.FAT&amp;display_string=Audit&amp;VAR:KEY=TKNUNETEVG&amp;VAR:QUERY=UkdGX1RBWF9SQVRFKEFOTiwwLCwsLCwsTk9BVURJVCk=&amp;WINDOW=FIRST_POPUP&amp;HEIGHT=450&amp;WIDTH=450&amp;","START_MAXIMIZED=FALSE&amp;VAR:CALENDAR=US&amp;VAR:SYMBOL=632430&amp;VAR:INDEX=0"}</definedName>
    <definedName name="_623__FDSAUDITLINK__" localSheetId="7" hidden="1">{"fdsup://directions/FAT Viewer?action=UPDATE&amp;creator=factset&amp;DYN_ARGS=TRUE&amp;DOC_NAME=FAT:FQL_AUDITING_CLIENT_TEMPLATE.FAT&amp;display_string=Audit&amp;VAR:KEY=TKNUNETEVG&amp;VAR:QUERY=UkdGX1RBWF9SQVRFKEFOTiwwLCwsLCwsTk9BVURJVCk=&amp;WINDOW=FIRST_POPUP&amp;HEIGHT=450&amp;WIDTH=450&amp;","START_MAXIMIZED=FALSE&amp;VAR:CALENDAR=US&amp;VAR:SYMBOL=632430&amp;VAR:INDEX=0"}</definedName>
    <definedName name="_623__FDSAUDITLINK__" hidden="1">{"fdsup://directions/FAT Viewer?action=UPDATE&amp;creator=factset&amp;DYN_ARGS=TRUE&amp;DOC_NAME=FAT:FQL_AUDITING_CLIENT_TEMPLATE.FAT&amp;display_string=Audit&amp;VAR:KEY=TKNUNETEVG&amp;VAR:QUERY=UkdGX1RBWF9SQVRFKEFOTiwwLCwsLCwsTk9BVURJVCk=&amp;WINDOW=FIRST_POPUP&amp;HEIGHT=450&amp;WIDTH=450&amp;","START_MAXIMIZED=FALSE&amp;VAR:CALENDAR=US&amp;VAR:SYMBOL=632430&amp;VAR:INDEX=0"}</definedName>
    <definedName name="_624__FDSAUDITLINK__" localSheetId="3" hidden="1">{"fdsup://directions/FAT Viewer?action=UPDATE&amp;creator=factset&amp;DYN_ARGS=TRUE&amp;DOC_NAME=FAT:FQL_AUDITING_CLIENT_TEMPLATE.FAT&amp;display_string=Audit&amp;VAR:KEY=TKNUNETEVG&amp;VAR:QUERY=UkdGX1RBWF9SQVRFKEFOTiwwLCwsLCwsTk9BVURJVCk=&amp;WINDOW=FIRST_POPUP&amp;HEIGHT=450&amp;WIDTH=450&amp;","START_MAXIMIZED=FALSE&amp;VAR:CALENDAR=US&amp;VAR:SYMBOL=632430&amp;VAR:INDEX=0"}</definedName>
    <definedName name="_624__FDSAUDITLINK__" localSheetId="7" hidden="1">{"fdsup://directions/FAT Viewer?action=UPDATE&amp;creator=factset&amp;DYN_ARGS=TRUE&amp;DOC_NAME=FAT:FQL_AUDITING_CLIENT_TEMPLATE.FAT&amp;display_string=Audit&amp;VAR:KEY=TKNUNETEVG&amp;VAR:QUERY=UkdGX1RBWF9SQVRFKEFOTiwwLCwsLCwsTk9BVURJVCk=&amp;WINDOW=FIRST_POPUP&amp;HEIGHT=450&amp;WIDTH=450&amp;","START_MAXIMIZED=FALSE&amp;VAR:CALENDAR=US&amp;VAR:SYMBOL=632430&amp;VAR:INDEX=0"}</definedName>
    <definedName name="_624__FDSAUDITLINK__" hidden="1">{"fdsup://directions/FAT Viewer?action=UPDATE&amp;creator=factset&amp;DYN_ARGS=TRUE&amp;DOC_NAME=FAT:FQL_AUDITING_CLIENT_TEMPLATE.FAT&amp;display_string=Audit&amp;VAR:KEY=TKNUNETEVG&amp;VAR:QUERY=UkdGX1RBWF9SQVRFKEFOTiwwLCwsLCwsTk9BVURJVCk=&amp;WINDOW=FIRST_POPUP&amp;HEIGHT=450&amp;WIDTH=450&amp;","START_MAXIMIZED=FALSE&amp;VAR:CALENDAR=US&amp;VAR:SYMBOL=632430&amp;VAR:INDEX=0"}</definedName>
    <definedName name="_625__FDSAUDITLINK__" localSheetId="3" hidden="1">{"fdsup://directions/FAT Viewer?action=UPDATE&amp;creator=factset&amp;DYN_ARGS=TRUE&amp;DOC_NAME=FAT:FQL_AUDITING_CLIENT_TEMPLATE.FAT&amp;display_string=Audit&amp;VAR:KEY=PMVWDYFQXA&amp;VAR:QUERY=UkdGX1RBWF9SQVRFKEFOTiwwLCwsLCwsTk9BVURJVCk=&amp;WINDOW=FIRST_POPUP&amp;HEIGHT=450&amp;WIDTH=450&amp;","START_MAXIMIZED=FALSE&amp;VAR:CALENDAR=US&amp;VAR:SYMBOL=AAPL&amp;VAR:INDEX=0"}</definedName>
    <definedName name="_625__FDSAUDITLINK__" localSheetId="7" hidden="1">{"fdsup://directions/FAT Viewer?action=UPDATE&amp;creator=factset&amp;DYN_ARGS=TRUE&amp;DOC_NAME=FAT:FQL_AUDITING_CLIENT_TEMPLATE.FAT&amp;display_string=Audit&amp;VAR:KEY=PMVWDYFQXA&amp;VAR:QUERY=UkdGX1RBWF9SQVRFKEFOTiwwLCwsLCwsTk9BVURJVCk=&amp;WINDOW=FIRST_POPUP&amp;HEIGHT=450&amp;WIDTH=450&amp;","START_MAXIMIZED=FALSE&amp;VAR:CALENDAR=US&amp;VAR:SYMBOL=AAPL&amp;VAR:INDEX=0"}</definedName>
    <definedName name="_625__FDSAUDITLINK__" hidden="1">{"fdsup://directions/FAT Viewer?action=UPDATE&amp;creator=factset&amp;DYN_ARGS=TRUE&amp;DOC_NAME=FAT:FQL_AUDITING_CLIENT_TEMPLATE.FAT&amp;display_string=Audit&amp;VAR:KEY=PMVWDYFQXA&amp;VAR:QUERY=UkdGX1RBWF9SQVRFKEFOTiwwLCwsLCwsTk9BVURJVCk=&amp;WINDOW=FIRST_POPUP&amp;HEIGHT=450&amp;WIDTH=450&amp;","START_MAXIMIZED=FALSE&amp;VAR:CALENDAR=US&amp;VAR:SYMBOL=AAPL&amp;VAR:INDEX=0"}</definedName>
    <definedName name="_626__FDSAUDITLINK__" localSheetId="3" hidden="1">{"fdsup://directions/FAT Viewer?action=UPDATE&amp;creator=factset&amp;DYN_ARGS=TRUE&amp;DOC_NAME=FAT:FQL_AUDITING_CLIENT_TEMPLATE.FAT&amp;display_string=Audit&amp;VAR:KEY=PMVWDYFQXA&amp;VAR:QUERY=UkdGX1RBWF9SQVRFKEFOTiwwLCwsLCwsTk9BVURJVCk=&amp;WINDOW=FIRST_POPUP&amp;HEIGHT=450&amp;WIDTH=450&amp;","START_MAXIMIZED=FALSE&amp;VAR:CALENDAR=US&amp;VAR:SYMBOL=AAPL&amp;VAR:INDEX=0"}</definedName>
    <definedName name="_626__FDSAUDITLINK__" localSheetId="7" hidden="1">{"fdsup://directions/FAT Viewer?action=UPDATE&amp;creator=factset&amp;DYN_ARGS=TRUE&amp;DOC_NAME=FAT:FQL_AUDITING_CLIENT_TEMPLATE.FAT&amp;display_string=Audit&amp;VAR:KEY=PMVWDYFQXA&amp;VAR:QUERY=UkdGX1RBWF9SQVRFKEFOTiwwLCwsLCwsTk9BVURJVCk=&amp;WINDOW=FIRST_POPUP&amp;HEIGHT=450&amp;WIDTH=450&amp;","START_MAXIMIZED=FALSE&amp;VAR:CALENDAR=US&amp;VAR:SYMBOL=AAPL&amp;VAR:INDEX=0"}</definedName>
    <definedName name="_626__FDSAUDITLINK__" hidden="1">{"fdsup://directions/FAT Viewer?action=UPDATE&amp;creator=factset&amp;DYN_ARGS=TRUE&amp;DOC_NAME=FAT:FQL_AUDITING_CLIENT_TEMPLATE.FAT&amp;display_string=Audit&amp;VAR:KEY=PMVWDYFQXA&amp;VAR:QUERY=UkdGX1RBWF9SQVRFKEFOTiwwLCwsLCwsTk9BVURJVCk=&amp;WINDOW=FIRST_POPUP&amp;HEIGHT=450&amp;WIDTH=450&amp;","START_MAXIMIZED=FALSE&amp;VAR:CALENDAR=US&amp;VAR:SYMBOL=AAPL&amp;VAR:INDEX=0"}</definedName>
    <definedName name="_627__FDSAUDITLINK__" localSheetId="3" hidden="1">{"fdsup://directions/FAT Viewer?action=UPDATE&amp;creator=factset&amp;DYN_ARGS=TRUE&amp;DOC_NAME=FAT:FQL_AUDITING_CLIENT_TEMPLATE.FAT&amp;display_string=Audit&amp;VAR:KEY=XULKRURAJW&amp;VAR:QUERY=UkdGX1RBWF9SQVRFKEFOTiwwLCwsLCwsTk9BVURJVCk=&amp;WINDOW=FIRST_POPUP&amp;HEIGHT=450&amp;WIDTH=450&amp;","START_MAXIMIZED=FALSE&amp;VAR:CALENDAR=US&amp;VAR:SYMBOL=BLANK&amp;VAR:INDEX=0"}</definedName>
    <definedName name="_627__FDSAUDITLINK__" localSheetId="7" hidden="1">{"fdsup://directions/FAT Viewer?action=UPDATE&amp;creator=factset&amp;DYN_ARGS=TRUE&amp;DOC_NAME=FAT:FQL_AUDITING_CLIENT_TEMPLATE.FAT&amp;display_string=Audit&amp;VAR:KEY=XULKRURAJW&amp;VAR:QUERY=UkdGX1RBWF9SQVRFKEFOTiwwLCwsLCwsTk9BVURJVCk=&amp;WINDOW=FIRST_POPUP&amp;HEIGHT=450&amp;WIDTH=450&amp;","START_MAXIMIZED=FALSE&amp;VAR:CALENDAR=US&amp;VAR:SYMBOL=BLANK&amp;VAR:INDEX=0"}</definedName>
    <definedName name="_627__FDSAUDITLINK__" hidden="1">{"fdsup://directions/FAT Viewer?action=UPDATE&amp;creator=factset&amp;DYN_ARGS=TRUE&amp;DOC_NAME=FAT:FQL_AUDITING_CLIENT_TEMPLATE.FAT&amp;display_string=Audit&amp;VAR:KEY=XULKRURAJW&amp;VAR:QUERY=UkdGX1RBWF9SQVRFKEFOTiwwLCwsLCwsTk9BVURJVCk=&amp;WINDOW=FIRST_POPUP&amp;HEIGHT=450&amp;WIDTH=450&amp;","START_MAXIMIZED=FALSE&amp;VAR:CALENDAR=US&amp;VAR:SYMBOL=BLANK&amp;VAR:INDEX=0"}</definedName>
    <definedName name="_628__FDSAUDITLINK__" localSheetId="3" hidden="1">{"fdsup://directions/FAT Viewer?action=UPDATE&amp;creator=factset&amp;DYN_ARGS=TRUE&amp;DOC_NAME=FAT:FQL_AUDITING_CLIENT_TEMPLATE.FAT&amp;display_string=Audit&amp;VAR:KEY=PUNKZEJMJY&amp;VAR:QUERY=UkdGX1RBWF9SQVRFKEFOTiwwLCwsLCwsTk9BVURJVCk=&amp;WINDOW=FIRST_POPUP&amp;HEIGHT=450&amp;WIDTH=450&amp;","START_MAXIMIZED=FALSE&amp;VAR:CALENDAR=US&amp;VAR:SYMBOL=YHOO&amp;VAR:INDEX=0"}</definedName>
    <definedName name="_628__FDSAUDITLINK__" localSheetId="7" hidden="1">{"fdsup://directions/FAT Viewer?action=UPDATE&amp;creator=factset&amp;DYN_ARGS=TRUE&amp;DOC_NAME=FAT:FQL_AUDITING_CLIENT_TEMPLATE.FAT&amp;display_string=Audit&amp;VAR:KEY=PUNKZEJMJY&amp;VAR:QUERY=UkdGX1RBWF9SQVRFKEFOTiwwLCwsLCwsTk9BVURJVCk=&amp;WINDOW=FIRST_POPUP&amp;HEIGHT=450&amp;WIDTH=450&amp;","START_MAXIMIZED=FALSE&amp;VAR:CALENDAR=US&amp;VAR:SYMBOL=YHOO&amp;VAR:INDEX=0"}</definedName>
    <definedName name="_628__FDSAUDITLINK__" hidden="1">{"fdsup://directions/FAT Viewer?action=UPDATE&amp;creator=factset&amp;DYN_ARGS=TRUE&amp;DOC_NAME=FAT:FQL_AUDITING_CLIENT_TEMPLATE.FAT&amp;display_string=Audit&amp;VAR:KEY=PUNKZEJMJY&amp;VAR:QUERY=UkdGX1RBWF9SQVRFKEFOTiwwLCwsLCwsTk9BVURJVCk=&amp;WINDOW=FIRST_POPUP&amp;HEIGHT=450&amp;WIDTH=450&amp;","START_MAXIMIZED=FALSE&amp;VAR:CALENDAR=US&amp;VAR:SYMBOL=YHOO&amp;VAR:INDEX=0"}</definedName>
    <definedName name="_629__FDSAUDITLINK__" localSheetId="3" hidden="1">{"fdsup://directions/FAT Viewer?action=UPDATE&amp;creator=factset&amp;DYN_ARGS=TRUE&amp;DOC_NAME=FAT:FQL_AUDITING_CLIENT_TEMPLATE.FAT&amp;display_string=Audit&amp;VAR:KEY=PUNKZEJMJY&amp;VAR:QUERY=UkdGX1RBWF9SQVRFKEFOTiwwLCwsLCwsTk9BVURJVCk=&amp;WINDOW=FIRST_POPUP&amp;HEIGHT=450&amp;WIDTH=450&amp;","START_MAXIMIZED=FALSE&amp;VAR:CALENDAR=US&amp;VAR:SYMBOL=YHOO&amp;VAR:INDEX=0"}</definedName>
    <definedName name="_629__FDSAUDITLINK__" localSheetId="7" hidden="1">{"fdsup://directions/FAT Viewer?action=UPDATE&amp;creator=factset&amp;DYN_ARGS=TRUE&amp;DOC_NAME=FAT:FQL_AUDITING_CLIENT_TEMPLATE.FAT&amp;display_string=Audit&amp;VAR:KEY=PUNKZEJMJY&amp;VAR:QUERY=UkdGX1RBWF9SQVRFKEFOTiwwLCwsLCwsTk9BVURJVCk=&amp;WINDOW=FIRST_POPUP&amp;HEIGHT=450&amp;WIDTH=450&amp;","START_MAXIMIZED=FALSE&amp;VAR:CALENDAR=US&amp;VAR:SYMBOL=YHOO&amp;VAR:INDEX=0"}</definedName>
    <definedName name="_629__FDSAUDITLINK__" hidden="1">{"fdsup://directions/FAT Viewer?action=UPDATE&amp;creator=factset&amp;DYN_ARGS=TRUE&amp;DOC_NAME=FAT:FQL_AUDITING_CLIENT_TEMPLATE.FAT&amp;display_string=Audit&amp;VAR:KEY=PUNKZEJMJY&amp;VAR:QUERY=UkdGX1RBWF9SQVRFKEFOTiwwLCwsLCwsTk9BVURJVCk=&amp;WINDOW=FIRST_POPUP&amp;HEIGHT=450&amp;WIDTH=450&amp;","START_MAXIMIZED=FALSE&amp;VAR:CALENDAR=US&amp;VAR:SYMBOL=YHOO&amp;VAR:INDEX=0"}</definedName>
    <definedName name="_63__FDSAUDITLINK__" localSheetId="3" hidden="1">{"fdsup://directions/FAT Viewer?action=UPDATE&amp;creator=factset&amp;DYN_ARGS=TRUE&amp;DOC_NAME=FAT:FQL_AUDITING_CLIENT_TEMPLATE.FAT&amp;display_string=Audit&amp;VAR:KEY=SRYVMJEXQD&amp;VAR:QUERY=RkZfTkVUX0lOQyhMVE0sMCwsLCwsTSk=&amp;WINDOW=FIRST_POPUP&amp;HEIGHT=450&amp;WIDTH=450&amp;START_MAXIMI","ZED=FALSE&amp;VAR:CALENDAR=US&amp;VAR:SYMBOL=B1YBRG&amp;VAR:INDEX=0"}</definedName>
    <definedName name="_63__FDSAUDITLINK__" localSheetId="7" hidden="1">{"fdsup://directions/FAT Viewer?action=UPDATE&amp;creator=factset&amp;DYN_ARGS=TRUE&amp;DOC_NAME=FAT:FQL_AUDITING_CLIENT_TEMPLATE.FAT&amp;display_string=Audit&amp;VAR:KEY=SRYVMJEXQD&amp;VAR:QUERY=RkZfTkVUX0lOQyhMVE0sMCwsLCwsTSk=&amp;WINDOW=FIRST_POPUP&amp;HEIGHT=450&amp;WIDTH=450&amp;START_MAXIMI","ZED=FALSE&amp;VAR:CALENDAR=US&amp;VAR:SYMBOL=B1YBRG&amp;VAR:INDEX=0"}</definedName>
    <definedName name="_63__FDSAUDITLINK__" hidden="1">{"fdsup://directions/FAT Viewer?action=UPDATE&amp;creator=factset&amp;DYN_ARGS=TRUE&amp;DOC_NAME=FAT:FQL_AUDITING_CLIENT_TEMPLATE.FAT&amp;display_string=Audit&amp;VAR:KEY=SRYVMJEXQD&amp;VAR:QUERY=RkZfTkVUX0lOQyhMVE0sMCwsLCwsTSk=&amp;WINDOW=FIRST_POPUP&amp;HEIGHT=450&amp;WIDTH=450&amp;START_MAXIMI","ZED=FALSE&amp;VAR:CALENDAR=US&amp;VAR:SYMBOL=B1YBRG&amp;VAR:INDEX=0"}</definedName>
    <definedName name="_630__FDSAUDITLINK__" localSheetId="3" hidden="1">{"fdsup://directions/FAT Viewer?action=UPDATE&amp;creator=factset&amp;DYN_ARGS=TRUE&amp;DOC_NAME=FAT:FQL_AUDITING_CLIENT_TEMPLATE.FAT&amp;display_string=Audit&amp;VAR:KEY=ZOBWRYRYFI&amp;VAR:QUERY=UkdGX1RBWF9SQVRFKEFOTiwwLCwsLCwsTk9BVURJVCk=&amp;WINDOW=FIRST_POPUP&amp;HEIGHT=450&amp;WIDTH=450&amp;","START_MAXIMIZED=FALSE&amp;VAR:CALENDAR=US&amp;VAR:SYMBOL=WSTM&amp;VAR:INDEX=0"}</definedName>
    <definedName name="_630__FDSAUDITLINK__" localSheetId="7" hidden="1">{"fdsup://directions/FAT Viewer?action=UPDATE&amp;creator=factset&amp;DYN_ARGS=TRUE&amp;DOC_NAME=FAT:FQL_AUDITING_CLIENT_TEMPLATE.FAT&amp;display_string=Audit&amp;VAR:KEY=ZOBWRYRYFI&amp;VAR:QUERY=UkdGX1RBWF9SQVRFKEFOTiwwLCwsLCwsTk9BVURJVCk=&amp;WINDOW=FIRST_POPUP&amp;HEIGHT=450&amp;WIDTH=450&amp;","START_MAXIMIZED=FALSE&amp;VAR:CALENDAR=US&amp;VAR:SYMBOL=WSTM&amp;VAR:INDEX=0"}</definedName>
    <definedName name="_630__FDSAUDITLINK__" hidden="1">{"fdsup://directions/FAT Viewer?action=UPDATE&amp;creator=factset&amp;DYN_ARGS=TRUE&amp;DOC_NAME=FAT:FQL_AUDITING_CLIENT_TEMPLATE.FAT&amp;display_string=Audit&amp;VAR:KEY=ZOBWRYRYFI&amp;VAR:QUERY=UkdGX1RBWF9SQVRFKEFOTiwwLCwsLCwsTk9BVURJVCk=&amp;WINDOW=FIRST_POPUP&amp;HEIGHT=450&amp;WIDTH=450&amp;","START_MAXIMIZED=FALSE&amp;VAR:CALENDAR=US&amp;VAR:SYMBOL=WSTM&amp;VAR:INDEX=0"}</definedName>
    <definedName name="_631__FDSAUDITLINK__" localSheetId="3" hidden="1">{"fdsup://directions/FAT Viewer?action=UPDATE&amp;creator=factset&amp;DYN_ARGS=TRUE&amp;DOC_NAME=FAT:FQL_AUDITING_CLIENT_TEMPLATE.FAT&amp;display_string=Audit&amp;VAR:KEY=BILGBSZWJK&amp;VAR:QUERY=UkdGX1RBWF9SQVRFKEFOTiwwLCwsLCwsTk9BVURJVCk=&amp;WINDOW=FIRST_POPUP&amp;HEIGHT=450&amp;WIDTH=450&amp;","START_MAXIMIZED=FALSE&amp;VAR:CALENDAR=US&amp;VAR:SYMBOL=WBMD&amp;VAR:INDEX=0"}</definedName>
    <definedName name="_631__FDSAUDITLINK__" localSheetId="7" hidden="1">{"fdsup://directions/FAT Viewer?action=UPDATE&amp;creator=factset&amp;DYN_ARGS=TRUE&amp;DOC_NAME=FAT:FQL_AUDITING_CLIENT_TEMPLATE.FAT&amp;display_string=Audit&amp;VAR:KEY=BILGBSZWJK&amp;VAR:QUERY=UkdGX1RBWF9SQVRFKEFOTiwwLCwsLCwsTk9BVURJVCk=&amp;WINDOW=FIRST_POPUP&amp;HEIGHT=450&amp;WIDTH=450&amp;","START_MAXIMIZED=FALSE&amp;VAR:CALENDAR=US&amp;VAR:SYMBOL=WBMD&amp;VAR:INDEX=0"}</definedName>
    <definedName name="_631__FDSAUDITLINK__" hidden="1">{"fdsup://directions/FAT Viewer?action=UPDATE&amp;creator=factset&amp;DYN_ARGS=TRUE&amp;DOC_NAME=FAT:FQL_AUDITING_CLIENT_TEMPLATE.FAT&amp;display_string=Audit&amp;VAR:KEY=BILGBSZWJK&amp;VAR:QUERY=UkdGX1RBWF9SQVRFKEFOTiwwLCwsLCwsTk9BVURJVCk=&amp;WINDOW=FIRST_POPUP&amp;HEIGHT=450&amp;WIDTH=450&amp;","START_MAXIMIZED=FALSE&amp;VAR:CALENDAR=US&amp;VAR:SYMBOL=WBMD&amp;VAR:INDEX=0"}</definedName>
    <definedName name="_632__FDSAUDITLINK__" localSheetId="3" hidden="1">{"fdsup://directions/FAT Viewer?action=UPDATE&amp;creator=factset&amp;DYN_ARGS=TRUE&amp;DOC_NAME=FAT:FQL_AUDITING_CLIENT_TEMPLATE.FAT&amp;display_string=Audit&amp;VAR:KEY=BILGBSZWJK&amp;VAR:QUERY=UkdGX1RBWF9SQVRFKEFOTiwwLCwsLCwsTk9BVURJVCk=&amp;WINDOW=FIRST_POPUP&amp;HEIGHT=450&amp;WIDTH=450&amp;","START_MAXIMIZED=FALSE&amp;VAR:CALENDAR=US&amp;VAR:SYMBOL=WBMD&amp;VAR:INDEX=0"}</definedName>
    <definedName name="_632__FDSAUDITLINK__" localSheetId="7" hidden="1">{"fdsup://directions/FAT Viewer?action=UPDATE&amp;creator=factset&amp;DYN_ARGS=TRUE&amp;DOC_NAME=FAT:FQL_AUDITING_CLIENT_TEMPLATE.FAT&amp;display_string=Audit&amp;VAR:KEY=BILGBSZWJK&amp;VAR:QUERY=UkdGX1RBWF9SQVRFKEFOTiwwLCwsLCwsTk9BVURJVCk=&amp;WINDOW=FIRST_POPUP&amp;HEIGHT=450&amp;WIDTH=450&amp;","START_MAXIMIZED=FALSE&amp;VAR:CALENDAR=US&amp;VAR:SYMBOL=WBMD&amp;VAR:INDEX=0"}</definedName>
    <definedName name="_632__FDSAUDITLINK__" hidden="1">{"fdsup://directions/FAT Viewer?action=UPDATE&amp;creator=factset&amp;DYN_ARGS=TRUE&amp;DOC_NAME=FAT:FQL_AUDITING_CLIENT_TEMPLATE.FAT&amp;display_string=Audit&amp;VAR:KEY=BILGBSZWJK&amp;VAR:QUERY=UkdGX1RBWF9SQVRFKEFOTiwwLCwsLCwsTk9BVURJVCk=&amp;WINDOW=FIRST_POPUP&amp;HEIGHT=450&amp;WIDTH=450&amp;","START_MAXIMIZED=FALSE&amp;VAR:CALENDAR=US&amp;VAR:SYMBOL=WBMD&amp;VAR:INDEX=0"}</definedName>
    <definedName name="_633__FDSAUDITLINK__" localSheetId="3" hidden="1">{"fdsup://directions/FAT Viewer?action=UPDATE&amp;creator=factset&amp;DYN_ARGS=TRUE&amp;DOC_NAME=FAT:FQL_AUDITING_CLIENT_TEMPLATE.FAT&amp;display_string=Audit&amp;VAR:KEY=FUHEZWDOZI&amp;VAR:QUERY=UkdGX1RBWF9SQVRFKEFOTiwwLCwsLCwsTk9BVURJVCk=&amp;WINDOW=FIRST_POPUP&amp;HEIGHT=450&amp;WIDTH=450&amp;","START_MAXIMIZED=FALSE&amp;VAR:CALENDAR=US&amp;VAR:SYMBOL=VOCS&amp;VAR:INDEX=0"}</definedName>
    <definedName name="_633__FDSAUDITLINK__" localSheetId="7" hidden="1">{"fdsup://directions/FAT Viewer?action=UPDATE&amp;creator=factset&amp;DYN_ARGS=TRUE&amp;DOC_NAME=FAT:FQL_AUDITING_CLIENT_TEMPLATE.FAT&amp;display_string=Audit&amp;VAR:KEY=FUHEZWDOZI&amp;VAR:QUERY=UkdGX1RBWF9SQVRFKEFOTiwwLCwsLCwsTk9BVURJVCk=&amp;WINDOW=FIRST_POPUP&amp;HEIGHT=450&amp;WIDTH=450&amp;","START_MAXIMIZED=FALSE&amp;VAR:CALENDAR=US&amp;VAR:SYMBOL=VOCS&amp;VAR:INDEX=0"}</definedName>
    <definedName name="_633__FDSAUDITLINK__" hidden="1">{"fdsup://directions/FAT Viewer?action=UPDATE&amp;creator=factset&amp;DYN_ARGS=TRUE&amp;DOC_NAME=FAT:FQL_AUDITING_CLIENT_TEMPLATE.FAT&amp;display_string=Audit&amp;VAR:KEY=FUHEZWDOZI&amp;VAR:QUERY=UkdGX1RBWF9SQVRFKEFOTiwwLCwsLCwsTk9BVURJVCk=&amp;WINDOW=FIRST_POPUP&amp;HEIGHT=450&amp;WIDTH=450&amp;","START_MAXIMIZED=FALSE&amp;VAR:CALENDAR=US&amp;VAR:SYMBOL=VOCS&amp;VAR:INDEX=0"}</definedName>
    <definedName name="_634__FDSAUDITLINK__" localSheetId="3" hidden="1">{"fdsup://directions/FAT Viewer?action=UPDATE&amp;creator=factset&amp;DYN_ARGS=TRUE&amp;DOC_NAME=FAT:FQL_AUDITING_CLIENT_TEMPLATE.FAT&amp;display_string=Audit&amp;VAR:KEY=PGPAVMDQXG&amp;VAR:QUERY=UkdGX1RBWF9SQVRFKEFOTiwwLCwsLCwsTk9BVURJVCk=&amp;WINDOW=FIRST_POPUP&amp;HEIGHT=450&amp;WIDTH=450&amp;","START_MAXIMIZED=FALSE&amp;VAR:CALENDAR=US&amp;VAR:SYMBOL=VDSI&amp;VAR:INDEX=0"}</definedName>
    <definedName name="_634__FDSAUDITLINK__" localSheetId="7" hidden="1">{"fdsup://directions/FAT Viewer?action=UPDATE&amp;creator=factset&amp;DYN_ARGS=TRUE&amp;DOC_NAME=FAT:FQL_AUDITING_CLIENT_TEMPLATE.FAT&amp;display_string=Audit&amp;VAR:KEY=PGPAVMDQXG&amp;VAR:QUERY=UkdGX1RBWF9SQVRFKEFOTiwwLCwsLCwsTk9BVURJVCk=&amp;WINDOW=FIRST_POPUP&amp;HEIGHT=450&amp;WIDTH=450&amp;","START_MAXIMIZED=FALSE&amp;VAR:CALENDAR=US&amp;VAR:SYMBOL=VDSI&amp;VAR:INDEX=0"}</definedName>
    <definedName name="_634__FDSAUDITLINK__" hidden="1">{"fdsup://directions/FAT Viewer?action=UPDATE&amp;creator=factset&amp;DYN_ARGS=TRUE&amp;DOC_NAME=FAT:FQL_AUDITING_CLIENT_TEMPLATE.FAT&amp;display_string=Audit&amp;VAR:KEY=PGPAVMDQXG&amp;VAR:QUERY=UkdGX1RBWF9SQVRFKEFOTiwwLCwsLCwsTk9BVURJVCk=&amp;WINDOW=FIRST_POPUP&amp;HEIGHT=450&amp;WIDTH=450&amp;","START_MAXIMIZED=FALSE&amp;VAR:CALENDAR=US&amp;VAR:SYMBOL=VDSI&amp;VAR:INDEX=0"}</definedName>
    <definedName name="_635__FDSAUDITLINK__" localSheetId="3" hidden="1">{"fdsup://directions/FAT Viewer?action=UPDATE&amp;creator=factset&amp;DYN_ARGS=TRUE&amp;DOC_NAME=FAT:FQL_AUDITING_CLIENT_TEMPLATE.FAT&amp;display_string=Audit&amp;VAR:KEY=PGPAVMDQXG&amp;VAR:QUERY=UkdGX1RBWF9SQVRFKEFOTiwwLCwsLCwsTk9BVURJVCk=&amp;WINDOW=FIRST_POPUP&amp;HEIGHT=450&amp;WIDTH=450&amp;","START_MAXIMIZED=FALSE&amp;VAR:CALENDAR=US&amp;VAR:SYMBOL=VDSI&amp;VAR:INDEX=0"}</definedName>
    <definedName name="_635__FDSAUDITLINK__" localSheetId="7" hidden="1">{"fdsup://directions/FAT Viewer?action=UPDATE&amp;creator=factset&amp;DYN_ARGS=TRUE&amp;DOC_NAME=FAT:FQL_AUDITING_CLIENT_TEMPLATE.FAT&amp;display_string=Audit&amp;VAR:KEY=PGPAVMDQXG&amp;VAR:QUERY=UkdGX1RBWF9SQVRFKEFOTiwwLCwsLCwsTk9BVURJVCk=&amp;WINDOW=FIRST_POPUP&amp;HEIGHT=450&amp;WIDTH=450&amp;","START_MAXIMIZED=FALSE&amp;VAR:CALENDAR=US&amp;VAR:SYMBOL=VDSI&amp;VAR:INDEX=0"}</definedName>
    <definedName name="_635__FDSAUDITLINK__" hidden="1">{"fdsup://directions/FAT Viewer?action=UPDATE&amp;creator=factset&amp;DYN_ARGS=TRUE&amp;DOC_NAME=FAT:FQL_AUDITING_CLIENT_TEMPLATE.FAT&amp;display_string=Audit&amp;VAR:KEY=PGPAVMDQXG&amp;VAR:QUERY=UkdGX1RBWF9SQVRFKEFOTiwwLCwsLCwsTk9BVURJVCk=&amp;WINDOW=FIRST_POPUP&amp;HEIGHT=450&amp;WIDTH=450&amp;","START_MAXIMIZED=FALSE&amp;VAR:CALENDAR=US&amp;VAR:SYMBOL=VDSI&amp;VAR:INDEX=0"}</definedName>
    <definedName name="_636__FDSAUDITLINK__" localSheetId="3" hidden="1">{"fdsup://directions/FAT Viewer?action=UPDATE&amp;creator=factset&amp;DYN_ARGS=TRUE&amp;DOC_NAME=FAT:FQL_AUDITING_CLIENT_TEMPLATE.FAT&amp;display_string=Audit&amp;VAR:KEY=FINWTWLONE&amp;VAR:QUERY=UkdGX1RBWF9SQVRFKEFOTiwwLCwsLCwsTk9BVURJVCk=&amp;WINDOW=FIRST_POPUP&amp;HEIGHT=450&amp;WIDTH=450&amp;","START_MAXIMIZED=FALSE&amp;VAR:CALENDAR=US&amp;VAR:SYMBOL=TYPE&amp;VAR:INDEX=0"}</definedName>
    <definedName name="_636__FDSAUDITLINK__" localSheetId="7" hidden="1">{"fdsup://directions/FAT Viewer?action=UPDATE&amp;creator=factset&amp;DYN_ARGS=TRUE&amp;DOC_NAME=FAT:FQL_AUDITING_CLIENT_TEMPLATE.FAT&amp;display_string=Audit&amp;VAR:KEY=FINWTWLONE&amp;VAR:QUERY=UkdGX1RBWF9SQVRFKEFOTiwwLCwsLCwsTk9BVURJVCk=&amp;WINDOW=FIRST_POPUP&amp;HEIGHT=450&amp;WIDTH=450&amp;","START_MAXIMIZED=FALSE&amp;VAR:CALENDAR=US&amp;VAR:SYMBOL=TYPE&amp;VAR:INDEX=0"}</definedName>
    <definedName name="_636__FDSAUDITLINK__" hidden="1">{"fdsup://directions/FAT Viewer?action=UPDATE&amp;creator=factset&amp;DYN_ARGS=TRUE&amp;DOC_NAME=FAT:FQL_AUDITING_CLIENT_TEMPLATE.FAT&amp;display_string=Audit&amp;VAR:KEY=FINWTWLONE&amp;VAR:QUERY=UkdGX1RBWF9SQVRFKEFOTiwwLCwsLCwsTk9BVURJVCk=&amp;WINDOW=FIRST_POPUP&amp;HEIGHT=450&amp;WIDTH=450&amp;","START_MAXIMIZED=FALSE&amp;VAR:CALENDAR=US&amp;VAR:SYMBOL=TYPE&amp;VAR:INDEX=0"}</definedName>
    <definedName name="_637__FDSAUDITLINK__" localSheetId="3" hidden="1">{"fdsup://directions/FAT Viewer?action=UPDATE&amp;creator=factset&amp;DYN_ARGS=TRUE&amp;DOC_NAME=FAT:FQL_AUDITING_CLIENT_TEMPLATE.FAT&amp;display_string=Audit&amp;VAR:KEY=FINWTWLONE&amp;VAR:QUERY=UkdGX1RBWF9SQVRFKEFOTiwwLCwsLCwsTk9BVURJVCk=&amp;WINDOW=FIRST_POPUP&amp;HEIGHT=450&amp;WIDTH=450&amp;","START_MAXIMIZED=FALSE&amp;VAR:CALENDAR=US&amp;VAR:SYMBOL=TYPE&amp;VAR:INDEX=0"}</definedName>
    <definedName name="_637__FDSAUDITLINK__" localSheetId="7" hidden="1">{"fdsup://directions/FAT Viewer?action=UPDATE&amp;creator=factset&amp;DYN_ARGS=TRUE&amp;DOC_NAME=FAT:FQL_AUDITING_CLIENT_TEMPLATE.FAT&amp;display_string=Audit&amp;VAR:KEY=FINWTWLONE&amp;VAR:QUERY=UkdGX1RBWF9SQVRFKEFOTiwwLCwsLCwsTk9BVURJVCk=&amp;WINDOW=FIRST_POPUP&amp;HEIGHT=450&amp;WIDTH=450&amp;","START_MAXIMIZED=FALSE&amp;VAR:CALENDAR=US&amp;VAR:SYMBOL=TYPE&amp;VAR:INDEX=0"}</definedName>
    <definedName name="_637__FDSAUDITLINK__" hidden="1">{"fdsup://directions/FAT Viewer?action=UPDATE&amp;creator=factset&amp;DYN_ARGS=TRUE&amp;DOC_NAME=FAT:FQL_AUDITING_CLIENT_TEMPLATE.FAT&amp;display_string=Audit&amp;VAR:KEY=FINWTWLONE&amp;VAR:QUERY=UkdGX1RBWF9SQVRFKEFOTiwwLCwsLCwsTk9BVURJVCk=&amp;WINDOW=FIRST_POPUP&amp;HEIGHT=450&amp;WIDTH=450&amp;","START_MAXIMIZED=FALSE&amp;VAR:CALENDAR=US&amp;VAR:SYMBOL=TYPE&amp;VAR:INDEX=0"}</definedName>
    <definedName name="_638__FDSAUDITLINK__" localSheetId="3" hidden="1">{"fdsup://directions/FAT Viewer?action=UPDATE&amp;creator=factset&amp;DYN_ARGS=TRUE&amp;DOC_NAME=FAT:FQL_AUDITING_CLIENT_TEMPLATE.FAT&amp;display_string=Audit&amp;VAR:KEY=DSZSHADULC&amp;VAR:QUERY=UkdGX1RBWF9SQVRFKEFOTiwwLCwsLCwsTk9BVURJVCk=&amp;WINDOW=FIRST_POPUP&amp;HEIGHT=450&amp;WIDTH=450&amp;","START_MAXIMIZED=FALSE&amp;VAR:CALENDAR=US&amp;VAR:SYMBOL=B10LQP&amp;VAR:INDEX=0"}</definedName>
    <definedName name="_638__FDSAUDITLINK__" localSheetId="7" hidden="1">{"fdsup://directions/FAT Viewer?action=UPDATE&amp;creator=factset&amp;DYN_ARGS=TRUE&amp;DOC_NAME=FAT:FQL_AUDITING_CLIENT_TEMPLATE.FAT&amp;display_string=Audit&amp;VAR:KEY=DSZSHADULC&amp;VAR:QUERY=UkdGX1RBWF9SQVRFKEFOTiwwLCwsLCwsTk9BVURJVCk=&amp;WINDOW=FIRST_POPUP&amp;HEIGHT=450&amp;WIDTH=450&amp;","START_MAXIMIZED=FALSE&amp;VAR:CALENDAR=US&amp;VAR:SYMBOL=B10LQP&amp;VAR:INDEX=0"}</definedName>
    <definedName name="_638__FDSAUDITLINK__" hidden="1">{"fdsup://directions/FAT Viewer?action=UPDATE&amp;creator=factset&amp;DYN_ARGS=TRUE&amp;DOC_NAME=FAT:FQL_AUDITING_CLIENT_TEMPLATE.FAT&amp;display_string=Audit&amp;VAR:KEY=DSZSHADULC&amp;VAR:QUERY=UkdGX1RBWF9SQVRFKEFOTiwwLCwsLCwsTk9BVURJVCk=&amp;WINDOW=FIRST_POPUP&amp;HEIGHT=450&amp;WIDTH=450&amp;","START_MAXIMIZED=FALSE&amp;VAR:CALENDAR=US&amp;VAR:SYMBOL=B10LQP&amp;VAR:INDEX=0"}</definedName>
    <definedName name="_639__FDSAUDITLINK__" localSheetId="3" hidden="1">{"fdsup://directions/FAT Viewer?action=UPDATE&amp;creator=factset&amp;DYN_ARGS=TRUE&amp;DOC_NAME=FAT:FQL_AUDITING_CLIENT_TEMPLATE.FAT&amp;display_string=Audit&amp;VAR:KEY=DSZSHADULC&amp;VAR:QUERY=UkdGX1RBWF9SQVRFKEFOTiwwLCwsLCwsTk9BVURJVCk=&amp;WINDOW=FIRST_POPUP&amp;HEIGHT=450&amp;WIDTH=450&amp;","START_MAXIMIZED=FALSE&amp;VAR:CALENDAR=US&amp;VAR:SYMBOL=B10LQP&amp;VAR:INDEX=0"}</definedName>
    <definedName name="_639__FDSAUDITLINK__" localSheetId="7" hidden="1">{"fdsup://directions/FAT Viewer?action=UPDATE&amp;creator=factset&amp;DYN_ARGS=TRUE&amp;DOC_NAME=FAT:FQL_AUDITING_CLIENT_TEMPLATE.FAT&amp;display_string=Audit&amp;VAR:KEY=DSZSHADULC&amp;VAR:QUERY=UkdGX1RBWF9SQVRFKEFOTiwwLCwsLCwsTk9BVURJVCk=&amp;WINDOW=FIRST_POPUP&amp;HEIGHT=450&amp;WIDTH=450&amp;","START_MAXIMIZED=FALSE&amp;VAR:CALENDAR=US&amp;VAR:SYMBOL=B10LQP&amp;VAR:INDEX=0"}</definedName>
    <definedName name="_639__FDSAUDITLINK__" hidden="1">{"fdsup://directions/FAT Viewer?action=UPDATE&amp;creator=factset&amp;DYN_ARGS=TRUE&amp;DOC_NAME=FAT:FQL_AUDITING_CLIENT_TEMPLATE.FAT&amp;display_string=Audit&amp;VAR:KEY=DSZSHADULC&amp;VAR:QUERY=UkdGX1RBWF9SQVRFKEFOTiwwLCwsLCwsTk9BVURJVCk=&amp;WINDOW=FIRST_POPUP&amp;HEIGHT=450&amp;WIDTH=450&amp;","START_MAXIMIZED=FALSE&amp;VAR:CALENDAR=US&amp;VAR:SYMBOL=B10LQP&amp;VAR:INDEX=0"}</definedName>
    <definedName name="_64__FDSAUDITLINK__" localSheetId="3" hidden="1">{"fdsup://directions/FAT Viewer?action=UPDATE&amp;creator=factset&amp;DYN_ARGS=TRUE&amp;DOC_NAME=FAT:FQL_AUDITING_CLIENT_TEMPLATE.FAT&amp;display_string=Audit&amp;VAR:KEY=INEPWJYFGH&amp;VAR:QUERY=RkZfRUJJVERBX09QRVIoTFRNLDAsLCwsLE0p&amp;WINDOW=FIRST_POPUP&amp;HEIGHT=450&amp;WIDTH=450&amp;START_MA","XIMIZED=FALSE&amp;VAR:CALENDAR=US&amp;VAR:SYMBOL=B1YBRG&amp;VAR:INDEX=0"}</definedName>
    <definedName name="_64__FDSAUDITLINK__" localSheetId="7" hidden="1">{"fdsup://directions/FAT Viewer?action=UPDATE&amp;creator=factset&amp;DYN_ARGS=TRUE&amp;DOC_NAME=FAT:FQL_AUDITING_CLIENT_TEMPLATE.FAT&amp;display_string=Audit&amp;VAR:KEY=INEPWJYFGH&amp;VAR:QUERY=RkZfRUJJVERBX09QRVIoTFRNLDAsLCwsLE0p&amp;WINDOW=FIRST_POPUP&amp;HEIGHT=450&amp;WIDTH=450&amp;START_MA","XIMIZED=FALSE&amp;VAR:CALENDAR=US&amp;VAR:SYMBOL=B1YBRG&amp;VAR:INDEX=0"}</definedName>
    <definedName name="_64__FDSAUDITLINK__" hidden="1">{"fdsup://directions/FAT Viewer?action=UPDATE&amp;creator=factset&amp;DYN_ARGS=TRUE&amp;DOC_NAME=FAT:FQL_AUDITING_CLIENT_TEMPLATE.FAT&amp;display_string=Audit&amp;VAR:KEY=INEPWJYFGH&amp;VAR:QUERY=RkZfRUJJVERBX09QRVIoTFRNLDAsLCwsLE0p&amp;WINDOW=FIRST_POPUP&amp;HEIGHT=450&amp;WIDTH=450&amp;START_MA","XIMIZED=FALSE&amp;VAR:CALENDAR=US&amp;VAR:SYMBOL=B1YBRG&amp;VAR:INDEX=0"}</definedName>
    <definedName name="_640__FDSAUDITLINK__" localSheetId="3" hidden="1">{"fdsup://directions/FAT Viewer?action=UPDATE&amp;creator=factset&amp;DYN_ARGS=TRUE&amp;DOC_NAME=FAT:FQL_AUDITING_CLIENT_TEMPLATE.FAT&amp;display_string=Audit&amp;VAR:KEY=PYXGXADGNI&amp;VAR:QUERY=UkdGX1RBWF9SQVRFKEFOTiwwLCwsLCwsTk9BVURJVCk=&amp;WINDOW=FIRST_POPUP&amp;HEIGHT=450&amp;WIDTH=450&amp;","START_MAXIMIZED=FALSE&amp;VAR:CALENDAR=US&amp;VAR:SYMBOL=TIBX&amp;VAR:INDEX=0"}</definedName>
    <definedName name="_640__FDSAUDITLINK__" localSheetId="7" hidden="1">{"fdsup://directions/FAT Viewer?action=UPDATE&amp;creator=factset&amp;DYN_ARGS=TRUE&amp;DOC_NAME=FAT:FQL_AUDITING_CLIENT_TEMPLATE.FAT&amp;display_string=Audit&amp;VAR:KEY=PYXGXADGNI&amp;VAR:QUERY=UkdGX1RBWF9SQVRFKEFOTiwwLCwsLCwsTk9BVURJVCk=&amp;WINDOW=FIRST_POPUP&amp;HEIGHT=450&amp;WIDTH=450&amp;","START_MAXIMIZED=FALSE&amp;VAR:CALENDAR=US&amp;VAR:SYMBOL=TIBX&amp;VAR:INDEX=0"}</definedName>
    <definedName name="_640__FDSAUDITLINK__" hidden="1">{"fdsup://directions/FAT Viewer?action=UPDATE&amp;creator=factset&amp;DYN_ARGS=TRUE&amp;DOC_NAME=FAT:FQL_AUDITING_CLIENT_TEMPLATE.FAT&amp;display_string=Audit&amp;VAR:KEY=PYXGXADGNI&amp;VAR:QUERY=UkdGX1RBWF9SQVRFKEFOTiwwLCwsLCwsTk9BVURJVCk=&amp;WINDOW=FIRST_POPUP&amp;HEIGHT=450&amp;WIDTH=450&amp;","START_MAXIMIZED=FALSE&amp;VAR:CALENDAR=US&amp;VAR:SYMBOL=TIBX&amp;VAR:INDEX=0"}</definedName>
    <definedName name="_641__FDSAUDITLINK__" localSheetId="3" hidden="1">{"fdsup://directions/FAT Viewer?action=UPDATE&amp;creator=factset&amp;DYN_ARGS=TRUE&amp;DOC_NAME=FAT:FQL_AUDITING_CLIENT_TEMPLATE.FAT&amp;display_string=Audit&amp;VAR:KEY=PYXGXADGNI&amp;VAR:QUERY=UkdGX1RBWF9SQVRFKEFOTiwwLCwsLCwsTk9BVURJVCk=&amp;WINDOW=FIRST_POPUP&amp;HEIGHT=450&amp;WIDTH=450&amp;","START_MAXIMIZED=FALSE&amp;VAR:CALENDAR=US&amp;VAR:SYMBOL=TIBX&amp;VAR:INDEX=0"}</definedName>
    <definedName name="_641__FDSAUDITLINK__" localSheetId="7" hidden="1">{"fdsup://directions/FAT Viewer?action=UPDATE&amp;creator=factset&amp;DYN_ARGS=TRUE&amp;DOC_NAME=FAT:FQL_AUDITING_CLIENT_TEMPLATE.FAT&amp;display_string=Audit&amp;VAR:KEY=PYXGXADGNI&amp;VAR:QUERY=UkdGX1RBWF9SQVRFKEFOTiwwLCwsLCwsTk9BVURJVCk=&amp;WINDOW=FIRST_POPUP&amp;HEIGHT=450&amp;WIDTH=450&amp;","START_MAXIMIZED=FALSE&amp;VAR:CALENDAR=US&amp;VAR:SYMBOL=TIBX&amp;VAR:INDEX=0"}</definedName>
    <definedName name="_641__FDSAUDITLINK__" hidden="1">{"fdsup://directions/FAT Viewer?action=UPDATE&amp;creator=factset&amp;DYN_ARGS=TRUE&amp;DOC_NAME=FAT:FQL_AUDITING_CLIENT_TEMPLATE.FAT&amp;display_string=Audit&amp;VAR:KEY=PYXGXADGNI&amp;VAR:QUERY=UkdGX1RBWF9SQVRFKEFOTiwwLCwsLCwsTk9BVURJVCk=&amp;WINDOW=FIRST_POPUP&amp;HEIGHT=450&amp;WIDTH=450&amp;","START_MAXIMIZED=FALSE&amp;VAR:CALENDAR=US&amp;VAR:SYMBOL=TIBX&amp;VAR:INDEX=0"}</definedName>
    <definedName name="_642__FDSAUDITLINK__" localSheetId="3" hidden="1">{"fdsup://directions/FAT Viewer?action=UPDATE&amp;creator=factset&amp;DYN_ARGS=TRUE&amp;DOC_NAME=FAT:FQL_AUDITING_CLIENT_TEMPLATE.FAT&amp;display_string=Audit&amp;VAR:KEY=VETOPGZARI&amp;VAR:QUERY=UkdGX1RBWF9SQVRFKEFOTiwwLCwsLCwsTk9BVURJVCk=&amp;WINDOW=FIRST_POPUP&amp;HEIGHT=450&amp;WIDTH=450&amp;","START_MAXIMIZED=FALSE&amp;VAR:CALENDAR=US&amp;VAR:SYMBOL=597791&amp;VAR:INDEX=0"}</definedName>
    <definedName name="_642__FDSAUDITLINK__" localSheetId="7" hidden="1">{"fdsup://directions/FAT Viewer?action=UPDATE&amp;creator=factset&amp;DYN_ARGS=TRUE&amp;DOC_NAME=FAT:FQL_AUDITING_CLIENT_TEMPLATE.FAT&amp;display_string=Audit&amp;VAR:KEY=VETOPGZARI&amp;VAR:QUERY=UkdGX1RBWF9SQVRFKEFOTiwwLCwsLCwsTk9BVURJVCk=&amp;WINDOW=FIRST_POPUP&amp;HEIGHT=450&amp;WIDTH=450&amp;","START_MAXIMIZED=FALSE&amp;VAR:CALENDAR=US&amp;VAR:SYMBOL=597791&amp;VAR:INDEX=0"}</definedName>
    <definedName name="_642__FDSAUDITLINK__" hidden="1">{"fdsup://directions/FAT Viewer?action=UPDATE&amp;creator=factset&amp;DYN_ARGS=TRUE&amp;DOC_NAME=FAT:FQL_AUDITING_CLIENT_TEMPLATE.FAT&amp;display_string=Audit&amp;VAR:KEY=VETOPGZARI&amp;VAR:QUERY=UkdGX1RBWF9SQVRFKEFOTiwwLCwsLCwsTk9BVURJVCk=&amp;WINDOW=FIRST_POPUP&amp;HEIGHT=450&amp;WIDTH=450&amp;","START_MAXIMIZED=FALSE&amp;VAR:CALENDAR=US&amp;VAR:SYMBOL=597791&amp;VAR:INDEX=0"}</definedName>
    <definedName name="_643__FDSAUDITLINK__" localSheetId="3" hidden="1">{"fdsup://directions/FAT Viewer?action=UPDATE&amp;creator=factset&amp;DYN_ARGS=TRUE&amp;DOC_NAME=FAT:FQL_AUDITING_CLIENT_TEMPLATE.FAT&amp;display_string=Audit&amp;VAR:KEY=VETOPGZARI&amp;VAR:QUERY=UkdGX1RBWF9SQVRFKEFOTiwwLCwsLCwsTk9BVURJVCk=&amp;WINDOW=FIRST_POPUP&amp;HEIGHT=450&amp;WIDTH=450&amp;","START_MAXIMIZED=FALSE&amp;VAR:CALENDAR=US&amp;VAR:SYMBOL=597791&amp;VAR:INDEX=0"}</definedName>
    <definedName name="_643__FDSAUDITLINK__" localSheetId="7" hidden="1">{"fdsup://directions/FAT Viewer?action=UPDATE&amp;creator=factset&amp;DYN_ARGS=TRUE&amp;DOC_NAME=FAT:FQL_AUDITING_CLIENT_TEMPLATE.FAT&amp;display_string=Audit&amp;VAR:KEY=VETOPGZARI&amp;VAR:QUERY=UkdGX1RBWF9SQVRFKEFOTiwwLCwsLCwsTk9BVURJVCk=&amp;WINDOW=FIRST_POPUP&amp;HEIGHT=450&amp;WIDTH=450&amp;","START_MAXIMIZED=FALSE&amp;VAR:CALENDAR=US&amp;VAR:SYMBOL=597791&amp;VAR:INDEX=0"}</definedName>
    <definedName name="_643__FDSAUDITLINK__" hidden="1">{"fdsup://directions/FAT Viewer?action=UPDATE&amp;creator=factset&amp;DYN_ARGS=TRUE&amp;DOC_NAME=FAT:FQL_AUDITING_CLIENT_TEMPLATE.FAT&amp;display_string=Audit&amp;VAR:KEY=VETOPGZARI&amp;VAR:QUERY=UkdGX1RBWF9SQVRFKEFOTiwwLCwsLCwsTk9BVURJVCk=&amp;WINDOW=FIRST_POPUP&amp;HEIGHT=450&amp;WIDTH=450&amp;","START_MAXIMIZED=FALSE&amp;VAR:CALENDAR=US&amp;VAR:SYMBOL=597791&amp;VAR:INDEX=0"}</definedName>
    <definedName name="_644__FDSAUDITLINK__" localSheetId="3" hidden="1">{"fdsup://directions/FAT Viewer?action=UPDATE&amp;creator=factset&amp;DYN_ARGS=TRUE&amp;DOC_NAME=FAT:FQL_AUDITING_CLIENT_TEMPLATE.FAT&amp;display_string=Audit&amp;VAR:KEY=ZURSNGDCDU&amp;VAR:QUERY=UkdGX1RBWF9SQVRFKEFOTiwwLCwsLCwsTk9BVURJVCk=&amp;WINDOW=FIRST_POPUP&amp;HEIGHT=450&amp;WIDTH=450&amp;","START_MAXIMIZED=FALSE&amp;VAR:CALENDAR=US&amp;VAR:SYMBOL=TNAV&amp;VAR:INDEX=0"}</definedName>
    <definedName name="_644__FDSAUDITLINK__" localSheetId="7" hidden="1">{"fdsup://directions/FAT Viewer?action=UPDATE&amp;creator=factset&amp;DYN_ARGS=TRUE&amp;DOC_NAME=FAT:FQL_AUDITING_CLIENT_TEMPLATE.FAT&amp;display_string=Audit&amp;VAR:KEY=ZURSNGDCDU&amp;VAR:QUERY=UkdGX1RBWF9SQVRFKEFOTiwwLCwsLCwsTk9BVURJVCk=&amp;WINDOW=FIRST_POPUP&amp;HEIGHT=450&amp;WIDTH=450&amp;","START_MAXIMIZED=FALSE&amp;VAR:CALENDAR=US&amp;VAR:SYMBOL=TNAV&amp;VAR:INDEX=0"}</definedName>
    <definedName name="_644__FDSAUDITLINK__" hidden="1">{"fdsup://directions/FAT Viewer?action=UPDATE&amp;creator=factset&amp;DYN_ARGS=TRUE&amp;DOC_NAME=FAT:FQL_AUDITING_CLIENT_TEMPLATE.FAT&amp;display_string=Audit&amp;VAR:KEY=ZURSNGDCDU&amp;VAR:QUERY=UkdGX1RBWF9SQVRFKEFOTiwwLCwsLCwsTk9BVURJVCk=&amp;WINDOW=FIRST_POPUP&amp;HEIGHT=450&amp;WIDTH=450&amp;","START_MAXIMIZED=FALSE&amp;VAR:CALENDAR=US&amp;VAR:SYMBOL=TNAV&amp;VAR:INDEX=0"}</definedName>
    <definedName name="_645__FDSAUDITLINK__" localSheetId="3" hidden="1">{"fdsup://directions/FAT Viewer?action=UPDATE&amp;creator=factset&amp;DYN_ARGS=TRUE&amp;DOC_NAME=FAT:FQL_AUDITING_CLIENT_TEMPLATE.FAT&amp;display_string=Audit&amp;VAR:KEY=ZURSNGDCDU&amp;VAR:QUERY=UkdGX1RBWF9SQVRFKEFOTiwwLCwsLCwsTk9BVURJVCk=&amp;WINDOW=FIRST_POPUP&amp;HEIGHT=450&amp;WIDTH=450&amp;","START_MAXIMIZED=FALSE&amp;VAR:CALENDAR=US&amp;VAR:SYMBOL=TNAV&amp;VAR:INDEX=0"}</definedName>
    <definedName name="_645__FDSAUDITLINK__" localSheetId="7" hidden="1">{"fdsup://directions/FAT Viewer?action=UPDATE&amp;creator=factset&amp;DYN_ARGS=TRUE&amp;DOC_NAME=FAT:FQL_AUDITING_CLIENT_TEMPLATE.FAT&amp;display_string=Audit&amp;VAR:KEY=ZURSNGDCDU&amp;VAR:QUERY=UkdGX1RBWF9SQVRFKEFOTiwwLCwsLCwsTk9BVURJVCk=&amp;WINDOW=FIRST_POPUP&amp;HEIGHT=450&amp;WIDTH=450&amp;","START_MAXIMIZED=FALSE&amp;VAR:CALENDAR=US&amp;VAR:SYMBOL=TNAV&amp;VAR:INDEX=0"}</definedName>
    <definedName name="_645__FDSAUDITLINK__" hidden="1">{"fdsup://directions/FAT Viewer?action=UPDATE&amp;creator=factset&amp;DYN_ARGS=TRUE&amp;DOC_NAME=FAT:FQL_AUDITING_CLIENT_TEMPLATE.FAT&amp;display_string=Audit&amp;VAR:KEY=ZURSNGDCDU&amp;VAR:QUERY=UkdGX1RBWF9SQVRFKEFOTiwwLCwsLCwsTk9BVURJVCk=&amp;WINDOW=FIRST_POPUP&amp;HEIGHT=450&amp;WIDTH=450&amp;","START_MAXIMIZED=FALSE&amp;VAR:CALENDAR=US&amp;VAR:SYMBOL=TNAV&amp;VAR:INDEX=0"}</definedName>
    <definedName name="_646__FDSAUDITLINK__" localSheetId="3" hidden="1">{"fdsup://directions/FAT Viewer?action=UPDATE&amp;creator=factset&amp;DYN_ARGS=TRUE&amp;DOC_NAME=FAT:FQL_AUDITING_CLIENT_TEMPLATE.FAT&amp;display_string=Audit&amp;VAR:KEY=ZSZEVULAHW&amp;VAR:QUERY=UkdGX1RBWF9SQVRFKEFOTiwwLCwsLCwsTk9BVURJVCk=&amp;WINDOW=FIRST_POPUP&amp;HEIGHT=450&amp;WIDTH=450&amp;","START_MAXIMIZED=FALSE&amp;VAR:CALENDAR=US&amp;VAR:SYMBOL=CNQR&amp;VAR:INDEX=0"}</definedName>
    <definedName name="_646__FDSAUDITLINK__" localSheetId="7" hidden="1">{"fdsup://directions/FAT Viewer?action=UPDATE&amp;creator=factset&amp;DYN_ARGS=TRUE&amp;DOC_NAME=FAT:FQL_AUDITING_CLIENT_TEMPLATE.FAT&amp;display_string=Audit&amp;VAR:KEY=ZSZEVULAHW&amp;VAR:QUERY=UkdGX1RBWF9SQVRFKEFOTiwwLCwsLCwsTk9BVURJVCk=&amp;WINDOW=FIRST_POPUP&amp;HEIGHT=450&amp;WIDTH=450&amp;","START_MAXIMIZED=FALSE&amp;VAR:CALENDAR=US&amp;VAR:SYMBOL=CNQR&amp;VAR:INDEX=0"}</definedName>
    <definedName name="_646__FDSAUDITLINK__" hidden="1">{"fdsup://directions/FAT Viewer?action=UPDATE&amp;creator=factset&amp;DYN_ARGS=TRUE&amp;DOC_NAME=FAT:FQL_AUDITING_CLIENT_TEMPLATE.FAT&amp;display_string=Audit&amp;VAR:KEY=ZSZEVULAHW&amp;VAR:QUERY=UkdGX1RBWF9SQVRFKEFOTiwwLCwsLCwsTk9BVURJVCk=&amp;WINDOW=FIRST_POPUP&amp;HEIGHT=450&amp;WIDTH=450&amp;","START_MAXIMIZED=FALSE&amp;VAR:CALENDAR=US&amp;VAR:SYMBOL=CNQR&amp;VAR:INDEX=0"}</definedName>
    <definedName name="_647__FDSAUDITLINK__" localSheetId="3" hidden="1">{"fdsup://directions/FAT Viewer?action=UPDATE&amp;creator=factset&amp;DYN_ARGS=TRUE&amp;DOC_NAME=FAT:FQL_AUDITING_CLIENT_TEMPLATE.FAT&amp;display_string=Audit&amp;VAR:KEY=ZSZEVULAHW&amp;VAR:QUERY=UkdGX1RBWF9SQVRFKEFOTiwwLCwsLCwsTk9BVURJVCk=&amp;WINDOW=FIRST_POPUP&amp;HEIGHT=450&amp;WIDTH=450&amp;","START_MAXIMIZED=FALSE&amp;VAR:CALENDAR=US&amp;VAR:SYMBOL=CNQR&amp;VAR:INDEX=0"}</definedName>
    <definedName name="_647__FDSAUDITLINK__" localSheetId="7" hidden="1">{"fdsup://directions/FAT Viewer?action=UPDATE&amp;creator=factset&amp;DYN_ARGS=TRUE&amp;DOC_NAME=FAT:FQL_AUDITING_CLIENT_TEMPLATE.FAT&amp;display_string=Audit&amp;VAR:KEY=ZSZEVULAHW&amp;VAR:QUERY=UkdGX1RBWF9SQVRFKEFOTiwwLCwsLCwsTk9BVURJVCk=&amp;WINDOW=FIRST_POPUP&amp;HEIGHT=450&amp;WIDTH=450&amp;","START_MAXIMIZED=FALSE&amp;VAR:CALENDAR=US&amp;VAR:SYMBOL=CNQR&amp;VAR:INDEX=0"}</definedName>
    <definedName name="_647__FDSAUDITLINK__" hidden="1">{"fdsup://directions/FAT Viewer?action=UPDATE&amp;creator=factset&amp;DYN_ARGS=TRUE&amp;DOC_NAME=FAT:FQL_AUDITING_CLIENT_TEMPLATE.FAT&amp;display_string=Audit&amp;VAR:KEY=ZSZEVULAHW&amp;VAR:QUERY=UkdGX1RBWF9SQVRFKEFOTiwwLCwsLCwsTk9BVURJVCk=&amp;WINDOW=FIRST_POPUP&amp;HEIGHT=450&amp;WIDTH=450&amp;","START_MAXIMIZED=FALSE&amp;VAR:CALENDAR=US&amp;VAR:SYMBOL=CNQR&amp;VAR:INDEX=0"}</definedName>
    <definedName name="_648__FDSAUDITLINK__" localSheetId="3" hidden="1">{"fdsup://directions/FAT Viewer?action=UPDATE&amp;creator=factset&amp;DYN_ARGS=TRUE&amp;DOC_NAME=FAT:FQL_AUDITING_CLIENT_TEMPLATE.FAT&amp;display_string=Audit&amp;VAR:KEY=VGXWRSXCHK&amp;VAR:QUERY=UkdGX1RBWF9SQVRFKEFOTiwwLCwsLCwsTk9BVURJVCk=&amp;WINDOW=FIRST_POPUP&amp;HEIGHT=450&amp;WIDTH=450&amp;","START_MAXIMIZED=FALSE&amp;VAR:CALENDAR=US&amp;VAR:SYMBOL=TLEO&amp;VAR:INDEX=0"}</definedName>
    <definedName name="_648__FDSAUDITLINK__" localSheetId="7" hidden="1">{"fdsup://directions/FAT Viewer?action=UPDATE&amp;creator=factset&amp;DYN_ARGS=TRUE&amp;DOC_NAME=FAT:FQL_AUDITING_CLIENT_TEMPLATE.FAT&amp;display_string=Audit&amp;VAR:KEY=VGXWRSXCHK&amp;VAR:QUERY=UkdGX1RBWF9SQVRFKEFOTiwwLCwsLCwsTk9BVURJVCk=&amp;WINDOW=FIRST_POPUP&amp;HEIGHT=450&amp;WIDTH=450&amp;","START_MAXIMIZED=FALSE&amp;VAR:CALENDAR=US&amp;VAR:SYMBOL=TLEO&amp;VAR:INDEX=0"}</definedName>
    <definedName name="_648__FDSAUDITLINK__" hidden="1">{"fdsup://directions/FAT Viewer?action=UPDATE&amp;creator=factset&amp;DYN_ARGS=TRUE&amp;DOC_NAME=FAT:FQL_AUDITING_CLIENT_TEMPLATE.FAT&amp;display_string=Audit&amp;VAR:KEY=VGXWRSXCHK&amp;VAR:QUERY=UkdGX1RBWF9SQVRFKEFOTiwwLCwsLCwsTk9BVURJVCk=&amp;WINDOW=FIRST_POPUP&amp;HEIGHT=450&amp;WIDTH=450&amp;","START_MAXIMIZED=FALSE&amp;VAR:CALENDAR=US&amp;VAR:SYMBOL=TLEO&amp;VAR:INDEX=0"}</definedName>
    <definedName name="_649__FDSAUDITLINK__" localSheetId="3" hidden="1">{"fdsup://directions/FAT Viewer?action=UPDATE&amp;creator=factset&amp;DYN_ARGS=TRUE&amp;DOC_NAME=FAT:FQL_AUDITING_CLIENT_TEMPLATE.FAT&amp;display_string=Audit&amp;VAR:KEY=HWTSRAVGVE&amp;VAR:QUERY=UkdGX1RBWF9SQVRFKEFOTiwwLCwsLCwsTk9BVURJVCk=&amp;WINDOW=FIRST_POPUP&amp;HEIGHT=450&amp;WIDTH=450&amp;","START_MAXIMIZED=FALSE&amp;VAR:CALENDAR=US&amp;VAR:SYMBOL=SVR&amp;VAR:INDEX=0"}</definedName>
    <definedName name="_649__FDSAUDITLINK__" localSheetId="7" hidden="1">{"fdsup://directions/FAT Viewer?action=UPDATE&amp;creator=factset&amp;DYN_ARGS=TRUE&amp;DOC_NAME=FAT:FQL_AUDITING_CLIENT_TEMPLATE.FAT&amp;display_string=Audit&amp;VAR:KEY=HWTSRAVGVE&amp;VAR:QUERY=UkdGX1RBWF9SQVRFKEFOTiwwLCwsLCwsTk9BVURJVCk=&amp;WINDOW=FIRST_POPUP&amp;HEIGHT=450&amp;WIDTH=450&amp;","START_MAXIMIZED=FALSE&amp;VAR:CALENDAR=US&amp;VAR:SYMBOL=SVR&amp;VAR:INDEX=0"}</definedName>
    <definedName name="_649__FDSAUDITLINK__" hidden="1">{"fdsup://directions/FAT Viewer?action=UPDATE&amp;creator=factset&amp;DYN_ARGS=TRUE&amp;DOC_NAME=FAT:FQL_AUDITING_CLIENT_TEMPLATE.FAT&amp;display_string=Audit&amp;VAR:KEY=HWTSRAVGVE&amp;VAR:QUERY=UkdGX1RBWF9SQVRFKEFOTiwwLCwsLCwsTk9BVURJVCk=&amp;WINDOW=FIRST_POPUP&amp;HEIGHT=450&amp;WIDTH=450&amp;","START_MAXIMIZED=FALSE&amp;VAR:CALENDAR=US&amp;VAR:SYMBOL=SVR&amp;VAR:INDEX=0"}</definedName>
    <definedName name="_65__FDSAUDITLINK__" localSheetId="3" hidden="1">{"fdsup://directions/FAT Viewer?action=UPDATE&amp;creator=factset&amp;DYN_ARGS=TRUE&amp;DOC_NAME=FAT:FQL_AUDITING_CLIENT_TEMPLATE.FAT&amp;display_string=Audit&amp;VAR:KEY=MROHCTGXYD&amp;VAR:QUERY=RkZfU0FMRVMoTFRNLDAsLCwsLE0p&amp;WINDOW=FIRST_POPUP&amp;HEIGHT=450&amp;WIDTH=450&amp;START_MAXIMIZED=","FALSE&amp;VAR:CALENDAR=US&amp;VAR:SYMBOL=B1YBRG&amp;VAR:INDEX=0"}</definedName>
    <definedName name="_65__FDSAUDITLINK__" localSheetId="7" hidden="1">{"fdsup://directions/FAT Viewer?action=UPDATE&amp;creator=factset&amp;DYN_ARGS=TRUE&amp;DOC_NAME=FAT:FQL_AUDITING_CLIENT_TEMPLATE.FAT&amp;display_string=Audit&amp;VAR:KEY=MROHCTGXYD&amp;VAR:QUERY=RkZfU0FMRVMoTFRNLDAsLCwsLE0p&amp;WINDOW=FIRST_POPUP&amp;HEIGHT=450&amp;WIDTH=450&amp;START_MAXIMIZED=","FALSE&amp;VAR:CALENDAR=US&amp;VAR:SYMBOL=B1YBRG&amp;VAR:INDEX=0"}</definedName>
    <definedName name="_65__FDSAUDITLINK__" hidden="1">{"fdsup://directions/FAT Viewer?action=UPDATE&amp;creator=factset&amp;DYN_ARGS=TRUE&amp;DOC_NAME=FAT:FQL_AUDITING_CLIENT_TEMPLATE.FAT&amp;display_string=Audit&amp;VAR:KEY=MROHCTGXYD&amp;VAR:QUERY=RkZfU0FMRVMoTFRNLDAsLCwsLE0p&amp;WINDOW=FIRST_POPUP&amp;HEIGHT=450&amp;WIDTH=450&amp;START_MAXIMIZED=","FALSE&amp;VAR:CALENDAR=US&amp;VAR:SYMBOL=B1YBRG&amp;VAR:INDEX=0"}</definedName>
    <definedName name="_650__FDSAUDITLINK__" localSheetId="3" hidden="1">{"fdsup://directions/FAT Viewer?action=UPDATE&amp;creator=factset&amp;DYN_ARGS=TRUE&amp;DOC_NAME=FAT:FQL_AUDITING_CLIENT_TEMPLATE.FAT&amp;display_string=Audit&amp;VAR:KEY=HWTSRAVGVE&amp;VAR:QUERY=UkdGX1RBWF9SQVRFKEFOTiwwLCwsLCwsTk9BVURJVCk=&amp;WINDOW=FIRST_POPUP&amp;HEIGHT=450&amp;WIDTH=450&amp;","START_MAXIMIZED=FALSE&amp;VAR:CALENDAR=US&amp;VAR:SYMBOL=SVR&amp;VAR:INDEX=0"}</definedName>
    <definedName name="_650__FDSAUDITLINK__" localSheetId="7" hidden="1">{"fdsup://directions/FAT Viewer?action=UPDATE&amp;creator=factset&amp;DYN_ARGS=TRUE&amp;DOC_NAME=FAT:FQL_AUDITING_CLIENT_TEMPLATE.FAT&amp;display_string=Audit&amp;VAR:KEY=HWTSRAVGVE&amp;VAR:QUERY=UkdGX1RBWF9SQVRFKEFOTiwwLCwsLCwsTk9BVURJVCk=&amp;WINDOW=FIRST_POPUP&amp;HEIGHT=450&amp;WIDTH=450&amp;","START_MAXIMIZED=FALSE&amp;VAR:CALENDAR=US&amp;VAR:SYMBOL=SVR&amp;VAR:INDEX=0"}</definedName>
    <definedName name="_650__FDSAUDITLINK__" hidden="1">{"fdsup://directions/FAT Viewer?action=UPDATE&amp;creator=factset&amp;DYN_ARGS=TRUE&amp;DOC_NAME=FAT:FQL_AUDITING_CLIENT_TEMPLATE.FAT&amp;display_string=Audit&amp;VAR:KEY=HWTSRAVGVE&amp;VAR:QUERY=UkdGX1RBWF9SQVRFKEFOTiwwLCwsLCwsTk9BVURJVCk=&amp;WINDOW=FIRST_POPUP&amp;HEIGHT=450&amp;WIDTH=450&amp;","START_MAXIMIZED=FALSE&amp;VAR:CALENDAR=US&amp;VAR:SYMBOL=SVR&amp;VAR:INDEX=0"}</definedName>
    <definedName name="_651__FDSAUDITLINK__" localSheetId="3" hidden="1">{"fdsup://directions/FAT Viewer?action=UPDATE&amp;creator=factset&amp;DYN_ARGS=TRUE&amp;DOC_NAME=FAT:FQL_AUDITING_CLIENT_TEMPLATE.FAT&amp;display_string=Audit&amp;VAR:KEY=VUPIHANSHU&amp;VAR:QUERY=UkdGX1RBWF9SQVRFKEFOTiwwLCwsLCwsTk9BVURJVCk=&amp;WINDOW=FIRST_POPUP&amp;HEIGHT=450&amp;WIDTH=450&amp;","START_MAXIMIZED=FALSE&amp;VAR:CALENDAR=US&amp;VAR:SYMBOL=SPRT&amp;VAR:INDEX=0"}</definedName>
    <definedName name="_651__FDSAUDITLINK__" localSheetId="7" hidden="1">{"fdsup://directions/FAT Viewer?action=UPDATE&amp;creator=factset&amp;DYN_ARGS=TRUE&amp;DOC_NAME=FAT:FQL_AUDITING_CLIENT_TEMPLATE.FAT&amp;display_string=Audit&amp;VAR:KEY=VUPIHANSHU&amp;VAR:QUERY=UkdGX1RBWF9SQVRFKEFOTiwwLCwsLCwsTk9BVURJVCk=&amp;WINDOW=FIRST_POPUP&amp;HEIGHT=450&amp;WIDTH=450&amp;","START_MAXIMIZED=FALSE&amp;VAR:CALENDAR=US&amp;VAR:SYMBOL=SPRT&amp;VAR:INDEX=0"}</definedName>
    <definedName name="_651__FDSAUDITLINK__" hidden="1">{"fdsup://directions/FAT Viewer?action=UPDATE&amp;creator=factset&amp;DYN_ARGS=TRUE&amp;DOC_NAME=FAT:FQL_AUDITING_CLIENT_TEMPLATE.FAT&amp;display_string=Audit&amp;VAR:KEY=VUPIHANSHU&amp;VAR:QUERY=UkdGX1RBWF9SQVRFKEFOTiwwLCwsLCwsTk9BVURJVCk=&amp;WINDOW=FIRST_POPUP&amp;HEIGHT=450&amp;WIDTH=450&amp;","START_MAXIMIZED=FALSE&amp;VAR:CALENDAR=US&amp;VAR:SYMBOL=SPRT&amp;VAR:INDEX=0"}</definedName>
    <definedName name="_652__FDSAUDITLINK__" localSheetId="3" hidden="1">{"fdsup://directions/FAT Viewer?action=UPDATE&amp;creator=factset&amp;DYN_ARGS=TRUE&amp;DOC_NAME=FAT:FQL_AUDITING_CLIENT_TEMPLATE.FAT&amp;display_string=Audit&amp;VAR:KEY=BULIRMNSVW&amp;VAR:QUERY=UkdGX1RBWF9SQVRFKEFOTiwwLCwsLCwsTk9BVURJVCk=&amp;WINDOW=FIRST_POPUP&amp;HEIGHT=450&amp;WIDTH=450&amp;","START_MAXIMIZED=FALSE&amp;VAR:CALENDAR=US&amp;VAR:SYMBOL=SSNC&amp;VAR:INDEX=0"}</definedName>
    <definedName name="_652__FDSAUDITLINK__" localSheetId="7" hidden="1">{"fdsup://directions/FAT Viewer?action=UPDATE&amp;creator=factset&amp;DYN_ARGS=TRUE&amp;DOC_NAME=FAT:FQL_AUDITING_CLIENT_TEMPLATE.FAT&amp;display_string=Audit&amp;VAR:KEY=BULIRMNSVW&amp;VAR:QUERY=UkdGX1RBWF9SQVRFKEFOTiwwLCwsLCwsTk9BVURJVCk=&amp;WINDOW=FIRST_POPUP&amp;HEIGHT=450&amp;WIDTH=450&amp;","START_MAXIMIZED=FALSE&amp;VAR:CALENDAR=US&amp;VAR:SYMBOL=SSNC&amp;VAR:INDEX=0"}</definedName>
    <definedName name="_652__FDSAUDITLINK__" hidden="1">{"fdsup://directions/FAT Viewer?action=UPDATE&amp;creator=factset&amp;DYN_ARGS=TRUE&amp;DOC_NAME=FAT:FQL_AUDITING_CLIENT_TEMPLATE.FAT&amp;display_string=Audit&amp;VAR:KEY=BULIRMNSVW&amp;VAR:QUERY=UkdGX1RBWF9SQVRFKEFOTiwwLCwsLCwsTk9BVURJVCk=&amp;WINDOW=FIRST_POPUP&amp;HEIGHT=450&amp;WIDTH=450&amp;","START_MAXIMIZED=FALSE&amp;VAR:CALENDAR=US&amp;VAR:SYMBOL=SSNC&amp;VAR:INDEX=0"}</definedName>
    <definedName name="_653__FDSAUDITLINK__" localSheetId="3" hidden="1">{"fdsup://directions/FAT Viewer?action=UPDATE&amp;creator=factset&amp;DYN_ARGS=TRUE&amp;DOC_NAME=FAT:FQL_AUDITING_CLIENT_TEMPLATE.FAT&amp;display_string=Audit&amp;VAR:KEY=BULIRMNSVW&amp;VAR:QUERY=UkdGX1RBWF9SQVRFKEFOTiwwLCwsLCwsTk9BVURJVCk=&amp;WINDOW=FIRST_POPUP&amp;HEIGHT=450&amp;WIDTH=450&amp;","START_MAXIMIZED=FALSE&amp;VAR:CALENDAR=US&amp;VAR:SYMBOL=SSNC&amp;VAR:INDEX=0"}</definedName>
    <definedName name="_653__FDSAUDITLINK__" localSheetId="7" hidden="1">{"fdsup://directions/FAT Viewer?action=UPDATE&amp;creator=factset&amp;DYN_ARGS=TRUE&amp;DOC_NAME=FAT:FQL_AUDITING_CLIENT_TEMPLATE.FAT&amp;display_string=Audit&amp;VAR:KEY=BULIRMNSVW&amp;VAR:QUERY=UkdGX1RBWF9SQVRFKEFOTiwwLCwsLCwsTk9BVURJVCk=&amp;WINDOW=FIRST_POPUP&amp;HEIGHT=450&amp;WIDTH=450&amp;","START_MAXIMIZED=FALSE&amp;VAR:CALENDAR=US&amp;VAR:SYMBOL=SSNC&amp;VAR:INDEX=0"}</definedName>
    <definedName name="_653__FDSAUDITLINK__" hidden="1">{"fdsup://directions/FAT Viewer?action=UPDATE&amp;creator=factset&amp;DYN_ARGS=TRUE&amp;DOC_NAME=FAT:FQL_AUDITING_CLIENT_TEMPLATE.FAT&amp;display_string=Audit&amp;VAR:KEY=BULIRMNSVW&amp;VAR:QUERY=UkdGX1RBWF9SQVRFKEFOTiwwLCwsLCwsTk9BVURJVCk=&amp;WINDOW=FIRST_POPUP&amp;HEIGHT=450&amp;WIDTH=450&amp;","START_MAXIMIZED=FALSE&amp;VAR:CALENDAR=US&amp;VAR:SYMBOL=SSNC&amp;VAR:INDEX=0"}</definedName>
    <definedName name="_654__FDSAUDITLINK__" localSheetId="3" hidden="1">{"fdsup://directions/FAT Viewer?action=UPDATE&amp;creator=factset&amp;DYN_ARGS=TRUE&amp;DOC_NAME=FAT:FQL_AUDITING_CLIENT_TEMPLATE.FAT&amp;display_string=Audit&amp;VAR:KEY=NABYTAZUTC&amp;VAR:QUERY=UkdGX1RBWF9SQVRFKEFOTiwwLCwsLCwsTk9BVURJVCk=&amp;WINDOW=FIRST_POPUP&amp;HEIGHT=450&amp;WIDTH=450&amp;","START_MAXIMIZED=FALSE&amp;VAR:CALENDAR=US&amp;VAR:SYMBOL=LNUX&amp;VAR:INDEX=0"}</definedName>
    <definedName name="_654__FDSAUDITLINK__" localSheetId="7" hidden="1">{"fdsup://directions/FAT Viewer?action=UPDATE&amp;creator=factset&amp;DYN_ARGS=TRUE&amp;DOC_NAME=FAT:FQL_AUDITING_CLIENT_TEMPLATE.FAT&amp;display_string=Audit&amp;VAR:KEY=NABYTAZUTC&amp;VAR:QUERY=UkdGX1RBWF9SQVRFKEFOTiwwLCwsLCwsTk9BVURJVCk=&amp;WINDOW=FIRST_POPUP&amp;HEIGHT=450&amp;WIDTH=450&amp;","START_MAXIMIZED=FALSE&amp;VAR:CALENDAR=US&amp;VAR:SYMBOL=LNUX&amp;VAR:INDEX=0"}</definedName>
    <definedName name="_654__FDSAUDITLINK__" hidden="1">{"fdsup://directions/FAT Viewer?action=UPDATE&amp;creator=factset&amp;DYN_ARGS=TRUE&amp;DOC_NAME=FAT:FQL_AUDITING_CLIENT_TEMPLATE.FAT&amp;display_string=Audit&amp;VAR:KEY=NABYTAZUTC&amp;VAR:QUERY=UkdGX1RBWF9SQVRFKEFOTiwwLCwsLCwsTk9BVURJVCk=&amp;WINDOW=FIRST_POPUP&amp;HEIGHT=450&amp;WIDTH=450&amp;","START_MAXIMIZED=FALSE&amp;VAR:CALENDAR=US&amp;VAR:SYMBOL=LNUX&amp;VAR:INDEX=0"}</definedName>
    <definedName name="_655__FDSAUDITLINK__" localSheetId="3" hidden="1">{"fdsup://directions/FAT Viewer?action=UPDATE&amp;creator=factset&amp;DYN_ARGS=TRUE&amp;DOC_NAME=FAT:FQL_AUDITING_CLIENT_TEMPLATE.FAT&amp;display_string=Audit&amp;VAR:KEY=XCRMFWHWRG&amp;VAR:QUERY=UkdGX1RBWF9SQVRFKEFOTiwwLCwsLCwsTk9BVURJVCk=&amp;WINDOW=FIRST_POPUP&amp;HEIGHT=450&amp;WIDTH=450&amp;","START_MAXIMIZED=FALSE&amp;VAR:CALENDAR=US&amp;VAR:SYMBOL=SLH&amp;VAR:INDEX=0"}</definedName>
    <definedName name="_655__FDSAUDITLINK__" localSheetId="7" hidden="1">{"fdsup://directions/FAT Viewer?action=UPDATE&amp;creator=factset&amp;DYN_ARGS=TRUE&amp;DOC_NAME=FAT:FQL_AUDITING_CLIENT_TEMPLATE.FAT&amp;display_string=Audit&amp;VAR:KEY=XCRMFWHWRG&amp;VAR:QUERY=UkdGX1RBWF9SQVRFKEFOTiwwLCwsLCwsTk9BVURJVCk=&amp;WINDOW=FIRST_POPUP&amp;HEIGHT=450&amp;WIDTH=450&amp;","START_MAXIMIZED=FALSE&amp;VAR:CALENDAR=US&amp;VAR:SYMBOL=SLH&amp;VAR:INDEX=0"}</definedName>
    <definedName name="_655__FDSAUDITLINK__" hidden="1">{"fdsup://directions/FAT Viewer?action=UPDATE&amp;creator=factset&amp;DYN_ARGS=TRUE&amp;DOC_NAME=FAT:FQL_AUDITING_CLIENT_TEMPLATE.FAT&amp;display_string=Audit&amp;VAR:KEY=XCRMFWHWRG&amp;VAR:QUERY=UkdGX1RBWF9SQVRFKEFOTiwwLCwsLCwsTk9BVURJVCk=&amp;WINDOW=FIRST_POPUP&amp;HEIGHT=450&amp;WIDTH=450&amp;","START_MAXIMIZED=FALSE&amp;VAR:CALENDAR=US&amp;VAR:SYMBOL=SLH&amp;VAR:INDEX=0"}</definedName>
    <definedName name="_656__FDSAUDITLINK__" localSheetId="3" hidden="1">{"fdsup://directions/FAT Viewer?action=UPDATE&amp;creator=factset&amp;DYN_ARGS=TRUE&amp;DOC_NAME=FAT:FQL_AUDITING_CLIENT_TEMPLATE.FAT&amp;display_string=Audit&amp;VAR:KEY=XCRMFWHWRG&amp;VAR:QUERY=UkdGX1RBWF9SQVRFKEFOTiwwLCwsLCwsTk9BVURJVCk=&amp;WINDOW=FIRST_POPUP&amp;HEIGHT=450&amp;WIDTH=450&amp;","START_MAXIMIZED=FALSE&amp;VAR:CALENDAR=US&amp;VAR:SYMBOL=SLH&amp;VAR:INDEX=0"}</definedName>
    <definedName name="_656__FDSAUDITLINK__" localSheetId="7" hidden="1">{"fdsup://directions/FAT Viewer?action=UPDATE&amp;creator=factset&amp;DYN_ARGS=TRUE&amp;DOC_NAME=FAT:FQL_AUDITING_CLIENT_TEMPLATE.FAT&amp;display_string=Audit&amp;VAR:KEY=XCRMFWHWRG&amp;VAR:QUERY=UkdGX1RBWF9SQVRFKEFOTiwwLCwsLCwsTk9BVURJVCk=&amp;WINDOW=FIRST_POPUP&amp;HEIGHT=450&amp;WIDTH=450&amp;","START_MAXIMIZED=FALSE&amp;VAR:CALENDAR=US&amp;VAR:SYMBOL=SLH&amp;VAR:INDEX=0"}</definedName>
    <definedName name="_656__FDSAUDITLINK__" hidden="1">{"fdsup://directions/FAT Viewer?action=UPDATE&amp;creator=factset&amp;DYN_ARGS=TRUE&amp;DOC_NAME=FAT:FQL_AUDITING_CLIENT_TEMPLATE.FAT&amp;display_string=Audit&amp;VAR:KEY=XCRMFWHWRG&amp;VAR:QUERY=UkdGX1RBWF9SQVRFKEFOTiwwLCwsLCwsTk9BVURJVCk=&amp;WINDOW=FIRST_POPUP&amp;HEIGHT=450&amp;WIDTH=450&amp;","START_MAXIMIZED=FALSE&amp;VAR:CALENDAR=US&amp;VAR:SYMBOL=SLH&amp;VAR:INDEX=0"}</definedName>
    <definedName name="_657__FDSAUDITLINK__" localSheetId="3" hidden="1">{"fdsup://directions/FAT Viewer?action=UPDATE&amp;creator=factset&amp;DYN_ARGS=TRUE&amp;DOC_NAME=FAT:FQL_AUDITING_CLIENT_TEMPLATE.FAT&amp;display_string=Audit&amp;VAR:KEY=PYHGZEHEHK&amp;VAR:QUERY=UkdGX1RBWF9SQVRFKEFOTiwwLCwsLCwsTk9BVURJVCk=&amp;WINDOW=FIRST_POPUP&amp;HEIGHT=450&amp;WIDTH=450&amp;","START_MAXIMIZED=FALSE&amp;VAR:CALENDAR=US&amp;VAR:SYMBOL=475513&amp;VAR:INDEX=0"}</definedName>
    <definedName name="_657__FDSAUDITLINK__" localSheetId="7" hidden="1">{"fdsup://directions/FAT Viewer?action=UPDATE&amp;creator=factset&amp;DYN_ARGS=TRUE&amp;DOC_NAME=FAT:FQL_AUDITING_CLIENT_TEMPLATE.FAT&amp;display_string=Audit&amp;VAR:KEY=PYHGZEHEHK&amp;VAR:QUERY=UkdGX1RBWF9SQVRFKEFOTiwwLCwsLCwsTk9BVURJVCk=&amp;WINDOW=FIRST_POPUP&amp;HEIGHT=450&amp;WIDTH=450&amp;","START_MAXIMIZED=FALSE&amp;VAR:CALENDAR=US&amp;VAR:SYMBOL=475513&amp;VAR:INDEX=0"}</definedName>
    <definedName name="_657__FDSAUDITLINK__" hidden="1">{"fdsup://directions/FAT Viewer?action=UPDATE&amp;creator=factset&amp;DYN_ARGS=TRUE&amp;DOC_NAME=FAT:FQL_AUDITING_CLIENT_TEMPLATE.FAT&amp;display_string=Audit&amp;VAR:KEY=PYHGZEHEHK&amp;VAR:QUERY=UkdGX1RBWF9SQVRFKEFOTiwwLCwsLCwsTk9BVURJVCk=&amp;WINDOW=FIRST_POPUP&amp;HEIGHT=450&amp;WIDTH=450&amp;","START_MAXIMIZED=FALSE&amp;VAR:CALENDAR=US&amp;VAR:SYMBOL=475513&amp;VAR:INDEX=0"}</definedName>
    <definedName name="_658__FDSAUDITLINK__" localSheetId="3" hidden="1">{"fdsup://directions/FAT Viewer?action=UPDATE&amp;creator=factset&amp;DYN_ARGS=TRUE&amp;DOC_NAME=FAT:FQL_AUDITING_CLIENT_TEMPLATE.FAT&amp;display_string=Audit&amp;VAR:KEY=PYHGZEHEHK&amp;VAR:QUERY=UkdGX1RBWF9SQVRFKEFOTiwwLCwsLCwsTk9BVURJVCk=&amp;WINDOW=FIRST_POPUP&amp;HEIGHT=450&amp;WIDTH=450&amp;","START_MAXIMIZED=FALSE&amp;VAR:CALENDAR=US&amp;VAR:SYMBOL=475513&amp;VAR:INDEX=0"}</definedName>
    <definedName name="_658__FDSAUDITLINK__" localSheetId="7" hidden="1">{"fdsup://directions/FAT Viewer?action=UPDATE&amp;creator=factset&amp;DYN_ARGS=TRUE&amp;DOC_NAME=FAT:FQL_AUDITING_CLIENT_TEMPLATE.FAT&amp;display_string=Audit&amp;VAR:KEY=PYHGZEHEHK&amp;VAR:QUERY=UkdGX1RBWF9SQVRFKEFOTiwwLCwsLCwsTk9BVURJVCk=&amp;WINDOW=FIRST_POPUP&amp;HEIGHT=450&amp;WIDTH=450&amp;","START_MAXIMIZED=FALSE&amp;VAR:CALENDAR=US&amp;VAR:SYMBOL=475513&amp;VAR:INDEX=0"}</definedName>
    <definedName name="_658__FDSAUDITLINK__" hidden="1">{"fdsup://directions/FAT Viewer?action=UPDATE&amp;creator=factset&amp;DYN_ARGS=TRUE&amp;DOC_NAME=FAT:FQL_AUDITING_CLIENT_TEMPLATE.FAT&amp;display_string=Audit&amp;VAR:KEY=PYHGZEHEHK&amp;VAR:QUERY=UkdGX1RBWF9SQVRFKEFOTiwwLCwsLCwsTk9BVURJVCk=&amp;WINDOW=FIRST_POPUP&amp;HEIGHT=450&amp;WIDTH=450&amp;","START_MAXIMIZED=FALSE&amp;VAR:CALENDAR=US&amp;VAR:SYMBOL=475513&amp;VAR:INDEX=0"}</definedName>
    <definedName name="_659__FDSAUDITLINK__" localSheetId="3" hidden="1">{"fdsup://directions/FAT Viewer?action=UPDATE&amp;creator=factset&amp;DYN_ARGS=TRUE&amp;DOC_NAME=FAT:FQL_AUDITING_CLIENT_TEMPLATE.FAT&amp;display_string=Audit&amp;VAR:KEY=LYTEHUBAFC&amp;VAR:QUERY=UkdGX1RBWF9SQVRFKEFOTiwwLCwsLCwsTk9BVURJVCk=&amp;WINDOW=FIRST_POPUP&amp;HEIGHT=450&amp;WIDTH=450&amp;","START_MAXIMIZED=FALSE&amp;VAR:CALENDAR=US&amp;VAR:SYMBOL=SQI&amp;VAR:INDEX=0"}</definedName>
    <definedName name="_659__FDSAUDITLINK__" localSheetId="7" hidden="1">{"fdsup://directions/FAT Viewer?action=UPDATE&amp;creator=factset&amp;DYN_ARGS=TRUE&amp;DOC_NAME=FAT:FQL_AUDITING_CLIENT_TEMPLATE.FAT&amp;display_string=Audit&amp;VAR:KEY=LYTEHUBAFC&amp;VAR:QUERY=UkdGX1RBWF9SQVRFKEFOTiwwLCwsLCwsTk9BVURJVCk=&amp;WINDOW=FIRST_POPUP&amp;HEIGHT=450&amp;WIDTH=450&amp;","START_MAXIMIZED=FALSE&amp;VAR:CALENDAR=US&amp;VAR:SYMBOL=SQI&amp;VAR:INDEX=0"}</definedName>
    <definedName name="_659__FDSAUDITLINK__" hidden="1">{"fdsup://directions/FAT Viewer?action=UPDATE&amp;creator=factset&amp;DYN_ARGS=TRUE&amp;DOC_NAME=FAT:FQL_AUDITING_CLIENT_TEMPLATE.FAT&amp;display_string=Audit&amp;VAR:KEY=LYTEHUBAFC&amp;VAR:QUERY=UkdGX1RBWF9SQVRFKEFOTiwwLCwsLCwsTk9BVURJVCk=&amp;WINDOW=FIRST_POPUP&amp;HEIGHT=450&amp;WIDTH=450&amp;","START_MAXIMIZED=FALSE&amp;VAR:CALENDAR=US&amp;VAR:SYMBOL=SQI&amp;VAR:INDEX=0"}</definedName>
    <definedName name="_66__FDSAUDITLINK__" localSheetId="3" hidden="1">{"fdsup://directions/FAT Viewer?action=UPDATE&amp;creator=factset&amp;DYN_ARGS=TRUE&amp;DOC_NAME=FAT:FQL_AUDITING_CLIENT_TEMPLATE.FAT&amp;display_string=Audit&amp;VAR:KEY=IXEFIDEJEJ&amp;VAR:QUERY=RkZfTkVUX0lOQyhMVE0sMCwsLCwsTSk=&amp;WINDOW=FIRST_POPUP&amp;HEIGHT=450&amp;WIDTH=450&amp;START_MAXIMI","ZED=FALSE&amp;VAR:CALENDAR=US&amp;VAR:SYMBOL=B19PKQ&amp;VAR:INDEX=0"}</definedName>
    <definedName name="_66__FDSAUDITLINK__" localSheetId="7" hidden="1">{"fdsup://directions/FAT Viewer?action=UPDATE&amp;creator=factset&amp;DYN_ARGS=TRUE&amp;DOC_NAME=FAT:FQL_AUDITING_CLIENT_TEMPLATE.FAT&amp;display_string=Audit&amp;VAR:KEY=IXEFIDEJEJ&amp;VAR:QUERY=RkZfTkVUX0lOQyhMVE0sMCwsLCwsTSk=&amp;WINDOW=FIRST_POPUP&amp;HEIGHT=450&amp;WIDTH=450&amp;START_MAXIMI","ZED=FALSE&amp;VAR:CALENDAR=US&amp;VAR:SYMBOL=B19PKQ&amp;VAR:INDEX=0"}</definedName>
    <definedName name="_66__FDSAUDITLINK__" hidden="1">{"fdsup://directions/FAT Viewer?action=UPDATE&amp;creator=factset&amp;DYN_ARGS=TRUE&amp;DOC_NAME=FAT:FQL_AUDITING_CLIENT_TEMPLATE.FAT&amp;display_string=Audit&amp;VAR:KEY=IXEFIDEJEJ&amp;VAR:QUERY=RkZfTkVUX0lOQyhMVE0sMCwsLCwsTSk=&amp;WINDOW=FIRST_POPUP&amp;HEIGHT=450&amp;WIDTH=450&amp;START_MAXIMI","ZED=FALSE&amp;VAR:CALENDAR=US&amp;VAR:SYMBOL=B19PKQ&amp;VAR:INDEX=0"}</definedName>
    <definedName name="_660__FDSAUDITLINK__" localSheetId="3" hidden="1">{"fdsup://directions/FAT Viewer?action=UPDATE&amp;creator=factset&amp;DYN_ARGS=TRUE&amp;DOC_NAME=FAT:FQL_AUDITING_CLIENT_TEMPLATE.FAT&amp;display_string=Audit&amp;VAR:KEY=LYTEHUBAFC&amp;VAR:QUERY=UkdGX1RBWF9SQVRFKEFOTiwwLCwsLCwsTk9BVURJVCk=&amp;WINDOW=FIRST_POPUP&amp;HEIGHT=450&amp;WIDTH=450&amp;","START_MAXIMIZED=FALSE&amp;VAR:CALENDAR=US&amp;VAR:SYMBOL=SQI&amp;VAR:INDEX=0"}</definedName>
    <definedName name="_660__FDSAUDITLINK__" localSheetId="7" hidden="1">{"fdsup://directions/FAT Viewer?action=UPDATE&amp;creator=factset&amp;DYN_ARGS=TRUE&amp;DOC_NAME=FAT:FQL_AUDITING_CLIENT_TEMPLATE.FAT&amp;display_string=Audit&amp;VAR:KEY=LYTEHUBAFC&amp;VAR:QUERY=UkdGX1RBWF9SQVRFKEFOTiwwLCwsLCwsTk9BVURJVCk=&amp;WINDOW=FIRST_POPUP&amp;HEIGHT=450&amp;WIDTH=450&amp;","START_MAXIMIZED=FALSE&amp;VAR:CALENDAR=US&amp;VAR:SYMBOL=SQI&amp;VAR:INDEX=0"}</definedName>
    <definedName name="_660__FDSAUDITLINK__" hidden="1">{"fdsup://directions/FAT Viewer?action=UPDATE&amp;creator=factset&amp;DYN_ARGS=TRUE&amp;DOC_NAME=FAT:FQL_AUDITING_CLIENT_TEMPLATE.FAT&amp;display_string=Audit&amp;VAR:KEY=LYTEHUBAFC&amp;VAR:QUERY=UkdGX1RBWF9SQVRFKEFOTiwwLCwsLCwsTk9BVURJVCk=&amp;WINDOW=FIRST_POPUP&amp;HEIGHT=450&amp;WIDTH=450&amp;","START_MAXIMIZED=FALSE&amp;VAR:CALENDAR=US&amp;VAR:SYMBOL=SQI&amp;VAR:INDEX=0"}</definedName>
    <definedName name="_661__FDSAUDITLINK__" localSheetId="3" hidden="1">{"fdsup://directions/FAT Viewer?action=UPDATE&amp;creator=factset&amp;DYN_ARGS=TRUE&amp;DOC_NAME=FAT:FQL_AUDITING_CLIENT_TEMPLATE.FAT&amp;display_string=Audit&amp;VAR:KEY=ZGNYFILEBS&amp;VAR:QUERY=UkdGX1RBWF9SQVRFKEFOTiwwLCwsLCwsTk9BVURJVCk=&amp;WINDOW=FIRST_POPUP&amp;HEIGHT=450&amp;WIDTH=450&amp;","START_MAXIMIZED=FALSE&amp;VAR:CALENDAR=US&amp;VAR:SYMBOL=SAP&amp;VAR:INDEX=0"}</definedName>
    <definedName name="_661__FDSAUDITLINK__" localSheetId="7" hidden="1">{"fdsup://directions/FAT Viewer?action=UPDATE&amp;creator=factset&amp;DYN_ARGS=TRUE&amp;DOC_NAME=FAT:FQL_AUDITING_CLIENT_TEMPLATE.FAT&amp;display_string=Audit&amp;VAR:KEY=ZGNYFILEBS&amp;VAR:QUERY=UkdGX1RBWF9SQVRFKEFOTiwwLCwsLCwsTk9BVURJVCk=&amp;WINDOW=FIRST_POPUP&amp;HEIGHT=450&amp;WIDTH=450&amp;","START_MAXIMIZED=FALSE&amp;VAR:CALENDAR=US&amp;VAR:SYMBOL=SAP&amp;VAR:INDEX=0"}</definedName>
    <definedName name="_661__FDSAUDITLINK__" hidden="1">{"fdsup://directions/FAT Viewer?action=UPDATE&amp;creator=factset&amp;DYN_ARGS=TRUE&amp;DOC_NAME=FAT:FQL_AUDITING_CLIENT_TEMPLATE.FAT&amp;display_string=Audit&amp;VAR:KEY=ZGNYFILEBS&amp;VAR:QUERY=UkdGX1RBWF9SQVRFKEFOTiwwLCwsLCwsTk9BVURJVCk=&amp;WINDOW=FIRST_POPUP&amp;HEIGHT=450&amp;WIDTH=450&amp;","START_MAXIMIZED=FALSE&amp;VAR:CALENDAR=US&amp;VAR:SYMBOL=SAP&amp;VAR:INDEX=0"}</definedName>
    <definedName name="_662__FDSAUDITLINK__" localSheetId="3" hidden="1">{"fdsup://directions/FAT Viewer?action=UPDATE&amp;creator=factset&amp;DYN_ARGS=TRUE&amp;DOC_NAME=FAT:FQL_AUDITING_CLIENT_TEMPLATE.FAT&amp;display_string=Audit&amp;VAR:KEY=ZGNYFILEBS&amp;VAR:QUERY=UkdGX1RBWF9SQVRFKEFOTiwwLCwsLCwsTk9BVURJVCk=&amp;WINDOW=FIRST_POPUP&amp;HEIGHT=450&amp;WIDTH=450&amp;","START_MAXIMIZED=FALSE&amp;VAR:CALENDAR=US&amp;VAR:SYMBOL=SAP&amp;VAR:INDEX=0"}</definedName>
    <definedName name="_662__FDSAUDITLINK__" localSheetId="7" hidden="1">{"fdsup://directions/FAT Viewer?action=UPDATE&amp;creator=factset&amp;DYN_ARGS=TRUE&amp;DOC_NAME=FAT:FQL_AUDITING_CLIENT_TEMPLATE.FAT&amp;display_string=Audit&amp;VAR:KEY=ZGNYFILEBS&amp;VAR:QUERY=UkdGX1RBWF9SQVRFKEFOTiwwLCwsLCwsTk9BVURJVCk=&amp;WINDOW=FIRST_POPUP&amp;HEIGHT=450&amp;WIDTH=450&amp;","START_MAXIMIZED=FALSE&amp;VAR:CALENDAR=US&amp;VAR:SYMBOL=SAP&amp;VAR:INDEX=0"}</definedName>
    <definedName name="_662__FDSAUDITLINK__" hidden="1">{"fdsup://directions/FAT Viewer?action=UPDATE&amp;creator=factset&amp;DYN_ARGS=TRUE&amp;DOC_NAME=FAT:FQL_AUDITING_CLIENT_TEMPLATE.FAT&amp;display_string=Audit&amp;VAR:KEY=ZGNYFILEBS&amp;VAR:QUERY=UkdGX1RBWF9SQVRFKEFOTiwwLCwsLCwsTk9BVURJVCk=&amp;WINDOW=FIRST_POPUP&amp;HEIGHT=450&amp;WIDTH=450&amp;","START_MAXIMIZED=FALSE&amp;VAR:CALENDAR=US&amp;VAR:SYMBOL=SAP&amp;VAR:INDEX=0"}</definedName>
    <definedName name="_663__FDSAUDITLINK__" localSheetId="3" hidden="1">{"fdsup://directions/FAT Viewer?action=UPDATE&amp;creator=factset&amp;DYN_ARGS=TRUE&amp;DOC_NAME=FAT:FQL_AUDITING_CLIENT_TEMPLATE.FAT&amp;display_string=Audit&amp;VAR:KEY=DGXOZOLUZO&amp;VAR:QUERY=UkdGX1RBWF9SQVRFKEFOTiwwLCwsLCwsTk9BVURJVCk=&amp;WINDOW=FIRST_POPUP&amp;HEIGHT=450&amp;WIDTH=450&amp;","START_MAXIMIZED=FALSE&amp;VAR:CALENDAR=US&amp;VAR:SYMBOL=SABA&amp;VAR:INDEX=0"}</definedName>
    <definedName name="_663__FDSAUDITLINK__" localSheetId="7" hidden="1">{"fdsup://directions/FAT Viewer?action=UPDATE&amp;creator=factset&amp;DYN_ARGS=TRUE&amp;DOC_NAME=FAT:FQL_AUDITING_CLIENT_TEMPLATE.FAT&amp;display_string=Audit&amp;VAR:KEY=DGXOZOLUZO&amp;VAR:QUERY=UkdGX1RBWF9SQVRFKEFOTiwwLCwsLCwsTk9BVURJVCk=&amp;WINDOW=FIRST_POPUP&amp;HEIGHT=450&amp;WIDTH=450&amp;","START_MAXIMIZED=FALSE&amp;VAR:CALENDAR=US&amp;VAR:SYMBOL=SABA&amp;VAR:INDEX=0"}</definedName>
    <definedName name="_663__FDSAUDITLINK__" hidden="1">{"fdsup://directions/FAT Viewer?action=UPDATE&amp;creator=factset&amp;DYN_ARGS=TRUE&amp;DOC_NAME=FAT:FQL_AUDITING_CLIENT_TEMPLATE.FAT&amp;display_string=Audit&amp;VAR:KEY=DGXOZOLUZO&amp;VAR:QUERY=UkdGX1RBWF9SQVRFKEFOTiwwLCwsLCwsTk9BVURJVCk=&amp;WINDOW=FIRST_POPUP&amp;HEIGHT=450&amp;WIDTH=450&amp;","START_MAXIMIZED=FALSE&amp;VAR:CALENDAR=US&amp;VAR:SYMBOL=SABA&amp;VAR:INDEX=0"}</definedName>
    <definedName name="_664__FDSAUDITLINK__" localSheetId="3" hidden="1">{"fdsup://directions/FAT Viewer?action=UPDATE&amp;creator=factset&amp;DYN_ARGS=TRUE&amp;DOC_NAME=FAT:FQL_AUDITING_CLIENT_TEMPLATE.FAT&amp;display_string=Audit&amp;VAR:KEY=DGXOZOLUZO&amp;VAR:QUERY=UkdGX1RBWF9SQVRFKEFOTiwwLCwsLCwsTk9BVURJVCk=&amp;WINDOW=FIRST_POPUP&amp;HEIGHT=450&amp;WIDTH=450&amp;","START_MAXIMIZED=FALSE&amp;VAR:CALENDAR=US&amp;VAR:SYMBOL=SABA&amp;VAR:INDEX=0"}</definedName>
    <definedName name="_664__FDSAUDITLINK__" localSheetId="7" hidden="1">{"fdsup://directions/FAT Viewer?action=UPDATE&amp;creator=factset&amp;DYN_ARGS=TRUE&amp;DOC_NAME=FAT:FQL_AUDITING_CLIENT_TEMPLATE.FAT&amp;display_string=Audit&amp;VAR:KEY=DGXOZOLUZO&amp;VAR:QUERY=UkdGX1RBWF9SQVRFKEFOTiwwLCwsLCwsTk9BVURJVCk=&amp;WINDOW=FIRST_POPUP&amp;HEIGHT=450&amp;WIDTH=450&amp;","START_MAXIMIZED=FALSE&amp;VAR:CALENDAR=US&amp;VAR:SYMBOL=SABA&amp;VAR:INDEX=0"}</definedName>
    <definedName name="_664__FDSAUDITLINK__" hidden="1">{"fdsup://directions/FAT Viewer?action=UPDATE&amp;creator=factset&amp;DYN_ARGS=TRUE&amp;DOC_NAME=FAT:FQL_AUDITING_CLIENT_TEMPLATE.FAT&amp;display_string=Audit&amp;VAR:KEY=DGXOZOLUZO&amp;VAR:QUERY=UkdGX1RBWF9SQVRFKEFOTiwwLCwsLCwsTk9BVURJVCk=&amp;WINDOW=FIRST_POPUP&amp;HEIGHT=450&amp;WIDTH=450&amp;","START_MAXIMIZED=FALSE&amp;VAR:CALENDAR=US&amp;VAR:SYMBOL=SABA&amp;VAR:INDEX=0"}</definedName>
    <definedName name="_665__FDSAUDITLINK__" localSheetId="3" hidden="1">{"fdsup://directions/FAT Viewer?action=UPDATE&amp;creator=factset&amp;DYN_ARGS=TRUE&amp;DOC_NAME=FAT:FQL_AUDITING_CLIENT_TEMPLATE.FAT&amp;display_string=Audit&amp;VAR:KEY=HYHSLQRIJU&amp;VAR:QUERY=UkdGX1RBWF9SQVRFKEFOTiwwLCwsLCwsTk9BVURJVCk=&amp;WINDOW=FIRST_POPUP&amp;HEIGHT=450&amp;WIDTH=450&amp;","START_MAXIMIZED=FALSE&amp;VAR:CALENDAR=US&amp;VAR:SYMBOL=ROVI&amp;VAR:INDEX=0"}</definedName>
    <definedName name="_665__FDSAUDITLINK__" localSheetId="7" hidden="1">{"fdsup://directions/FAT Viewer?action=UPDATE&amp;creator=factset&amp;DYN_ARGS=TRUE&amp;DOC_NAME=FAT:FQL_AUDITING_CLIENT_TEMPLATE.FAT&amp;display_string=Audit&amp;VAR:KEY=HYHSLQRIJU&amp;VAR:QUERY=UkdGX1RBWF9SQVRFKEFOTiwwLCwsLCwsTk9BVURJVCk=&amp;WINDOW=FIRST_POPUP&amp;HEIGHT=450&amp;WIDTH=450&amp;","START_MAXIMIZED=FALSE&amp;VAR:CALENDAR=US&amp;VAR:SYMBOL=ROVI&amp;VAR:INDEX=0"}</definedName>
    <definedName name="_665__FDSAUDITLINK__" hidden="1">{"fdsup://directions/FAT Viewer?action=UPDATE&amp;creator=factset&amp;DYN_ARGS=TRUE&amp;DOC_NAME=FAT:FQL_AUDITING_CLIENT_TEMPLATE.FAT&amp;display_string=Audit&amp;VAR:KEY=HYHSLQRIJU&amp;VAR:QUERY=UkdGX1RBWF9SQVRFKEFOTiwwLCwsLCwsTk9BVURJVCk=&amp;WINDOW=FIRST_POPUP&amp;HEIGHT=450&amp;WIDTH=450&amp;","START_MAXIMIZED=FALSE&amp;VAR:CALENDAR=US&amp;VAR:SYMBOL=ROVI&amp;VAR:INDEX=0"}</definedName>
    <definedName name="_666__FDSAUDITLINK__" localSheetId="3" hidden="1">{"fdsup://directions/FAT Viewer?action=UPDATE&amp;creator=factset&amp;DYN_ARGS=TRUE&amp;DOC_NAME=FAT:FQL_AUDITING_CLIENT_TEMPLATE.FAT&amp;display_string=Audit&amp;VAR:KEY=PCBWPAZQBE&amp;VAR:QUERY=UkdGX1RBWF9SQVRFKEFOTiwwLCwsLCwsTk9BVURJVCk=&amp;WINDOW=FIRST_POPUP&amp;HEIGHT=450&amp;WIDTH=450&amp;","START_MAXIMIZED=FALSE&amp;VAR:CALENDAR=US&amp;VAR:SYMBOL=RNOW&amp;VAR:INDEX=0"}</definedName>
    <definedName name="_666__FDSAUDITLINK__" localSheetId="7" hidden="1">{"fdsup://directions/FAT Viewer?action=UPDATE&amp;creator=factset&amp;DYN_ARGS=TRUE&amp;DOC_NAME=FAT:FQL_AUDITING_CLIENT_TEMPLATE.FAT&amp;display_string=Audit&amp;VAR:KEY=PCBWPAZQBE&amp;VAR:QUERY=UkdGX1RBWF9SQVRFKEFOTiwwLCwsLCwsTk9BVURJVCk=&amp;WINDOW=FIRST_POPUP&amp;HEIGHT=450&amp;WIDTH=450&amp;","START_MAXIMIZED=FALSE&amp;VAR:CALENDAR=US&amp;VAR:SYMBOL=RNOW&amp;VAR:INDEX=0"}</definedName>
    <definedName name="_666__FDSAUDITLINK__" hidden="1">{"fdsup://directions/FAT Viewer?action=UPDATE&amp;creator=factset&amp;DYN_ARGS=TRUE&amp;DOC_NAME=FAT:FQL_AUDITING_CLIENT_TEMPLATE.FAT&amp;display_string=Audit&amp;VAR:KEY=PCBWPAZQBE&amp;VAR:QUERY=UkdGX1RBWF9SQVRFKEFOTiwwLCwsLCwsTk9BVURJVCk=&amp;WINDOW=FIRST_POPUP&amp;HEIGHT=450&amp;WIDTH=450&amp;","START_MAXIMIZED=FALSE&amp;VAR:CALENDAR=US&amp;VAR:SYMBOL=RNOW&amp;VAR:INDEX=0"}</definedName>
    <definedName name="_667__FDSAUDITLINK__" localSheetId="3" hidden="1">{"fdsup://directions/FAT Viewer?action=UPDATE&amp;creator=factset&amp;DYN_ARGS=TRUE&amp;DOC_NAME=FAT:FQL_AUDITING_CLIENT_TEMPLATE.FAT&amp;display_string=Audit&amp;VAR:KEY=PCBWPAZQBE&amp;VAR:QUERY=UkdGX1RBWF9SQVRFKEFOTiwwLCwsLCwsTk9BVURJVCk=&amp;WINDOW=FIRST_POPUP&amp;HEIGHT=450&amp;WIDTH=450&amp;","START_MAXIMIZED=FALSE&amp;VAR:CALENDAR=US&amp;VAR:SYMBOL=RNOW&amp;VAR:INDEX=0"}</definedName>
    <definedName name="_667__FDSAUDITLINK__" localSheetId="7" hidden="1">{"fdsup://directions/FAT Viewer?action=UPDATE&amp;creator=factset&amp;DYN_ARGS=TRUE&amp;DOC_NAME=FAT:FQL_AUDITING_CLIENT_TEMPLATE.FAT&amp;display_string=Audit&amp;VAR:KEY=PCBWPAZQBE&amp;VAR:QUERY=UkdGX1RBWF9SQVRFKEFOTiwwLCwsLCwsTk9BVURJVCk=&amp;WINDOW=FIRST_POPUP&amp;HEIGHT=450&amp;WIDTH=450&amp;","START_MAXIMIZED=FALSE&amp;VAR:CALENDAR=US&amp;VAR:SYMBOL=RNOW&amp;VAR:INDEX=0"}</definedName>
    <definedName name="_667__FDSAUDITLINK__" hidden="1">{"fdsup://directions/FAT Viewer?action=UPDATE&amp;creator=factset&amp;DYN_ARGS=TRUE&amp;DOC_NAME=FAT:FQL_AUDITING_CLIENT_TEMPLATE.FAT&amp;display_string=Audit&amp;VAR:KEY=PCBWPAZQBE&amp;VAR:QUERY=UkdGX1RBWF9SQVRFKEFOTiwwLCwsLCwsTk9BVURJVCk=&amp;WINDOW=FIRST_POPUP&amp;HEIGHT=450&amp;WIDTH=450&amp;","START_MAXIMIZED=FALSE&amp;VAR:CALENDAR=US&amp;VAR:SYMBOL=RNOW&amp;VAR:INDEX=0"}</definedName>
    <definedName name="_668__FDSAUDITLINK__" localSheetId="3" hidden="1">{"fdsup://directions/FAT Viewer?action=UPDATE&amp;creator=factset&amp;DYN_ARGS=TRUE&amp;DOC_NAME=FAT:FQL_AUDITING_CLIENT_TEMPLATE.FAT&amp;display_string=Audit&amp;VAR:KEY=DYZMFGFCFO&amp;VAR:QUERY=UkdGX1RBWF9SQVRFKEFOTiwwLCwsLCwsTk9BVURJVCk=&amp;WINDOW=FIRST_POPUP&amp;HEIGHT=450&amp;WIDTH=450&amp;","START_MAXIMIZED=FALSE&amp;VAR:CALENDAR=US&amp;VAR:SYMBOL=RIMM&amp;VAR:INDEX=0"}</definedName>
    <definedName name="_668__FDSAUDITLINK__" localSheetId="7" hidden="1">{"fdsup://directions/FAT Viewer?action=UPDATE&amp;creator=factset&amp;DYN_ARGS=TRUE&amp;DOC_NAME=FAT:FQL_AUDITING_CLIENT_TEMPLATE.FAT&amp;display_string=Audit&amp;VAR:KEY=DYZMFGFCFO&amp;VAR:QUERY=UkdGX1RBWF9SQVRFKEFOTiwwLCwsLCwsTk9BVURJVCk=&amp;WINDOW=FIRST_POPUP&amp;HEIGHT=450&amp;WIDTH=450&amp;","START_MAXIMIZED=FALSE&amp;VAR:CALENDAR=US&amp;VAR:SYMBOL=RIMM&amp;VAR:INDEX=0"}</definedName>
    <definedName name="_668__FDSAUDITLINK__" hidden="1">{"fdsup://directions/FAT Viewer?action=UPDATE&amp;creator=factset&amp;DYN_ARGS=TRUE&amp;DOC_NAME=FAT:FQL_AUDITING_CLIENT_TEMPLATE.FAT&amp;display_string=Audit&amp;VAR:KEY=DYZMFGFCFO&amp;VAR:QUERY=UkdGX1RBWF9SQVRFKEFOTiwwLCwsLCwsTk9BVURJVCk=&amp;WINDOW=FIRST_POPUP&amp;HEIGHT=450&amp;WIDTH=450&amp;","START_MAXIMIZED=FALSE&amp;VAR:CALENDAR=US&amp;VAR:SYMBOL=RIMM&amp;VAR:INDEX=0"}</definedName>
    <definedName name="_669__FDSAUDITLINK__" localSheetId="3" hidden="1">{"fdsup://directions/FAT Viewer?action=UPDATE&amp;creator=factset&amp;DYN_ARGS=TRUE&amp;DOC_NAME=FAT:FQL_AUDITING_CLIENT_TEMPLATE.FAT&amp;display_string=Audit&amp;VAR:KEY=DYZMFGFCFO&amp;VAR:QUERY=UkdGX1RBWF9SQVRFKEFOTiwwLCwsLCwsTk9BVURJVCk=&amp;WINDOW=FIRST_POPUP&amp;HEIGHT=450&amp;WIDTH=450&amp;","START_MAXIMIZED=FALSE&amp;VAR:CALENDAR=US&amp;VAR:SYMBOL=RIMM&amp;VAR:INDEX=0"}</definedName>
    <definedName name="_669__FDSAUDITLINK__" localSheetId="7" hidden="1">{"fdsup://directions/FAT Viewer?action=UPDATE&amp;creator=factset&amp;DYN_ARGS=TRUE&amp;DOC_NAME=FAT:FQL_AUDITING_CLIENT_TEMPLATE.FAT&amp;display_string=Audit&amp;VAR:KEY=DYZMFGFCFO&amp;VAR:QUERY=UkdGX1RBWF9SQVRFKEFOTiwwLCwsLCwsTk9BVURJVCk=&amp;WINDOW=FIRST_POPUP&amp;HEIGHT=450&amp;WIDTH=450&amp;","START_MAXIMIZED=FALSE&amp;VAR:CALENDAR=US&amp;VAR:SYMBOL=RIMM&amp;VAR:INDEX=0"}</definedName>
    <definedName name="_669__FDSAUDITLINK__" hidden="1">{"fdsup://directions/FAT Viewer?action=UPDATE&amp;creator=factset&amp;DYN_ARGS=TRUE&amp;DOC_NAME=FAT:FQL_AUDITING_CLIENT_TEMPLATE.FAT&amp;display_string=Audit&amp;VAR:KEY=DYZMFGFCFO&amp;VAR:QUERY=UkdGX1RBWF9SQVRFKEFOTiwwLCwsLCwsTk9BVURJVCk=&amp;WINDOW=FIRST_POPUP&amp;HEIGHT=450&amp;WIDTH=450&amp;","START_MAXIMIZED=FALSE&amp;VAR:CALENDAR=US&amp;VAR:SYMBOL=RIMM&amp;VAR:INDEX=0"}</definedName>
    <definedName name="_67__FDSAUDITLINK__" localSheetId="3" hidden="1">{"fdsup://directions/FAT Viewer?action=UPDATE&amp;creator=factset&amp;DYN_ARGS=TRUE&amp;DOC_NAME=FAT:FQL_AUDITING_CLIENT_TEMPLATE.FAT&amp;display_string=Audit&amp;VAR:KEY=IJYTGZKNAX&amp;VAR:QUERY=RkZfRUJJVERBX09QRVIoTFRNLDAsLCwsLE0p&amp;WINDOW=FIRST_POPUP&amp;HEIGHT=450&amp;WIDTH=450&amp;START_MA","XIMIZED=FALSE&amp;VAR:CALENDAR=US&amp;VAR:SYMBOL=B19PKQ&amp;VAR:INDEX=0"}</definedName>
    <definedName name="_67__FDSAUDITLINK__" localSheetId="7" hidden="1">{"fdsup://directions/FAT Viewer?action=UPDATE&amp;creator=factset&amp;DYN_ARGS=TRUE&amp;DOC_NAME=FAT:FQL_AUDITING_CLIENT_TEMPLATE.FAT&amp;display_string=Audit&amp;VAR:KEY=IJYTGZKNAX&amp;VAR:QUERY=RkZfRUJJVERBX09QRVIoTFRNLDAsLCwsLE0p&amp;WINDOW=FIRST_POPUP&amp;HEIGHT=450&amp;WIDTH=450&amp;START_MA","XIMIZED=FALSE&amp;VAR:CALENDAR=US&amp;VAR:SYMBOL=B19PKQ&amp;VAR:INDEX=0"}</definedName>
    <definedName name="_67__FDSAUDITLINK__" hidden="1">{"fdsup://directions/FAT Viewer?action=UPDATE&amp;creator=factset&amp;DYN_ARGS=TRUE&amp;DOC_NAME=FAT:FQL_AUDITING_CLIENT_TEMPLATE.FAT&amp;display_string=Audit&amp;VAR:KEY=IJYTGZKNAX&amp;VAR:QUERY=RkZfRUJJVERBX09QRVIoTFRNLDAsLCwsLE0p&amp;WINDOW=FIRST_POPUP&amp;HEIGHT=450&amp;WIDTH=450&amp;START_MA","XIMIZED=FALSE&amp;VAR:CALENDAR=US&amp;VAR:SYMBOL=B19PKQ&amp;VAR:INDEX=0"}</definedName>
    <definedName name="_670__FDSAUDITLINK__" localSheetId="3" hidden="1">{"fdsup://directions/FAT Viewer?action=UPDATE&amp;creator=factset&amp;DYN_ARGS=TRUE&amp;DOC_NAME=FAT:FQL_AUDITING_CLIENT_TEMPLATE.FAT&amp;display_string=Audit&amp;VAR:KEY=JWLINAHGXM&amp;VAR:QUERY=UkdGX1RBWF9SQVRFKEFOTiwwLCwsLCwsTk9BVURJVCk=&amp;WINDOW=FIRST_POPUP&amp;HEIGHT=450&amp;WIDTH=450&amp;","START_MAXIMIZED=FALSE&amp;VAR:CALENDAR=US&amp;VAR:SYMBOL=RP&amp;VAR:INDEX=0"}</definedName>
    <definedName name="_670__FDSAUDITLINK__" localSheetId="7" hidden="1">{"fdsup://directions/FAT Viewer?action=UPDATE&amp;creator=factset&amp;DYN_ARGS=TRUE&amp;DOC_NAME=FAT:FQL_AUDITING_CLIENT_TEMPLATE.FAT&amp;display_string=Audit&amp;VAR:KEY=JWLINAHGXM&amp;VAR:QUERY=UkdGX1RBWF9SQVRFKEFOTiwwLCwsLCwsTk9BVURJVCk=&amp;WINDOW=FIRST_POPUP&amp;HEIGHT=450&amp;WIDTH=450&amp;","START_MAXIMIZED=FALSE&amp;VAR:CALENDAR=US&amp;VAR:SYMBOL=RP&amp;VAR:INDEX=0"}</definedName>
    <definedName name="_670__FDSAUDITLINK__" hidden="1">{"fdsup://directions/FAT Viewer?action=UPDATE&amp;creator=factset&amp;DYN_ARGS=TRUE&amp;DOC_NAME=FAT:FQL_AUDITING_CLIENT_TEMPLATE.FAT&amp;display_string=Audit&amp;VAR:KEY=JWLINAHGXM&amp;VAR:QUERY=UkdGX1RBWF9SQVRFKEFOTiwwLCwsLCwsTk9BVURJVCk=&amp;WINDOW=FIRST_POPUP&amp;HEIGHT=450&amp;WIDTH=450&amp;","START_MAXIMIZED=FALSE&amp;VAR:CALENDAR=US&amp;VAR:SYMBOL=RP&amp;VAR:INDEX=0"}</definedName>
    <definedName name="_671__FDSAUDITLINK__" localSheetId="3" hidden="1">{"fdsup://directions/FAT Viewer?action=UPDATE&amp;creator=factset&amp;DYN_ARGS=TRUE&amp;DOC_NAME=FAT:FQL_AUDITING_CLIENT_TEMPLATE.FAT&amp;display_string=Audit&amp;VAR:KEY=JWLINAHGXM&amp;VAR:QUERY=UkdGX1RBWF9SQVRFKEFOTiwwLCwsLCwsTk9BVURJVCk=&amp;WINDOW=FIRST_POPUP&amp;HEIGHT=450&amp;WIDTH=450&amp;","START_MAXIMIZED=FALSE&amp;VAR:CALENDAR=US&amp;VAR:SYMBOL=RP&amp;VAR:INDEX=0"}</definedName>
    <definedName name="_671__FDSAUDITLINK__" localSheetId="7" hidden="1">{"fdsup://directions/FAT Viewer?action=UPDATE&amp;creator=factset&amp;DYN_ARGS=TRUE&amp;DOC_NAME=FAT:FQL_AUDITING_CLIENT_TEMPLATE.FAT&amp;display_string=Audit&amp;VAR:KEY=JWLINAHGXM&amp;VAR:QUERY=UkdGX1RBWF9SQVRFKEFOTiwwLCwsLCwsTk9BVURJVCk=&amp;WINDOW=FIRST_POPUP&amp;HEIGHT=450&amp;WIDTH=450&amp;","START_MAXIMIZED=FALSE&amp;VAR:CALENDAR=US&amp;VAR:SYMBOL=RP&amp;VAR:INDEX=0"}</definedName>
    <definedName name="_671__FDSAUDITLINK__" hidden="1">{"fdsup://directions/FAT Viewer?action=UPDATE&amp;creator=factset&amp;DYN_ARGS=TRUE&amp;DOC_NAME=FAT:FQL_AUDITING_CLIENT_TEMPLATE.FAT&amp;display_string=Audit&amp;VAR:KEY=JWLINAHGXM&amp;VAR:QUERY=UkdGX1RBWF9SQVRFKEFOTiwwLCwsLCwsTk9BVURJVCk=&amp;WINDOW=FIRST_POPUP&amp;HEIGHT=450&amp;WIDTH=450&amp;","START_MAXIMIZED=FALSE&amp;VAR:CALENDAR=US&amp;VAR:SYMBOL=RP&amp;VAR:INDEX=0"}</definedName>
    <definedName name="_672__FDSAUDITLINK__" localSheetId="3" hidden="1">{"fdsup://directions/FAT Viewer?action=UPDATE&amp;creator=factset&amp;DYN_ARGS=TRUE&amp;DOC_NAME=FAT:FQL_AUDITING_CLIENT_TEMPLATE.FAT&amp;display_string=Audit&amp;VAR:KEY=LIRKHIRMNS&amp;VAR:QUERY=UkdGX1RBWF9SQVRFKEFOTiwwLCwsLCwsTk9BVURJVCk=&amp;WINDOW=FIRST_POPUP&amp;HEIGHT=450&amp;WIDTH=450&amp;","START_MAXIMIZED=FALSE&amp;VAR:CALENDAR=US&amp;VAR:SYMBOL=RAX&amp;VAR:INDEX=0"}</definedName>
    <definedName name="_672__FDSAUDITLINK__" localSheetId="7" hidden="1">{"fdsup://directions/FAT Viewer?action=UPDATE&amp;creator=factset&amp;DYN_ARGS=TRUE&amp;DOC_NAME=FAT:FQL_AUDITING_CLIENT_TEMPLATE.FAT&amp;display_string=Audit&amp;VAR:KEY=LIRKHIRMNS&amp;VAR:QUERY=UkdGX1RBWF9SQVRFKEFOTiwwLCwsLCwsTk9BVURJVCk=&amp;WINDOW=FIRST_POPUP&amp;HEIGHT=450&amp;WIDTH=450&amp;","START_MAXIMIZED=FALSE&amp;VAR:CALENDAR=US&amp;VAR:SYMBOL=RAX&amp;VAR:INDEX=0"}</definedName>
    <definedName name="_672__FDSAUDITLINK__" hidden="1">{"fdsup://directions/FAT Viewer?action=UPDATE&amp;creator=factset&amp;DYN_ARGS=TRUE&amp;DOC_NAME=FAT:FQL_AUDITING_CLIENT_TEMPLATE.FAT&amp;display_string=Audit&amp;VAR:KEY=LIRKHIRMNS&amp;VAR:QUERY=UkdGX1RBWF9SQVRFKEFOTiwwLCwsLCwsTk9BVURJVCk=&amp;WINDOW=FIRST_POPUP&amp;HEIGHT=450&amp;WIDTH=450&amp;","START_MAXIMIZED=FALSE&amp;VAR:CALENDAR=US&amp;VAR:SYMBOL=RAX&amp;VAR:INDEX=0"}</definedName>
    <definedName name="_673__FDSAUDITLINK__" localSheetId="3" hidden="1">{"fdsup://directions/FAT Viewer?action=UPDATE&amp;creator=factset&amp;DYN_ARGS=TRUE&amp;DOC_NAME=FAT:FQL_AUDITING_CLIENT_TEMPLATE.FAT&amp;display_string=Audit&amp;VAR:KEY=LIRKHIRMNS&amp;VAR:QUERY=UkdGX1RBWF9SQVRFKEFOTiwwLCwsLCwsTk9BVURJVCk=&amp;WINDOW=FIRST_POPUP&amp;HEIGHT=450&amp;WIDTH=450&amp;","START_MAXIMIZED=FALSE&amp;VAR:CALENDAR=US&amp;VAR:SYMBOL=RAX&amp;VAR:INDEX=0"}</definedName>
    <definedName name="_673__FDSAUDITLINK__" localSheetId="7" hidden="1">{"fdsup://directions/FAT Viewer?action=UPDATE&amp;creator=factset&amp;DYN_ARGS=TRUE&amp;DOC_NAME=FAT:FQL_AUDITING_CLIENT_TEMPLATE.FAT&amp;display_string=Audit&amp;VAR:KEY=LIRKHIRMNS&amp;VAR:QUERY=UkdGX1RBWF9SQVRFKEFOTiwwLCwsLCwsTk9BVURJVCk=&amp;WINDOW=FIRST_POPUP&amp;HEIGHT=450&amp;WIDTH=450&amp;","START_MAXIMIZED=FALSE&amp;VAR:CALENDAR=US&amp;VAR:SYMBOL=RAX&amp;VAR:INDEX=0"}</definedName>
    <definedName name="_673__FDSAUDITLINK__" hidden="1">{"fdsup://directions/FAT Viewer?action=UPDATE&amp;creator=factset&amp;DYN_ARGS=TRUE&amp;DOC_NAME=FAT:FQL_AUDITING_CLIENT_TEMPLATE.FAT&amp;display_string=Audit&amp;VAR:KEY=LIRKHIRMNS&amp;VAR:QUERY=UkdGX1RBWF9SQVRFKEFOTiwwLCwsLCwsTk9BVURJVCk=&amp;WINDOW=FIRST_POPUP&amp;HEIGHT=450&amp;WIDTH=450&amp;","START_MAXIMIZED=FALSE&amp;VAR:CALENDAR=US&amp;VAR:SYMBOL=RAX&amp;VAR:INDEX=0"}</definedName>
    <definedName name="_674__FDSAUDITLINK__" localSheetId="3" hidden="1">{"fdsup://directions/FAT Viewer?action=UPDATE&amp;creator=factset&amp;DYN_ARGS=TRUE&amp;DOC_NAME=FAT:FQL_AUDITING_CLIENT_TEMPLATE.FAT&amp;display_string=Audit&amp;VAR:KEY=JKJUPARSVW&amp;VAR:QUERY=UkdGX1RBWF9SQVRFKEFOTiwwLCwsLCwsTk9BVURJVCk=&amp;WINDOW=FIRST_POPUP&amp;HEIGHT=450&amp;WIDTH=450&amp;","START_MAXIMIZED=FALSE&amp;VAR:CALENDAR=US&amp;VAR:SYMBOL=QNST&amp;VAR:INDEX=0"}</definedName>
    <definedName name="_674__FDSAUDITLINK__" localSheetId="7" hidden="1">{"fdsup://directions/FAT Viewer?action=UPDATE&amp;creator=factset&amp;DYN_ARGS=TRUE&amp;DOC_NAME=FAT:FQL_AUDITING_CLIENT_TEMPLATE.FAT&amp;display_string=Audit&amp;VAR:KEY=JKJUPARSVW&amp;VAR:QUERY=UkdGX1RBWF9SQVRFKEFOTiwwLCwsLCwsTk9BVURJVCk=&amp;WINDOW=FIRST_POPUP&amp;HEIGHT=450&amp;WIDTH=450&amp;","START_MAXIMIZED=FALSE&amp;VAR:CALENDAR=US&amp;VAR:SYMBOL=QNST&amp;VAR:INDEX=0"}</definedName>
    <definedName name="_674__FDSAUDITLINK__" hidden="1">{"fdsup://directions/FAT Viewer?action=UPDATE&amp;creator=factset&amp;DYN_ARGS=TRUE&amp;DOC_NAME=FAT:FQL_AUDITING_CLIENT_TEMPLATE.FAT&amp;display_string=Audit&amp;VAR:KEY=JKJUPARSVW&amp;VAR:QUERY=UkdGX1RBWF9SQVRFKEFOTiwwLCwsLCwsTk9BVURJVCk=&amp;WINDOW=FIRST_POPUP&amp;HEIGHT=450&amp;WIDTH=450&amp;","START_MAXIMIZED=FALSE&amp;VAR:CALENDAR=US&amp;VAR:SYMBOL=QNST&amp;VAR:INDEX=0"}</definedName>
    <definedName name="_675__FDSAUDITLINK__" localSheetId="3" hidden="1">{"fdsup://directions/FAT Viewer?action=UPDATE&amp;creator=factset&amp;DYN_ARGS=TRUE&amp;DOC_NAME=FAT:FQL_AUDITING_CLIENT_TEMPLATE.FAT&amp;display_string=Audit&amp;VAR:KEY=JKJUPARSVW&amp;VAR:QUERY=UkdGX1RBWF9SQVRFKEFOTiwwLCwsLCwsTk9BVURJVCk=&amp;WINDOW=FIRST_POPUP&amp;HEIGHT=450&amp;WIDTH=450&amp;","START_MAXIMIZED=FALSE&amp;VAR:CALENDAR=US&amp;VAR:SYMBOL=QNST&amp;VAR:INDEX=0"}</definedName>
    <definedName name="_675__FDSAUDITLINK__" localSheetId="7" hidden="1">{"fdsup://directions/FAT Viewer?action=UPDATE&amp;creator=factset&amp;DYN_ARGS=TRUE&amp;DOC_NAME=FAT:FQL_AUDITING_CLIENT_TEMPLATE.FAT&amp;display_string=Audit&amp;VAR:KEY=JKJUPARSVW&amp;VAR:QUERY=UkdGX1RBWF9SQVRFKEFOTiwwLCwsLCwsTk9BVURJVCk=&amp;WINDOW=FIRST_POPUP&amp;HEIGHT=450&amp;WIDTH=450&amp;","START_MAXIMIZED=FALSE&amp;VAR:CALENDAR=US&amp;VAR:SYMBOL=QNST&amp;VAR:INDEX=0"}</definedName>
    <definedName name="_675__FDSAUDITLINK__" hidden="1">{"fdsup://directions/FAT Viewer?action=UPDATE&amp;creator=factset&amp;DYN_ARGS=TRUE&amp;DOC_NAME=FAT:FQL_AUDITING_CLIENT_TEMPLATE.FAT&amp;display_string=Audit&amp;VAR:KEY=JKJUPARSVW&amp;VAR:QUERY=UkdGX1RBWF9SQVRFKEFOTiwwLCwsLCwsTk9BVURJVCk=&amp;WINDOW=FIRST_POPUP&amp;HEIGHT=450&amp;WIDTH=450&amp;","START_MAXIMIZED=FALSE&amp;VAR:CALENDAR=US&amp;VAR:SYMBOL=QNST&amp;VAR:INDEX=0"}</definedName>
    <definedName name="_676__FDSAUDITLINK__" localSheetId="3" hidden="1">{"fdsup://directions/FAT Viewer?action=UPDATE&amp;creator=factset&amp;DYN_ARGS=TRUE&amp;DOC_NAME=FAT:FQL_AUDITING_CLIENT_TEMPLATE.FAT&amp;display_string=Audit&amp;VAR:KEY=FKVMPKFGTK&amp;VAR:QUERY=UkdGX1RBWF9SQVRFKEFOTiwwLCwsLCwsTk9BVURJVCk=&amp;WINDOW=FIRST_POPUP&amp;HEIGHT=450&amp;WIDTH=450&amp;","START_MAXIMIZED=FALSE&amp;VAR:CALENDAR=US&amp;VAR:SYMBOL=QADI&amp;VAR:INDEX=0"}</definedName>
    <definedName name="_676__FDSAUDITLINK__" localSheetId="7" hidden="1">{"fdsup://directions/FAT Viewer?action=UPDATE&amp;creator=factset&amp;DYN_ARGS=TRUE&amp;DOC_NAME=FAT:FQL_AUDITING_CLIENT_TEMPLATE.FAT&amp;display_string=Audit&amp;VAR:KEY=FKVMPKFGTK&amp;VAR:QUERY=UkdGX1RBWF9SQVRFKEFOTiwwLCwsLCwsTk9BVURJVCk=&amp;WINDOW=FIRST_POPUP&amp;HEIGHT=450&amp;WIDTH=450&amp;","START_MAXIMIZED=FALSE&amp;VAR:CALENDAR=US&amp;VAR:SYMBOL=QADI&amp;VAR:INDEX=0"}</definedName>
    <definedName name="_676__FDSAUDITLINK__" hidden="1">{"fdsup://directions/FAT Viewer?action=UPDATE&amp;creator=factset&amp;DYN_ARGS=TRUE&amp;DOC_NAME=FAT:FQL_AUDITING_CLIENT_TEMPLATE.FAT&amp;display_string=Audit&amp;VAR:KEY=FKVMPKFGTK&amp;VAR:QUERY=UkdGX1RBWF9SQVRFKEFOTiwwLCwsLCwsTk9BVURJVCk=&amp;WINDOW=FIRST_POPUP&amp;HEIGHT=450&amp;WIDTH=450&amp;","START_MAXIMIZED=FALSE&amp;VAR:CALENDAR=US&amp;VAR:SYMBOL=QADI&amp;VAR:INDEX=0"}</definedName>
    <definedName name="_677__FDSAUDITLINK__" localSheetId="3" hidden="1">{"fdsup://directions/FAT Viewer?action=UPDATE&amp;creator=factset&amp;DYN_ARGS=TRUE&amp;DOC_NAME=FAT:FQL_AUDITING_CLIENT_TEMPLATE.FAT&amp;display_string=Audit&amp;VAR:KEY=FKVMPKFGTK&amp;VAR:QUERY=UkdGX1RBWF9SQVRFKEFOTiwwLCwsLCwsTk9BVURJVCk=&amp;WINDOW=FIRST_POPUP&amp;HEIGHT=450&amp;WIDTH=450&amp;","START_MAXIMIZED=FALSE&amp;VAR:CALENDAR=US&amp;VAR:SYMBOL=QADI&amp;VAR:INDEX=0"}</definedName>
    <definedName name="_677__FDSAUDITLINK__" localSheetId="7" hidden="1">{"fdsup://directions/FAT Viewer?action=UPDATE&amp;creator=factset&amp;DYN_ARGS=TRUE&amp;DOC_NAME=FAT:FQL_AUDITING_CLIENT_TEMPLATE.FAT&amp;display_string=Audit&amp;VAR:KEY=FKVMPKFGTK&amp;VAR:QUERY=UkdGX1RBWF9SQVRFKEFOTiwwLCwsLCwsTk9BVURJVCk=&amp;WINDOW=FIRST_POPUP&amp;HEIGHT=450&amp;WIDTH=450&amp;","START_MAXIMIZED=FALSE&amp;VAR:CALENDAR=US&amp;VAR:SYMBOL=QADI&amp;VAR:INDEX=0"}</definedName>
    <definedName name="_677__FDSAUDITLINK__" hidden="1">{"fdsup://directions/FAT Viewer?action=UPDATE&amp;creator=factset&amp;DYN_ARGS=TRUE&amp;DOC_NAME=FAT:FQL_AUDITING_CLIENT_TEMPLATE.FAT&amp;display_string=Audit&amp;VAR:KEY=FKVMPKFGTK&amp;VAR:QUERY=UkdGX1RBWF9SQVRFKEFOTiwwLCwsLCwsTk9BVURJVCk=&amp;WINDOW=FIRST_POPUP&amp;HEIGHT=450&amp;WIDTH=450&amp;","START_MAXIMIZED=FALSE&amp;VAR:CALENDAR=US&amp;VAR:SYMBOL=QADI&amp;VAR:INDEX=0"}</definedName>
    <definedName name="_678__FDSAUDITLINK__" localSheetId="3" hidden="1">{"fdsup://directions/FAT Viewer?action=UPDATE&amp;creator=factset&amp;DYN_ARGS=TRUE&amp;DOC_NAME=FAT:FQL_AUDITING_CLIENT_TEMPLATE.FAT&amp;display_string=Audit&amp;VAR:KEY=HGLENIPSDC&amp;VAR:QUERY=UkdGX1RBWF9SQVRFKEFOTiwwLCwsLCwsTk9BVURJVCk=&amp;WINDOW=FIRST_POPUP&amp;HEIGHT=450&amp;WIDTH=450&amp;","START_MAXIMIZED=FALSE&amp;VAR:CALENDAR=US&amp;VAR:SYMBOL=PRGS&amp;VAR:INDEX=0"}</definedName>
    <definedName name="_678__FDSAUDITLINK__" localSheetId="7" hidden="1">{"fdsup://directions/FAT Viewer?action=UPDATE&amp;creator=factset&amp;DYN_ARGS=TRUE&amp;DOC_NAME=FAT:FQL_AUDITING_CLIENT_TEMPLATE.FAT&amp;display_string=Audit&amp;VAR:KEY=HGLENIPSDC&amp;VAR:QUERY=UkdGX1RBWF9SQVRFKEFOTiwwLCwsLCwsTk9BVURJVCk=&amp;WINDOW=FIRST_POPUP&amp;HEIGHT=450&amp;WIDTH=450&amp;","START_MAXIMIZED=FALSE&amp;VAR:CALENDAR=US&amp;VAR:SYMBOL=PRGS&amp;VAR:INDEX=0"}</definedName>
    <definedName name="_678__FDSAUDITLINK__" hidden="1">{"fdsup://directions/FAT Viewer?action=UPDATE&amp;creator=factset&amp;DYN_ARGS=TRUE&amp;DOC_NAME=FAT:FQL_AUDITING_CLIENT_TEMPLATE.FAT&amp;display_string=Audit&amp;VAR:KEY=HGLENIPSDC&amp;VAR:QUERY=UkdGX1RBWF9SQVRFKEFOTiwwLCwsLCwsTk9BVURJVCk=&amp;WINDOW=FIRST_POPUP&amp;HEIGHT=450&amp;WIDTH=450&amp;","START_MAXIMIZED=FALSE&amp;VAR:CALENDAR=US&amp;VAR:SYMBOL=PRGS&amp;VAR:INDEX=0"}</definedName>
    <definedName name="_679__FDSAUDITLINK__" localSheetId="3" hidden="1">{"fdsup://directions/FAT Viewer?action=UPDATE&amp;creator=factset&amp;DYN_ARGS=TRUE&amp;DOC_NAME=FAT:FQL_AUDITING_CLIENT_TEMPLATE.FAT&amp;display_string=Audit&amp;VAR:KEY=HGLENIPSDC&amp;VAR:QUERY=UkdGX1RBWF9SQVRFKEFOTiwwLCwsLCwsTk9BVURJVCk=&amp;WINDOW=FIRST_POPUP&amp;HEIGHT=450&amp;WIDTH=450&amp;","START_MAXIMIZED=FALSE&amp;VAR:CALENDAR=US&amp;VAR:SYMBOL=PRGS&amp;VAR:INDEX=0"}</definedName>
    <definedName name="_679__FDSAUDITLINK__" localSheetId="7" hidden="1">{"fdsup://directions/FAT Viewer?action=UPDATE&amp;creator=factset&amp;DYN_ARGS=TRUE&amp;DOC_NAME=FAT:FQL_AUDITING_CLIENT_TEMPLATE.FAT&amp;display_string=Audit&amp;VAR:KEY=HGLENIPSDC&amp;VAR:QUERY=UkdGX1RBWF9SQVRFKEFOTiwwLCwsLCwsTk9BVURJVCk=&amp;WINDOW=FIRST_POPUP&amp;HEIGHT=450&amp;WIDTH=450&amp;","START_MAXIMIZED=FALSE&amp;VAR:CALENDAR=US&amp;VAR:SYMBOL=PRGS&amp;VAR:INDEX=0"}</definedName>
    <definedName name="_679__FDSAUDITLINK__" hidden="1">{"fdsup://directions/FAT Viewer?action=UPDATE&amp;creator=factset&amp;DYN_ARGS=TRUE&amp;DOC_NAME=FAT:FQL_AUDITING_CLIENT_TEMPLATE.FAT&amp;display_string=Audit&amp;VAR:KEY=HGLENIPSDC&amp;VAR:QUERY=UkdGX1RBWF9SQVRFKEFOTiwwLCwsLCwsTk9BVURJVCk=&amp;WINDOW=FIRST_POPUP&amp;HEIGHT=450&amp;WIDTH=450&amp;","START_MAXIMIZED=FALSE&amp;VAR:CALENDAR=US&amp;VAR:SYMBOL=PRGS&amp;VAR:INDEX=0"}</definedName>
    <definedName name="_68__FDSAUDITLINK__" localSheetId="3"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 localSheetId="7"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0__FDSAUDITLINK__" localSheetId="3" hidden="1">{"fdsup://directions/FAT Viewer?action=UPDATE&amp;creator=factset&amp;DYN_ARGS=TRUE&amp;DOC_NAME=FAT:FQL_AUDITING_CLIENT_TEMPLATE.FAT&amp;display_string=Audit&amp;VAR:KEY=JSBYBMFGZM&amp;VAR:QUERY=UkdGX1RBWF9SQVRFKEFOTiwwLCwsLCwsTk9BVURJVCk=&amp;WINDOW=FIRST_POPUP&amp;HEIGHT=450&amp;WIDTH=450&amp;","START_MAXIMIZED=FALSE&amp;VAR:CALENDAR=US&amp;VAR:SYMBOL=PVSW&amp;VAR:INDEX=0"}</definedName>
    <definedName name="_680__FDSAUDITLINK__" localSheetId="7" hidden="1">{"fdsup://directions/FAT Viewer?action=UPDATE&amp;creator=factset&amp;DYN_ARGS=TRUE&amp;DOC_NAME=FAT:FQL_AUDITING_CLIENT_TEMPLATE.FAT&amp;display_string=Audit&amp;VAR:KEY=JSBYBMFGZM&amp;VAR:QUERY=UkdGX1RBWF9SQVRFKEFOTiwwLCwsLCwsTk9BVURJVCk=&amp;WINDOW=FIRST_POPUP&amp;HEIGHT=450&amp;WIDTH=450&amp;","START_MAXIMIZED=FALSE&amp;VAR:CALENDAR=US&amp;VAR:SYMBOL=PVSW&amp;VAR:INDEX=0"}</definedName>
    <definedName name="_680__FDSAUDITLINK__" hidden="1">{"fdsup://directions/FAT Viewer?action=UPDATE&amp;creator=factset&amp;DYN_ARGS=TRUE&amp;DOC_NAME=FAT:FQL_AUDITING_CLIENT_TEMPLATE.FAT&amp;display_string=Audit&amp;VAR:KEY=JSBYBMFGZM&amp;VAR:QUERY=UkdGX1RBWF9SQVRFKEFOTiwwLCwsLCwsTk9BVURJVCk=&amp;WINDOW=FIRST_POPUP&amp;HEIGHT=450&amp;WIDTH=450&amp;","START_MAXIMIZED=FALSE&amp;VAR:CALENDAR=US&amp;VAR:SYMBOL=PVSW&amp;VAR:INDEX=0"}</definedName>
    <definedName name="_681__FDSAUDITLINK__" localSheetId="3" hidden="1">{"fdsup://directions/FAT Viewer?action=UPDATE&amp;creator=factset&amp;DYN_ARGS=TRUE&amp;DOC_NAME=FAT:FQL_AUDITING_CLIENT_TEMPLATE.FAT&amp;display_string=Audit&amp;VAR:KEY=JSBYBMFGZM&amp;VAR:QUERY=UkdGX1RBWF9SQVRFKEFOTiwwLCwsLCwsTk9BVURJVCk=&amp;WINDOW=FIRST_POPUP&amp;HEIGHT=450&amp;WIDTH=450&amp;","START_MAXIMIZED=FALSE&amp;VAR:CALENDAR=US&amp;VAR:SYMBOL=PVSW&amp;VAR:INDEX=0"}</definedName>
    <definedName name="_681__FDSAUDITLINK__" localSheetId="7" hidden="1">{"fdsup://directions/FAT Viewer?action=UPDATE&amp;creator=factset&amp;DYN_ARGS=TRUE&amp;DOC_NAME=FAT:FQL_AUDITING_CLIENT_TEMPLATE.FAT&amp;display_string=Audit&amp;VAR:KEY=JSBYBMFGZM&amp;VAR:QUERY=UkdGX1RBWF9SQVRFKEFOTiwwLCwsLCwsTk9BVURJVCk=&amp;WINDOW=FIRST_POPUP&amp;HEIGHT=450&amp;WIDTH=450&amp;","START_MAXIMIZED=FALSE&amp;VAR:CALENDAR=US&amp;VAR:SYMBOL=PVSW&amp;VAR:INDEX=0"}</definedName>
    <definedName name="_681__FDSAUDITLINK__" hidden="1">{"fdsup://directions/FAT Viewer?action=UPDATE&amp;creator=factset&amp;DYN_ARGS=TRUE&amp;DOC_NAME=FAT:FQL_AUDITING_CLIENT_TEMPLATE.FAT&amp;display_string=Audit&amp;VAR:KEY=JSBYBMFGZM&amp;VAR:QUERY=UkdGX1RBWF9SQVRFKEFOTiwwLCwsLCwsTk9BVURJVCk=&amp;WINDOW=FIRST_POPUP&amp;HEIGHT=450&amp;WIDTH=450&amp;","START_MAXIMIZED=FALSE&amp;VAR:CALENDAR=US&amp;VAR:SYMBOL=PVSW&amp;VAR:INDEX=0"}</definedName>
    <definedName name="_682__FDSAUDITLINK__" localSheetId="3" hidden="1">{"fdsup://directions/FAT Viewer?action=UPDATE&amp;creator=factset&amp;DYN_ARGS=TRUE&amp;DOC_NAME=FAT:FQL_AUDITING_CLIENT_TEMPLATE.FAT&amp;display_string=Audit&amp;VAR:KEY=FKTYJMVERE&amp;VAR:QUERY=UkdGX1RBWF9SQVRFKEFOTiwwLCwsLCwsTk9BVURJVCk=&amp;WINDOW=FIRST_POPUP&amp;HEIGHT=450&amp;WIDTH=450&amp;","START_MAXIMIZED=FALSE&amp;VAR:CALENDAR=US&amp;VAR:SYMBOL=PDFS&amp;VAR:INDEX=0"}</definedName>
    <definedName name="_682__FDSAUDITLINK__" localSheetId="7" hidden="1">{"fdsup://directions/FAT Viewer?action=UPDATE&amp;creator=factset&amp;DYN_ARGS=TRUE&amp;DOC_NAME=FAT:FQL_AUDITING_CLIENT_TEMPLATE.FAT&amp;display_string=Audit&amp;VAR:KEY=FKTYJMVERE&amp;VAR:QUERY=UkdGX1RBWF9SQVRFKEFOTiwwLCwsLCwsTk9BVURJVCk=&amp;WINDOW=FIRST_POPUP&amp;HEIGHT=450&amp;WIDTH=450&amp;","START_MAXIMIZED=FALSE&amp;VAR:CALENDAR=US&amp;VAR:SYMBOL=PDFS&amp;VAR:INDEX=0"}</definedName>
    <definedName name="_682__FDSAUDITLINK__" hidden="1">{"fdsup://directions/FAT Viewer?action=UPDATE&amp;creator=factset&amp;DYN_ARGS=TRUE&amp;DOC_NAME=FAT:FQL_AUDITING_CLIENT_TEMPLATE.FAT&amp;display_string=Audit&amp;VAR:KEY=FKTYJMVERE&amp;VAR:QUERY=UkdGX1RBWF9SQVRFKEFOTiwwLCwsLCwsTk9BVURJVCk=&amp;WINDOW=FIRST_POPUP&amp;HEIGHT=450&amp;WIDTH=450&amp;","START_MAXIMIZED=FALSE&amp;VAR:CALENDAR=US&amp;VAR:SYMBOL=PDFS&amp;VAR:INDEX=0"}</definedName>
    <definedName name="_683__FDSAUDITLINK__" localSheetId="3" hidden="1">{"fdsup://directions/FAT Viewer?action=UPDATE&amp;creator=factset&amp;DYN_ARGS=TRUE&amp;DOC_NAME=FAT:FQL_AUDITING_CLIENT_TEMPLATE.FAT&amp;display_string=Audit&amp;VAR:KEY=FKTYJMVERE&amp;VAR:QUERY=UkdGX1RBWF9SQVRFKEFOTiwwLCwsLCwsTk9BVURJVCk=&amp;WINDOW=FIRST_POPUP&amp;HEIGHT=450&amp;WIDTH=450&amp;","START_MAXIMIZED=FALSE&amp;VAR:CALENDAR=US&amp;VAR:SYMBOL=PDFS&amp;VAR:INDEX=0"}</definedName>
    <definedName name="_683__FDSAUDITLINK__" localSheetId="7" hidden="1">{"fdsup://directions/FAT Viewer?action=UPDATE&amp;creator=factset&amp;DYN_ARGS=TRUE&amp;DOC_NAME=FAT:FQL_AUDITING_CLIENT_TEMPLATE.FAT&amp;display_string=Audit&amp;VAR:KEY=FKTYJMVERE&amp;VAR:QUERY=UkdGX1RBWF9SQVRFKEFOTiwwLCwsLCwsTk9BVURJVCk=&amp;WINDOW=FIRST_POPUP&amp;HEIGHT=450&amp;WIDTH=450&amp;","START_MAXIMIZED=FALSE&amp;VAR:CALENDAR=US&amp;VAR:SYMBOL=PDFS&amp;VAR:INDEX=0"}</definedName>
    <definedName name="_683__FDSAUDITLINK__" hidden="1">{"fdsup://directions/FAT Viewer?action=UPDATE&amp;creator=factset&amp;DYN_ARGS=TRUE&amp;DOC_NAME=FAT:FQL_AUDITING_CLIENT_TEMPLATE.FAT&amp;display_string=Audit&amp;VAR:KEY=FKTYJMVERE&amp;VAR:QUERY=UkdGX1RBWF9SQVRFKEFOTiwwLCwsLCwsTk9BVURJVCk=&amp;WINDOW=FIRST_POPUP&amp;HEIGHT=450&amp;WIDTH=450&amp;","START_MAXIMIZED=FALSE&amp;VAR:CALENDAR=US&amp;VAR:SYMBOL=PDFS&amp;VAR:INDEX=0"}</definedName>
    <definedName name="_684__FDSAUDITLINK__" localSheetId="3" hidden="1">{"fdsup://directions/FAT Viewer?action=UPDATE&amp;creator=factset&amp;DYN_ARGS=TRUE&amp;DOC_NAME=FAT:FQL_AUDITING_CLIENT_TEMPLATE.FAT&amp;display_string=Audit&amp;VAR:KEY=DORMPSHYFI&amp;VAR:QUERY=UkdGX1RBWF9SQVRFKEFOTiwwLCwsLCwsTk9BVURJVCk=&amp;WINDOW=FIRST_POPUP&amp;HEIGHT=450&amp;WIDTH=450&amp;","START_MAXIMIZED=FALSE&amp;VAR:CALENDAR=US&amp;VAR:SYMBOL=ORCL&amp;VAR:INDEX=0"}</definedName>
    <definedName name="_684__FDSAUDITLINK__" localSheetId="7" hidden="1">{"fdsup://directions/FAT Viewer?action=UPDATE&amp;creator=factset&amp;DYN_ARGS=TRUE&amp;DOC_NAME=FAT:FQL_AUDITING_CLIENT_TEMPLATE.FAT&amp;display_string=Audit&amp;VAR:KEY=DORMPSHYFI&amp;VAR:QUERY=UkdGX1RBWF9SQVRFKEFOTiwwLCwsLCwsTk9BVURJVCk=&amp;WINDOW=FIRST_POPUP&amp;HEIGHT=450&amp;WIDTH=450&amp;","START_MAXIMIZED=FALSE&amp;VAR:CALENDAR=US&amp;VAR:SYMBOL=ORCL&amp;VAR:INDEX=0"}</definedName>
    <definedName name="_684__FDSAUDITLINK__" hidden="1">{"fdsup://directions/FAT Viewer?action=UPDATE&amp;creator=factset&amp;DYN_ARGS=TRUE&amp;DOC_NAME=FAT:FQL_AUDITING_CLIENT_TEMPLATE.FAT&amp;display_string=Audit&amp;VAR:KEY=DORMPSHYFI&amp;VAR:QUERY=UkdGX1RBWF9SQVRFKEFOTiwwLCwsLCwsTk9BVURJVCk=&amp;WINDOW=FIRST_POPUP&amp;HEIGHT=450&amp;WIDTH=450&amp;","START_MAXIMIZED=FALSE&amp;VAR:CALENDAR=US&amp;VAR:SYMBOL=ORCL&amp;VAR:INDEX=0"}</definedName>
    <definedName name="_685__FDSAUDITLINK__" localSheetId="3" hidden="1">{"fdsup://directions/FAT Viewer?action=UPDATE&amp;creator=factset&amp;DYN_ARGS=TRUE&amp;DOC_NAME=FAT:FQL_AUDITING_CLIENT_TEMPLATE.FAT&amp;display_string=Audit&amp;VAR:KEY=DORMPSHYFI&amp;VAR:QUERY=UkdGX1RBWF9SQVRFKEFOTiwwLCwsLCwsTk9BVURJVCk=&amp;WINDOW=FIRST_POPUP&amp;HEIGHT=450&amp;WIDTH=450&amp;","START_MAXIMIZED=FALSE&amp;VAR:CALENDAR=US&amp;VAR:SYMBOL=ORCL&amp;VAR:INDEX=0"}</definedName>
    <definedName name="_685__FDSAUDITLINK__" localSheetId="7" hidden="1">{"fdsup://directions/FAT Viewer?action=UPDATE&amp;creator=factset&amp;DYN_ARGS=TRUE&amp;DOC_NAME=FAT:FQL_AUDITING_CLIENT_TEMPLATE.FAT&amp;display_string=Audit&amp;VAR:KEY=DORMPSHYFI&amp;VAR:QUERY=UkdGX1RBWF9SQVRFKEFOTiwwLCwsLCwsTk9BVURJVCk=&amp;WINDOW=FIRST_POPUP&amp;HEIGHT=450&amp;WIDTH=450&amp;","START_MAXIMIZED=FALSE&amp;VAR:CALENDAR=US&amp;VAR:SYMBOL=ORCL&amp;VAR:INDEX=0"}</definedName>
    <definedName name="_685__FDSAUDITLINK__" hidden="1">{"fdsup://directions/FAT Viewer?action=UPDATE&amp;creator=factset&amp;DYN_ARGS=TRUE&amp;DOC_NAME=FAT:FQL_AUDITING_CLIENT_TEMPLATE.FAT&amp;display_string=Audit&amp;VAR:KEY=DORMPSHYFI&amp;VAR:QUERY=UkdGX1RBWF9SQVRFKEFOTiwwLCwsLCwsTk9BVURJVCk=&amp;WINDOW=FIRST_POPUP&amp;HEIGHT=450&amp;WIDTH=450&amp;","START_MAXIMIZED=FALSE&amp;VAR:CALENDAR=US&amp;VAR:SYMBOL=ORCL&amp;VAR:INDEX=0"}</definedName>
    <definedName name="_686__FDSAUDITLINK__" localSheetId="3" hidden="1">{"fdsup://directions/FAT Viewer?action=UPDATE&amp;creator=factset&amp;DYN_ARGS=TRUE&amp;DOC_NAME=FAT:FQL_AUDITING_CLIENT_TEMPLATE.FAT&amp;display_string=Audit&amp;VAR:KEY=HWFMPGRMRM&amp;VAR:QUERY=UkdGX1RBWF9SQVRFKEFOTiwwLCwsLCwsTk9BVURJVCk=&amp;WINDOW=FIRST_POPUP&amp;HEIGHT=450&amp;WIDTH=450&amp;","START_MAXIMIZED=FALSE&amp;VAR:CALENDAR=US&amp;VAR:SYMBOL=705772&amp;VAR:INDEX=0"}</definedName>
    <definedName name="_686__FDSAUDITLINK__" localSheetId="7" hidden="1">{"fdsup://directions/FAT Viewer?action=UPDATE&amp;creator=factset&amp;DYN_ARGS=TRUE&amp;DOC_NAME=FAT:FQL_AUDITING_CLIENT_TEMPLATE.FAT&amp;display_string=Audit&amp;VAR:KEY=HWFMPGRMRM&amp;VAR:QUERY=UkdGX1RBWF9SQVRFKEFOTiwwLCwsLCwsTk9BVURJVCk=&amp;WINDOW=FIRST_POPUP&amp;HEIGHT=450&amp;WIDTH=450&amp;","START_MAXIMIZED=FALSE&amp;VAR:CALENDAR=US&amp;VAR:SYMBOL=705772&amp;VAR:INDEX=0"}</definedName>
    <definedName name="_686__FDSAUDITLINK__" hidden="1">{"fdsup://directions/FAT Viewer?action=UPDATE&amp;creator=factset&amp;DYN_ARGS=TRUE&amp;DOC_NAME=FAT:FQL_AUDITING_CLIENT_TEMPLATE.FAT&amp;display_string=Audit&amp;VAR:KEY=HWFMPGRMRM&amp;VAR:QUERY=UkdGX1RBWF9SQVRFKEFOTiwwLCwsLCwsTk9BVURJVCk=&amp;WINDOW=FIRST_POPUP&amp;HEIGHT=450&amp;WIDTH=450&amp;","START_MAXIMIZED=FALSE&amp;VAR:CALENDAR=US&amp;VAR:SYMBOL=705772&amp;VAR:INDEX=0"}</definedName>
    <definedName name="_687__FDSAUDITLINK__" localSheetId="3" hidden="1">{"fdsup://directions/FAT Viewer?action=UPDATE&amp;creator=factset&amp;DYN_ARGS=TRUE&amp;DOC_NAME=FAT:FQL_AUDITING_CLIENT_TEMPLATE.FAT&amp;display_string=Audit&amp;VAR:KEY=HWFMPGRMRM&amp;VAR:QUERY=UkdGX1RBWF9SQVRFKEFOTiwwLCwsLCwsTk9BVURJVCk=&amp;WINDOW=FIRST_POPUP&amp;HEIGHT=450&amp;WIDTH=450&amp;","START_MAXIMIZED=FALSE&amp;VAR:CALENDAR=US&amp;VAR:SYMBOL=705772&amp;VAR:INDEX=0"}</definedName>
    <definedName name="_687__FDSAUDITLINK__" localSheetId="7" hidden="1">{"fdsup://directions/FAT Viewer?action=UPDATE&amp;creator=factset&amp;DYN_ARGS=TRUE&amp;DOC_NAME=FAT:FQL_AUDITING_CLIENT_TEMPLATE.FAT&amp;display_string=Audit&amp;VAR:KEY=HWFMPGRMRM&amp;VAR:QUERY=UkdGX1RBWF9SQVRFKEFOTiwwLCwsLCwsTk9BVURJVCk=&amp;WINDOW=FIRST_POPUP&amp;HEIGHT=450&amp;WIDTH=450&amp;","START_MAXIMIZED=FALSE&amp;VAR:CALENDAR=US&amp;VAR:SYMBOL=705772&amp;VAR:INDEX=0"}</definedName>
    <definedName name="_687__FDSAUDITLINK__" hidden="1">{"fdsup://directions/FAT Viewer?action=UPDATE&amp;creator=factset&amp;DYN_ARGS=TRUE&amp;DOC_NAME=FAT:FQL_AUDITING_CLIENT_TEMPLATE.FAT&amp;display_string=Audit&amp;VAR:KEY=HWFMPGRMRM&amp;VAR:QUERY=UkdGX1RBWF9SQVRFKEFOTiwwLCwsLCwsTk9BVURJVCk=&amp;WINDOW=FIRST_POPUP&amp;HEIGHT=450&amp;WIDTH=450&amp;","START_MAXIMIZED=FALSE&amp;VAR:CALENDAR=US&amp;VAR:SYMBOL=705772&amp;VAR:INDEX=0"}</definedName>
    <definedName name="_688__FDSAUDITLINK__" localSheetId="3" hidden="1">{"fdsup://directions/FAT Viewer?action=UPDATE&amp;creator=factset&amp;DYN_ARGS=TRUE&amp;DOC_NAME=FAT:FQL_AUDITING_CLIENT_TEMPLATE.FAT&amp;display_string=Audit&amp;VAR:KEY=TSBKFKXILS&amp;VAR:QUERY=UkdGX1RBWF9SQVRFKEFOTiwwLCwsLCwsTk9BVURJVCk=&amp;WINDOW=FIRST_POPUP&amp;HEIGHT=450&amp;WIDTH=450&amp;","START_MAXIMIZED=FALSE&amp;VAR:CALENDAR=US&amp;VAR:SYMBOL=OPEN&amp;VAR:INDEX=0"}</definedName>
    <definedName name="_688__FDSAUDITLINK__" localSheetId="7" hidden="1">{"fdsup://directions/FAT Viewer?action=UPDATE&amp;creator=factset&amp;DYN_ARGS=TRUE&amp;DOC_NAME=FAT:FQL_AUDITING_CLIENT_TEMPLATE.FAT&amp;display_string=Audit&amp;VAR:KEY=TSBKFKXILS&amp;VAR:QUERY=UkdGX1RBWF9SQVRFKEFOTiwwLCwsLCwsTk9BVURJVCk=&amp;WINDOW=FIRST_POPUP&amp;HEIGHT=450&amp;WIDTH=450&amp;","START_MAXIMIZED=FALSE&amp;VAR:CALENDAR=US&amp;VAR:SYMBOL=OPEN&amp;VAR:INDEX=0"}</definedName>
    <definedName name="_688__FDSAUDITLINK__" hidden="1">{"fdsup://directions/FAT Viewer?action=UPDATE&amp;creator=factset&amp;DYN_ARGS=TRUE&amp;DOC_NAME=FAT:FQL_AUDITING_CLIENT_TEMPLATE.FAT&amp;display_string=Audit&amp;VAR:KEY=TSBKFKXILS&amp;VAR:QUERY=UkdGX1RBWF9SQVRFKEFOTiwwLCwsLCwsTk9BVURJVCk=&amp;WINDOW=FIRST_POPUP&amp;HEIGHT=450&amp;WIDTH=450&amp;","START_MAXIMIZED=FALSE&amp;VAR:CALENDAR=US&amp;VAR:SYMBOL=OPEN&amp;VAR:INDEX=0"}</definedName>
    <definedName name="_689__FDSAUDITLINK__" localSheetId="3" hidden="1">{"fdsup://directions/FAT Viewer?action=UPDATE&amp;creator=factset&amp;DYN_ARGS=TRUE&amp;DOC_NAME=FAT:FQL_AUDITING_CLIENT_TEMPLATE.FAT&amp;display_string=Audit&amp;VAR:KEY=TSBKFKXILS&amp;VAR:QUERY=UkdGX1RBWF9SQVRFKEFOTiwwLCwsLCwsTk9BVURJVCk=&amp;WINDOW=FIRST_POPUP&amp;HEIGHT=450&amp;WIDTH=450&amp;","START_MAXIMIZED=FALSE&amp;VAR:CALENDAR=US&amp;VAR:SYMBOL=OPEN&amp;VAR:INDEX=0"}</definedName>
    <definedName name="_689__FDSAUDITLINK__" localSheetId="7" hidden="1">{"fdsup://directions/FAT Viewer?action=UPDATE&amp;creator=factset&amp;DYN_ARGS=TRUE&amp;DOC_NAME=FAT:FQL_AUDITING_CLIENT_TEMPLATE.FAT&amp;display_string=Audit&amp;VAR:KEY=TSBKFKXILS&amp;VAR:QUERY=UkdGX1RBWF9SQVRFKEFOTiwwLCwsLCwsTk9BVURJVCk=&amp;WINDOW=FIRST_POPUP&amp;HEIGHT=450&amp;WIDTH=450&amp;","START_MAXIMIZED=FALSE&amp;VAR:CALENDAR=US&amp;VAR:SYMBOL=OPEN&amp;VAR:INDEX=0"}</definedName>
    <definedName name="_689__FDSAUDITLINK__" hidden="1">{"fdsup://directions/FAT Viewer?action=UPDATE&amp;creator=factset&amp;DYN_ARGS=TRUE&amp;DOC_NAME=FAT:FQL_AUDITING_CLIENT_TEMPLATE.FAT&amp;display_string=Audit&amp;VAR:KEY=TSBKFKXILS&amp;VAR:QUERY=UkdGX1RBWF9SQVRFKEFOTiwwLCwsLCwsTk9BVURJVCk=&amp;WINDOW=FIRST_POPUP&amp;HEIGHT=450&amp;WIDTH=450&amp;","START_MAXIMIZED=FALSE&amp;VAR:CALENDAR=US&amp;VAR:SYMBOL=OPEN&amp;VAR:INDEX=0"}</definedName>
    <definedName name="_69__FDSAUDITLINK__" localSheetId="3" hidden="1">{"fdsup://directions/FAT Viewer?action=UPDATE&amp;creator=factset&amp;DYN_ARGS=TRUE&amp;DOC_NAME=FAT:FQL_AUDITING_CLIENT_TEMPLATE.FAT&amp;display_string=Audit&amp;VAR:KEY=CLCNOPMPQH&amp;VAR:QUERY=RkZfTkVUX0lOQyhMVE0sMCwsLCwsTSk=&amp;WINDOW=FIRST_POPUP&amp;HEIGHT=450&amp;WIDTH=450&amp;START_MAXIMI","ZED=FALSE&amp;VAR:CALENDAR=US&amp;VAR:SYMBOL=B1YCJ3&amp;VAR:INDEX=0"}</definedName>
    <definedName name="_69__FDSAUDITLINK__" localSheetId="7" hidden="1">{"fdsup://directions/FAT Viewer?action=UPDATE&amp;creator=factset&amp;DYN_ARGS=TRUE&amp;DOC_NAME=FAT:FQL_AUDITING_CLIENT_TEMPLATE.FAT&amp;display_string=Audit&amp;VAR:KEY=CLCNOPMPQH&amp;VAR:QUERY=RkZfTkVUX0lOQyhMVE0sMCwsLCwsTSk=&amp;WINDOW=FIRST_POPUP&amp;HEIGHT=450&amp;WIDTH=450&amp;START_MAXIMI","ZED=FALSE&amp;VAR:CALENDAR=US&amp;VAR:SYMBOL=B1YCJ3&amp;VAR:INDEX=0"}</definedName>
    <definedName name="_69__FDSAUDITLINK__" hidden="1">{"fdsup://directions/FAT Viewer?action=UPDATE&amp;creator=factset&amp;DYN_ARGS=TRUE&amp;DOC_NAME=FAT:FQL_AUDITING_CLIENT_TEMPLATE.FAT&amp;display_string=Audit&amp;VAR:KEY=CLCNOPMPQH&amp;VAR:QUERY=RkZfTkVUX0lOQyhMVE0sMCwsLCwsTSk=&amp;WINDOW=FIRST_POPUP&amp;HEIGHT=450&amp;WIDTH=450&amp;START_MAXIMI","ZED=FALSE&amp;VAR:CALENDAR=US&amp;VAR:SYMBOL=B1YCJ3&amp;VAR:INDEX=0"}</definedName>
    <definedName name="_690__FDSAUDITLINK__" localSheetId="3" hidden="1">{"fdsup://directions/FAT Viewer?action=UPDATE&amp;creator=factset&amp;DYN_ARGS=TRUE&amp;DOC_NAME=FAT:FQL_AUDITING_CLIENT_TEMPLATE.FAT&amp;display_string=Audit&amp;VAR:KEY=DURMXUVGRQ&amp;VAR:QUERY=UkdGX1RBWF9SQVRFKEFOTiwwLCwsLCwsTk9BVURJVCk=&amp;WINDOW=FIRST_POPUP&amp;HEIGHT=450&amp;WIDTH=450&amp;","START_MAXIMIZED=FALSE&amp;VAR:CALENDAR=US&amp;VAR:SYMBOL=NOVL&amp;VAR:INDEX=0"}</definedName>
    <definedName name="_690__FDSAUDITLINK__" localSheetId="7" hidden="1">{"fdsup://directions/FAT Viewer?action=UPDATE&amp;creator=factset&amp;DYN_ARGS=TRUE&amp;DOC_NAME=FAT:FQL_AUDITING_CLIENT_TEMPLATE.FAT&amp;display_string=Audit&amp;VAR:KEY=DURMXUVGRQ&amp;VAR:QUERY=UkdGX1RBWF9SQVRFKEFOTiwwLCwsLCwsTk9BVURJVCk=&amp;WINDOW=FIRST_POPUP&amp;HEIGHT=450&amp;WIDTH=450&amp;","START_MAXIMIZED=FALSE&amp;VAR:CALENDAR=US&amp;VAR:SYMBOL=NOVL&amp;VAR:INDEX=0"}</definedName>
    <definedName name="_690__FDSAUDITLINK__" hidden="1">{"fdsup://directions/FAT Viewer?action=UPDATE&amp;creator=factset&amp;DYN_ARGS=TRUE&amp;DOC_NAME=FAT:FQL_AUDITING_CLIENT_TEMPLATE.FAT&amp;display_string=Audit&amp;VAR:KEY=DURMXUVGRQ&amp;VAR:QUERY=UkdGX1RBWF9SQVRFKEFOTiwwLCwsLCwsTk9BVURJVCk=&amp;WINDOW=FIRST_POPUP&amp;HEIGHT=450&amp;WIDTH=450&amp;","START_MAXIMIZED=FALSE&amp;VAR:CALENDAR=US&amp;VAR:SYMBOL=NOVL&amp;VAR:INDEX=0"}</definedName>
    <definedName name="_691__FDSAUDITLINK__" localSheetId="3" hidden="1">{"fdsup://directions/FAT Viewer?action=UPDATE&amp;creator=factset&amp;DYN_ARGS=TRUE&amp;DOC_NAME=FAT:FQL_AUDITING_CLIENT_TEMPLATE.FAT&amp;display_string=Audit&amp;VAR:KEY=DURMXUVGRQ&amp;VAR:QUERY=UkdGX1RBWF9SQVRFKEFOTiwwLCwsLCwsTk9BVURJVCk=&amp;WINDOW=FIRST_POPUP&amp;HEIGHT=450&amp;WIDTH=450&amp;","START_MAXIMIZED=FALSE&amp;VAR:CALENDAR=US&amp;VAR:SYMBOL=NOVL&amp;VAR:INDEX=0"}</definedName>
    <definedName name="_691__FDSAUDITLINK__" localSheetId="7" hidden="1">{"fdsup://directions/FAT Viewer?action=UPDATE&amp;creator=factset&amp;DYN_ARGS=TRUE&amp;DOC_NAME=FAT:FQL_AUDITING_CLIENT_TEMPLATE.FAT&amp;display_string=Audit&amp;VAR:KEY=DURMXUVGRQ&amp;VAR:QUERY=UkdGX1RBWF9SQVRFKEFOTiwwLCwsLCwsTk9BVURJVCk=&amp;WINDOW=FIRST_POPUP&amp;HEIGHT=450&amp;WIDTH=450&amp;","START_MAXIMIZED=FALSE&amp;VAR:CALENDAR=US&amp;VAR:SYMBOL=NOVL&amp;VAR:INDEX=0"}</definedName>
    <definedName name="_691__FDSAUDITLINK__" hidden="1">{"fdsup://directions/FAT Viewer?action=UPDATE&amp;creator=factset&amp;DYN_ARGS=TRUE&amp;DOC_NAME=FAT:FQL_AUDITING_CLIENT_TEMPLATE.FAT&amp;display_string=Audit&amp;VAR:KEY=DURMXUVGRQ&amp;VAR:QUERY=UkdGX1RBWF9SQVRFKEFOTiwwLCwsLCwsTk9BVURJVCk=&amp;WINDOW=FIRST_POPUP&amp;HEIGHT=450&amp;WIDTH=450&amp;","START_MAXIMIZED=FALSE&amp;VAR:CALENDAR=US&amp;VAR:SYMBOL=NOVL&amp;VAR:INDEX=0"}</definedName>
    <definedName name="_692__FDSAUDITLINK__" localSheetId="3" hidden="1">{"fdsup://directions/FAT Viewer?action=UPDATE&amp;creator=factset&amp;DYN_ARGS=TRUE&amp;DOC_NAME=FAT:FQL_AUDITING_CLIENT_TEMPLATE.FAT&amp;display_string=Audit&amp;VAR:KEY=XQDAJEJKZS&amp;VAR:QUERY=UkdGX1RBWF9SQVRFKEFOTiwwLCwsLCwsTk9BVURJVCk=&amp;WINDOW=FIRST_POPUP&amp;HEIGHT=450&amp;WIDTH=450&amp;","START_MAXIMIZED=FALSE&amp;VAR:CALENDAR=US&amp;VAR:SYMBOL=NSR&amp;VAR:INDEX=0"}</definedName>
    <definedName name="_692__FDSAUDITLINK__" localSheetId="7" hidden="1">{"fdsup://directions/FAT Viewer?action=UPDATE&amp;creator=factset&amp;DYN_ARGS=TRUE&amp;DOC_NAME=FAT:FQL_AUDITING_CLIENT_TEMPLATE.FAT&amp;display_string=Audit&amp;VAR:KEY=XQDAJEJKZS&amp;VAR:QUERY=UkdGX1RBWF9SQVRFKEFOTiwwLCwsLCwsTk9BVURJVCk=&amp;WINDOW=FIRST_POPUP&amp;HEIGHT=450&amp;WIDTH=450&amp;","START_MAXIMIZED=FALSE&amp;VAR:CALENDAR=US&amp;VAR:SYMBOL=NSR&amp;VAR:INDEX=0"}</definedName>
    <definedName name="_692__FDSAUDITLINK__" hidden="1">{"fdsup://directions/FAT Viewer?action=UPDATE&amp;creator=factset&amp;DYN_ARGS=TRUE&amp;DOC_NAME=FAT:FQL_AUDITING_CLIENT_TEMPLATE.FAT&amp;display_string=Audit&amp;VAR:KEY=XQDAJEJKZS&amp;VAR:QUERY=UkdGX1RBWF9SQVRFKEFOTiwwLCwsLCwsTk9BVURJVCk=&amp;WINDOW=FIRST_POPUP&amp;HEIGHT=450&amp;WIDTH=450&amp;","START_MAXIMIZED=FALSE&amp;VAR:CALENDAR=US&amp;VAR:SYMBOL=NSR&amp;VAR:INDEX=0"}</definedName>
    <definedName name="_693__FDSAUDITLINK__" localSheetId="3" hidden="1">{"fdsup://directions/FAT Viewer?action=UPDATE&amp;creator=factset&amp;DYN_ARGS=TRUE&amp;DOC_NAME=FAT:FQL_AUDITING_CLIENT_TEMPLATE.FAT&amp;display_string=Audit&amp;VAR:KEY=XQDAJEJKZS&amp;VAR:QUERY=UkdGX1RBWF9SQVRFKEFOTiwwLCwsLCwsTk9BVURJVCk=&amp;WINDOW=FIRST_POPUP&amp;HEIGHT=450&amp;WIDTH=450&amp;","START_MAXIMIZED=FALSE&amp;VAR:CALENDAR=US&amp;VAR:SYMBOL=NSR&amp;VAR:INDEX=0"}</definedName>
    <definedName name="_693__FDSAUDITLINK__" localSheetId="7" hidden="1">{"fdsup://directions/FAT Viewer?action=UPDATE&amp;creator=factset&amp;DYN_ARGS=TRUE&amp;DOC_NAME=FAT:FQL_AUDITING_CLIENT_TEMPLATE.FAT&amp;display_string=Audit&amp;VAR:KEY=XQDAJEJKZS&amp;VAR:QUERY=UkdGX1RBWF9SQVRFKEFOTiwwLCwsLCwsTk9BVURJVCk=&amp;WINDOW=FIRST_POPUP&amp;HEIGHT=450&amp;WIDTH=450&amp;","START_MAXIMIZED=FALSE&amp;VAR:CALENDAR=US&amp;VAR:SYMBOL=NSR&amp;VAR:INDEX=0"}</definedName>
    <definedName name="_693__FDSAUDITLINK__" hidden="1">{"fdsup://directions/FAT Viewer?action=UPDATE&amp;creator=factset&amp;DYN_ARGS=TRUE&amp;DOC_NAME=FAT:FQL_AUDITING_CLIENT_TEMPLATE.FAT&amp;display_string=Audit&amp;VAR:KEY=XQDAJEJKZS&amp;VAR:QUERY=UkdGX1RBWF9SQVRFKEFOTiwwLCwsLCwsTk9BVURJVCk=&amp;WINDOW=FIRST_POPUP&amp;HEIGHT=450&amp;WIDTH=450&amp;","START_MAXIMIZED=FALSE&amp;VAR:CALENDAR=US&amp;VAR:SYMBOL=NSR&amp;VAR:INDEX=0"}</definedName>
    <definedName name="_694__FDSAUDITLINK__" localSheetId="3" hidden="1">{"fdsup://directions/FAT Viewer?action=UPDATE&amp;creator=factset&amp;DYN_ARGS=TRUE&amp;DOC_NAME=FAT:FQL_AUDITING_CLIENT_TEMPLATE.FAT&amp;display_string=Audit&amp;VAR:KEY=FOHOTCPAHS&amp;VAR:QUERY=UkdGX1RBWF9SQVRFKEFOTiwwLCwsLCwsTk9BVURJVCk=&amp;WINDOW=FIRST_POPUP&amp;HEIGHT=450&amp;WIDTH=450&amp;","START_MAXIMIZED=FALSE&amp;VAR:CALENDAR=US&amp;VAR:SYMBOL=NFLX&amp;VAR:INDEX=0"}</definedName>
    <definedName name="_694__FDSAUDITLINK__" localSheetId="7" hidden="1">{"fdsup://directions/FAT Viewer?action=UPDATE&amp;creator=factset&amp;DYN_ARGS=TRUE&amp;DOC_NAME=FAT:FQL_AUDITING_CLIENT_TEMPLATE.FAT&amp;display_string=Audit&amp;VAR:KEY=FOHOTCPAHS&amp;VAR:QUERY=UkdGX1RBWF9SQVRFKEFOTiwwLCwsLCwsTk9BVURJVCk=&amp;WINDOW=FIRST_POPUP&amp;HEIGHT=450&amp;WIDTH=450&amp;","START_MAXIMIZED=FALSE&amp;VAR:CALENDAR=US&amp;VAR:SYMBOL=NFLX&amp;VAR:INDEX=0"}</definedName>
    <definedName name="_694__FDSAUDITLINK__" hidden="1">{"fdsup://directions/FAT Viewer?action=UPDATE&amp;creator=factset&amp;DYN_ARGS=TRUE&amp;DOC_NAME=FAT:FQL_AUDITING_CLIENT_TEMPLATE.FAT&amp;display_string=Audit&amp;VAR:KEY=FOHOTCPAHS&amp;VAR:QUERY=UkdGX1RBWF9SQVRFKEFOTiwwLCwsLCwsTk9BVURJVCk=&amp;WINDOW=FIRST_POPUP&amp;HEIGHT=450&amp;WIDTH=450&amp;","START_MAXIMIZED=FALSE&amp;VAR:CALENDAR=US&amp;VAR:SYMBOL=NFLX&amp;VAR:INDEX=0"}</definedName>
    <definedName name="_695__FDSAUDITLINK__" localSheetId="3" hidden="1">{"fdsup://directions/FAT Viewer?action=UPDATE&amp;creator=factset&amp;DYN_ARGS=TRUE&amp;DOC_NAME=FAT:FQL_AUDITING_CLIENT_TEMPLATE.FAT&amp;display_string=Audit&amp;VAR:KEY=FOHOTCPAHS&amp;VAR:QUERY=UkdGX1RBWF9SQVRFKEFOTiwwLCwsLCwsTk9BVURJVCk=&amp;WINDOW=FIRST_POPUP&amp;HEIGHT=450&amp;WIDTH=450&amp;","START_MAXIMIZED=FALSE&amp;VAR:CALENDAR=US&amp;VAR:SYMBOL=NFLX&amp;VAR:INDEX=0"}</definedName>
    <definedName name="_695__FDSAUDITLINK__" localSheetId="7" hidden="1">{"fdsup://directions/FAT Viewer?action=UPDATE&amp;creator=factset&amp;DYN_ARGS=TRUE&amp;DOC_NAME=FAT:FQL_AUDITING_CLIENT_TEMPLATE.FAT&amp;display_string=Audit&amp;VAR:KEY=FOHOTCPAHS&amp;VAR:QUERY=UkdGX1RBWF9SQVRFKEFOTiwwLCwsLCwsTk9BVURJVCk=&amp;WINDOW=FIRST_POPUP&amp;HEIGHT=450&amp;WIDTH=450&amp;","START_MAXIMIZED=FALSE&amp;VAR:CALENDAR=US&amp;VAR:SYMBOL=NFLX&amp;VAR:INDEX=0"}</definedName>
    <definedName name="_695__FDSAUDITLINK__" hidden="1">{"fdsup://directions/FAT Viewer?action=UPDATE&amp;creator=factset&amp;DYN_ARGS=TRUE&amp;DOC_NAME=FAT:FQL_AUDITING_CLIENT_TEMPLATE.FAT&amp;display_string=Audit&amp;VAR:KEY=FOHOTCPAHS&amp;VAR:QUERY=UkdGX1RBWF9SQVRFKEFOTiwwLCwsLCwsTk9BVURJVCk=&amp;WINDOW=FIRST_POPUP&amp;HEIGHT=450&amp;WIDTH=450&amp;","START_MAXIMIZED=FALSE&amp;VAR:CALENDAR=US&amp;VAR:SYMBOL=NFLX&amp;VAR:INDEX=0"}</definedName>
    <definedName name="_696__FDSAUDITLINK__" localSheetId="3" hidden="1">{"fdsup://directions/FAT Viewer?action=UPDATE&amp;creator=factset&amp;DYN_ARGS=TRUE&amp;DOC_NAME=FAT:FQL_AUDITING_CLIENT_TEMPLATE.FAT&amp;display_string=Audit&amp;VAR:KEY=FWDEFCREPI&amp;VAR:QUERY=UkdGX1RBWF9SQVRFKEFOTiwwLCwsLCwsTk9BVURJVCk=&amp;WINDOW=FIRST_POPUP&amp;HEIGHT=450&amp;WIDTH=450&amp;","START_MAXIMIZED=FALSE&amp;VAR:CALENDAR=US&amp;VAR:SYMBOL=563396&amp;VAR:INDEX=0"}</definedName>
    <definedName name="_696__FDSAUDITLINK__" localSheetId="7" hidden="1">{"fdsup://directions/FAT Viewer?action=UPDATE&amp;creator=factset&amp;DYN_ARGS=TRUE&amp;DOC_NAME=FAT:FQL_AUDITING_CLIENT_TEMPLATE.FAT&amp;display_string=Audit&amp;VAR:KEY=FWDEFCREPI&amp;VAR:QUERY=UkdGX1RBWF9SQVRFKEFOTiwwLCwsLCwsTk9BVURJVCk=&amp;WINDOW=FIRST_POPUP&amp;HEIGHT=450&amp;WIDTH=450&amp;","START_MAXIMIZED=FALSE&amp;VAR:CALENDAR=US&amp;VAR:SYMBOL=563396&amp;VAR:INDEX=0"}</definedName>
    <definedName name="_696__FDSAUDITLINK__" hidden="1">{"fdsup://directions/FAT Viewer?action=UPDATE&amp;creator=factset&amp;DYN_ARGS=TRUE&amp;DOC_NAME=FAT:FQL_AUDITING_CLIENT_TEMPLATE.FAT&amp;display_string=Audit&amp;VAR:KEY=FWDEFCREPI&amp;VAR:QUERY=UkdGX1RBWF9SQVRFKEFOTiwwLCwsLCwsTk9BVURJVCk=&amp;WINDOW=FIRST_POPUP&amp;HEIGHT=450&amp;WIDTH=450&amp;","START_MAXIMIZED=FALSE&amp;VAR:CALENDAR=US&amp;VAR:SYMBOL=563396&amp;VAR:INDEX=0"}</definedName>
    <definedName name="_697__FDSAUDITLINK__" localSheetId="3" hidden="1">{"fdsup://directions/FAT Viewer?action=UPDATE&amp;creator=factset&amp;DYN_ARGS=TRUE&amp;DOC_NAME=FAT:FQL_AUDITING_CLIENT_TEMPLATE.FAT&amp;display_string=Audit&amp;VAR:KEY=FWDEFCREPI&amp;VAR:QUERY=UkdGX1RBWF9SQVRFKEFOTiwwLCwsLCwsTk9BVURJVCk=&amp;WINDOW=FIRST_POPUP&amp;HEIGHT=450&amp;WIDTH=450&amp;","START_MAXIMIZED=FALSE&amp;VAR:CALENDAR=US&amp;VAR:SYMBOL=563396&amp;VAR:INDEX=0"}</definedName>
    <definedName name="_697__FDSAUDITLINK__" localSheetId="7" hidden="1">{"fdsup://directions/FAT Viewer?action=UPDATE&amp;creator=factset&amp;DYN_ARGS=TRUE&amp;DOC_NAME=FAT:FQL_AUDITING_CLIENT_TEMPLATE.FAT&amp;display_string=Audit&amp;VAR:KEY=FWDEFCREPI&amp;VAR:QUERY=UkdGX1RBWF9SQVRFKEFOTiwwLCwsLCwsTk9BVURJVCk=&amp;WINDOW=FIRST_POPUP&amp;HEIGHT=450&amp;WIDTH=450&amp;","START_MAXIMIZED=FALSE&amp;VAR:CALENDAR=US&amp;VAR:SYMBOL=563396&amp;VAR:INDEX=0"}</definedName>
    <definedName name="_697__FDSAUDITLINK__" hidden="1">{"fdsup://directions/FAT Viewer?action=UPDATE&amp;creator=factset&amp;DYN_ARGS=TRUE&amp;DOC_NAME=FAT:FQL_AUDITING_CLIENT_TEMPLATE.FAT&amp;display_string=Audit&amp;VAR:KEY=FWDEFCREPI&amp;VAR:QUERY=UkdGX1RBWF9SQVRFKEFOTiwwLCwsLCwsTk9BVURJVCk=&amp;WINDOW=FIRST_POPUP&amp;HEIGHT=450&amp;WIDTH=450&amp;","START_MAXIMIZED=FALSE&amp;VAR:CALENDAR=US&amp;VAR:SYMBOL=563396&amp;VAR:INDEX=0"}</definedName>
    <definedName name="_698__FDSAUDITLINK__" localSheetId="3" hidden="1">{"fdsup://directions/FAT Viewer?action=UPDATE&amp;creator=factset&amp;DYN_ARGS=TRUE&amp;DOC_NAME=FAT:FQL_AUDITING_CLIENT_TEMPLATE.FAT&amp;display_string=Audit&amp;VAR:KEY=VYNWPSTGFO&amp;VAR:QUERY=UkdGX1RBWF9SQVRFKEFOTiwwLCwsLCwsTk9BVURJVCk=&amp;WINDOW=FIRST_POPUP&amp;HEIGHT=450&amp;WIDTH=450&amp;","START_MAXIMIZED=FALSE&amp;VAR:CALENDAR=US&amp;VAR:SYMBOL=MOT&amp;VAR:INDEX=0"}</definedName>
    <definedName name="_698__FDSAUDITLINK__" localSheetId="7" hidden="1">{"fdsup://directions/FAT Viewer?action=UPDATE&amp;creator=factset&amp;DYN_ARGS=TRUE&amp;DOC_NAME=FAT:FQL_AUDITING_CLIENT_TEMPLATE.FAT&amp;display_string=Audit&amp;VAR:KEY=VYNWPSTGFO&amp;VAR:QUERY=UkdGX1RBWF9SQVRFKEFOTiwwLCwsLCwsTk9BVURJVCk=&amp;WINDOW=FIRST_POPUP&amp;HEIGHT=450&amp;WIDTH=450&amp;","START_MAXIMIZED=FALSE&amp;VAR:CALENDAR=US&amp;VAR:SYMBOL=MOT&amp;VAR:INDEX=0"}</definedName>
    <definedName name="_698__FDSAUDITLINK__" hidden="1">{"fdsup://directions/FAT Viewer?action=UPDATE&amp;creator=factset&amp;DYN_ARGS=TRUE&amp;DOC_NAME=FAT:FQL_AUDITING_CLIENT_TEMPLATE.FAT&amp;display_string=Audit&amp;VAR:KEY=VYNWPSTGFO&amp;VAR:QUERY=UkdGX1RBWF9SQVRFKEFOTiwwLCwsLCwsTk9BVURJVCk=&amp;WINDOW=FIRST_POPUP&amp;HEIGHT=450&amp;WIDTH=450&amp;","START_MAXIMIZED=FALSE&amp;VAR:CALENDAR=US&amp;VAR:SYMBOL=MOT&amp;VAR:INDEX=0"}</definedName>
    <definedName name="_699__FDSAUDITLINK__" localSheetId="3" hidden="1">{"fdsup://directions/FAT Viewer?action=UPDATE&amp;creator=factset&amp;DYN_ARGS=TRUE&amp;DOC_NAME=FAT:FQL_AUDITING_CLIENT_TEMPLATE.FAT&amp;display_string=Audit&amp;VAR:KEY=VYNWPSTGFO&amp;VAR:QUERY=UkdGX1RBWF9SQVRFKEFOTiwwLCwsLCwsTk9BVURJVCk=&amp;WINDOW=FIRST_POPUP&amp;HEIGHT=450&amp;WIDTH=450&amp;","START_MAXIMIZED=FALSE&amp;VAR:CALENDAR=US&amp;VAR:SYMBOL=MOT&amp;VAR:INDEX=0"}</definedName>
    <definedName name="_699__FDSAUDITLINK__" localSheetId="7" hidden="1">{"fdsup://directions/FAT Viewer?action=UPDATE&amp;creator=factset&amp;DYN_ARGS=TRUE&amp;DOC_NAME=FAT:FQL_AUDITING_CLIENT_TEMPLATE.FAT&amp;display_string=Audit&amp;VAR:KEY=VYNWPSTGFO&amp;VAR:QUERY=UkdGX1RBWF9SQVRFKEFOTiwwLCwsLCwsTk9BVURJVCk=&amp;WINDOW=FIRST_POPUP&amp;HEIGHT=450&amp;WIDTH=450&amp;","START_MAXIMIZED=FALSE&amp;VAR:CALENDAR=US&amp;VAR:SYMBOL=MOT&amp;VAR:INDEX=0"}</definedName>
    <definedName name="_699__FDSAUDITLINK__" hidden="1">{"fdsup://directions/FAT Viewer?action=UPDATE&amp;creator=factset&amp;DYN_ARGS=TRUE&amp;DOC_NAME=FAT:FQL_AUDITING_CLIENT_TEMPLATE.FAT&amp;display_string=Audit&amp;VAR:KEY=VYNWPSTGFO&amp;VAR:QUERY=UkdGX1RBWF9SQVRFKEFOTiwwLCwsLCwsTk9BVURJVCk=&amp;WINDOW=FIRST_POPUP&amp;HEIGHT=450&amp;WIDTH=450&amp;","START_MAXIMIZED=FALSE&amp;VAR:CALENDAR=US&amp;VAR:SYMBOL=MOT&amp;VAR:INDEX=0"}</definedName>
    <definedName name="_7__FDSAUDITLINK__" localSheetId="3" hidden="1">{"fdsup://Directions/FactSet Auditing Viewer?action=AUDIT_VALUE&amp;DB=129&amp;ID1=B014K5&amp;VALUEID=01001&amp;SDATE=2010&amp;PERIODTYPE=ANN_STD&amp;SCFT=3&amp;window=popup_no_bar&amp;width=385&amp;height=120&amp;START_MAXIMIZED=FALSE&amp;creator=factset&amp;display_string=Audit"}</definedName>
    <definedName name="_7__FDSAUDITLINK__" localSheetId="7" hidden="1">{"fdsup://Directions/FactSet Auditing Viewer?action=AUDIT_VALUE&amp;DB=129&amp;ID1=B014K5&amp;VALUEID=01001&amp;SDATE=2010&amp;PERIODTYPE=ANN_STD&amp;SCFT=3&amp;window=popup_no_bar&amp;width=385&amp;height=120&amp;START_MAXIMIZED=FALSE&amp;creator=factset&amp;display_string=Audit"}</definedName>
    <definedName name="_7__FDSAUDITLINK__" hidden="1">{"fdsup://Directions/FactSet Auditing Viewer?action=AUDIT_VALUE&amp;DB=129&amp;ID1=B014K5&amp;VALUEID=01001&amp;SDATE=2010&amp;PERIODTYPE=ANN_STD&amp;SCFT=3&amp;window=popup_no_bar&amp;width=385&amp;height=120&amp;START_MAXIMIZED=FALSE&amp;creator=factset&amp;display_string=Audit"}</definedName>
    <definedName name="_70__FDSAUDITLINK__" localSheetId="3" hidden="1">{"fdsup://directions/FAT Viewer?action=UPDATE&amp;creator=factset&amp;DYN_ARGS=TRUE&amp;DOC_NAME=FAT:FQL_AUDITING_CLIENT_TEMPLATE.FAT&amp;display_string=Audit&amp;VAR:KEY=CDUTADQFER&amp;VAR:QUERY=RkZfRUJJVERBX09QRVIoTFRNLDAsLCwsLE0p&amp;WINDOW=FIRST_POPUP&amp;HEIGHT=450&amp;WIDTH=450&amp;START_MA","XIMIZED=FALSE&amp;VAR:CALENDAR=US&amp;VAR:SYMBOL=B1YCJ3&amp;VAR:INDEX=0"}</definedName>
    <definedName name="_70__FDSAUDITLINK__" localSheetId="7" hidden="1">{"fdsup://directions/FAT Viewer?action=UPDATE&amp;creator=factset&amp;DYN_ARGS=TRUE&amp;DOC_NAME=FAT:FQL_AUDITING_CLIENT_TEMPLATE.FAT&amp;display_string=Audit&amp;VAR:KEY=CDUTADQFER&amp;VAR:QUERY=RkZfRUJJVERBX09QRVIoTFRNLDAsLCwsLE0p&amp;WINDOW=FIRST_POPUP&amp;HEIGHT=450&amp;WIDTH=450&amp;START_MA","XIMIZED=FALSE&amp;VAR:CALENDAR=US&amp;VAR:SYMBOL=B1YCJ3&amp;VAR:INDEX=0"}</definedName>
    <definedName name="_70__FDSAUDITLINK__" hidden="1">{"fdsup://directions/FAT Viewer?action=UPDATE&amp;creator=factset&amp;DYN_ARGS=TRUE&amp;DOC_NAME=FAT:FQL_AUDITING_CLIENT_TEMPLATE.FAT&amp;display_string=Audit&amp;VAR:KEY=CDUTADQFER&amp;VAR:QUERY=RkZfRUJJVERBX09QRVIoTFRNLDAsLCwsLE0p&amp;WINDOW=FIRST_POPUP&amp;HEIGHT=450&amp;WIDTH=450&amp;START_MA","XIMIZED=FALSE&amp;VAR:CALENDAR=US&amp;VAR:SYMBOL=B1YCJ3&amp;VAR:INDEX=0"}</definedName>
    <definedName name="_700__FDSAUDITLINK__" localSheetId="3" hidden="1">{"fdsup://directions/FAT Viewer?action=UPDATE&amp;creator=factset&amp;DYN_ARGS=TRUE&amp;DOC_NAME=FAT:FQL_AUDITING_CLIENT_TEMPLATE.FAT&amp;display_string=Audit&amp;VAR:KEY=TERMBCBIZM&amp;VAR:QUERY=UkdGX1RBWF9SQVRFKEFOTiwwLCwsLCwsTk9BVURJVCk=&amp;WINDOW=FIRST_POPUP&amp;HEIGHT=450&amp;WIDTH=450&amp;","START_MAXIMIZED=FALSE&amp;VAR:CALENDAR=US&amp;VAR:SYMBOL=MIPS&amp;VAR:INDEX=0"}</definedName>
    <definedName name="_700__FDSAUDITLINK__" localSheetId="7" hidden="1">{"fdsup://directions/FAT Viewer?action=UPDATE&amp;creator=factset&amp;DYN_ARGS=TRUE&amp;DOC_NAME=FAT:FQL_AUDITING_CLIENT_TEMPLATE.FAT&amp;display_string=Audit&amp;VAR:KEY=TERMBCBIZM&amp;VAR:QUERY=UkdGX1RBWF9SQVRFKEFOTiwwLCwsLCwsTk9BVURJVCk=&amp;WINDOW=FIRST_POPUP&amp;HEIGHT=450&amp;WIDTH=450&amp;","START_MAXIMIZED=FALSE&amp;VAR:CALENDAR=US&amp;VAR:SYMBOL=MIPS&amp;VAR:INDEX=0"}</definedName>
    <definedName name="_700__FDSAUDITLINK__" hidden="1">{"fdsup://directions/FAT Viewer?action=UPDATE&amp;creator=factset&amp;DYN_ARGS=TRUE&amp;DOC_NAME=FAT:FQL_AUDITING_CLIENT_TEMPLATE.FAT&amp;display_string=Audit&amp;VAR:KEY=TERMBCBIZM&amp;VAR:QUERY=UkdGX1RBWF9SQVRFKEFOTiwwLCwsLCwsTk9BVURJVCk=&amp;WINDOW=FIRST_POPUP&amp;HEIGHT=450&amp;WIDTH=450&amp;","START_MAXIMIZED=FALSE&amp;VAR:CALENDAR=US&amp;VAR:SYMBOL=MIPS&amp;VAR:INDEX=0"}</definedName>
    <definedName name="_701__FDSAUDITLINK__" localSheetId="3" hidden="1">{"fdsup://directions/FAT Viewer?action=UPDATE&amp;creator=factset&amp;DYN_ARGS=TRUE&amp;DOC_NAME=FAT:FQL_AUDITING_CLIENT_TEMPLATE.FAT&amp;display_string=Audit&amp;VAR:KEY=TERMBCBIZM&amp;VAR:QUERY=UkdGX1RBWF9SQVRFKEFOTiwwLCwsLCwsTk9BVURJVCk=&amp;WINDOW=FIRST_POPUP&amp;HEIGHT=450&amp;WIDTH=450&amp;","START_MAXIMIZED=FALSE&amp;VAR:CALENDAR=US&amp;VAR:SYMBOL=MIPS&amp;VAR:INDEX=0"}</definedName>
    <definedName name="_701__FDSAUDITLINK__" localSheetId="7" hidden="1">{"fdsup://directions/FAT Viewer?action=UPDATE&amp;creator=factset&amp;DYN_ARGS=TRUE&amp;DOC_NAME=FAT:FQL_AUDITING_CLIENT_TEMPLATE.FAT&amp;display_string=Audit&amp;VAR:KEY=TERMBCBIZM&amp;VAR:QUERY=UkdGX1RBWF9SQVRFKEFOTiwwLCwsLCwsTk9BVURJVCk=&amp;WINDOW=FIRST_POPUP&amp;HEIGHT=450&amp;WIDTH=450&amp;","START_MAXIMIZED=FALSE&amp;VAR:CALENDAR=US&amp;VAR:SYMBOL=MIPS&amp;VAR:INDEX=0"}</definedName>
    <definedName name="_701__FDSAUDITLINK__" hidden="1">{"fdsup://directions/FAT Viewer?action=UPDATE&amp;creator=factset&amp;DYN_ARGS=TRUE&amp;DOC_NAME=FAT:FQL_AUDITING_CLIENT_TEMPLATE.FAT&amp;display_string=Audit&amp;VAR:KEY=TERMBCBIZM&amp;VAR:QUERY=UkdGX1RBWF9SQVRFKEFOTiwwLCwsLCwsTk9BVURJVCk=&amp;WINDOW=FIRST_POPUP&amp;HEIGHT=450&amp;WIDTH=450&amp;","START_MAXIMIZED=FALSE&amp;VAR:CALENDAR=US&amp;VAR:SYMBOL=MIPS&amp;VAR:INDEX=0"}</definedName>
    <definedName name="_702__FDSAUDITLINK__" localSheetId="3" hidden="1">{"fdsup://directions/FAT Viewer?action=UPDATE&amp;creator=factset&amp;DYN_ARGS=TRUE&amp;DOC_NAME=FAT:FQL_AUDITING_CLIENT_TEMPLATE.FAT&amp;display_string=Audit&amp;VAR:KEY=NWDMPKBAVW&amp;VAR:QUERY=UkdGX1RBWF9SQVRFKEFOTiwwLCwsLCwsTk9BVURJVCk=&amp;WINDOW=FIRST_POPUP&amp;HEIGHT=450&amp;WIDTH=450&amp;","START_MAXIMIZED=FALSE&amp;VAR:CALENDAR=US&amp;VAR:SYMBOL=MSFT&amp;VAR:INDEX=0"}</definedName>
    <definedName name="_702__FDSAUDITLINK__" localSheetId="7" hidden="1">{"fdsup://directions/FAT Viewer?action=UPDATE&amp;creator=factset&amp;DYN_ARGS=TRUE&amp;DOC_NAME=FAT:FQL_AUDITING_CLIENT_TEMPLATE.FAT&amp;display_string=Audit&amp;VAR:KEY=NWDMPKBAVW&amp;VAR:QUERY=UkdGX1RBWF9SQVRFKEFOTiwwLCwsLCwsTk9BVURJVCk=&amp;WINDOW=FIRST_POPUP&amp;HEIGHT=450&amp;WIDTH=450&amp;","START_MAXIMIZED=FALSE&amp;VAR:CALENDAR=US&amp;VAR:SYMBOL=MSFT&amp;VAR:INDEX=0"}</definedName>
    <definedName name="_702__FDSAUDITLINK__" hidden="1">{"fdsup://directions/FAT Viewer?action=UPDATE&amp;creator=factset&amp;DYN_ARGS=TRUE&amp;DOC_NAME=FAT:FQL_AUDITING_CLIENT_TEMPLATE.FAT&amp;display_string=Audit&amp;VAR:KEY=NWDMPKBAVW&amp;VAR:QUERY=UkdGX1RBWF9SQVRFKEFOTiwwLCwsLCwsTk9BVURJVCk=&amp;WINDOW=FIRST_POPUP&amp;HEIGHT=450&amp;WIDTH=450&amp;","START_MAXIMIZED=FALSE&amp;VAR:CALENDAR=US&amp;VAR:SYMBOL=MSFT&amp;VAR:INDEX=0"}</definedName>
    <definedName name="_703__FDSAUDITLINK__" localSheetId="3" hidden="1">{"fdsup://directions/FAT Viewer?action=UPDATE&amp;creator=factset&amp;DYN_ARGS=TRUE&amp;DOC_NAME=FAT:FQL_AUDITING_CLIENT_TEMPLATE.FAT&amp;display_string=Audit&amp;VAR:KEY=NWDMPKBAVW&amp;VAR:QUERY=UkdGX1RBWF9SQVRFKEFOTiwwLCwsLCwsTk9BVURJVCk=&amp;WINDOW=FIRST_POPUP&amp;HEIGHT=450&amp;WIDTH=450&amp;","START_MAXIMIZED=FALSE&amp;VAR:CALENDAR=US&amp;VAR:SYMBOL=MSFT&amp;VAR:INDEX=0"}</definedName>
    <definedName name="_703__FDSAUDITLINK__" localSheetId="7" hidden="1">{"fdsup://directions/FAT Viewer?action=UPDATE&amp;creator=factset&amp;DYN_ARGS=TRUE&amp;DOC_NAME=FAT:FQL_AUDITING_CLIENT_TEMPLATE.FAT&amp;display_string=Audit&amp;VAR:KEY=NWDMPKBAVW&amp;VAR:QUERY=UkdGX1RBWF9SQVRFKEFOTiwwLCwsLCwsTk9BVURJVCk=&amp;WINDOW=FIRST_POPUP&amp;HEIGHT=450&amp;WIDTH=450&amp;","START_MAXIMIZED=FALSE&amp;VAR:CALENDAR=US&amp;VAR:SYMBOL=MSFT&amp;VAR:INDEX=0"}</definedName>
    <definedName name="_703__FDSAUDITLINK__" hidden="1">{"fdsup://directions/FAT Viewer?action=UPDATE&amp;creator=factset&amp;DYN_ARGS=TRUE&amp;DOC_NAME=FAT:FQL_AUDITING_CLIENT_TEMPLATE.FAT&amp;display_string=Audit&amp;VAR:KEY=NWDMPKBAVW&amp;VAR:QUERY=UkdGX1RBWF9SQVRFKEFOTiwwLCwsLCwsTk9BVURJVCk=&amp;WINDOW=FIRST_POPUP&amp;HEIGHT=450&amp;WIDTH=450&amp;","START_MAXIMIZED=FALSE&amp;VAR:CALENDAR=US&amp;VAR:SYMBOL=MSFT&amp;VAR:INDEX=0"}</definedName>
    <definedName name="_704__FDSAUDITLINK__" localSheetId="3" hidden="1">{"fdsup://directions/FAT Viewer?action=UPDATE&amp;creator=factset&amp;DYN_ARGS=TRUE&amp;DOC_NAME=FAT:FQL_AUDITING_CLIENT_TEMPLATE.FAT&amp;display_string=Audit&amp;VAR:KEY=VCLWVYJCLG&amp;VAR:QUERY=UkdGX1RBWF9SQVRFKEFOTiwwLCwsLCwsTk9BVURJVCk=&amp;WINDOW=FIRST_POPUP&amp;HEIGHT=450&amp;WIDTH=450&amp;","START_MAXIMIZED=FALSE&amp;VAR:CALENDAR=US&amp;VAR:SYMBOL=MERU&amp;VAR:INDEX=0"}</definedName>
    <definedName name="_704__FDSAUDITLINK__" localSheetId="7" hidden="1">{"fdsup://directions/FAT Viewer?action=UPDATE&amp;creator=factset&amp;DYN_ARGS=TRUE&amp;DOC_NAME=FAT:FQL_AUDITING_CLIENT_TEMPLATE.FAT&amp;display_string=Audit&amp;VAR:KEY=VCLWVYJCLG&amp;VAR:QUERY=UkdGX1RBWF9SQVRFKEFOTiwwLCwsLCwsTk9BVURJVCk=&amp;WINDOW=FIRST_POPUP&amp;HEIGHT=450&amp;WIDTH=450&amp;","START_MAXIMIZED=FALSE&amp;VAR:CALENDAR=US&amp;VAR:SYMBOL=MERU&amp;VAR:INDEX=0"}</definedName>
    <definedName name="_704__FDSAUDITLINK__" hidden="1">{"fdsup://directions/FAT Viewer?action=UPDATE&amp;creator=factset&amp;DYN_ARGS=TRUE&amp;DOC_NAME=FAT:FQL_AUDITING_CLIENT_TEMPLATE.FAT&amp;display_string=Audit&amp;VAR:KEY=VCLWVYJCLG&amp;VAR:QUERY=UkdGX1RBWF9SQVRFKEFOTiwwLCwsLCwsTk9BVURJVCk=&amp;WINDOW=FIRST_POPUP&amp;HEIGHT=450&amp;WIDTH=450&amp;","START_MAXIMIZED=FALSE&amp;VAR:CALENDAR=US&amp;VAR:SYMBOL=MERU&amp;VAR:INDEX=0"}</definedName>
    <definedName name="_705__FDSAUDITLINK__" localSheetId="3" hidden="1">{"fdsup://directions/FAT Viewer?action=UPDATE&amp;creator=factset&amp;DYN_ARGS=TRUE&amp;DOC_NAME=FAT:FQL_AUDITING_CLIENT_TEMPLATE.FAT&amp;display_string=Audit&amp;VAR:KEY=RYJILSHUZG&amp;VAR:QUERY=UkdGX1RBWF9SQVRFKEFOTiwwLCwsLCwsTk9BVURJVCk=&amp;WINDOW=FIRST_POPUP&amp;HEIGHT=450&amp;WIDTH=450&amp;","START_MAXIMIZED=FALSE&amp;VAR:CALENDAR=US&amp;VAR:SYMBOL=MENT&amp;VAR:INDEX=0"}</definedName>
    <definedName name="_705__FDSAUDITLINK__" localSheetId="7" hidden="1">{"fdsup://directions/FAT Viewer?action=UPDATE&amp;creator=factset&amp;DYN_ARGS=TRUE&amp;DOC_NAME=FAT:FQL_AUDITING_CLIENT_TEMPLATE.FAT&amp;display_string=Audit&amp;VAR:KEY=RYJILSHUZG&amp;VAR:QUERY=UkdGX1RBWF9SQVRFKEFOTiwwLCwsLCwsTk9BVURJVCk=&amp;WINDOW=FIRST_POPUP&amp;HEIGHT=450&amp;WIDTH=450&amp;","START_MAXIMIZED=FALSE&amp;VAR:CALENDAR=US&amp;VAR:SYMBOL=MENT&amp;VAR:INDEX=0"}</definedName>
    <definedName name="_705__FDSAUDITLINK__" hidden="1">{"fdsup://directions/FAT Viewer?action=UPDATE&amp;creator=factset&amp;DYN_ARGS=TRUE&amp;DOC_NAME=FAT:FQL_AUDITING_CLIENT_TEMPLATE.FAT&amp;display_string=Audit&amp;VAR:KEY=RYJILSHUZG&amp;VAR:QUERY=UkdGX1RBWF9SQVRFKEFOTiwwLCwsLCwsTk9BVURJVCk=&amp;WINDOW=FIRST_POPUP&amp;HEIGHT=450&amp;WIDTH=450&amp;","START_MAXIMIZED=FALSE&amp;VAR:CALENDAR=US&amp;VAR:SYMBOL=MENT&amp;VAR:INDEX=0"}</definedName>
    <definedName name="_706__FDSAUDITLINK__" localSheetId="3" hidden="1">{"fdsup://directions/FAT Viewer?action=UPDATE&amp;creator=factset&amp;DYN_ARGS=TRUE&amp;DOC_NAME=FAT:FQL_AUDITING_CLIENT_TEMPLATE.FAT&amp;display_string=Audit&amp;VAR:KEY=XKTKFQPOVI&amp;VAR:QUERY=UkdGX1RBWF9SQVRFKEFOTiwwLCwsLCwsTk9BVURJVCk=&amp;WINDOW=FIRST_POPUP&amp;HEIGHT=450&amp;WIDTH=450&amp;","START_MAXIMIZED=FALSE&amp;VAR:CALENDAR=US&amp;VAR:SYMBOL=MCK&amp;VAR:INDEX=0"}</definedName>
    <definedName name="_706__FDSAUDITLINK__" localSheetId="7" hidden="1">{"fdsup://directions/FAT Viewer?action=UPDATE&amp;creator=factset&amp;DYN_ARGS=TRUE&amp;DOC_NAME=FAT:FQL_AUDITING_CLIENT_TEMPLATE.FAT&amp;display_string=Audit&amp;VAR:KEY=XKTKFQPOVI&amp;VAR:QUERY=UkdGX1RBWF9SQVRFKEFOTiwwLCwsLCwsTk9BVURJVCk=&amp;WINDOW=FIRST_POPUP&amp;HEIGHT=450&amp;WIDTH=450&amp;","START_MAXIMIZED=FALSE&amp;VAR:CALENDAR=US&amp;VAR:SYMBOL=MCK&amp;VAR:INDEX=0"}</definedName>
    <definedName name="_706__FDSAUDITLINK__" hidden="1">{"fdsup://directions/FAT Viewer?action=UPDATE&amp;creator=factset&amp;DYN_ARGS=TRUE&amp;DOC_NAME=FAT:FQL_AUDITING_CLIENT_TEMPLATE.FAT&amp;display_string=Audit&amp;VAR:KEY=XKTKFQPOVI&amp;VAR:QUERY=UkdGX1RBWF9SQVRFKEFOTiwwLCwsLCwsTk9BVURJVCk=&amp;WINDOW=FIRST_POPUP&amp;HEIGHT=450&amp;WIDTH=450&amp;","START_MAXIMIZED=FALSE&amp;VAR:CALENDAR=US&amp;VAR:SYMBOL=MCK&amp;VAR:INDEX=0"}</definedName>
    <definedName name="_707__FDSAUDITLINK__" localSheetId="3" hidden="1">{"fdsup://directions/FAT Viewer?action=UPDATE&amp;creator=factset&amp;DYN_ARGS=TRUE&amp;DOC_NAME=FAT:FQL_AUDITING_CLIENT_TEMPLATE.FAT&amp;display_string=Audit&amp;VAR:KEY=XKTKFQPOVI&amp;VAR:QUERY=UkdGX1RBWF9SQVRFKEFOTiwwLCwsLCwsTk9BVURJVCk=&amp;WINDOW=FIRST_POPUP&amp;HEIGHT=450&amp;WIDTH=450&amp;","START_MAXIMIZED=FALSE&amp;VAR:CALENDAR=US&amp;VAR:SYMBOL=MCK&amp;VAR:INDEX=0"}</definedName>
    <definedName name="_707__FDSAUDITLINK__" localSheetId="7" hidden="1">{"fdsup://directions/FAT Viewer?action=UPDATE&amp;creator=factset&amp;DYN_ARGS=TRUE&amp;DOC_NAME=FAT:FQL_AUDITING_CLIENT_TEMPLATE.FAT&amp;display_string=Audit&amp;VAR:KEY=XKTKFQPOVI&amp;VAR:QUERY=UkdGX1RBWF9SQVRFKEFOTiwwLCwsLCwsTk9BVURJVCk=&amp;WINDOW=FIRST_POPUP&amp;HEIGHT=450&amp;WIDTH=450&amp;","START_MAXIMIZED=FALSE&amp;VAR:CALENDAR=US&amp;VAR:SYMBOL=MCK&amp;VAR:INDEX=0"}</definedName>
    <definedName name="_707__FDSAUDITLINK__" hidden="1">{"fdsup://directions/FAT Viewer?action=UPDATE&amp;creator=factset&amp;DYN_ARGS=TRUE&amp;DOC_NAME=FAT:FQL_AUDITING_CLIENT_TEMPLATE.FAT&amp;display_string=Audit&amp;VAR:KEY=XKTKFQPOVI&amp;VAR:QUERY=UkdGX1RBWF9SQVRFKEFOTiwwLCwsLCwsTk9BVURJVCk=&amp;WINDOW=FIRST_POPUP&amp;HEIGHT=450&amp;WIDTH=450&amp;","START_MAXIMIZED=FALSE&amp;VAR:CALENDAR=US&amp;VAR:SYMBOL=MCK&amp;VAR:INDEX=0"}</definedName>
    <definedName name="_708__FDSAUDITLINK__" localSheetId="3" hidden="1">{"fdsup://directions/FAT Viewer?action=UPDATE&amp;creator=factset&amp;DYN_ARGS=TRUE&amp;DOC_NAME=FAT:FQL_AUDITING_CLIENT_TEMPLATE.FAT&amp;display_string=Audit&amp;VAR:KEY=RANMNQJQXC&amp;VAR:QUERY=UkdGX1RBWF9SQVRFKEFOTiwwLCwsLCwsTk9BVURJVCk=&amp;WINDOW=FIRST_POPUP&amp;HEIGHT=450&amp;WIDTH=450&amp;","START_MAXIMIZED=FALSE&amp;VAR:CALENDAR=US&amp;VAR:SYMBOL=MCHX&amp;VAR:INDEX=0"}</definedName>
    <definedName name="_708__FDSAUDITLINK__" localSheetId="7" hidden="1">{"fdsup://directions/FAT Viewer?action=UPDATE&amp;creator=factset&amp;DYN_ARGS=TRUE&amp;DOC_NAME=FAT:FQL_AUDITING_CLIENT_TEMPLATE.FAT&amp;display_string=Audit&amp;VAR:KEY=RANMNQJQXC&amp;VAR:QUERY=UkdGX1RBWF9SQVRFKEFOTiwwLCwsLCwsTk9BVURJVCk=&amp;WINDOW=FIRST_POPUP&amp;HEIGHT=450&amp;WIDTH=450&amp;","START_MAXIMIZED=FALSE&amp;VAR:CALENDAR=US&amp;VAR:SYMBOL=MCHX&amp;VAR:INDEX=0"}</definedName>
    <definedName name="_708__FDSAUDITLINK__" hidden="1">{"fdsup://directions/FAT Viewer?action=UPDATE&amp;creator=factset&amp;DYN_ARGS=TRUE&amp;DOC_NAME=FAT:FQL_AUDITING_CLIENT_TEMPLATE.FAT&amp;display_string=Audit&amp;VAR:KEY=RANMNQJQXC&amp;VAR:QUERY=UkdGX1RBWF9SQVRFKEFOTiwwLCwsLCwsTk9BVURJVCk=&amp;WINDOW=FIRST_POPUP&amp;HEIGHT=450&amp;WIDTH=450&amp;","START_MAXIMIZED=FALSE&amp;VAR:CALENDAR=US&amp;VAR:SYMBOL=MCHX&amp;VAR:INDEX=0"}</definedName>
    <definedName name="_709__FDSAUDITLINK__" localSheetId="3" hidden="1">{"fdsup://directions/FAT Viewer?action=UPDATE&amp;creator=factset&amp;DYN_ARGS=TRUE&amp;DOC_NAME=FAT:FQL_AUDITING_CLIENT_TEMPLATE.FAT&amp;display_string=Audit&amp;VAR:KEY=BWHUNMZWJS&amp;VAR:QUERY=UkdGX1RBWF9SQVRFKEFOTiwwLCwsLCwsTk9BVURJVCk=&amp;WINDOW=FIRST_POPUP&amp;HEIGHT=450&amp;WIDTH=450&amp;","START_MAXIMIZED=FALSE&amp;VAR:CALENDAR=US&amp;VAR:SYMBOL=LAVA&amp;VAR:INDEX=0"}</definedName>
    <definedName name="_709__FDSAUDITLINK__" localSheetId="7" hidden="1">{"fdsup://directions/FAT Viewer?action=UPDATE&amp;creator=factset&amp;DYN_ARGS=TRUE&amp;DOC_NAME=FAT:FQL_AUDITING_CLIENT_TEMPLATE.FAT&amp;display_string=Audit&amp;VAR:KEY=BWHUNMZWJS&amp;VAR:QUERY=UkdGX1RBWF9SQVRFKEFOTiwwLCwsLCwsTk9BVURJVCk=&amp;WINDOW=FIRST_POPUP&amp;HEIGHT=450&amp;WIDTH=450&amp;","START_MAXIMIZED=FALSE&amp;VAR:CALENDAR=US&amp;VAR:SYMBOL=LAVA&amp;VAR:INDEX=0"}</definedName>
    <definedName name="_709__FDSAUDITLINK__" hidden="1">{"fdsup://directions/FAT Viewer?action=UPDATE&amp;creator=factset&amp;DYN_ARGS=TRUE&amp;DOC_NAME=FAT:FQL_AUDITING_CLIENT_TEMPLATE.FAT&amp;display_string=Audit&amp;VAR:KEY=BWHUNMZWJS&amp;VAR:QUERY=UkdGX1RBWF9SQVRFKEFOTiwwLCwsLCwsTk9BVURJVCk=&amp;WINDOW=FIRST_POPUP&amp;HEIGHT=450&amp;WIDTH=450&amp;","START_MAXIMIZED=FALSE&amp;VAR:CALENDAR=US&amp;VAR:SYMBOL=LAVA&amp;VAR:INDEX=0"}</definedName>
    <definedName name="_71__FDSAUDITLINK__" localSheetId="3" hidden="1">{"fdsup://directions/FAT Viewer?action=UPDATE&amp;creator=factset&amp;DYN_ARGS=TRUE&amp;DOC_NAME=FAT:FQL_AUDITING_CLIENT_TEMPLATE.FAT&amp;display_string=Audit&amp;VAR:KEY=MJGPUNYRUH&amp;VAR:QUERY=RkZfU0FMRVMoTFRNLDAsLCwsLE0p&amp;WINDOW=FIRST_POPUP&amp;HEIGHT=450&amp;WIDTH=450&amp;START_MAXIMIZED=","FALSE&amp;VAR:CALENDAR=US&amp;VAR:SYMBOL=B1YCJ3&amp;VAR:INDEX=0"}</definedName>
    <definedName name="_71__FDSAUDITLINK__" localSheetId="7" hidden="1">{"fdsup://directions/FAT Viewer?action=UPDATE&amp;creator=factset&amp;DYN_ARGS=TRUE&amp;DOC_NAME=FAT:FQL_AUDITING_CLIENT_TEMPLATE.FAT&amp;display_string=Audit&amp;VAR:KEY=MJGPUNYRUH&amp;VAR:QUERY=RkZfU0FMRVMoTFRNLDAsLCwsLE0p&amp;WINDOW=FIRST_POPUP&amp;HEIGHT=450&amp;WIDTH=450&amp;START_MAXIMIZED=","FALSE&amp;VAR:CALENDAR=US&amp;VAR:SYMBOL=B1YCJ3&amp;VAR:INDEX=0"}</definedName>
    <definedName name="_71__FDSAUDITLINK__" hidden="1">{"fdsup://directions/FAT Viewer?action=UPDATE&amp;creator=factset&amp;DYN_ARGS=TRUE&amp;DOC_NAME=FAT:FQL_AUDITING_CLIENT_TEMPLATE.FAT&amp;display_string=Audit&amp;VAR:KEY=MJGPUNYRUH&amp;VAR:QUERY=RkZfU0FMRVMoTFRNLDAsLCwsLE0p&amp;WINDOW=FIRST_POPUP&amp;HEIGHT=450&amp;WIDTH=450&amp;START_MAXIMIZED=","FALSE&amp;VAR:CALENDAR=US&amp;VAR:SYMBOL=B1YCJ3&amp;VAR:INDEX=0"}</definedName>
    <definedName name="_710__FDSAUDITLINK__" localSheetId="3" hidden="1">{"fdsup://directions/FAT Viewer?action=UPDATE&amp;creator=factset&amp;DYN_ARGS=TRUE&amp;DOC_NAME=FAT:FQL_AUDITING_CLIENT_TEMPLATE.FAT&amp;display_string=Audit&amp;VAR:KEY=JIVCPKBETK&amp;VAR:QUERY=UkdGX1RBWF9SQVRFKEFOTiwwLCwsLCwsTk9BVURJVCk=&amp;WINDOW=FIRST_POPUP&amp;HEIGHT=450&amp;WIDTH=450&amp;","START_MAXIMIZED=FALSE&amp;VAR:CALENDAR=US&amp;VAR:SYMBOL=LPSN&amp;VAR:INDEX=0"}</definedName>
    <definedName name="_710__FDSAUDITLINK__" localSheetId="7" hidden="1">{"fdsup://directions/FAT Viewer?action=UPDATE&amp;creator=factset&amp;DYN_ARGS=TRUE&amp;DOC_NAME=FAT:FQL_AUDITING_CLIENT_TEMPLATE.FAT&amp;display_string=Audit&amp;VAR:KEY=JIVCPKBETK&amp;VAR:QUERY=UkdGX1RBWF9SQVRFKEFOTiwwLCwsLCwsTk9BVURJVCk=&amp;WINDOW=FIRST_POPUP&amp;HEIGHT=450&amp;WIDTH=450&amp;","START_MAXIMIZED=FALSE&amp;VAR:CALENDAR=US&amp;VAR:SYMBOL=LPSN&amp;VAR:INDEX=0"}</definedName>
    <definedName name="_710__FDSAUDITLINK__" hidden="1">{"fdsup://directions/FAT Viewer?action=UPDATE&amp;creator=factset&amp;DYN_ARGS=TRUE&amp;DOC_NAME=FAT:FQL_AUDITING_CLIENT_TEMPLATE.FAT&amp;display_string=Audit&amp;VAR:KEY=JIVCPKBETK&amp;VAR:QUERY=UkdGX1RBWF9SQVRFKEFOTiwwLCwsLCwsTk9BVURJVCk=&amp;WINDOW=FIRST_POPUP&amp;HEIGHT=450&amp;WIDTH=450&amp;","START_MAXIMIZED=FALSE&amp;VAR:CALENDAR=US&amp;VAR:SYMBOL=LPSN&amp;VAR:INDEX=0"}</definedName>
    <definedName name="_711__FDSAUDITLINK__" localSheetId="3" hidden="1">{"fdsup://directions/FAT Viewer?action=UPDATE&amp;creator=factset&amp;DYN_ARGS=TRUE&amp;DOC_NAME=FAT:FQL_AUDITING_CLIENT_TEMPLATE.FAT&amp;display_string=Audit&amp;VAR:KEY=JIVCPKBETK&amp;VAR:QUERY=UkdGX1RBWF9SQVRFKEFOTiwwLCwsLCwsTk9BVURJVCk=&amp;WINDOW=FIRST_POPUP&amp;HEIGHT=450&amp;WIDTH=450&amp;","START_MAXIMIZED=FALSE&amp;VAR:CALENDAR=US&amp;VAR:SYMBOL=LPSN&amp;VAR:INDEX=0"}</definedName>
    <definedName name="_711__FDSAUDITLINK__" localSheetId="7" hidden="1">{"fdsup://directions/FAT Viewer?action=UPDATE&amp;creator=factset&amp;DYN_ARGS=TRUE&amp;DOC_NAME=FAT:FQL_AUDITING_CLIENT_TEMPLATE.FAT&amp;display_string=Audit&amp;VAR:KEY=JIVCPKBETK&amp;VAR:QUERY=UkdGX1RBWF9SQVRFKEFOTiwwLCwsLCwsTk9BVURJVCk=&amp;WINDOW=FIRST_POPUP&amp;HEIGHT=450&amp;WIDTH=450&amp;","START_MAXIMIZED=FALSE&amp;VAR:CALENDAR=US&amp;VAR:SYMBOL=LPSN&amp;VAR:INDEX=0"}</definedName>
    <definedName name="_711__FDSAUDITLINK__" hidden="1">{"fdsup://directions/FAT Viewer?action=UPDATE&amp;creator=factset&amp;DYN_ARGS=TRUE&amp;DOC_NAME=FAT:FQL_AUDITING_CLIENT_TEMPLATE.FAT&amp;display_string=Audit&amp;VAR:KEY=JIVCPKBETK&amp;VAR:QUERY=UkdGX1RBWF9SQVRFKEFOTiwwLCwsLCwsTk9BVURJVCk=&amp;WINDOW=FIRST_POPUP&amp;HEIGHT=450&amp;WIDTH=450&amp;","START_MAXIMIZED=FALSE&amp;VAR:CALENDAR=US&amp;VAR:SYMBOL=LPSN&amp;VAR:INDEX=0"}</definedName>
    <definedName name="_712__FDSAUDITLINK__" localSheetId="3" hidden="1">{"fdsup://directions/FAT Viewer?action=UPDATE&amp;creator=factset&amp;DYN_ARGS=TRUE&amp;DOC_NAME=FAT:FQL_AUDITING_CLIENT_TEMPLATE.FAT&amp;display_string=Audit&amp;VAR:KEY=FCHQZUTKLG&amp;VAR:QUERY=UkdGX1RBWF9SQVRFKEFOTiwwLCwsLCwsTk9BVURJVCk=&amp;WINDOW=FIRST_POPUP&amp;HEIGHT=450&amp;WIDTH=450&amp;","START_MAXIMIZED=FALSE&amp;VAR:CALENDAR=US&amp;VAR:SYMBOL=LIOX&amp;VAR:INDEX=0"}</definedName>
    <definedName name="_712__FDSAUDITLINK__" localSheetId="7" hidden="1">{"fdsup://directions/FAT Viewer?action=UPDATE&amp;creator=factset&amp;DYN_ARGS=TRUE&amp;DOC_NAME=FAT:FQL_AUDITING_CLIENT_TEMPLATE.FAT&amp;display_string=Audit&amp;VAR:KEY=FCHQZUTKLG&amp;VAR:QUERY=UkdGX1RBWF9SQVRFKEFOTiwwLCwsLCwsTk9BVURJVCk=&amp;WINDOW=FIRST_POPUP&amp;HEIGHT=450&amp;WIDTH=450&amp;","START_MAXIMIZED=FALSE&amp;VAR:CALENDAR=US&amp;VAR:SYMBOL=LIOX&amp;VAR:INDEX=0"}</definedName>
    <definedName name="_712__FDSAUDITLINK__" hidden="1">{"fdsup://directions/FAT Viewer?action=UPDATE&amp;creator=factset&amp;DYN_ARGS=TRUE&amp;DOC_NAME=FAT:FQL_AUDITING_CLIENT_TEMPLATE.FAT&amp;display_string=Audit&amp;VAR:KEY=FCHQZUTKLG&amp;VAR:QUERY=UkdGX1RBWF9SQVRFKEFOTiwwLCwsLCwsTk9BVURJVCk=&amp;WINDOW=FIRST_POPUP&amp;HEIGHT=450&amp;WIDTH=450&amp;","START_MAXIMIZED=FALSE&amp;VAR:CALENDAR=US&amp;VAR:SYMBOL=LIOX&amp;VAR:INDEX=0"}</definedName>
    <definedName name="_713__FDSAUDITLINK__" localSheetId="3" hidden="1">{"fdsup://directions/FAT Viewer?action=UPDATE&amp;creator=factset&amp;DYN_ARGS=TRUE&amp;DOC_NAME=FAT:FQL_AUDITING_CLIENT_TEMPLATE.FAT&amp;display_string=Audit&amp;VAR:KEY=FCHQZUTKLG&amp;VAR:QUERY=UkdGX1RBWF9SQVRFKEFOTiwwLCwsLCwsTk9BVURJVCk=&amp;WINDOW=FIRST_POPUP&amp;HEIGHT=450&amp;WIDTH=450&amp;","START_MAXIMIZED=FALSE&amp;VAR:CALENDAR=US&amp;VAR:SYMBOL=LIOX&amp;VAR:INDEX=0"}</definedName>
    <definedName name="_713__FDSAUDITLINK__" localSheetId="7" hidden="1">{"fdsup://directions/FAT Viewer?action=UPDATE&amp;creator=factset&amp;DYN_ARGS=TRUE&amp;DOC_NAME=FAT:FQL_AUDITING_CLIENT_TEMPLATE.FAT&amp;display_string=Audit&amp;VAR:KEY=FCHQZUTKLG&amp;VAR:QUERY=UkdGX1RBWF9SQVRFKEFOTiwwLCwsLCwsTk9BVURJVCk=&amp;WINDOW=FIRST_POPUP&amp;HEIGHT=450&amp;WIDTH=450&amp;","START_MAXIMIZED=FALSE&amp;VAR:CALENDAR=US&amp;VAR:SYMBOL=LIOX&amp;VAR:INDEX=0"}</definedName>
    <definedName name="_713__FDSAUDITLINK__" hidden="1">{"fdsup://directions/FAT Viewer?action=UPDATE&amp;creator=factset&amp;DYN_ARGS=TRUE&amp;DOC_NAME=FAT:FQL_AUDITING_CLIENT_TEMPLATE.FAT&amp;display_string=Audit&amp;VAR:KEY=FCHQZUTKLG&amp;VAR:QUERY=UkdGX1RBWF9SQVRFKEFOTiwwLCwsLCwsTk9BVURJVCk=&amp;WINDOW=FIRST_POPUP&amp;HEIGHT=450&amp;WIDTH=450&amp;","START_MAXIMIZED=FALSE&amp;VAR:CALENDAR=US&amp;VAR:SYMBOL=LIOX&amp;VAR:INDEX=0"}</definedName>
    <definedName name="_714__FDSAUDITLINK__" localSheetId="3" hidden="1">{"fdsup://directions/FAT Viewer?action=UPDATE&amp;creator=factset&amp;DYN_ARGS=TRUE&amp;DOC_NAME=FAT:FQL_AUDITING_CLIENT_TEMPLATE.FAT&amp;display_string=Audit&amp;VAR:KEY=BCZEHGBEXA&amp;VAR:QUERY=UkdGX1RBWF9SQVRFKEFOTiwwLCwsLCwsTk9BVURJVCk=&amp;WINDOW=FIRST_POPUP&amp;HEIGHT=450&amp;WIDTH=450&amp;","START_MAXIMIZED=FALSE&amp;VAR:CALENDAR=US&amp;VAR:SYMBOL=LVLT&amp;VAR:INDEX=0"}</definedName>
    <definedName name="_714__FDSAUDITLINK__" localSheetId="7" hidden="1">{"fdsup://directions/FAT Viewer?action=UPDATE&amp;creator=factset&amp;DYN_ARGS=TRUE&amp;DOC_NAME=FAT:FQL_AUDITING_CLIENT_TEMPLATE.FAT&amp;display_string=Audit&amp;VAR:KEY=BCZEHGBEXA&amp;VAR:QUERY=UkdGX1RBWF9SQVRFKEFOTiwwLCwsLCwsTk9BVURJVCk=&amp;WINDOW=FIRST_POPUP&amp;HEIGHT=450&amp;WIDTH=450&amp;","START_MAXIMIZED=FALSE&amp;VAR:CALENDAR=US&amp;VAR:SYMBOL=LVLT&amp;VAR:INDEX=0"}</definedName>
    <definedName name="_714__FDSAUDITLINK__" hidden="1">{"fdsup://directions/FAT Viewer?action=UPDATE&amp;creator=factset&amp;DYN_ARGS=TRUE&amp;DOC_NAME=FAT:FQL_AUDITING_CLIENT_TEMPLATE.FAT&amp;display_string=Audit&amp;VAR:KEY=BCZEHGBEXA&amp;VAR:QUERY=UkdGX1RBWF9SQVRFKEFOTiwwLCwsLCwsTk9BVURJVCk=&amp;WINDOW=FIRST_POPUP&amp;HEIGHT=450&amp;WIDTH=450&amp;","START_MAXIMIZED=FALSE&amp;VAR:CALENDAR=US&amp;VAR:SYMBOL=LVLT&amp;VAR:INDEX=0"}</definedName>
    <definedName name="_715__FDSAUDITLINK__" localSheetId="3" hidden="1">{"fdsup://directions/FAT Viewer?action=UPDATE&amp;creator=factset&amp;DYN_ARGS=TRUE&amp;DOC_NAME=FAT:FQL_AUDITING_CLIENT_TEMPLATE.FAT&amp;display_string=Audit&amp;VAR:KEY=VETYHSVCPM&amp;VAR:QUERY=UkdGX1RBWF9SQVRFKEFOTiwwLCwsLCwsTk9BVURJVCk=&amp;WINDOW=FIRST_POPUP&amp;HEIGHT=450&amp;WIDTH=450&amp;","START_MAXIMIZED=FALSE&amp;VAR:CALENDAR=US&amp;VAR:SYMBOL=712125&amp;VAR:INDEX=0"}</definedName>
    <definedName name="_715__FDSAUDITLINK__" localSheetId="7" hidden="1">{"fdsup://directions/FAT Viewer?action=UPDATE&amp;creator=factset&amp;DYN_ARGS=TRUE&amp;DOC_NAME=FAT:FQL_AUDITING_CLIENT_TEMPLATE.FAT&amp;display_string=Audit&amp;VAR:KEY=VETYHSVCPM&amp;VAR:QUERY=UkdGX1RBWF9SQVRFKEFOTiwwLCwsLCwsTk9BVURJVCk=&amp;WINDOW=FIRST_POPUP&amp;HEIGHT=450&amp;WIDTH=450&amp;","START_MAXIMIZED=FALSE&amp;VAR:CALENDAR=US&amp;VAR:SYMBOL=712125&amp;VAR:INDEX=0"}</definedName>
    <definedName name="_715__FDSAUDITLINK__" hidden="1">{"fdsup://directions/FAT Viewer?action=UPDATE&amp;creator=factset&amp;DYN_ARGS=TRUE&amp;DOC_NAME=FAT:FQL_AUDITING_CLIENT_TEMPLATE.FAT&amp;display_string=Audit&amp;VAR:KEY=VETYHSVCPM&amp;VAR:QUERY=UkdGX1RBWF9SQVRFKEFOTiwwLCwsLCwsTk9BVURJVCk=&amp;WINDOW=FIRST_POPUP&amp;HEIGHT=450&amp;WIDTH=450&amp;","START_MAXIMIZED=FALSE&amp;VAR:CALENDAR=US&amp;VAR:SYMBOL=712125&amp;VAR:INDEX=0"}</definedName>
    <definedName name="_716__FDSAUDITLINK__" localSheetId="3" hidden="1">{"fdsup://directions/FAT Viewer?action=UPDATE&amp;creator=factset&amp;DYN_ARGS=TRUE&amp;DOC_NAME=FAT:FQL_AUDITING_CLIENT_TEMPLATE.FAT&amp;display_string=Audit&amp;VAR:KEY=VETYHSVCPM&amp;VAR:QUERY=UkdGX1RBWF9SQVRFKEFOTiwwLCwsLCwsTk9BVURJVCk=&amp;WINDOW=FIRST_POPUP&amp;HEIGHT=450&amp;WIDTH=450&amp;","START_MAXIMIZED=FALSE&amp;VAR:CALENDAR=US&amp;VAR:SYMBOL=712125&amp;VAR:INDEX=0"}</definedName>
    <definedName name="_716__FDSAUDITLINK__" localSheetId="7" hidden="1">{"fdsup://directions/FAT Viewer?action=UPDATE&amp;creator=factset&amp;DYN_ARGS=TRUE&amp;DOC_NAME=FAT:FQL_AUDITING_CLIENT_TEMPLATE.FAT&amp;display_string=Audit&amp;VAR:KEY=VETYHSVCPM&amp;VAR:QUERY=UkdGX1RBWF9SQVRFKEFOTiwwLCwsLCwsTk9BVURJVCk=&amp;WINDOW=FIRST_POPUP&amp;HEIGHT=450&amp;WIDTH=450&amp;","START_MAXIMIZED=FALSE&amp;VAR:CALENDAR=US&amp;VAR:SYMBOL=712125&amp;VAR:INDEX=0"}</definedName>
    <definedName name="_716__FDSAUDITLINK__" hidden="1">{"fdsup://directions/FAT Viewer?action=UPDATE&amp;creator=factset&amp;DYN_ARGS=TRUE&amp;DOC_NAME=FAT:FQL_AUDITING_CLIENT_TEMPLATE.FAT&amp;display_string=Audit&amp;VAR:KEY=VETYHSVCPM&amp;VAR:QUERY=UkdGX1RBWF9SQVRFKEFOTiwwLCwsLCwsTk9BVURJVCk=&amp;WINDOW=FIRST_POPUP&amp;HEIGHT=450&amp;WIDTH=450&amp;","START_MAXIMIZED=FALSE&amp;VAR:CALENDAR=US&amp;VAR:SYMBOL=712125&amp;VAR:INDEX=0"}</definedName>
    <definedName name="_717__FDSAUDITLINK__" localSheetId="3" hidden="1">{"fdsup://directions/FAT Viewer?action=UPDATE&amp;creator=factset&amp;DYN_ARGS=TRUE&amp;DOC_NAME=FAT:FQL_AUDITING_CLIENT_TEMPLATE.FAT&amp;display_string=Audit&amp;VAR:KEY=LONOREZIRS&amp;VAR:QUERY=UkdGX1RBWF9SQVRFKEFOTiwwLCwsLCwsTk9BVURJVCk=&amp;WINDOW=FIRST_POPUP&amp;HEIGHT=450&amp;WIDTH=450&amp;","START_MAXIMIZED=FALSE&amp;VAR:CALENDAR=US&amp;VAR:SYMBOL=KNXA&amp;VAR:INDEX=0"}</definedName>
    <definedName name="_717__FDSAUDITLINK__" localSheetId="7" hidden="1">{"fdsup://directions/FAT Viewer?action=UPDATE&amp;creator=factset&amp;DYN_ARGS=TRUE&amp;DOC_NAME=FAT:FQL_AUDITING_CLIENT_TEMPLATE.FAT&amp;display_string=Audit&amp;VAR:KEY=LONOREZIRS&amp;VAR:QUERY=UkdGX1RBWF9SQVRFKEFOTiwwLCwsLCwsTk9BVURJVCk=&amp;WINDOW=FIRST_POPUP&amp;HEIGHT=450&amp;WIDTH=450&amp;","START_MAXIMIZED=FALSE&amp;VAR:CALENDAR=US&amp;VAR:SYMBOL=KNXA&amp;VAR:INDEX=0"}</definedName>
    <definedName name="_717__FDSAUDITLINK__" hidden="1">{"fdsup://directions/FAT Viewer?action=UPDATE&amp;creator=factset&amp;DYN_ARGS=TRUE&amp;DOC_NAME=FAT:FQL_AUDITING_CLIENT_TEMPLATE.FAT&amp;display_string=Audit&amp;VAR:KEY=LONOREZIRS&amp;VAR:QUERY=UkdGX1RBWF9SQVRFKEFOTiwwLCwsLCwsTk9BVURJVCk=&amp;WINDOW=FIRST_POPUP&amp;HEIGHT=450&amp;WIDTH=450&amp;","START_MAXIMIZED=FALSE&amp;VAR:CALENDAR=US&amp;VAR:SYMBOL=KNXA&amp;VAR:INDEX=0"}</definedName>
    <definedName name="_718__FDSAUDITLINK__" localSheetId="3" hidden="1">{"fdsup://directions/FAT Viewer?action=UPDATE&amp;creator=factset&amp;DYN_ARGS=TRUE&amp;DOC_NAME=FAT:FQL_AUDITING_CLIENT_TEMPLATE.FAT&amp;display_string=Audit&amp;VAR:KEY=NIXAHETULU&amp;VAR:QUERY=UkdGX1RBWF9SQVRFKEFOTiwwLCwsLCwsTk9BVURJVCk=&amp;WINDOW=FIRST_POPUP&amp;HEIGHT=450&amp;WIDTH=450&amp;","START_MAXIMIZED=FALSE&amp;VAR:CALENDAR=US&amp;VAR:SYMBOL=JUPM&amp;VAR:INDEX=0"}</definedName>
    <definedName name="_718__FDSAUDITLINK__" localSheetId="7" hidden="1">{"fdsup://directions/FAT Viewer?action=UPDATE&amp;creator=factset&amp;DYN_ARGS=TRUE&amp;DOC_NAME=FAT:FQL_AUDITING_CLIENT_TEMPLATE.FAT&amp;display_string=Audit&amp;VAR:KEY=NIXAHETULU&amp;VAR:QUERY=UkdGX1RBWF9SQVRFKEFOTiwwLCwsLCwsTk9BVURJVCk=&amp;WINDOW=FIRST_POPUP&amp;HEIGHT=450&amp;WIDTH=450&amp;","START_MAXIMIZED=FALSE&amp;VAR:CALENDAR=US&amp;VAR:SYMBOL=JUPM&amp;VAR:INDEX=0"}</definedName>
    <definedName name="_718__FDSAUDITLINK__" hidden="1">{"fdsup://directions/FAT Viewer?action=UPDATE&amp;creator=factset&amp;DYN_ARGS=TRUE&amp;DOC_NAME=FAT:FQL_AUDITING_CLIENT_TEMPLATE.FAT&amp;display_string=Audit&amp;VAR:KEY=NIXAHETULU&amp;VAR:QUERY=UkdGX1RBWF9SQVRFKEFOTiwwLCwsLCwsTk9BVURJVCk=&amp;WINDOW=FIRST_POPUP&amp;HEIGHT=450&amp;WIDTH=450&amp;","START_MAXIMIZED=FALSE&amp;VAR:CALENDAR=US&amp;VAR:SYMBOL=JUPM&amp;VAR:INDEX=0"}</definedName>
    <definedName name="_719__FDSAUDITLINK__" localSheetId="3" hidden="1">{"fdsup://directions/FAT Viewer?action=UPDATE&amp;creator=factset&amp;DYN_ARGS=TRUE&amp;DOC_NAME=FAT:FQL_AUDITING_CLIENT_TEMPLATE.FAT&amp;display_string=Audit&amp;VAR:KEY=PSFAZSVWFC&amp;VAR:QUERY=UkdGX1RBWF9SQVRFKEFOTiwwLCwsLCwsTk9BVURJVCk=&amp;WINDOW=FIRST_POPUP&amp;HEIGHT=450&amp;WIDTH=450&amp;","START_MAXIMIZED=FALSE&amp;VAR:CALENDAR=US&amp;VAR:SYMBOL=JDAS&amp;VAR:INDEX=0"}</definedName>
    <definedName name="_719__FDSAUDITLINK__" localSheetId="7" hidden="1">{"fdsup://directions/FAT Viewer?action=UPDATE&amp;creator=factset&amp;DYN_ARGS=TRUE&amp;DOC_NAME=FAT:FQL_AUDITING_CLIENT_TEMPLATE.FAT&amp;display_string=Audit&amp;VAR:KEY=PSFAZSVWFC&amp;VAR:QUERY=UkdGX1RBWF9SQVRFKEFOTiwwLCwsLCwsTk9BVURJVCk=&amp;WINDOW=FIRST_POPUP&amp;HEIGHT=450&amp;WIDTH=450&amp;","START_MAXIMIZED=FALSE&amp;VAR:CALENDAR=US&amp;VAR:SYMBOL=JDAS&amp;VAR:INDEX=0"}</definedName>
    <definedName name="_719__FDSAUDITLINK__" hidden="1">{"fdsup://directions/FAT Viewer?action=UPDATE&amp;creator=factset&amp;DYN_ARGS=TRUE&amp;DOC_NAME=FAT:FQL_AUDITING_CLIENT_TEMPLATE.FAT&amp;display_string=Audit&amp;VAR:KEY=PSFAZSVWFC&amp;VAR:QUERY=UkdGX1RBWF9SQVRFKEFOTiwwLCwsLCwsTk9BVURJVCk=&amp;WINDOW=FIRST_POPUP&amp;HEIGHT=450&amp;WIDTH=450&amp;","START_MAXIMIZED=FALSE&amp;VAR:CALENDAR=US&amp;VAR:SYMBOL=JDAS&amp;VAR:INDEX=0"}</definedName>
    <definedName name="_72__FDSAUDITLINK__" localSheetId="3" hidden="1">{"fdsup://directions/FAT Viewer?action=UPDATE&amp;creator=factset&amp;DYN_ARGS=TRUE&amp;DOC_NAME=FAT:FQL_AUDITING_CLIENT_TEMPLATE.FAT&amp;display_string=Audit&amp;VAR:KEY=WRWDGPWNEF&amp;VAR:QUERY=RkZfTkVUX0lOQyhMVE0sMCwsLCwsTSk=&amp;WINDOW=FIRST_POPUP&amp;HEIGHT=450&amp;WIDTH=450&amp;START_MAXIMI","ZED=FALSE&amp;VAR:CALENDAR=US&amp;VAR:SYMBOL=B128R9&amp;VAR:INDEX=0"}</definedName>
    <definedName name="_72__FDSAUDITLINK__" localSheetId="7" hidden="1">{"fdsup://directions/FAT Viewer?action=UPDATE&amp;creator=factset&amp;DYN_ARGS=TRUE&amp;DOC_NAME=FAT:FQL_AUDITING_CLIENT_TEMPLATE.FAT&amp;display_string=Audit&amp;VAR:KEY=WRWDGPWNEF&amp;VAR:QUERY=RkZfTkVUX0lOQyhMVE0sMCwsLCwsTSk=&amp;WINDOW=FIRST_POPUP&amp;HEIGHT=450&amp;WIDTH=450&amp;START_MAXIMI","ZED=FALSE&amp;VAR:CALENDAR=US&amp;VAR:SYMBOL=B128R9&amp;VAR:INDEX=0"}</definedName>
    <definedName name="_72__FDSAUDITLINK__" hidden="1">{"fdsup://directions/FAT Viewer?action=UPDATE&amp;creator=factset&amp;DYN_ARGS=TRUE&amp;DOC_NAME=FAT:FQL_AUDITING_CLIENT_TEMPLATE.FAT&amp;display_string=Audit&amp;VAR:KEY=WRWDGPWNEF&amp;VAR:QUERY=RkZfTkVUX0lOQyhMVE0sMCwsLCwsTSk=&amp;WINDOW=FIRST_POPUP&amp;HEIGHT=450&amp;WIDTH=450&amp;START_MAXIMI","ZED=FALSE&amp;VAR:CALENDAR=US&amp;VAR:SYMBOL=B128R9&amp;VAR:INDEX=0"}</definedName>
    <definedName name="_720__FDSAUDITLINK__" localSheetId="3" hidden="1">{"fdsup://directions/FAT Viewer?action=UPDATE&amp;creator=factset&amp;DYN_ARGS=TRUE&amp;DOC_NAME=FAT:FQL_AUDITING_CLIENT_TEMPLATE.FAT&amp;display_string=Audit&amp;VAR:KEY=PSFAZSVWFC&amp;VAR:QUERY=UkdGX1RBWF9SQVRFKEFOTiwwLCwsLCwsTk9BVURJVCk=&amp;WINDOW=FIRST_POPUP&amp;HEIGHT=450&amp;WIDTH=450&amp;","START_MAXIMIZED=FALSE&amp;VAR:CALENDAR=US&amp;VAR:SYMBOL=JDAS&amp;VAR:INDEX=0"}</definedName>
    <definedName name="_720__FDSAUDITLINK__" localSheetId="7" hidden="1">{"fdsup://directions/FAT Viewer?action=UPDATE&amp;creator=factset&amp;DYN_ARGS=TRUE&amp;DOC_NAME=FAT:FQL_AUDITING_CLIENT_TEMPLATE.FAT&amp;display_string=Audit&amp;VAR:KEY=PSFAZSVWFC&amp;VAR:QUERY=UkdGX1RBWF9SQVRFKEFOTiwwLCwsLCwsTk9BVURJVCk=&amp;WINDOW=FIRST_POPUP&amp;HEIGHT=450&amp;WIDTH=450&amp;","START_MAXIMIZED=FALSE&amp;VAR:CALENDAR=US&amp;VAR:SYMBOL=JDAS&amp;VAR:INDEX=0"}</definedName>
    <definedName name="_720__FDSAUDITLINK__" hidden="1">{"fdsup://directions/FAT Viewer?action=UPDATE&amp;creator=factset&amp;DYN_ARGS=TRUE&amp;DOC_NAME=FAT:FQL_AUDITING_CLIENT_TEMPLATE.FAT&amp;display_string=Audit&amp;VAR:KEY=PSFAZSVWFC&amp;VAR:QUERY=UkdGX1RBWF9SQVRFKEFOTiwwLCwsLCwsTk9BVURJVCk=&amp;WINDOW=FIRST_POPUP&amp;HEIGHT=450&amp;WIDTH=450&amp;","START_MAXIMIZED=FALSE&amp;VAR:CALENDAR=US&amp;VAR:SYMBOL=JDAS&amp;VAR:INDEX=0"}</definedName>
    <definedName name="_721__FDSAUDITLINK__" localSheetId="3" hidden="1">{"fdsup://directions/FAT Viewer?action=UPDATE&amp;creator=factset&amp;DYN_ARGS=TRUE&amp;DOC_NAME=FAT:FQL_AUDITING_CLIENT_TEMPLATE.FAT&amp;display_string=Audit&amp;VAR:KEY=RGRWTEBUVS&amp;VAR:QUERY=UkdGX1RBWF9SQVRFKEFOTiwwLCwsLCwsTk9BVURJVCk=&amp;WINDOW=FIRST_POPUP&amp;HEIGHT=450&amp;WIDTH=450&amp;","START_MAXIMIZED=FALSE&amp;VAR:CALENDAR=US&amp;VAR:SYMBOL=B188NJ&amp;VAR:INDEX=0"}</definedName>
    <definedName name="_721__FDSAUDITLINK__" localSheetId="7" hidden="1">{"fdsup://directions/FAT Viewer?action=UPDATE&amp;creator=factset&amp;DYN_ARGS=TRUE&amp;DOC_NAME=FAT:FQL_AUDITING_CLIENT_TEMPLATE.FAT&amp;display_string=Audit&amp;VAR:KEY=RGRWTEBUVS&amp;VAR:QUERY=UkdGX1RBWF9SQVRFKEFOTiwwLCwsLCwsTk9BVURJVCk=&amp;WINDOW=FIRST_POPUP&amp;HEIGHT=450&amp;WIDTH=450&amp;","START_MAXIMIZED=FALSE&amp;VAR:CALENDAR=US&amp;VAR:SYMBOL=B188NJ&amp;VAR:INDEX=0"}</definedName>
    <definedName name="_721__FDSAUDITLINK__" hidden="1">{"fdsup://directions/FAT Viewer?action=UPDATE&amp;creator=factset&amp;DYN_ARGS=TRUE&amp;DOC_NAME=FAT:FQL_AUDITING_CLIENT_TEMPLATE.FAT&amp;display_string=Audit&amp;VAR:KEY=RGRWTEBUVS&amp;VAR:QUERY=UkdGX1RBWF9SQVRFKEFOTiwwLCwsLCwsTk9BVURJVCk=&amp;WINDOW=FIRST_POPUP&amp;HEIGHT=450&amp;WIDTH=450&amp;","START_MAXIMIZED=FALSE&amp;VAR:CALENDAR=US&amp;VAR:SYMBOL=B188NJ&amp;VAR:INDEX=0"}</definedName>
    <definedName name="_722__FDSAUDITLINK__" localSheetId="3" hidden="1">{"fdsup://directions/FAT Viewer?action=UPDATE&amp;creator=factset&amp;DYN_ARGS=TRUE&amp;DOC_NAME=FAT:FQL_AUDITING_CLIENT_TEMPLATE.FAT&amp;display_string=Audit&amp;VAR:KEY=RGRWTEBUVS&amp;VAR:QUERY=UkdGX1RBWF9SQVRFKEFOTiwwLCwsLCwsTk9BVURJVCk=&amp;WINDOW=FIRST_POPUP&amp;HEIGHT=450&amp;WIDTH=450&amp;","START_MAXIMIZED=FALSE&amp;VAR:CALENDAR=US&amp;VAR:SYMBOL=B188NJ&amp;VAR:INDEX=0"}</definedName>
    <definedName name="_722__FDSAUDITLINK__" localSheetId="7" hidden="1">{"fdsup://directions/FAT Viewer?action=UPDATE&amp;creator=factset&amp;DYN_ARGS=TRUE&amp;DOC_NAME=FAT:FQL_AUDITING_CLIENT_TEMPLATE.FAT&amp;display_string=Audit&amp;VAR:KEY=RGRWTEBUVS&amp;VAR:QUERY=UkdGX1RBWF9SQVRFKEFOTiwwLCwsLCwsTk9BVURJVCk=&amp;WINDOW=FIRST_POPUP&amp;HEIGHT=450&amp;WIDTH=450&amp;","START_MAXIMIZED=FALSE&amp;VAR:CALENDAR=US&amp;VAR:SYMBOL=B188NJ&amp;VAR:INDEX=0"}</definedName>
    <definedName name="_722__FDSAUDITLINK__" hidden="1">{"fdsup://directions/FAT Viewer?action=UPDATE&amp;creator=factset&amp;DYN_ARGS=TRUE&amp;DOC_NAME=FAT:FQL_AUDITING_CLIENT_TEMPLATE.FAT&amp;display_string=Audit&amp;VAR:KEY=RGRWTEBUVS&amp;VAR:QUERY=UkdGX1RBWF9SQVRFKEFOTiwwLCwsLCwsTk9BVURJVCk=&amp;WINDOW=FIRST_POPUP&amp;HEIGHT=450&amp;WIDTH=450&amp;","START_MAXIMIZED=FALSE&amp;VAR:CALENDAR=US&amp;VAR:SYMBOL=B188NJ&amp;VAR:INDEX=0"}</definedName>
    <definedName name="_723__FDSAUDITLINK__" localSheetId="3" hidden="1">{"fdsup://directions/FAT Viewer?action=UPDATE&amp;creator=factset&amp;DYN_ARGS=TRUE&amp;DOC_NAME=FAT:FQL_AUDITING_CLIENT_TEMPLATE.FAT&amp;display_string=Audit&amp;VAR:KEY=RMFGXGNOXE&amp;VAR:QUERY=UkdGX1RBWF9SQVRFKEFOTiwwLCwsLCwsTk9BVURJVCk=&amp;WINDOW=FIRST_POPUP&amp;HEIGHT=450&amp;WIDTH=450&amp;","START_MAXIMIZED=FALSE&amp;VAR:CALENDAR=US&amp;VAR:SYMBOL=IL&amp;VAR:INDEX=0"}</definedName>
    <definedName name="_723__FDSAUDITLINK__" localSheetId="7" hidden="1">{"fdsup://directions/FAT Viewer?action=UPDATE&amp;creator=factset&amp;DYN_ARGS=TRUE&amp;DOC_NAME=FAT:FQL_AUDITING_CLIENT_TEMPLATE.FAT&amp;display_string=Audit&amp;VAR:KEY=RMFGXGNOXE&amp;VAR:QUERY=UkdGX1RBWF9SQVRFKEFOTiwwLCwsLCwsTk9BVURJVCk=&amp;WINDOW=FIRST_POPUP&amp;HEIGHT=450&amp;WIDTH=450&amp;","START_MAXIMIZED=FALSE&amp;VAR:CALENDAR=US&amp;VAR:SYMBOL=IL&amp;VAR:INDEX=0"}</definedName>
    <definedName name="_723__FDSAUDITLINK__" hidden="1">{"fdsup://directions/FAT Viewer?action=UPDATE&amp;creator=factset&amp;DYN_ARGS=TRUE&amp;DOC_NAME=FAT:FQL_AUDITING_CLIENT_TEMPLATE.FAT&amp;display_string=Audit&amp;VAR:KEY=RMFGXGNOXE&amp;VAR:QUERY=UkdGX1RBWF9SQVRFKEFOTiwwLCwsLCwsTk9BVURJVCk=&amp;WINDOW=FIRST_POPUP&amp;HEIGHT=450&amp;WIDTH=450&amp;","START_MAXIMIZED=FALSE&amp;VAR:CALENDAR=US&amp;VAR:SYMBOL=IL&amp;VAR:INDEX=0"}</definedName>
    <definedName name="_724__FDSAUDITLINK__" localSheetId="3" hidden="1">{"fdsup://directions/FAT Viewer?action=UPDATE&amp;creator=factset&amp;DYN_ARGS=TRUE&amp;DOC_NAME=FAT:FQL_AUDITING_CLIENT_TEMPLATE.FAT&amp;display_string=Audit&amp;VAR:KEY=VOHOVYRCJM&amp;VAR:QUERY=UkdGX1RBWF9SQVRFKEFOTiwwLCwsLCwsTk9BVURJVCk=&amp;WINDOW=FIRST_POPUP&amp;HEIGHT=450&amp;WIDTH=450&amp;","START_MAXIMIZED=FALSE&amp;VAR:CALENDAR=US&amp;VAR:SYMBOL=INAP&amp;VAR:INDEX=0"}</definedName>
    <definedName name="_724__FDSAUDITLINK__" localSheetId="7" hidden="1">{"fdsup://directions/FAT Viewer?action=UPDATE&amp;creator=factset&amp;DYN_ARGS=TRUE&amp;DOC_NAME=FAT:FQL_AUDITING_CLIENT_TEMPLATE.FAT&amp;display_string=Audit&amp;VAR:KEY=VOHOVYRCJM&amp;VAR:QUERY=UkdGX1RBWF9SQVRFKEFOTiwwLCwsLCwsTk9BVURJVCk=&amp;WINDOW=FIRST_POPUP&amp;HEIGHT=450&amp;WIDTH=450&amp;","START_MAXIMIZED=FALSE&amp;VAR:CALENDAR=US&amp;VAR:SYMBOL=INAP&amp;VAR:INDEX=0"}</definedName>
    <definedName name="_724__FDSAUDITLINK__" hidden="1">{"fdsup://directions/FAT Viewer?action=UPDATE&amp;creator=factset&amp;DYN_ARGS=TRUE&amp;DOC_NAME=FAT:FQL_AUDITING_CLIENT_TEMPLATE.FAT&amp;display_string=Audit&amp;VAR:KEY=VOHOVYRCJM&amp;VAR:QUERY=UkdGX1RBWF9SQVRFKEFOTiwwLCwsLCwsTk9BVURJVCk=&amp;WINDOW=FIRST_POPUP&amp;HEIGHT=450&amp;WIDTH=450&amp;","START_MAXIMIZED=FALSE&amp;VAR:CALENDAR=US&amp;VAR:SYMBOL=INAP&amp;VAR:INDEX=0"}</definedName>
    <definedName name="_725__FDSAUDITLINK__" localSheetId="3" hidden="1">{"fdsup://directions/FAT Viewer?action=UPDATE&amp;creator=factset&amp;DYN_ARGS=TRUE&amp;DOC_NAME=FAT:FQL_AUDITING_CLIENT_TEMPLATE.FAT&amp;display_string=Audit&amp;VAR:KEY=FGHSBEPUBY&amp;VAR:QUERY=UkdGX1RBWF9SQVRFKEFOTiwwLCwsLCwsTk9BVURJVCk=&amp;WINDOW=FIRST_POPUP&amp;HEIGHT=450&amp;WIDTH=450&amp;","START_MAXIMIZED=FALSE&amp;VAR:CALENDAR=US&amp;VAR:SYMBOL=401870&amp;VAR:INDEX=0"}</definedName>
    <definedName name="_725__FDSAUDITLINK__" localSheetId="7" hidden="1">{"fdsup://directions/FAT Viewer?action=UPDATE&amp;creator=factset&amp;DYN_ARGS=TRUE&amp;DOC_NAME=FAT:FQL_AUDITING_CLIENT_TEMPLATE.FAT&amp;display_string=Audit&amp;VAR:KEY=FGHSBEPUBY&amp;VAR:QUERY=UkdGX1RBWF9SQVRFKEFOTiwwLCwsLCwsTk9BVURJVCk=&amp;WINDOW=FIRST_POPUP&amp;HEIGHT=450&amp;WIDTH=450&amp;","START_MAXIMIZED=FALSE&amp;VAR:CALENDAR=US&amp;VAR:SYMBOL=401870&amp;VAR:INDEX=0"}</definedName>
    <definedName name="_725__FDSAUDITLINK__" hidden="1">{"fdsup://directions/FAT Viewer?action=UPDATE&amp;creator=factset&amp;DYN_ARGS=TRUE&amp;DOC_NAME=FAT:FQL_AUDITING_CLIENT_TEMPLATE.FAT&amp;display_string=Audit&amp;VAR:KEY=FGHSBEPUBY&amp;VAR:QUERY=UkdGX1RBWF9SQVRFKEFOTiwwLCwsLCwsTk9BVURJVCk=&amp;WINDOW=FIRST_POPUP&amp;HEIGHT=450&amp;WIDTH=450&amp;","START_MAXIMIZED=FALSE&amp;VAR:CALENDAR=US&amp;VAR:SYMBOL=401870&amp;VAR:INDEX=0"}</definedName>
    <definedName name="_726__FDSAUDITLINK__" localSheetId="3" hidden="1">{"fdsup://directions/FAT Viewer?action=UPDATE&amp;creator=factset&amp;DYN_ARGS=TRUE&amp;DOC_NAME=FAT:FQL_AUDITING_CLIENT_TEMPLATE.FAT&amp;display_string=Audit&amp;VAR:KEY=FGHSBEPUBY&amp;VAR:QUERY=UkdGX1RBWF9SQVRFKEFOTiwwLCwsLCwsTk9BVURJVCk=&amp;WINDOW=FIRST_POPUP&amp;HEIGHT=450&amp;WIDTH=450&amp;","START_MAXIMIZED=FALSE&amp;VAR:CALENDAR=US&amp;VAR:SYMBOL=401870&amp;VAR:INDEX=0"}</definedName>
    <definedName name="_726__FDSAUDITLINK__" localSheetId="7" hidden="1">{"fdsup://directions/FAT Viewer?action=UPDATE&amp;creator=factset&amp;DYN_ARGS=TRUE&amp;DOC_NAME=FAT:FQL_AUDITING_CLIENT_TEMPLATE.FAT&amp;display_string=Audit&amp;VAR:KEY=FGHSBEPUBY&amp;VAR:QUERY=UkdGX1RBWF9SQVRFKEFOTiwwLCwsLCwsTk9BVURJVCk=&amp;WINDOW=FIRST_POPUP&amp;HEIGHT=450&amp;WIDTH=450&amp;","START_MAXIMIZED=FALSE&amp;VAR:CALENDAR=US&amp;VAR:SYMBOL=401870&amp;VAR:INDEX=0"}</definedName>
    <definedName name="_726__FDSAUDITLINK__" hidden="1">{"fdsup://directions/FAT Viewer?action=UPDATE&amp;creator=factset&amp;DYN_ARGS=TRUE&amp;DOC_NAME=FAT:FQL_AUDITING_CLIENT_TEMPLATE.FAT&amp;display_string=Audit&amp;VAR:KEY=FGHSBEPUBY&amp;VAR:QUERY=UkdGX1RBWF9SQVRFKEFOTiwwLCwsLCwsTk9BVURJVCk=&amp;WINDOW=FIRST_POPUP&amp;HEIGHT=450&amp;WIDTH=450&amp;","START_MAXIMIZED=FALSE&amp;VAR:CALENDAR=US&amp;VAR:SYMBOL=401870&amp;VAR:INDEX=0"}</definedName>
    <definedName name="_727__FDSAUDITLINK__" localSheetId="3" hidden="1">{"fdsup://directions/FAT Viewer?action=UPDATE&amp;creator=factset&amp;DYN_ARGS=TRUE&amp;DOC_NAME=FAT:FQL_AUDITING_CLIENT_TEMPLATE.FAT&amp;display_string=Audit&amp;VAR:KEY=ZUJOPCFMFO&amp;VAR:QUERY=UkdGX1RBWF9SQVRFKEFOTiwwLCwsLCwsTk9BVURJVCk=&amp;WINDOW=FIRST_POPUP&amp;HEIGHT=450&amp;WIDTH=450&amp;","START_MAXIMIZED=FALSE&amp;VAR:CALENDAR=US&amp;VAR:SYMBOL=INFA&amp;VAR:INDEX=0"}</definedName>
    <definedName name="_727__FDSAUDITLINK__" localSheetId="7" hidden="1">{"fdsup://directions/FAT Viewer?action=UPDATE&amp;creator=factset&amp;DYN_ARGS=TRUE&amp;DOC_NAME=FAT:FQL_AUDITING_CLIENT_TEMPLATE.FAT&amp;display_string=Audit&amp;VAR:KEY=ZUJOPCFMFO&amp;VAR:QUERY=UkdGX1RBWF9SQVRFKEFOTiwwLCwsLCwsTk9BVURJVCk=&amp;WINDOW=FIRST_POPUP&amp;HEIGHT=450&amp;WIDTH=450&amp;","START_MAXIMIZED=FALSE&amp;VAR:CALENDAR=US&amp;VAR:SYMBOL=INFA&amp;VAR:INDEX=0"}</definedName>
    <definedName name="_727__FDSAUDITLINK__" hidden="1">{"fdsup://directions/FAT Viewer?action=UPDATE&amp;creator=factset&amp;DYN_ARGS=TRUE&amp;DOC_NAME=FAT:FQL_AUDITING_CLIENT_TEMPLATE.FAT&amp;display_string=Audit&amp;VAR:KEY=ZUJOPCFMFO&amp;VAR:QUERY=UkdGX1RBWF9SQVRFKEFOTiwwLCwsLCwsTk9BVURJVCk=&amp;WINDOW=FIRST_POPUP&amp;HEIGHT=450&amp;WIDTH=450&amp;","START_MAXIMIZED=FALSE&amp;VAR:CALENDAR=US&amp;VAR:SYMBOL=INFA&amp;VAR:INDEX=0"}</definedName>
    <definedName name="_728__FDSAUDITLINK__" localSheetId="3" hidden="1">{"fdsup://directions/FAT Viewer?action=UPDATE&amp;creator=factset&amp;DYN_ARGS=TRUE&amp;DOC_NAME=FAT:FQL_AUDITING_CLIENT_TEMPLATE.FAT&amp;display_string=Audit&amp;VAR:KEY=ZUJOPCFMFO&amp;VAR:QUERY=UkdGX1RBWF9SQVRFKEFOTiwwLCwsLCwsTk9BVURJVCk=&amp;WINDOW=FIRST_POPUP&amp;HEIGHT=450&amp;WIDTH=450&amp;","START_MAXIMIZED=FALSE&amp;VAR:CALENDAR=US&amp;VAR:SYMBOL=INFA&amp;VAR:INDEX=0"}</definedName>
    <definedName name="_728__FDSAUDITLINK__" localSheetId="7" hidden="1">{"fdsup://directions/FAT Viewer?action=UPDATE&amp;creator=factset&amp;DYN_ARGS=TRUE&amp;DOC_NAME=FAT:FQL_AUDITING_CLIENT_TEMPLATE.FAT&amp;display_string=Audit&amp;VAR:KEY=ZUJOPCFMFO&amp;VAR:QUERY=UkdGX1RBWF9SQVRFKEFOTiwwLCwsLCwsTk9BVURJVCk=&amp;WINDOW=FIRST_POPUP&amp;HEIGHT=450&amp;WIDTH=450&amp;","START_MAXIMIZED=FALSE&amp;VAR:CALENDAR=US&amp;VAR:SYMBOL=INFA&amp;VAR:INDEX=0"}</definedName>
    <definedName name="_728__FDSAUDITLINK__" hidden="1">{"fdsup://directions/FAT Viewer?action=UPDATE&amp;creator=factset&amp;DYN_ARGS=TRUE&amp;DOC_NAME=FAT:FQL_AUDITING_CLIENT_TEMPLATE.FAT&amp;display_string=Audit&amp;VAR:KEY=ZUJOPCFMFO&amp;VAR:QUERY=UkdGX1RBWF9SQVRFKEFOTiwwLCwsLCwsTk9BVURJVCk=&amp;WINDOW=FIRST_POPUP&amp;HEIGHT=450&amp;WIDTH=450&amp;","START_MAXIMIZED=FALSE&amp;VAR:CALENDAR=US&amp;VAR:SYMBOL=INFA&amp;VAR:INDEX=0"}</definedName>
    <definedName name="_729__FDSAUDITLINK__" localSheetId="3" hidden="1">{"fdsup://directions/FAT Viewer?action=UPDATE&amp;creator=factset&amp;DYN_ARGS=TRUE&amp;DOC_NAME=FAT:FQL_AUDITING_CLIENT_TEMPLATE.FAT&amp;display_string=Audit&amp;VAR:KEY=FQLIVQDSXI&amp;VAR:QUERY=UkdGX1RBWF9SQVRFKEFOTiwwLCwsLCwsTk9BVURJVCk=&amp;WINDOW=FIRST_POPUP&amp;HEIGHT=450&amp;WIDTH=450&amp;","START_MAXIMIZED=FALSE&amp;VAR:CALENDAR=US&amp;VAR:SYMBOL=IRM&amp;VAR:INDEX=0"}</definedName>
    <definedName name="_729__FDSAUDITLINK__" localSheetId="7" hidden="1">{"fdsup://directions/FAT Viewer?action=UPDATE&amp;creator=factset&amp;DYN_ARGS=TRUE&amp;DOC_NAME=FAT:FQL_AUDITING_CLIENT_TEMPLATE.FAT&amp;display_string=Audit&amp;VAR:KEY=FQLIVQDSXI&amp;VAR:QUERY=UkdGX1RBWF9SQVRFKEFOTiwwLCwsLCwsTk9BVURJVCk=&amp;WINDOW=FIRST_POPUP&amp;HEIGHT=450&amp;WIDTH=450&amp;","START_MAXIMIZED=FALSE&amp;VAR:CALENDAR=US&amp;VAR:SYMBOL=IRM&amp;VAR:INDEX=0"}</definedName>
    <definedName name="_729__FDSAUDITLINK__" hidden="1">{"fdsup://directions/FAT Viewer?action=UPDATE&amp;creator=factset&amp;DYN_ARGS=TRUE&amp;DOC_NAME=FAT:FQL_AUDITING_CLIENT_TEMPLATE.FAT&amp;display_string=Audit&amp;VAR:KEY=FQLIVQDSXI&amp;VAR:QUERY=UkdGX1RBWF9SQVRFKEFOTiwwLCwsLCwsTk9BVURJVCk=&amp;WINDOW=FIRST_POPUP&amp;HEIGHT=450&amp;WIDTH=450&amp;","START_MAXIMIZED=FALSE&amp;VAR:CALENDAR=US&amp;VAR:SYMBOL=IRM&amp;VAR:INDEX=0"}</definedName>
    <definedName name="_73__FDSAUDITLINK__" localSheetId="3" hidden="1">{"fdsup://directions/FAT Viewer?action=UPDATE&amp;creator=factset&amp;DYN_ARGS=TRUE&amp;DOC_NAME=FAT:FQL_AUDITING_CLIENT_TEMPLATE.FAT&amp;display_string=Audit&amp;VAR:KEY=UBOVKNAJQB&amp;VAR:QUERY=RkZfRUJJVERBX09QRVIoTFRNLDAsLCwsLE0p&amp;WINDOW=FIRST_POPUP&amp;HEIGHT=450&amp;WIDTH=450&amp;START_MA","XIMIZED=FALSE&amp;VAR:CALENDAR=US&amp;VAR:SYMBOL=B128R9&amp;VAR:INDEX=0"}</definedName>
    <definedName name="_73__FDSAUDITLINK__" localSheetId="7" hidden="1">{"fdsup://directions/FAT Viewer?action=UPDATE&amp;creator=factset&amp;DYN_ARGS=TRUE&amp;DOC_NAME=FAT:FQL_AUDITING_CLIENT_TEMPLATE.FAT&amp;display_string=Audit&amp;VAR:KEY=UBOVKNAJQB&amp;VAR:QUERY=RkZfRUJJVERBX09QRVIoTFRNLDAsLCwsLE0p&amp;WINDOW=FIRST_POPUP&amp;HEIGHT=450&amp;WIDTH=450&amp;START_MA","XIMIZED=FALSE&amp;VAR:CALENDAR=US&amp;VAR:SYMBOL=B128R9&amp;VAR:INDEX=0"}</definedName>
    <definedName name="_73__FDSAUDITLINK__" hidden="1">{"fdsup://directions/FAT Viewer?action=UPDATE&amp;creator=factset&amp;DYN_ARGS=TRUE&amp;DOC_NAME=FAT:FQL_AUDITING_CLIENT_TEMPLATE.FAT&amp;display_string=Audit&amp;VAR:KEY=UBOVKNAJQB&amp;VAR:QUERY=RkZfRUJJVERBX09QRVIoTFRNLDAsLCwsLE0p&amp;WINDOW=FIRST_POPUP&amp;HEIGHT=450&amp;WIDTH=450&amp;START_MA","XIMIZED=FALSE&amp;VAR:CALENDAR=US&amp;VAR:SYMBOL=B128R9&amp;VAR:INDEX=0"}</definedName>
    <definedName name="_730__FDSAUDITLINK__" localSheetId="3" hidden="1">{"fdsup://directions/FAT Viewer?action=UPDATE&amp;creator=factset&amp;DYN_ARGS=TRUE&amp;DOC_NAME=FAT:FQL_AUDITING_CLIENT_TEMPLATE.FAT&amp;display_string=Audit&amp;VAR:KEY=FQLIVQDSXI&amp;VAR:QUERY=UkdGX1RBWF9SQVRFKEFOTiwwLCwsLCwsTk9BVURJVCk=&amp;WINDOW=FIRST_POPUP&amp;HEIGHT=450&amp;WIDTH=450&amp;","START_MAXIMIZED=FALSE&amp;VAR:CALENDAR=US&amp;VAR:SYMBOL=IRM&amp;VAR:INDEX=0"}</definedName>
    <definedName name="_730__FDSAUDITLINK__" localSheetId="7" hidden="1">{"fdsup://directions/FAT Viewer?action=UPDATE&amp;creator=factset&amp;DYN_ARGS=TRUE&amp;DOC_NAME=FAT:FQL_AUDITING_CLIENT_TEMPLATE.FAT&amp;display_string=Audit&amp;VAR:KEY=FQLIVQDSXI&amp;VAR:QUERY=UkdGX1RBWF9SQVRFKEFOTiwwLCwsLCwsTk9BVURJVCk=&amp;WINDOW=FIRST_POPUP&amp;HEIGHT=450&amp;WIDTH=450&amp;","START_MAXIMIZED=FALSE&amp;VAR:CALENDAR=US&amp;VAR:SYMBOL=IRM&amp;VAR:INDEX=0"}</definedName>
    <definedName name="_730__FDSAUDITLINK__" hidden="1">{"fdsup://directions/FAT Viewer?action=UPDATE&amp;creator=factset&amp;DYN_ARGS=TRUE&amp;DOC_NAME=FAT:FQL_AUDITING_CLIENT_TEMPLATE.FAT&amp;display_string=Audit&amp;VAR:KEY=FQLIVQDSXI&amp;VAR:QUERY=UkdGX1RBWF9SQVRFKEFOTiwwLCwsLCwsTk9BVURJVCk=&amp;WINDOW=FIRST_POPUP&amp;HEIGHT=450&amp;WIDTH=450&amp;","START_MAXIMIZED=FALSE&amp;VAR:CALENDAR=US&amp;VAR:SYMBOL=IRM&amp;VAR:INDEX=0"}</definedName>
    <definedName name="_731__FDSAUDITLINK__" localSheetId="3" hidden="1">{"fdsup://directions/FAT Viewer?action=UPDATE&amp;creator=factset&amp;DYN_ARGS=TRUE&amp;DOC_NAME=FAT:FQL_AUDITING_CLIENT_TEMPLATE.FAT&amp;display_string=Audit&amp;VAR:KEY=VMXYRQFCXC&amp;VAR:QUERY=UkdGX1RBWF9SQVRFKEFOTiwwLCwsLCwsTk9BVURJVCk=&amp;WINDOW=FIRST_POPUP&amp;HEIGHT=450&amp;WIDTH=450&amp;","START_MAXIMIZED=FALSE&amp;VAR:CALENDAR=US&amp;VAR:SYMBOL=HPOL&amp;VAR:INDEX=0"}</definedName>
    <definedName name="_731__FDSAUDITLINK__" localSheetId="7" hidden="1">{"fdsup://directions/FAT Viewer?action=UPDATE&amp;creator=factset&amp;DYN_ARGS=TRUE&amp;DOC_NAME=FAT:FQL_AUDITING_CLIENT_TEMPLATE.FAT&amp;display_string=Audit&amp;VAR:KEY=VMXYRQFCXC&amp;VAR:QUERY=UkdGX1RBWF9SQVRFKEFOTiwwLCwsLCwsTk9BVURJVCk=&amp;WINDOW=FIRST_POPUP&amp;HEIGHT=450&amp;WIDTH=450&amp;","START_MAXIMIZED=FALSE&amp;VAR:CALENDAR=US&amp;VAR:SYMBOL=HPOL&amp;VAR:INDEX=0"}</definedName>
    <definedName name="_731__FDSAUDITLINK__" hidden="1">{"fdsup://directions/FAT Viewer?action=UPDATE&amp;creator=factset&amp;DYN_ARGS=TRUE&amp;DOC_NAME=FAT:FQL_AUDITING_CLIENT_TEMPLATE.FAT&amp;display_string=Audit&amp;VAR:KEY=VMXYRQFCXC&amp;VAR:QUERY=UkdGX1RBWF9SQVRFKEFOTiwwLCwsLCwsTk9BVURJVCk=&amp;WINDOW=FIRST_POPUP&amp;HEIGHT=450&amp;WIDTH=450&amp;","START_MAXIMIZED=FALSE&amp;VAR:CALENDAR=US&amp;VAR:SYMBOL=HPOL&amp;VAR:INDEX=0"}</definedName>
    <definedName name="_732__FDSAUDITLINK__" localSheetId="3" hidden="1">{"fdsup://directions/FAT Viewer?action=UPDATE&amp;creator=factset&amp;DYN_ARGS=TRUE&amp;DOC_NAME=FAT:FQL_AUDITING_CLIENT_TEMPLATE.FAT&amp;display_string=Audit&amp;VAR:KEY=XYFIVGDCJW&amp;VAR:QUERY=UkdGX1RBWF9SQVRFKEFOTiwwLCwsLCwsTk9BVURJVCk=&amp;WINDOW=FIRST_POPUP&amp;HEIGHT=450&amp;WIDTH=450&amp;","START_MAXIMIZED=FALSE&amp;VAR:CALENDAR=US&amp;VAR:SYMBOL=GOOG&amp;VAR:INDEX=0"}</definedName>
    <definedName name="_732__FDSAUDITLINK__" localSheetId="7" hidden="1">{"fdsup://directions/FAT Viewer?action=UPDATE&amp;creator=factset&amp;DYN_ARGS=TRUE&amp;DOC_NAME=FAT:FQL_AUDITING_CLIENT_TEMPLATE.FAT&amp;display_string=Audit&amp;VAR:KEY=XYFIVGDCJW&amp;VAR:QUERY=UkdGX1RBWF9SQVRFKEFOTiwwLCwsLCwsTk9BVURJVCk=&amp;WINDOW=FIRST_POPUP&amp;HEIGHT=450&amp;WIDTH=450&amp;","START_MAXIMIZED=FALSE&amp;VAR:CALENDAR=US&amp;VAR:SYMBOL=GOOG&amp;VAR:INDEX=0"}</definedName>
    <definedName name="_732__FDSAUDITLINK__" hidden="1">{"fdsup://directions/FAT Viewer?action=UPDATE&amp;creator=factset&amp;DYN_ARGS=TRUE&amp;DOC_NAME=FAT:FQL_AUDITING_CLIENT_TEMPLATE.FAT&amp;display_string=Audit&amp;VAR:KEY=XYFIVGDCJW&amp;VAR:QUERY=UkdGX1RBWF9SQVRFKEFOTiwwLCwsLCwsTk9BVURJVCk=&amp;WINDOW=FIRST_POPUP&amp;HEIGHT=450&amp;WIDTH=450&amp;","START_MAXIMIZED=FALSE&amp;VAR:CALENDAR=US&amp;VAR:SYMBOL=GOOG&amp;VAR:INDEX=0"}</definedName>
    <definedName name="_733__FDSAUDITLINK__" localSheetId="3" hidden="1">{"fdsup://directions/FAT Viewer?action=UPDATE&amp;creator=factset&amp;DYN_ARGS=TRUE&amp;DOC_NAME=FAT:FQL_AUDITING_CLIENT_TEMPLATE.FAT&amp;display_string=Audit&amp;VAR:KEY=XYFIVGDCJW&amp;VAR:QUERY=UkdGX1RBWF9SQVRFKEFOTiwwLCwsLCwsTk9BVURJVCk=&amp;WINDOW=FIRST_POPUP&amp;HEIGHT=450&amp;WIDTH=450&amp;","START_MAXIMIZED=FALSE&amp;VAR:CALENDAR=US&amp;VAR:SYMBOL=GOOG&amp;VAR:INDEX=0"}</definedName>
    <definedName name="_733__FDSAUDITLINK__" localSheetId="7" hidden="1">{"fdsup://directions/FAT Viewer?action=UPDATE&amp;creator=factset&amp;DYN_ARGS=TRUE&amp;DOC_NAME=FAT:FQL_AUDITING_CLIENT_TEMPLATE.FAT&amp;display_string=Audit&amp;VAR:KEY=XYFIVGDCJW&amp;VAR:QUERY=UkdGX1RBWF9SQVRFKEFOTiwwLCwsLCwsTk9BVURJVCk=&amp;WINDOW=FIRST_POPUP&amp;HEIGHT=450&amp;WIDTH=450&amp;","START_MAXIMIZED=FALSE&amp;VAR:CALENDAR=US&amp;VAR:SYMBOL=GOOG&amp;VAR:INDEX=0"}</definedName>
    <definedName name="_733__FDSAUDITLINK__" hidden="1">{"fdsup://directions/FAT Viewer?action=UPDATE&amp;creator=factset&amp;DYN_ARGS=TRUE&amp;DOC_NAME=FAT:FQL_AUDITING_CLIENT_TEMPLATE.FAT&amp;display_string=Audit&amp;VAR:KEY=XYFIVGDCJW&amp;VAR:QUERY=UkdGX1RBWF9SQVRFKEFOTiwwLCwsLCwsTk9BVURJVCk=&amp;WINDOW=FIRST_POPUP&amp;HEIGHT=450&amp;WIDTH=450&amp;","START_MAXIMIZED=FALSE&amp;VAR:CALENDAR=US&amp;VAR:SYMBOL=GOOG&amp;VAR:INDEX=0"}</definedName>
    <definedName name="_734__FDSAUDITLINK__" localSheetId="3" hidden="1">{"fdsup://directions/FAT Viewer?action=UPDATE&amp;creator=factset&amp;DYN_ARGS=TRUE&amp;DOC_NAME=FAT:FQL_AUDITING_CLIENT_TEMPLATE.FAT&amp;display_string=Audit&amp;VAR:KEY=FWZILAVSZW&amp;VAR:QUERY=UkdGX1RBWF9SQVRFKEFOTiwwLCwsLCwsTk9BVURJVCk=&amp;WINDOW=FIRST_POPUP&amp;HEIGHT=450&amp;WIDTH=450&amp;","START_MAXIMIZED=FALSE&amp;VAR:CALENDAR=US&amp;VAR:SYMBOL=580685&amp;VAR:INDEX=0"}</definedName>
    <definedName name="_734__FDSAUDITLINK__" localSheetId="7" hidden="1">{"fdsup://directions/FAT Viewer?action=UPDATE&amp;creator=factset&amp;DYN_ARGS=TRUE&amp;DOC_NAME=FAT:FQL_AUDITING_CLIENT_TEMPLATE.FAT&amp;display_string=Audit&amp;VAR:KEY=FWZILAVSZW&amp;VAR:QUERY=UkdGX1RBWF9SQVRFKEFOTiwwLCwsLCwsTk9BVURJVCk=&amp;WINDOW=FIRST_POPUP&amp;HEIGHT=450&amp;WIDTH=450&amp;","START_MAXIMIZED=FALSE&amp;VAR:CALENDAR=US&amp;VAR:SYMBOL=580685&amp;VAR:INDEX=0"}</definedName>
    <definedName name="_734__FDSAUDITLINK__" hidden="1">{"fdsup://directions/FAT Viewer?action=UPDATE&amp;creator=factset&amp;DYN_ARGS=TRUE&amp;DOC_NAME=FAT:FQL_AUDITING_CLIENT_TEMPLATE.FAT&amp;display_string=Audit&amp;VAR:KEY=FWZILAVSZW&amp;VAR:QUERY=UkdGX1RBWF9SQVRFKEFOTiwwLCwsLCwsTk9BVURJVCk=&amp;WINDOW=FIRST_POPUP&amp;HEIGHT=450&amp;WIDTH=450&amp;","START_MAXIMIZED=FALSE&amp;VAR:CALENDAR=US&amp;VAR:SYMBOL=580685&amp;VAR:INDEX=0"}</definedName>
    <definedName name="_735__FDSAUDITLINK__" localSheetId="3" hidden="1">{"fdsup://directions/FAT Viewer?action=UPDATE&amp;creator=factset&amp;DYN_ARGS=TRUE&amp;DOC_NAME=FAT:FQL_AUDITING_CLIENT_TEMPLATE.FAT&amp;display_string=Audit&amp;VAR:KEY=FWZILAVSZW&amp;VAR:QUERY=UkdGX1RBWF9SQVRFKEFOTiwwLCwsLCwsTk9BVURJVCk=&amp;WINDOW=FIRST_POPUP&amp;HEIGHT=450&amp;WIDTH=450&amp;","START_MAXIMIZED=FALSE&amp;VAR:CALENDAR=US&amp;VAR:SYMBOL=580685&amp;VAR:INDEX=0"}</definedName>
    <definedName name="_735__FDSAUDITLINK__" localSheetId="7" hidden="1">{"fdsup://directions/FAT Viewer?action=UPDATE&amp;creator=factset&amp;DYN_ARGS=TRUE&amp;DOC_NAME=FAT:FQL_AUDITING_CLIENT_TEMPLATE.FAT&amp;display_string=Audit&amp;VAR:KEY=FWZILAVSZW&amp;VAR:QUERY=UkdGX1RBWF9SQVRFKEFOTiwwLCwsLCwsTk9BVURJVCk=&amp;WINDOW=FIRST_POPUP&amp;HEIGHT=450&amp;WIDTH=450&amp;","START_MAXIMIZED=FALSE&amp;VAR:CALENDAR=US&amp;VAR:SYMBOL=580685&amp;VAR:INDEX=0"}</definedName>
    <definedName name="_735__FDSAUDITLINK__" hidden="1">{"fdsup://directions/FAT Viewer?action=UPDATE&amp;creator=factset&amp;DYN_ARGS=TRUE&amp;DOC_NAME=FAT:FQL_AUDITING_CLIENT_TEMPLATE.FAT&amp;display_string=Audit&amp;VAR:KEY=FWZILAVSZW&amp;VAR:QUERY=UkdGX1RBWF9SQVRFKEFOTiwwLCwsLCwsTk9BVURJVCk=&amp;WINDOW=FIRST_POPUP&amp;HEIGHT=450&amp;WIDTH=450&amp;","START_MAXIMIZED=FALSE&amp;VAR:CALENDAR=US&amp;VAR:SYMBOL=580685&amp;VAR:INDEX=0"}</definedName>
    <definedName name="_736__FDSAUDITLINK__" localSheetId="3" hidden="1">{"fdsup://directions/FAT Viewer?action=UPDATE&amp;creator=factset&amp;DYN_ARGS=TRUE&amp;DOC_NAME=FAT:FQL_AUDITING_CLIENT_TEMPLATE.FAT&amp;display_string=Audit&amp;VAR:KEY=TIHWVKHIVC&amp;VAR:QUERY=UkdGX1RBWF9SQVRFKEFOTiwwLCwsLCwsTk9BVURJVCk=&amp;WINDOW=FIRST_POPUP&amp;HEIGHT=450&amp;WIDTH=450&amp;","START_MAXIMIZED=FALSE&amp;VAR:CALENDAR=US&amp;VAR:SYMBOL=FISV&amp;VAR:INDEX=0"}</definedName>
    <definedName name="_736__FDSAUDITLINK__" localSheetId="7" hidden="1">{"fdsup://directions/FAT Viewer?action=UPDATE&amp;creator=factset&amp;DYN_ARGS=TRUE&amp;DOC_NAME=FAT:FQL_AUDITING_CLIENT_TEMPLATE.FAT&amp;display_string=Audit&amp;VAR:KEY=TIHWVKHIVC&amp;VAR:QUERY=UkdGX1RBWF9SQVRFKEFOTiwwLCwsLCwsTk9BVURJVCk=&amp;WINDOW=FIRST_POPUP&amp;HEIGHT=450&amp;WIDTH=450&amp;","START_MAXIMIZED=FALSE&amp;VAR:CALENDAR=US&amp;VAR:SYMBOL=FISV&amp;VAR:INDEX=0"}</definedName>
    <definedName name="_736__FDSAUDITLINK__" hidden="1">{"fdsup://directions/FAT Viewer?action=UPDATE&amp;creator=factset&amp;DYN_ARGS=TRUE&amp;DOC_NAME=FAT:FQL_AUDITING_CLIENT_TEMPLATE.FAT&amp;display_string=Audit&amp;VAR:KEY=TIHWVKHIVC&amp;VAR:QUERY=UkdGX1RBWF9SQVRFKEFOTiwwLCwsLCwsTk9BVURJVCk=&amp;WINDOW=FIRST_POPUP&amp;HEIGHT=450&amp;WIDTH=450&amp;","START_MAXIMIZED=FALSE&amp;VAR:CALENDAR=US&amp;VAR:SYMBOL=FISV&amp;VAR:INDEX=0"}</definedName>
    <definedName name="_737__FDSAUDITLINK__" localSheetId="3" hidden="1">{"fdsup://directions/FAT Viewer?action=UPDATE&amp;creator=factset&amp;DYN_ARGS=TRUE&amp;DOC_NAME=FAT:FQL_AUDITING_CLIENT_TEMPLATE.FAT&amp;display_string=Audit&amp;VAR:KEY=TIHWVKHIVC&amp;VAR:QUERY=UkdGX1RBWF9SQVRFKEFOTiwwLCwsLCwsTk9BVURJVCk=&amp;WINDOW=FIRST_POPUP&amp;HEIGHT=450&amp;WIDTH=450&amp;","START_MAXIMIZED=FALSE&amp;VAR:CALENDAR=US&amp;VAR:SYMBOL=FISV&amp;VAR:INDEX=0"}</definedName>
    <definedName name="_737__FDSAUDITLINK__" localSheetId="7" hidden="1">{"fdsup://directions/FAT Viewer?action=UPDATE&amp;creator=factset&amp;DYN_ARGS=TRUE&amp;DOC_NAME=FAT:FQL_AUDITING_CLIENT_TEMPLATE.FAT&amp;display_string=Audit&amp;VAR:KEY=TIHWVKHIVC&amp;VAR:QUERY=UkdGX1RBWF9SQVRFKEFOTiwwLCwsLCwsTk9BVURJVCk=&amp;WINDOW=FIRST_POPUP&amp;HEIGHT=450&amp;WIDTH=450&amp;","START_MAXIMIZED=FALSE&amp;VAR:CALENDAR=US&amp;VAR:SYMBOL=FISV&amp;VAR:INDEX=0"}</definedName>
    <definedName name="_737__FDSAUDITLINK__" hidden="1">{"fdsup://directions/FAT Viewer?action=UPDATE&amp;creator=factset&amp;DYN_ARGS=TRUE&amp;DOC_NAME=FAT:FQL_AUDITING_CLIENT_TEMPLATE.FAT&amp;display_string=Audit&amp;VAR:KEY=TIHWVKHIVC&amp;VAR:QUERY=UkdGX1RBWF9SQVRFKEFOTiwwLCwsLCwsTk9BVURJVCk=&amp;WINDOW=FIRST_POPUP&amp;HEIGHT=450&amp;WIDTH=450&amp;","START_MAXIMIZED=FALSE&amp;VAR:CALENDAR=US&amp;VAR:SYMBOL=FISV&amp;VAR:INDEX=0"}</definedName>
    <definedName name="_738__FDSAUDITLINK__" localSheetId="3" hidden="1">{"fdsup://directions/FAT Viewer?action=UPDATE&amp;creator=factset&amp;DYN_ARGS=TRUE&amp;DOC_NAME=FAT:FQL_AUDITING_CLIENT_TEMPLATE.FAT&amp;display_string=Audit&amp;VAR:KEY=HQBYRYFYLG&amp;VAR:QUERY=UkdGX1RBWF9SQVRFKEFOTiwwLCwsLCwsTk9BVURJVCk=&amp;WINDOW=FIRST_POPUP&amp;HEIGHT=450&amp;WIDTH=450&amp;","START_MAXIMIZED=FALSE&amp;VAR:CALENDAR=US&amp;VAR:SYMBOL=FICO&amp;VAR:INDEX=0"}</definedName>
    <definedName name="_738__FDSAUDITLINK__" localSheetId="7" hidden="1">{"fdsup://directions/FAT Viewer?action=UPDATE&amp;creator=factset&amp;DYN_ARGS=TRUE&amp;DOC_NAME=FAT:FQL_AUDITING_CLIENT_TEMPLATE.FAT&amp;display_string=Audit&amp;VAR:KEY=HQBYRYFYLG&amp;VAR:QUERY=UkdGX1RBWF9SQVRFKEFOTiwwLCwsLCwsTk9BVURJVCk=&amp;WINDOW=FIRST_POPUP&amp;HEIGHT=450&amp;WIDTH=450&amp;","START_MAXIMIZED=FALSE&amp;VAR:CALENDAR=US&amp;VAR:SYMBOL=FICO&amp;VAR:INDEX=0"}</definedName>
    <definedName name="_738__FDSAUDITLINK__" hidden="1">{"fdsup://directions/FAT Viewer?action=UPDATE&amp;creator=factset&amp;DYN_ARGS=TRUE&amp;DOC_NAME=FAT:FQL_AUDITING_CLIENT_TEMPLATE.FAT&amp;display_string=Audit&amp;VAR:KEY=HQBYRYFYLG&amp;VAR:QUERY=UkdGX1RBWF9SQVRFKEFOTiwwLCwsLCwsTk9BVURJVCk=&amp;WINDOW=FIRST_POPUP&amp;HEIGHT=450&amp;WIDTH=450&amp;","START_MAXIMIZED=FALSE&amp;VAR:CALENDAR=US&amp;VAR:SYMBOL=FICO&amp;VAR:INDEX=0"}</definedName>
    <definedName name="_739__FDSAUDITLINK__" localSheetId="3" hidden="1">{"fdsup://directions/FAT Viewer?action=UPDATE&amp;creator=factset&amp;DYN_ARGS=TRUE&amp;DOC_NAME=FAT:FQL_AUDITING_CLIENT_TEMPLATE.FAT&amp;display_string=Audit&amp;VAR:KEY=HQBYRYFYLG&amp;VAR:QUERY=UkdGX1RBWF9SQVRFKEFOTiwwLCwsLCwsTk9BVURJVCk=&amp;WINDOW=FIRST_POPUP&amp;HEIGHT=450&amp;WIDTH=450&amp;","START_MAXIMIZED=FALSE&amp;VAR:CALENDAR=US&amp;VAR:SYMBOL=FICO&amp;VAR:INDEX=0"}</definedName>
    <definedName name="_739__FDSAUDITLINK__" localSheetId="7" hidden="1">{"fdsup://directions/FAT Viewer?action=UPDATE&amp;creator=factset&amp;DYN_ARGS=TRUE&amp;DOC_NAME=FAT:FQL_AUDITING_CLIENT_TEMPLATE.FAT&amp;display_string=Audit&amp;VAR:KEY=HQBYRYFYLG&amp;VAR:QUERY=UkdGX1RBWF9SQVRFKEFOTiwwLCwsLCwsTk9BVURJVCk=&amp;WINDOW=FIRST_POPUP&amp;HEIGHT=450&amp;WIDTH=450&amp;","START_MAXIMIZED=FALSE&amp;VAR:CALENDAR=US&amp;VAR:SYMBOL=FICO&amp;VAR:INDEX=0"}</definedName>
    <definedName name="_739__FDSAUDITLINK__" hidden="1">{"fdsup://directions/FAT Viewer?action=UPDATE&amp;creator=factset&amp;DYN_ARGS=TRUE&amp;DOC_NAME=FAT:FQL_AUDITING_CLIENT_TEMPLATE.FAT&amp;display_string=Audit&amp;VAR:KEY=HQBYRYFYLG&amp;VAR:QUERY=UkdGX1RBWF9SQVRFKEFOTiwwLCwsLCwsTk9BVURJVCk=&amp;WINDOW=FIRST_POPUP&amp;HEIGHT=450&amp;WIDTH=450&amp;","START_MAXIMIZED=FALSE&amp;VAR:CALENDAR=US&amp;VAR:SYMBOL=FICO&amp;VAR:INDEX=0"}</definedName>
    <definedName name="_74__FDSAUDITLINK__" localSheetId="3" hidden="1">{"fdsup://directions/FAT Viewer?action=UPDATE&amp;creator=factset&amp;DYN_ARGS=TRUE&amp;DOC_NAME=FAT:FQL_AUDITING_CLIENT_TEMPLATE.FAT&amp;display_string=Audit&amp;VAR:KEY=APYBQRINKZ&amp;VAR:QUERY=RkZfU0FMRVMoTFRNLDAsLCwsLE0p&amp;WINDOW=FIRST_POPUP&amp;HEIGHT=450&amp;WIDTH=450&amp;START_MAXIMIZED=","FALSE&amp;VAR:CALENDAR=US&amp;VAR:SYMBOL=B128R9&amp;VAR:INDEX=0"}</definedName>
    <definedName name="_74__FDSAUDITLINK__" localSheetId="7" hidden="1">{"fdsup://directions/FAT Viewer?action=UPDATE&amp;creator=factset&amp;DYN_ARGS=TRUE&amp;DOC_NAME=FAT:FQL_AUDITING_CLIENT_TEMPLATE.FAT&amp;display_string=Audit&amp;VAR:KEY=APYBQRINKZ&amp;VAR:QUERY=RkZfU0FMRVMoTFRNLDAsLCwsLE0p&amp;WINDOW=FIRST_POPUP&amp;HEIGHT=450&amp;WIDTH=450&amp;START_MAXIMIZED=","FALSE&amp;VAR:CALENDAR=US&amp;VAR:SYMBOL=B128R9&amp;VAR:INDEX=0"}</definedName>
    <definedName name="_74__FDSAUDITLINK__" hidden="1">{"fdsup://directions/FAT Viewer?action=UPDATE&amp;creator=factset&amp;DYN_ARGS=TRUE&amp;DOC_NAME=FAT:FQL_AUDITING_CLIENT_TEMPLATE.FAT&amp;display_string=Audit&amp;VAR:KEY=APYBQRINKZ&amp;VAR:QUERY=RkZfU0FMRVMoTFRNLDAsLCwsLE0p&amp;WINDOW=FIRST_POPUP&amp;HEIGHT=450&amp;WIDTH=450&amp;START_MAXIMIZED=","FALSE&amp;VAR:CALENDAR=US&amp;VAR:SYMBOL=B128R9&amp;VAR:INDEX=0"}</definedName>
    <definedName name="_740__FDSAUDITLINK__" localSheetId="3" hidden="1">{"fdsup://directions/FAT Viewer?action=UPDATE&amp;creator=factset&amp;DYN_ARGS=TRUE&amp;DOC_NAME=FAT:FQL_AUDITING_CLIENT_TEMPLATE.FAT&amp;display_string=Audit&amp;VAR:KEY=ZKXEBCTILS&amp;VAR:QUERY=UkdGX1RBWF9SQVRFKEFOTiwwLCwsLCwsTk9BVURJVCk=&amp;WINDOW=FIRST_POPUP&amp;HEIGHT=450&amp;WIDTH=450&amp;","START_MAXIMIZED=FALSE&amp;VAR:CALENDAR=US&amp;VAR:SYMBOL=B19NLV&amp;VAR:INDEX=0"}</definedName>
    <definedName name="_740__FDSAUDITLINK__" localSheetId="7" hidden="1">{"fdsup://directions/FAT Viewer?action=UPDATE&amp;creator=factset&amp;DYN_ARGS=TRUE&amp;DOC_NAME=FAT:FQL_AUDITING_CLIENT_TEMPLATE.FAT&amp;display_string=Audit&amp;VAR:KEY=ZKXEBCTILS&amp;VAR:QUERY=UkdGX1RBWF9SQVRFKEFOTiwwLCwsLCwsTk9BVURJVCk=&amp;WINDOW=FIRST_POPUP&amp;HEIGHT=450&amp;WIDTH=450&amp;","START_MAXIMIZED=FALSE&amp;VAR:CALENDAR=US&amp;VAR:SYMBOL=B19NLV&amp;VAR:INDEX=0"}</definedName>
    <definedName name="_740__FDSAUDITLINK__" hidden="1">{"fdsup://directions/FAT Viewer?action=UPDATE&amp;creator=factset&amp;DYN_ARGS=TRUE&amp;DOC_NAME=FAT:FQL_AUDITING_CLIENT_TEMPLATE.FAT&amp;display_string=Audit&amp;VAR:KEY=ZKXEBCTILS&amp;VAR:QUERY=UkdGX1RBWF9SQVRFKEFOTiwwLCwsLCwsTk9BVURJVCk=&amp;WINDOW=FIRST_POPUP&amp;HEIGHT=450&amp;WIDTH=450&amp;","START_MAXIMIZED=FALSE&amp;VAR:CALENDAR=US&amp;VAR:SYMBOL=B19NLV&amp;VAR:INDEX=0"}</definedName>
    <definedName name="_741__FDSAUDITLINK__" localSheetId="3" hidden="1">{"fdsup://directions/FAT Viewer?action=UPDATE&amp;creator=factset&amp;DYN_ARGS=TRUE&amp;DOC_NAME=FAT:FQL_AUDITING_CLIENT_TEMPLATE.FAT&amp;display_string=Audit&amp;VAR:KEY=ZKXEBCTILS&amp;VAR:QUERY=UkdGX1RBWF9SQVRFKEFOTiwwLCwsLCwsTk9BVURJVCk=&amp;WINDOW=FIRST_POPUP&amp;HEIGHT=450&amp;WIDTH=450&amp;","START_MAXIMIZED=FALSE&amp;VAR:CALENDAR=US&amp;VAR:SYMBOL=B19NLV&amp;VAR:INDEX=0"}</definedName>
    <definedName name="_741__FDSAUDITLINK__" localSheetId="7" hidden="1">{"fdsup://directions/FAT Viewer?action=UPDATE&amp;creator=factset&amp;DYN_ARGS=TRUE&amp;DOC_NAME=FAT:FQL_AUDITING_CLIENT_TEMPLATE.FAT&amp;display_string=Audit&amp;VAR:KEY=ZKXEBCTILS&amp;VAR:QUERY=UkdGX1RBWF9SQVRFKEFOTiwwLCwsLCwsTk9BVURJVCk=&amp;WINDOW=FIRST_POPUP&amp;HEIGHT=450&amp;WIDTH=450&amp;","START_MAXIMIZED=FALSE&amp;VAR:CALENDAR=US&amp;VAR:SYMBOL=B19NLV&amp;VAR:INDEX=0"}</definedName>
    <definedName name="_741__FDSAUDITLINK__" hidden="1">{"fdsup://directions/FAT Viewer?action=UPDATE&amp;creator=factset&amp;DYN_ARGS=TRUE&amp;DOC_NAME=FAT:FQL_AUDITING_CLIENT_TEMPLATE.FAT&amp;display_string=Audit&amp;VAR:KEY=ZKXEBCTILS&amp;VAR:QUERY=UkdGX1RBWF9SQVRFKEFOTiwwLCwsLCwsTk9BVURJVCk=&amp;WINDOW=FIRST_POPUP&amp;HEIGHT=450&amp;WIDTH=450&amp;","START_MAXIMIZED=FALSE&amp;VAR:CALENDAR=US&amp;VAR:SYMBOL=B19NLV&amp;VAR:INDEX=0"}</definedName>
    <definedName name="_742__FDSAUDITLINK__" localSheetId="3" hidden="1">{"fdsup://directions/FAT Viewer?action=UPDATE&amp;creator=factset&amp;DYN_ARGS=TRUE&amp;DOC_NAME=FAT:FQL_AUDITING_CLIENT_TEMPLATE.FAT&amp;display_string=Audit&amp;VAR:KEY=DETCLOTUFA&amp;VAR:QUERY=UkdGX1RBWF9SQVRFKEFOTiwwLCwsLCwsTk9BVURJVCk=&amp;WINDOW=FIRST_POPUP&amp;HEIGHT=450&amp;WIDTH=450&amp;","START_MAXIMIZED=FALSE&amp;VAR:CALENDAR=US&amp;VAR:SYMBOL=569496&amp;VAR:INDEX=0"}</definedName>
    <definedName name="_742__FDSAUDITLINK__" localSheetId="7" hidden="1">{"fdsup://directions/FAT Viewer?action=UPDATE&amp;creator=factset&amp;DYN_ARGS=TRUE&amp;DOC_NAME=FAT:FQL_AUDITING_CLIENT_TEMPLATE.FAT&amp;display_string=Audit&amp;VAR:KEY=DETCLOTUFA&amp;VAR:QUERY=UkdGX1RBWF9SQVRFKEFOTiwwLCwsLCwsTk9BVURJVCk=&amp;WINDOW=FIRST_POPUP&amp;HEIGHT=450&amp;WIDTH=450&amp;","START_MAXIMIZED=FALSE&amp;VAR:CALENDAR=US&amp;VAR:SYMBOL=569496&amp;VAR:INDEX=0"}</definedName>
    <definedName name="_742__FDSAUDITLINK__" hidden="1">{"fdsup://directions/FAT Viewer?action=UPDATE&amp;creator=factset&amp;DYN_ARGS=TRUE&amp;DOC_NAME=FAT:FQL_AUDITING_CLIENT_TEMPLATE.FAT&amp;display_string=Audit&amp;VAR:KEY=DETCLOTUFA&amp;VAR:QUERY=UkdGX1RBWF9SQVRFKEFOTiwwLCwsLCwsTk9BVURJVCk=&amp;WINDOW=FIRST_POPUP&amp;HEIGHT=450&amp;WIDTH=450&amp;","START_MAXIMIZED=FALSE&amp;VAR:CALENDAR=US&amp;VAR:SYMBOL=569496&amp;VAR:INDEX=0"}</definedName>
    <definedName name="_743__FDSAUDITLINK__" localSheetId="3" hidden="1">{"fdsup://directions/FAT Viewer?action=UPDATE&amp;creator=factset&amp;DYN_ARGS=TRUE&amp;DOC_NAME=FAT:FQL_AUDITING_CLIENT_TEMPLATE.FAT&amp;display_string=Audit&amp;VAR:KEY=DETCLOTUFA&amp;VAR:QUERY=UkdGX1RBWF9SQVRFKEFOTiwwLCwsLCwsTk9BVURJVCk=&amp;WINDOW=FIRST_POPUP&amp;HEIGHT=450&amp;WIDTH=450&amp;","START_MAXIMIZED=FALSE&amp;VAR:CALENDAR=US&amp;VAR:SYMBOL=569496&amp;VAR:INDEX=0"}</definedName>
    <definedName name="_743__FDSAUDITLINK__" localSheetId="7" hidden="1">{"fdsup://directions/FAT Viewer?action=UPDATE&amp;creator=factset&amp;DYN_ARGS=TRUE&amp;DOC_NAME=FAT:FQL_AUDITING_CLIENT_TEMPLATE.FAT&amp;display_string=Audit&amp;VAR:KEY=DETCLOTUFA&amp;VAR:QUERY=UkdGX1RBWF9SQVRFKEFOTiwwLCwsLCwsTk9BVURJVCk=&amp;WINDOW=FIRST_POPUP&amp;HEIGHT=450&amp;WIDTH=450&amp;","START_MAXIMIZED=FALSE&amp;VAR:CALENDAR=US&amp;VAR:SYMBOL=569496&amp;VAR:INDEX=0"}</definedName>
    <definedName name="_743__FDSAUDITLINK__" hidden="1">{"fdsup://directions/FAT Viewer?action=UPDATE&amp;creator=factset&amp;DYN_ARGS=TRUE&amp;DOC_NAME=FAT:FQL_AUDITING_CLIENT_TEMPLATE.FAT&amp;display_string=Audit&amp;VAR:KEY=DETCLOTUFA&amp;VAR:QUERY=UkdGX1RBWF9SQVRFKEFOTiwwLCwsLCwsTk9BVURJVCk=&amp;WINDOW=FIRST_POPUP&amp;HEIGHT=450&amp;WIDTH=450&amp;","START_MAXIMIZED=FALSE&amp;VAR:CALENDAR=US&amp;VAR:SYMBOL=569496&amp;VAR:INDEX=0"}</definedName>
    <definedName name="_744__FDSAUDITLINK__" localSheetId="3" hidden="1">{"fdsup://directions/FAT Viewer?action=UPDATE&amp;creator=factset&amp;DYN_ARGS=TRUE&amp;DOC_NAME=FAT:FQL_AUDITING_CLIENT_TEMPLATE.FAT&amp;display_string=Audit&amp;VAR:KEY=REFUDMJUJS&amp;VAR:QUERY=UkdGX1RBWF9SQVRFKEFOTiwwLCwsLCwsTk9BVURJVCk=&amp;WINDOW=FIRST_POPUP&amp;HEIGHT=450&amp;WIDTH=450&amp;","START_MAXIMIZED=FALSE&amp;VAR:CALENDAR=US&amp;VAR:SYMBOL=EPIQ&amp;VAR:INDEX=0"}</definedName>
    <definedName name="_744__FDSAUDITLINK__" localSheetId="7" hidden="1">{"fdsup://directions/FAT Viewer?action=UPDATE&amp;creator=factset&amp;DYN_ARGS=TRUE&amp;DOC_NAME=FAT:FQL_AUDITING_CLIENT_TEMPLATE.FAT&amp;display_string=Audit&amp;VAR:KEY=REFUDMJUJS&amp;VAR:QUERY=UkdGX1RBWF9SQVRFKEFOTiwwLCwsLCwsTk9BVURJVCk=&amp;WINDOW=FIRST_POPUP&amp;HEIGHT=450&amp;WIDTH=450&amp;","START_MAXIMIZED=FALSE&amp;VAR:CALENDAR=US&amp;VAR:SYMBOL=EPIQ&amp;VAR:INDEX=0"}</definedName>
    <definedName name="_744__FDSAUDITLINK__" hidden="1">{"fdsup://directions/FAT Viewer?action=UPDATE&amp;creator=factset&amp;DYN_ARGS=TRUE&amp;DOC_NAME=FAT:FQL_AUDITING_CLIENT_TEMPLATE.FAT&amp;display_string=Audit&amp;VAR:KEY=REFUDMJUJS&amp;VAR:QUERY=UkdGX1RBWF9SQVRFKEFOTiwwLCwsLCwsTk9BVURJVCk=&amp;WINDOW=FIRST_POPUP&amp;HEIGHT=450&amp;WIDTH=450&amp;","START_MAXIMIZED=FALSE&amp;VAR:CALENDAR=US&amp;VAR:SYMBOL=EPIQ&amp;VAR:INDEX=0"}</definedName>
    <definedName name="_745__FDSAUDITLINK__" localSheetId="3" hidden="1">{"fdsup://directions/FAT Viewer?action=UPDATE&amp;creator=factset&amp;DYN_ARGS=TRUE&amp;DOC_NAME=FAT:FQL_AUDITING_CLIENT_TEMPLATE.FAT&amp;display_string=Audit&amp;VAR:KEY=REFUDMJUJS&amp;VAR:QUERY=UkdGX1RBWF9SQVRFKEFOTiwwLCwsLCwsTk9BVURJVCk=&amp;WINDOW=FIRST_POPUP&amp;HEIGHT=450&amp;WIDTH=450&amp;","START_MAXIMIZED=FALSE&amp;VAR:CALENDAR=US&amp;VAR:SYMBOL=EPIQ&amp;VAR:INDEX=0"}</definedName>
    <definedName name="_745__FDSAUDITLINK__" localSheetId="7" hidden="1">{"fdsup://directions/FAT Viewer?action=UPDATE&amp;creator=factset&amp;DYN_ARGS=TRUE&amp;DOC_NAME=FAT:FQL_AUDITING_CLIENT_TEMPLATE.FAT&amp;display_string=Audit&amp;VAR:KEY=REFUDMJUJS&amp;VAR:QUERY=UkdGX1RBWF9SQVRFKEFOTiwwLCwsLCwsTk9BVURJVCk=&amp;WINDOW=FIRST_POPUP&amp;HEIGHT=450&amp;WIDTH=450&amp;","START_MAXIMIZED=FALSE&amp;VAR:CALENDAR=US&amp;VAR:SYMBOL=EPIQ&amp;VAR:INDEX=0"}</definedName>
    <definedName name="_745__FDSAUDITLINK__" hidden="1">{"fdsup://directions/FAT Viewer?action=UPDATE&amp;creator=factset&amp;DYN_ARGS=TRUE&amp;DOC_NAME=FAT:FQL_AUDITING_CLIENT_TEMPLATE.FAT&amp;display_string=Audit&amp;VAR:KEY=REFUDMJUJS&amp;VAR:QUERY=UkdGX1RBWF9SQVRFKEFOTiwwLCwsLCwsTk9BVURJVCk=&amp;WINDOW=FIRST_POPUP&amp;HEIGHT=450&amp;WIDTH=450&amp;","START_MAXIMIZED=FALSE&amp;VAR:CALENDAR=US&amp;VAR:SYMBOL=EPIQ&amp;VAR:INDEX=0"}</definedName>
    <definedName name="_746__FDSAUDITLINK__" localSheetId="3" hidden="1">{"fdsup://directions/FAT Viewer?action=UPDATE&amp;creator=factset&amp;DYN_ARGS=TRUE&amp;DOC_NAME=FAT:FQL_AUDITING_CLIENT_TEMPLATE.FAT&amp;display_string=Audit&amp;VAR:KEY=NEFCPMHWXS&amp;VAR:QUERY=UkdGX1RBWF9SQVRFKEFOTiwwLCwsLCwsTk9BVURJVCk=&amp;WINDOW=FIRST_POPUP&amp;HEIGHT=450&amp;WIDTH=450&amp;","START_MAXIMIZED=FALSE&amp;VAR:CALENDAR=US&amp;VAR:SYMBOL=EMC&amp;VAR:INDEX=0"}</definedName>
    <definedName name="_746__FDSAUDITLINK__" localSheetId="7" hidden="1">{"fdsup://directions/FAT Viewer?action=UPDATE&amp;creator=factset&amp;DYN_ARGS=TRUE&amp;DOC_NAME=FAT:FQL_AUDITING_CLIENT_TEMPLATE.FAT&amp;display_string=Audit&amp;VAR:KEY=NEFCPMHWXS&amp;VAR:QUERY=UkdGX1RBWF9SQVRFKEFOTiwwLCwsLCwsTk9BVURJVCk=&amp;WINDOW=FIRST_POPUP&amp;HEIGHT=450&amp;WIDTH=450&amp;","START_MAXIMIZED=FALSE&amp;VAR:CALENDAR=US&amp;VAR:SYMBOL=EMC&amp;VAR:INDEX=0"}</definedName>
    <definedName name="_746__FDSAUDITLINK__" hidden="1">{"fdsup://directions/FAT Viewer?action=UPDATE&amp;creator=factset&amp;DYN_ARGS=TRUE&amp;DOC_NAME=FAT:FQL_AUDITING_CLIENT_TEMPLATE.FAT&amp;display_string=Audit&amp;VAR:KEY=NEFCPMHWXS&amp;VAR:QUERY=UkdGX1RBWF9SQVRFKEFOTiwwLCwsLCwsTk9BVURJVCk=&amp;WINDOW=FIRST_POPUP&amp;HEIGHT=450&amp;WIDTH=450&amp;","START_MAXIMIZED=FALSE&amp;VAR:CALENDAR=US&amp;VAR:SYMBOL=EMC&amp;VAR:INDEX=0"}</definedName>
    <definedName name="_747__FDSAUDITLINK__" localSheetId="3" hidden="1">{"fdsup://directions/FAT Viewer?action=UPDATE&amp;creator=factset&amp;DYN_ARGS=TRUE&amp;DOC_NAME=FAT:FQL_AUDITING_CLIENT_TEMPLATE.FAT&amp;display_string=Audit&amp;VAR:KEY=NEFCPMHWXS&amp;VAR:QUERY=UkdGX1RBWF9SQVRFKEFOTiwwLCwsLCwsTk9BVURJVCk=&amp;WINDOW=FIRST_POPUP&amp;HEIGHT=450&amp;WIDTH=450&amp;","START_MAXIMIZED=FALSE&amp;VAR:CALENDAR=US&amp;VAR:SYMBOL=EMC&amp;VAR:INDEX=0"}</definedName>
    <definedName name="_747__FDSAUDITLINK__" localSheetId="7" hidden="1">{"fdsup://directions/FAT Viewer?action=UPDATE&amp;creator=factset&amp;DYN_ARGS=TRUE&amp;DOC_NAME=FAT:FQL_AUDITING_CLIENT_TEMPLATE.FAT&amp;display_string=Audit&amp;VAR:KEY=NEFCPMHWXS&amp;VAR:QUERY=UkdGX1RBWF9SQVRFKEFOTiwwLCwsLCwsTk9BVURJVCk=&amp;WINDOW=FIRST_POPUP&amp;HEIGHT=450&amp;WIDTH=450&amp;","START_MAXIMIZED=FALSE&amp;VAR:CALENDAR=US&amp;VAR:SYMBOL=EMC&amp;VAR:INDEX=0"}</definedName>
    <definedName name="_747__FDSAUDITLINK__" hidden="1">{"fdsup://directions/FAT Viewer?action=UPDATE&amp;creator=factset&amp;DYN_ARGS=TRUE&amp;DOC_NAME=FAT:FQL_AUDITING_CLIENT_TEMPLATE.FAT&amp;display_string=Audit&amp;VAR:KEY=NEFCPMHWXS&amp;VAR:QUERY=UkdGX1RBWF9SQVRFKEFOTiwwLCwsLCwsTk9BVURJVCk=&amp;WINDOW=FIRST_POPUP&amp;HEIGHT=450&amp;WIDTH=450&amp;","START_MAXIMIZED=FALSE&amp;VAR:CALENDAR=US&amp;VAR:SYMBOL=EMC&amp;VAR:INDEX=0"}</definedName>
    <definedName name="_748__FDSAUDITLINK__" localSheetId="3" hidden="1">{"fdsup://directions/FAT Viewer?action=UPDATE&amp;creator=factset&amp;DYN_ARGS=TRUE&amp;DOC_NAME=FAT:FQL_AUDITING_CLIENT_TEMPLATE.FAT&amp;display_string=Audit&amp;VAR:KEY=NGDOXAVYTC&amp;VAR:QUERY=UkdGX1RBWF9SQVRFKEFOTiwwLCwsLCwsTk9BVURJVCk=&amp;WINDOW=FIRST_POPUP&amp;HEIGHT=450&amp;WIDTH=450&amp;","START_MAXIMIZED=FALSE&amp;VAR:CALENDAR=US&amp;VAR:SYMBOL=DTSI&amp;VAR:INDEX=0"}</definedName>
    <definedName name="_748__FDSAUDITLINK__" localSheetId="7" hidden="1">{"fdsup://directions/FAT Viewer?action=UPDATE&amp;creator=factset&amp;DYN_ARGS=TRUE&amp;DOC_NAME=FAT:FQL_AUDITING_CLIENT_TEMPLATE.FAT&amp;display_string=Audit&amp;VAR:KEY=NGDOXAVYTC&amp;VAR:QUERY=UkdGX1RBWF9SQVRFKEFOTiwwLCwsLCwsTk9BVURJVCk=&amp;WINDOW=FIRST_POPUP&amp;HEIGHT=450&amp;WIDTH=450&amp;","START_MAXIMIZED=FALSE&amp;VAR:CALENDAR=US&amp;VAR:SYMBOL=DTSI&amp;VAR:INDEX=0"}</definedName>
    <definedName name="_748__FDSAUDITLINK__" hidden="1">{"fdsup://directions/FAT Viewer?action=UPDATE&amp;creator=factset&amp;DYN_ARGS=TRUE&amp;DOC_NAME=FAT:FQL_AUDITING_CLIENT_TEMPLATE.FAT&amp;display_string=Audit&amp;VAR:KEY=NGDOXAVYTC&amp;VAR:QUERY=UkdGX1RBWF9SQVRFKEFOTiwwLCwsLCwsTk9BVURJVCk=&amp;WINDOW=FIRST_POPUP&amp;HEIGHT=450&amp;WIDTH=450&amp;","START_MAXIMIZED=FALSE&amp;VAR:CALENDAR=US&amp;VAR:SYMBOL=DTSI&amp;VAR:INDEX=0"}</definedName>
    <definedName name="_749__FDSAUDITLINK__" localSheetId="3" hidden="1">{"fdsup://directions/FAT Viewer?action=UPDATE&amp;creator=factset&amp;DYN_ARGS=TRUE&amp;DOC_NAME=FAT:FQL_AUDITING_CLIENT_TEMPLATE.FAT&amp;display_string=Audit&amp;VAR:KEY=NGDOXAVYTC&amp;VAR:QUERY=UkdGX1RBWF9SQVRFKEFOTiwwLCwsLCwsTk9BVURJVCk=&amp;WINDOW=FIRST_POPUP&amp;HEIGHT=450&amp;WIDTH=450&amp;","START_MAXIMIZED=FALSE&amp;VAR:CALENDAR=US&amp;VAR:SYMBOL=DTSI&amp;VAR:INDEX=0"}</definedName>
    <definedName name="_749__FDSAUDITLINK__" localSheetId="7" hidden="1">{"fdsup://directions/FAT Viewer?action=UPDATE&amp;creator=factset&amp;DYN_ARGS=TRUE&amp;DOC_NAME=FAT:FQL_AUDITING_CLIENT_TEMPLATE.FAT&amp;display_string=Audit&amp;VAR:KEY=NGDOXAVYTC&amp;VAR:QUERY=UkdGX1RBWF9SQVRFKEFOTiwwLCwsLCwsTk9BVURJVCk=&amp;WINDOW=FIRST_POPUP&amp;HEIGHT=450&amp;WIDTH=450&amp;","START_MAXIMIZED=FALSE&amp;VAR:CALENDAR=US&amp;VAR:SYMBOL=DTSI&amp;VAR:INDEX=0"}</definedName>
    <definedName name="_749__FDSAUDITLINK__" hidden="1">{"fdsup://directions/FAT Viewer?action=UPDATE&amp;creator=factset&amp;DYN_ARGS=TRUE&amp;DOC_NAME=FAT:FQL_AUDITING_CLIENT_TEMPLATE.FAT&amp;display_string=Audit&amp;VAR:KEY=NGDOXAVYTC&amp;VAR:QUERY=UkdGX1RBWF9SQVRFKEFOTiwwLCwsLCwsTk9BVURJVCk=&amp;WINDOW=FIRST_POPUP&amp;HEIGHT=450&amp;WIDTH=450&amp;","START_MAXIMIZED=FALSE&amp;VAR:CALENDAR=US&amp;VAR:SYMBOL=DTSI&amp;VAR:INDEX=0"}</definedName>
    <definedName name="_75__FDSAUDITLINK__" localSheetId="3" hidden="1">{"fdsup://directions/FAT Viewer?action=UPDATE&amp;creator=factset&amp;DYN_ARGS=TRUE&amp;DOC_NAME=FAT:FQL_AUDITING_CLIENT_TEMPLATE.FAT&amp;display_string=Audit&amp;VAR:KEY=WPSDEPIHAT&amp;VAR:QUERY=RkZfTkVUX0lOQyhMVE0sMCwsLCwsTSk=&amp;WINDOW=FIRST_POPUP&amp;HEIGHT=450&amp;WIDTH=450&amp;START_MAXIMI","ZED=FALSE&amp;VAR:CALENDAR=US&amp;VAR:SYMBOL=B0W1X3&amp;VAR:INDEX=0"}</definedName>
    <definedName name="_75__FDSAUDITLINK__" localSheetId="7" hidden="1">{"fdsup://directions/FAT Viewer?action=UPDATE&amp;creator=factset&amp;DYN_ARGS=TRUE&amp;DOC_NAME=FAT:FQL_AUDITING_CLIENT_TEMPLATE.FAT&amp;display_string=Audit&amp;VAR:KEY=WPSDEPIHAT&amp;VAR:QUERY=RkZfTkVUX0lOQyhMVE0sMCwsLCwsTSk=&amp;WINDOW=FIRST_POPUP&amp;HEIGHT=450&amp;WIDTH=450&amp;START_MAXIMI","ZED=FALSE&amp;VAR:CALENDAR=US&amp;VAR:SYMBOL=B0W1X3&amp;VAR:INDEX=0"}</definedName>
    <definedName name="_75__FDSAUDITLINK__" hidden="1">{"fdsup://directions/FAT Viewer?action=UPDATE&amp;creator=factset&amp;DYN_ARGS=TRUE&amp;DOC_NAME=FAT:FQL_AUDITING_CLIENT_TEMPLATE.FAT&amp;display_string=Audit&amp;VAR:KEY=WPSDEPIHAT&amp;VAR:QUERY=RkZfTkVUX0lOQyhMVE0sMCwsLCwsTSk=&amp;WINDOW=FIRST_POPUP&amp;HEIGHT=450&amp;WIDTH=450&amp;START_MAXIMI","ZED=FALSE&amp;VAR:CALENDAR=US&amp;VAR:SYMBOL=B0W1X3&amp;VAR:INDEX=0"}</definedName>
    <definedName name="_750__FDSAUDITLINK__" localSheetId="3" hidden="1">{"fdsup://directions/FAT Viewer?action=UPDATE&amp;creator=factset&amp;DYN_ARGS=TRUE&amp;DOC_NAME=FAT:FQL_AUDITING_CLIENT_TEMPLATE.FAT&amp;display_string=Audit&amp;VAR:KEY=FQNMXGFSBE&amp;VAR:QUERY=UkdGX1RBWF9SQVRFKEFOTiwwLCwsLCwsTk9BVURJVCk=&amp;WINDOW=FIRST_POPUP&amp;HEIGHT=450&amp;WIDTH=450&amp;","START_MAXIMIZED=FALSE&amp;VAR:CALENDAR=US&amp;VAR:SYMBOL=DNB&amp;VAR:INDEX=0"}</definedName>
    <definedName name="_750__FDSAUDITLINK__" localSheetId="7" hidden="1">{"fdsup://directions/FAT Viewer?action=UPDATE&amp;creator=factset&amp;DYN_ARGS=TRUE&amp;DOC_NAME=FAT:FQL_AUDITING_CLIENT_TEMPLATE.FAT&amp;display_string=Audit&amp;VAR:KEY=FQNMXGFSBE&amp;VAR:QUERY=UkdGX1RBWF9SQVRFKEFOTiwwLCwsLCwsTk9BVURJVCk=&amp;WINDOW=FIRST_POPUP&amp;HEIGHT=450&amp;WIDTH=450&amp;","START_MAXIMIZED=FALSE&amp;VAR:CALENDAR=US&amp;VAR:SYMBOL=DNB&amp;VAR:INDEX=0"}</definedName>
    <definedName name="_750__FDSAUDITLINK__" hidden="1">{"fdsup://directions/FAT Viewer?action=UPDATE&amp;creator=factset&amp;DYN_ARGS=TRUE&amp;DOC_NAME=FAT:FQL_AUDITING_CLIENT_TEMPLATE.FAT&amp;display_string=Audit&amp;VAR:KEY=FQNMXGFSBE&amp;VAR:QUERY=UkdGX1RBWF9SQVRFKEFOTiwwLCwsLCwsTk9BVURJVCk=&amp;WINDOW=FIRST_POPUP&amp;HEIGHT=450&amp;WIDTH=450&amp;","START_MAXIMIZED=FALSE&amp;VAR:CALENDAR=US&amp;VAR:SYMBOL=DNB&amp;VAR:INDEX=0"}</definedName>
    <definedName name="_751__FDSAUDITLINK__" localSheetId="3" hidden="1">{"fdsup://directions/FAT Viewer?action=UPDATE&amp;creator=factset&amp;DYN_ARGS=TRUE&amp;DOC_NAME=FAT:FQL_AUDITING_CLIENT_TEMPLATE.FAT&amp;display_string=Audit&amp;VAR:KEY=FQNMXGFSBE&amp;VAR:QUERY=UkdGX1RBWF9SQVRFKEFOTiwwLCwsLCwsTk9BVURJVCk=&amp;WINDOW=FIRST_POPUP&amp;HEIGHT=450&amp;WIDTH=450&amp;","START_MAXIMIZED=FALSE&amp;VAR:CALENDAR=US&amp;VAR:SYMBOL=DNB&amp;VAR:INDEX=0"}</definedName>
    <definedName name="_751__FDSAUDITLINK__" localSheetId="7" hidden="1">{"fdsup://directions/FAT Viewer?action=UPDATE&amp;creator=factset&amp;DYN_ARGS=TRUE&amp;DOC_NAME=FAT:FQL_AUDITING_CLIENT_TEMPLATE.FAT&amp;display_string=Audit&amp;VAR:KEY=FQNMXGFSBE&amp;VAR:QUERY=UkdGX1RBWF9SQVRFKEFOTiwwLCwsLCwsTk9BVURJVCk=&amp;WINDOW=FIRST_POPUP&amp;HEIGHT=450&amp;WIDTH=450&amp;","START_MAXIMIZED=FALSE&amp;VAR:CALENDAR=US&amp;VAR:SYMBOL=DNB&amp;VAR:INDEX=0"}</definedName>
    <definedName name="_751__FDSAUDITLINK__" hidden="1">{"fdsup://directions/FAT Viewer?action=UPDATE&amp;creator=factset&amp;DYN_ARGS=TRUE&amp;DOC_NAME=FAT:FQL_AUDITING_CLIENT_TEMPLATE.FAT&amp;display_string=Audit&amp;VAR:KEY=FQNMXGFSBE&amp;VAR:QUERY=UkdGX1RBWF9SQVRFKEFOTiwwLCwsLCwsTk9BVURJVCk=&amp;WINDOW=FIRST_POPUP&amp;HEIGHT=450&amp;WIDTH=450&amp;","START_MAXIMIZED=FALSE&amp;VAR:CALENDAR=US&amp;VAR:SYMBOL=DNB&amp;VAR:INDEX=0"}</definedName>
    <definedName name="_752__FDSAUDITLINK__" localSheetId="3" hidden="1">{"fdsup://directions/FAT Viewer?action=UPDATE&amp;creator=factset&amp;DYN_ARGS=TRUE&amp;DOC_NAME=FAT:FQL_AUDITING_CLIENT_TEMPLATE.FAT&amp;display_string=Audit&amp;VAR:KEY=HWRAVGTIVQ&amp;VAR:QUERY=UkdGX1RBWF9SQVRFKEFOTiwwLCwsLCwsTk9BVURJVCk=&amp;WINDOW=FIRST_POPUP&amp;HEIGHT=450&amp;WIDTH=450&amp;","START_MAXIMIZED=FALSE&amp;VAR:CALENDAR=US&amp;VAR:SYMBOL=DRIV&amp;VAR:INDEX=0"}</definedName>
    <definedName name="_752__FDSAUDITLINK__" localSheetId="7" hidden="1">{"fdsup://directions/FAT Viewer?action=UPDATE&amp;creator=factset&amp;DYN_ARGS=TRUE&amp;DOC_NAME=FAT:FQL_AUDITING_CLIENT_TEMPLATE.FAT&amp;display_string=Audit&amp;VAR:KEY=HWRAVGTIVQ&amp;VAR:QUERY=UkdGX1RBWF9SQVRFKEFOTiwwLCwsLCwsTk9BVURJVCk=&amp;WINDOW=FIRST_POPUP&amp;HEIGHT=450&amp;WIDTH=450&amp;","START_MAXIMIZED=FALSE&amp;VAR:CALENDAR=US&amp;VAR:SYMBOL=DRIV&amp;VAR:INDEX=0"}</definedName>
    <definedName name="_752__FDSAUDITLINK__" hidden="1">{"fdsup://directions/FAT Viewer?action=UPDATE&amp;creator=factset&amp;DYN_ARGS=TRUE&amp;DOC_NAME=FAT:FQL_AUDITING_CLIENT_TEMPLATE.FAT&amp;display_string=Audit&amp;VAR:KEY=HWRAVGTIVQ&amp;VAR:QUERY=UkdGX1RBWF9SQVRFKEFOTiwwLCwsLCwsTk9BVURJVCk=&amp;WINDOW=FIRST_POPUP&amp;HEIGHT=450&amp;WIDTH=450&amp;","START_MAXIMIZED=FALSE&amp;VAR:CALENDAR=US&amp;VAR:SYMBOL=DRIV&amp;VAR:INDEX=0"}</definedName>
    <definedName name="_753__FDSAUDITLINK__" localSheetId="3" hidden="1">{"fdsup://directions/FAT Viewer?action=UPDATE&amp;creator=factset&amp;DYN_ARGS=TRUE&amp;DOC_NAME=FAT:FQL_AUDITING_CLIENT_TEMPLATE.FAT&amp;display_string=Audit&amp;VAR:KEY=HWRAVGTIVQ&amp;VAR:QUERY=UkdGX1RBWF9SQVRFKEFOTiwwLCwsLCwsTk9BVURJVCk=&amp;WINDOW=FIRST_POPUP&amp;HEIGHT=450&amp;WIDTH=450&amp;","START_MAXIMIZED=FALSE&amp;VAR:CALENDAR=US&amp;VAR:SYMBOL=DRIV&amp;VAR:INDEX=0"}</definedName>
    <definedName name="_753__FDSAUDITLINK__" localSheetId="7" hidden="1">{"fdsup://directions/FAT Viewer?action=UPDATE&amp;creator=factset&amp;DYN_ARGS=TRUE&amp;DOC_NAME=FAT:FQL_AUDITING_CLIENT_TEMPLATE.FAT&amp;display_string=Audit&amp;VAR:KEY=HWRAVGTIVQ&amp;VAR:QUERY=UkdGX1RBWF9SQVRFKEFOTiwwLCwsLCwsTk9BVURJVCk=&amp;WINDOW=FIRST_POPUP&amp;HEIGHT=450&amp;WIDTH=450&amp;","START_MAXIMIZED=FALSE&amp;VAR:CALENDAR=US&amp;VAR:SYMBOL=DRIV&amp;VAR:INDEX=0"}</definedName>
    <definedName name="_753__FDSAUDITLINK__" hidden="1">{"fdsup://directions/FAT Viewer?action=UPDATE&amp;creator=factset&amp;DYN_ARGS=TRUE&amp;DOC_NAME=FAT:FQL_AUDITING_CLIENT_TEMPLATE.FAT&amp;display_string=Audit&amp;VAR:KEY=HWRAVGTIVQ&amp;VAR:QUERY=UkdGX1RBWF9SQVRFKEFOTiwwLCwsLCwsTk9BVURJVCk=&amp;WINDOW=FIRST_POPUP&amp;HEIGHT=450&amp;WIDTH=450&amp;","START_MAXIMIZED=FALSE&amp;VAR:CALENDAR=US&amp;VAR:SYMBOL=DRIV&amp;VAR:INDEX=0"}</definedName>
    <definedName name="_754__FDSAUDITLINK__" localSheetId="3" hidden="1">{"fdsup://directions/FAT Viewer?action=UPDATE&amp;creator=factset&amp;DYN_ARGS=TRUE&amp;DOC_NAME=FAT:FQL_AUDITING_CLIENT_TEMPLATE.FAT&amp;display_string=Audit&amp;VAR:KEY=HSLKNYFQXW&amp;VAR:QUERY=UkdGX1RBWF9SQVRFKEFOTiwwLCwsLCwsTk9BVURJVCk=&amp;WINDOW=FIRST_POPUP&amp;HEIGHT=450&amp;WIDTH=450&amp;","START_MAXIMIZED=FALSE&amp;VAR:CALENDAR=US&amp;VAR:SYMBOL=DMAN&amp;VAR:INDEX=0"}</definedName>
    <definedName name="_754__FDSAUDITLINK__" localSheetId="7" hidden="1">{"fdsup://directions/FAT Viewer?action=UPDATE&amp;creator=factset&amp;DYN_ARGS=TRUE&amp;DOC_NAME=FAT:FQL_AUDITING_CLIENT_TEMPLATE.FAT&amp;display_string=Audit&amp;VAR:KEY=HSLKNYFQXW&amp;VAR:QUERY=UkdGX1RBWF9SQVRFKEFOTiwwLCwsLCwsTk9BVURJVCk=&amp;WINDOW=FIRST_POPUP&amp;HEIGHT=450&amp;WIDTH=450&amp;","START_MAXIMIZED=FALSE&amp;VAR:CALENDAR=US&amp;VAR:SYMBOL=DMAN&amp;VAR:INDEX=0"}</definedName>
    <definedName name="_754__FDSAUDITLINK__" hidden="1">{"fdsup://directions/FAT Viewer?action=UPDATE&amp;creator=factset&amp;DYN_ARGS=TRUE&amp;DOC_NAME=FAT:FQL_AUDITING_CLIENT_TEMPLATE.FAT&amp;display_string=Audit&amp;VAR:KEY=HSLKNYFQXW&amp;VAR:QUERY=UkdGX1RBWF9SQVRFKEFOTiwwLCwsLCwsTk9BVURJVCk=&amp;WINDOW=FIRST_POPUP&amp;HEIGHT=450&amp;WIDTH=450&amp;","START_MAXIMIZED=FALSE&amp;VAR:CALENDAR=US&amp;VAR:SYMBOL=DMAN&amp;VAR:INDEX=0"}</definedName>
    <definedName name="_755__FDSAUDITLINK__" localSheetId="3" hidden="1">{"fdsup://directions/FAT Viewer?action=UPDATE&amp;creator=factset&amp;DYN_ARGS=TRUE&amp;DOC_NAME=FAT:FQL_AUDITING_CLIENT_TEMPLATE.FAT&amp;display_string=Audit&amp;VAR:KEY=XOVSBIJGHW&amp;VAR:QUERY=UkdGX1RBWF9SQVRFKEFOTiwwLCwsLCwsTk9BVURJVCk=&amp;WINDOW=FIRST_POPUP&amp;HEIGHT=450&amp;WIDTH=450&amp;","START_MAXIMIZED=FALSE&amp;VAR:CALENDAR=US&amp;VAR:SYMBOL=DELL&amp;VAR:INDEX=0"}</definedName>
    <definedName name="_755__FDSAUDITLINK__" localSheetId="7" hidden="1">{"fdsup://directions/FAT Viewer?action=UPDATE&amp;creator=factset&amp;DYN_ARGS=TRUE&amp;DOC_NAME=FAT:FQL_AUDITING_CLIENT_TEMPLATE.FAT&amp;display_string=Audit&amp;VAR:KEY=XOVSBIJGHW&amp;VAR:QUERY=UkdGX1RBWF9SQVRFKEFOTiwwLCwsLCwsTk9BVURJVCk=&amp;WINDOW=FIRST_POPUP&amp;HEIGHT=450&amp;WIDTH=450&amp;","START_MAXIMIZED=FALSE&amp;VAR:CALENDAR=US&amp;VAR:SYMBOL=DELL&amp;VAR:INDEX=0"}</definedName>
    <definedName name="_755__FDSAUDITLINK__" hidden="1">{"fdsup://directions/FAT Viewer?action=UPDATE&amp;creator=factset&amp;DYN_ARGS=TRUE&amp;DOC_NAME=FAT:FQL_AUDITING_CLIENT_TEMPLATE.FAT&amp;display_string=Audit&amp;VAR:KEY=XOVSBIJGHW&amp;VAR:QUERY=UkdGX1RBWF9SQVRFKEFOTiwwLCwsLCwsTk9BVURJVCk=&amp;WINDOW=FIRST_POPUP&amp;HEIGHT=450&amp;WIDTH=450&amp;","START_MAXIMIZED=FALSE&amp;VAR:CALENDAR=US&amp;VAR:SYMBOL=DELL&amp;VAR:INDEX=0"}</definedName>
    <definedName name="_756__FDSAUDITLINK__" localSheetId="3" hidden="1">{"fdsup://directions/FAT Viewer?action=UPDATE&amp;creator=factset&amp;DYN_ARGS=TRUE&amp;DOC_NAME=FAT:FQL_AUDITING_CLIENT_TEMPLATE.FAT&amp;display_string=Audit&amp;VAR:KEY=XOVSBIJGHW&amp;VAR:QUERY=UkdGX1RBWF9SQVRFKEFOTiwwLCwsLCwsTk9BVURJVCk=&amp;WINDOW=FIRST_POPUP&amp;HEIGHT=450&amp;WIDTH=450&amp;","START_MAXIMIZED=FALSE&amp;VAR:CALENDAR=US&amp;VAR:SYMBOL=DELL&amp;VAR:INDEX=0"}</definedName>
    <definedName name="_756__FDSAUDITLINK__" localSheetId="7" hidden="1">{"fdsup://directions/FAT Viewer?action=UPDATE&amp;creator=factset&amp;DYN_ARGS=TRUE&amp;DOC_NAME=FAT:FQL_AUDITING_CLIENT_TEMPLATE.FAT&amp;display_string=Audit&amp;VAR:KEY=XOVSBIJGHW&amp;VAR:QUERY=UkdGX1RBWF9SQVRFKEFOTiwwLCwsLCwsTk9BVURJVCk=&amp;WINDOW=FIRST_POPUP&amp;HEIGHT=450&amp;WIDTH=450&amp;","START_MAXIMIZED=FALSE&amp;VAR:CALENDAR=US&amp;VAR:SYMBOL=DELL&amp;VAR:INDEX=0"}</definedName>
    <definedName name="_756__FDSAUDITLINK__" hidden="1">{"fdsup://directions/FAT Viewer?action=UPDATE&amp;creator=factset&amp;DYN_ARGS=TRUE&amp;DOC_NAME=FAT:FQL_AUDITING_CLIENT_TEMPLATE.FAT&amp;display_string=Audit&amp;VAR:KEY=XOVSBIJGHW&amp;VAR:QUERY=UkdGX1RBWF9SQVRFKEFOTiwwLCwsLCwsTk9BVURJVCk=&amp;WINDOW=FIRST_POPUP&amp;HEIGHT=450&amp;WIDTH=450&amp;","START_MAXIMIZED=FALSE&amp;VAR:CALENDAR=US&amp;VAR:SYMBOL=DELL&amp;VAR:INDEX=0"}</definedName>
    <definedName name="_757__FDSAUDITLINK__" localSheetId="3" hidden="1">{"fdsup://directions/FAT Viewer?action=UPDATE&amp;creator=factset&amp;DYN_ARGS=TRUE&amp;DOC_NAME=FAT:FQL_AUDITING_CLIENT_TEMPLATE.FAT&amp;display_string=Audit&amp;VAR:KEY=TQZSFAVETI&amp;VAR:QUERY=UkdGX1RBWF9SQVRFKEFOTiwwLCwsLCwsTk9BVURJVCk=&amp;WINDOW=FIRST_POPUP&amp;HEIGHT=450&amp;WIDTH=450&amp;","START_MAXIMIZED=FALSE&amp;VAR:CALENDAR=US&amp;VAR:SYMBOL=DWSN&amp;VAR:INDEX=0"}</definedName>
    <definedName name="_757__FDSAUDITLINK__" localSheetId="7" hidden="1">{"fdsup://directions/FAT Viewer?action=UPDATE&amp;creator=factset&amp;DYN_ARGS=TRUE&amp;DOC_NAME=FAT:FQL_AUDITING_CLIENT_TEMPLATE.FAT&amp;display_string=Audit&amp;VAR:KEY=TQZSFAVETI&amp;VAR:QUERY=UkdGX1RBWF9SQVRFKEFOTiwwLCwsLCwsTk9BVURJVCk=&amp;WINDOW=FIRST_POPUP&amp;HEIGHT=450&amp;WIDTH=450&amp;","START_MAXIMIZED=FALSE&amp;VAR:CALENDAR=US&amp;VAR:SYMBOL=DWSN&amp;VAR:INDEX=0"}</definedName>
    <definedName name="_757__FDSAUDITLINK__" hidden="1">{"fdsup://directions/FAT Viewer?action=UPDATE&amp;creator=factset&amp;DYN_ARGS=TRUE&amp;DOC_NAME=FAT:FQL_AUDITING_CLIENT_TEMPLATE.FAT&amp;display_string=Audit&amp;VAR:KEY=TQZSFAVETI&amp;VAR:QUERY=UkdGX1RBWF9SQVRFKEFOTiwwLCwsLCwsTk9BVURJVCk=&amp;WINDOW=FIRST_POPUP&amp;HEIGHT=450&amp;WIDTH=450&amp;","START_MAXIMIZED=FALSE&amp;VAR:CALENDAR=US&amp;VAR:SYMBOL=DWSN&amp;VAR:INDEX=0"}</definedName>
    <definedName name="_758__FDSAUDITLINK__" localSheetId="3" hidden="1">{"fdsup://directions/FAT Viewer?action=UPDATE&amp;creator=factset&amp;DYN_ARGS=TRUE&amp;DOC_NAME=FAT:FQL_AUDITING_CLIENT_TEMPLATE.FAT&amp;display_string=Audit&amp;VAR:KEY=BCJCVWJONC&amp;VAR:QUERY=UkdGX1RBWF9SQVRFKEFOTiwwLCwsLCwsTk9BVURJVCk=&amp;WINDOW=FIRST_POPUP&amp;HEIGHT=450&amp;WIDTH=450&amp;","START_MAXIMIZED=FALSE&amp;VAR:CALENDAR=US&amp;VAR:SYMBOL=533004&amp;VAR:INDEX=0"}</definedName>
    <definedName name="_758__FDSAUDITLINK__" localSheetId="7" hidden="1">{"fdsup://directions/FAT Viewer?action=UPDATE&amp;creator=factset&amp;DYN_ARGS=TRUE&amp;DOC_NAME=FAT:FQL_AUDITING_CLIENT_TEMPLATE.FAT&amp;display_string=Audit&amp;VAR:KEY=BCJCVWJONC&amp;VAR:QUERY=UkdGX1RBWF9SQVRFKEFOTiwwLCwsLCwsTk9BVURJVCk=&amp;WINDOW=FIRST_POPUP&amp;HEIGHT=450&amp;WIDTH=450&amp;","START_MAXIMIZED=FALSE&amp;VAR:CALENDAR=US&amp;VAR:SYMBOL=533004&amp;VAR:INDEX=0"}</definedName>
    <definedName name="_758__FDSAUDITLINK__" hidden="1">{"fdsup://directions/FAT Viewer?action=UPDATE&amp;creator=factset&amp;DYN_ARGS=TRUE&amp;DOC_NAME=FAT:FQL_AUDITING_CLIENT_TEMPLATE.FAT&amp;display_string=Audit&amp;VAR:KEY=BCJCVWJONC&amp;VAR:QUERY=UkdGX1RBWF9SQVRFKEFOTiwwLCwsLCwsTk9BVURJVCk=&amp;WINDOW=FIRST_POPUP&amp;HEIGHT=450&amp;WIDTH=450&amp;","START_MAXIMIZED=FALSE&amp;VAR:CALENDAR=US&amp;VAR:SYMBOL=533004&amp;VAR:INDEX=0"}</definedName>
    <definedName name="_759__FDSAUDITLINK__" localSheetId="3" hidden="1">{"fdsup://directions/FAT Viewer?action=UPDATE&amp;creator=factset&amp;DYN_ARGS=TRUE&amp;DOC_NAME=FAT:FQL_AUDITING_CLIENT_TEMPLATE.FAT&amp;display_string=Audit&amp;VAR:KEY=BCJCVWJONC&amp;VAR:QUERY=UkdGX1RBWF9SQVRFKEFOTiwwLCwsLCwsTk9BVURJVCk=&amp;WINDOW=FIRST_POPUP&amp;HEIGHT=450&amp;WIDTH=450&amp;","START_MAXIMIZED=FALSE&amp;VAR:CALENDAR=US&amp;VAR:SYMBOL=533004&amp;VAR:INDEX=0"}</definedName>
    <definedName name="_759__FDSAUDITLINK__" localSheetId="7" hidden="1">{"fdsup://directions/FAT Viewer?action=UPDATE&amp;creator=factset&amp;DYN_ARGS=TRUE&amp;DOC_NAME=FAT:FQL_AUDITING_CLIENT_TEMPLATE.FAT&amp;display_string=Audit&amp;VAR:KEY=BCJCVWJONC&amp;VAR:QUERY=UkdGX1RBWF9SQVRFKEFOTiwwLCwsLCwsTk9BVURJVCk=&amp;WINDOW=FIRST_POPUP&amp;HEIGHT=450&amp;WIDTH=450&amp;","START_MAXIMIZED=FALSE&amp;VAR:CALENDAR=US&amp;VAR:SYMBOL=533004&amp;VAR:INDEX=0"}</definedName>
    <definedName name="_759__FDSAUDITLINK__" hidden="1">{"fdsup://directions/FAT Viewer?action=UPDATE&amp;creator=factset&amp;DYN_ARGS=TRUE&amp;DOC_NAME=FAT:FQL_AUDITING_CLIENT_TEMPLATE.FAT&amp;display_string=Audit&amp;VAR:KEY=BCJCVWJONC&amp;VAR:QUERY=UkdGX1RBWF9SQVRFKEFOTiwwLCwsLCwsTk9BVURJVCk=&amp;WINDOW=FIRST_POPUP&amp;HEIGHT=450&amp;WIDTH=450&amp;","START_MAXIMIZED=FALSE&amp;VAR:CALENDAR=US&amp;VAR:SYMBOL=533004&amp;VAR:INDEX=0"}</definedName>
    <definedName name="_76__FDSAUDITLINK__" localSheetId="3" hidden="1">{"fdsup://directions/FAT Viewer?action=UPDATE&amp;creator=factset&amp;DYN_ARGS=TRUE&amp;DOC_NAME=FAT:FQL_AUDITING_CLIENT_TEMPLATE.FAT&amp;display_string=Audit&amp;VAR:KEY=GLCHSVYXGV&amp;VAR:QUERY=RkZfRUJJVERBX09QRVIoTFRNLDAsLCwsLE0p&amp;WINDOW=FIRST_POPUP&amp;HEIGHT=450&amp;WIDTH=450&amp;START_MA","XIMIZED=FALSE&amp;VAR:CALENDAR=US&amp;VAR:SYMBOL=B0W1X3&amp;VAR:INDEX=0"}</definedName>
    <definedName name="_76__FDSAUDITLINK__" localSheetId="7" hidden="1">{"fdsup://directions/FAT Viewer?action=UPDATE&amp;creator=factset&amp;DYN_ARGS=TRUE&amp;DOC_NAME=FAT:FQL_AUDITING_CLIENT_TEMPLATE.FAT&amp;display_string=Audit&amp;VAR:KEY=GLCHSVYXGV&amp;VAR:QUERY=RkZfRUJJVERBX09QRVIoTFRNLDAsLCwsLE0p&amp;WINDOW=FIRST_POPUP&amp;HEIGHT=450&amp;WIDTH=450&amp;START_MA","XIMIZED=FALSE&amp;VAR:CALENDAR=US&amp;VAR:SYMBOL=B0W1X3&amp;VAR:INDEX=0"}</definedName>
    <definedName name="_76__FDSAUDITLINK__" hidden="1">{"fdsup://directions/FAT Viewer?action=UPDATE&amp;creator=factset&amp;DYN_ARGS=TRUE&amp;DOC_NAME=FAT:FQL_AUDITING_CLIENT_TEMPLATE.FAT&amp;display_string=Audit&amp;VAR:KEY=GLCHSVYXGV&amp;VAR:QUERY=RkZfRUJJVERBX09QRVIoTFRNLDAsLCwsLE0p&amp;WINDOW=FIRST_POPUP&amp;HEIGHT=450&amp;WIDTH=450&amp;START_MA","XIMIZED=FALSE&amp;VAR:CALENDAR=US&amp;VAR:SYMBOL=B0W1X3&amp;VAR:INDEX=0"}</definedName>
    <definedName name="_760__FDSAUDITLINK__" localSheetId="3" hidden="1">{"fdsup://directions/FAT Viewer?action=UPDATE&amp;creator=factset&amp;DYN_ARGS=TRUE&amp;DOC_NAME=FAT:FQL_AUDITING_CLIENT_TEMPLATE.FAT&amp;display_string=Audit&amp;VAR:KEY=HGPODOHMBS&amp;VAR:QUERY=UkdGX1RBWF9SQVRFKEFOTiwwLCwsLCwsTk9BVURJVCk=&amp;WINDOW=FIRST_POPUP&amp;HEIGHT=450&amp;WIDTH=450&amp;","START_MAXIMIZED=FALSE&amp;VAR:CALENDAR=US&amp;VAR:SYMBOL=CSGS&amp;VAR:INDEX=0"}</definedName>
    <definedName name="_760__FDSAUDITLINK__" localSheetId="7" hidden="1">{"fdsup://directions/FAT Viewer?action=UPDATE&amp;creator=factset&amp;DYN_ARGS=TRUE&amp;DOC_NAME=FAT:FQL_AUDITING_CLIENT_TEMPLATE.FAT&amp;display_string=Audit&amp;VAR:KEY=HGPODOHMBS&amp;VAR:QUERY=UkdGX1RBWF9SQVRFKEFOTiwwLCwsLCwsTk9BVURJVCk=&amp;WINDOW=FIRST_POPUP&amp;HEIGHT=450&amp;WIDTH=450&amp;","START_MAXIMIZED=FALSE&amp;VAR:CALENDAR=US&amp;VAR:SYMBOL=CSGS&amp;VAR:INDEX=0"}</definedName>
    <definedName name="_760__FDSAUDITLINK__" hidden="1">{"fdsup://directions/FAT Viewer?action=UPDATE&amp;creator=factset&amp;DYN_ARGS=TRUE&amp;DOC_NAME=FAT:FQL_AUDITING_CLIENT_TEMPLATE.FAT&amp;display_string=Audit&amp;VAR:KEY=HGPODOHMBS&amp;VAR:QUERY=UkdGX1RBWF9SQVRFKEFOTiwwLCwsLCwsTk9BVURJVCk=&amp;WINDOW=FIRST_POPUP&amp;HEIGHT=450&amp;WIDTH=450&amp;","START_MAXIMIZED=FALSE&amp;VAR:CALENDAR=US&amp;VAR:SYMBOL=CSGS&amp;VAR:INDEX=0"}</definedName>
    <definedName name="_761__FDSAUDITLINK__" localSheetId="3" hidden="1">{"fdsup://directions/FAT Viewer?action=UPDATE&amp;creator=factset&amp;DYN_ARGS=TRUE&amp;DOC_NAME=FAT:FQL_AUDITING_CLIENT_TEMPLATE.FAT&amp;display_string=Audit&amp;VAR:KEY=HGPODOHMBS&amp;VAR:QUERY=UkdGX1RBWF9SQVRFKEFOTiwwLCwsLCwsTk9BVURJVCk=&amp;WINDOW=FIRST_POPUP&amp;HEIGHT=450&amp;WIDTH=450&amp;","START_MAXIMIZED=FALSE&amp;VAR:CALENDAR=US&amp;VAR:SYMBOL=CSGS&amp;VAR:INDEX=0"}</definedName>
    <definedName name="_761__FDSAUDITLINK__" localSheetId="7" hidden="1">{"fdsup://directions/FAT Viewer?action=UPDATE&amp;creator=factset&amp;DYN_ARGS=TRUE&amp;DOC_NAME=FAT:FQL_AUDITING_CLIENT_TEMPLATE.FAT&amp;display_string=Audit&amp;VAR:KEY=HGPODOHMBS&amp;VAR:QUERY=UkdGX1RBWF9SQVRFKEFOTiwwLCwsLCwsTk9BVURJVCk=&amp;WINDOW=FIRST_POPUP&amp;HEIGHT=450&amp;WIDTH=450&amp;","START_MAXIMIZED=FALSE&amp;VAR:CALENDAR=US&amp;VAR:SYMBOL=CSGS&amp;VAR:INDEX=0"}</definedName>
    <definedName name="_761__FDSAUDITLINK__" hidden="1">{"fdsup://directions/FAT Viewer?action=UPDATE&amp;creator=factset&amp;DYN_ARGS=TRUE&amp;DOC_NAME=FAT:FQL_AUDITING_CLIENT_TEMPLATE.FAT&amp;display_string=Audit&amp;VAR:KEY=HGPODOHMBS&amp;VAR:QUERY=UkdGX1RBWF9SQVRFKEFOTiwwLCwsLCwsTk9BVURJVCk=&amp;WINDOW=FIRST_POPUP&amp;HEIGHT=450&amp;WIDTH=450&amp;","START_MAXIMIZED=FALSE&amp;VAR:CALENDAR=US&amp;VAR:SYMBOL=CSGS&amp;VAR:INDEX=0"}</definedName>
    <definedName name="_762__FDSAUDITLINK__" localSheetId="3" hidden="1">{"fdsup://directions/FAT Viewer?action=UPDATE&amp;creator=factset&amp;DYN_ARGS=TRUE&amp;DOC_NAME=FAT:FQL_AUDITING_CLIENT_TEMPLATE.FAT&amp;display_string=Audit&amp;VAR:KEY=JUBQHEDOXM&amp;VAR:QUERY=UkdGX1RBWF9SQVRFKEFOTiwwLCwsLCwsTk9BVURJVCk=&amp;WINDOW=FIRST_POPUP&amp;HEIGHT=450&amp;WIDTH=450&amp;","START_MAXIMIZED=FALSE&amp;VAR:CALENDAR=US&amp;VAR:SYMBOL=EXBD&amp;VAR:INDEX=0"}</definedName>
    <definedName name="_762__FDSAUDITLINK__" localSheetId="7" hidden="1">{"fdsup://directions/FAT Viewer?action=UPDATE&amp;creator=factset&amp;DYN_ARGS=TRUE&amp;DOC_NAME=FAT:FQL_AUDITING_CLIENT_TEMPLATE.FAT&amp;display_string=Audit&amp;VAR:KEY=JUBQHEDOXM&amp;VAR:QUERY=UkdGX1RBWF9SQVRFKEFOTiwwLCwsLCwsTk9BVURJVCk=&amp;WINDOW=FIRST_POPUP&amp;HEIGHT=450&amp;WIDTH=450&amp;","START_MAXIMIZED=FALSE&amp;VAR:CALENDAR=US&amp;VAR:SYMBOL=EXBD&amp;VAR:INDEX=0"}</definedName>
    <definedName name="_762__FDSAUDITLINK__" hidden="1">{"fdsup://directions/FAT Viewer?action=UPDATE&amp;creator=factset&amp;DYN_ARGS=TRUE&amp;DOC_NAME=FAT:FQL_AUDITING_CLIENT_TEMPLATE.FAT&amp;display_string=Audit&amp;VAR:KEY=JUBQHEDOXM&amp;VAR:QUERY=UkdGX1RBWF9SQVRFKEFOTiwwLCwsLCwsTk9BVURJVCk=&amp;WINDOW=FIRST_POPUP&amp;HEIGHT=450&amp;WIDTH=450&amp;","START_MAXIMIZED=FALSE&amp;VAR:CALENDAR=US&amp;VAR:SYMBOL=EXBD&amp;VAR:INDEX=0"}</definedName>
    <definedName name="_763__FDSAUDITLINK__" localSheetId="3" hidden="1">{"fdsup://directions/FAT Viewer?action=UPDATE&amp;creator=factset&amp;DYN_ARGS=TRUE&amp;DOC_NAME=FAT:FQL_AUDITING_CLIENT_TEMPLATE.FAT&amp;display_string=Audit&amp;VAR:KEY=JUBQHEDOXM&amp;VAR:QUERY=UkdGX1RBWF9SQVRFKEFOTiwwLCwsLCwsTk9BVURJVCk=&amp;WINDOW=FIRST_POPUP&amp;HEIGHT=450&amp;WIDTH=450&amp;","START_MAXIMIZED=FALSE&amp;VAR:CALENDAR=US&amp;VAR:SYMBOL=EXBD&amp;VAR:INDEX=0"}</definedName>
    <definedName name="_763__FDSAUDITLINK__" localSheetId="7" hidden="1">{"fdsup://directions/FAT Viewer?action=UPDATE&amp;creator=factset&amp;DYN_ARGS=TRUE&amp;DOC_NAME=FAT:FQL_AUDITING_CLIENT_TEMPLATE.FAT&amp;display_string=Audit&amp;VAR:KEY=JUBQHEDOXM&amp;VAR:QUERY=UkdGX1RBWF9SQVRFKEFOTiwwLCwsLCwsTk9BVURJVCk=&amp;WINDOW=FIRST_POPUP&amp;HEIGHT=450&amp;WIDTH=450&amp;","START_MAXIMIZED=FALSE&amp;VAR:CALENDAR=US&amp;VAR:SYMBOL=EXBD&amp;VAR:INDEX=0"}</definedName>
    <definedName name="_763__FDSAUDITLINK__" hidden="1">{"fdsup://directions/FAT Viewer?action=UPDATE&amp;creator=factset&amp;DYN_ARGS=TRUE&amp;DOC_NAME=FAT:FQL_AUDITING_CLIENT_TEMPLATE.FAT&amp;display_string=Audit&amp;VAR:KEY=JUBQHEDOXM&amp;VAR:QUERY=UkdGX1RBWF9SQVRFKEFOTiwwLCwsLCwsTk9BVURJVCk=&amp;WINDOW=FIRST_POPUP&amp;HEIGHT=450&amp;WIDTH=450&amp;","START_MAXIMIZED=FALSE&amp;VAR:CALENDAR=US&amp;VAR:SYMBOL=EXBD&amp;VAR:INDEX=0"}</definedName>
    <definedName name="_764__FDSAUDITLINK__" localSheetId="3" hidden="1">{"fdsup://directions/FAT Viewer?action=UPDATE&amp;creator=factset&amp;DYN_ARGS=TRUE&amp;DOC_NAME=FAT:FQL_AUDITING_CLIENT_TEMPLATE.FAT&amp;display_string=Audit&amp;VAR:KEY=PQFYROVSFC&amp;VAR:QUERY=UkdGX1RBWF9SQVRFKEFOTiwwLCwsLCwsTk9BVURJVCk=&amp;WINDOW=FIRST_POPUP&amp;HEIGHT=450&amp;WIDTH=450&amp;","START_MAXIMIZED=FALSE&amp;VAR:CALENDAR=US&amp;VAR:SYMBOL=CTCT&amp;VAR:INDEX=0"}</definedName>
    <definedName name="_764__FDSAUDITLINK__" localSheetId="7" hidden="1">{"fdsup://directions/FAT Viewer?action=UPDATE&amp;creator=factset&amp;DYN_ARGS=TRUE&amp;DOC_NAME=FAT:FQL_AUDITING_CLIENT_TEMPLATE.FAT&amp;display_string=Audit&amp;VAR:KEY=PQFYROVSFC&amp;VAR:QUERY=UkdGX1RBWF9SQVRFKEFOTiwwLCwsLCwsTk9BVURJVCk=&amp;WINDOW=FIRST_POPUP&amp;HEIGHT=450&amp;WIDTH=450&amp;","START_MAXIMIZED=FALSE&amp;VAR:CALENDAR=US&amp;VAR:SYMBOL=CTCT&amp;VAR:INDEX=0"}</definedName>
    <definedName name="_764__FDSAUDITLINK__" hidden="1">{"fdsup://directions/FAT Viewer?action=UPDATE&amp;creator=factset&amp;DYN_ARGS=TRUE&amp;DOC_NAME=FAT:FQL_AUDITING_CLIENT_TEMPLATE.FAT&amp;display_string=Audit&amp;VAR:KEY=PQFYROVSFC&amp;VAR:QUERY=UkdGX1RBWF9SQVRFKEFOTiwwLCwsLCwsTk9BVURJVCk=&amp;WINDOW=FIRST_POPUP&amp;HEIGHT=450&amp;WIDTH=450&amp;","START_MAXIMIZED=FALSE&amp;VAR:CALENDAR=US&amp;VAR:SYMBOL=CTCT&amp;VAR:INDEX=0"}</definedName>
    <definedName name="_765__FDSAUDITLINK__" localSheetId="3" hidden="1">{"fdsup://directions/FAT Viewer?action=UPDATE&amp;creator=factset&amp;DYN_ARGS=TRUE&amp;DOC_NAME=FAT:FQL_AUDITING_CLIENT_TEMPLATE.FAT&amp;display_string=Audit&amp;VAR:KEY=PQFYROVSFC&amp;VAR:QUERY=UkdGX1RBWF9SQVRFKEFOTiwwLCwsLCwsTk9BVURJVCk=&amp;WINDOW=FIRST_POPUP&amp;HEIGHT=450&amp;WIDTH=450&amp;","START_MAXIMIZED=FALSE&amp;VAR:CALENDAR=US&amp;VAR:SYMBOL=CTCT&amp;VAR:INDEX=0"}</definedName>
    <definedName name="_765__FDSAUDITLINK__" localSheetId="7" hidden="1">{"fdsup://directions/FAT Viewer?action=UPDATE&amp;creator=factset&amp;DYN_ARGS=TRUE&amp;DOC_NAME=FAT:FQL_AUDITING_CLIENT_TEMPLATE.FAT&amp;display_string=Audit&amp;VAR:KEY=PQFYROVSFC&amp;VAR:QUERY=UkdGX1RBWF9SQVRFKEFOTiwwLCwsLCwsTk9BVURJVCk=&amp;WINDOW=FIRST_POPUP&amp;HEIGHT=450&amp;WIDTH=450&amp;","START_MAXIMIZED=FALSE&amp;VAR:CALENDAR=US&amp;VAR:SYMBOL=CTCT&amp;VAR:INDEX=0"}</definedName>
    <definedName name="_765__FDSAUDITLINK__" hidden="1">{"fdsup://directions/FAT Viewer?action=UPDATE&amp;creator=factset&amp;DYN_ARGS=TRUE&amp;DOC_NAME=FAT:FQL_AUDITING_CLIENT_TEMPLATE.FAT&amp;display_string=Audit&amp;VAR:KEY=PQFYROVSFC&amp;VAR:QUERY=UkdGX1RBWF9SQVRFKEFOTiwwLCwsLCwsTk9BVURJVCk=&amp;WINDOW=FIRST_POPUP&amp;HEIGHT=450&amp;WIDTH=450&amp;","START_MAXIMIZED=FALSE&amp;VAR:CALENDAR=US&amp;VAR:SYMBOL=CTCT&amp;VAR:INDEX=0"}</definedName>
    <definedName name="_766__FDSAUDITLINK__" localSheetId="3" hidden="1">{"fdsup://directions/FAT Viewer?action=UPDATE&amp;creator=factset&amp;DYN_ARGS=TRUE&amp;DOC_NAME=FAT:FQL_AUDITING_CLIENT_TEMPLATE.FAT&amp;display_string=Audit&amp;VAR:KEY=XEJSLGLSVA&amp;VAR:QUERY=UkdGX1RBWF9SQVRFKEFOTiwwLCwsLCwsTk9BVURJVCk=&amp;WINDOW=FIRST_POPUP&amp;HEIGHT=450&amp;WIDTH=450&amp;","START_MAXIMIZED=FALSE&amp;VAR:CALENDAR=US&amp;VAR:SYMBOL=SCOR&amp;VAR:INDEX=0"}</definedName>
    <definedName name="_766__FDSAUDITLINK__" localSheetId="7" hidden="1">{"fdsup://directions/FAT Viewer?action=UPDATE&amp;creator=factset&amp;DYN_ARGS=TRUE&amp;DOC_NAME=FAT:FQL_AUDITING_CLIENT_TEMPLATE.FAT&amp;display_string=Audit&amp;VAR:KEY=XEJSLGLSVA&amp;VAR:QUERY=UkdGX1RBWF9SQVRFKEFOTiwwLCwsLCwsTk9BVURJVCk=&amp;WINDOW=FIRST_POPUP&amp;HEIGHT=450&amp;WIDTH=450&amp;","START_MAXIMIZED=FALSE&amp;VAR:CALENDAR=US&amp;VAR:SYMBOL=SCOR&amp;VAR:INDEX=0"}</definedName>
    <definedName name="_766__FDSAUDITLINK__" hidden="1">{"fdsup://directions/FAT Viewer?action=UPDATE&amp;creator=factset&amp;DYN_ARGS=TRUE&amp;DOC_NAME=FAT:FQL_AUDITING_CLIENT_TEMPLATE.FAT&amp;display_string=Audit&amp;VAR:KEY=XEJSLGLSVA&amp;VAR:QUERY=UkdGX1RBWF9SQVRFKEFOTiwwLCwsLCwsTk9BVURJVCk=&amp;WINDOW=FIRST_POPUP&amp;HEIGHT=450&amp;WIDTH=450&amp;","START_MAXIMIZED=FALSE&amp;VAR:CALENDAR=US&amp;VAR:SYMBOL=SCOR&amp;VAR:INDEX=0"}</definedName>
    <definedName name="_767__FDSAUDITLINK__" localSheetId="3" hidden="1">{"fdsup://directions/FAT Viewer?action=UPDATE&amp;creator=factset&amp;DYN_ARGS=TRUE&amp;DOC_NAME=FAT:FQL_AUDITING_CLIENT_TEMPLATE.FAT&amp;display_string=Audit&amp;VAR:KEY=XEJSLGLSVA&amp;VAR:QUERY=UkdGX1RBWF9SQVRFKEFOTiwwLCwsLCwsTk9BVURJVCk=&amp;WINDOW=FIRST_POPUP&amp;HEIGHT=450&amp;WIDTH=450&amp;","START_MAXIMIZED=FALSE&amp;VAR:CALENDAR=US&amp;VAR:SYMBOL=SCOR&amp;VAR:INDEX=0"}</definedName>
    <definedName name="_767__FDSAUDITLINK__" localSheetId="7" hidden="1">{"fdsup://directions/FAT Viewer?action=UPDATE&amp;creator=factset&amp;DYN_ARGS=TRUE&amp;DOC_NAME=FAT:FQL_AUDITING_CLIENT_TEMPLATE.FAT&amp;display_string=Audit&amp;VAR:KEY=XEJSLGLSVA&amp;VAR:QUERY=UkdGX1RBWF9SQVRFKEFOTiwwLCwsLCwsTk9BVURJVCk=&amp;WINDOW=FIRST_POPUP&amp;HEIGHT=450&amp;WIDTH=450&amp;","START_MAXIMIZED=FALSE&amp;VAR:CALENDAR=US&amp;VAR:SYMBOL=SCOR&amp;VAR:INDEX=0"}</definedName>
    <definedName name="_767__FDSAUDITLINK__" hidden="1">{"fdsup://directions/FAT Viewer?action=UPDATE&amp;creator=factset&amp;DYN_ARGS=TRUE&amp;DOC_NAME=FAT:FQL_AUDITING_CLIENT_TEMPLATE.FAT&amp;display_string=Audit&amp;VAR:KEY=XEJSLGLSVA&amp;VAR:QUERY=UkdGX1RBWF9SQVRFKEFOTiwwLCwsLCwsTk9BVURJVCk=&amp;WINDOW=FIRST_POPUP&amp;HEIGHT=450&amp;WIDTH=450&amp;","START_MAXIMIZED=FALSE&amp;VAR:CALENDAR=US&amp;VAR:SYMBOL=SCOR&amp;VAR:INDEX=0"}</definedName>
    <definedName name="_768__FDSAUDITLINK__" localSheetId="3" hidden="1">{"fdsup://directions/FAT Viewer?action=UPDATE&amp;creator=factset&amp;DYN_ARGS=TRUE&amp;DOC_NAME=FAT:FQL_AUDITING_CLIENT_TEMPLATE.FAT&amp;display_string=Audit&amp;VAR:KEY=ZIBYTCREDA&amp;VAR:QUERY=UkdGX1RBWF9SQVRFKEFOTiwwLCwsLCwsTk9BVURJVCk=&amp;WINDOW=FIRST_POPUP&amp;HEIGHT=450&amp;WIDTH=450&amp;","START_MAXIMIZED=FALSE&amp;VAR:CALENDAR=US&amp;VAR:SYMBOL=509453&amp;VAR:INDEX=0"}</definedName>
    <definedName name="_768__FDSAUDITLINK__" localSheetId="7" hidden="1">{"fdsup://directions/FAT Viewer?action=UPDATE&amp;creator=factset&amp;DYN_ARGS=TRUE&amp;DOC_NAME=FAT:FQL_AUDITING_CLIENT_TEMPLATE.FAT&amp;display_string=Audit&amp;VAR:KEY=ZIBYTCREDA&amp;VAR:QUERY=UkdGX1RBWF9SQVRFKEFOTiwwLCwsLCwsTk9BVURJVCk=&amp;WINDOW=FIRST_POPUP&amp;HEIGHT=450&amp;WIDTH=450&amp;","START_MAXIMIZED=FALSE&amp;VAR:CALENDAR=US&amp;VAR:SYMBOL=509453&amp;VAR:INDEX=0"}</definedName>
    <definedName name="_768__FDSAUDITLINK__" hidden="1">{"fdsup://directions/FAT Viewer?action=UPDATE&amp;creator=factset&amp;DYN_ARGS=TRUE&amp;DOC_NAME=FAT:FQL_AUDITING_CLIENT_TEMPLATE.FAT&amp;display_string=Audit&amp;VAR:KEY=ZIBYTCREDA&amp;VAR:QUERY=UkdGX1RBWF9SQVRFKEFOTiwwLCwsLCwsTk9BVURJVCk=&amp;WINDOW=FIRST_POPUP&amp;HEIGHT=450&amp;WIDTH=450&amp;","START_MAXIMIZED=FALSE&amp;VAR:CALENDAR=US&amp;VAR:SYMBOL=509453&amp;VAR:INDEX=0"}</definedName>
    <definedName name="_769__FDSAUDITLINK__" localSheetId="3" hidden="1">{"fdsup://directions/FAT Viewer?action=UPDATE&amp;creator=factset&amp;DYN_ARGS=TRUE&amp;DOC_NAME=FAT:FQL_AUDITING_CLIENT_TEMPLATE.FAT&amp;display_string=Audit&amp;VAR:KEY=ZIBYTCREDA&amp;VAR:QUERY=UkdGX1RBWF9SQVRFKEFOTiwwLCwsLCwsTk9BVURJVCk=&amp;WINDOW=FIRST_POPUP&amp;HEIGHT=450&amp;WIDTH=450&amp;","START_MAXIMIZED=FALSE&amp;VAR:CALENDAR=US&amp;VAR:SYMBOL=509453&amp;VAR:INDEX=0"}</definedName>
    <definedName name="_769__FDSAUDITLINK__" localSheetId="7" hidden="1">{"fdsup://directions/FAT Viewer?action=UPDATE&amp;creator=factset&amp;DYN_ARGS=TRUE&amp;DOC_NAME=FAT:FQL_AUDITING_CLIENT_TEMPLATE.FAT&amp;display_string=Audit&amp;VAR:KEY=ZIBYTCREDA&amp;VAR:QUERY=UkdGX1RBWF9SQVRFKEFOTiwwLCwsLCwsTk9BVURJVCk=&amp;WINDOW=FIRST_POPUP&amp;HEIGHT=450&amp;WIDTH=450&amp;","START_MAXIMIZED=FALSE&amp;VAR:CALENDAR=US&amp;VAR:SYMBOL=509453&amp;VAR:INDEX=0"}</definedName>
    <definedName name="_769__FDSAUDITLINK__" hidden="1">{"fdsup://directions/FAT Viewer?action=UPDATE&amp;creator=factset&amp;DYN_ARGS=TRUE&amp;DOC_NAME=FAT:FQL_AUDITING_CLIENT_TEMPLATE.FAT&amp;display_string=Audit&amp;VAR:KEY=ZIBYTCREDA&amp;VAR:QUERY=UkdGX1RBWF9SQVRFKEFOTiwwLCwsLCwsTk9BVURJVCk=&amp;WINDOW=FIRST_POPUP&amp;HEIGHT=450&amp;WIDTH=450&amp;","START_MAXIMIZED=FALSE&amp;VAR:CALENDAR=US&amp;VAR:SYMBOL=509453&amp;VAR:INDEX=0"}</definedName>
    <definedName name="_77__FDSAUDITLINK__" localSheetId="3" hidden="1">{"fdsup://directions/FAT Viewer?action=UPDATE&amp;creator=factset&amp;DYN_ARGS=TRUE&amp;DOC_NAME=FAT:FQL_AUDITING_CLIENT_TEMPLATE.FAT&amp;display_string=Audit&amp;VAR:KEY=KNMHOHITWP&amp;VAR:QUERY=RkZfU0FMRVMoTFRNLDAsLCwsLE0p&amp;WINDOW=FIRST_POPUP&amp;HEIGHT=450&amp;WIDTH=450&amp;START_MAXIMIZED=","FALSE&amp;VAR:CALENDAR=US&amp;VAR:SYMBOL=B0W1X3&amp;VAR:INDEX=0"}</definedName>
    <definedName name="_77__FDSAUDITLINK__" localSheetId="7" hidden="1">{"fdsup://directions/FAT Viewer?action=UPDATE&amp;creator=factset&amp;DYN_ARGS=TRUE&amp;DOC_NAME=FAT:FQL_AUDITING_CLIENT_TEMPLATE.FAT&amp;display_string=Audit&amp;VAR:KEY=KNMHOHITWP&amp;VAR:QUERY=RkZfU0FMRVMoTFRNLDAsLCwsLE0p&amp;WINDOW=FIRST_POPUP&amp;HEIGHT=450&amp;WIDTH=450&amp;START_MAXIMIZED=","FALSE&amp;VAR:CALENDAR=US&amp;VAR:SYMBOL=B0W1X3&amp;VAR:INDEX=0"}</definedName>
    <definedName name="_77__FDSAUDITLINK__" hidden="1">{"fdsup://directions/FAT Viewer?action=UPDATE&amp;creator=factset&amp;DYN_ARGS=TRUE&amp;DOC_NAME=FAT:FQL_AUDITING_CLIENT_TEMPLATE.FAT&amp;display_string=Audit&amp;VAR:KEY=KNMHOHITWP&amp;VAR:QUERY=RkZfU0FMRVMoTFRNLDAsLCwsLE0p&amp;WINDOW=FIRST_POPUP&amp;HEIGHT=450&amp;WIDTH=450&amp;START_MAXIMIZED=","FALSE&amp;VAR:CALENDAR=US&amp;VAR:SYMBOL=B0W1X3&amp;VAR:INDEX=0"}</definedName>
    <definedName name="_770__FDSAUDITLINK__" localSheetId="3" hidden="1">{"fdsup://directions/FAT Viewer?action=UPDATE&amp;creator=factset&amp;DYN_ARGS=TRUE&amp;DOC_NAME=FAT:FQL_AUDITING_CLIENT_TEMPLATE.FAT&amp;display_string=Audit&amp;VAR:KEY=LATMNSROFG&amp;VAR:QUERY=UkdGX1RBWF9SQVRFKEFOTiwwLCwsLCwsTk9BVURJVCk=&amp;WINDOW=FIRST_POPUP&amp;HEIGHT=450&amp;WIDTH=450&amp;","START_MAXIMIZED=FALSE&amp;VAR:CALENDAR=US&amp;VAR:SYMBOL=CSC&amp;VAR:INDEX=0"}</definedName>
    <definedName name="_770__FDSAUDITLINK__" localSheetId="7" hidden="1">{"fdsup://directions/FAT Viewer?action=UPDATE&amp;creator=factset&amp;DYN_ARGS=TRUE&amp;DOC_NAME=FAT:FQL_AUDITING_CLIENT_TEMPLATE.FAT&amp;display_string=Audit&amp;VAR:KEY=LATMNSROFG&amp;VAR:QUERY=UkdGX1RBWF9SQVRFKEFOTiwwLCwsLCwsTk9BVURJVCk=&amp;WINDOW=FIRST_POPUP&amp;HEIGHT=450&amp;WIDTH=450&amp;","START_MAXIMIZED=FALSE&amp;VAR:CALENDAR=US&amp;VAR:SYMBOL=CSC&amp;VAR:INDEX=0"}</definedName>
    <definedName name="_770__FDSAUDITLINK__" hidden="1">{"fdsup://directions/FAT Viewer?action=UPDATE&amp;creator=factset&amp;DYN_ARGS=TRUE&amp;DOC_NAME=FAT:FQL_AUDITING_CLIENT_TEMPLATE.FAT&amp;display_string=Audit&amp;VAR:KEY=LATMNSROFG&amp;VAR:QUERY=UkdGX1RBWF9SQVRFKEFOTiwwLCwsLCwsTk9BVURJVCk=&amp;WINDOW=FIRST_POPUP&amp;HEIGHT=450&amp;WIDTH=450&amp;","START_MAXIMIZED=FALSE&amp;VAR:CALENDAR=US&amp;VAR:SYMBOL=CSC&amp;VAR:INDEX=0"}</definedName>
    <definedName name="_771__FDSAUDITLINK__" localSheetId="3" hidden="1">{"fdsup://directions/FAT Viewer?action=UPDATE&amp;creator=factset&amp;DYN_ARGS=TRUE&amp;DOC_NAME=FAT:FQL_AUDITING_CLIENT_TEMPLATE.FAT&amp;display_string=Audit&amp;VAR:KEY=LATMNSROFG&amp;VAR:QUERY=UkdGX1RBWF9SQVRFKEFOTiwwLCwsLCwsTk9BVURJVCk=&amp;WINDOW=FIRST_POPUP&amp;HEIGHT=450&amp;WIDTH=450&amp;","START_MAXIMIZED=FALSE&amp;VAR:CALENDAR=US&amp;VAR:SYMBOL=CSC&amp;VAR:INDEX=0"}</definedName>
    <definedName name="_771__FDSAUDITLINK__" localSheetId="7" hidden="1">{"fdsup://directions/FAT Viewer?action=UPDATE&amp;creator=factset&amp;DYN_ARGS=TRUE&amp;DOC_NAME=FAT:FQL_AUDITING_CLIENT_TEMPLATE.FAT&amp;display_string=Audit&amp;VAR:KEY=LATMNSROFG&amp;VAR:QUERY=UkdGX1RBWF9SQVRFKEFOTiwwLCwsLCwsTk9BVURJVCk=&amp;WINDOW=FIRST_POPUP&amp;HEIGHT=450&amp;WIDTH=450&amp;","START_MAXIMIZED=FALSE&amp;VAR:CALENDAR=US&amp;VAR:SYMBOL=CSC&amp;VAR:INDEX=0"}</definedName>
    <definedName name="_771__FDSAUDITLINK__" hidden="1">{"fdsup://directions/FAT Viewer?action=UPDATE&amp;creator=factset&amp;DYN_ARGS=TRUE&amp;DOC_NAME=FAT:FQL_AUDITING_CLIENT_TEMPLATE.FAT&amp;display_string=Audit&amp;VAR:KEY=LATMNSROFG&amp;VAR:QUERY=UkdGX1RBWF9SQVRFKEFOTiwwLCwsLCwsTk9BVURJVCk=&amp;WINDOW=FIRST_POPUP&amp;HEIGHT=450&amp;WIDTH=450&amp;","START_MAXIMIZED=FALSE&amp;VAR:CALENDAR=US&amp;VAR:SYMBOL=CSC&amp;VAR:INDEX=0"}</definedName>
    <definedName name="_772__FDSAUDITLINK__" localSheetId="3" hidden="1">{"fdsup://directions/FAT Viewer?action=UPDATE&amp;creator=factset&amp;DYN_ARGS=TRUE&amp;DOC_NAME=FAT:FQL_AUDITING_CLIENT_TEMPLATE.FAT&amp;display_string=Audit&amp;VAR:KEY=PSFUPMBOLY&amp;VAR:QUERY=UkdGX1RBWF9SQVRFKEFOTiwwLCwsLCwsTk9BVURJVCk=&amp;WINDOW=FIRST_POPUP&amp;HEIGHT=450&amp;WIDTH=450&amp;","START_MAXIMIZED=FALSE&amp;VAR:CALENDAR=US&amp;VAR:SYMBOL=CHINA&amp;VAR:INDEX=0"}</definedName>
    <definedName name="_772__FDSAUDITLINK__" localSheetId="7" hidden="1">{"fdsup://directions/FAT Viewer?action=UPDATE&amp;creator=factset&amp;DYN_ARGS=TRUE&amp;DOC_NAME=FAT:FQL_AUDITING_CLIENT_TEMPLATE.FAT&amp;display_string=Audit&amp;VAR:KEY=PSFUPMBOLY&amp;VAR:QUERY=UkdGX1RBWF9SQVRFKEFOTiwwLCwsLCwsTk9BVURJVCk=&amp;WINDOW=FIRST_POPUP&amp;HEIGHT=450&amp;WIDTH=450&amp;","START_MAXIMIZED=FALSE&amp;VAR:CALENDAR=US&amp;VAR:SYMBOL=CHINA&amp;VAR:INDEX=0"}</definedName>
    <definedName name="_772__FDSAUDITLINK__" hidden="1">{"fdsup://directions/FAT Viewer?action=UPDATE&amp;creator=factset&amp;DYN_ARGS=TRUE&amp;DOC_NAME=FAT:FQL_AUDITING_CLIENT_TEMPLATE.FAT&amp;display_string=Audit&amp;VAR:KEY=PSFUPMBOLY&amp;VAR:QUERY=UkdGX1RBWF9SQVRFKEFOTiwwLCwsLCwsTk9BVURJVCk=&amp;WINDOW=FIRST_POPUP&amp;HEIGHT=450&amp;WIDTH=450&amp;","START_MAXIMIZED=FALSE&amp;VAR:CALENDAR=US&amp;VAR:SYMBOL=CHINA&amp;VAR:INDEX=0"}</definedName>
    <definedName name="_773__FDSAUDITLINK__" localSheetId="3" hidden="1">{"fdsup://directions/FAT Viewer?action=UPDATE&amp;creator=factset&amp;DYN_ARGS=TRUE&amp;DOC_NAME=FAT:FQL_AUDITING_CLIENT_TEMPLATE.FAT&amp;display_string=Audit&amp;VAR:KEY=PSFUPMBOLY&amp;VAR:QUERY=UkdGX1RBWF9SQVRFKEFOTiwwLCwsLCwsTk9BVURJVCk=&amp;WINDOW=FIRST_POPUP&amp;HEIGHT=450&amp;WIDTH=450&amp;","START_MAXIMIZED=FALSE&amp;VAR:CALENDAR=US&amp;VAR:SYMBOL=CHINA&amp;VAR:INDEX=0"}</definedName>
    <definedName name="_773__FDSAUDITLINK__" localSheetId="7" hidden="1">{"fdsup://directions/FAT Viewer?action=UPDATE&amp;creator=factset&amp;DYN_ARGS=TRUE&amp;DOC_NAME=FAT:FQL_AUDITING_CLIENT_TEMPLATE.FAT&amp;display_string=Audit&amp;VAR:KEY=PSFUPMBOLY&amp;VAR:QUERY=UkdGX1RBWF9SQVRFKEFOTiwwLCwsLCwsTk9BVURJVCk=&amp;WINDOW=FIRST_POPUP&amp;HEIGHT=450&amp;WIDTH=450&amp;","START_MAXIMIZED=FALSE&amp;VAR:CALENDAR=US&amp;VAR:SYMBOL=CHINA&amp;VAR:INDEX=0"}</definedName>
    <definedName name="_773__FDSAUDITLINK__" hidden="1">{"fdsup://directions/FAT Viewer?action=UPDATE&amp;creator=factset&amp;DYN_ARGS=TRUE&amp;DOC_NAME=FAT:FQL_AUDITING_CLIENT_TEMPLATE.FAT&amp;display_string=Audit&amp;VAR:KEY=PSFUPMBOLY&amp;VAR:QUERY=UkdGX1RBWF9SQVRFKEFOTiwwLCwsLCwsTk9BVURJVCk=&amp;WINDOW=FIRST_POPUP&amp;HEIGHT=450&amp;WIDTH=450&amp;","START_MAXIMIZED=FALSE&amp;VAR:CALENDAR=US&amp;VAR:SYMBOL=CHINA&amp;VAR:INDEX=0"}</definedName>
    <definedName name="_774__FDSAUDITLINK__" localSheetId="3" hidden="1">{"fdsup://directions/FAT Viewer?action=UPDATE&amp;creator=factset&amp;DYN_ARGS=TRUE&amp;DOC_NAME=FAT:FQL_AUDITING_CLIENT_TEMPLATE.FAT&amp;display_string=Audit&amp;VAR:KEY=FAVMJSRETM&amp;VAR:QUERY=UkdGX1RBWF9SQVRFKEFOTiwwLCwsLCwsTk9BVURJVCk=&amp;WINDOW=FIRST_POPUP&amp;HEIGHT=450&amp;WIDTH=450&amp;","START_MAXIMIZED=FALSE&amp;VAR:CALENDAR=US&amp;VAR:SYMBOL=CDNS&amp;VAR:INDEX=0"}</definedName>
    <definedName name="_774__FDSAUDITLINK__" localSheetId="7" hidden="1">{"fdsup://directions/FAT Viewer?action=UPDATE&amp;creator=factset&amp;DYN_ARGS=TRUE&amp;DOC_NAME=FAT:FQL_AUDITING_CLIENT_TEMPLATE.FAT&amp;display_string=Audit&amp;VAR:KEY=FAVMJSRETM&amp;VAR:QUERY=UkdGX1RBWF9SQVRFKEFOTiwwLCwsLCwsTk9BVURJVCk=&amp;WINDOW=FIRST_POPUP&amp;HEIGHT=450&amp;WIDTH=450&amp;","START_MAXIMIZED=FALSE&amp;VAR:CALENDAR=US&amp;VAR:SYMBOL=CDNS&amp;VAR:INDEX=0"}</definedName>
    <definedName name="_774__FDSAUDITLINK__" hidden="1">{"fdsup://directions/FAT Viewer?action=UPDATE&amp;creator=factset&amp;DYN_ARGS=TRUE&amp;DOC_NAME=FAT:FQL_AUDITING_CLIENT_TEMPLATE.FAT&amp;display_string=Audit&amp;VAR:KEY=FAVMJSRETM&amp;VAR:QUERY=UkdGX1RBWF9SQVRFKEFOTiwwLCwsLCwsTk9BVURJVCk=&amp;WINDOW=FIRST_POPUP&amp;HEIGHT=450&amp;WIDTH=450&amp;","START_MAXIMIZED=FALSE&amp;VAR:CALENDAR=US&amp;VAR:SYMBOL=CDNS&amp;VAR:INDEX=0"}</definedName>
    <definedName name="_775__FDSAUDITLINK__" localSheetId="3" hidden="1">{"fdsup://directions/FAT Viewer?action=UPDATE&amp;creator=factset&amp;DYN_ARGS=TRUE&amp;DOC_NAME=FAT:FQL_AUDITING_CLIENT_TEMPLATE.FAT&amp;display_string=Audit&amp;VAR:KEY=RAZSRUHCZI&amp;VAR:QUERY=UkdGX1RBWF9SQVRFKEFOTiwwLCwsLCwsTk9BVURJVCk=&amp;WINDOW=FIRST_POPUP&amp;HEIGHT=450&amp;WIDTH=450&amp;","START_MAXIMIZED=FALSE&amp;VAR:CALENDAR=US&amp;VAR:SYMBOL=BVSN&amp;VAR:INDEX=0"}</definedName>
    <definedName name="_775__FDSAUDITLINK__" localSheetId="7" hidden="1">{"fdsup://directions/FAT Viewer?action=UPDATE&amp;creator=factset&amp;DYN_ARGS=TRUE&amp;DOC_NAME=FAT:FQL_AUDITING_CLIENT_TEMPLATE.FAT&amp;display_string=Audit&amp;VAR:KEY=RAZSRUHCZI&amp;VAR:QUERY=UkdGX1RBWF9SQVRFKEFOTiwwLCwsLCwsTk9BVURJVCk=&amp;WINDOW=FIRST_POPUP&amp;HEIGHT=450&amp;WIDTH=450&amp;","START_MAXIMIZED=FALSE&amp;VAR:CALENDAR=US&amp;VAR:SYMBOL=BVSN&amp;VAR:INDEX=0"}</definedName>
    <definedName name="_775__FDSAUDITLINK__" hidden="1">{"fdsup://directions/FAT Viewer?action=UPDATE&amp;creator=factset&amp;DYN_ARGS=TRUE&amp;DOC_NAME=FAT:FQL_AUDITING_CLIENT_TEMPLATE.FAT&amp;display_string=Audit&amp;VAR:KEY=RAZSRUHCZI&amp;VAR:QUERY=UkdGX1RBWF9SQVRFKEFOTiwwLCwsLCwsTk9BVURJVCk=&amp;WINDOW=FIRST_POPUP&amp;HEIGHT=450&amp;WIDTH=450&amp;","START_MAXIMIZED=FALSE&amp;VAR:CALENDAR=US&amp;VAR:SYMBOL=BVSN&amp;VAR:INDEX=0"}</definedName>
    <definedName name="_776__FDSAUDITLINK__" localSheetId="3" hidden="1">{"fdsup://directions/FAT Viewer?action=UPDATE&amp;creator=factset&amp;DYN_ARGS=TRUE&amp;DOC_NAME=FAT:FQL_AUDITING_CLIENT_TEMPLATE.FAT&amp;display_string=Audit&amp;VAR:KEY=VSLKXEVUZU&amp;VAR:QUERY=UkdGX1RBWF9SQVRFKEFOTiwwLCwsLCwsTk9BVURJVCk=&amp;WINDOW=FIRST_POPUP&amp;HEIGHT=450&amp;WIDTH=450&amp;","START_MAXIMIZED=FALSE&amp;VAR:CALENDAR=US&amp;VAR:SYMBOL=BBBB&amp;VAR:INDEX=0"}</definedName>
    <definedName name="_776__FDSAUDITLINK__" localSheetId="7" hidden="1">{"fdsup://directions/FAT Viewer?action=UPDATE&amp;creator=factset&amp;DYN_ARGS=TRUE&amp;DOC_NAME=FAT:FQL_AUDITING_CLIENT_TEMPLATE.FAT&amp;display_string=Audit&amp;VAR:KEY=VSLKXEVUZU&amp;VAR:QUERY=UkdGX1RBWF9SQVRFKEFOTiwwLCwsLCwsTk9BVURJVCk=&amp;WINDOW=FIRST_POPUP&amp;HEIGHT=450&amp;WIDTH=450&amp;","START_MAXIMIZED=FALSE&amp;VAR:CALENDAR=US&amp;VAR:SYMBOL=BBBB&amp;VAR:INDEX=0"}</definedName>
    <definedName name="_776__FDSAUDITLINK__" hidden="1">{"fdsup://directions/FAT Viewer?action=UPDATE&amp;creator=factset&amp;DYN_ARGS=TRUE&amp;DOC_NAME=FAT:FQL_AUDITING_CLIENT_TEMPLATE.FAT&amp;display_string=Audit&amp;VAR:KEY=VSLKXEVUZU&amp;VAR:QUERY=UkdGX1RBWF9SQVRFKEFOTiwwLCwsLCwsTk9BVURJVCk=&amp;WINDOW=FIRST_POPUP&amp;HEIGHT=450&amp;WIDTH=450&amp;","START_MAXIMIZED=FALSE&amp;VAR:CALENDAR=US&amp;VAR:SYMBOL=BBBB&amp;VAR:INDEX=0"}</definedName>
    <definedName name="_777__FDSAUDITLINK__" localSheetId="3" hidden="1">{"fdsup://directions/FAT Viewer?action=UPDATE&amp;creator=factset&amp;DYN_ARGS=TRUE&amp;DOC_NAME=FAT:FQL_AUDITING_CLIENT_TEMPLATE.FAT&amp;display_string=Audit&amp;VAR:KEY=VSLKXEVUZU&amp;VAR:QUERY=UkdGX1RBWF9SQVRFKEFOTiwwLCwsLCwsTk9BVURJVCk=&amp;WINDOW=FIRST_POPUP&amp;HEIGHT=450&amp;WIDTH=450&amp;","START_MAXIMIZED=FALSE&amp;VAR:CALENDAR=US&amp;VAR:SYMBOL=BBBB&amp;VAR:INDEX=0"}</definedName>
    <definedName name="_777__FDSAUDITLINK__" localSheetId="7" hidden="1">{"fdsup://directions/FAT Viewer?action=UPDATE&amp;creator=factset&amp;DYN_ARGS=TRUE&amp;DOC_NAME=FAT:FQL_AUDITING_CLIENT_TEMPLATE.FAT&amp;display_string=Audit&amp;VAR:KEY=VSLKXEVUZU&amp;VAR:QUERY=UkdGX1RBWF9SQVRFKEFOTiwwLCwsLCwsTk9BVURJVCk=&amp;WINDOW=FIRST_POPUP&amp;HEIGHT=450&amp;WIDTH=450&amp;","START_MAXIMIZED=FALSE&amp;VAR:CALENDAR=US&amp;VAR:SYMBOL=BBBB&amp;VAR:INDEX=0"}</definedName>
    <definedName name="_777__FDSAUDITLINK__" hidden="1">{"fdsup://directions/FAT Viewer?action=UPDATE&amp;creator=factset&amp;DYN_ARGS=TRUE&amp;DOC_NAME=FAT:FQL_AUDITING_CLIENT_TEMPLATE.FAT&amp;display_string=Audit&amp;VAR:KEY=VSLKXEVUZU&amp;VAR:QUERY=UkdGX1RBWF9SQVRFKEFOTiwwLCwsLCwsTk9BVURJVCk=&amp;WINDOW=FIRST_POPUP&amp;HEIGHT=450&amp;WIDTH=450&amp;","START_MAXIMIZED=FALSE&amp;VAR:CALENDAR=US&amp;VAR:SYMBOL=BBBB&amp;VAR:INDEX=0"}</definedName>
    <definedName name="_778__FDSAUDITLINK__" localSheetId="3" hidden="1">{"fdsup://directions/FAT Viewer?action=UPDATE&amp;creator=factset&amp;DYN_ARGS=TRUE&amp;DOC_NAME=FAT:FQL_AUDITING_CLIENT_TEMPLATE.FAT&amp;display_string=Audit&amp;VAR:KEY=LILGLGHOLQ&amp;VAR:QUERY=UkdGX1RBWF9SQVRFKEFOTiwwLCwsLCwsTk9BVURJVCk=&amp;WINDOW=FIRST_POPUP&amp;HEIGHT=450&amp;WIDTH=450&amp;","START_MAXIMIZED=FALSE&amp;VAR:CALENDAR=US&amp;VAR:SYMBOL=586161&amp;VAR:INDEX=0"}</definedName>
    <definedName name="_778__FDSAUDITLINK__" localSheetId="7" hidden="1">{"fdsup://directions/FAT Viewer?action=UPDATE&amp;creator=factset&amp;DYN_ARGS=TRUE&amp;DOC_NAME=FAT:FQL_AUDITING_CLIENT_TEMPLATE.FAT&amp;display_string=Audit&amp;VAR:KEY=LILGLGHOLQ&amp;VAR:QUERY=UkdGX1RBWF9SQVRFKEFOTiwwLCwsLCwsTk9BVURJVCk=&amp;WINDOW=FIRST_POPUP&amp;HEIGHT=450&amp;WIDTH=450&amp;","START_MAXIMIZED=FALSE&amp;VAR:CALENDAR=US&amp;VAR:SYMBOL=586161&amp;VAR:INDEX=0"}</definedName>
    <definedName name="_778__FDSAUDITLINK__" hidden="1">{"fdsup://directions/FAT Viewer?action=UPDATE&amp;creator=factset&amp;DYN_ARGS=TRUE&amp;DOC_NAME=FAT:FQL_AUDITING_CLIENT_TEMPLATE.FAT&amp;display_string=Audit&amp;VAR:KEY=LILGLGHOLQ&amp;VAR:QUERY=UkdGX1RBWF9SQVRFKEFOTiwwLCwsLCwsTk9BVURJVCk=&amp;WINDOW=FIRST_POPUP&amp;HEIGHT=450&amp;WIDTH=450&amp;","START_MAXIMIZED=FALSE&amp;VAR:CALENDAR=US&amp;VAR:SYMBOL=586161&amp;VAR:INDEX=0"}</definedName>
    <definedName name="_779__FDSAUDITLINK__" localSheetId="3" hidden="1">{"fdsup://directions/FAT Viewer?action=UPDATE&amp;creator=factset&amp;DYN_ARGS=TRUE&amp;DOC_NAME=FAT:FQL_AUDITING_CLIENT_TEMPLATE.FAT&amp;display_string=Audit&amp;VAR:KEY=FIRIJYXWPY&amp;VAR:QUERY=UkdGX1RBWF9SQVRFKEFOTiwwLCwsLCwsTk9BVURJVCk=&amp;WINDOW=FIRST_POPUP&amp;HEIGHT=450&amp;WIDTH=450&amp;","START_MAXIMIZED=FALSE&amp;VAR:CALENDAR=US&amp;VAR:SYMBOL=B15CMQ&amp;VAR:INDEX=0"}</definedName>
    <definedName name="_779__FDSAUDITLINK__" localSheetId="7" hidden="1">{"fdsup://directions/FAT Viewer?action=UPDATE&amp;creator=factset&amp;DYN_ARGS=TRUE&amp;DOC_NAME=FAT:FQL_AUDITING_CLIENT_TEMPLATE.FAT&amp;display_string=Audit&amp;VAR:KEY=FIRIJYXWPY&amp;VAR:QUERY=UkdGX1RBWF9SQVRFKEFOTiwwLCwsLCwsTk9BVURJVCk=&amp;WINDOW=FIRST_POPUP&amp;HEIGHT=450&amp;WIDTH=450&amp;","START_MAXIMIZED=FALSE&amp;VAR:CALENDAR=US&amp;VAR:SYMBOL=B15CMQ&amp;VAR:INDEX=0"}</definedName>
    <definedName name="_779__FDSAUDITLINK__" hidden="1">{"fdsup://directions/FAT Viewer?action=UPDATE&amp;creator=factset&amp;DYN_ARGS=TRUE&amp;DOC_NAME=FAT:FQL_AUDITING_CLIENT_TEMPLATE.FAT&amp;display_string=Audit&amp;VAR:KEY=FIRIJYXWPY&amp;VAR:QUERY=UkdGX1RBWF9SQVRFKEFOTiwwLCwsLCwsTk9BVURJVCk=&amp;WINDOW=FIRST_POPUP&amp;HEIGHT=450&amp;WIDTH=450&amp;","START_MAXIMIZED=FALSE&amp;VAR:CALENDAR=US&amp;VAR:SYMBOL=B15CMQ&amp;VAR:INDEX=0"}</definedName>
    <definedName name="_78__FDSAUDITLINK__" localSheetId="3" hidden="1">{"fdsup://directions/FAT Viewer?action=UPDATE&amp;creator=factset&amp;DYN_ARGS=TRUE&amp;DOC_NAME=FAT:FQL_AUDITING_CLIENT_TEMPLATE.FAT&amp;display_string=Audit&amp;VAR:KEY=CNMZIZUDOJ&amp;VAR:QUERY=RkZfTkVUX0lOQyhMVE0sMCwsLCwsTSk=&amp;WINDOW=FIRST_POPUP&amp;HEIGHT=450&amp;WIDTH=450&amp;START_MAXIMI","ZED=FALSE&amp;VAR:CALENDAR=US&amp;VAR:SYMBOL=B66HFL&amp;VAR:INDEX=0"}</definedName>
    <definedName name="_78__FDSAUDITLINK__" localSheetId="7" hidden="1">{"fdsup://directions/FAT Viewer?action=UPDATE&amp;creator=factset&amp;DYN_ARGS=TRUE&amp;DOC_NAME=FAT:FQL_AUDITING_CLIENT_TEMPLATE.FAT&amp;display_string=Audit&amp;VAR:KEY=CNMZIZUDOJ&amp;VAR:QUERY=RkZfTkVUX0lOQyhMVE0sMCwsLCwsTSk=&amp;WINDOW=FIRST_POPUP&amp;HEIGHT=450&amp;WIDTH=450&amp;START_MAXIMI","ZED=FALSE&amp;VAR:CALENDAR=US&amp;VAR:SYMBOL=B66HFL&amp;VAR:INDEX=0"}</definedName>
    <definedName name="_78__FDSAUDITLINK__" hidden="1">{"fdsup://directions/FAT Viewer?action=UPDATE&amp;creator=factset&amp;DYN_ARGS=TRUE&amp;DOC_NAME=FAT:FQL_AUDITING_CLIENT_TEMPLATE.FAT&amp;display_string=Audit&amp;VAR:KEY=CNMZIZUDOJ&amp;VAR:QUERY=RkZfTkVUX0lOQyhMVE0sMCwsLCwsTSk=&amp;WINDOW=FIRST_POPUP&amp;HEIGHT=450&amp;WIDTH=450&amp;START_MAXIMI","ZED=FALSE&amp;VAR:CALENDAR=US&amp;VAR:SYMBOL=B66HFL&amp;VAR:INDEX=0"}</definedName>
    <definedName name="_780__FDSAUDITLINK__" localSheetId="3" hidden="1">{"fdsup://directions/FAT Viewer?action=UPDATE&amp;creator=factset&amp;DYN_ARGS=TRUE&amp;DOC_NAME=FAT:FQL_AUDITING_CLIENT_TEMPLATE.FAT&amp;display_string=Audit&amp;VAR:KEY=FIRIJYXWPY&amp;VAR:QUERY=UkdGX1RBWF9SQVRFKEFOTiwwLCwsLCwsTk9BVURJVCk=&amp;WINDOW=FIRST_POPUP&amp;HEIGHT=450&amp;WIDTH=450&amp;","START_MAXIMIZED=FALSE&amp;VAR:CALENDAR=US&amp;VAR:SYMBOL=B15CMQ&amp;VAR:INDEX=0"}</definedName>
    <definedName name="_780__FDSAUDITLINK__" localSheetId="7" hidden="1">{"fdsup://directions/FAT Viewer?action=UPDATE&amp;creator=factset&amp;DYN_ARGS=TRUE&amp;DOC_NAME=FAT:FQL_AUDITING_CLIENT_TEMPLATE.FAT&amp;display_string=Audit&amp;VAR:KEY=FIRIJYXWPY&amp;VAR:QUERY=UkdGX1RBWF9SQVRFKEFOTiwwLCwsLCwsTk9BVURJVCk=&amp;WINDOW=FIRST_POPUP&amp;HEIGHT=450&amp;WIDTH=450&amp;","START_MAXIMIZED=FALSE&amp;VAR:CALENDAR=US&amp;VAR:SYMBOL=B15CMQ&amp;VAR:INDEX=0"}</definedName>
    <definedName name="_780__FDSAUDITLINK__" hidden="1">{"fdsup://directions/FAT Viewer?action=UPDATE&amp;creator=factset&amp;DYN_ARGS=TRUE&amp;DOC_NAME=FAT:FQL_AUDITING_CLIENT_TEMPLATE.FAT&amp;display_string=Audit&amp;VAR:KEY=FIRIJYXWPY&amp;VAR:QUERY=UkdGX1RBWF9SQVRFKEFOTiwwLCwsLCwsTk9BVURJVCk=&amp;WINDOW=FIRST_POPUP&amp;HEIGHT=450&amp;WIDTH=450&amp;","START_MAXIMIZED=FALSE&amp;VAR:CALENDAR=US&amp;VAR:SYMBOL=B15CMQ&amp;VAR:INDEX=0"}</definedName>
    <definedName name="_781__FDSAUDITLINK__" localSheetId="3" hidden="1">{"fdsup://directions/FAT Viewer?action=UPDATE&amp;creator=factset&amp;DYN_ARGS=TRUE&amp;DOC_NAME=FAT:FQL_AUDITING_CLIENT_TEMPLATE.FAT&amp;display_string=Audit&amp;VAR:KEY=ZGTANCDELQ&amp;VAR:QUERY=UkdGX1RBWF9SQVRFKEFOTiwwLCwsLCwsTk9BVURJVCk=&amp;WINDOW=FIRST_POPUP&amp;HEIGHT=450&amp;WIDTH=450&amp;","START_MAXIMIZED=FALSE&amp;VAR:CALENDAR=US&amp;VAR:SYMBOL=ADSK&amp;VAR:INDEX=0"}</definedName>
    <definedName name="_781__FDSAUDITLINK__" localSheetId="7" hidden="1">{"fdsup://directions/FAT Viewer?action=UPDATE&amp;creator=factset&amp;DYN_ARGS=TRUE&amp;DOC_NAME=FAT:FQL_AUDITING_CLIENT_TEMPLATE.FAT&amp;display_string=Audit&amp;VAR:KEY=ZGTANCDELQ&amp;VAR:QUERY=UkdGX1RBWF9SQVRFKEFOTiwwLCwsLCwsTk9BVURJVCk=&amp;WINDOW=FIRST_POPUP&amp;HEIGHT=450&amp;WIDTH=450&amp;","START_MAXIMIZED=FALSE&amp;VAR:CALENDAR=US&amp;VAR:SYMBOL=ADSK&amp;VAR:INDEX=0"}</definedName>
    <definedName name="_781__FDSAUDITLINK__" hidden="1">{"fdsup://directions/FAT Viewer?action=UPDATE&amp;creator=factset&amp;DYN_ARGS=TRUE&amp;DOC_NAME=FAT:FQL_AUDITING_CLIENT_TEMPLATE.FAT&amp;display_string=Audit&amp;VAR:KEY=ZGTANCDELQ&amp;VAR:QUERY=UkdGX1RBWF9SQVRFKEFOTiwwLCwsLCwsTk9BVURJVCk=&amp;WINDOW=FIRST_POPUP&amp;HEIGHT=450&amp;WIDTH=450&amp;","START_MAXIMIZED=FALSE&amp;VAR:CALENDAR=US&amp;VAR:SYMBOL=ADSK&amp;VAR:INDEX=0"}</definedName>
    <definedName name="_782__FDSAUDITLINK__" localSheetId="3" hidden="1">{"fdsup://directions/FAT Viewer?action=UPDATE&amp;creator=factset&amp;DYN_ARGS=TRUE&amp;DOC_NAME=FAT:FQL_AUDITING_CLIENT_TEMPLATE.FAT&amp;display_string=Audit&amp;VAR:KEY=ZGTANCDELQ&amp;VAR:QUERY=UkdGX1RBWF9SQVRFKEFOTiwwLCwsLCwsTk9BVURJVCk=&amp;WINDOW=FIRST_POPUP&amp;HEIGHT=450&amp;WIDTH=450&amp;","START_MAXIMIZED=FALSE&amp;VAR:CALENDAR=US&amp;VAR:SYMBOL=ADSK&amp;VAR:INDEX=0"}</definedName>
    <definedName name="_782__FDSAUDITLINK__" localSheetId="7" hidden="1">{"fdsup://directions/FAT Viewer?action=UPDATE&amp;creator=factset&amp;DYN_ARGS=TRUE&amp;DOC_NAME=FAT:FQL_AUDITING_CLIENT_TEMPLATE.FAT&amp;display_string=Audit&amp;VAR:KEY=ZGTANCDELQ&amp;VAR:QUERY=UkdGX1RBWF9SQVRFKEFOTiwwLCwsLCwsTk9BVURJVCk=&amp;WINDOW=FIRST_POPUP&amp;HEIGHT=450&amp;WIDTH=450&amp;","START_MAXIMIZED=FALSE&amp;VAR:CALENDAR=US&amp;VAR:SYMBOL=ADSK&amp;VAR:INDEX=0"}</definedName>
    <definedName name="_782__FDSAUDITLINK__" hidden="1">{"fdsup://directions/FAT Viewer?action=UPDATE&amp;creator=factset&amp;DYN_ARGS=TRUE&amp;DOC_NAME=FAT:FQL_AUDITING_CLIENT_TEMPLATE.FAT&amp;display_string=Audit&amp;VAR:KEY=ZGTANCDELQ&amp;VAR:QUERY=UkdGX1RBWF9SQVRFKEFOTiwwLCwsLCwsTk9BVURJVCk=&amp;WINDOW=FIRST_POPUP&amp;HEIGHT=450&amp;WIDTH=450&amp;","START_MAXIMIZED=FALSE&amp;VAR:CALENDAR=US&amp;VAR:SYMBOL=ADSK&amp;VAR:INDEX=0"}</definedName>
    <definedName name="_783__FDSAUDITLINK__" localSheetId="3" hidden="1">{"fdsup://directions/FAT Viewer?action=UPDATE&amp;creator=factset&amp;DYN_ARGS=TRUE&amp;DOC_NAME=FAT:FQL_AUDITING_CLIENT_TEMPLATE.FAT&amp;display_string=Audit&amp;VAR:KEY=JOFYTWBIRU&amp;VAR:QUERY=UkdGX1RBWF9SQVRFKEFOTiwwLCwsLCwsTk9BVURJVCk=&amp;WINDOW=FIRST_POPUP&amp;HEIGHT=450&amp;WIDTH=450&amp;","START_MAXIMIZED=FALSE&amp;VAR:CALENDAR=US&amp;VAR:SYMBOL=AZPN&amp;VAR:INDEX=0"}</definedName>
    <definedName name="_783__FDSAUDITLINK__" localSheetId="7" hidden="1">{"fdsup://directions/FAT Viewer?action=UPDATE&amp;creator=factset&amp;DYN_ARGS=TRUE&amp;DOC_NAME=FAT:FQL_AUDITING_CLIENT_TEMPLATE.FAT&amp;display_string=Audit&amp;VAR:KEY=JOFYTWBIRU&amp;VAR:QUERY=UkdGX1RBWF9SQVRFKEFOTiwwLCwsLCwsTk9BVURJVCk=&amp;WINDOW=FIRST_POPUP&amp;HEIGHT=450&amp;WIDTH=450&amp;","START_MAXIMIZED=FALSE&amp;VAR:CALENDAR=US&amp;VAR:SYMBOL=AZPN&amp;VAR:INDEX=0"}</definedName>
    <definedName name="_783__FDSAUDITLINK__" hidden="1">{"fdsup://directions/FAT Viewer?action=UPDATE&amp;creator=factset&amp;DYN_ARGS=TRUE&amp;DOC_NAME=FAT:FQL_AUDITING_CLIENT_TEMPLATE.FAT&amp;display_string=Audit&amp;VAR:KEY=JOFYTWBIRU&amp;VAR:QUERY=UkdGX1RBWF9SQVRFKEFOTiwwLCwsLCwsTk9BVURJVCk=&amp;WINDOW=FIRST_POPUP&amp;HEIGHT=450&amp;WIDTH=450&amp;","START_MAXIMIZED=FALSE&amp;VAR:CALENDAR=US&amp;VAR:SYMBOL=AZPN&amp;VAR:INDEX=0"}</definedName>
    <definedName name="_784__FDSAUDITLINK__" localSheetId="3" hidden="1">{"fdsup://directions/FAT Viewer?action=UPDATE&amp;creator=factset&amp;DYN_ARGS=TRUE&amp;DOC_NAME=FAT:FQL_AUDITING_CLIENT_TEMPLATE.FAT&amp;display_string=Audit&amp;VAR:KEY=TOBONCRYVG&amp;VAR:QUERY=UkdGX1RBWF9SQVRFKEFOTiwwLCwsLCwsTk9BVURJVCk=&amp;WINDOW=FIRST_POPUP&amp;HEIGHT=450&amp;WIDTH=450&amp;","START_MAXIMIZED=FALSE&amp;VAR:CALENDAR=US&amp;VAR:SYMBOL=005958&amp;VAR:INDEX=0"}</definedName>
    <definedName name="_784__FDSAUDITLINK__" localSheetId="7" hidden="1">{"fdsup://directions/FAT Viewer?action=UPDATE&amp;creator=factset&amp;DYN_ARGS=TRUE&amp;DOC_NAME=FAT:FQL_AUDITING_CLIENT_TEMPLATE.FAT&amp;display_string=Audit&amp;VAR:KEY=TOBONCRYVG&amp;VAR:QUERY=UkdGX1RBWF9SQVRFKEFOTiwwLCwsLCwsTk9BVURJVCk=&amp;WINDOW=FIRST_POPUP&amp;HEIGHT=450&amp;WIDTH=450&amp;","START_MAXIMIZED=FALSE&amp;VAR:CALENDAR=US&amp;VAR:SYMBOL=005958&amp;VAR:INDEX=0"}</definedName>
    <definedName name="_784__FDSAUDITLINK__" hidden="1">{"fdsup://directions/FAT Viewer?action=UPDATE&amp;creator=factset&amp;DYN_ARGS=TRUE&amp;DOC_NAME=FAT:FQL_AUDITING_CLIENT_TEMPLATE.FAT&amp;display_string=Audit&amp;VAR:KEY=TOBONCRYVG&amp;VAR:QUERY=UkdGX1RBWF9SQVRFKEFOTiwwLCwsLCwsTk9BVURJVCk=&amp;WINDOW=FIRST_POPUP&amp;HEIGHT=450&amp;WIDTH=450&amp;","START_MAXIMIZED=FALSE&amp;VAR:CALENDAR=US&amp;VAR:SYMBOL=005958&amp;VAR:INDEX=0"}</definedName>
    <definedName name="_785__FDSAUDITLINK__" localSheetId="3" hidden="1">{"fdsup://directions/FAT Viewer?action=UPDATE&amp;creator=factset&amp;DYN_ARGS=TRUE&amp;DOC_NAME=FAT:FQL_AUDITING_CLIENT_TEMPLATE.FAT&amp;display_string=Audit&amp;VAR:KEY=TOBONCRYVG&amp;VAR:QUERY=UkdGX1RBWF9SQVRFKEFOTiwwLCwsLCwsTk9BVURJVCk=&amp;WINDOW=FIRST_POPUP&amp;HEIGHT=450&amp;WIDTH=450&amp;","START_MAXIMIZED=FALSE&amp;VAR:CALENDAR=US&amp;VAR:SYMBOL=005958&amp;VAR:INDEX=0"}</definedName>
    <definedName name="_785__FDSAUDITLINK__" localSheetId="7" hidden="1">{"fdsup://directions/FAT Viewer?action=UPDATE&amp;creator=factset&amp;DYN_ARGS=TRUE&amp;DOC_NAME=FAT:FQL_AUDITING_CLIENT_TEMPLATE.FAT&amp;display_string=Audit&amp;VAR:KEY=TOBONCRYVG&amp;VAR:QUERY=UkdGX1RBWF9SQVRFKEFOTiwwLCwsLCwsTk9BVURJVCk=&amp;WINDOW=FIRST_POPUP&amp;HEIGHT=450&amp;WIDTH=450&amp;","START_MAXIMIZED=FALSE&amp;VAR:CALENDAR=US&amp;VAR:SYMBOL=005958&amp;VAR:INDEX=0"}</definedName>
    <definedName name="_785__FDSAUDITLINK__" hidden="1">{"fdsup://directions/FAT Viewer?action=UPDATE&amp;creator=factset&amp;DYN_ARGS=TRUE&amp;DOC_NAME=FAT:FQL_AUDITING_CLIENT_TEMPLATE.FAT&amp;display_string=Audit&amp;VAR:KEY=TOBONCRYVG&amp;VAR:QUERY=UkdGX1RBWF9SQVRFKEFOTiwwLCwsLCwsTk9BVURJVCk=&amp;WINDOW=FIRST_POPUP&amp;HEIGHT=450&amp;WIDTH=450&amp;","START_MAXIMIZED=FALSE&amp;VAR:CALENDAR=US&amp;VAR:SYMBOL=005958&amp;VAR:INDEX=0"}</definedName>
    <definedName name="_786__FDSAUDITLINK__" localSheetId="3" hidden="1">{"fdsup://directions/FAT Viewer?action=UPDATE&amp;creator=factset&amp;DYN_ARGS=TRUE&amp;DOC_NAME=FAT:FQL_AUDITING_CLIENT_TEMPLATE.FAT&amp;display_string=Audit&amp;VAR:KEY=BUJQNWLMJI&amp;VAR:QUERY=UkdGX1RBWF9SQVRFKEFOTiwwLCwsLCwsTk9BVURJVCk=&amp;WINDOW=FIRST_POPUP&amp;HEIGHT=450&amp;WIDTH=450&amp;","START_MAXIMIZED=FALSE&amp;VAR:CALENDAR=US&amp;VAR:SYMBOL=ARB&amp;VAR:INDEX=0"}</definedName>
    <definedName name="_786__FDSAUDITLINK__" localSheetId="7" hidden="1">{"fdsup://directions/FAT Viewer?action=UPDATE&amp;creator=factset&amp;DYN_ARGS=TRUE&amp;DOC_NAME=FAT:FQL_AUDITING_CLIENT_TEMPLATE.FAT&amp;display_string=Audit&amp;VAR:KEY=BUJQNWLMJI&amp;VAR:QUERY=UkdGX1RBWF9SQVRFKEFOTiwwLCwsLCwsTk9BVURJVCk=&amp;WINDOW=FIRST_POPUP&amp;HEIGHT=450&amp;WIDTH=450&amp;","START_MAXIMIZED=FALSE&amp;VAR:CALENDAR=US&amp;VAR:SYMBOL=ARB&amp;VAR:INDEX=0"}</definedName>
    <definedName name="_786__FDSAUDITLINK__" hidden="1">{"fdsup://directions/FAT Viewer?action=UPDATE&amp;creator=factset&amp;DYN_ARGS=TRUE&amp;DOC_NAME=FAT:FQL_AUDITING_CLIENT_TEMPLATE.FAT&amp;display_string=Audit&amp;VAR:KEY=BUJQNWLMJI&amp;VAR:QUERY=UkdGX1RBWF9SQVRFKEFOTiwwLCwsLCwsTk9BVURJVCk=&amp;WINDOW=FIRST_POPUP&amp;HEIGHT=450&amp;WIDTH=450&amp;","START_MAXIMIZED=FALSE&amp;VAR:CALENDAR=US&amp;VAR:SYMBOL=ARB&amp;VAR:INDEX=0"}</definedName>
    <definedName name="_787__FDSAUDITLINK__" localSheetId="3" hidden="1">{"fdsup://directions/FAT Viewer?action=UPDATE&amp;creator=factset&amp;DYN_ARGS=TRUE&amp;DOC_NAME=FAT:FQL_AUDITING_CLIENT_TEMPLATE.FAT&amp;display_string=Audit&amp;VAR:KEY=BUJQNWLMJI&amp;VAR:QUERY=UkdGX1RBWF9SQVRFKEFOTiwwLCwsLCwsTk9BVURJVCk=&amp;WINDOW=FIRST_POPUP&amp;HEIGHT=450&amp;WIDTH=450&amp;","START_MAXIMIZED=FALSE&amp;VAR:CALENDAR=US&amp;VAR:SYMBOL=ARB&amp;VAR:INDEX=0"}</definedName>
    <definedName name="_787__FDSAUDITLINK__" localSheetId="7" hidden="1">{"fdsup://directions/FAT Viewer?action=UPDATE&amp;creator=factset&amp;DYN_ARGS=TRUE&amp;DOC_NAME=FAT:FQL_AUDITING_CLIENT_TEMPLATE.FAT&amp;display_string=Audit&amp;VAR:KEY=BUJQNWLMJI&amp;VAR:QUERY=UkdGX1RBWF9SQVRFKEFOTiwwLCwsLCwsTk9BVURJVCk=&amp;WINDOW=FIRST_POPUP&amp;HEIGHT=450&amp;WIDTH=450&amp;","START_MAXIMIZED=FALSE&amp;VAR:CALENDAR=US&amp;VAR:SYMBOL=ARB&amp;VAR:INDEX=0"}</definedName>
    <definedName name="_787__FDSAUDITLINK__" hidden="1">{"fdsup://directions/FAT Viewer?action=UPDATE&amp;creator=factset&amp;DYN_ARGS=TRUE&amp;DOC_NAME=FAT:FQL_AUDITING_CLIENT_TEMPLATE.FAT&amp;display_string=Audit&amp;VAR:KEY=BUJQNWLMJI&amp;VAR:QUERY=UkdGX1RBWF9SQVRFKEFOTiwwLCwsLCwsTk9BVURJVCk=&amp;WINDOW=FIRST_POPUP&amp;HEIGHT=450&amp;WIDTH=450&amp;","START_MAXIMIZED=FALSE&amp;VAR:CALENDAR=US&amp;VAR:SYMBOL=ARB&amp;VAR:INDEX=0"}</definedName>
    <definedName name="_788__FDSAUDITLINK__" localSheetId="3" hidden="1">{"fdsup://directions/FAT Viewer?action=UPDATE&amp;creator=factset&amp;DYN_ARGS=TRUE&amp;DOC_NAME=FAT:FQL_AUDITING_CLIENT_TEMPLATE.FAT&amp;display_string=Audit&amp;VAR:KEY=NSBGPQTKDM&amp;VAR:QUERY=UkdGX1RBWF9SQVRFKEFOTiwwLCwsLCwsTk9BVURJVCk=&amp;WINDOW=FIRST_POPUP&amp;HEIGHT=450&amp;WIDTH=450&amp;","START_MAXIMIZED=FALSE&amp;VAR:CALENDAR=US&amp;VAR:SYMBOL=DOX&amp;VAR:INDEX=0"}</definedName>
    <definedName name="_788__FDSAUDITLINK__" localSheetId="7" hidden="1">{"fdsup://directions/FAT Viewer?action=UPDATE&amp;creator=factset&amp;DYN_ARGS=TRUE&amp;DOC_NAME=FAT:FQL_AUDITING_CLIENT_TEMPLATE.FAT&amp;display_string=Audit&amp;VAR:KEY=NSBGPQTKDM&amp;VAR:QUERY=UkdGX1RBWF9SQVRFKEFOTiwwLCwsLCwsTk9BVURJVCk=&amp;WINDOW=FIRST_POPUP&amp;HEIGHT=450&amp;WIDTH=450&amp;","START_MAXIMIZED=FALSE&amp;VAR:CALENDAR=US&amp;VAR:SYMBOL=DOX&amp;VAR:INDEX=0"}</definedName>
    <definedName name="_788__FDSAUDITLINK__" hidden="1">{"fdsup://directions/FAT Viewer?action=UPDATE&amp;creator=factset&amp;DYN_ARGS=TRUE&amp;DOC_NAME=FAT:FQL_AUDITING_CLIENT_TEMPLATE.FAT&amp;display_string=Audit&amp;VAR:KEY=NSBGPQTKDM&amp;VAR:QUERY=UkdGX1RBWF9SQVRFKEFOTiwwLCwsLCwsTk9BVURJVCk=&amp;WINDOW=FIRST_POPUP&amp;HEIGHT=450&amp;WIDTH=450&amp;","START_MAXIMIZED=FALSE&amp;VAR:CALENDAR=US&amp;VAR:SYMBOL=DOX&amp;VAR:INDEX=0"}</definedName>
    <definedName name="_789__FDSAUDITLINK__" localSheetId="3" hidden="1">{"fdsup://directions/FAT Viewer?action=UPDATE&amp;creator=factset&amp;DYN_ARGS=TRUE&amp;DOC_NAME=FAT:FQL_AUDITING_CLIENT_TEMPLATE.FAT&amp;display_string=Audit&amp;VAR:KEY=NSBGPQTKDM&amp;VAR:QUERY=UkdGX1RBWF9SQVRFKEFOTiwwLCwsLCwsTk9BVURJVCk=&amp;WINDOW=FIRST_POPUP&amp;HEIGHT=450&amp;WIDTH=450&amp;","START_MAXIMIZED=FALSE&amp;VAR:CALENDAR=US&amp;VAR:SYMBOL=DOX&amp;VAR:INDEX=0"}</definedName>
    <definedName name="_789__FDSAUDITLINK__" localSheetId="7" hidden="1">{"fdsup://directions/FAT Viewer?action=UPDATE&amp;creator=factset&amp;DYN_ARGS=TRUE&amp;DOC_NAME=FAT:FQL_AUDITING_CLIENT_TEMPLATE.FAT&amp;display_string=Audit&amp;VAR:KEY=NSBGPQTKDM&amp;VAR:QUERY=UkdGX1RBWF9SQVRFKEFOTiwwLCwsLCwsTk9BVURJVCk=&amp;WINDOW=FIRST_POPUP&amp;HEIGHT=450&amp;WIDTH=450&amp;","START_MAXIMIZED=FALSE&amp;VAR:CALENDAR=US&amp;VAR:SYMBOL=DOX&amp;VAR:INDEX=0"}</definedName>
    <definedName name="_789__FDSAUDITLINK__" hidden="1">{"fdsup://directions/FAT Viewer?action=UPDATE&amp;creator=factset&amp;DYN_ARGS=TRUE&amp;DOC_NAME=FAT:FQL_AUDITING_CLIENT_TEMPLATE.FAT&amp;display_string=Audit&amp;VAR:KEY=NSBGPQTKDM&amp;VAR:QUERY=UkdGX1RBWF9SQVRFKEFOTiwwLCwsLCwsTk9BVURJVCk=&amp;WINDOW=FIRST_POPUP&amp;HEIGHT=450&amp;WIDTH=450&amp;","START_MAXIMIZED=FALSE&amp;VAR:CALENDAR=US&amp;VAR:SYMBOL=DOX&amp;VAR:INDEX=0"}</definedName>
    <definedName name="_79__FDSAUDITLINK__" localSheetId="3" hidden="1">{"fdsup://directions/FAT Viewer?action=UPDATE&amp;creator=factset&amp;DYN_ARGS=TRUE&amp;DOC_NAME=FAT:FQL_AUDITING_CLIENT_TEMPLATE.FAT&amp;display_string=Audit&amp;VAR:KEY=GDQPORILIR&amp;VAR:QUERY=RkZfRUJJVERBX09QRVIoTFRNLDAsLCwsLE0p&amp;WINDOW=FIRST_POPUP&amp;HEIGHT=450&amp;WIDTH=450&amp;START_MA","XIMIZED=FALSE&amp;VAR:CALENDAR=US&amp;VAR:SYMBOL=B66HFL&amp;VAR:INDEX=0"}</definedName>
    <definedName name="_79__FDSAUDITLINK__" localSheetId="7" hidden="1">{"fdsup://directions/FAT Viewer?action=UPDATE&amp;creator=factset&amp;DYN_ARGS=TRUE&amp;DOC_NAME=FAT:FQL_AUDITING_CLIENT_TEMPLATE.FAT&amp;display_string=Audit&amp;VAR:KEY=GDQPORILIR&amp;VAR:QUERY=RkZfRUJJVERBX09QRVIoTFRNLDAsLCwsLE0p&amp;WINDOW=FIRST_POPUP&amp;HEIGHT=450&amp;WIDTH=450&amp;START_MA","XIMIZED=FALSE&amp;VAR:CALENDAR=US&amp;VAR:SYMBOL=B66HFL&amp;VAR:INDEX=0"}</definedName>
    <definedName name="_79__FDSAUDITLINK__" hidden="1">{"fdsup://directions/FAT Viewer?action=UPDATE&amp;creator=factset&amp;DYN_ARGS=TRUE&amp;DOC_NAME=FAT:FQL_AUDITING_CLIENT_TEMPLATE.FAT&amp;display_string=Audit&amp;VAR:KEY=GDQPORILIR&amp;VAR:QUERY=RkZfRUJJVERBX09QRVIoTFRNLDAsLCwsLE0p&amp;WINDOW=FIRST_POPUP&amp;HEIGHT=450&amp;WIDTH=450&amp;START_MA","XIMIZED=FALSE&amp;VAR:CALENDAR=US&amp;VAR:SYMBOL=B66HFL&amp;VAR:INDEX=0"}</definedName>
    <definedName name="_790__FDSAUDITLINK__" localSheetId="3" hidden="1">{"fdsup://directions/FAT Viewer?action=UPDATE&amp;creator=factset&amp;DYN_ARGS=TRUE&amp;DOC_NAME=FAT:FQL_AUDITING_CLIENT_TEMPLATE.FAT&amp;display_string=Audit&amp;VAR:KEY=PQHYBYPWHW&amp;VAR:QUERY=UkdGX1RBWF9SQVRFKEFOTiwwLCwsLCwsTk9BVURJVCk=&amp;WINDOW=FIRST_POPUP&amp;HEIGHT=450&amp;WIDTH=450&amp;","START_MAXIMIZED=FALSE&amp;VAR:CALENDAR=US&amp;VAR:SYMBOL=AKAM&amp;VAR:INDEX=0"}</definedName>
    <definedName name="_790__FDSAUDITLINK__" localSheetId="7" hidden="1">{"fdsup://directions/FAT Viewer?action=UPDATE&amp;creator=factset&amp;DYN_ARGS=TRUE&amp;DOC_NAME=FAT:FQL_AUDITING_CLIENT_TEMPLATE.FAT&amp;display_string=Audit&amp;VAR:KEY=PQHYBYPWHW&amp;VAR:QUERY=UkdGX1RBWF9SQVRFKEFOTiwwLCwsLCwsTk9BVURJVCk=&amp;WINDOW=FIRST_POPUP&amp;HEIGHT=450&amp;WIDTH=450&amp;","START_MAXIMIZED=FALSE&amp;VAR:CALENDAR=US&amp;VAR:SYMBOL=AKAM&amp;VAR:INDEX=0"}</definedName>
    <definedName name="_790__FDSAUDITLINK__" hidden="1">{"fdsup://directions/FAT Viewer?action=UPDATE&amp;creator=factset&amp;DYN_ARGS=TRUE&amp;DOC_NAME=FAT:FQL_AUDITING_CLIENT_TEMPLATE.FAT&amp;display_string=Audit&amp;VAR:KEY=PQHYBYPWHW&amp;VAR:QUERY=UkdGX1RBWF9SQVRFKEFOTiwwLCwsLCwsTk9BVURJVCk=&amp;WINDOW=FIRST_POPUP&amp;HEIGHT=450&amp;WIDTH=450&amp;","START_MAXIMIZED=FALSE&amp;VAR:CALENDAR=US&amp;VAR:SYMBOL=AKAM&amp;VAR:INDEX=0"}</definedName>
    <definedName name="_791__FDSAUDITLINK__" localSheetId="3" hidden="1">{"fdsup://directions/FAT Viewer?action=UPDATE&amp;creator=factset&amp;DYN_ARGS=TRUE&amp;DOC_NAME=FAT:FQL_AUDITING_CLIENT_TEMPLATE.FAT&amp;display_string=Audit&amp;VAR:KEY=PQHYBYPWHW&amp;VAR:QUERY=UkdGX1RBWF9SQVRFKEFOTiwwLCwsLCwsTk9BVURJVCk=&amp;WINDOW=FIRST_POPUP&amp;HEIGHT=450&amp;WIDTH=450&amp;","START_MAXIMIZED=FALSE&amp;VAR:CALENDAR=US&amp;VAR:SYMBOL=AKAM&amp;VAR:INDEX=0"}</definedName>
    <definedName name="_791__FDSAUDITLINK__" localSheetId="7" hidden="1">{"fdsup://directions/FAT Viewer?action=UPDATE&amp;creator=factset&amp;DYN_ARGS=TRUE&amp;DOC_NAME=FAT:FQL_AUDITING_CLIENT_TEMPLATE.FAT&amp;display_string=Audit&amp;VAR:KEY=PQHYBYPWHW&amp;VAR:QUERY=UkdGX1RBWF9SQVRFKEFOTiwwLCwsLCwsTk9BVURJVCk=&amp;WINDOW=FIRST_POPUP&amp;HEIGHT=450&amp;WIDTH=450&amp;","START_MAXIMIZED=FALSE&amp;VAR:CALENDAR=US&amp;VAR:SYMBOL=AKAM&amp;VAR:INDEX=0"}</definedName>
    <definedName name="_791__FDSAUDITLINK__" hidden="1">{"fdsup://directions/FAT Viewer?action=UPDATE&amp;creator=factset&amp;DYN_ARGS=TRUE&amp;DOC_NAME=FAT:FQL_AUDITING_CLIENT_TEMPLATE.FAT&amp;display_string=Audit&amp;VAR:KEY=PQHYBYPWHW&amp;VAR:QUERY=UkdGX1RBWF9SQVRFKEFOTiwwLCwsLCwsTk9BVURJVCk=&amp;WINDOW=FIRST_POPUP&amp;HEIGHT=450&amp;WIDTH=450&amp;","START_MAXIMIZED=FALSE&amp;VAR:CALENDAR=US&amp;VAR:SYMBOL=AKAM&amp;VAR:INDEX=0"}</definedName>
    <definedName name="_792__FDSAUDITLINK__" localSheetId="3" hidden="1">{"fdsup://directions/FAT Viewer?action=UPDATE&amp;creator=factset&amp;DYN_ARGS=TRUE&amp;DOC_NAME=FAT:FQL_AUDITING_CLIENT_TEMPLATE.FAT&amp;display_string=Audit&amp;VAR:KEY=JKLUHSPSHQ&amp;VAR:QUERY=UkdGX1RBWF9SQVRFKEFOTiwwLCwsLCwsTk9BVURJVCk=&amp;WINDOW=FIRST_POPUP&amp;HEIGHT=450&amp;WIDTH=450&amp;","START_MAXIMIZED=FALSE&amp;VAR:CALENDAR=US&amp;VAR:SYMBOL=ADBE&amp;VAR:INDEX=0"}</definedName>
    <definedName name="_792__FDSAUDITLINK__" localSheetId="7" hidden="1">{"fdsup://directions/FAT Viewer?action=UPDATE&amp;creator=factset&amp;DYN_ARGS=TRUE&amp;DOC_NAME=FAT:FQL_AUDITING_CLIENT_TEMPLATE.FAT&amp;display_string=Audit&amp;VAR:KEY=JKLUHSPSHQ&amp;VAR:QUERY=UkdGX1RBWF9SQVRFKEFOTiwwLCwsLCwsTk9BVURJVCk=&amp;WINDOW=FIRST_POPUP&amp;HEIGHT=450&amp;WIDTH=450&amp;","START_MAXIMIZED=FALSE&amp;VAR:CALENDAR=US&amp;VAR:SYMBOL=ADBE&amp;VAR:INDEX=0"}</definedName>
    <definedName name="_792__FDSAUDITLINK__" hidden="1">{"fdsup://directions/FAT Viewer?action=UPDATE&amp;creator=factset&amp;DYN_ARGS=TRUE&amp;DOC_NAME=FAT:FQL_AUDITING_CLIENT_TEMPLATE.FAT&amp;display_string=Audit&amp;VAR:KEY=JKLUHSPSHQ&amp;VAR:QUERY=UkdGX1RBWF9SQVRFKEFOTiwwLCwsLCwsTk9BVURJVCk=&amp;WINDOW=FIRST_POPUP&amp;HEIGHT=450&amp;WIDTH=450&amp;","START_MAXIMIZED=FALSE&amp;VAR:CALENDAR=US&amp;VAR:SYMBOL=ADBE&amp;VAR:INDEX=0"}</definedName>
    <definedName name="_793__FDSAUDITLINK__" localSheetId="3" hidden="1">{"fdsup://directions/FAT Viewer?action=UPDATE&amp;creator=factset&amp;DYN_ARGS=TRUE&amp;DOC_NAME=FAT:FQL_AUDITING_CLIENT_TEMPLATE.FAT&amp;display_string=Audit&amp;VAR:KEY=JKLUHSPSHQ&amp;VAR:QUERY=UkdGX1RBWF9SQVRFKEFOTiwwLCwsLCwsTk9BVURJVCk=&amp;WINDOW=FIRST_POPUP&amp;HEIGHT=450&amp;WIDTH=450&amp;","START_MAXIMIZED=FALSE&amp;VAR:CALENDAR=US&amp;VAR:SYMBOL=ADBE&amp;VAR:INDEX=0"}</definedName>
    <definedName name="_793__FDSAUDITLINK__" localSheetId="7" hidden="1">{"fdsup://directions/FAT Viewer?action=UPDATE&amp;creator=factset&amp;DYN_ARGS=TRUE&amp;DOC_NAME=FAT:FQL_AUDITING_CLIENT_TEMPLATE.FAT&amp;display_string=Audit&amp;VAR:KEY=JKLUHSPSHQ&amp;VAR:QUERY=UkdGX1RBWF9SQVRFKEFOTiwwLCwsLCwsTk9BVURJVCk=&amp;WINDOW=FIRST_POPUP&amp;HEIGHT=450&amp;WIDTH=450&amp;","START_MAXIMIZED=FALSE&amp;VAR:CALENDAR=US&amp;VAR:SYMBOL=ADBE&amp;VAR:INDEX=0"}</definedName>
    <definedName name="_793__FDSAUDITLINK__" hidden="1">{"fdsup://directions/FAT Viewer?action=UPDATE&amp;creator=factset&amp;DYN_ARGS=TRUE&amp;DOC_NAME=FAT:FQL_AUDITING_CLIENT_TEMPLATE.FAT&amp;display_string=Audit&amp;VAR:KEY=JKLUHSPSHQ&amp;VAR:QUERY=UkdGX1RBWF9SQVRFKEFOTiwwLCwsLCwsTk9BVURJVCk=&amp;WINDOW=FIRST_POPUP&amp;HEIGHT=450&amp;WIDTH=450&amp;","START_MAXIMIZED=FALSE&amp;VAR:CALENDAR=US&amp;VAR:SYMBOL=ADBE&amp;VAR:INDEX=0"}</definedName>
    <definedName name="_794__FDSAUDITLINK__" localSheetId="3" hidden="1">{"fdsup://directions/FAT Viewer?action=UPDATE&amp;creator=factset&amp;DYN_ARGS=TRUE&amp;DOC_NAME=FAT:FQL_AUDITING_CLIENT_TEMPLATE.FAT&amp;display_string=Audit&amp;VAR:KEY=DOHWFKRGVO&amp;VAR:QUERY=UkdGX1RBWF9SQVRFKEFOTiwwLCwsLCwsTk9BVURJVCk=&amp;WINDOW=FIRST_POPUP&amp;HEIGHT=450&amp;WIDTH=450&amp;","START_MAXIMIZED=FALSE&amp;VAR:CALENDAR=US&amp;VAR:SYMBOL=ACTI&amp;VAR:INDEX=0"}</definedName>
    <definedName name="_794__FDSAUDITLINK__" localSheetId="7" hidden="1">{"fdsup://directions/FAT Viewer?action=UPDATE&amp;creator=factset&amp;DYN_ARGS=TRUE&amp;DOC_NAME=FAT:FQL_AUDITING_CLIENT_TEMPLATE.FAT&amp;display_string=Audit&amp;VAR:KEY=DOHWFKRGVO&amp;VAR:QUERY=UkdGX1RBWF9SQVRFKEFOTiwwLCwsLCwsTk9BVURJVCk=&amp;WINDOW=FIRST_POPUP&amp;HEIGHT=450&amp;WIDTH=450&amp;","START_MAXIMIZED=FALSE&amp;VAR:CALENDAR=US&amp;VAR:SYMBOL=ACTI&amp;VAR:INDEX=0"}</definedName>
    <definedName name="_794__FDSAUDITLINK__" hidden="1">{"fdsup://directions/FAT Viewer?action=UPDATE&amp;creator=factset&amp;DYN_ARGS=TRUE&amp;DOC_NAME=FAT:FQL_AUDITING_CLIENT_TEMPLATE.FAT&amp;display_string=Audit&amp;VAR:KEY=DOHWFKRGVO&amp;VAR:QUERY=UkdGX1RBWF9SQVRFKEFOTiwwLCwsLCwsTk9BVURJVCk=&amp;WINDOW=FIRST_POPUP&amp;HEIGHT=450&amp;WIDTH=450&amp;","START_MAXIMIZED=FALSE&amp;VAR:CALENDAR=US&amp;VAR:SYMBOL=ACTI&amp;VAR:INDEX=0"}</definedName>
    <definedName name="_795__FDSAUDITLINK__" localSheetId="3" hidden="1">{"fdsup://directions/FAT Viewer?action=UPDATE&amp;creator=factset&amp;DYN_ARGS=TRUE&amp;DOC_NAME=FAT:FQL_AUDITING_CLIENT_TEMPLATE.FAT&amp;display_string=Audit&amp;VAR:KEY=DUXKNCNYZK&amp;VAR:QUERY=UkdGX1RBWF9SQVRFKEFOTiwwLCwsLCwsTk9BVURJVCk=&amp;WINDOW=FIRST_POPUP&amp;HEIGHT=450&amp;WIDTH=450&amp;","START_MAXIMIZED=FALSE&amp;VAR:CALENDAR=US&amp;VAR:SYMBOL=ACCL&amp;VAR:INDEX=0"}</definedName>
    <definedName name="_795__FDSAUDITLINK__" localSheetId="7" hidden="1">{"fdsup://directions/FAT Viewer?action=UPDATE&amp;creator=factset&amp;DYN_ARGS=TRUE&amp;DOC_NAME=FAT:FQL_AUDITING_CLIENT_TEMPLATE.FAT&amp;display_string=Audit&amp;VAR:KEY=DUXKNCNYZK&amp;VAR:QUERY=UkdGX1RBWF9SQVRFKEFOTiwwLCwsLCwsTk9BVURJVCk=&amp;WINDOW=FIRST_POPUP&amp;HEIGHT=450&amp;WIDTH=450&amp;","START_MAXIMIZED=FALSE&amp;VAR:CALENDAR=US&amp;VAR:SYMBOL=ACCL&amp;VAR:INDEX=0"}</definedName>
    <definedName name="_795__FDSAUDITLINK__" hidden="1">{"fdsup://directions/FAT Viewer?action=UPDATE&amp;creator=factset&amp;DYN_ARGS=TRUE&amp;DOC_NAME=FAT:FQL_AUDITING_CLIENT_TEMPLATE.FAT&amp;display_string=Audit&amp;VAR:KEY=DUXKNCNYZK&amp;VAR:QUERY=UkdGX1RBWF9SQVRFKEFOTiwwLCwsLCwsTk9BVURJVCk=&amp;WINDOW=FIRST_POPUP&amp;HEIGHT=450&amp;WIDTH=450&amp;","START_MAXIMIZED=FALSE&amp;VAR:CALENDAR=US&amp;VAR:SYMBOL=ACCL&amp;VAR:INDEX=0"}</definedName>
    <definedName name="_796__FDSAUDITLINK__" localSheetId="3" hidden="1">{"fdsup://directions/FAT Viewer?action=UPDATE&amp;creator=factset&amp;DYN_ARGS=TRUE&amp;DOC_NAME=FAT:FQL_AUDITING_CLIENT_TEMPLATE.FAT&amp;display_string=Audit&amp;VAR:KEY=DUXKNCNYZK&amp;VAR:QUERY=UkdGX1RBWF9SQVRFKEFOTiwwLCwsLCwsTk9BVURJVCk=&amp;WINDOW=FIRST_POPUP&amp;HEIGHT=450&amp;WIDTH=450&amp;","START_MAXIMIZED=FALSE&amp;VAR:CALENDAR=US&amp;VAR:SYMBOL=ACCL&amp;VAR:INDEX=0"}</definedName>
    <definedName name="_796__FDSAUDITLINK__" localSheetId="7" hidden="1">{"fdsup://directions/FAT Viewer?action=UPDATE&amp;creator=factset&amp;DYN_ARGS=TRUE&amp;DOC_NAME=FAT:FQL_AUDITING_CLIENT_TEMPLATE.FAT&amp;display_string=Audit&amp;VAR:KEY=DUXKNCNYZK&amp;VAR:QUERY=UkdGX1RBWF9SQVRFKEFOTiwwLCwsLCwsTk9BVURJVCk=&amp;WINDOW=FIRST_POPUP&amp;HEIGHT=450&amp;WIDTH=450&amp;","START_MAXIMIZED=FALSE&amp;VAR:CALENDAR=US&amp;VAR:SYMBOL=ACCL&amp;VAR:INDEX=0"}</definedName>
    <definedName name="_796__FDSAUDITLINK__" hidden="1">{"fdsup://directions/FAT Viewer?action=UPDATE&amp;creator=factset&amp;DYN_ARGS=TRUE&amp;DOC_NAME=FAT:FQL_AUDITING_CLIENT_TEMPLATE.FAT&amp;display_string=Audit&amp;VAR:KEY=DUXKNCNYZK&amp;VAR:QUERY=UkdGX1RBWF9SQVRFKEFOTiwwLCwsLCwsTk9BVURJVCk=&amp;WINDOW=FIRST_POPUP&amp;HEIGHT=450&amp;WIDTH=450&amp;","START_MAXIMIZED=FALSE&amp;VAR:CALENDAR=US&amp;VAR:SYMBOL=ACCL&amp;VAR:INDEX=0"}</definedName>
    <definedName name="_797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797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797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798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798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798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79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79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79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0__FDSAUDITLINK__" localSheetId="3" hidden="1">{"fdsup://directions/FAT Viewer?action=UPDATE&amp;creator=factset&amp;DYN_ARGS=TRUE&amp;DOC_NAME=FAT:FQL_AUDITING_CLIENT_TEMPLATE.FAT&amp;display_string=Audit&amp;VAR:KEY=CZWTQXOPGV&amp;VAR:QUERY=RkZfU0FMRVMoTFRNLDAsLCwsLE0p&amp;WINDOW=FIRST_POPUP&amp;HEIGHT=450&amp;WIDTH=450&amp;START_MAXIMIZED=","FALSE&amp;VAR:CALENDAR=US&amp;VAR:SYMBOL=B66HFL&amp;VAR:INDEX=0"}</definedName>
    <definedName name="_80__FDSAUDITLINK__" localSheetId="7" hidden="1">{"fdsup://directions/FAT Viewer?action=UPDATE&amp;creator=factset&amp;DYN_ARGS=TRUE&amp;DOC_NAME=FAT:FQL_AUDITING_CLIENT_TEMPLATE.FAT&amp;display_string=Audit&amp;VAR:KEY=CZWTQXOPGV&amp;VAR:QUERY=RkZfU0FMRVMoTFRNLDAsLCwsLE0p&amp;WINDOW=FIRST_POPUP&amp;HEIGHT=450&amp;WIDTH=450&amp;START_MAXIMIZED=","FALSE&amp;VAR:CALENDAR=US&amp;VAR:SYMBOL=B66HFL&amp;VAR:INDEX=0"}</definedName>
    <definedName name="_80__FDSAUDITLINK__" hidden="1">{"fdsup://directions/FAT Viewer?action=UPDATE&amp;creator=factset&amp;DYN_ARGS=TRUE&amp;DOC_NAME=FAT:FQL_AUDITING_CLIENT_TEMPLATE.FAT&amp;display_string=Audit&amp;VAR:KEY=CZWTQXOPGV&amp;VAR:QUERY=RkZfU0FMRVMoTFRNLDAsLCwsLE0p&amp;WINDOW=FIRST_POPUP&amp;HEIGHT=450&amp;WIDTH=450&amp;START_MAXIMIZED=","FALSE&amp;VAR:CALENDAR=US&amp;VAR:SYMBOL=B66HFL&amp;VAR:INDEX=0"}</definedName>
    <definedName name="_80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0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0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0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0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0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02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02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02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03__FDSAUDITLINK__" localSheetId="3" hidden="1">{"fdsup://directions/FAT Viewer?action=UPDATE&amp;creator=factset&amp;DYN_ARGS=TRUE&amp;DOC_NAME=FAT:FQL_AUDITING_CLIENT_TEMPLATE.FAT&amp;display_string=Audit&amp;VAR:KEY=PITOHIPAPY&amp;VAR:QUERY=UkdGX1RBWF9SQVRFKEFOTiwwLCwsLCwsTk9BVURJVCk=&amp;WINDOW=FIRST_POPUP&amp;HEIGHT=450&amp;WIDTH=450&amp;","START_MAXIMIZED=FALSE&amp;VAR:CALENDAR=US&amp;VAR:SYMBOL=SFSF&amp;VAR:INDEX=0"}</definedName>
    <definedName name="_803__FDSAUDITLINK__" localSheetId="7" hidden="1">{"fdsup://directions/FAT Viewer?action=UPDATE&amp;creator=factset&amp;DYN_ARGS=TRUE&amp;DOC_NAME=FAT:FQL_AUDITING_CLIENT_TEMPLATE.FAT&amp;display_string=Audit&amp;VAR:KEY=PITOHIPAPY&amp;VAR:QUERY=UkdGX1RBWF9SQVRFKEFOTiwwLCwsLCwsTk9BVURJVCk=&amp;WINDOW=FIRST_POPUP&amp;HEIGHT=450&amp;WIDTH=450&amp;","START_MAXIMIZED=FALSE&amp;VAR:CALENDAR=US&amp;VAR:SYMBOL=SFSF&amp;VAR:INDEX=0"}</definedName>
    <definedName name="_803__FDSAUDITLINK__" hidden="1">{"fdsup://directions/FAT Viewer?action=UPDATE&amp;creator=factset&amp;DYN_ARGS=TRUE&amp;DOC_NAME=FAT:FQL_AUDITING_CLIENT_TEMPLATE.FAT&amp;display_string=Audit&amp;VAR:KEY=PITOHIPAPY&amp;VAR:QUERY=UkdGX1RBWF9SQVRFKEFOTiwwLCwsLCwsTk9BVURJVCk=&amp;WINDOW=FIRST_POPUP&amp;HEIGHT=450&amp;WIDTH=450&amp;","START_MAXIMIZED=FALSE&amp;VAR:CALENDAR=US&amp;VAR:SYMBOL=SFSF&amp;VAR:INDEX=0"}</definedName>
    <definedName name="_804__FDSAUDITLINK__" localSheetId="3" hidden="1">{"fdsup://directions/FAT Viewer?action=UPDATE&amp;creator=factset&amp;DYN_ARGS=TRUE&amp;DOC_NAME=FAT:FQL_AUDITING_CLIENT_TEMPLATE.FAT&amp;display_string=Audit&amp;VAR:KEY=XYVSXKPANE&amp;VAR:QUERY=UkdGX1RBWF9SQVRFKEFOTiwwLCwsLCwsTk9BVURJVCk=&amp;WINDOW=FIRST_POPUP&amp;HEIGHT=450&amp;WIDTH=450&amp;","START_MAXIMIZED=FALSE&amp;VAR:CALENDAR=US&amp;VAR:SYMBOL=ULTI&amp;VAR:INDEX=0"}</definedName>
    <definedName name="_804__FDSAUDITLINK__" localSheetId="7" hidden="1">{"fdsup://directions/FAT Viewer?action=UPDATE&amp;creator=factset&amp;DYN_ARGS=TRUE&amp;DOC_NAME=FAT:FQL_AUDITING_CLIENT_TEMPLATE.FAT&amp;display_string=Audit&amp;VAR:KEY=XYVSXKPANE&amp;VAR:QUERY=UkdGX1RBWF9SQVRFKEFOTiwwLCwsLCwsTk9BVURJVCk=&amp;WINDOW=FIRST_POPUP&amp;HEIGHT=450&amp;WIDTH=450&amp;","START_MAXIMIZED=FALSE&amp;VAR:CALENDAR=US&amp;VAR:SYMBOL=ULTI&amp;VAR:INDEX=0"}</definedName>
    <definedName name="_804__FDSAUDITLINK__" hidden="1">{"fdsup://directions/FAT Viewer?action=UPDATE&amp;creator=factset&amp;DYN_ARGS=TRUE&amp;DOC_NAME=FAT:FQL_AUDITING_CLIENT_TEMPLATE.FAT&amp;display_string=Audit&amp;VAR:KEY=XYVSXKPANE&amp;VAR:QUERY=UkdGX1RBWF9SQVRFKEFOTiwwLCwsLCwsTk9BVURJVCk=&amp;WINDOW=FIRST_POPUP&amp;HEIGHT=450&amp;WIDTH=450&amp;","START_MAXIMIZED=FALSE&amp;VAR:CALENDAR=US&amp;VAR:SYMBOL=ULTI&amp;VAR:INDEX=0"}</definedName>
    <definedName name="_805__FDSAUDITLINK__" localSheetId="3" hidden="1">{"fdsup://directions/FAT Viewer?action=UPDATE&amp;creator=factset&amp;DYN_ARGS=TRUE&amp;DOC_NAME=FAT:FQL_AUDITING_CLIENT_TEMPLATE.FAT&amp;display_string=Audit&amp;VAR:KEY=XYVSXKPANE&amp;VAR:QUERY=UkdGX1RBWF9SQVRFKEFOTiwwLCwsLCwsTk9BVURJVCk=&amp;WINDOW=FIRST_POPUP&amp;HEIGHT=450&amp;WIDTH=450&amp;","START_MAXIMIZED=FALSE&amp;VAR:CALENDAR=US&amp;VAR:SYMBOL=ULTI&amp;VAR:INDEX=0"}</definedName>
    <definedName name="_805__FDSAUDITLINK__" localSheetId="7" hidden="1">{"fdsup://directions/FAT Viewer?action=UPDATE&amp;creator=factset&amp;DYN_ARGS=TRUE&amp;DOC_NAME=FAT:FQL_AUDITING_CLIENT_TEMPLATE.FAT&amp;display_string=Audit&amp;VAR:KEY=XYVSXKPANE&amp;VAR:QUERY=UkdGX1RBWF9SQVRFKEFOTiwwLCwsLCwsTk9BVURJVCk=&amp;WINDOW=FIRST_POPUP&amp;HEIGHT=450&amp;WIDTH=450&amp;","START_MAXIMIZED=FALSE&amp;VAR:CALENDAR=US&amp;VAR:SYMBOL=ULTI&amp;VAR:INDEX=0"}</definedName>
    <definedName name="_805__FDSAUDITLINK__" hidden="1">{"fdsup://directions/FAT Viewer?action=UPDATE&amp;creator=factset&amp;DYN_ARGS=TRUE&amp;DOC_NAME=FAT:FQL_AUDITING_CLIENT_TEMPLATE.FAT&amp;display_string=Audit&amp;VAR:KEY=XYVSXKPANE&amp;VAR:QUERY=UkdGX1RBWF9SQVRFKEFOTiwwLCwsLCwsTk9BVURJVCk=&amp;WINDOW=FIRST_POPUP&amp;HEIGHT=450&amp;WIDTH=450&amp;","START_MAXIMIZED=FALSE&amp;VAR:CALENDAR=US&amp;VAR:SYMBOL=ULTI&amp;VAR:INDEX=0"}</definedName>
    <definedName name="_80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0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0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07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07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07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08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08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08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09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09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09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1__FDSAUDITLINK__" localSheetId="3" hidden="1">{"fdsup://directions/FAT Viewer?action=UPDATE&amp;creator=factset&amp;DYN_ARGS=TRUE&amp;DOC_NAME=FAT:FQL_AUDITING_CLIENT_TEMPLATE.FAT&amp;display_string=Audit&amp;VAR:KEY=KNAVCHYJAZ&amp;VAR:QUERY=RkZfTkVUX0lOQyhMVE0sMCwsLCwsTSk=&amp;WINDOW=FIRST_POPUP&amp;HEIGHT=450&amp;WIDTH=450&amp;START_MAXIMI","ZED=FALSE&amp;VAR:CALENDAR=US&amp;VAR:SYMBOL=B1G8KX&amp;VAR:INDEX=0"}</definedName>
    <definedName name="_81__FDSAUDITLINK__" localSheetId="7" hidden="1">{"fdsup://directions/FAT Viewer?action=UPDATE&amp;creator=factset&amp;DYN_ARGS=TRUE&amp;DOC_NAME=FAT:FQL_AUDITING_CLIENT_TEMPLATE.FAT&amp;display_string=Audit&amp;VAR:KEY=KNAVCHYJAZ&amp;VAR:QUERY=RkZfTkVUX0lOQyhMVE0sMCwsLCwsTSk=&amp;WINDOW=FIRST_POPUP&amp;HEIGHT=450&amp;WIDTH=450&amp;START_MAXIMI","ZED=FALSE&amp;VAR:CALENDAR=US&amp;VAR:SYMBOL=B1G8KX&amp;VAR:INDEX=0"}</definedName>
    <definedName name="_81__FDSAUDITLINK__" hidden="1">{"fdsup://directions/FAT Viewer?action=UPDATE&amp;creator=factset&amp;DYN_ARGS=TRUE&amp;DOC_NAME=FAT:FQL_AUDITING_CLIENT_TEMPLATE.FAT&amp;display_string=Audit&amp;VAR:KEY=KNAVCHYJAZ&amp;VAR:QUERY=RkZfTkVUX0lOQyhMVE0sMCwsLCwsTSk=&amp;WINDOW=FIRST_POPUP&amp;HEIGHT=450&amp;WIDTH=450&amp;START_MAXIMI","ZED=FALSE&amp;VAR:CALENDAR=US&amp;VAR:SYMBOL=B1G8KX&amp;VAR:INDEX=0"}</definedName>
    <definedName name="_810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10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10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1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1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1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12__FDSAUDITLINK__" localSheetId="3" hidden="1">{"fdsup://directions/FAT Viewer?action=UPDATE&amp;creator=factset&amp;DYN_ARGS=TRUE&amp;DOC_NAME=FAT:FQL_AUDITING_CLIENT_TEMPLATE.FAT&amp;display_string=Audit&amp;VAR:KEY=VGXWRSXCHK&amp;VAR:QUERY=UkdGX1RBWF9SQVRFKEFOTiwwLCwsLCwsTk9BVURJVCk=&amp;WINDOW=FIRST_POPUP&amp;HEIGHT=450&amp;WIDTH=450&amp;","START_MAXIMIZED=FALSE&amp;VAR:CALENDAR=US&amp;VAR:SYMBOL=TLEO&amp;VAR:INDEX=0"}</definedName>
    <definedName name="_812__FDSAUDITLINK__" localSheetId="7" hidden="1">{"fdsup://directions/FAT Viewer?action=UPDATE&amp;creator=factset&amp;DYN_ARGS=TRUE&amp;DOC_NAME=FAT:FQL_AUDITING_CLIENT_TEMPLATE.FAT&amp;display_string=Audit&amp;VAR:KEY=VGXWRSXCHK&amp;VAR:QUERY=UkdGX1RBWF9SQVRFKEFOTiwwLCwsLCwsTk9BVURJVCk=&amp;WINDOW=FIRST_POPUP&amp;HEIGHT=450&amp;WIDTH=450&amp;","START_MAXIMIZED=FALSE&amp;VAR:CALENDAR=US&amp;VAR:SYMBOL=TLEO&amp;VAR:INDEX=0"}</definedName>
    <definedName name="_812__FDSAUDITLINK__" hidden="1">{"fdsup://directions/FAT Viewer?action=UPDATE&amp;creator=factset&amp;DYN_ARGS=TRUE&amp;DOC_NAME=FAT:FQL_AUDITING_CLIENT_TEMPLATE.FAT&amp;display_string=Audit&amp;VAR:KEY=VGXWRSXCHK&amp;VAR:QUERY=UkdGX1RBWF9SQVRFKEFOTiwwLCwsLCwsTk9BVURJVCk=&amp;WINDOW=FIRST_POPUP&amp;HEIGHT=450&amp;WIDTH=450&amp;","START_MAXIMIZED=FALSE&amp;VAR:CALENDAR=US&amp;VAR:SYMBOL=TLEO&amp;VAR:INDEX=0"}</definedName>
    <definedName name="_813__FDSAUDITLINK__" localSheetId="3" hidden="1">{"fdsup://directions/FAT Viewer?action=UPDATE&amp;creator=factset&amp;DYN_ARGS=TRUE&amp;DOC_NAME=FAT:FQL_AUDITING_CLIENT_TEMPLATE.FAT&amp;display_string=Audit&amp;VAR:KEY=JWRELMNWDU&amp;VAR:QUERY=UkdGX1RBWF9SQVRFKEFOTiwwLCwsLCwsTk9BVURJVCk=&amp;WINDOW=FIRST_POPUP&amp;HEIGHT=450&amp;WIDTH=450&amp;","START_MAXIMIZED=FALSE&amp;VAR:CALENDAR=US&amp;VAR:SYMBOL=LOGM&amp;VAR:INDEX=0"}</definedName>
    <definedName name="_813__FDSAUDITLINK__" localSheetId="7" hidden="1">{"fdsup://directions/FAT Viewer?action=UPDATE&amp;creator=factset&amp;DYN_ARGS=TRUE&amp;DOC_NAME=FAT:FQL_AUDITING_CLIENT_TEMPLATE.FAT&amp;display_string=Audit&amp;VAR:KEY=JWRELMNWDU&amp;VAR:QUERY=UkdGX1RBWF9SQVRFKEFOTiwwLCwsLCwsTk9BVURJVCk=&amp;WINDOW=FIRST_POPUP&amp;HEIGHT=450&amp;WIDTH=450&amp;","START_MAXIMIZED=FALSE&amp;VAR:CALENDAR=US&amp;VAR:SYMBOL=LOGM&amp;VAR:INDEX=0"}</definedName>
    <definedName name="_813__FDSAUDITLINK__" hidden="1">{"fdsup://directions/FAT Viewer?action=UPDATE&amp;creator=factset&amp;DYN_ARGS=TRUE&amp;DOC_NAME=FAT:FQL_AUDITING_CLIENT_TEMPLATE.FAT&amp;display_string=Audit&amp;VAR:KEY=JWRELMNWDU&amp;VAR:QUERY=UkdGX1RBWF9SQVRFKEFOTiwwLCwsLCwsTk9BVURJVCk=&amp;WINDOW=FIRST_POPUP&amp;HEIGHT=450&amp;WIDTH=450&amp;","START_MAXIMIZED=FALSE&amp;VAR:CALENDAR=US&amp;VAR:SYMBOL=LOGM&amp;VAR:INDEX=0"}</definedName>
    <definedName name="_814__FDSAUDITLINK__" localSheetId="3" hidden="1">{"fdsup://directions/FAT Viewer?action=UPDATE&amp;creator=factset&amp;DYN_ARGS=TRUE&amp;DOC_NAME=FAT:FQL_AUDITING_CLIENT_TEMPLATE.FAT&amp;display_string=Audit&amp;VAR:KEY=JWRELMNWDU&amp;VAR:QUERY=UkdGX1RBWF9SQVRFKEFOTiwwLCwsLCwsTk9BVURJVCk=&amp;WINDOW=FIRST_POPUP&amp;HEIGHT=450&amp;WIDTH=450&amp;","START_MAXIMIZED=FALSE&amp;VAR:CALENDAR=US&amp;VAR:SYMBOL=LOGM&amp;VAR:INDEX=0"}</definedName>
    <definedName name="_814__FDSAUDITLINK__" localSheetId="7" hidden="1">{"fdsup://directions/FAT Viewer?action=UPDATE&amp;creator=factset&amp;DYN_ARGS=TRUE&amp;DOC_NAME=FAT:FQL_AUDITING_CLIENT_TEMPLATE.FAT&amp;display_string=Audit&amp;VAR:KEY=JWRELMNWDU&amp;VAR:QUERY=UkdGX1RBWF9SQVRFKEFOTiwwLCwsLCwsTk9BVURJVCk=&amp;WINDOW=FIRST_POPUP&amp;HEIGHT=450&amp;WIDTH=450&amp;","START_MAXIMIZED=FALSE&amp;VAR:CALENDAR=US&amp;VAR:SYMBOL=LOGM&amp;VAR:INDEX=0"}</definedName>
    <definedName name="_814__FDSAUDITLINK__" hidden="1">{"fdsup://directions/FAT Viewer?action=UPDATE&amp;creator=factset&amp;DYN_ARGS=TRUE&amp;DOC_NAME=FAT:FQL_AUDITING_CLIENT_TEMPLATE.FAT&amp;display_string=Audit&amp;VAR:KEY=JWRELMNWDU&amp;VAR:QUERY=UkdGX1RBWF9SQVRFKEFOTiwwLCwsLCwsTk9BVURJVCk=&amp;WINDOW=FIRST_POPUP&amp;HEIGHT=450&amp;WIDTH=450&amp;","START_MAXIMIZED=FALSE&amp;VAR:CALENDAR=US&amp;VAR:SYMBOL=LOGM&amp;VAR:INDEX=0"}</definedName>
    <definedName name="_815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15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15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1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1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1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1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1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1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1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1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1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1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1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1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2__FDSAUDITLINK__" localSheetId="3" hidden="1">{"fdsup://directions/FAT Viewer?action=UPDATE&amp;creator=factset&amp;DYN_ARGS=TRUE&amp;DOC_NAME=FAT:FQL_AUDITING_CLIENT_TEMPLATE.FAT&amp;display_string=Audit&amp;VAR:KEY=ETQFCFUZQD&amp;VAR:QUERY=RkZfRUJJVERBX09QRVIoTFRNLDAsLCwsLE0p&amp;WINDOW=FIRST_POPUP&amp;HEIGHT=450&amp;WIDTH=450&amp;START_MA","XIMIZED=FALSE&amp;VAR:CALENDAR=US&amp;VAR:SYMBOL=B1G8KX&amp;VAR:INDEX=0"}</definedName>
    <definedName name="_82__FDSAUDITLINK__" localSheetId="7" hidden="1">{"fdsup://directions/FAT Viewer?action=UPDATE&amp;creator=factset&amp;DYN_ARGS=TRUE&amp;DOC_NAME=FAT:FQL_AUDITING_CLIENT_TEMPLATE.FAT&amp;display_string=Audit&amp;VAR:KEY=ETQFCFUZQD&amp;VAR:QUERY=RkZfRUJJVERBX09QRVIoTFRNLDAsLCwsLE0p&amp;WINDOW=FIRST_POPUP&amp;HEIGHT=450&amp;WIDTH=450&amp;START_MA","XIMIZED=FALSE&amp;VAR:CALENDAR=US&amp;VAR:SYMBOL=B1G8KX&amp;VAR:INDEX=0"}</definedName>
    <definedName name="_82__FDSAUDITLINK__" hidden="1">{"fdsup://directions/FAT Viewer?action=UPDATE&amp;creator=factset&amp;DYN_ARGS=TRUE&amp;DOC_NAME=FAT:FQL_AUDITING_CLIENT_TEMPLATE.FAT&amp;display_string=Audit&amp;VAR:KEY=ETQFCFUZQD&amp;VAR:QUERY=RkZfRUJJVERBX09QRVIoTFRNLDAsLCwsLE0p&amp;WINDOW=FIRST_POPUP&amp;HEIGHT=450&amp;WIDTH=450&amp;START_MA","XIMIZED=FALSE&amp;VAR:CALENDAR=US&amp;VAR:SYMBOL=B1G8KX&amp;VAR:INDEX=0"}</definedName>
    <definedName name="_820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20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20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21__FDSAUDITLINK__" localSheetId="3" hidden="1">{"fdsup://directions/FAT Viewer?action=UPDATE&amp;creator=factset&amp;DYN_ARGS=TRUE&amp;DOC_NAME=FAT:FQL_AUDITING_CLIENT_TEMPLATE.FAT&amp;display_string=Audit&amp;VAR:KEY=PCBWPAZQBE&amp;VAR:QUERY=UkdGX1RBWF9SQVRFKEFOTiwwLCwsLCwsTk9BVURJVCk=&amp;WINDOW=FIRST_POPUP&amp;HEIGHT=450&amp;WIDTH=450&amp;","START_MAXIMIZED=FALSE&amp;VAR:CALENDAR=US&amp;VAR:SYMBOL=RNOW&amp;VAR:INDEX=0"}</definedName>
    <definedName name="_821__FDSAUDITLINK__" localSheetId="7" hidden="1">{"fdsup://directions/FAT Viewer?action=UPDATE&amp;creator=factset&amp;DYN_ARGS=TRUE&amp;DOC_NAME=FAT:FQL_AUDITING_CLIENT_TEMPLATE.FAT&amp;display_string=Audit&amp;VAR:KEY=PCBWPAZQBE&amp;VAR:QUERY=UkdGX1RBWF9SQVRFKEFOTiwwLCwsLCwsTk9BVURJVCk=&amp;WINDOW=FIRST_POPUP&amp;HEIGHT=450&amp;WIDTH=450&amp;","START_MAXIMIZED=FALSE&amp;VAR:CALENDAR=US&amp;VAR:SYMBOL=RNOW&amp;VAR:INDEX=0"}</definedName>
    <definedName name="_821__FDSAUDITLINK__" hidden="1">{"fdsup://directions/FAT Viewer?action=UPDATE&amp;creator=factset&amp;DYN_ARGS=TRUE&amp;DOC_NAME=FAT:FQL_AUDITING_CLIENT_TEMPLATE.FAT&amp;display_string=Audit&amp;VAR:KEY=PCBWPAZQBE&amp;VAR:QUERY=UkdGX1RBWF9SQVRFKEFOTiwwLCwsLCwsTk9BVURJVCk=&amp;WINDOW=FIRST_POPUP&amp;HEIGHT=450&amp;WIDTH=450&amp;","START_MAXIMIZED=FALSE&amp;VAR:CALENDAR=US&amp;VAR:SYMBOL=RNOW&amp;VAR:INDEX=0"}</definedName>
    <definedName name="_822__FDSAUDITLINK__" localSheetId="3" hidden="1">{"fdsup://directions/FAT Viewer?action=UPDATE&amp;creator=factset&amp;DYN_ARGS=TRUE&amp;DOC_NAME=FAT:FQL_AUDITING_CLIENT_TEMPLATE.FAT&amp;display_string=Audit&amp;VAR:KEY=PCBWPAZQBE&amp;VAR:QUERY=UkdGX1RBWF9SQVRFKEFOTiwwLCwsLCwsTk9BVURJVCk=&amp;WINDOW=FIRST_POPUP&amp;HEIGHT=450&amp;WIDTH=450&amp;","START_MAXIMIZED=FALSE&amp;VAR:CALENDAR=US&amp;VAR:SYMBOL=RNOW&amp;VAR:INDEX=0"}</definedName>
    <definedName name="_822__FDSAUDITLINK__" localSheetId="7" hidden="1">{"fdsup://directions/FAT Viewer?action=UPDATE&amp;creator=factset&amp;DYN_ARGS=TRUE&amp;DOC_NAME=FAT:FQL_AUDITING_CLIENT_TEMPLATE.FAT&amp;display_string=Audit&amp;VAR:KEY=PCBWPAZQBE&amp;VAR:QUERY=UkdGX1RBWF9SQVRFKEFOTiwwLCwsLCwsTk9BVURJVCk=&amp;WINDOW=FIRST_POPUP&amp;HEIGHT=450&amp;WIDTH=450&amp;","START_MAXIMIZED=FALSE&amp;VAR:CALENDAR=US&amp;VAR:SYMBOL=RNOW&amp;VAR:INDEX=0"}</definedName>
    <definedName name="_822__FDSAUDITLINK__" hidden="1">{"fdsup://directions/FAT Viewer?action=UPDATE&amp;creator=factset&amp;DYN_ARGS=TRUE&amp;DOC_NAME=FAT:FQL_AUDITING_CLIENT_TEMPLATE.FAT&amp;display_string=Audit&amp;VAR:KEY=PCBWPAZQBE&amp;VAR:QUERY=UkdGX1RBWF9SQVRFKEFOTiwwLCwsLCwsTk9BVURJVCk=&amp;WINDOW=FIRST_POPUP&amp;HEIGHT=450&amp;WIDTH=450&amp;","START_MAXIMIZED=FALSE&amp;VAR:CALENDAR=US&amp;VAR:SYMBOL=RNOW&amp;VAR:INDEX=0"}</definedName>
    <definedName name="_823__FDSAUDITLINK__" localSheetId="3" hidden="1">{"fdsup://directions/FAT Viewer?action=UPDATE&amp;creator=factset&amp;DYN_ARGS=TRUE&amp;DOC_NAME=FAT:FQL_AUDITING_CLIENT_TEMPLATE.FAT&amp;display_string=Audit&amp;VAR:KEY=PQFYROVSFC&amp;VAR:QUERY=UkdGX1RBWF9SQVRFKEFOTiwwLCwsLCwsTk9BVURJVCk=&amp;WINDOW=FIRST_POPUP&amp;HEIGHT=450&amp;WIDTH=450&amp;","START_MAXIMIZED=FALSE&amp;VAR:CALENDAR=US&amp;VAR:SYMBOL=CTCT&amp;VAR:INDEX=0"}</definedName>
    <definedName name="_823__FDSAUDITLINK__" localSheetId="7" hidden="1">{"fdsup://directions/FAT Viewer?action=UPDATE&amp;creator=factset&amp;DYN_ARGS=TRUE&amp;DOC_NAME=FAT:FQL_AUDITING_CLIENT_TEMPLATE.FAT&amp;display_string=Audit&amp;VAR:KEY=PQFYROVSFC&amp;VAR:QUERY=UkdGX1RBWF9SQVRFKEFOTiwwLCwsLCwsTk9BVURJVCk=&amp;WINDOW=FIRST_POPUP&amp;HEIGHT=450&amp;WIDTH=450&amp;","START_MAXIMIZED=FALSE&amp;VAR:CALENDAR=US&amp;VAR:SYMBOL=CTCT&amp;VAR:INDEX=0"}</definedName>
    <definedName name="_823__FDSAUDITLINK__" hidden="1">{"fdsup://directions/FAT Viewer?action=UPDATE&amp;creator=factset&amp;DYN_ARGS=TRUE&amp;DOC_NAME=FAT:FQL_AUDITING_CLIENT_TEMPLATE.FAT&amp;display_string=Audit&amp;VAR:KEY=PQFYROVSFC&amp;VAR:QUERY=UkdGX1RBWF9SQVRFKEFOTiwwLCwsLCwsTk9BVURJVCk=&amp;WINDOW=FIRST_POPUP&amp;HEIGHT=450&amp;WIDTH=450&amp;","START_MAXIMIZED=FALSE&amp;VAR:CALENDAR=US&amp;VAR:SYMBOL=CTCT&amp;VAR:INDEX=0"}</definedName>
    <definedName name="_824__FDSAUDITLINK__" localSheetId="3" hidden="1">{"fdsup://directions/FAT Viewer?action=UPDATE&amp;creator=factset&amp;DYN_ARGS=TRUE&amp;DOC_NAME=FAT:FQL_AUDITING_CLIENT_TEMPLATE.FAT&amp;display_string=Audit&amp;VAR:KEY=PQFYROVSFC&amp;VAR:QUERY=UkdGX1RBWF9SQVRFKEFOTiwwLCwsLCwsTk9BVURJVCk=&amp;WINDOW=FIRST_POPUP&amp;HEIGHT=450&amp;WIDTH=450&amp;","START_MAXIMIZED=FALSE&amp;VAR:CALENDAR=US&amp;VAR:SYMBOL=CTCT&amp;VAR:INDEX=0"}</definedName>
    <definedName name="_824__FDSAUDITLINK__" localSheetId="7" hidden="1">{"fdsup://directions/FAT Viewer?action=UPDATE&amp;creator=factset&amp;DYN_ARGS=TRUE&amp;DOC_NAME=FAT:FQL_AUDITING_CLIENT_TEMPLATE.FAT&amp;display_string=Audit&amp;VAR:KEY=PQFYROVSFC&amp;VAR:QUERY=UkdGX1RBWF9SQVRFKEFOTiwwLCwsLCwsTk9BVURJVCk=&amp;WINDOW=FIRST_POPUP&amp;HEIGHT=450&amp;WIDTH=450&amp;","START_MAXIMIZED=FALSE&amp;VAR:CALENDAR=US&amp;VAR:SYMBOL=CTCT&amp;VAR:INDEX=0"}</definedName>
    <definedName name="_824__FDSAUDITLINK__" hidden="1">{"fdsup://directions/FAT Viewer?action=UPDATE&amp;creator=factset&amp;DYN_ARGS=TRUE&amp;DOC_NAME=FAT:FQL_AUDITING_CLIENT_TEMPLATE.FAT&amp;display_string=Audit&amp;VAR:KEY=PQFYROVSFC&amp;VAR:QUERY=UkdGX1RBWF9SQVRFKEFOTiwwLCwsLCwsTk9BVURJVCk=&amp;WINDOW=FIRST_POPUP&amp;HEIGHT=450&amp;WIDTH=450&amp;","START_MAXIMIZED=FALSE&amp;VAR:CALENDAR=US&amp;VAR:SYMBOL=CTCT&amp;VAR:INDEX=0"}</definedName>
    <definedName name="_825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25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25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26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26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26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27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27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27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2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2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2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2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2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2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3__FDSAUDITLINK__" localSheetId="3" hidden="1">{"fdsup://directions/FAT Viewer?action=UPDATE&amp;creator=factset&amp;DYN_ARGS=TRUE&amp;DOC_NAME=FAT:FQL_AUDITING_CLIENT_TEMPLATE.FAT&amp;display_string=Audit&amp;VAR:KEY=ETWZQTQLQL&amp;VAR:QUERY=RkZfU0FMRVMoTFRNLDAsLCwsLE0p&amp;WINDOW=FIRST_POPUP&amp;HEIGHT=450&amp;WIDTH=450&amp;START_MAXIMIZED=","FALSE&amp;VAR:CALENDAR=US&amp;VAR:SYMBOL=B1G8KX&amp;VAR:INDEX=0"}</definedName>
    <definedName name="_83__FDSAUDITLINK__" localSheetId="7" hidden="1">{"fdsup://directions/FAT Viewer?action=UPDATE&amp;creator=factset&amp;DYN_ARGS=TRUE&amp;DOC_NAME=FAT:FQL_AUDITING_CLIENT_TEMPLATE.FAT&amp;display_string=Audit&amp;VAR:KEY=ETWZQTQLQL&amp;VAR:QUERY=RkZfU0FMRVMoTFRNLDAsLCwsLE0p&amp;WINDOW=FIRST_POPUP&amp;HEIGHT=450&amp;WIDTH=450&amp;START_MAXIMIZED=","FALSE&amp;VAR:CALENDAR=US&amp;VAR:SYMBOL=B1G8KX&amp;VAR:INDEX=0"}</definedName>
    <definedName name="_83__FDSAUDITLINK__" hidden="1">{"fdsup://directions/FAT Viewer?action=UPDATE&amp;creator=factset&amp;DYN_ARGS=TRUE&amp;DOC_NAME=FAT:FQL_AUDITING_CLIENT_TEMPLATE.FAT&amp;display_string=Audit&amp;VAR:KEY=ETWZQTQLQL&amp;VAR:QUERY=RkZfU0FMRVMoTFRNLDAsLCwsLE0p&amp;WINDOW=FIRST_POPUP&amp;HEIGHT=450&amp;WIDTH=450&amp;START_MAXIMIZED=","FALSE&amp;VAR:CALENDAR=US&amp;VAR:SYMBOL=B1G8KX&amp;VAR:INDEX=0"}</definedName>
    <definedName name="_830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30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30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31__FDSAUDITLINK__" localSheetId="3" hidden="1">{"fdsup://directions/FAT Viewer?action=UPDATE&amp;creator=factset&amp;DYN_ARGS=TRUE&amp;DOC_NAME=FAT:FQL_AUDITING_CLIENT_TEMPLATE.FAT&amp;display_string=Audit&amp;VAR:KEY=FUHEZWDOZI&amp;VAR:QUERY=UkdGX1RBWF9SQVRFKEFOTiwwLCwsLCwsTk9BVURJVCk=&amp;WINDOW=FIRST_POPUP&amp;HEIGHT=450&amp;WIDTH=450&amp;","START_MAXIMIZED=FALSE&amp;VAR:CALENDAR=US&amp;VAR:SYMBOL=VOCS&amp;VAR:INDEX=0"}</definedName>
    <definedName name="_831__FDSAUDITLINK__" localSheetId="7" hidden="1">{"fdsup://directions/FAT Viewer?action=UPDATE&amp;creator=factset&amp;DYN_ARGS=TRUE&amp;DOC_NAME=FAT:FQL_AUDITING_CLIENT_TEMPLATE.FAT&amp;display_string=Audit&amp;VAR:KEY=FUHEZWDOZI&amp;VAR:QUERY=UkdGX1RBWF9SQVRFKEFOTiwwLCwsLCwsTk9BVURJVCk=&amp;WINDOW=FIRST_POPUP&amp;HEIGHT=450&amp;WIDTH=450&amp;","START_MAXIMIZED=FALSE&amp;VAR:CALENDAR=US&amp;VAR:SYMBOL=VOCS&amp;VAR:INDEX=0"}</definedName>
    <definedName name="_831__FDSAUDITLINK__" hidden="1">{"fdsup://directions/FAT Viewer?action=UPDATE&amp;creator=factset&amp;DYN_ARGS=TRUE&amp;DOC_NAME=FAT:FQL_AUDITING_CLIENT_TEMPLATE.FAT&amp;display_string=Audit&amp;VAR:KEY=FUHEZWDOZI&amp;VAR:QUERY=UkdGX1RBWF9SQVRFKEFOTiwwLCwsLCwsTk9BVURJVCk=&amp;WINDOW=FIRST_POPUP&amp;HEIGHT=450&amp;WIDTH=450&amp;","START_MAXIMIZED=FALSE&amp;VAR:CALENDAR=US&amp;VAR:SYMBOL=VOCS&amp;VAR:INDEX=0"}</definedName>
    <definedName name="_832__FDSAUDITLINK__" localSheetId="3" hidden="1">{"fdsup://directions/FAT Viewer?action=UPDATE&amp;creator=factset&amp;DYN_ARGS=TRUE&amp;DOC_NAME=FAT:FQL_AUDITING_CLIENT_TEMPLATE.FAT&amp;display_string=Audit&amp;VAR:KEY=LONOREZIRS&amp;VAR:QUERY=UkdGX1RBWF9SQVRFKEFOTiwwLCwsLCwsTk9BVURJVCk=&amp;WINDOW=FIRST_POPUP&amp;HEIGHT=450&amp;WIDTH=450&amp;","START_MAXIMIZED=FALSE&amp;VAR:CALENDAR=US&amp;VAR:SYMBOL=KNXA&amp;VAR:INDEX=0"}</definedName>
    <definedName name="_832__FDSAUDITLINK__" localSheetId="7" hidden="1">{"fdsup://directions/FAT Viewer?action=UPDATE&amp;creator=factset&amp;DYN_ARGS=TRUE&amp;DOC_NAME=FAT:FQL_AUDITING_CLIENT_TEMPLATE.FAT&amp;display_string=Audit&amp;VAR:KEY=LONOREZIRS&amp;VAR:QUERY=UkdGX1RBWF9SQVRFKEFOTiwwLCwsLCwsTk9BVURJVCk=&amp;WINDOW=FIRST_POPUP&amp;HEIGHT=450&amp;WIDTH=450&amp;","START_MAXIMIZED=FALSE&amp;VAR:CALENDAR=US&amp;VAR:SYMBOL=KNXA&amp;VAR:INDEX=0"}</definedName>
    <definedName name="_832__FDSAUDITLINK__" hidden="1">{"fdsup://directions/FAT Viewer?action=UPDATE&amp;creator=factset&amp;DYN_ARGS=TRUE&amp;DOC_NAME=FAT:FQL_AUDITING_CLIENT_TEMPLATE.FAT&amp;display_string=Audit&amp;VAR:KEY=LONOREZIRS&amp;VAR:QUERY=UkdGX1RBWF9SQVRFKEFOTiwwLCwsLCwsTk9BVURJVCk=&amp;WINDOW=FIRST_POPUP&amp;HEIGHT=450&amp;WIDTH=450&amp;","START_MAXIMIZED=FALSE&amp;VAR:CALENDAR=US&amp;VAR:SYMBOL=KNXA&amp;VAR:INDEX=0"}</definedName>
    <definedName name="_833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33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33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34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34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34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3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3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3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3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3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3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3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3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3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38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38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38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39__FDSAUDITLINK__" localSheetId="3" hidden="1">{"fdsup://directions/FAT Viewer?action=UPDATE&amp;creator=factset&amp;DYN_ARGS=TRUE&amp;DOC_NAME=FAT:FQL_AUDITING_CLIENT_TEMPLATE.FAT&amp;display_string=Audit&amp;VAR:KEY=XGPEFQTILQ&amp;VAR:QUERY=UkdGX1RBWF9SQVRFKEFOTiwwLCwsLCwsTk9BVURJVCk=&amp;WINDOW=FIRST_POPUP&amp;HEIGHT=450&amp;WIDTH=450&amp;","START_MAXIMIZED=FALSE&amp;VAR:CALENDAR=US&amp;VAR:SYMBOL=N&amp;VAR:INDEX=0"}</definedName>
    <definedName name="_839__FDSAUDITLINK__" localSheetId="7" hidden="1">{"fdsup://directions/FAT Viewer?action=UPDATE&amp;creator=factset&amp;DYN_ARGS=TRUE&amp;DOC_NAME=FAT:FQL_AUDITING_CLIENT_TEMPLATE.FAT&amp;display_string=Audit&amp;VAR:KEY=XGPEFQTILQ&amp;VAR:QUERY=UkdGX1RBWF9SQVRFKEFOTiwwLCwsLCwsTk9BVURJVCk=&amp;WINDOW=FIRST_POPUP&amp;HEIGHT=450&amp;WIDTH=450&amp;","START_MAXIMIZED=FALSE&amp;VAR:CALENDAR=US&amp;VAR:SYMBOL=N&amp;VAR:INDEX=0"}</definedName>
    <definedName name="_839__FDSAUDITLINK__" hidden="1">{"fdsup://directions/FAT Viewer?action=UPDATE&amp;creator=factset&amp;DYN_ARGS=TRUE&amp;DOC_NAME=FAT:FQL_AUDITING_CLIENT_TEMPLATE.FAT&amp;display_string=Audit&amp;VAR:KEY=XGPEFQTILQ&amp;VAR:QUERY=UkdGX1RBWF9SQVRFKEFOTiwwLCwsLCwsTk9BVURJVCk=&amp;WINDOW=FIRST_POPUP&amp;HEIGHT=450&amp;WIDTH=450&amp;","START_MAXIMIZED=FALSE&amp;VAR:CALENDAR=US&amp;VAR:SYMBOL=N&amp;VAR:INDEX=0"}</definedName>
    <definedName name="_84__FDSAUDITLINK__" localSheetId="3" hidden="1">{"fdsup://directions/FAT Viewer?action=UPDATE&amp;creator=factset&amp;DYN_ARGS=TRUE&amp;DOC_NAME=FAT:FQL_AUDITING_CLIENT_TEMPLATE.FAT&amp;display_string=Audit&amp;VAR:KEY=GNAHMLWBMB&amp;VAR:QUERY=RkZfTkVUX0lOQyhMVE0sMCwsLCwsTSk=&amp;WINDOW=FIRST_POPUP&amp;HEIGHT=450&amp;WIDTH=450&amp;START_MAXIMI","ZED=FALSE&amp;VAR:CALENDAR=US&amp;VAR:SYMBOL=244097&amp;VAR:INDEX=0"}</definedName>
    <definedName name="_84__FDSAUDITLINK__" localSheetId="7" hidden="1">{"fdsup://directions/FAT Viewer?action=UPDATE&amp;creator=factset&amp;DYN_ARGS=TRUE&amp;DOC_NAME=FAT:FQL_AUDITING_CLIENT_TEMPLATE.FAT&amp;display_string=Audit&amp;VAR:KEY=GNAHMLWBMB&amp;VAR:QUERY=RkZfTkVUX0lOQyhMVE0sMCwsLCwsTSk=&amp;WINDOW=FIRST_POPUP&amp;HEIGHT=450&amp;WIDTH=450&amp;START_MAXIMI","ZED=FALSE&amp;VAR:CALENDAR=US&amp;VAR:SYMBOL=244097&amp;VAR:INDEX=0"}</definedName>
    <definedName name="_84__FDSAUDITLINK__" hidden="1">{"fdsup://directions/FAT Viewer?action=UPDATE&amp;creator=factset&amp;DYN_ARGS=TRUE&amp;DOC_NAME=FAT:FQL_AUDITING_CLIENT_TEMPLATE.FAT&amp;display_string=Audit&amp;VAR:KEY=GNAHMLWBMB&amp;VAR:QUERY=RkZfTkVUX0lOQyhMVE0sMCwsLCwsTSk=&amp;WINDOW=FIRST_POPUP&amp;HEIGHT=450&amp;WIDTH=450&amp;START_MAXIMI","ZED=FALSE&amp;VAR:CALENDAR=US&amp;VAR:SYMBOL=244097&amp;VAR:INDEX=0"}</definedName>
    <definedName name="_840__FDSAUDITLINK__" localSheetId="3" hidden="1">{"fdsup://directions/FAT Viewer?action=UPDATE&amp;creator=factset&amp;DYN_ARGS=TRUE&amp;DOC_NAME=FAT:FQL_AUDITING_CLIENT_TEMPLATE.FAT&amp;display_string=Audit&amp;VAR:KEY=QPSRMTWVMV&amp;VAR:QUERY=UkdGX1RBWF9SQVRFKEFOTiwwLCwsLCwsTk9BVURJVCk=&amp;WINDOW=FIRST_POPUP&amp;HEIGHT=450&amp;WIDTH=450&amp;","START_MAXIMIZED=FALSE&amp;VAR:CALENDAR=US&amp;VAR:SYMBOL=SWI&amp;VAR:INDEX=0"}</definedName>
    <definedName name="_840__FDSAUDITLINK__" localSheetId="7" hidden="1">{"fdsup://directions/FAT Viewer?action=UPDATE&amp;creator=factset&amp;DYN_ARGS=TRUE&amp;DOC_NAME=FAT:FQL_AUDITING_CLIENT_TEMPLATE.FAT&amp;display_string=Audit&amp;VAR:KEY=QPSRMTWVMV&amp;VAR:QUERY=UkdGX1RBWF9SQVRFKEFOTiwwLCwsLCwsTk9BVURJVCk=&amp;WINDOW=FIRST_POPUP&amp;HEIGHT=450&amp;WIDTH=450&amp;","START_MAXIMIZED=FALSE&amp;VAR:CALENDAR=US&amp;VAR:SYMBOL=SWI&amp;VAR:INDEX=0"}</definedName>
    <definedName name="_840__FDSAUDITLINK__" hidden="1">{"fdsup://directions/FAT Viewer?action=UPDATE&amp;creator=factset&amp;DYN_ARGS=TRUE&amp;DOC_NAME=FAT:FQL_AUDITING_CLIENT_TEMPLATE.FAT&amp;display_string=Audit&amp;VAR:KEY=QPSRMTWVMV&amp;VAR:QUERY=UkdGX1RBWF9SQVRFKEFOTiwwLCwsLCwsTk9BVURJVCk=&amp;WINDOW=FIRST_POPUP&amp;HEIGHT=450&amp;WIDTH=450&amp;","START_MAXIMIZED=FALSE&amp;VAR:CALENDAR=US&amp;VAR:SYMBOL=SWI&amp;VAR:INDEX=0"}</definedName>
    <definedName name="_841__FDSAUDITLINK__" localSheetId="3" hidden="1">{"fdsup://directions/FAT Viewer?action=UPDATE&amp;creator=factset&amp;DYN_ARGS=TRUE&amp;DOC_NAME=FAT:FQL_AUDITING_CLIENT_TEMPLATE.FAT&amp;display_string=Audit&amp;VAR:KEY=QPSRMTWVMV&amp;VAR:QUERY=UkdGX1RBWF9SQVRFKEFOTiwwLCwsLCwsTk9BVURJVCk=&amp;WINDOW=FIRST_POPUP&amp;HEIGHT=450&amp;WIDTH=450&amp;","START_MAXIMIZED=FALSE&amp;VAR:CALENDAR=US&amp;VAR:SYMBOL=SWI&amp;VAR:INDEX=0"}</definedName>
    <definedName name="_841__FDSAUDITLINK__" localSheetId="7" hidden="1">{"fdsup://directions/FAT Viewer?action=UPDATE&amp;creator=factset&amp;DYN_ARGS=TRUE&amp;DOC_NAME=FAT:FQL_AUDITING_CLIENT_TEMPLATE.FAT&amp;display_string=Audit&amp;VAR:KEY=QPSRMTWVMV&amp;VAR:QUERY=UkdGX1RBWF9SQVRFKEFOTiwwLCwsLCwsTk9BVURJVCk=&amp;WINDOW=FIRST_POPUP&amp;HEIGHT=450&amp;WIDTH=450&amp;","START_MAXIMIZED=FALSE&amp;VAR:CALENDAR=US&amp;VAR:SYMBOL=SWI&amp;VAR:INDEX=0"}</definedName>
    <definedName name="_841__FDSAUDITLINK__" hidden="1">{"fdsup://directions/FAT Viewer?action=UPDATE&amp;creator=factset&amp;DYN_ARGS=TRUE&amp;DOC_NAME=FAT:FQL_AUDITING_CLIENT_TEMPLATE.FAT&amp;display_string=Audit&amp;VAR:KEY=QPSRMTWVMV&amp;VAR:QUERY=UkdGX1RBWF9SQVRFKEFOTiwwLCwsLCwsTk9BVURJVCk=&amp;WINDOW=FIRST_POPUP&amp;HEIGHT=450&amp;WIDTH=450&amp;","START_MAXIMIZED=FALSE&amp;VAR:CALENDAR=US&amp;VAR:SYMBOL=SWI&amp;VAR:INDEX=0"}</definedName>
    <definedName name="_842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42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42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4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4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4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4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4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4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45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45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45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4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4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4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47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47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47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4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4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4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49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49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49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5__FDSAUDITLINK__" localSheetId="3" hidden="1">{"fdsup://directions/FAT Viewer?action=UPDATE&amp;creator=factset&amp;DYN_ARGS=TRUE&amp;DOC_NAME=FAT:FQL_AUDITING_CLIENT_TEMPLATE.FAT&amp;display_string=Audit&amp;VAR:KEY=GVONYPEHYZ&amp;VAR:QUERY=RkZfRUJJVERBX09QRVIoTFRNLDAsLCwsLE0p&amp;WINDOW=FIRST_POPUP&amp;HEIGHT=450&amp;WIDTH=450&amp;START_MA","XIMIZED=FALSE&amp;VAR:CALENDAR=US&amp;VAR:SYMBOL=244097&amp;VAR:INDEX=0"}</definedName>
    <definedName name="_85__FDSAUDITLINK__" localSheetId="7" hidden="1">{"fdsup://directions/FAT Viewer?action=UPDATE&amp;creator=factset&amp;DYN_ARGS=TRUE&amp;DOC_NAME=FAT:FQL_AUDITING_CLIENT_TEMPLATE.FAT&amp;display_string=Audit&amp;VAR:KEY=GVONYPEHYZ&amp;VAR:QUERY=RkZfRUJJVERBX09QRVIoTFRNLDAsLCwsLE0p&amp;WINDOW=FIRST_POPUP&amp;HEIGHT=450&amp;WIDTH=450&amp;START_MA","XIMIZED=FALSE&amp;VAR:CALENDAR=US&amp;VAR:SYMBOL=244097&amp;VAR:INDEX=0"}</definedName>
    <definedName name="_85__FDSAUDITLINK__" hidden="1">{"fdsup://directions/FAT Viewer?action=UPDATE&amp;creator=factset&amp;DYN_ARGS=TRUE&amp;DOC_NAME=FAT:FQL_AUDITING_CLIENT_TEMPLATE.FAT&amp;display_string=Audit&amp;VAR:KEY=GVONYPEHYZ&amp;VAR:QUERY=RkZfRUJJVERBX09QRVIoTFRNLDAsLCwsLE0p&amp;WINDOW=FIRST_POPUP&amp;HEIGHT=450&amp;WIDTH=450&amp;START_MA","XIMIZED=FALSE&amp;VAR:CALENDAR=US&amp;VAR:SYMBOL=244097&amp;VAR:INDEX=0"}</definedName>
    <definedName name="_85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5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5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51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51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51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52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52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52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53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53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53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5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5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5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5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5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5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5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5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5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5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5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5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58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58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58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59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59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59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6__FDSAUDITLINK__" localSheetId="3" hidden="1">{"fdsup://directions/FAT Viewer?action=UPDATE&amp;creator=factset&amp;DYN_ARGS=TRUE&amp;DOC_NAME=FAT:FQL_AUDITING_CLIENT_TEMPLATE.FAT&amp;display_string=Audit&amp;VAR:KEY=ILGJWFQVWH&amp;VAR:QUERY=RkZfU0FMRVMoTFRNLDAsLCwsLE0p&amp;WINDOW=FIRST_POPUP&amp;HEIGHT=450&amp;WIDTH=450&amp;START_MAXIMIZED=","FALSE&amp;VAR:CALENDAR=US&amp;VAR:SYMBOL=244097&amp;VAR:INDEX=0"}</definedName>
    <definedName name="_86__FDSAUDITLINK__" localSheetId="7" hidden="1">{"fdsup://directions/FAT Viewer?action=UPDATE&amp;creator=factset&amp;DYN_ARGS=TRUE&amp;DOC_NAME=FAT:FQL_AUDITING_CLIENT_TEMPLATE.FAT&amp;display_string=Audit&amp;VAR:KEY=ILGJWFQVWH&amp;VAR:QUERY=RkZfU0FMRVMoTFRNLDAsLCwsLE0p&amp;WINDOW=FIRST_POPUP&amp;HEIGHT=450&amp;WIDTH=450&amp;START_MAXIMIZED=","FALSE&amp;VAR:CALENDAR=US&amp;VAR:SYMBOL=244097&amp;VAR:INDEX=0"}</definedName>
    <definedName name="_86__FDSAUDITLINK__" hidden="1">{"fdsup://directions/FAT Viewer?action=UPDATE&amp;creator=factset&amp;DYN_ARGS=TRUE&amp;DOC_NAME=FAT:FQL_AUDITING_CLIENT_TEMPLATE.FAT&amp;display_string=Audit&amp;VAR:KEY=ILGJWFQVWH&amp;VAR:QUERY=RkZfU0FMRVMoTFRNLDAsLCwsLE0p&amp;WINDOW=FIRST_POPUP&amp;HEIGHT=450&amp;WIDTH=450&amp;START_MAXIMIZED=","FALSE&amp;VAR:CALENDAR=US&amp;VAR:SYMBOL=244097&amp;VAR:INDEX=0"}</definedName>
    <definedName name="_86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6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6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6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6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6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6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6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6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6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6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6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64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64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64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65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65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65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6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6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6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6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6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6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6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6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6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6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6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6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7__FDSAUDITLINK__" localSheetId="3" hidden="1">{"fdsup://directions/FAT Viewer?action=UPDATE&amp;creator=factset&amp;DYN_ARGS=TRUE&amp;DOC_NAME=FAT:FQL_AUDITING_CLIENT_TEMPLATE.FAT&amp;display_string=Audit&amp;VAR:KEY=KRCTCLGVAT&amp;VAR:QUERY=RkZfTkVUX0lOQyhMVE0sMCwsLCwsTSk=&amp;WINDOW=FIRST_POPUP&amp;HEIGHT=450&amp;WIDTH=450&amp;START_MAXIMI","ZED=FALSE&amp;VAR:CALENDAR=US&amp;VAR:SYMBOL=B667N4&amp;VAR:INDEX=0"}</definedName>
    <definedName name="_87__FDSAUDITLINK__" localSheetId="7" hidden="1">{"fdsup://directions/FAT Viewer?action=UPDATE&amp;creator=factset&amp;DYN_ARGS=TRUE&amp;DOC_NAME=FAT:FQL_AUDITING_CLIENT_TEMPLATE.FAT&amp;display_string=Audit&amp;VAR:KEY=KRCTCLGVAT&amp;VAR:QUERY=RkZfTkVUX0lOQyhMVE0sMCwsLCwsTSk=&amp;WINDOW=FIRST_POPUP&amp;HEIGHT=450&amp;WIDTH=450&amp;START_MAXIMI","ZED=FALSE&amp;VAR:CALENDAR=US&amp;VAR:SYMBOL=B667N4&amp;VAR:INDEX=0"}</definedName>
    <definedName name="_87__FDSAUDITLINK__" hidden="1">{"fdsup://directions/FAT Viewer?action=UPDATE&amp;creator=factset&amp;DYN_ARGS=TRUE&amp;DOC_NAME=FAT:FQL_AUDITING_CLIENT_TEMPLATE.FAT&amp;display_string=Audit&amp;VAR:KEY=KRCTCLGVAT&amp;VAR:QUERY=RkZfTkVUX0lOQyhMVE0sMCwsLCwsTSk=&amp;WINDOW=FIRST_POPUP&amp;HEIGHT=450&amp;WIDTH=450&amp;START_MAXIMI","ZED=FALSE&amp;VAR:CALENDAR=US&amp;VAR:SYMBOL=B667N4&amp;VAR:INDEX=0"}</definedName>
    <definedName name="_870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70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70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71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71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71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7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7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7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7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7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7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7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7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7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7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7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7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76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76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76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77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77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77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7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7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7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7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7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7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8__FDSAUDITLINK__" localSheetId="3" hidden="1">{"fdsup://directions/FAT Viewer?action=UPDATE&amp;creator=factset&amp;DYN_ARGS=TRUE&amp;DOC_NAME=FAT:FQL_AUDITING_CLIENT_TEMPLATE.FAT&amp;display_string=Audit&amp;VAR:KEY=OTATUZUDQB&amp;VAR:QUERY=RkZfRUJJVERBX09QRVIoTFRNLDAsLCwsLE0p&amp;WINDOW=FIRST_POPUP&amp;HEIGHT=450&amp;WIDTH=450&amp;START_MA","XIMIZED=FALSE&amp;VAR:CALENDAR=US&amp;VAR:SYMBOL=B667N4&amp;VAR:INDEX=0"}</definedName>
    <definedName name="_88__FDSAUDITLINK__" localSheetId="7" hidden="1">{"fdsup://directions/FAT Viewer?action=UPDATE&amp;creator=factset&amp;DYN_ARGS=TRUE&amp;DOC_NAME=FAT:FQL_AUDITING_CLIENT_TEMPLATE.FAT&amp;display_string=Audit&amp;VAR:KEY=OTATUZUDQB&amp;VAR:QUERY=RkZfRUJJVERBX09QRVIoTFRNLDAsLCwsLE0p&amp;WINDOW=FIRST_POPUP&amp;HEIGHT=450&amp;WIDTH=450&amp;START_MA","XIMIZED=FALSE&amp;VAR:CALENDAR=US&amp;VAR:SYMBOL=B667N4&amp;VAR:INDEX=0"}</definedName>
    <definedName name="_88__FDSAUDITLINK__" hidden="1">{"fdsup://directions/FAT Viewer?action=UPDATE&amp;creator=factset&amp;DYN_ARGS=TRUE&amp;DOC_NAME=FAT:FQL_AUDITING_CLIENT_TEMPLATE.FAT&amp;display_string=Audit&amp;VAR:KEY=OTATUZUDQB&amp;VAR:QUERY=RkZfRUJJVERBX09QRVIoTFRNLDAsLCwsLE0p&amp;WINDOW=FIRST_POPUP&amp;HEIGHT=450&amp;WIDTH=450&amp;START_MA","XIMIZED=FALSE&amp;VAR:CALENDAR=US&amp;VAR:SYMBOL=B667N4&amp;VAR:INDEX=0"}</definedName>
    <definedName name="_88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8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8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8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8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8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82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82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82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83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83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83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8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8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8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8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8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8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8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8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8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8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8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8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88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88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88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89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89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89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9__FDSAUDITLINK__" localSheetId="3" hidden="1">{"fdsup://directions/FAT Viewer?action=UPDATE&amp;creator=factset&amp;DYN_ARGS=TRUE&amp;DOC_NAME=FAT:FQL_AUDITING_CLIENT_TEMPLATE.FAT&amp;display_string=Audit&amp;VAR:KEY=STYJOHAZYP&amp;VAR:QUERY=RkZfU0FMRVMoTFRNLDAsLCwsLE0p&amp;WINDOW=FIRST_POPUP&amp;HEIGHT=450&amp;WIDTH=450&amp;START_MAXIMIZED=","FALSE&amp;VAR:CALENDAR=US&amp;VAR:SYMBOL=B667N4&amp;VAR:INDEX=0"}</definedName>
    <definedName name="_89__FDSAUDITLINK__" localSheetId="7" hidden="1">{"fdsup://directions/FAT Viewer?action=UPDATE&amp;creator=factset&amp;DYN_ARGS=TRUE&amp;DOC_NAME=FAT:FQL_AUDITING_CLIENT_TEMPLATE.FAT&amp;display_string=Audit&amp;VAR:KEY=STYJOHAZYP&amp;VAR:QUERY=RkZfU0FMRVMoTFRNLDAsLCwsLE0p&amp;WINDOW=FIRST_POPUP&amp;HEIGHT=450&amp;WIDTH=450&amp;START_MAXIMIZED=","FALSE&amp;VAR:CALENDAR=US&amp;VAR:SYMBOL=B667N4&amp;VAR:INDEX=0"}</definedName>
    <definedName name="_89__FDSAUDITLINK__" hidden="1">{"fdsup://directions/FAT Viewer?action=UPDATE&amp;creator=factset&amp;DYN_ARGS=TRUE&amp;DOC_NAME=FAT:FQL_AUDITING_CLIENT_TEMPLATE.FAT&amp;display_string=Audit&amp;VAR:KEY=STYJOHAZYP&amp;VAR:QUERY=RkZfU0FMRVMoTFRNLDAsLCwsLE0p&amp;WINDOW=FIRST_POPUP&amp;HEIGHT=450&amp;WIDTH=450&amp;START_MAXIMIZED=","FALSE&amp;VAR:CALENDAR=US&amp;VAR:SYMBOL=B667N4&amp;VAR:INDEX=0"}</definedName>
    <definedName name="_89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9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9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9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9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9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9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9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9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9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9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9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94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94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94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895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95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95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89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9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9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89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9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9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89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9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9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89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9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89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__FDSAUDITLINK__" localSheetId="3" hidden="1">{"fdsup://Directions/FactSet Auditing Viewer?action=AUDIT_VALUE&amp;DB=129&amp;ID1=B10LQP&amp;VALUEID=05192&amp;SDATE=2010&amp;PERIODTYPE=ANN_STD&amp;SCFT=3&amp;window=popup_no_bar&amp;width=385&amp;height=120&amp;START_MAXIMIZED=FALSE&amp;creator=factset&amp;display_string=Audit"}</definedName>
    <definedName name="_9__FDSAUDITLINK__" localSheetId="7" hidden="1">{"fdsup://Directions/FactSet Auditing Viewer?action=AUDIT_VALUE&amp;DB=129&amp;ID1=B10LQP&amp;VALUEID=05192&amp;SDATE=2010&amp;PERIODTYPE=ANN_STD&amp;SCFT=3&amp;window=popup_no_bar&amp;width=385&amp;height=120&amp;START_MAXIMIZED=FALSE&amp;creator=factset&amp;display_string=Audit"}</definedName>
    <definedName name="_9__FDSAUDITLINK__" hidden="1">{"fdsup://Directions/FactSet Auditing Viewer?action=AUDIT_VALUE&amp;DB=129&amp;ID1=B10LQP&amp;VALUEID=05192&amp;SDATE=2010&amp;PERIODTYPE=ANN_STD&amp;SCFT=3&amp;window=popup_no_bar&amp;width=385&amp;height=120&amp;START_MAXIMIZED=FALSE&amp;creator=factset&amp;display_string=Audit"}</definedName>
    <definedName name="_90__FDSAUDITLINK__" localSheetId="3" hidden="1">{"fdsup://directions/FAT Viewer?action=UPDATE&amp;creator=factset&amp;DYN_ARGS=TRUE&amp;DOC_NAME=FAT:FQL_AUDITING_CLIENT_TEMPLATE.FAT&amp;display_string=Audit&amp;VAR:KEY=AJGFYDUVOB&amp;VAR:QUERY=RkZfTkVUX0lOQyhMVE0sMCwsLCwsTSk=&amp;WINDOW=FIRST_POPUP&amp;HEIGHT=450&amp;WIDTH=450&amp;START_MAXIMI","ZED=FALSE&amp;VAR:CALENDAR=US&amp;VAR:SYMBOL=B29VWQ&amp;VAR:INDEX=0"}</definedName>
    <definedName name="_90__FDSAUDITLINK__" localSheetId="7" hidden="1">{"fdsup://directions/FAT Viewer?action=UPDATE&amp;creator=factset&amp;DYN_ARGS=TRUE&amp;DOC_NAME=FAT:FQL_AUDITING_CLIENT_TEMPLATE.FAT&amp;display_string=Audit&amp;VAR:KEY=AJGFYDUVOB&amp;VAR:QUERY=RkZfTkVUX0lOQyhMVE0sMCwsLCwsTSk=&amp;WINDOW=FIRST_POPUP&amp;HEIGHT=450&amp;WIDTH=450&amp;START_MAXIMI","ZED=FALSE&amp;VAR:CALENDAR=US&amp;VAR:SYMBOL=B29VWQ&amp;VAR:INDEX=0"}</definedName>
    <definedName name="_90__FDSAUDITLINK__" hidden="1">{"fdsup://directions/FAT Viewer?action=UPDATE&amp;creator=factset&amp;DYN_ARGS=TRUE&amp;DOC_NAME=FAT:FQL_AUDITING_CLIENT_TEMPLATE.FAT&amp;display_string=Audit&amp;VAR:KEY=AJGFYDUVOB&amp;VAR:QUERY=RkZfTkVUX0lOQyhMVE0sMCwsLCwsTSk=&amp;WINDOW=FIRST_POPUP&amp;HEIGHT=450&amp;WIDTH=450&amp;START_MAXIMI","ZED=FALSE&amp;VAR:CALENDAR=US&amp;VAR:SYMBOL=B29VWQ&amp;VAR:INDEX=0"}</definedName>
    <definedName name="_900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00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00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01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01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01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0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0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0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0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0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0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0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0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0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0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0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0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06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06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06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07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07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07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0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0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0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0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0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0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1__FDSAUDITLINK__" localSheetId="3" hidden="1">{"fdsup://directions/FAT Viewer?action=UPDATE&amp;creator=factset&amp;DYN_ARGS=TRUE&amp;DOC_NAME=FAT:FQL_AUDITING_CLIENT_TEMPLATE.FAT&amp;display_string=Audit&amp;VAR:KEY=QVGTWNCLKH&amp;VAR:QUERY=RkZfRUJJVERBX09QRVIoTFRNLDAsLCwsLE0p&amp;WINDOW=FIRST_POPUP&amp;HEIGHT=450&amp;WIDTH=450&amp;START_MA","XIMIZED=FALSE&amp;VAR:CALENDAR=US&amp;VAR:SYMBOL=B29VWQ&amp;VAR:INDEX=0"}</definedName>
    <definedName name="_91__FDSAUDITLINK__" localSheetId="7" hidden="1">{"fdsup://directions/FAT Viewer?action=UPDATE&amp;creator=factset&amp;DYN_ARGS=TRUE&amp;DOC_NAME=FAT:FQL_AUDITING_CLIENT_TEMPLATE.FAT&amp;display_string=Audit&amp;VAR:KEY=QVGTWNCLKH&amp;VAR:QUERY=RkZfRUJJVERBX09QRVIoTFRNLDAsLCwsLE0p&amp;WINDOW=FIRST_POPUP&amp;HEIGHT=450&amp;WIDTH=450&amp;START_MA","XIMIZED=FALSE&amp;VAR:CALENDAR=US&amp;VAR:SYMBOL=B29VWQ&amp;VAR:INDEX=0"}</definedName>
    <definedName name="_91__FDSAUDITLINK__" hidden="1">{"fdsup://directions/FAT Viewer?action=UPDATE&amp;creator=factset&amp;DYN_ARGS=TRUE&amp;DOC_NAME=FAT:FQL_AUDITING_CLIENT_TEMPLATE.FAT&amp;display_string=Audit&amp;VAR:KEY=QVGTWNCLKH&amp;VAR:QUERY=RkZfRUJJVERBX09QRVIoTFRNLDAsLCwsLE0p&amp;WINDOW=FIRST_POPUP&amp;HEIGHT=450&amp;WIDTH=450&amp;START_MA","XIMIZED=FALSE&amp;VAR:CALENDAR=US&amp;VAR:SYMBOL=B29VWQ&amp;VAR:INDEX=0"}</definedName>
    <definedName name="_91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1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1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1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1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1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12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12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12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13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13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13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1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1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1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1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1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1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1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1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1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1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1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1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18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18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18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19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19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19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2__FDSAUDITLINK__" localSheetId="3" hidden="1">{"fdsup://directions/FAT Viewer?action=UPDATE&amp;creator=factset&amp;DYN_ARGS=TRUE&amp;DOC_NAME=FAT:FQL_AUDITING_CLIENT_TEMPLATE.FAT&amp;display_string=Audit&amp;VAR:KEY=ERIRADCZQR&amp;VAR:QUERY=RkZfU0FMRVMoTFRNLDAsLCwsLE0p&amp;WINDOW=FIRST_POPUP&amp;HEIGHT=450&amp;WIDTH=450&amp;START_MAXIMIZED=","FALSE&amp;VAR:CALENDAR=US&amp;VAR:SYMBOL=B29VWQ&amp;VAR:INDEX=0"}</definedName>
    <definedName name="_92__FDSAUDITLINK__" localSheetId="7" hidden="1">{"fdsup://directions/FAT Viewer?action=UPDATE&amp;creator=factset&amp;DYN_ARGS=TRUE&amp;DOC_NAME=FAT:FQL_AUDITING_CLIENT_TEMPLATE.FAT&amp;display_string=Audit&amp;VAR:KEY=ERIRADCZQR&amp;VAR:QUERY=RkZfU0FMRVMoTFRNLDAsLCwsLE0p&amp;WINDOW=FIRST_POPUP&amp;HEIGHT=450&amp;WIDTH=450&amp;START_MAXIMIZED=","FALSE&amp;VAR:CALENDAR=US&amp;VAR:SYMBOL=B29VWQ&amp;VAR:INDEX=0"}</definedName>
    <definedName name="_92__FDSAUDITLINK__" hidden="1">{"fdsup://directions/FAT Viewer?action=UPDATE&amp;creator=factset&amp;DYN_ARGS=TRUE&amp;DOC_NAME=FAT:FQL_AUDITING_CLIENT_TEMPLATE.FAT&amp;display_string=Audit&amp;VAR:KEY=ERIRADCZQR&amp;VAR:QUERY=RkZfU0FMRVMoTFRNLDAsLCwsLE0p&amp;WINDOW=FIRST_POPUP&amp;HEIGHT=450&amp;WIDTH=450&amp;START_MAXIMIZED=","FALSE&amp;VAR:CALENDAR=US&amp;VAR:SYMBOL=B29VWQ&amp;VAR:INDEX=0"}</definedName>
    <definedName name="_92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2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2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2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2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2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2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2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2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2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2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2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24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24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24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25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25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25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2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2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2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2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2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2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2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2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2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2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2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2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3__FDSAUDITLINK__" localSheetId="3" hidden="1">{"fdsup://directions/FAT Viewer?action=UPDATE&amp;creator=factset&amp;DYN_ARGS=TRUE&amp;DOC_NAME=FAT:FQL_AUDITING_CLIENT_TEMPLATE.FAT&amp;display_string=Audit&amp;VAR:KEY=AZWXCRSFUV&amp;VAR:QUERY=RkZfTkVUX0lOQyhMVE0sMCwsLCwsTSk=&amp;WINDOW=FIRST_POPUP&amp;HEIGHT=450&amp;WIDTH=450&amp;START_MAXIMI","ZED=FALSE&amp;VAR:CALENDAR=US&amp;VAR:SYMBOL=244103&amp;VAR:INDEX=0"}</definedName>
    <definedName name="_93__FDSAUDITLINK__" localSheetId="7" hidden="1">{"fdsup://directions/FAT Viewer?action=UPDATE&amp;creator=factset&amp;DYN_ARGS=TRUE&amp;DOC_NAME=FAT:FQL_AUDITING_CLIENT_TEMPLATE.FAT&amp;display_string=Audit&amp;VAR:KEY=AZWXCRSFUV&amp;VAR:QUERY=RkZfTkVUX0lOQyhMVE0sMCwsLCwsTSk=&amp;WINDOW=FIRST_POPUP&amp;HEIGHT=450&amp;WIDTH=450&amp;START_MAXIMI","ZED=FALSE&amp;VAR:CALENDAR=US&amp;VAR:SYMBOL=244103&amp;VAR:INDEX=0"}</definedName>
    <definedName name="_93__FDSAUDITLINK__" hidden="1">{"fdsup://directions/FAT Viewer?action=UPDATE&amp;creator=factset&amp;DYN_ARGS=TRUE&amp;DOC_NAME=FAT:FQL_AUDITING_CLIENT_TEMPLATE.FAT&amp;display_string=Audit&amp;VAR:KEY=AZWXCRSFUV&amp;VAR:QUERY=RkZfTkVUX0lOQyhMVE0sMCwsLCwsTSk=&amp;WINDOW=FIRST_POPUP&amp;HEIGHT=450&amp;WIDTH=450&amp;START_MAXIMI","ZED=FALSE&amp;VAR:CALENDAR=US&amp;VAR:SYMBOL=244103&amp;VAR:INDEX=0"}</definedName>
    <definedName name="_930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30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30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31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31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31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3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3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3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3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3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3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3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3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3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3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3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3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36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36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36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37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37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37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3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3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3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3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3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3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4__FDSAUDITLINK__" localSheetId="3" hidden="1">{"fdsup://directions/FAT Viewer?action=UPDATE&amp;creator=factset&amp;DYN_ARGS=TRUE&amp;DOC_NAME=FAT:FQL_AUDITING_CLIENT_TEMPLATE.FAT&amp;display_string=Audit&amp;VAR:KEY=KZEZIBKDIX&amp;VAR:QUERY=RkZfRUJJVERBX09QRVIoTFRNLDAsLCwsLE0p&amp;WINDOW=FIRST_POPUP&amp;HEIGHT=450&amp;WIDTH=450&amp;START_MA","XIMIZED=FALSE&amp;VAR:CALENDAR=US&amp;VAR:SYMBOL=244103&amp;VAR:INDEX=0"}</definedName>
    <definedName name="_94__FDSAUDITLINK__" localSheetId="7" hidden="1">{"fdsup://directions/FAT Viewer?action=UPDATE&amp;creator=factset&amp;DYN_ARGS=TRUE&amp;DOC_NAME=FAT:FQL_AUDITING_CLIENT_TEMPLATE.FAT&amp;display_string=Audit&amp;VAR:KEY=KZEZIBKDIX&amp;VAR:QUERY=RkZfRUJJVERBX09QRVIoTFRNLDAsLCwsLE0p&amp;WINDOW=FIRST_POPUP&amp;HEIGHT=450&amp;WIDTH=450&amp;START_MA","XIMIZED=FALSE&amp;VAR:CALENDAR=US&amp;VAR:SYMBOL=244103&amp;VAR:INDEX=0"}</definedName>
    <definedName name="_94__FDSAUDITLINK__" hidden="1">{"fdsup://directions/FAT Viewer?action=UPDATE&amp;creator=factset&amp;DYN_ARGS=TRUE&amp;DOC_NAME=FAT:FQL_AUDITING_CLIENT_TEMPLATE.FAT&amp;display_string=Audit&amp;VAR:KEY=KZEZIBKDIX&amp;VAR:QUERY=RkZfRUJJVERBX09QRVIoTFRNLDAsLCwsLE0p&amp;WINDOW=FIRST_POPUP&amp;HEIGHT=450&amp;WIDTH=450&amp;START_MA","XIMIZED=FALSE&amp;VAR:CALENDAR=US&amp;VAR:SYMBOL=244103&amp;VAR:INDEX=0"}</definedName>
    <definedName name="_94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4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4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4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4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4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42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42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42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43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43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43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4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4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4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4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4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4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4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4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4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4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4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4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48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48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48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49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49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49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5__FDSAUDITLINK__" localSheetId="3" hidden="1">{"fdsup://directions/FAT Viewer?action=UPDATE&amp;creator=factset&amp;DYN_ARGS=TRUE&amp;DOC_NAME=FAT:FQL_AUDITING_CLIENT_TEMPLATE.FAT&amp;display_string=Audit&amp;VAR:KEY=GHMDSZKRGR&amp;VAR:QUERY=RkZfU0FMRVMoTFRNLDAsLCwsLE0p&amp;WINDOW=FIRST_POPUP&amp;HEIGHT=450&amp;WIDTH=450&amp;START_MAXIMIZED=","FALSE&amp;VAR:CALENDAR=US&amp;VAR:SYMBOL=244103&amp;VAR:INDEX=0"}</definedName>
    <definedName name="_95__FDSAUDITLINK__" localSheetId="7" hidden="1">{"fdsup://directions/FAT Viewer?action=UPDATE&amp;creator=factset&amp;DYN_ARGS=TRUE&amp;DOC_NAME=FAT:FQL_AUDITING_CLIENT_TEMPLATE.FAT&amp;display_string=Audit&amp;VAR:KEY=GHMDSZKRGR&amp;VAR:QUERY=RkZfU0FMRVMoTFRNLDAsLCwsLE0p&amp;WINDOW=FIRST_POPUP&amp;HEIGHT=450&amp;WIDTH=450&amp;START_MAXIMIZED=","FALSE&amp;VAR:CALENDAR=US&amp;VAR:SYMBOL=244103&amp;VAR:INDEX=0"}</definedName>
    <definedName name="_95__FDSAUDITLINK__" hidden="1">{"fdsup://directions/FAT Viewer?action=UPDATE&amp;creator=factset&amp;DYN_ARGS=TRUE&amp;DOC_NAME=FAT:FQL_AUDITING_CLIENT_TEMPLATE.FAT&amp;display_string=Audit&amp;VAR:KEY=GHMDSZKRGR&amp;VAR:QUERY=RkZfU0FMRVMoTFRNLDAsLCwsLE0p&amp;WINDOW=FIRST_POPUP&amp;HEIGHT=450&amp;WIDTH=450&amp;START_MAXIMIZED=","FALSE&amp;VAR:CALENDAR=US&amp;VAR:SYMBOL=244103&amp;VAR:INDEX=0"}</definedName>
    <definedName name="_95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5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5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5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5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5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5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5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5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5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5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5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54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54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54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55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55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55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5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5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5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5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5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5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5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5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5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5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5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5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6__FDSAUDITLINK__" localSheetId="3" hidden="1">{"fdsup://directions/FAT Viewer?action=UPDATE&amp;creator=factset&amp;DYN_ARGS=TRUE&amp;DOC_NAME=FAT:FQL_AUDITING_CLIENT_TEMPLATE.FAT&amp;display_string=Audit&amp;VAR:KEY=ATGFCXIRSD&amp;VAR:QUERY=RkZfTkVUX0lOQyhMVE0sMCwsLCwsTSk=&amp;WINDOW=FIRST_POPUP&amp;HEIGHT=450&amp;WIDTH=450&amp;START_MAXIMI","ZED=FALSE&amp;VAR:CALENDAR=US&amp;VAR:SYMBOL=B17MHG&amp;VAR:INDEX=0"}</definedName>
    <definedName name="_96__FDSAUDITLINK__" localSheetId="7" hidden="1">{"fdsup://directions/FAT Viewer?action=UPDATE&amp;creator=factset&amp;DYN_ARGS=TRUE&amp;DOC_NAME=FAT:FQL_AUDITING_CLIENT_TEMPLATE.FAT&amp;display_string=Audit&amp;VAR:KEY=ATGFCXIRSD&amp;VAR:QUERY=RkZfTkVUX0lOQyhMVE0sMCwsLCwsTSk=&amp;WINDOW=FIRST_POPUP&amp;HEIGHT=450&amp;WIDTH=450&amp;START_MAXIMI","ZED=FALSE&amp;VAR:CALENDAR=US&amp;VAR:SYMBOL=B17MHG&amp;VAR:INDEX=0"}</definedName>
    <definedName name="_96__FDSAUDITLINK__" hidden="1">{"fdsup://directions/FAT Viewer?action=UPDATE&amp;creator=factset&amp;DYN_ARGS=TRUE&amp;DOC_NAME=FAT:FQL_AUDITING_CLIENT_TEMPLATE.FAT&amp;display_string=Audit&amp;VAR:KEY=ATGFCXIRSD&amp;VAR:QUERY=RkZfTkVUX0lOQyhMVE0sMCwsLCwsTSk=&amp;WINDOW=FIRST_POPUP&amp;HEIGHT=450&amp;WIDTH=450&amp;START_MAXIMI","ZED=FALSE&amp;VAR:CALENDAR=US&amp;VAR:SYMBOL=B17MHG&amp;VAR:INDEX=0"}</definedName>
    <definedName name="_960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60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60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61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61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61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6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6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6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6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6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6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6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6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6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6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6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6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66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66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66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67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67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67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6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6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6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6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6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6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7__FDSAUDITLINK__" localSheetId="3" hidden="1">{"fdsup://directions/FAT Viewer?action=UPDATE&amp;creator=factset&amp;DYN_ARGS=TRUE&amp;DOC_NAME=FAT:FQL_AUDITING_CLIENT_TEMPLATE.FAT&amp;display_string=Audit&amp;VAR:KEY=CNSZAVYRCD&amp;VAR:QUERY=RkZfRUJJVERBX09QRVIoTFRNLDAsLCwsLE0p&amp;WINDOW=FIRST_POPUP&amp;HEIGHT=450&amp;WIDTH=450&amp;START_MA","XIMIZED=FALSE&amp;VAR:CALENDAR=US&amp;VAR:SYMBOL=B17MHG&amp;VAR:INDEX=0"}</definedName>
    <definedName name="_97__FDSAUDITLINK__" localSheetId="7" hidden="1">{"fdsup://directions/FAT Viewer?action=UPDATE&amp;creator=factset&amp;DYN_ARGS=TRUE&amp;DOC_NAME=FAT:FQL_AUDITING_CLIENT_TEMPLATE.FAT&amp;display_string=Audit&amp;VAR:KEY=CNSZAVYRCD&amp;VAR:QUERY=RkZfRUJJVERBX09QRVIoTFRNLDAsLCwsLE0p&amp;WINDOW=FIRST_POPUP&amp;HEIGHT=450&amp;WIDTH=450&amp;START_MA","XIMIZED=FALSE&amp;VAR:CALENDAR=US&amp;VAR:SYMBOL=B17MHG&amp;VAR:INDEX=0"}</definedName>
    <definedName name="_97__FDSAUDITLINK__" hidden="1">{"fdsup://directions/FAT Viewer?action=UPDATE&amp;creator=factset&amp;DYN_ARGS=TRUE&amp;DOC_NAME=FAT:FQL_AUDITING_CLIENT_TEMPLATE.FAT&amp;display_string=Audit&amp;VAR:KEY=CNSZAVYRCD&amp;VAR:QUERY=RkZfRUJJVERBX09QRVIoTFRNLDAsLCwsLE0p&amp;WINDOW=FIRST_POPUP&amp;HEIGHT=450&amp;WIDTH=450&amp;START_MA","XIMIZED=FALSE&amp;VAR:CALENDAR=US&amp;VAR:SYMBOL=B17MHG&amp;VAR:INDEX=0"}</definedName>
    <definedName name="_970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70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70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71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71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71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72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72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72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73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73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73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74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74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74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75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75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75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76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76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76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77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77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77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78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78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78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79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79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79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8__FDSAUDITLINK__" localSheetId="3" hidden="1">{"fdsup://directions/FAT Viewer?action=UPDATE&amp;creator=factset&amp;DYN_ARGS=TRUE&amp;DOC_NAME=FAT:FQL_AUDITING_CLIENT_TEMPLATE.FAT&amp;display_string=Audit&amp;VAR:KEY=GPSNWPAVAN&amp;VAR:QUERY=RkZfU0FMRVMoTFRNLDAsLCwsLE0p&amp;WINDOW=FIRST_POPUP&amp;HEIGHT=450&amp;WIDTH=450&amp;START_MAXIMIZED=","FALSE&amp;VAR:CALENDAR=US&amp;VAR:SYMBOL=B17MHG&amp;VAR:INDEX=0"}</definedName>
    <definedName name="_98__FDSAUDITLINK__" localSheetId="7" hidden="1">{"fdsup://directions/FAT Viewer?action=UPDATE&amp;creator=factset&amp;DYN_ARGS=TRUE&amp;DOC_NAME=FAT:FQL_AUDITING_CLIENT_TEMPLATE.FAT&amp;display_string=Audit&amp;VAR:KEY=GPSNWPAVAN&amp;VAR:QUERY=RkZfU0FMRVMoTFRNLDAsLCwsLE0p&amp;WINDOW=FIRST_POPUP&amp;HEIGHT=450&amp;WIDTH=450&amp;START_MAXIMIZED=","FALSE&amp;VAR:CALENDAR=US&amp;VAR:SYMBOL=B17MHG&amp;VAR:INDEX=0"}</definedName>
    <definedName name="_98__FDSAUDITLINK__" hidden="1">{"fdsup://directions/FAT Viewer?action=UPDATE&amp;creator=factset&amp;DYN_ARGS=TRUE&amp;DOC_NAME=FAT:FQL_AUDITING_CLIENT_TEMPLATE.FAT&amp;display_string=Audit&amp;VAR:KEY=GPSNWPAVAN&amp;VAR:QUERY=RkZfU0FMRVMoTFRNLDAsLCwsLE0p&amp;WINDOW=FIRST_POPUP&amp;HEIGHT=450&amp;WIDTH=450&amp;START_MAXIMIZED=","FALSE&amp;VAR:CALENDAR=US&amp;VAR:SYMBOL=B17MHG&amp;VAR:INDEX=0"}</definedName>
    <definedName name="_980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80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80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81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81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81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82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82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82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83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83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83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84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84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84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85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85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85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86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86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86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87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87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87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88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88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88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89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89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89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9__FDSAUDITLINK__" localSheetId="3" hidden="1">{"fdsup://directions/FAT Viewer?action=UPDATE&amp;creator=factset&amp;DYN_ARGS=TRUE&amp;DOC_NAME=FAT:FQL_AUDITING_CLIENT_TEMPLATE.FAT&amp;display_string=Audit&amp;VAR:KEY=JOXYLSVSTI&amp;VAR:QUERY=RkZfUEFZX0RJVihDQUwsMCwsLCwsTSk=&amp;WINDOW=FIRST_POPUP&amp;HEIGHT=450&amp;WIDTH=450&amp;START_MAXIMI","ZED=FALSE&amp;VAR:CALENDAR=US&amp;VAR:SYMBOL=B07C76&amp;VAR:INDEX=0"}</definedName>
    <definedName name="_99__FDSAUDITLINK__" localSheetId="7" hidden="1">{"fdsup://directions/FAT Viewer?action=UPDATE&amp;creator=factset&amp;DYN_ARGS=TRUE&amp;DOC_NAME=FAT:FQL_AUDITING_CLIENT_TEMPLATE.FAT&amp;display_string=Audit&amp;VAR:KEY=JOXYLSVSTI&amp;VAR:QUERY=RkZfUEFZX0RJVihDQUwsMCwsLCwsTSk=&amp;WINDOW=FIRST_POPUP&amp;HEIGHT=450&amp;WIDTH=450&amp;START_MAXIMI","ZED=FALSE&amp;VAR:CALENDAR=US&amp;VAR:SYMBOL=B07C76&amp;VAR:INDEX=0"}</definedName>
    <definedName name="_99__FDSAUDITLINK__" hidden="1">{"fdsup://directions/FAT Viewer?action=UPDATE&amp;creator=factset&amp;DYN_ARGS=TRUE&amp;DOC_NAME=FAT:FQL_AUDITING_CLIENT_TEMPLATE.FAT&amp;display_string=Audit&amp;VAR:KEY=JOXYLSVSTI&amp;VAR:QUERY=RkZfUEFZX0RJVihDQUwsMCwsLCwsTSk=&amp;WINDOW=FIRST_POPUP&amp;HEIGHT=450&amp;WIDTH=450&amp;START_MAXIMI","ZED=FALSE&amp;VAR:CALENDAR=US&amp;VAR:SYMBOL=B07C76&amp;VAR:INDEX=0"}</definedName>
    <definedName name="_990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90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90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91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91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91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92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92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92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93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93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93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94__FDSAUDITLINK__" localSheetId="3"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94__FDSAUDITLINK__" localSheetId="7"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94__FDSAUDITLINK__" hidden="1">{"fdsup://IBCentral/FAT Viewer?action=UPDATE&amp;creator=factset&amp;DOC_NAME=fat:reuters_semi_source_window.fat&amp;display_string=Audit&amp;DYN_ARGS=TRUE&amp;VAR:ID1=TRAK&amp;VAR:RCODE=FDSPFDSTKTOTAL&amp;VAR:SDATE=0&amp;VAR:FREQ=FSA&amp;VAR:RELITEM=RP&amp;VAR:CURRENCY=&amp;VAR:CURRSOURCE=EXSHARE&amp;VA","R:NATFREQ=FSA&amp;VAR:RFIELD=FINALIZED&amp;VAR:DB_TYPE=&amp;VAR:UNITS=M&amp;window=popup&amp;width=450&amp;height=300&amp;START_MAXIMIZED=FALSE"}</definedName>
    <definedName name="_995__FDSAUDITLINK__" localSheetId="3"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95__FDSAUDITLINK__" localSheetId="7"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95__FDSAUDITLINK__" hidden="1">{"fdsup://IBCentral/FAT Viewer?action=UPDATE&amp;creator=factset&amp;DOC_NAME=fat:reuters_semi_source_window.fat&amp;display_string=Audit&amp;DYN_ARGS=TRUE&amp;VAR:ID1=AZPN&amp;VAR:RCODE=FDSPFDSTKTOTAL&amp;VAR:SDATE=0&amp;VAR:FREQ=FSA&amp;VAR:RELITEM=RP&amp;VAR:CURRENCY=&amp;VAR:CURRSOURCE=EXSHARE&amp;VA","R:NATFREQ=FSA&amp;VAR:RFIELD=FINALIZED&amp;VAR:DB_TYPE=&amp;VAR:UNITS=M&amp;window=popup&amp;width=450&amp;height=300&amp;START_MAXIMIZED=FALSE"}</definedName>
    <definedName name="_996__FDSAUDITLINK__" localSheetId="3"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96__FDSAUDITLINK__" localSheetId="7"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96__FDSAUDITLINK__" hidden="1">{"fdsup://IBCentral/FAT Viewer?action=UPDATE&amp;creator=factset&amp;DOC_NAME=fat:reuters_semi_source_window.fat&amp;display_string=Audit&amp;DYN_ARGS=TRUE&amp;VAR:ID1=BBBB&amp;VAR:RCODE=FDSPFDSTKTOTAL&amp;VAR:SDATE=0&amp;VAR:FREQ=FSA&amp;VAR:RELITEM=RP&amp;VAR:CURRENCY=&amp;VAR:CURRSOURCE=EXSHARE&amp;VA","R:NATFREQ=FSA&amp;VAR:RFIELD=FINALIZED&amp;VAR:DB_TYPE=&amp;VAR:UNITS=M&amp;window=popup&amp;width=450&amp;height=300&amp;START_MAXIMIZED=FALSE"}</definedName>
    <definedName name="_997__FDSAUDITLINK__" localSheetId="3"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97__FDSAUDITLINK__" localSheetId="7"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97__FDSAUDITLINK__" hidden="1">{"fdsup://IBCentral/FAT Viewer?action=UPDATE&amp;creator=factset&amp;DOC_NAME=fat:reuters_semi_source_window.fat&amp;display_string=Audit&amp;DYN_ARGS=TRUE&amp;VAR:ID1=ADVS&amp;VAR:RCODE=FDSPFDSTKTOTAL&amp;VAR:SDATE=0&amp;VAR:FREQ=FSA&amp;VAR:RELITEM=RP&amp;VAR:CURRENCY=&amp;VAR:CURRSOURCE=EXSHARE&amp;VA","R:NATFREQ=FSA&amp;VAR:RFIELD=FINALIZED&amp;VAR:DB_TYPE=&amp;VAR:UNITS=M&amp;window=popup&amp;width=450&amp;height=300&amp;START_MAXIMIZED=FALSE"}</definedName>
    <definedName name="_998__FDSAUDITLINK__" localSheetId="3"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98__FDSAUDITLINK__" localSheetId="7"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98__FDSAUDITLINK__" hidden="1">{"fdsup://IBCentral/FAT Viewer?action=UPDATE&amp;creator=factset&amp;DOC_NAME=fat:reuters_semi_source_window.fat&amp;display_string=Audit&amp;DYN_ARGS=TRUE&amp;VAR:ID1=BLKB&amp;VAR:RCODE=FDSPFDSTKTOTAL&amp;VAR:SDATE=0&amp;VAR:FREQ=FSA&amp;VAR:RELITEM=RP&amp;VAR:CURRENCY=&amp;VAR:CURRSOURCE=EXSHARE&amp;VA","R:NATFREQ=FSA&amp;VAR:RFIELD=FINALIZED&amp;VAR:DB_TYPE=&amp;VAR:UNITS=M&amp;window=popup&amp;width=450&amp;height=300&amp;START_MAXIMIZED=FALSE"}</definedName>
    <definedName name="_999__FDSAUDITLINK__" localSheetId="3"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99__FDSAUDITLINK__" localSheetId="7"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999__FDSAUDITLINK__" hidden="1">{"fdsup://IBCentral/FAT Viewer?action=UPDATE&amp;creator=factset&amp;DOC_NAME=fat:reuters_semi_source_window.fat&amp;display_string=Audit&amp;DYN_ARGS=TRUE&amp;VAR:ID1=TYL&amp;VAR:RCODE=FDSPFDSTKTOTAL&amp;VAR:SDATE=0&amp;VAR:FREQ=FSA&amp;VAR:RELITEM=RP&amp;VAR:CURRENCY=&amp;VAR:CURRSOURCE=EXSHARE&amp;VAR",":NATFREQ=FSA&amp;VAR:RFIELD=FINALIZED&amp;VAR:DB_TYPE=&amp;VAR:UNITS=M&amp;window=popup&amp;width=450&amp;height=300&amp;START_MAXIMIZED=FALSE"}</definedName>
    <definedName name="_a1" localSheetId="3" hidden="1">{"'Hoja1'!$A$1:$L$57"}</definedName>
    <definedName name="_a1" localSheetId="7" hidden="1">{"'Hoja1'!$A$1:$L$57"}</definedName>
    <definedName name="_a1" hidden="1">{"'Hoja1'!$A$1:$L$57"}</definedName>
    <definedName name="_a11" localSheetId="3" hidden="1">{"'Hoja1'!$A$1:$L$57"}</definedName>
    <definedName name="_a11" localSheetId="7" hidden="1">{"'Hoja1'!$A$1:$L$57"}</definedName>
    <definedName name="_a11" hidden="1">{"'Hoja1'!$A$1:$L$57"}</definedName>
    <definedName name="_a2" localSheetId="3" hidden="1">{"'Hoja1'!$A$1:$L$57"}</definedName>
    <definedName name="_a2" localSheetId="7" hidden="1">{"'Hoja1'!$A$1:$L$57"}</definedName>
    <definedName name="_a2" hidden="1">{"'Hoja1'!$A$1:$L$57"}</definedName>
    <definedName name="_a22" localSheetId="3" hidden="1">{"'Hoja1'!$A$1:$L$57"}</definedName>
    <definedName name="_a22" localSheetId="7" hidden="1">{"'Hoja1'!$A$1:$L$57"}</definedName>
    <definedName name="_a22" hidden="1">{"'Hoja1'!$A$1:$L$57"}</definedName>
    <definedName name="_aa1" localSheetId="3" hidden="1">{#N/A,"PURADD",FALSE,"Business Analysis";#N/A,"PURSPP",FALSE,"Business Analysis";#N/A,"CTGIND",FALSE,"Business Analysis";#N/A,"PURCHM",FALSE,"Business Analysis";#N/A,"SPADD",FALSE,"Business Analysis";#N/A,"EPOXY",FALSE,"Business Analysis";#N/A,"PURPER",FALSE,"Business Analysis"}</definedName>
    <definedName name="_aa1" localSheetId="7" hidden="1">{#N/A,"PURADD",FALSE,"Business Analysis";#N/A,"PURSPP",FALSE,"Business Analysis";#N/A,"CTGIND",FALSE,"Business Analysis";#N/A,"PURCHM",FALSE,"Business Analysis";#N/A,"SPADD",FALSE,"Business Analysis";#N/A,"EPOXY",FALSE,"Business Analysis";#N/A,"PURPER",FALSE,"Business Analysis"}</definedName>
    <definedName name="_aa1" hidden="1">{#N/A,"PURADD",FALSE,"Business Analysis";#N/A,"PURSPP",FALSE,"Business Analysis";#N/A,"CTGIND",FALSE,"Business Analysis";#N/A,"PURCHM",FALSE,"Business Analysis";#N/A,"SPADD",FALSE,"Business Analysis";#N/A,"EPOXY",FALSE,"Business Analysis";#N/A,"PURPER",FALSE,"Business Analysis"}</definedName>
    <definedName name="_aaa1" localSheetId="3" hidden="1">{#N/A,#N/A,FALSE,"REPORT"}</definedName>
    <definedName name="_aaa1" localSheetId="7" hidden="1">{#N/A,#N/A,FALSE,"REPORT"}</definedName>
    <definedName name="_aaa1" hidden="1">{#N/A,#N/A,FALSE,"REPORT"}</definedName>
    <definedName name="_aas1" localSheetId="3" hidden="1">{#N/A,#N/A,FALSE,"REPORT"}</definedName>
    <definedName name="_aas1" localSheetId="7" hidden="1">{#N/A,#N/A,FALSE,"REPORT"}</definedName>
    <definedName name="_aas1" hidden="1">{#N/A,#N/A,FALSE,"REPORT"}</definedName>
    <definedName name="_ab098" localSheetId="3" hidden="1">{#N/A,"PURCHM",FALSE,"Business Analysis";#N/A,"SPADD",FALSE,"Business Analysis"}</definedName>
    <definedName name="_ab098" localSheetId="7" hidden="1">{#N/A,"PURCHM",FALSE,"Business Analysis";#N/A,"SPADD",FALSE,"Business Analysis"}</definedName>
    <definedName name="_ab098" hidden="1">{#N/A,"PURCHM",FALSE,"Business Analysis";#N/A,"SPADD",FALSE,"Business Analysis"}</definedName>
    <definedName name="_abc098" localSheetId="3" hidden="1">{#N/A,"PURCHM",FALSE,"Business Analysis";#N/A,"SPADD",FALSE,"Business Analysis"}</definedName>
    <definedName name="_abc098" localSheetId="7" hidden="1">{#N/A,"PURCHM",FALSE,"Business Analysis";#N/A,"SPADD",FALSE,"Business Analysis"}</definedName>
    <definedName name="_abc098" hidden="1">{#N/A,"PURCHM",FALSE,"Business Analysis";#N/A,"SPADD",FALSE,"Business Analysis"}</definedName>
    <definedName name="_abc1" localSheetId="3" hidden="1">{"detail",#N/A,FALSE,"mfg";"summary",#N/A,FALSE,"mfg"}</definedName>
    <definedName name="_abc1" localSheetId="7" hidden="1">{"detail",#N/A,FALSE,"mfg";"summary",#N/A,FALSE,"mfg"}</definedName>
    <definedName name="_abc1" hidden="1">{"detail",#N/A,FALSE,"mfg";"summary",#N/A,FALSE,"mfg"}</definedName>
    <definedName name="_abc10" localSheetId="3" hidden="1">{"detail",#N/A,FALSE,"mfg";"summary",#N/A,FALSE,"mfg"}</definedName>
    <definedName name="_abc10" localSheetId="7" hidden="1">{"detail",#N/A,FALSE,"mfg";"summary",#N/A,FALSE,"mfg"}</definedName>
    <definedName name="_abc10" hidden="1">{"detail",#N/A,FALSE,"mfg";"summary",#N/A,FALSE,"mfg"}</definedName>
    <definedName name="_abc101" localSheetId="3" hidden="1">{"detail",#N/A,FALSE,"mfg";"summary",#N/A,FALSE,"mfg"}</definedName>
    <definedName name="_abc101" localSheetId="7" hidden="1">{"detail",#N/A,FALSE,"mfg";"summary",#N/A,FALSE,"mfg"}</definedName>
    <definedName name="_abc101" hidden="1">{"detail",#N/A,FALSE,"mfg";"summary",#N/A,FALSE,"mfg"}</definedName>
    <definedName name="_abc102" localSheetId="3" hidden="1">{"detail",#N/A,FALSE,"mfg";"summary",#N/A,FALSE,"mfg"}</definedName>
    <definedName name="_abc102" localSheetId="7" hidden="1">{"detail",#N/A,FALSE,"mfg";"summary",#N/A,FALSE,"mfg"}</definedName>
    <definedName name="_abc102" hidden="1">{"detail",#N/A,FALSE,"mfg";"summary",#N/A,FALSE,"mfg"}</definedName>
    <definedName name="_abc105" localSheetId="3" hidden="1">{"detail",#N/A,FALSE,"mfg";"summary",#N/A,FALSE,"mfg"}</definedName>
    <definedName name="_abc105" localSheetId="7" hidden="1">{"detail",#N/A,FALSE,"mfg";"summary",#N/A,FALSE,"mfg"}</definedName>
    <definedName name="_abc105" hidden="1">{"detail",#N/A,FALSE,"mfg";"summary",#N/A,FALSE,"mfg"}</definedName>
    <definedName name="_abc1082" localSheetId="3" hidden="1">{"detail",#N/A,FALSE,"mfg";"summary",#N/A,FALSE,"mfg"}</definedName>
    <definedName name="_abc1082" localSheetId="7" hidden="1">{"detail",#N/A,FALSE,"mfg";"summary",#N/A,FALSE,"mfg"}</definedName>
    <definedName name="_abc1082" hidden="1">{"detail",#N/A,FALSE,"mfg";"summary",#N/A,FALSE,"mfg"}</definedName>
    <definedName name="_abc11" localSheetId="3" hidden="1">{"detail",#N/A,FALSE,"mfg";"summary",#N/A,FALSE,"mfg"}</definedName>
    <definedName name="_abc11" localSheetId="7" hidden="1">{"detail",#N/A,FALSE,"mfg";"summary",#N/A,FALSE,"mfg"}</definedName>
    <definedName name="_abc11" hidden="1">{"detail",#N/A,FALSE,"mfg";"summary",#N/A,FALSE,"mfg"}</definedName>
    <definedName name="_abc115" localSheetId="3" hidden="1">{"detail",#N/A,FALSE,"mfg";"summary",#N/A,FALSE,"mfg"}</definedName>
    <definedName name="_abc115" localSheetId="7" hidden="1">{"detail",#N/A,FALSE,"mfg";"summary",#N/A,FALSE,"mfg"}</definedName>
    <definedName name="_abc115" hidden="1">{"detail",#N/A,FALSE,"mfg";"summary",#N/A,FALSE,"mfg"}</definedName>
    <definedName name="_abc12" localSheetId="3" hidden="1">{"detail",#N/A,FALSE,"mfg";"summary",#N/A,FALSE,"mfg"}</definedName>
    <definedName name="_abc12" localSheetId="7" hidden="1">{"detail",#N/A,FALSE,"mfg";"summary",#N/A,FALSE,"mfg"}</definedName>
    <definedName name="_abc12" hidden="1">{"detail",#N/A,FALSE,"mfg";"summary",#N/A,FALSE,"mfg"}</definedName>
    <definedName name="_abc1234" localSheetId="3" hidden="1">{#N/A,"PURCHM",FALSE,"Business Analysis";#N/A,"SPADD",FALSE,"Business Analysis"}</definedName>
    <definedName name="_abc1234" localSheetId="7" hidden="1">{#N/A,"PURCHM",FALSE,"Business Analysis";#N/A,"SPADD",FALSE,"Business Analysis"}</definedName>
    <definedName name="_abc1234" hidden="1">{#N/A,"PURCHM",FALSE,"Business Analysis";#N/A,"SPADD",FALSE,"Business Analysis"}</definedName>
    <definedName name="_abc125" localSheetId="3" hidden="1">{"detail",#N/A,FALSE,"mfg";"summary",#N/A,FALSE,"mfg"}</definedName>
    <definedName name="_abc125" localSheetId="7" hidden="1">{"detail",#N/A,FALSE,"mfg";"summary",#N/A,FALSE,"mfg"}</definedName>
    <definedName name="_abc125" hidden="1">{"detail",#N/A,FALSE,"mfg";"summary",#N/A,FALSE,"mfg"}</definedName>
    <definedName name="_abc13" localSheetId="3" hidden="1">{"detail",#N/A,FALSE,"mfg";"summary",#N/A,FALSE,"mfg"}</definedName>
    <definedName name="_abc13" localSheetId="7" hidden="1">{"detail",#N/A,FALSE,"mfg";"summary",#N/A,FALSE,"mfg"}</definedName>
    <definedName name="_abc13" hidden="1">{"detail",#N/A,FALSE,"mfg";"summary",#N/A,FALSE,"mfg"}</definedName>
    <definedName name="_abc1325" localSheetId="3" hidden="1">{"detail",#N/A,FALSE,"mfg";"summary",#N/A,FALSE,"mfg"}</definedName>
    <definedName name="_abc1325" localSheetId="7" hidden="1">{"detail",#N/A,FALSE,"mfg";"summary",#N/A,FALSE,"mfg"}</definedName>
    <definedName name="_abc1325" hidden="1">{"detail",#N/A,FALSE,"mfg";"summary",#N/A,FALSE,"mfg"}</definedName>
    <definedName name="_abc14" localSheetId="3" hidden="1">{"detail",#N/A,FALSE,"mfg";"summary",#N/A,FALSE,"mfg"}</definedName>
    <definedName name="_abc14" localSheetId="7" hidden="1">{"detail",#N/A,FALSE,"mfg";"summary",#N/A,FALSE,"mfg"}</definedName>
    <definedName name="_abc14" hidden="1">{"detail",#N/A,FALSE,"mfg";"summary",#N/A,FALSE,"mfg"}</definedName>
    <definedName name="_abc1425" localSheetId="3" hidden="1">{"detail",#N/A,FALSE,"mfg";"summary",#N/A,FALSE,"mfg"}</definedName>
    <definedName name="_abc1425" localSheetId="7" hidden="1">{"detail",#N/A,FALSE,"mfg";"summary",#N/A,FALSE,"mfg"}</definedName>
    <definedName name="_abc1425" hidden="1">{"detail",#N/A,FALSE,"mfg";"summary",#N/A,FALSE,"mfg"}</definedName>
    <definedName name="_abc2" localSheetId="3" hidden="1">{"detail",#N/A,FALSE,"mfg";"summary",#N/A,FALSE,"mfg"}</definedName>
    <definedName name="_abc2" localSheetId="7" hidden="1">{"detail",#N/A,FALSE,"mfg";"summary",#N/A,FALSE,"mfg"}</definedName>
    <definedName name="_abc2" hidden="1">{"detail",#N/A,FALSE,"mfg";"summary",#N/A,FALSE,"mfg"}</definedName>
    <definedName name="_abc200" localSheetId="3" hidden="1">{"detail",#N/A,FALSE,"mfg";"summary",#N/A,FALSE,"mfg"}</definedName>
    <definedName name="_abc200" localSheetId="7" hidden="1">{"detail",#N/A,FALSE,"mfg";"summary",#N/A,FALSE,"mfg"}</definedName>
    <definedName name="_abc200" hidden="1">{"detail",#N/A,FALSE,"mfg";"summary",#N/A,FALSE,"mfg"}</definedName>
    <definedName name="_abc2005" localSheetId="3" hidden="1">{#N/A,"PURCHM",FALSE,"Business Analysis";#N/A,"SPADD",FALSE,"Business Analysis"}</definedName>
    <definedName name="_abc2005" localSheetId="7" hidden="1">{#N/A,"PURCHM",FALSE,"Business Analysis";#N/A,"SPADD",FALSE,"Business Analysis"}</definedName>
    <definedName name="_abc2005" hidden="1">{#N/A,"PURCHM",FALSE,"Business Analysis";#N/A,"SPADD",FALSE,"Business Analysis"}</definedName>
    <definedName name="_abc201" localSheetId="3" hidden="1">{"detail",#N/A,FALSE,"mfg";"summary",#N/A,FALSE,"mfg"}</definedName>
    <definedName name="_abc201" localSheetId="7" hidden="1">{"detail",#N/A,FALSE,"mfg";"summary",#N/A,FALSE,"mfg"}</definedName>
    <definedName name="_abc201" hidden="1">{"detail",#N/A,FALSE,"mfg";"summary",#N/A,FALSE,"mfg"}</definedName>
    <definedName name="_abc202" localSheetId="3" hidden="1">{"detail",#N/A,FALSE,"mfg";"summary",#N/A,FALSE,"mfg"}</definedName>
    <definedName name="_abc202" localSheetId="7" hidden="1">{"detail",#N/A,FALSE,"mfg";"summary",#N/A,FALSE,"mfg"}</definedName>
    <definedName name="_abc202" hidden="1">{"detail",#N/A,FALSE,"mfg";"summary",#N/A,FALSE,"mfg"}</definedName>
    <definedName name="_abc2054" localSheetId="3" hidden="1">{"detail",#N/A,FALSE,"mfg";"summary",#N/A,FALSE,"mfg"}</definedName>
    <definedName name="_abc2054" localSheetId="7" hidden="1">{"detail",#N/A,FALSE,"mfg";"summary",#N/A,FALSE,"mfg"}</definedName>
    <definedName name="_abc2054" hidden="1">{"detail",#N/A,FALSE,"mfg";"summary",#N/A,FALSE,"mfg"}</definedName>
    <definedName name="_abc212" localSheetId="3" hidden="1">{"detail",#N/A,FALSE,"mfg";"summary",#N/A,FALSE,"mfg"}</definedName>
    <definedName name="_abc212" localSheetId="7" hidden="1">{"detail",#N/A,FALSE,"mfg";"summary",#N/A,FALSE,"mfg"}</definedName>
    <definedName name="_abc212" hidden="1">{"detail",#N/A,FALSE,"mfg";"summary",#N/A,FALSE,"mfg"}</definedName>
    <definedName name="_abc212450" localSheetId="3" hidden="1">{"detail",#N/A,FALSE,"mfg";"summary",#N/A,FALSE,"mfg"}</definedName>
    <definedName name="_abc212450" localSheetId="7" hidden="1">{"detail",#N/A,FALSE,"mfg";"summary",#N/A,FALSE,"mfg"}</definedName>
    <definedName name="_abc212450" hidden="1">{"detail",#N/A,FALSE,"mfg";"summary",#N/A,FALSE,"mfg"}</definedName>
    <definedName name="_abc23" localSheetId="3" hidden="1">{"detail",#N/A,FALSE,"mfg";"summary",#N/A,FALSE,"mfg"}</definedName>
    <definedName name="_abc23" localSheetId="7" hidden="1">{"detail",#N/A,FALSE,"mfg";"summary",#N/A,FALSE,"mfg"}</definedName>
    <definedName name="_abc23" hidden="1">{"detail",#N/A,FALSE,"mfg";"summary",#N/A,FALSE,"mfg"}</definedName>
    <definedName name="_abc24" localSheetId="3" hidden="1">{"detail",#N/A,FALSE,"mfg";"summary",#N/A,FALSE,"mfg"}</definedName>
    <definedName name="_abc24" localSheetId="7" hidden="1">{"detail",#N/A,FALSE,"mfg";"summary",#N/A,FALSE,"mfg"}</definedName>
    <definedName name="_abc24" hidden="1">{"detail",#N/A,FALSE,"mfg";"summary",#N/A,FALSE,"mfg"}</definedName>
    <definedName name="_abc25" localSheetId="3" hidden="1">{"detail",#N/A,FALSE,"mfg";"summary",#N/A,FALSE,"mfg"}</definedName>
    <definedName name="_abc25" localSheetId="7" hidden="1">{"detail",#N/A,FALSE,"mfg";"summary",#N/A,FALSE,"mfg"}</definedName>
    <definedName name="_abc25" hidden="1">{"detail",#N/A,FALSE,"mfg";"summary",#N/A,FALSE,"mfg"}</definedName>
    <definedName name="_abc26" localSheetId="3" hidden="1">{"detail",#N/A,FALSE,"mfg";"summary",#N/A,FALSE,"mfg"}</definedName>
    <definedName name="_abc26" localSheetId="7" hidden="1">{"detail",#N/A,FALSE,"mfg";"summary",#N/A,FALSE,"mfg"}</definedName>
    <definedName name="_abc26" hidden="1">{"detail",#N/A,FALSE,"mfg";"summary",#N/A,FALSE,"mfg"}</definedName>
    <definedName name="_abc289" localSheetId="3" hidden="1">{"detail",#N/A,FALSE,"mfg";"summary",#N/A,FALSE,"mfg"}</definedName>
    <definedName name="_abc289" localSheetId="7" hidden="1">{"detail",#N/A,FALSE,"mfg";"summary",#N/A,FALSE,"mfg"}</definedName>
    <definedName name="_abc289" hidden="1">{"detail",#N/A,FALSE,"mfg";"summary",#N/A,FALSE,"mfg"}</definedName>
    <definedName name="_abc3" localSheetId="3" hidden="1">{"detail",#N/A,FALSE,"mfg";"summary",#N/A,FALSE,"mfg"}</definedName>
    <definedName name="_abc3" localSheetId="7" hidden="1">{"detail",#N/A,FALSE,"mfg";"summary",#N/A,FALSE,"mfg"}</definedName>
    <definedName name="_abc3" hidden="1">{"detail",#N/A,FALSE,"mfg";"summary",#N/A,FALSE,"mfg"}</definedName>
    <definedName name="_abc31" localSheetId="3" hidden="1">{"detail",#N/A,FALSE,"mfg";"summary",#N/A,FALSE,"mfg"}</definedName>
    <definedName name="_abc31" localSheetId="7" hidden="1">{"detail",#N/A,FALSE,"mfg";"summary",#N/A,FALSE,"mfg"}</definedName>
    <definedName name="_abc31" hidden="1">{"detail",#N/A,FALSE,"mfg";"summary",#N/A,FALSE,"mfg"}</definedName>
    <definedName name="_abc312" localSheetId="3" hidden="1">{"detail",#N/A,FALSE,"mfg";"summary",#N/A,FALSE,"mfg"}</definedName>
    <definedName name="_abc312" localSheetId="7" hidden="1">{"detail",#N/A,FALSE,"mfg";"summary",#N/A,FALSE,"mfg"}</definedName>
    <definedName name="_abc312" hidden="1">{"detail",#N/A,FALSE,"mfg";"summary",#N/A,FALSE,"mfg"}</definedName>
    <definedName name="_abc315" localSheetId="3" hidden="1">{"detail",#N/A,FALSE,"mfg";"summary",#N/A,FALSE,"mfg"}</definedName>
    <definedName name="_abc315" localSheetId="7" hidden="1">{"detail",#N/A,FALSE,"mfg";"summary",#N/A,FALSE,"mfg"}</definedName>
    <definedName name="_abc315" hidden="1">{"detail",#N/A,FALSE,"mfg";"summary",#N/A,FALSE,"mfg"}</definedName>
    <definedName name="_abc316" localSheetId="3" hidden="1">{"detail",#N/A,FALSE,"mfg";"summary",#N/A,FALSE,"mfg"}</definedName>
    <definedName name="_abc316" localSheetId="7" hidden="1">{"detail",#N/A,FALSE,"mfg";"summary",#N/A,FALSE,"mfg"}</definedName>
    <definedName name="_abc316" hidden="1">{"detail",#N/A,FALSE,"mfg";"summary",#N/A,FALSE,"mfg"}</definedName>
    <definedName name="_abc32" localSheetId="3" hidden="1">{"detail",#N/A,FALSE,"mfg";"summary",#N/A,FALSE,"mfg"}</definedName>
    <definedName name="_abc32" localSheetId="7" hidden="1">{"detail",#N/A,FALSE,"mfg";"summary",#N/A,FALSE,"mfg"}</definedName>
    <definedName name="_abc32" hidden="1">{"detail",#N/A,FALSE,"mfg";"summary",#N/A,FALSE,"mfg"}</definedName>
    <definedName name="_abc3216" localSheetId="3" hidden="1">{"detail",#N/A,FALSE,"mfg";"summary",#N/A,FALSE,"mfg"}</definedName>
    <definedName name="_abc3216" localSheetId="7" hidden="1">{"detail",#N/A,FALSE,"mfg";"summary",#N/A,FALSE,"mfg"}</definedName>
    <definedName name="_abc3216" hidden="1">{"detail",#N/A,FALSE,"mfg";"summary",#N/A,FALSE,"mfg"}</definedName>
    <definedName name="_abc35" localSheetId="3" hidden="1">{"detail",#N/A,FALSE,"mfg";"summary",#N/A,FALSE,"mfg"}</definedName>
    <definedName name="_abc35" localSheetId="7" hidden="1">{"detail",#N/A,FALSE,"mfg";"summary",#N/A,FALSE,"mfg"}</definedName>
    <definedName name="_abc35" hidden="1">{"detail",#N/A,FALSE,"mfg";"summary",#N/A,FALSE,"mfg"}</definedName>
    <definedName name="_abc36" localSheetId="3" hidden="1">{"detail",#N/A,FALSE,"mfg";"summary",#N/A,FALSE,"mfg"}</definedName>
    <definedName name="_abc36" localSheetId="7" hidden="1">{"detail",#N/A,FALSE,"mfg";"summary",#N/A,FALSE,"mfg"}</definedName>
    <definedName name="_abc36" hidden="1">{"detail",#N/A,FALSE,"mfg";"summary",#N/A,FALSE,"mfg"}</definedName>
    <definedName name="_abc37" localSheetId="3" hidden="1">{"detail",#N/A,FALSE,"mfg";"summary",#N/A,FALSE,"mfg"}</definedName>
    <definedName name="_abc37" localSheetId="7" hidden="1">{"detail",#N/A,FALSE,"mfg";"summary",#N/A,FALSE,"mfg"}</definedName>
    <definedName name="_abc37" hidden="1">{"detail",#N/A,FALSE,"mfg";"summary",#N/A,FALSE,"mfg"}</definedName>
    <definedName name="_abc38" localSheetId="3" hidden="1">{"detail",#N/A,FALSE,"mfg";"summary",#N/A,FALSE,"mfg"}</definedName>
    <definedName name="_abc38" localSheetId="7" hidden="1">{"detail",#N/A,FALSE,"mfg";"summary",#N/A,FALSE,"mfg"}</definedName>
    <definedName name="_abc38" hidden="1">{"detail",#N/A,FALSE,"mfg";"summary",#N/A,FALSE,"mfg"}</definedName>
    <definedName name="_ABC41" localSheetId="3" hidden="1">{"detail",#N/A,FALSE,"mfg";"summary",#N/A,FALSE,"mfg"}</definedName>
    <definedName name="_ABC41" localSheetId="7" hidden="1">{"detail",#N/A,FALSE,"mfg";"summary",#N/A,FALSE,"mfg"}</definedName>
    <definedName name="_ABC41" hidden="1">{"detail",#N/A,FALSE,"mfg";"summary",#N/A,FALSE,"mfg"}</definedName>
    <definedName name="_abc42" localSheetId="3" hidden="1">{"detail",#N/A,FALSE,"mfg";"summary",#N/A,FALSE,"mfg"}</definedName>
    <definedName name="_abc42" localSheetId="7" hidden="1">{"detail",#N/A,FALSE,"mfg";"summary",#N/A,FALSE,"mfg"}</definedName>
    <definedName name="_abc42" hidden="1">{"detail",#N/A,FALSE,"mfg";"summary",#N/A,FALSE,"mfg"}</definedName>
    <definedName name="_abc51" localSheetId="3" hidden="1">{"detail",#N/A,FALSE,"mfg";"summary",#N/A,FALSE,"mfg"}</definedName>
    <definedName name="_abc51" localSheetId="7" hidden="1">{"detail",#N/A,FALSE,"mfg";"summary",#N/A,FALSE,"mfg"}</definedName>
    <definedName name="_abc51" hidden="1">{"detail",#N/A,FALSE,"mfg";"summary",#N/A,FALSE,"mfg"}</definedName>
    <definedName name="_abc61" localSheetId="3" hidden="1">{"detail",#N/A,FALSE,"mfg";"summary",#N/A,FALSE,"mfg"}</definedName>
    <definedName name="_abc61" localSheetId="7" hidden="1">{"detail",#N/A,FALSE,"mfg";"summary",#N/A,FALSE,"mfg"}</definedName>
    <definedName name="_abc61" hidden="1">{"detail",#N/A,FALSE,"mfg";"summary",#N/A,FALSE,"mfg"}</definedName>
    <definedName name="_abc71" localSheetId="3" hidden="1">{"detail",#N/A,FALSE,"mfg";"summary",#N/A,FALSE,"mfg"}</definedName>
    <definedName name="_abc71" localSheetId="7" hidden="1">{"detail",#N/A,FALSE,"mfg";"summary",#N/A,FALSE,"mfg"}</definedName>
    <definedName name="_abc71" hidden="1">{"detail",#N/A,FALSE,"mfg";"summary",#N/A,FALSE,"mfg"}</definedName>
    <definedName name="_abc7884" localSheetId="3" hidden="1">{"detail",#N/A,FALSE,"mfg";"summary",#N/A,FALSE,"mfg"}</definedName>
    <definedName name="_abc7884" localSheetId="7" hidden="1">{"detail",#N/A,FALSE,"mfg";"summary",#N/A,FALSE,"mfg"}</definedName>
    <definedName name="_abc7884" hidden="1">{"detail",#N/A,FALSE,"mfg";"summary",#N/A,FALSE,"mfg"}</definedName>
    <definedName name="_ACS2000" localSheetId="3" hidden="1">{#N/A,#N/A,FALSE,"REPORT"}</definedName>
    <definedName name="_ACS2000" localSheetId="7" hidden="1">{#N/A,#N/A,FALSE,"REPORT"}</definedName>
    <definedName name="_ACS2000" hidden="1">{#N/A,#N/A,FALSE,"REPORT"}</definedName>
    <definedName name="_ap2" localSheetId="3" hidden="1">{"detail",#N/A,FALSE,"mfg";"summary",#N/A,FALSE,"mfg"}</definedName>
    <definedName name="_ap2" localSheetId="7" hidden="1">{"detail",#N/A,FALSE,"mfg";"summary",#N/A,FALSE,"mfg"}</definedName>
    <definedName name="_ap2" hidden="1">{"detail",#N/A,FALSE,"mfg";"summary",#N/A,FALSE,"mfg"}</definedName>
    <definedName name="_b111" localSheetId="3" hidden="1">{#N/A,#N/A,FALSE,"Pharm";#N/A,#N/A,FALSE,"WWCM"}</definedName>
    <definedName name="_b111" localSheetId="7" hidden="1">{#N/A,#N/A,FALSE,"Pharm";#N/A,#N/A,FALSE,"WWCM"}</definedName>
    <definedName name="_b111" hidden="1">{#N/A,#N/A,FALSE,"Pharm";#N/A,#N/A,FALSE,"WWCM"}</definedName>
    <definedName name="_b2" localSheetId="3" hidden="1">{"PVGraph2",#N/A,FALSE,"PV Data"}</definedName>
    <definedName name="_b2" localSheetId="7" hidden="1">{"PVGraph2",#N/A,FALSE,"PV Data"}</definedName>
    <definedName name="_b2" hidden="1">{"PVGraph2",#N/A,FALSE,"PV Data"}</definedName>
    <definedName name="_BA1" localSheetId="3" hidden="1">{"'Directory'!$A$72:$E$91"}</definedName>
    <definedName name="_BA1" localSheetId="7" hidden="1">{"'Directory'!$A$72:$E$91"}</definedName>
    <definedName name="_BA1" hidden="1">{"'Directory'!$A$72:$E$91"}</definedName>
    <definedName name="_BA12" localSheetId="3" hidden="1">{"'Directory'!$A$72:$E$91"}</definedName>
    <definedName name="_BA12" localSheetId="7" hidden="1">{"'Directory'!$A$72:$E$91"}</definedName>
    <definedName name="_BA12" hidden="1">{"'Directory'!$A$72:$E$91"}</definedName>
    <definedName name="_BA14" localSheetId="3" hidden="1">{"'Directory'!$A$72:$E$91"}</definedName>
    <definedName name="_BA14" localSheetId="7" hidden="1">{"'Directory'!$A$72:$E$91"}</definedName>
    <definedName name="_BA14" hidden="1">{"'Directory'!$A$72:$E$91"}</definedName>
    <definedName name="_BA15" localSheetId="3" hidden="1">{"'Directory'!$A$72:$E$91"}</definedName>
    <definedName name="_BA15" localSheetId="7" hidden="1">{"'Directory'!$A$72:$E$91"}</definedName>
    <definedName name="_BA15" hidden="1">{"'Directory'!$A$72:$E$91"}</definedName>
    <definedName name="_BA16" localSheetId="3" hidden="1">{"'Directory'!$A$72:$E$91"}</definedName>
    <definedName name="_BA16" localSheetId="7" hidden="1">{"'Directory'!$A$72:$E$91"}</definedName>
    <definedName name="_BA16" hidden="1">{"'Directory'!$A$72:$E$91"}</definedName>
    <definedName name="_BA17" localSheetId="3" hidden="1">{#N/A,#N/A,FALSE,"Earn'gs &amp; Val'n";#N/A,#N/A,FALSE,"Interim"}</definedName>
    <definedName name="_BA17" localSheetId="7" hidden="1">{#N/A,#N/A,FALSE,"Earn'gs &amp; Val'n";#N/A,#N/A,FALSE,"Interim"}</definedName>
    <definedName name="_BA17" hidden="1">{#N/A,#N/A,FALSE,"Earn'gs &amp; Val'n";#N/A,#N/A,FALSE,"Interim"}</definedName>
    <definedName name="_BA2" localSheetId="3" hidden="1">{"'Directory'!$A$72:$E$91"}</definedName>
    <definedName name="_BA2" localSheetId="7" hidden="1">{"'Directory'!$A$72:$E$91"}</definedName>
    <definedName name="_BA2" hidden="1">{"'Directory'!$A$72:$E$91"}</definedName>
    <definedName name="_BA3" localSheetId="3" hidden="1">{"'Directory'!$A$72:$E$91"}</definedName>
    <definedName name="_BA3" localSheetId="7" hidden="1">{"'Directory'!$A$72:$E$91"}</definedName>
    <definedName name="_BA3" hidden="1">{"'Directory'!$A$72:$E$91"}</definedName>
    <definedName name="_BA4" localSheetId="3" hidden="1">{"'Directory'!$A$72:$E$91"}</definedName>
    <definedName name="_BA4" localSheetId="7" hidden="1">{"'Directory'!$A$72:$E$91"}</definedName>
    <definedName name="_BA4" hidden="1">{"'Directory'!$A$72:$E$91"}</definedName>
    <definedName name="_bal2" hidden="1">#REF!</definedName>
    <definedName name="_bdm.02E29E7B1053433EA3CCCBE4E5141596.edm" localSheetId="3" hidden="1">#REF!</definedName>
    <definedName name="_bdm.02E29E7B1053433EA3CCCBE4E5141596.edm" hidden="1">#REF!</definedName>
    <definedName name="_bdm.04C5AA2600C748D9976A3AFD2C93DCC8.edm" localSheetId="3" hidden="1">#REF!</definedName>
    <definedName name="_bdm.04C5AA2600C748D9976A3AFD2C93DCC8.edm" hidden="1">#REF!</definedName>
    <definedName name="_bdm.078682DCAB16450A85FD74463F1BD950.edm" localSheetId="3" hidden="1">#REF!</definedName>
    <definedName name="_bdm.078682DCAB16450A85FD74463F1BD950.edm" hidden="1">#REF!</definedName>
    <definedName name="_bdm.07873ee2872b49aeb28b38167df628a0.edm" hidden="1">#REF!</definedName>
    <definedName name="_bdm.0828D0A6DF7E49DEA787BB24AF6CEA44.edm" hidden="1">#REF!</definedName>
    <definedName name="_bdm.09CE505E772D423FAD55C766D841A687.edm" hidden="1">#REF!</definedName>
    <definedName name="_bdm.09F2C032B7754C7D94D2E10DEFC8E15B.edm" hidden="1">#REF!</definedName>
    <definedName name="_bdm.0b2d50945b3e4e87a931744f11d26574.edm" hidden="1">#REF!</definedName>
    <definedName name="_bdm.0F47E4E469CC4E15BCD63C0A0ECC98A9.edm" hidden="1">#REF!</definedName>
    <definedName name="_bdm.1571518A11C24C97A38D4DE75B053AFD.edm" localSheetId="3" hidden="1">#REF!</definedName>
    <definedName name="_bdm.1571518A11C24C97A38D4DE75B053AFD.edm" hidden="1">#REF!</definedName>
    <definedName name="_bdm.16445c03f8c74e7480217f6c034c92b7.edm" hidden="1">#REF!</definedName>
    <definedName name="_bdm.18648CE7D7374A9493CD98BD470140A1.edm" localSheetId="3" hidden="1">#REF!</definedName>
    <definedName name="_bdm.18648CE7D7374A9493CD98BD470140A1.edm" hidden="1">#REF!</definedName>
    <definedName name="_bdm.1872f9d8a6854b4a9dc50d8479bd0536.edm" hidden="1">#REF!</definedName>
    <definedName name="_bdm.1980F9D94F484F1BB7DDF9886ED87F86.edm" hidden="1">#REF!</definedName>
    <definedName name="_bdm.19A8D364E53543C88276280D6F015454.edm" localSheetId="3" hidden="1">#REF!</definedName>
    <definedName name="_bdm.19A8D364E53543C88276280D6F015454.edm" hidden="1">#REF!</definedName>
    <definedName name="_bdm.1AF4D27A0D474BF185C5A9CD1C5EAE38.edm" localSheetId="3" hidden="1">#REF!</definedName>
    <definedName name="_bdm.1AF4D27A0D474BF185C5A9CD1C5EAE38.edm" hidden="1">#REF!</definedName>
    <definedName name="_bdm.1cbe92db41b44ffea890946c7de4681d.edm" hidden="1">#REF!</definedName>
    <definedName name="_bdm.1D18DF6CFA684AC680C55077554D7B94.edm" localSheetId="3" hidden="1">#REF!</definedName>
    <definedName name="_bdm.1D18DF6CFA684AC680C55077554D7B94.edm" hidden="1">#REF!</definedName>
    <definedName name="_bdm.20421C6994184024812BCB5CB971E63B.edm" hidden="1">#REF!</definedName>
    <definedName name="_bdm.226419AD44B44AD7A8E3E47AFCCEACCF.edm" hidden="1">#REF!</definedName>
    <definedName name="_bdm.25481f4a4891440f82cfc804dbe09104.edm" hidden="1">#REF!</definedName>
    <definedName name="_bdm.261112BAE8204F8280374C78A1E02552.edm" localSheetId="3" hidden="1">#REF!</definedName>
    <definedName name="_bdm.261112BAE8204F8280374C78A1E02552.edm" hidden="1">#REF!</definedName>
    <definedName name="_bdm.2623C463DA404B26B71CCC88885DAB2D.edm" hidden="1">#REF!</definedName>
    <definedName name="_bdm.263fea3133914effa15ba5afa37b333f.edm" hidden="1">#REF!</definedName>
    <definedName name="_bdm.27D6534ED2D94BC49A5D0622B99BFA1C.edm" localSheetId="3" hidden="1">#REF!</definedName>
    <definedName name="_bdm.27D6534ED2D94BC49A5D0622B99BFA1C.edm" hidden="1">#REF!</definedName>
    <definedName name="_bdm.284a3671ee4a4a66ac5a3ad72806e75e.edm" hidden="1">#REF!</definedName>
    <definedName name="_bdm.29364D3547964AC7BF256CA8FA2E2A87.edm" hidden="1">#REF!</definedName>
    <definedName name="_bdm.2C84A3B80B434D40BBF2FCC060EC8AA8.edm" localSheetId="3" hidden="1">#REF!</definedName>
    <definedName name="_bdm.2C84A3B80B434D40BBF2FCC060EC8AA8.edm" hidden="1">#REF!</definedName>
    <definedName name="_bdm.2c92dd38919346aba957d505ce4ef79b.edm" hidden="1">#REF!</definedName>
    <definedName name="_bdm.2e445886f01f4d70ba2577d7593fd4ae.edm" hidden="1">#REF!</definedName>
    <definedName name="_bdm.2E67EE077920481EAD22E06729917489.edm" localSheetId="3" hidden="1">#REF!</definedName>
    <definedName name="_bdm.2E67EE077920481EAD22E06729917489.edm" hidden="1">#REF!</definedName>
    <definedName name="_bdm.2f97e637768a4353a991e652dd05761f.edm" hidden="1">#REF!</definedName>
    <definedName name="_bdm.2fad0a0f4ed240f48269334509966e19.edm" hidden="1">#REF!</definedName>
    <definedName name="_bdm.3009922e01d24b04a5de6eddbb51098c.edm" hidden="1">#REF!</definedName>
    <definedName name="_bdm.3299396516CC47189AC70CD453BECB74.edm" hidden="1">#REF!</definedName>
    <definedName name="_bdm.34C4DAD029D048F19B9531FEFBB3F150.edm" localSheetId="3" hidden="1">#REF!</definedName>
    <definedName name="_bdm.34C4DAD029D048F19B9531FEFBB3F150.edm" hidden="1">#REF!</definedName>
    <definedName name="_bdm.366416D132E9473EBC9264C3384F125F.edm" localSheetId="3" hidden="1">#REF!</definedName>
    <definedName name="_bdm.366416D132E9473EBC9264C3384F125F.edm" hidden="1">#REF!</definedName>
    <definedName name="_bdm.374793EF6A0244028293ED80BDCEB2AC.edm" hidden="1">#REF!</definedName>
    <definedName name="_bdm.3880ff0dec0d4d0899af222b5caee970.edm" hidden="1">#REF!</definedName>
    <definedName name="_bdm.38F9B9C3E71442D28BE9FAD80C7CE4A6.edm" hidden="1">#REF!</definedName>
    <definedName name="_bdm.3C6FEB15B3724B629EB475F3DDABB357.edm" localSheetId="3" hidden="1">#REF!</definedName>
    <definedName name="_bdm.3C6FEB15B3724B629EB475F3DDABB357.edm" hidden="1">#REF!</definedName>
    <definedName name="_bdm.3cb16231e7fa4b5b90abdf86b01cae8f.edm" hidden="1">#REF!</definedName>
    <definedName name="_bdm.3D23BD689614460E80684258285194E3.edm" hidden="1">#REF!</definedName>
    <definedName name="_bdm.3FB8BE64D2964A24B1498FEB92064258.edm" localSheetId="3" hidden="1">#REF!</definedName>
    <definedName name="_bdm.3FB8BE64D2964A24B1498FEB92064258.edm" hidden="1">#REF!</definedName>
    <definedName name="_bdm.418638C7AAD843FFAE8A28CD0C61E862.edm" localSheetId="3" hidden="1">#REF!</definedName>
    <definedName name="_bdm.418638C7AAD843FFAE8A28CD0C61E862.edm" hidden="1">#REF!</definedName>
    <definedName name="_bdm.4474be1e47ae420cb06f7af426ed0106.edm" hidden="1">#REF!</definedName>
    <definedName name="_bdm.44C4106DCB464E51951B6B466B6FD355.edm" localSheetId="3" hidden="1">#REF!</definedName>
    <definedName name="_bdm.44C4106DCB464E51951B6B466B6FD355.edm" hidden="1">#REF!</definedName>
    <definedName name="_bdm.45212b772d7149129944b7e81c4889e7.edm" hidden="1">#REF!</definedName>
    <definedName name="_bdm.453A889421374585A44D397776A28F15.edm" localSheetId="3" hidden="1">#REF!</definedName>
    <definedName name="_bdm.453A889421374585A44D397776A28F15.edm" hidden="1">#REF!</definedName>
    <definedName name="_bdm.461fb6620ea94c9389347a020894d890.edm" hidden="1">#REF!</definedName>
    <definedName name="_bdm.46389B8724B7460FB60540CE14754DF6.edm" hidden="1">#REF!</definedName>
    <definedName name="_bdm.4877C1A8BB7144918BF500599C2C8D3A.edm" hidden="1">#REF!</definedName>
    <definedName name="_bdm.496e69ecb3694a01a4d1c13890acf750.edm" hidden="1">#REF!</definedName>
    <definedName name="_bdm.4ab465b57c474566b4115c7c58799f17.edm" hidden="1">#REF!</definedName>
    <definedName name="_bdm.4E7CFA6A8EF34EC29C91B5DC7EE0774C.edm" hidden="1">#REF!</definedName>
    <definedName name="_bdm.507D8D2867AB48E79834FFAAA18F4579.edm" localSheetId="3" hidden="1">#REF!</definedName>
    <definedName name="_bdm.507D8D2867AB48E79834FFAAA18F4579.edm" hidden="1">#REF!</definedName>
    <definedName name="_bdm.50f0393c90ff491ca0e105dd97dedf4c.edm" hidden="1">#REF!</definedName>
    <definedName name="_bdm.50faf45f7f604f79b3eeb380ee7e4d03.edm" hidden="1">#REF!</definedName>
    <definedName name="_bdm.5459BEE36D56429FA508F50641B16056.edm" hidden="1">#REF!</definedName>
    <definedName name="_bdm.550367ea20474e84b7b0c2aad0d0563f.edm" hidden="1">#REF!</definedName>
    <definedName name="_bdm.550AAAEC1E8B481481855EBBDA0F3976.edm" hidden="1">#REF!</definedName>
    <definedName name="_bdm.55798541B9994E74B8C9163FD6ABCE05.edm" localSheetId="3" hidden="1">#REF!</definedName>
    <definedName name="_bdm.55798541B9994E74B8C9163FD6ABCE05.edm" hidden="1">#REF!</definedName>
    <definedName name="_bdm.57350A29B97B4C8DAACB57778822E961.edm" hidden="1">#REF!</definedName>
    <definedName name="_bdm.592651e1598a4361ad8a0359ee3200ca.edm" hidden="1">#REF!</definedName>
    <definedName name="_bdm.5bc9ea1add414637892748c777dd6f4d.edm" hidden="1">#REF!</definedName>
    <definedName name="_bdm.5D685B7C6E1841F0AEA8317EB4425264.edm" localSheetId="3" hidden="1">#REF!</definedName>
    <definedName name="_bdm.5D685B7C6E1841F0AEA8317EB4425264.edm" hidden="1">#REF!</definedName>
    <definedName name="_bdm.63EC3BCBD67741D9A25F070DF12CD443.edm" hidden="1">#REF!</definedName>
    <definedName name="_bdm.6469693EEE2841B6AE43A0CC0FCD709D.edm" localSheetId="3" hidden="1">#REF!</definedName>
    <definedName name="_bdm.6469693EEE2841B6AE43A0CC0FCD709D.edm" hidden="1">#REF!</definedName>
    <definedName name="_bdm.65678d3d89284fc6a18a3d97a0afe5f2.edm" hidden="1">#REF!</definedName>
    <definedName name="_bdm.666C7A450EF34C3A94C6DDD6D1D59038.edm" hidden="1">#REF!</definedName>
    <definedName name="_bdm.66A16537283C410188C0478FF480C5D0.edm" hidden="1">#REF!</definedName>
    <definedName name="_bdm.72F4875313854BA1AB8911E247104418.edm" hidden="1">#REF!</definedName>
    <definedName name="_bdm.74d90d2b9e1c49a68b2ad5245ec6d215.edm" hidden="1">#REF!</definedName>
    <definedName name="_bdm.75CD7042B4C5449095D0FEAF568F54D3.edm" localSheetId="3" hidden="1">#REF!</definedName>
    <definedName name="_bdm.75CD7042B4C5449095D0FEAF568F54D3.edm" hidden="1">#REF!</definedName>
    <definedName name="_bdm.7ADE88BB1A65441A8C97D0EDCC70E996.edm" hidden="1">#REF!</definedName>
    <definedName name="_bdm.7D890F2226B34DCA9CB5A77D3B3202AF.edm" localSheetId="3" hidden="1">#REF!</definedName>
    <definedName name="_bdm.7D890F2226B34DCA9CB5A77D3B3202AF.edm" hidden="1">#REF!</definedName>
    <definedName name="_bdm.7d97bc98c92d4020892360fecd39faa2.edm" hidden="1">#REF!</definedName>
    <definedName name="_bdm.7FF04DC9CF6148588110EEA2FD441CD4.edm" hidden="1">#REF!</definedName>
    <definedName name="_bdm.807726cb60b54f538d6bc8df01fd55f4.edm" hidden="1">#REF!</definedName>
    <definedName name="_bdm.825071F44C414B139DE13F6EC9194E8E.edm" hidden="1">#REF!</definedName>
    <definedName name="_bdm.88A2D15040E346B1A7974F152F1F2CDB.edm" hidden="1">#REF!</definedName>
    <definedName name="_bdm.8B8B68AC60694E719C45D2608316E98C.edm" hidden="1">#REF!</definedName>
    <definedName name="_bdm.8c5eb17a3f754e6c8a22a97c6ad705a3.edm" hidden="1">#REF!</definedName>
    <definedName name="_bdm.8F7D5AA492BD44E2A4B30D2C865E8A9D.edm" hidden="1">#REF!</definedName>
    <definedName name="_bdm.90B3B62F8E0B47978FE01676648EC040.edm" hidden="1">#REF!</definedName>
    <definedName name="_bdm.92B2DAF47E4C4F28B851AC1752E0AD72.edm" hidden="1">#REF!</definedName>
    <definedName name="_bdm.95D97703F0B44275930D649261210A38.edm" localSheetId="3" hidden="1">#REF!</definedName>
    <definedName name="_bdm.95D97703F0B44275930D649261210A38.edm" hidden="1">#REF!</definedName>
    <definedName name="_bdm.960da3ccdedb4cd3809a29ee4614340b.edm" hidden="1">#REF!</definedName>
    <definedName name="_bdm.973510D161DD49A68EC7485D04561419.edm" localSheetId="3" hidden="1">#REF!</definedName>
    <definedName name="_bdm.973510D161DD49A68EC7485D04561419.edm" hidden="1">#REF!</definedName>
    <definedName name="_bdm.986DF0CFD4EC49059F5ED39C1C52ACBE.edm" localSheetId="3" hidden="1">#REF!</definedName>
    <definedName name="_bdm.986DF0CFD4EC49059F5ED39C1C52ACBE.edm" hidden="1">#REF!</definedName>
    <definedName name="_bdm.9B84F4EEF1714709B27854491DC4C0EF.edm" hidden="1">#REF!</definedName>
    <definedName name="_bdm.9c006babe5c7471286bf9b3db2cb9330.edm" hidden="1">#REF!</definedName>
    <definedName name="_bdm.9d40d24f7f5b4b2082f55fc877b3c6db.edm" hidden="1">#REF!</definedName>
    <definedName name="_bdm.9f4da579894e4bed877de5471d1658d0.edm" hidden="1">#REF!</definedName>
    <definedName name="_bdm.9F4E04C01857407C983991AE261A4C55.edm" localSheetId="3" hidden="1">#REF!</definedName>
    <definedName name="_bdm.9F4E04C01857407C983991AE261A4C55.edm" hidden="1">#REF!</definedName>
    <definedName name="_bdm.9ffdb05d1bc24dd996347ceb970b0b26.edm" hidden="1">#REF!</definedName>
    <definedName name="_bdm.a0367d0adaab4bd0bed61e2e65d72791.edm" hidden="1">#REF!</definedName>
    <definedName name="_bdm.A1919B431CD442B48A6E6682AB346A31.edm" hidden="1">#REF!</definedName>
    <definedName name="_bdm.ACF37B2C276F4539B7CF8F9912E39710.edm" hidden="1">#REF!</definedName>
    <definedName name="_bdm.AD3AD52F4AD9477EABDA62DC84064E78.edm" hidden="1">#REF!</definedName>
    <definedName name="_bdm.AE3FA41E6D8A4A6AA3DCFF2EBE1E0565.edm" hidden="1">#REF!</definedName>
    <definedName name="_bdm.AE710783F689476ABA82C989F390454C.edm" hidden="1">#REF!</definedName>
    <definedName name="_bdm.AE875B1D472D4D07B43737F2C80A7CF6.edm" hidden="1">#REF!</definedName>
    <definedName name="_bdm.AECA246EF2AF489CB05303397C716DD4.edm" localSheetId="3" hidden="1">#REF!</definedName>
    <definedName name="_bdm.AECA246EF2AF489CB05303397C716DD4.edm" hidden="1">#REF!</definedName>
    <definedName name="_bdm.B4054133042E48E2A4B74EED1EFE1DEA.edm" hidden="1">#REF!</definedName>
    <definedName name="_bdm.B4537847AF3B4970B6337939D38FDC63.edm" hidden="1">#REF!</definedName>
    <definedName name="_bdm.B768E58A197049048A247363EF267D46.edm" hidden="1">#REF!</definedName>
    <definedName name="_bdm.bb7e36b7686d4740804eb6cdff1a3074.edm" hidden="1">#REF!</definedName>
    <definedName name="_bdm.BBE3C6B83FCD4BC2ACDE8742A674C78D.edm" localSheetId="3" hidden="1">#REF!</definedName>
    <definedName name="_bdm.BBE3C6B83FCD4BC2ACDE8742A674C78D.edm" hidden="1">#REF!</definedName>
    <definedName name="_bdm.BC30BD55116F49D1A197F40879DC527D.edm" localSheetId="3" hidden="1">#REF!</definedName>
    <definedName name="_bdm.BC30BD55116F49D1A197F40879DC527D.edm" hidden="1">#REF!</definedName>
    <definedName name="_bdm.bd79e3ec4990484baeff1a4cac5e71f8.edm" hidden="1">#REF!</definedName>
    <definedName name="_bdm.BE3A98658EE94D4AAAECB1971E6D5938.edm" hidden="1">#REF!</definedName>
    <definedName name="_bdm.C13E978D53524E969BBFAD5BBE2152D4.edm" localSheetId="3" hidden="1">#REF!</definedName>
    <definedName name="_bdm.C13E978D53524E969BBFAD5BBE2152D4.edm" hidden="1">#REF!</definedName>
    <definedName name="_bdm.c387bfa82683486590f0454f7f7f46a2.edm" hidden="1">#REF!</definedName>
    <definedName name="_bdm.C79B72D1891A4CDD80637E12AAAAE38A.edm" hidden="1">#REF!</definedName>
    <definedName name="_bdm.C79F670284DB4EA48409CE9979ED24CF.edm" hidden="1">#REF!</definedName>
    <definedName name="_bdm.c8e5bc28d8464256ac3e609450819837.edm" hidden="1">#REF!</definedName>
    <definedName name="_bdm.C8F18C8F8948425C91A935BF3E4FB313.edm" localSheetId="3" hidden="1">#REF!</definedName>
    <definedName name="_bdm.C8F18C8F8948425C91A935BF3E4FB313.edm" hidden="1">#REF!</definedName>
    <definedName name="_bdm.C95218118DED45C898E0CA5A74BCA5EE.edm" localSheetId="3" hidden="1">#REF!</definedName>
    <definedName name="_bdm.C95218118DED45C898E0CA5A74BCA5EE.edm" hidden="1">#REF!</definedName>
    <definedName name="_bdm.CA0C704210A94C66BD5F6061790DB6BE.edm" localSheetId="3" hidden="1">#REF!</definedName>
    <definedName name="_bdm.CA0C704210A94C66BD5F6061790DB6BE.edm" hidden="1">#REF!</definedName>
    <definedName name="_bdm.ccb23ae3d8364e69871d06b860f6f809.edm" hidden="1">#REF!</definedName>
    <definedName name="_bdm.CEE1C536021043C99F704AAB5CCCCC21.edm" localSheetId="3" hidden="1">#REF!</definedName>
    <definedName name="_bdm.CEE1C536021043C99F704AAB5CCCCC21.edm" hidden="1">#REF!</definedName>
    <definedName name="_bdm.D0F26AA22DDA48E68C2801B31467CB13.edm" hidden="1">#REF!</definedName>
    <definedName name="_bdm.D1906E8CFECF4D27A34711559B5FD808.edm" localSheetId="3" hidden="1">#REF!</definedName>
    <definedName name="_bdm.D1906E8CFECF4D27A34711559B5FD808.edm" hidden="1">#REF!</definedName>
    <definedName name="_bdm.d26cb9ce424546d99f90a4a2bd2655a7.edm" hidden="1">#REF!</definedName>
    <definedName name="_bdm.D35E7E7C923D49759F062D3C711F4FE4.edm" localSheetId="3" hidden="1">#REF!</definedName>
    <definedName name="_bdm.D35E7E7C923D49759F062D3C711F4FE4.edm" hidden="1">#REF!</definedName>
    <definedName name="_bdm.D521AC53B20240C4B79EF25CADEBF150.edm" localSheetId="3" hidden="1">#REF!</definedName>
    <definedName name="_bdm.D521AC53B20240C4B79EF25CADEBF150.edm" hidden="1">#REF!</definedName>
    <definedName name="_bdm.d523d2140c1846edbd2b1e4d8ceefb5b.edm" hidden="1">#REF!</definedName>
    <definedName name="_bdm.D7FFA41EDCBB4EC7A8FCC2AA00CB4B8B.edm" hidden="1">#REF!</definedName>
    <definedName name="_bdm.D967486A79A9444A8998FD21CAB1909C.edm" hidden="1">#REF!</definedName>
    <definedName name="_bdm.DBF59D5A0BF14E98BD49F42217A3EA67.edm" hidden="1">#REF!</definedName>
    <definedName name="_bdm.DCBFD6725F814DD7A639D3B6E99C7F42.edm" hidden="1">#REF!</definedName>
    <definedName name="_bdm.E0EF58331C44448FA34C7A723D54486B.edm" localSheetId="3" hidden="1">#REF!</definedName>
    <definedName name="_bdm.E0EF58331C44448FA34C7A723D54486B.edm" hidden="1">#REF!</definedName>
    <definedName name="_bdm.E1DF16FB2B5046DEAF5B79DB3D248DAD.edm" localSheetId="3" hidden="1">#REF!</definedName>
    <definedName name="_bdm.E1DF16FB2B5046DEAF5B79DB3D248DAD.edm" hidden="1">#REF!</definedName>
    <definedName name="_bdm.E282A148E1B34FAC820DF3BE9C378E20.edm" localSheetId="3" hidden="1">#REF!</definedName>
    <definedName name="_bdm.E282A148E1B34FAC820DF3BE9C378E20.edm" hidden="1">#REF!</definedName>
    <definedName name="_bdm.e310c002d3924d578cbfea99a21a252c.edm" hidden="1">#REF!</definedName>
    <definedName name="_bdm.E326F959E4274B4CAF3FC1F9ACBB28A4.edm" localSheetId="3" hidden="1">#REF!</definedName>
    <definedName name="_bdm.E326F959E4274B4CAF3FC1F9ACBB28A4.edm" hidden="1">#REF!</definedName>
    <definedName name="_bdm.e5716f198df2442f8c18b537ffc0c142.edm" hidden="1">#REF!</definedName>
    <definedName name="_bdm.e651fe679a784f9b98522c58cc557187.edm" hidden="1">#REF!</definedName>
    <definedName name="_bdm.E7D57D873EF34D8DA9DF4B27EB54CB68.edm" localSheetId="3" hidden="1">#REF!</definedName>
    <definedName name="_bdm.E7D57D873EF34D8DA9DF4B27EB54CB68.edm" hidden="1">#REF!</definedName>
    <definedName name="_bdm.E8E31207F99F4F5894A3A9857863C325.edm" hidden="1">#REF!</definedName>
    <definedName name="_bdm.E8E3130FE0CA4E9F95D86DBC56E7E607.edm" hidden="1">#REF!</definedName>
    <definedName name="_bdm.e9ee6f21d182442a81da3dda5151e57b.edm" hidden="1">#REF!</definedName>
    <definedName name="_bdm.ECED44FA3CAE41029690000E878D617A.edm" hidden="1">#REF!</definedName>
    <definedName name="_bdm.F10A135B228447E4B56BA8269EFE4612.edm" localSheetId="3" hidden="1">#REF!</definedName>
    <definedName name="_bdm.F10A135B228447E4B56BA8269EFE4612.edm" hidden="1">#REF!</definedName>
    <definedName name="_bdm.F17526A719C24B298F166397DD59B3D1.edm" hidden="1">#REF!</definedName>
    <definedName name="_bdm.F33B2FB3A8FD4562A9119CE2F61C29B7.edm" localSheetId="3" hidden="1">#REF!</definedName>
    <definedName name="_bdm.F33B2FB3A8FD4562A9119CE2F61C29B7.edm" hidden="1">#REF!</definedName>
    <definedName name="_bdm.f4211b523849430cab6812763ea051c4.edm" hidden="1">#REF!</definedName>
    <definedName name="_bdm.F51EBA2166C443ADA8ADC703DFFBABFE.edm" hidden="1">#REF!</definedName>
    <definedName name="_bdm.F61A848EDD5F4D749A72007ABA746DF0.edm" hidden="1">#REF!</definedName>
    <definedName name="_bdm.f78a449bd988482eaa11b2a8819fb53d.edm" hidden="1">#REF!</definedName>
    <definedName name="_bdm.f7a57fdfd16e459caac3de1ba12a9920.edm" hidden="1">#REF!</definedName>
    <definedName name="_bdm.f7d4fedf7c77456694c9a2169866b579.edm" hidden="1">#REF!</definedName>
    <definedName name="_bdm.f960b90dfecf401eb38b0287766a51c7.edm" hidden="1">#REF!</definedName>
    <definedName name="_bdm.f9984a5121384a449d69acd500bc3e3d.edm" hidden="1">#REF!</definedName>
    <definedName name="_bji23" localSheetId="3" hidden="1">{#N/A,"PURCHM",FALSE,"Business Analysis";#N/A,"SPADD",FALSE,"Business Analysis"}</definedName>
    <definedName name="_bji23" localSheetId="7" hidden="1">{#N/A,"PURCHM",FALSE,"Business Analysis";#N/A,"SPADD",FALSE,"Business Analysis"}</definedName>
    <definedName name="_bji23" hidden="1">{#N/A,"PURCHM",FALSE,"Business Analysis";#N/A,"SPADD",FALSE,"Business Analysis"}</definedName>
    <definedName name="_bkd87" localSheetId="3" hidden="1">{#N/A,"PURCHM",FALSE,"Business Analysis";#N/A,"SPADD",FALSE,"Business Analysis"}</definedName>
    <definedName name="_bkd87" localSheetId="7" hidden="1">{#N/A,"PURCHM",FALSE,"Business Analysis";#N/A,"SPADD",FALSE,"Business Analysis"}</definedName>
    <definedName name="_bkd87" hidden="1">{#N/A,"PURCHM",FALSE,"Business Analysis";#N/A,"SPADD",FALSE,"Business Analysis"}</definedName>
    <definedName name="_c" localSheetId="3" hidden="1">{"Fiesta Facer Page",#N/A,FALSE,"Q_C_S";"Fiesta Main Page",#N/A,FALSE,"V_L";"Fiesta 95BP Struct",#N/A,FALSE,"StructBP";"Fiesta Post 95BP Struct",#N/A,FALSE,"AdjStructBP"}</definedName>
    <definedName name="_c" localSheetId="7" hidden="1">{"Fiesta Facer Page",#N/A,FALSE,"Q_C_S";"Fiesta Main Page",#N/A,FALSE,"V_L";"Fiesta 95BP Struct",#N/A,FALSE,"StructBP";"Fiesta Post 95BP Struct",#N/A,FALSE,"AdjStructBP"}</definedName>
    <definedName name="_c" hidden="1">{"Fiesta Facer Page",#N/A,FALSE,"Q_C_S";"Fiesta Main Page",#N/A,FALSE,"V_L";"Fiesta 95BP Struct",#N/A,FALSE,"StructBP";"Fiesta Post 95BP Struct",#N/A,FALSE,"AdjStructBP"}</definedName>
    <definedName name="_Dist_Values" hidden="1">#REF!</definedName>
    <definedName name="_div202" localSheetId="3" hidden="1">{#N/A,"PURADD",FALSE,"Business Analysis";#N/A,"PURSPP",FALSE,"Business Analysis";#N/A,"CTGIND",FALSE,"Business Analysis";#N/A,"PURCHM",FALSE,"Business Analysis";#N/A,"SPADD",FALSE,"Business Analysis";#N/A,"EPOXY",FALSE,"Business Analysis";#N/A,"PURPER",FALSE,"Business Analysis"}</definedName>
    <definedName name="_div202" localSheetId="7" hidden="1">{#N/A,"PURADD",FALSE,"Business Analysis";#N/A,"PURSPP",FALSE,"Business Analysis";#N/A,"CTGIND",FALSE,"Business Analysis";#N/A,"PURCHM",FALSE,"Business Analysis";#N/A,"SPADD",FALSE,"Business Analysis";#N/A,"EPOXY",FALSE,"Business Analysis";#N/A,"PURPER",FALSE,"Business Analysis"}</definedName>
    <definedName name="_div202" hidden="1">{#N/A,"PURADD",FALSE,"Business Analysis";#N/A,"PURSPP",FALSE,"Business Analysis";#N/A,"CTGIND",FALSE,"Business Analysis";#N/A,"PURCHM",FALSE,"Business Analysis";#N/A,"SPADD",FALSE,"Business Analysis";#N/A,"EPOXY",FALSE,"Business Analysis";#N/A,"PURPER",FALSE,"Business Analysis"}</definedName>
    <definedName name="_div203" localSheetId="3" hidden="1">{#N/A,"PURADD",FALSE,"Business Analysis";#N/A,"PURSPP",FALSE,"Business Analysis";#N/A,"CTGIND",FALSE,"Business Analysis";#N/A,"PURCHM",FALSE,"Business Analysis";#N/A,"SPADD",FALSE,"Business Analysis";#N/A,"EPOXY",FALSE,"Business Analysis";#N/A,"PURPER",FALSE,"Business Analysis"}</definedName>
    <definedName name="_div203" localSheetId="7" hidden="1">{#N/A,"PURADD",FALSE,"Business Analysis";#N/A,"PURSPP",FALSE,"Business Analysis";#N/A,"CTGIND",FALSE,"Business Analysis";#N/A,"PURCHM",FALSE,"Business Analysis";#N/A,"SPADD",FALSE,"Business Analysis";#N/A,"EPOXY",FALSE,"Business Analysis";#N/A,"PURPER",FALSE,"Business Analysis"}</definedName>
    <definedName name="_div203" hidden="1">{#N/A,"PURADD",FALSE,"Business Analysis";#N/A,"PURSPP",FALSE,"Business Analysis";#N/A,"CTGIND",FALSE,"Business Analysis";#N/A,"PURCHM",FALSE,"Business Analysis";#N/A,"SPADD",FALSE,"Business Analysis";#N/A,"EPOXY",FALSE,"Business Analysis";#N/A,"PURPER",FALSE,"Business Analysis"}</definedName>
    <definedName name="_DRE0700" localSheetId="3" hidden="1">{"'PXR_6500'!$A$1:$I$124"}</definedName>
    <definedName name="_DRE0700" localSheetId="7" hidden="1">{"'PXR_6500'!$A$1:$I$124"}</definedName>
    <definedName name="_DRE0700" hidden="1">{"'PXR_6500'!$A$1:$I$124"}</definedName>
    <definedName name="_dwa1" localSheetId="3" hidden="1">{#N/A,"PURCHM",FALSE,"Business Analysis";#N/A,"SPADD",FALSE,"Business Analysis"}</definedName>
    <definedName name="_dwa1" localSheetId="7" hidden="1">{#N/A,"PURCHM",FALSE,"Business Analysis";#N/A,"SPADD",FALSE,"Business Analysis"}</definedName>
    <definedName name="_dwa1" hidden="1">{#N/A,"PURCHM",FALSE,"Business Analysis";#N/A,"SPADD",FALSE,"Business Analysis"}</definedName>
    <definedName name="_eu93" localSheetId="3" hidden="1">{"Comp_of_Price_Effect",#N/A,FALSE,"QTRDPVAR"}</definedName>
    <definedName name="_eu93" localSheetId="7" hidden="1">{"Comp_of_Price_Effect",#N/A,FALSE,"QTRDPVAR"}</definedName>
    <definedName name="_eu93" hidden="1">{"Comp_of_Price_Effect",#N/A,FALSE,"QTRDPVAR"}</definedName>
    <definedName name="_f" localSheetId="3" hidden="1">{#N/A,#N/A,FALSE,"Pedidos Abiertos"}</definedName>
    <definedName name="_f" localSheetId="7" hidden="1">{#N/A,#N/A,FALSE,"Pedidos Abiertos"}</definedName>
    <definedName name="_f" hidden="1">{#N/A,#N/A,FALSE,"Pedidos Abiertos"}</definedName>
    <definedName name="_Fill" localSheetId="3" hidden="1">#REF!</definedName>
    <definedName name="_Fill" hidden="1">#REF!</definedName>
    <definedName name="_xlnm._FilterDatabase" localSheetId="3" hidden="1">Glossary!$B$2:$C$2</definedName>
    <definedName name="_xlnm._FilterDatabase" hidden="1">#REF!</definedName>
    <definedName name="_g7" localSheetId="3" hidden="1">{#N/A,#N/A,FALSE,"model"}</definedName>
    <definedName name="_g7" localSheetId="7" hidden="1">{#N/A,#N/A,FALSE,"model"}</definedName>
    <definedName name="_g7" hidden="1">{#N/A,#N/A,FALSE,"model"}</definedName>
    <definedName name="_go8" localSheetId="3" hidden="1">{#N/A,#N/A,FALSE,"model"}</definedName>
    <definedName name="_go8" localSheetId="7" hidden="1">{#N/A,#N/A,FALSE,"model"}</definedName>
    <definedName name="_go8" hidden="1">{#N/A,#N/A,FALSE,"model"}</definedName>
    <definedName name="_I2" localSheetId="3" hidden="1">{"PVGraph2",#N/A,FALSE,"PV Data"}</definedName>
    <definedName name="_I2" localSheetId="7" hidden="1">{"PVGraph2",#N/A,FALSE,"PV Data"}</definedName>
    <definedName name="_I2" hidden="1">{"PVGraph2",#N/A,FALSE,"PV Data"}</definedName>
    <definedName name="_I22" localSheetId="3" hidden="1">{"PVGraph2",#N/A,FALSE,"PV Data"}</definedName>
    <definedName name="_I22" localSheetId="7" hidden="1">{"PVGraph2",#N/A,FALSE,"PV Data"}</definedName>
    <definedName name="_I22" hidden="1">{"PVGraph2",#N/A,FALSE,"PV Data"}</definedName>
    <definedName name="_I3" localSheetId="3" hidden="1">{"PVGraph2",#N/A,FALSE,"PV Data"}</definedName>
    <definedName name="_I3" localSheetId="7" hidden="1">{"PVGraph2",#N/A,FALSE,"PV Data"}</definedName>
    <definedName name="_I3" hidden="1">{"PVGraph2",#N/A,FALSE,"PV Data"}</definedName>
    <definedName name="_ICM2000" localSheetId="3" hidden="1">{#N/A,#N/A,TRUE,"ICMAN96 (1)"}</definedName>
    <definedName name="_ICM2000" localSheetId="7" hidden="1">{#N/A,#N/A,TRUE,"ICMAN96 (1)"}</definedName>
    <definedName name="_ICM2000" hidden="1">{#N/A,#N/A,TRUE,"ICMAN96 (1)"}</definedName>
    <definedName name="_ICM2001" localSheetId="3" hidden="1">{#N/A,#N/A,TRUE,"ICMAN96 (1)"}</definedName>
    <definedName name="_ICM2001" localSheetId="7" hidden="1">{#N/A,#N/A,TRUE,"ICMAN96 (1)"}</definedName>
    <definedName name="_ICM2001" hidden="1">{#N/A,#N/A,TRUE,"ICMAN96 (1)"}</definedName>
    <definedName name="_ICM2002" localSheetId="3" hidden="1">{#N/A,#N/A,TRUE,"ICMAN96 (1)"}</definedName>
    <definedName name="_ICM2002" localSheetId="7" hidden="1">{#N/A,#N/A,TRUE,"ICMAN96 (1)"}</definedName>
    <definedName name="_ICM2002" hidden="1">{#N/A,#N/A,TRUE,"ICMAN96 (1)"}</definedName>
    <definedName name="_ICM97" localSheetId="3" hidden="1">{#N/A,#N/A,TRUE,"ICMAN96 (1)"}</definedName>
    <definedName name="_ICM97" localSheetId="7" hidden="1">{#N/A,#N/A,TRUE,"ICMAN96 (1)"}</definedName>
    <definedName name="_ICM97" hidden="1">{#N/A,#N/A,TRUE,"ICMAN96 (1)"}</definedName>
    <definedName name="_II2" localSheetId="3" hidden="1">{"PVGraph2",#N/A,FALSE,"PV Data"}</definedName>
    <definedName name="_II2" localSheetId="7" hidden="1">{"PVGraph2",#N/A,FALSE,"PV Data"}</definedName>
    <definedName name="_II2" hidden="1">{"PVGraph2",#N/A,FALSE,"PV Data"}</definedName>
    <definedName name="_Key1" localSheetId="3" hidden="1">#REF!</definedName>
    <definedName name="_Key1" hidden="1">#REF!</definedName>
    <definedName name="_key11" hidden="1">#REF!</definedName>
    <definedName name="_Key2" hidden="1">#REF!</definedName>
    <definedName name="_MatInverse_In" hidden="1">#REF!</definedName>
    <definedName name="_MatInverse_Out" hidden="1">#REF!</definedName>
    <definedName name="_mno9" localSheetId="3" hidden="1">{"detail",#N/A,FALSE,"mfg";"summary",#N/A,FALSE,"mfg"}</definedName>
    <definedName name="_mno9" localSheetId="7" hidden="1">{"detail",#N/A,FALSE,"mfg";"summary",#N/A,FALSE,"mfg"}</definedName>
    <definedName name="_mno9" hidden="1">{"detail",#N/A,FALSE,"mfg";"summary",#N/A,FALSE,"mfg"}</definedName>
    <definedName name="_nam305" localSheetId="3" hidden="1">{"detail",#N/A,FALSE,"mfg";"summary",#N/A,FALSE,"mfg"}</definedName>
    <definedName name="_nam305" localSheetId="7" hidden="1">{"detail",#N/A,FALSE,"mfg";"summary",#N/A,FALSE,"mfg"}</definedName>
    <definedName name="_nam305" hidden="1">{"detail",#N/A,FALSE,"mfg";"summary",#N/A,FALSE,"mfg"}</definedName>
    <definedName name="_new1" localSheetId="3" hidden="1">{#N/A,#N/A,FALSE,"Pharm";#N/A,#N/A,FALSE,"WWCM"}</definedName>
    <definedName name="_new1" localSheetId="7" hidden="1">{#N/A,#N/A,FALSE,"Pharm";#N/A,#N/A,FALSE,"WWCM"}</definedName>
    <definedName name="_new1" hidden="1">{#N/A,#N/A,FALSE,"Pharm";#N/A,#N/A,FALSE,"WWCM"}</definedName>
    <definedName name="_Order1" localSheetId="0" hidden="1">0</definedName>
    <definedName name="_Order1" localSheetId="3" hidden="1">0</definedName>
    <definedName name="_Order1" hidden="1">255</definedName>
    <definedName name="_Order2" hidden="1">255</definedName>
    <definedName name="_oyg8" localSheetId="3" hidden="1">{#N/A,#N/A,FALSE,"RESUMEN";#N/A,#N/A,FALSE,"PARQ_C";#N/A,#N/A,FALSE,"PARQ_P";#N/A,#N/A,FALSE,"MIN_S_C";#N/A,#N/A,FALSE,"MIN_S_P";#N/A,#N/A,FALSE,"MIN_E_M_M";#N/A,#N/A,FALSE,"MIN_E_FIJA";#N/A,#N/A,FALSE,"SUPUESTOS"}</definedName>
    <definedName name="_oyg8" localSheetId="7" hidden="1">{#N/A,#N/A,FALSE,"RESUMEN";#N/A,#N/A,FALSE,"PARQ_C";#N/A,#N/A,FALSE,"PARQ_P";#N/A,#N/A,FALSE,"MIN_S_C";#N/A,#N/A,FALSE,"MIN_S_P";#N/A,#N/A,FALSE,"MIN_E_M_M";#N/A,#N/A,FALSE,"MIN_E_FIJA";#N/A,#N/A,FALSE,"SUPUESTOS"}</definedName>
    <definedName name="_oyg8" hidden="1">{#N/A,#N/A,FALSE,"RESUMEN";#N/A,#N/A,FALSE,"PARQ_C";#N/A,#N/A,FALSE,"PARQ_P";#N/A,#N/A,FALSE,"MIN_S_C";#N/A,#N/A,FALSE,"MIN_S_P";#N/A,#N/A,FALSE,"MIN_E_M_M";#N/A,#N/A,FALSE,"MIN_E_FIJA";#N/A,#N/A,FALSE,"SUPUESTOS"}</definedName>
    <definedName name="_Parse_In" hidden="1">#REF!</definedName>
    <definedName name="_Parse_Out" hidden="1">#REF!</definedName>
    <definedName name="_pp1" localSheetId="3" hidden="1">{#N/A,#N/A,FALSE,"Trends";#N/A,#N/A,FALSE,"As Reported";#N/A,#N/A,FALSE,"(un) Commited"}</definedName>
    <definedName name="_pp1" localSheetId="7" hidden="1">{#N/A,#N/A,FALSE,"Trends";#N/A,#N/A,FALSE,"As Reported";#N/A,#N/A,FALSE,"(un) Commited"}</definedName>
    <definedName name="_pp1" hidden="1">{#N/A,#N/A,FALSE,"Trends";#N/A,#N/A,FALSE,"As Reported";#N/A,#N/A,FALSE,"(un) Commited"}</definedName>
    <definedName name="_puc101" localSheetId="3" hidden="1">{#N/A,"PURCHM",FALSE,"Business Analysis";#N/A,"SPADD",FALSE,"Business Analysis"}</definedName>
    <definedName name="_puc101" localSheetId="7" hidden="1">{#N/A,"PURCHM",FALSE,"Business Analysis";#N/A,"SPADD",FALSE,"Business Analysis"}</definedName>
    <definedName name="_puc101" hidden="1">{#N/A,"PURCHM",FALSE,"Business Analysis";#N/A,"SPADD",FALSE,"Business Analysis"}</definedName>
    <definedName name="_puc102" localSheetId="3" hidden="1">{#N/A,"PURCHM",FALSE,"Business Analysis";#N/A,"SPADD",FALSE,"Business Analysis"}</definedName>
    <definedName name="_puc102" localSheetId="7" hidden="1">{#N/A,"PURCHM",FALSE,"Business Analysis";#N/A,"SPADD",FALSE,"Business Analysis"}</definedName>
    <definedName name="_puc102" hidden="1">{#N/A,"PURCHM",FALSE,"Business Analysis";#N/A,"SPADD",FALSE,"Business Analysis"}</definedName>
    <definedName name="_q234" hidden="1">#REF!</definedName>
    <definedName name="_r" localSheetId="3" hidden="1">{#N/A,#N/A,FALSE,"Pharm";#N/A,#N/A,FALSE,"WWCM"}</definedName>
    <definedName name="_r" localSheetId="7" hidden="1">{#N/A,#N/A,FALSE,"Pharm";#N/A,#N/A,FALSE,"WWCM"}</definedName>
    <definedName name="_r" hidden="1">{#N/A,#N/A,FALSE,"Pharm";#N/A,#N/A,FALSE,"WWCM"}</definedName>
    <definedName name="_rc" localSheetId="3"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c"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egression_Int" hidden="1">1</definedName>
    <definedName name="_Regression_Out" hidden="1">#REF!</definedName>
    <definedName name="_Regression_X" hidden="1">#REF!</definedName>
    <definedName name="_Regression_Y" hidden="1">#REF!</definedName>
    <definedName name="_s1" hidden="1">#REF!</definedName>
    <definedName name="_s2" hidden="1">#REF!</definedName>
    <definedName name="_s3" hidden="1">#REF!</definedName>
    <definedName name="_s34" localSheetId="3" hidden="1">{"QTD_GENERALH2",#N/A,FALSE,"QTD"}</definedName>
    <definedName name="_s34" localSheetId="7" hidden="1">{"QTD_GENERALH2",#N/A,FALSE,"QTD"}</definedName>
    <definedName name="_s34" hidden="1">{"QTD_GENERALH2",#N/A,FALSE,"QTD"}</definedName>
    <definedName name="_s4" hidden="1">#REF!</definedName>
    <definedName name="_s5" hidden="1">#REF!</definedName>
    <definedName name="_s6" hidden="1">#REF!</definedName>
    <definedName name="_sd34" localSheetId="3" hidden="1">{"QTD",#N/A,FALSE,"SUM"}</definedName>
    <definedName name="_sd34" localSheetId="7" hidden="1">{"QTD",#N/A,FALSE,"SUM"}</definedName>
    <definedName name="_sd34" hidden="1">{"QTD",#N/A,FALSE,"SUM"}</definedName>
    <definedName name="_Sort" localSheetId="3" hidden="1">#REF!</definedName>
    <definedName name="_Sort" hidden="1">#REF!</definedName>
    <definedName name="_sort2" hidden="1">#REF!</definedName>
    <definedName name="_ss1" localSheetId="3" hidden="1">{"detail",#N/A,FALSE,"mfg";"summary",#N/A,FALSE,"mfg"}</definedName>
    <definedName name="_ss1" localSheetId="7" hidden="1">{"detail",#N/A,FALSE,"mfg";"summary",#N/A,FALSE,"mfg"}</definedName>
    <definedName name="_ss1" hidden="1">{"detail",#N/A,FALSE,"mfg";"summary",#N/A,FALSE,"mfg"}</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tm1" localSheetId="3" hidden="1">{#N/A,#N/A,FALSE,"Pharm";#N/A,#N/A,FALSE,"WWCM"}</definedName>
    <definedName name="_tm1" localSheetId="7" hidden="1">{#N/A,#N/A,FALSE,"Pharm";#N/A,#N/A,FALSE,"WWCM"}</definedName>
    <definedName name="_tm1" hidden="1">{#N/A,#N/A,FALSE,"Pharm";#N/A,#N/A,FALSE,"WWCM"}</definedName>
    <definedName name="_w1" localSheetId="3" hidden="1">{"PVGraph2",#N/A,FALSE,"PV Data"}</definedName>
    <definedName name="_w1" localSheetId="7" hidden="1">{"PVGraph2",#N/A,FALSE,"PV Data"}</definedName>
    <definedName name="_w1" hidden="1">{"PVGraph2",#N/A,FALSE,"PV Data"}</definedName>
    <definedName name="_w2" localSheetId="3" hidden="1">{"PVGraph2",#N/A,FALSE,"PV Data"}</definedName>
    <definedName name="_w2" localSheetId="7" hidden="1">{"PVGraph2",#N/A,FALSE,"PV Data"}</definedName>
    <definedName name="_w2" hidden="1">{"PVGraph2",#N/A,FALSE,"PV Data"}</definedName>
    <definedName name="_w3" localSheetId="3" hidden="1">{"PVGraph2",#N/A,FALSE,"PV Data"}</definedName>
    <definedName name="_w3" localSheetId="7" hidden="1">{"PVGraph2",#N/A,FALSE,"PV Data"}</definedName>
    <definedName name="_w3" hidden="1">{"PVGraph2",#N/A,FALSE,"PV Data"}</definedName>
    <definedName name="_w9" localSheetId="3" hidden="1">{"PVGraph2",#N/A,FALSE,"PV Data"}</definedName>
    <definedName name="_w9" localSheetId="7" hidden="1">{"PVGraph2",#N/A,FALSE,"PV Data"}</definedName>
    <definedName name="_w9" hidden="1">{"PVGraph2",#N/A,FALSE,"PV Data"}</definedName>
    <definedName name="_wrn071" localSheetId="3" hidden="1">{#N/A,"PURCHM",FALSE,"Business Analysis";#N/A,"SPADD",FALSE,"Business Analysis"}</definedName>
    <definedName name="_wrn071" localSheetId="7" hidden="1">{#N/A,"PURCHM",FALSE,"Business Analysis";#N/A,"SPADD",FALSE,"Business Analysis"}</definedName>
    <definedName name="_wrn071" hidden="1">{#N/A,"PURCHM",FALSE,"Business Analysis";#N/A,"SPADD",FALSE,"Business Analysis"}</definedName>
    <definedName name="_wrn213" localSheetId="3" hidden="1">{"detail",#N/A,FALSE,"mfg";"summary",#N/A,FALSE,"mfg"}</definedName>
    <definedName name="_wrn213" localSheetId="7" hidden="1">{"detail",#N/A,FALSE,"mfg";"summary",#N/A,FALSE,"mfg"}</definedName>
    <definedName name="_wrn213" hidden="1">{"detail",#N/A,FALSE,"mfg";"summary",#N/A,FALSE,"mfg"}</definedName>
    <definedName name="_WRN41" localSheetId="3" hidden="1">{"detail",#N/A,FALSE,"mfg";"summary",#N/A,FALSE,"mfg"}</definedName>
    <definedName name="_WRN41" localSheetId="7" hidden="1">{"detail",#N/A,FALSE,"mfg";"summary",#N/A,FALSE,"mfg"}</definedName>
    <definedName name="_WRN41" hidden="1">{"detail",#N/A,FALSE,"mfg";"summary",#N/A,FALSE,"mfg"}</definedName>
    <definedName name="_wrn413" localSheetId="3" hidden="1">{"detail",#N/A,FALSE,"mfg";"summary",#N/A,FALSE,"mfg"}</definedName>
    <definedName name="_wrn413" localSheetId="7" hidden="1">{"detail",#N/A,FALSE,"mfg";"summary",#N/A,FALSE,"mfg"}</definedName>
    <definedName name="_wrn413" hidden="1">{"detail",#N/A,FALSE,"mfg";"summary",#N/A,FALSE,"mfg"}</definedName>
    <definedName name="_wrn51" localSheetId="3" hidden="1">{#N/A,"PURCHM",FALSE,"Business Analysis";#N/A,"SPADD",FALSE,"Business Analysis"}</definedName>
    <definedName name="_wrn51" localSheetId="7" hidden="1">{#N/A,"PURCHM",FALSE,"Business Analysis";#N/A,"SPADD",FALSE,"Business Analysis"}</definedName>
    <definedName name="_wrn51" hidden="1">{#N/A,"PURCHM",FALSE,"Business Analysis";#N/A,"SPADD",FALSE,"Business Analysis"}</definedName>
    <definedName name="_wrn61" localSheetId="3" hidden="1">{"detail",#N/A,FALSE,"mfg";"summary",#N/A,FALSE,"mfg"}</definedName>
    <definedName name="_wrn61" localSheetId="7" hidden="1">{"detail",#N/A,FALSE,"mfg";"summary",#N/A,FALSE,"mfg"}</definedName>
    <definedName name="_wrn61" hidden="1">{"detail",#N/A,FALSE,"mfg";"summary",#N/A,FALSE,"mfg"}</definedName>
    <definedName name="_wrn651" localSheetId="3" hidden="1">{"detail",#N/A,FALSE,"mfg";"summary",#N/A,FALSE,"mfg"}</definedName>
    <definedName name="_wrn651" localSheetId="7" hidden="1">{"detail",#N/A,FALSE,"mfg";"summary",#N/A,FALSE,"mfg"}</definedName>
    <definedName name="_wrn651" hidden="1">{"detail",#N/A,FALSE,"mfg";"summary",#N/A,FALSE,"mfg"}</definedName>
    <definedName name="_WVU41" localSheetId="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1"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localSheetId="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x1" localSheetId="3" hidden="1">{"detail",#N/A,FALSE,"mfg";"summary",#N/A,FALSE,"mfg"}</definedName>
    <definedName name="_x1" localSheetId="7" hidden="1">{"detail",#N/A,FALSE,"mfg";"summary",#N/A,FALSE,"mfg"}</definedName>
    <definedName name="_x1" hidden="1">{"detail",#N/A,FALSE,"mfg";"summary",#N/A,FALSE,"mfg"}</definedName>
    <definedName name="_X2" localSheetId="3" hidden="1">{#N/A,#N/A,FALSE,"Other";#N/A,#N/A,FALSE,"Ace";#N/A,#N/A,FALSE,"Derm"}</definedName>
    <definedName name="_X2" localSheetId="7" hidden="1">{#N/A,#N/A,FALSE,"Other";#N/A,#N/A,FALSE,"Ace";#N/A,#N/A,FALSE,"Derm"}</definedName>
    <definedName name="_X2" hidden="1">{#N/A,#N/A,FALSE,"Other";#N/A,#N/A,FALSE,"Ace";#N/A,#N/A,FALSE,"Derm"}</definedName>
    <definedName name="_x3" localSheetId="3" hidden="1">{"detail",#N/A,FALSE,"mfg";"summary",#N/A,FALSE,"mfg"}</definedName>
    <definedName name="_x3" localSheetId="7" hidden="1">{"detail",#N/A,FALSE,"mfg";"summary",#N/A,FALSE,"mfg"}</definedName>
    <definedName name="_x3" hidden="1">{"detail",#N/A,FALSE,"mfg";"summary",#N/A,FALSE,"mfg"}</definedName>
    <definedName name="_x4" localSheetId="3" hidden="1">{#N/A,"PURCHM",FALSE,"Business Analysis";#N/A,"SPADD",FALSE,"Business Analysis"}</definedName>
    <definedName name="_x4" localSheetId="7" hidden="1">{#N/A,"PURCHM",FALSE,"Business Analysis";#N/A,"SPADD",FALSE,"Business Analysis"}</definedName>
    <definedName name="_x4" hidden="1">{#N/A,"PURCHM",FALSE,"Business Analysis";#N/A,"SPADD",FALSE,"Business Analysis"}</definedName>
    <definedName name="_x5" localSheetId="3" hidden="1">{#N/A,"PURADD",FALSE,"Business Analysis";#N/A,"PURSPP",FALSE,"Business Analysis";#N/A,"CTGIND",FALSE,"Business Analysis";#N/A,"PURCHM",FALSE,"Business Analysis";#N/A,"SPADD",FALSE,"Business Analysis";#N/A,"EPOXY",FALSE,"Business Analysis";#N/A,"PURPER",FALSE,"Business Analysis"}</definedName>
    <definedName name="_x5" localSheetId="7" hidden="1">{#N/A,"PURADD",FALSE,"Business Analysis";#N/A,"PURSPP",FALSE,"Business Analysis";#N/A,"CTGIND",FALSE,"Business Analysis";#N/A,"PURCHM",FALSE,"Business Analysis";#N/A,"SPADD",FALSE,"Business Analysis";#N/A,"EPOXY",FALSE,"Business Analysis";#N/A,"PURPER",FALSE,"Business Analysis"}</definedName>
    <definedName name="_x5" hidden="1">{#N/A,"PURADD",FALSE,"Business Analysis";#N/A,"PURSPP",FALSE,"Business Analysis";#N/A,"CTGIND",FALSE,"Business Analysis";#N/A,"PURCHM",FALSE,"Business Analysis";#N/A,"SPADD",FALSE,"Business Analysis";#N/A,"EPOXY",FALSE,"Business Analysis";#N/A,"PURPER",FALSE,"Business Analysis"}</definedName>
    <definedName name="_xlchart.v1.0" hidden="1">Planilha2!$L$36:$L$40</definedName>
    <definedName name="_xlchart.v1.1" hidden="1">Planilha2!$M$36:$M$40</definedName>
    <definedName name="_xx10" localSheetId="3" hidden="1">{#N/A,"PURCHM",FALSE,"Business Analysis";#N/A,"SPADD",FALSE,"Business Analysis"}</definedName>
    <definedName name="_xx10" localSheetId="7" hidden="1">{#N/A,"PURCHM",FALSE,"Business Analysis";#N/A,"SPADD",FALSE,"Business Analysis"}</definedName>
    <definedName name="_xx10" hidden="1">{#N/A,"PURCHM",FALSE,"Business Analysis";#N/A,"SPADD",FALSE,"Business Analysis"}</definedName>
    <definedName name="_xx3" localSheetId="3" hidden="1">{"detail",#N/A,FALSE,"mfg";"summary",#N/A,FALSE,"mfg"}</definedName>
    <definedName name="_xx3" localSheetId="7" hidden="1">{"detail",#N/A,FALSE,"mfg";"summary",#N/A,FALSE,"mfg"}</definedName>
    <definedName name="_xx3" hidden="1">{"detail",#N/A,FALSE,"mfg";"summary",#N/A,FALSE,"mfg"}</definedName>
    <definedName name="_xx4" localSheetId="3"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4"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5" localSheetId="3"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5" localSheetId="7"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6" localSheetId="3"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6" localSheetId="7"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7" localSheetId="3" hidden="1">{"oct_res_comm",#N/A,FALSE,"VarToBud"}</definedName>
    <definedName name="_xx7" localSheetId="7" hidden="1">{"oct_res_comm",#N/A,FALSE,"VarToBud"}</definedName>
    <definedName name="_xx7" hidden="1">{"oct_res_comm",#N/A,FALSE,"VarToBud"}</definedName>
    <definedName name="_xx8" localSheetId="3" hidden="1">{"QTR_ACT",#N/A,FALSE,"PROP_PBIT_DEV_Q3";"QTR_BUD",#N/A,FALSE,"PROP_PBIT_DEV_Q3";"YTD_BUD",#N/A,FALSE,"PROP_PBIT_DEV_Q3";"YTD_ACT",#N/A,FALSE,"PROP_PBIT_DEV_Q3";"FY95 SNAP3",#N/A,FALSE,"PROP_PBIT_DEV_Q3";"FY95_BUD",#N/A,FALSE,"PROP_PBIT_DEV_Q3";"FY96_BUD",#N/A,FALSE,"PROP_PBIT_DEV_Q3"}</definedName>
    <definedName name="_xx8" localSheetId="7" hidden="1">{"QTR_ACT",#N/A,FALSE,"PROP_PBIT_DEV_Q3";"QTR_BUD",#N/A,FALSE,"PROP_PBIT_DEV_Q3";"YTD_BUD",#N/A,FALSE,"PROP_PBIT_DEV_Q3";"YTD_ACT",#N/A,FALSE,"PROP_PBIT_DEV_Q3";"FY95 SNAP3",#N/A,FALSE,"PROP_PBIT_DEV_Q3";"FY95_BUD",#N/A,FALSE,"PROP_PBIT_DEV_Q3";"FY96_BUD",#N/A,FALSE,"PROP_PBIT_DEV_Q3"}</definedName>
    <definedName name="_xx8" hidden="1">{"QTR_ACT",#N/A,FALSE,"PROP_PBIT_DEV_Q3";"QTR_BUD",#N/A,FALSE,"PROP_PBIT_DEV_Q3";"YTD_BUD",#N/A,FALSE,"PROP_PBIT_DEV_Q3";"YTD_ACT",#N/A,FALSE,"PROP_PBIT_DEV_Q3";"FY95 SNAP3",#N/A,FALSE,"PROP_PBIT_DEV_Q3";"FY95_BUD",#N/A,FALSE,"PROP_PBIT_DEV_Q3";"FY96_BUD",#N/A,FALSE,"PROP_PBIT_DEV_Q3"}</definedName>
    <definedName name="_xx9" localSheetId="3" hidden="1">{"AS REP",#N/A,FALSE,"EEFSNAP2";"PROP",#N/A,FALSE,"EEFSNAP2";"RISKS",#N/A,FALSE,"EEFSNAP2";"VIEW ALL",#N/A,FALSE,"EEFSNAP2"}</definedName>
    <definedName name="_xx9" localSheetId="7" hidden="1">{"AS REP",#N/A,FALSE,"EEFSNAP2";"PROP",#N/A,FALSE,"EEFSNAP2";"RISKS",#N/A,FALSE,"EEFSNAP2";"VIEW ALL",#N/A,FALSE,"EEFSNAP2"}</definedName>
    <definedName name="_xx9" hidden="1">{"AS REP",#N/A,FALSE,"EEFSNAP2";"PROP",#N/A,FALSE,"EEFSNAP2";"RISKS",#N/A,FALSE,"EEFSNAP2";"VIEW ALL",#N/A,FALSE,"EEFSNAP2"}</definedName>
    <definedName name="_y2" localSheetId="3" hidden="1">{"PVGraph2",#N/A,FALSE,"PV Data"}</definedName>
    <definedName name="_y2" localSheetId="7" hidden="1">{"PVGraph2",#N/A,FALSE,"PV Data"}</definedName>
    <definedName name="_y2" hidden="1">{"PVGraph2",#N/A,FALSE,"PV Data"}</definedName>
    <definedName name="_ytred" hidden="1">#REF!</definedName>
    <definedName name="_z12" localSheetId="3" hidden="1">{"pro_view",#N/A,FALSE,"EEFSNAP2";"rep_view",#N/A,FALSE,"EEFSNAP2"}</definedName>
    <definedName name="_z12" localSheetId="7" hidden="1">{"pro_view",#N/A,FALSE,"EEFSNAP2";"rep_view",#N/A,FALSE,"EEFSNAP2"}</definedName>
    <definedName name="_z12" hidden="1">{"pro_view",#N/A,FALSE,"EEFSNAP2";"rep_view",#N/A,FALSE,"EEFSNAP2"}</definedName>
    <definedName name="_z22" localSheetId="3" hidden="1">{#N/A,"PURADD",FALSE,"Business Analysis";#N/A,"PURSPP",FALSE,"Business Analysis";#N/A,"CTGIND",FALSE,"Business Analysis";#N/A,"PURCHM",FALSE,"Business Analysis";#N/A,"SPADD",FALSE,"Business Analysis";#N/A,"EPOXY",FALSE,"Business Analysis";#N/A,"PURPER",FALSE,"Business Analysis"}</definedName>
    <definedName name="_z22" localSheetId="7" hidden="1">{#N/A,"PURADD",FALSE,"Business Analysis";#N/A,"PURSPP",FALSE,"Business Analysis";#N/A,"CTGIND",FALSE,"Business Analysis";#N/A,"PURCHM",FALSE,"Business Analysis";#N/A,"SPADD",FALSE,"Business Analysis";#N/A,"EPOXY",FALSE,"Business Analysis";#N/A,"PURPER",FALSE,"Business Analysis"}</definedName>
    <definedName name="_z22" hidden="1">{#N/A,"PURADD",FALSE,"Business Analysis";#N/A,"PURSPP",FALSE,"Business Analysis";#N/A,"CTGIND",FALSE,"Business Analysis";#N/A,"PURCHM",FALSE,"Business Analysis";#N/A,"SPADD",FALSE,"Business Analysis";#N/A,"EPOXY",FALSE,"Business Analysis";#N/A,"PURPER",FALSE,"Business Analysis"}</definedName>
    <definedName name="_z25" localSheetId="3" hidden="1">{"detail",#N/A,FALSE,"mfg";"summary",#N/A,FALSE,"mfg"}</definedName>
    <definedName name="_z25" localSheetId="7" hidden="1">{"detail",#N/A,FALSE,"mfg";"summary",#N/A,FALSE,"mfg"}</definedName>
    <definedName name="_z25" hidden="1">{"detail",#N/A,FALSE,"mfg";"summary",#N/A,FALSE,"mfg"}</definedName>
    <definedName name="_zz1" localSheetId="3" hidden="1">{"pro_view",#N/A,FALSE,"EEFSNAP2";"rep_view",#N/A,FALSE,"EEFSNAP2"}</definedName>
    <definedName name="_zz1" localSheetId="7" hidden="1">{"pro_view",#N/A,FALSE,"EEFSNAP2";"rep_view",#N/A,FALSE,"EEFSNAP2"}</definedName>
    <definedName name="_zz1" hidden="1">{"pro_view",#N/A,FALSE,"EEFSNAP2";"rep_view",#N/A,FALSE,"EEFSNAP2"}</definedName>
    <definedName name="_zz2" localSheetId="3" hidden="1">{#N/A,"PURADD",FALSE,"Business Analysis";#N/A,"PURSPP",FALSE,"Business Analysis";#N/A,"CTGIND",FALSE,"Business Analysis";#N/A,"PURCHM",FALSE,"Business Analysis";#N/A,"SPADD",FALSE,"Business Analysis";#N/A,"EPOXY",FALSE,"Business Analysis";#N/A,"PURPER",FALSE,"Business Analysis"}</definedName>
    <definedName name="_zz2" localSheetId="7" hidden="1">{#N/A,"PURADD",FALSE,"Business Analysis";#N/A,"PURSPP",FALSE,"Business Analysis";#N/A,"CTGIND",FALSE,"Business Analysis";#N/A,"PURCHM",FALSE,"Business Analysis";#N/A,"SPADD",FALSE,"Business Analysis";#N/A,"EPOXY",FALSE,"Business Analysis";#N/A,"PURPER",FALSE,"Business Analysis"}</definedName>
    <definedName name="_zz2" hidden="1">{#N/A,"PURADD",FALSE,"Business Analysis";#N/A,"PURSPP",FALSE,"Business Analysis";#N/A,"CTGIND",FALSE,"Business Analysis";#N/A,"PURCHM",FALSE,"Business Analysis";#N/A,"SPADD",FALSE,"Business Analysis";#N/A,"EPOXY",FALSE,"Business Analysis";#N/A,"PURPER",FALSE,"Business Analysis"}</definedName>
    <definedName name="a" localSheetId="0" hidden="1">#REF!</definedName>
    <definedName name="a" localSheetId="3" hidden="1">#REF!</definedName>
    <definedName name="a" localSheetId="7" hidden="1">{"cap_structure",#N/A,FALSE,"Graph-Mkt Cap";"price",#N/A,FALSE,"Graph-Price";"ebit",#N/A,FALSE,"Graph-EBITDA";"ebitda",#N/A,FALSE,"Graph-EBITDA"}</definedName>
    <definedName name="a" hidden="1">{"cap_structure",#N/A,FALSE,"Graph-Mkt Cap";"price",#N/A,FALSE,"Graph-Price";"ebit",#N/A,FALSE,"Graph-EBITDA";"ebitda",#N/A,FALSE,"Graph-EBITDA"}</definedName>
    <definedName name="A_b" localSheetId="3"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A_b" localSheetId="7"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A_b"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a1a" localSheetId="3" hidden="1">{#N/A,"PURCHM",FALSE,"Business Analysis";#N/A,"SPADD",FALSE,"Business Analysis"}</definedName>
    <definedName name="a1a" localSheetId="7" hidden="1">{#N/A,"PURCHM",FALSE,"Business Analysis";#N/A,"SPADD",FALSE,"Business Analysis"}</definedName>
    <definedName name="a1a" hidden="1">{#N/A,"PURCHM",FALSE,"Business Analysis";#N/A,"SPADD",FALSE,"Business Analysis"}</definedName>
    <definedName name="a1b" localSheetId="3" hidden="1">{#N/A,"PURADD",FALSE,"Business Analysis";#N/A,"PURSPP",FALSE,"Business Analysis";#N/A,"CTGIND",FALSE,"Business Analysis";#N/A,"PURCHM",FALSE,"Business Analysis";#N/A,"SPADD",FALSE,"Business Analysis";#N/A,"EPOXY",FALSE,"Business Analysis";#N/A,"PURPER",FALSE,"Business Analysis"}</definedName>
    <definedName name="a1b" localSheetId="7" hidden="1">{#N/A,"PURADD",FALSE,"Business Analysis";#N/A,"PURSPP",FALSE,"Business Analysis";#N/A,"CTGIND",FALSE,"Business Analysis";#N/A,"PURCHM",FALSE,"Business Analysis";#N/A,"SPADD",FALSE,"Business Analysis";#N/A,"EPOXY",FALSE,"Business Analysis";#N/A,"PURPER",FALSE,"Business Analysis"}</definedName>
    <definedName name="a1b" hidden="1">{#N/A,"PURADD",FALSE,"Business Analysis";#N/A,"PURSPP",FALSE,"Business Analysis";#N/A,"CTGIND",FALSE,"Business Analysis";#N/A,"PURCHM",FALSE,"Business Analysis";#N/A,"SPADD",FALSE,"Business Analysis";#N/A,"EPOXY",FALSE,"Business Analysis";#N/A,"PURPER",FALSE,"Business Analysis"}</definedName>
    <definedName name="a2a" localSheetId="3" hidden="1">{"detail",#N/A,FALSE,"mfg";"summary",#N/A,FALSE,"mfg"}</definedName>
    <definedName name="a2a" localSheetId="7" hidden="1">{"detail",#N/A,FALSE,"mfg";"summary",#N/A,FALSE,"mfg"}</definedName>
    <definedName name="a2a" hidden="1">{"detail",#N/A,FALSE,"mfg";"summary",#N/A,FALSE,"mfg"}</definedName>
    <definedName name="aa" localSheetId="3" hidden="1">{#N/A,"PURADD",FALSE,"Business Analysis";#N/A,"PURSPP",FALSE,"Business Analysis";#N/A,"CTGIND",FALSE,"Business Analysis";#N/A,"PURCHM",FALSE,"Business Analysis";#N/A,"SPADD",FALSE,"Business Analysis";#N/A,"EPOXY",FALSE,"Business Analysis";#N/A,"PURPER",FALSE,"Business Analysis"}</definedName>
    <definedName name="aa" localSheetId="7" hidden="1">{#N/A,"PURADD",FALSE,"Business Analysis";#N/A,"PURSPP",FALSE,"Business Analysis";#N/A,"CTGIND",FALSE,"Business Analysis";#N/A,"PURCHM",FALSE,"Business Analysis";#N/A,"SPADD",FALSE,"Business Analysis";#N/A,"EPOXY",FALSE,"Business Analysis";#N/A,"PURPER",FALSE,"Business Analysis"}</definedName>
    <definedName name="aa" hidden="1">{#N/A,"PURADD",FALSE,"Business Analysis";#N/A,"PURSPP",FALSE,"Business Analysis";#N/A,"CTGIND",FALSE,"Business Analysis";#N/A,"PURCHM",FALSE,"Business Analysis";#N/A,"SPADD",FALSE,"Business Analysis";#N/A,"EPOXY",FALSE,"Business Analysis";#N/A,"PURPER",FALSE,"Business Analysis"}</definedName>
    <definedName name="aaa" localSheetId="3" hidden="1">{"FS`s",#N/A,TRUE,"FS's";"Icome St",#N/A,TRUE,"Income St.";"Balance Sh",#N/A,TRUE,"Balance Sh.";"Gross Margin",#N/A,TRUE,"Gross Margin"}</definedName>
    <definedName name="aaa" localSheetId="7" hidden="1">{"FS`s",#N/A,TRUE,"FS's";"Icome St",#N/A,TRUE,"Income St.";"Balance Sh",#N/A,TRUE,"Balance Sh.";"Gross Margin",#N/A,TRUE,"Gross Margin"}</definedName>
    <definedName name="aaa" hidden="1">{"FS`s",#N/A,TRUE,"FS's";"Icome St",#N/A,TRUE,"Income St.";"Balance Sh",#N/A,TRUE,"Balance Sh.";"Gross Margin",#N/A,TRUE,"Gross Margin"}</definedName>
    <definedName name="äää" localSheetId="3" hidden="1">{#N/A,#N/A,FALSE,"Umsatz 99";#N/A,#N/A,FALSE,"ER 99 "}</definedName>
    <definedName name="äää" localSheetId="7" hidden="1">{#N/A,#N/A,FALSE,"Umsatz 99";#N/A,#N/A,FALSE,"ER 99 "}</definedName>
    <definedName name="äää" hidden="1">{#N/A,#N/A,FALSE,"Umsatz 99";#N/A,#N/A,FALSE,"ER 99 "}</definedName>
    <definedName name="AAA_DOCTOPS" hidden="1">"AAA_SET"</definedName>
    <definedName name="AAA_duser" hidden="1">"OFF"</definedName>
    <definedName name="aaaa" localSheetId="3" hidden="1">{"FCB_ALL",#N/A,FALSE,"FCB";"GREY_ALL",#N/A,FALSE,"GREY"}</definedName>
    <definedName name="aaaa" localSheetId="7" hidden="1">{"FCB_ALL",#N/A,FALSE,"FCB";"GREY_ALL",#N/A,FALSE,"GREY"}</definedName>
    <definedName name="aaaa" hidden="1">{"FCB_ALL",#N/A,FALSE,"FCB";"GREY_ALL",#N/A,FALSE,"GREY"}</definedName>
    <definedName name="aaaaa" localSheetId="3" hidden="1">{#N/A,#N/A,FALSE,"REPORT"}</definedName>
    <definedName name="aaaaa" localSheetId="7" hidden="1">{#N/A,#N/A,FALSE,"REPORT"}</definedName>
    <definedName name="aaaaa" hidden="1">{#N/A,#N/A,FALSE,"REPORT"}</definedName>
    <definedName name="AAAAAA" localSheetId="3" hidden="1">{"'Hoja1'!$A$1:$L$57"}</definedName>
    <definedName name="AAAAAA" localSheetId="7" hidden="1">{"'Hoja1'!$A$1:$L$57"}</definedName>
    <definedName name="AAAAAA" hidden="1">{"'Hoja1'!$A$1:$L$57"}</definedName>
    <definedName name="aaaaaaa" localSheetId="3" hidden="1">{#N/A,#N/A,FALSE,"REPORT"}</definedName>
    <definedName name="aaaaaaa" localSheetId="7" hidden="1">{#N/A,#N/A,FALSE,"REPORT"}</definedName>
    <definedName name="aaaaaaa" hidden="1">{#N/A,#N/A,FALSE,"REPORT"}</definedName>
    <definedName name="aaaaaaaaa" localSheetId="3" hidden="1">{#N/A,"PURCHM",FALSE,"Business Analysis";#N/A,"SPADD",FALSE,"Business Analysis"}</definedName>
    <definedName name="aaaaaaaaa" localSheetId="7" hidden="1">{#N/A,"PURCHM",FALSE,"Business Analysis";#N/A,"SPADD",FALSE,"Business Analysis"}</definedName>
    <definedName name="aaaaaaaaa" hidden="1">{#N/A,"PURCHM",FALSE,"Business Analysis";#N/A,"SPADD",FALSE,"Business Analysis"}</definedName>
    <definedName name="aaaaaaaaaaa" localSheetId="3" hidden="1">{#N/A,#N/A,FALSE,"REPORT"}</definedName>
    <definedName name="aaaaaaaaaaa" localSheetId="7" hidden="1">{#N/A,#N/A,FALSE,"REPORT"}</definedName>
    <definedName name="aaaaaaaaaaa" hidden="1">{#N/A,#N/A,FALSE,"REPORT"}</definedName>
    <definedName name="aaaaaaaaaaaa" localSheetId="3" hidden="1">{#N/A,#N/A,FALSE,"Pag.01"}</definedName>
    <definedName name="aaaaaaaaaaaa" localSheetId="7" hidden="1">{#N/A,#N/A,FALSE,"Pag.01"}</definedName>
    <definedName name="aaaaaaaaaaaa" hidden="1">{#N/A,#N/A,FALSE,"Pag.01"}</definedName>
    <definedName name="aaaaaaaaaaaaaaa" localSheetId="3" hidden="1">{#N/A,#N/A,FALSE,"Pharm";#N/A,#N/A,FALSE,"WWCM"}</definedName>
    <definedName name="aaaaaaaaaaaaaaa" localSheetId="7" hidden="1">{#N/A,#N/A,FALSE,"Pharm";#N/A,#N/A,FALSE,"WWCM"}</definedName>
    <definedName name="aaaaaaaaaaaaaaa" hidden="1">{#N/A,#N/A,FALSE,"Pharm";#N/A,#N/A,FALSE,"WWCM"}</definedName>
    <definedName name="aaaaaaaaaaaaaaaaa" localSheetId="3" hidden="1">{#N/A,"PURCHM",FALSE,"Business Analysis";#N/A,"SPADD",FALSE,"Business Analysis"}</definedName>
    <definedName name="aaaaaaaaaaaaaaaaa" localSheetId="7" hidden="1">{#N/A,"PURCHM",FALSE,"Business Analysis";#N/A,"SPADD",FALSE,"Business Analysis"}</definedName>
    <definedName name="aaaaaaaaaaaaaaaaa" hidden="1">{#N/A,"PURCHM",FALSE,"Business Analysis";#N/A,"SPADD",FALSE,"Business Analysis"}</definedName>
    <definedName name="aaaaaaaaaaaaaaaaaaaaaaaaaa" localSheetId="3" hidden="1">{"detail",#N/A,FALSE,"mfg";"summary",#N/A,FALSE,"mfg"}</definedName>
    <definedName name="aaaaaaaaaaaaaaaaaaaaaaaaaa" localSheetId="7" hidden="1">{"detail",#N/A,FALSE,"mfg";"summary",#N/A,FALSE,"mfg"}</definedName>
    <definedName name="aaaaaaaaaaaaaaaaaaaaaaaaaa" hidden="1">{"detail",#N/A,FALSE,"mfg";"summary",#N/A,FALSE,"mfg"}</definedName>
    <definedName name="äääööö" localSheetId="3" hidden="1">{#N/A,#N/A,FALSE,"Umsatz EO BP";#N/A,#N/A,FALSE,"Umsatz EO OP";#N/A,#N/A,FALSE,"ER EO BP";#N/A,#N/A,FALSE,"ER EO OP";#N/A,#N/A,FALSE,"EA EO (2)";#N/A,#N/A,FALSE,"EA EO";#N/A,#N/A,FALSE,"EA EO (3)";#N/A,#N/A,FALSE,"EA EO (4)";#N/A,#N/A,FALSE,"KA EO  (2)";#N/A,#N/A,FALSE,"KA EO";#N/A,#N/A,FALSE,"KA EO  (3)";#N/A,#N/A,FALSE,"KA EO (4)"}</definedName>
    <definedName name="äääööö" localSheetId="7" hidden="1">{#N/A,#N/A,FALSE,"Umsatz EO BP";#N/A,#N/A,FALSE,"Umsatz EO OP";#N/A,#N/A,FALSE,"ER EO BP";#N/A,#N/A,FALSE,"ER EO OP";#N/A,#N/A,FALSE,"EA EO (2)";#N/A,#N/A,FALSE,"EA EO";#N/A,#N/A,FALSE,"EA EO (3)";#N/A,#N/A,FALSE,"EA EO (4)";#N/A,#N/A,FALSE,"KA EO  (2)";#N/A,#N/A,FALSE,"KA EO";#N/A,#N/A,FALSE,"KA EO  (3)";#N/A,#N/A,FALSE,"KA EO (4)"}</definedName>
    <definedName name="äääööö" hidden="1">{#N/A,#N/A,FALSE,"Umsatz EO BP";#N/A,#N/A,FALSE,"Umsatz EO OP";#N/A,#N/A,FALSE,"ER EO BP";#N/A,#N/A,FALSE,"ER EO OP";#N/A,#N/A,FALSE,"EA EO (2)";#N/A,#N/A,FALSE,"EA EO";#N/A,#N/A,FALSE,"EA EO (3)";#N/A,#N/A,FALSE,"EA EO (4)";#N/A,#N/A,FALSE,"KA EO  (2)";#N/A,#N/A,FALSE,"KA EO";#N/A,#N/A,FALSE,"KA EO  (3)";#N/A,#N/A,FALSE,"KA EO (4)"}</definedName>
    <definedName name="aaasb" localSheetId="3" hidden="1">{#N/A,#N/A,FALSE,"Pharm";#N/A,#N/A,FALSE,"WWCM"}</definedName>
    <definedName name="aaasb" localSheetId="7" hidden="1">{#N/A,#N/A,FALSE,"Pharm";#N/A,#N/A,FALSE,"WWCM"}</definedName>
    <definedName name="aaasb" hidden="1">{#N/A,#N/A,FALSE,"Pharm";#N/A,#N/A,FALSE,"WWCM"}</definedName>
    <definedName name="aab" localSheetId="3" hidden="1">{#N/A,#N/A,FALSE,"Pharm";#N/A,#N/A,FALSE,"WWCM"}</definedName>
    <definedName name="aab" localSheetId="7" hidden="1">{#N/A,#N/A,FALSE,"Pharm";#N/A,#N/A,FALSE,"WWCM"}</definedName>
    <definedName name="aab"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ddd" localSheetId="3" hidden="1">{#N/A,#N/A,FALSE,"REPORT"}</definedName>
    <definedName name="aaddd" localSheetId="7" hidden="1">{#N/A,#N/A,FALSE,"REPORT"}</definedName>
    <definedName name="aaddd" hidden="1">{#N/A,#N/A,FALSE,"REPORT"}</definedName>
    <definedName name="aas" localSheetId="3" hidden="1">{#N/A,#N/A,FALSE,"1";#N/A,#N/A,FALSE,"2";#N/A,#N/A,FALSE,"16 - 17";#N/A,#N/A,FALSE,"18 - 19";#N/A,#N/A,FALSE,"26";#N/A,#N/A,FALSE,"27";#N/A,#N/A,FALSE,"28"}</definedName>
    <definedName name="aas" localSheetId="7" hidden="1">{#N/A,#N/A,FALSE,"1";#N/A,#N/A,FALSE,"2";#N/A,#N/A,FALSE,"16 - 17";#N/A,#N/A,FALSE,"18 - 19";#N/A,#N/A,FALSE,"26";#N/A,#N/A,FALSE,"27";#N/A,#N/A,FALSE,"28"}</definedName>
    <definedName name="aas" hidden="1">{#N/A,#N/A,FALSE,"1";#N/A,#N/A,FALSE,"2";#N/A,#N/A,FALSE,"16 - 17";#N/A,#N/A,FALSE,"18 - 19";#N/A,#N/A,FALSE,"26";#N/A,#N/A,FALSE,"27";#N/A,#N/A,FALSE,"28"}</definedName>
    <definedName name="aass" localSheetId="3" hidden="1">{"detail",#N/A,FALSE,"mfg";"summary",#N/A,FALSE,"mfg"}</definedName>
    <definedName name="aass" localSheetId="7" hidden="1">{"detail",#N/A,FALSE,"mfg";"summary",#N/A,FALSE,"mfg"}</definedName>
    <definedName name="aass" hidden="1">{"detail",#N/A,FALSE,"mfg";"summary",#N/A,FALSE,"mfg"}</definedName>
    <definedName name="aaww" localSheetId="3" hidden="1">{"Polymers Details",#N/A,FALSE,"Current Yr";"Polymer Details",#N/A,FALSE,"Budget";"Polymer Details",#N/A,FALSE,"Prior Year"}</definedName>
    <definedName name="aaww" localSheetId="7" hidden="1">{"Polymers Details",#N/A,FALSE,"Current Yr";"Polymer Details",#N/A,FALSE,"Budget";"Polymer Details",#N/A,FALSE,"Prior Year"}</definedName>
    <definedName name="aaww" hidden="1">{"Polymers Details",#N/A,FALSE,"Current Yr";"Polymer Details",#N/A,FALSE,"Budget";"Polymer Details",#N/A,FALSE,"Prior Year"}</definedName>
    <definedName name="aax" localSheetId="3" hidden="1">{"detail",#N/A,FALSE,"mfg";"summary",#N/A,FALSE,"mfg"}</definedName>
    <definedName name="aax" localSheetId="7" hidden="1">{"detail",#N/A,FALSE,"mfg";"summary",#N/A,FALSE,"mfg"}</definedName>
    <definedName name="aax" hidden="1">{"detail",#N/A,FALSE,"mfg";"summary",#N/A,FALSE,"mfg"}</definedName>
    <definedName name="ab" localSheetId="3" hidden="1">{"'Hoja1'!$A$1:$L$57"}</definedName>
    <definedName name="ab" localSheetId="7" hidden="1">{"'Hoja1'!$A$1:$L$57"}</definedName>
    <definedName name="ab" hidden="1">{"'Hoja1'!$A$1:$L$57"}</definedName>
    <definedName name="abc"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abc"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abc" localSheetId="7" hidden="1">{"inputs raw data",#N/A,TRUE,"INPUT"}</definedName>
    <definedName name="abc" hidden="1">{"inputs raw data",#N/A,TRUE,"INPUT"}</definedName>
    <definedName name="abc0mq" localSheetId="3" hidden="1">{#N/A,"PURCHM",FALSE,"Business Analysis";#N/A,"SPADD",FALSE,"Business Analysis"}</definedName>
    <definedName name="abc0mq" localSheetId="7" hidden="1">{#N/A,"PURCHM",FALSE,"Business Analysis";#N/A,"SPADD",FALSE,"Business Analysis"}</definedName>
    <definedName name="abc0mq" hidden="1">{#N/A,"PURCHM",FALSE,"Business Analysis";#N/A,"SPADD",FALSE,"Business Analysis"}</definedName>
    <definedName name="abc0nks" localSheetId="3" hidden="1">{"detail",#N/A,FALSE,"mfg";"summary",#N/A,FALSE,"mfg"}</definedName>
    <definedName name="abc0nks" localSheetId="7" hidden="1">{"detail",#N/A,FALSE,"mfg";"summary",#N/A,FALSE,"mfg"}</definedName>
    <definedName name="abc0nks" hidden="1">{"detail",#N/A,FALSE,"mfg";"summary",#N/A,FALSE,"mfg"}</definedName>
    <definedName name="abc101a" localSheetId="3" hidden="1">{#N/A,"PURCHM",FALSE,"Business Analysis";#N/A,"SPADD",FALSE,"Business Analysis"}</definedName>
    <definedName name="abc101a" localSheetId="7" hidden="1">{#N/A,"PURCHM",FALSE,"Business Analysis";#N/A,"SPADD",FALSE,"Business Analysis"}</definedName>
    <definedName name="abc101a" hidden="1">{#N/A,"PURCHM",FALSE,"Business Analysis";#N/A,"SPADD",FALSE,"Business Analysis"}</definedName>
    <definedName name="abc109a" localSheetId="3" hidden="1">{"detail",#N/A,FALSE,"mfg";"summary",#N/A,FALSE,"mfg"}</definedName>
    <definedName name="abc109a" localSheetId="7" hidden="1">{"detail",#N/A,FALSE,"mfg";"summary",#N/A,FALSE,"mfg"}</definedName>
    <definedName name="abc109a" hidden="1">{"detail",#N/A,FALSE,"mfg";"summary",#N/A,FALSE,"mfg"}</definedName>
    <definedName name="abc11a" localSheetId="3" hidden="1">{"detail",#N/A,FALSE,"mfg";"summary",#N/A,FALSE,"mfg"}</definedName>
    <definedName name="abc11a" localSheetId="7" hidden="1">{"detail",#N/A,FALSE,"mfg";"summary",#N/A,FALSE,"mfg"}</definedName>
    <definedName name="abc11a" hidden="1">{"detail",#N/A,FALSE,"mfg";"summary",#N/A,FALSE,"mfg"}</definedName>
    <definedName name="abc11ab" localSheetId="3" hidden="1">{#N/A,"PURCHM",FALSE,"Business Analysis";#N/A,"SPADD",FALSE,"Business Analysis"}</definedName>
    <definedName name="abc11ab" localSheetId="7" hidden="1">{#N/A,"PURCHM",FALSE,"Business Analysis";#N/A,"SPADD",FALSE,"Business Analysis"}</definedName>
    <definedName name="abc11ab" hidden="1">{#N/A,"PURCHM",FALSE,"Business Analysis";#N/A,"SPADD",FALSE,"Business Analysis"}</definedName>
    <definedName name="abc12a" localSheetId="3" hidden="1">{"detail",#N/A,FALSE,"mfg";"summary",#N/A,FALSE,"mfg"}</definedName>
    <definedName name="abc12a" localSheetId="7" hidden="1">{"detail",#N/A,FALSE,"mfg";"summary",#N/A,FALSE,"mfg"}</definedName>
    <definedName name="abc12a" hidden="1">{"detail",#N/A,FALSE,"mfg";"summary",#N/A,FALSE,"mfg"}</definedName>
    <definedName name="abc13a" localSheetId="3" hidden="1">{"detail",#N/A,FALSE,"mfg";"summary",#N/A,FALSE,"mfg"}</definedName>
    <definedName name="abc13a" localSheetId="7" hidden="1">{"detail",#N/A,FALSE,"mfg";"summary",#N/A,FALSE,"mfg"}</definedName>
    <definedName name="abc13a" hidden="1">{"detail",#N/A,FALSE,"mfg";"summary",#N/A,FALSE,"mfg"}</definedName>
    <definedName name="abc14a" localSheetId="3" hidden="1">{"detail",#N/A,FALSE,"mfg";"summary",#N/A,FALSE,"mfg"}</definedName>
    <definedName name="abc14a" localSheetId="7" hidden="1">{"detail",#N/A,FALSE,"mfg";"summary",#N/A,FALSE,"mfg"}</definedName>
    <definedName name="abc14a" hidden="1">{"detail",#N/A,FALSE,"mfg";"summary",#N/A,FALSE,"mfg"}</definedName>
    <definedName name="abc1b" localSheetId="3" hidden="1">{#N/A,"PURCHM",FALSE,"Business Analysis";#N/A,"SPADD",FALSE,"Business Analysis"}</definedName>
    <definedName name="abc1b" localSheetId="7" hidden="1">{#N/A,"PURCHM",FALSE,"Business Analysis";#N/A,"SPADD",FALSE,"Business Analysis"}</definedName>
    <definedName name="abc1b" hidden="1">{#N/A,"PURCHM",FALSE,"Business Analysis";#N/A,"SPADD",FALSE,"Business Analysis"}</definedName>
    <definedName name="abc200a" localSheetId="3" hidden="1">{"detail",#N/A,FALSE,"mfg";"summary",#N/A,FALSE,"mfg"}</definedName>
    <definedName name="abc200a" localSheetId="7" hidden="1">{"detail",#N/A,FALSE,"mfg";"summary",#N/A,FALSE,"mfg"}</definedName>
    <definedName name="abc200a" hidden="1">{"detail",#N/A,FALSE,"mfg";"summary",#N/A,FALSE,"mfg"}</definedName>
    <definedName name="abc202a" localSheetId="3" hidden="1">{"detail",#N/A,FALSE,"mfg";"summary",#N/A,FALSE,"mfg"}</definedName>
    <definedName name="abc202a" localSheetId="7" hidden="1">{"detail",#N/A,FALSE,"mfg";"summary",#N/A,FALSE,"mfg"}</definedName>
    <definedName name="abc202a" hidden="1">{"detail",#N/A,FALSE,"mfg";"summary",#N/A,FALSE,"mfg"}</definedName>
    <definedName name="abc202b" localSheetId="3" hidden="1">{#N/A,"PURCHM",FALSE,"Business Analysis";#N/A,"SPADD",FALSE,"Business Analysis"}</definedName>
    <definedName name="abc202b" localSheetId="7" hidden="1">{#N/A,"PURCHM",FALSE,"Business Analysis";#N/A,"SPADD",FALSE,"Business Analysis"}</definedName>
    <definedName name="abc202b" hidden="1">{#N/A,"PURCHM",FALSE,"Business Analysis";#N/A,"SPADD",FALSE,"Business Analysis"}</definedName>
    <definedName name="abc213a" localSheetId="3" hidden="1">{"detail",#N/A,FALSE,"mfg";"summary",#N/A,FALSE,"mfg"}</definedName>
    <definedName name="abc213a" localSheetId="7" hidden="1">{"detail",#N/A,FALSE,"mfg";"summary",#N/A,FALSE,"mfg"}</definedName>
    <definedName name="abc213a" hidden="1">{"detail",#N/A,FALSE,"mfg";"summary",#N/A,FALSE,"mfg"}</definedName>
    <definedName name="abc2a" localSheetId="3" hidden="1">{"detail",#N/A,FALSE,"mfg";"summary",#N/A,FALSE,"mfg"}</definedName>
    <definedName name="abc2a" localSheetId="7" hidden="1">{"detail",#N/A,FALSE,"mfg";"summary",#N/A,FALSE,"mfg"}</definedName>
    <definedName name="abc2a" hidden="1">{"detail",#N/A,FALSE,"mfg";"summary",#N/A,FALSE,"mfg"}</definedName>
    <definedName name="abc312b" localSheetId="3" hidden="1">{"detail",#N/A,FALSE,"mfg";"summary",#N/A,FALSE,"mfg"}</definedName>
    <definedName name="abc312b" localSheetId="7" hidden="1">{"detail",#N/A,FALSE,"mfg";"summary",#N/A,FALSE,"mfg"}</definedName>
    <definedName name="abc312b" hidden="1">{"detail",#N/A,FALSE,"mfg";"summary",#N/A,FALSE,"mfg"}</definedName>
    <definedName name="abc31a" localSheetId="3" hidden="1">{"detail",#N/A,FALSE,"mfg";"summary",#N/A,FALSE,"mfg"}</definedName>
    <definedName name="abc31a" localSheetId="7" hidden="1">{"detail",#N/A,FALSE,"mfg";"summary",#N/A,FALSE,"mfg"}</definedName>
    <definedName name="abc31a" hidden="1">{"detail",#N/A,FALSE,"mfg";"summary",#N/A,FALSE,"mfg"}</definedName>
    <definedName name="abc32b" localSheetId="3" hidden="1">{"detail",#N/A,FALSE,"mfg";"summary",#N/A,FALSE,"mfg"}</definedName>
    <definedName name="abc32b" localSheetId="7" hidden="1">{"detail",#N/A,FALSE,"mfg";"summary",#N/A,FALSE,"mfg"}</definedName>
    <definedName name="abc32b" hidden="1">{"detail",#N/A,FALSE,"mfg";"summary",#N/A,FALSE,"mfg"}</definedName>
    <definedName name="abc35b" localSheetId="3" hidden="1">{"detail",#N/A,FALSE,"mfg";"summary",#N/A,FALSE,"mfg"}</definedName>
    <definedName name="abc35b" localSheetId="7" hidden="1">{"detail",#N/A,FALSE,"mfg";"summary",#N/A,FALSE,"mfg"}</definedName>
    <definedName name="abc35b" hidden="1">{"detail",#N/A,FALSE,"mfg";"summary",#N/A,FALSE,"mfg"}</definedName>
    <definedName name="abc36b" localSheetId="3" hidden="1">{"detail",#N/A,FALSE,"mfg";"summary",#N/A,FALSE,"mfg"}</definedName>
    <definedName name="abc36b" localSheetId="7" hidden="1">{"detail",#N/A,FALSE,"mfg";"summary",#N/A,FALSE,"mfg"}</definedName>
    <definedName name="abc36b" hidden="1">{"detail",#N/A,FALSE,"mfg";"summary",#N/A,FALSE,"mfg"}</definedName>
    <definedName name="abc37b" localSheetId="3" hidden="1">{"detail",#N/A,FALSE,"mfg";"summary",#N/A,FALSE,"mfg"}</definedName>
    <definedName name="abc37b" localSheetId="7" hidden="1">{"detail",#N/A,FALSE,"mfg";"summary",#N/A,FALSE,"mfg"}</definedName>
    <definedName name="abc37b" hidden="1">{"detail",#N/A,FALSE,"mfg";"summary",#N/A,FALSE,"mfg"}</definedName>
    <definedName name="abc38b" localSheetId="3" hidden="1">{"detail",#N/A,FALSE,"mfg";"summary",#N/A,FALSE,"mfg"}</definedName>
    <definedName name="abc38b" localSheetId="7" hidden="1">{"detail",#N/A,FALSE,"mfg";"summary",#N/A,FALSE,"mfg"}</definedName>
    <definedName name="abc38b" hidden="1">{"detail",#N/A,FALSE,"mfg";"summary",#N/A,FALSE,"mfg"}</definedName>
    <definedName name="abc41b" localSheetId="3" hidden="1">{"detail",#N/A,FALSE,"mfg";"summary",#N/A,FALSE,"mfg"}</definedName>
    <definedName name="abc41b" localSheetId="7" hidden="1">{"detail",#N/A,FALSE,"mfg";"summary",#N/A,FALSE,"mfg"}</definedName>
    <definedName name="abc41b" hidden="1">{"detail",#N/A,FALSE,"mfg";"summary",#N/A,FALSE,"mfg"}</definedName>
    <definedName name="abc42b" localSheetId="3" hidden="1">{"detail",#N/A,FALSE,"mfg";"summary",#N/A,FALSE,"mfg"}</definedName>
    <definedName name="abc42b" localSheetId="7" hidden="1">{"detail",#N/A,FALSE,"mfg";"summary",#N/A,FALSE,"mfg"}</definedName>
    <definedName name="abc42b" hidden="1">{"detail",#N/A,FALSE,"mfg";"summary",#N/A,FALSE,"mfg"}</definedName>
    <definedName name="abc51b" localSheetId="3" hidden="1">{"detail",#N/A,FALSE,"mfg";"summary",#N/A,FALSE,"mfg"}</definedName>
    <definedName name="abc51b" localSheetId="7" hidden="1">{"detail",#N/A,FALSE,"mfg";"summary",#N/A,FALSE,"mfg"}</definedName>
    <definedName name="abc51b" hidden="1">{"detail",#N/A,FALSE,"mfg";"summary",#N/A,FALSE,"mfg"}</definedName>
    <definedName name="abc61b" localSheetId="3" hidden="1">{"detail",#N/A,FALSE,"mfg";"summary",#N/A,FALSE,"mfg"}</definedName>
    <definedName name="abc61b" localSheetId="7" hidden="1">{"detail",#N/A,FALSE,"mfg";"summary",#N/A,FALSE,"mfg"}</definedName>
    <definedName name="abc61b" hidden="1">{"detail",#N/A,FALSE,"mfg";"summary",#N/A,FALSE,"mfg"}</definedName>
    <definedName name="abc67v" localSheetId="3" hidden="1">{#N/A,"PURCHM",FALSE,"Business Analysis";#N/A,"SPADD",FALSE,"Business Analysis"}</definedName>
    <definedName name="abc67v" localSheetId="7" hidden="1">{#N/A,"PURCHM",FALSE,"Business Analysis";#N/A,"SPADD",FALSE,"Business Analysis"}</definedName>
    <definedName name="abc67v" hidden="1">{#N/A,"PURCHM",FALSE,"Business Analysis";#N/A,"SPADD",FALSE,"Business Analysis"}</definedName>
    <definedName name="abc71b" localSheetId="3" hidden="1">{"detail",#N/A,FALSE,"mfg";"summary",#N/A,FALSE,"mfg"}</definedName>
    <definedName name="abc71b" localSheetId="7" hidden="1">{"detail",#N/A,FALSE,"mfg";"summary",#N/A,FALSE,"mfg"}</definedName>
    <definedName name="abc71b" hidden="1">{"detail",#N/A,FALSE,"mfg";"summary",#N/A,FALSE,"mfg"}</definedName>
    <definedName name="abc9bn" localSheetId="3" hidden="1">{"detail",#N/A,FALSE,"mfg";"summary",#N/A,FALSE,"mfg"}</definedName>
    <definedName name="abc9bn" localSheetId="7" hidden="1">{"detail",#N/A,FALSE,"mfg";"summary",#N/A,FALSE,"mfg"}</definedName>
    <definedName name="abc9bn" hidden="1">{"detail",#N/A,FALSE,"mfg";"summary",#N/A,FALSE,"mfg"}</definedName>
    <definedName name="abc9er" localSheetId="3" hidden="1">{"detail",#N/A,FALSE,"mfg";"summary",#N/A,FALSE,"mfg"}</definedName>
    <definedName name="abc9er" localSheetId="7" hidden="1">{"detail",#N/A,FALSE,"mfg";"summary",#N/A,FALSE,"mfg"}</definedName>
    <definedName name="abc9er" hidden="1">{"detail",#N/A,FALSE,"mfg";"summary",#N/A,FALSE,"mfg"}</definedName>
    <definedName name="abc9kn" localSheetId="3" hidden="1">{"detail",#N/A,FALSE,"mfg";"summary",#N/A,FALSE,"mfg"}</definedName>
    <definedName name="abc9kn" localSheetId="7" hidden="1">{"detail",#N/A,FALSE,"mfg";"summary",#N/A,FALSE,"mfg"}</definedName>
    <definedName name="abc9kn" hidden="1">{"detail",#N/A,FALSE,"mfg";"summary",#N/A,FALSE,"mfg"}</definedName>
    <definedName name="abca312" localSheetId="3" hidden="1">{"detail",#N/A,FALSE,"mfg";"summary",#N/A,FALSE,"mfg"}</definedName>
    <definedName name="abca312" localSheetId="7" hidden="1">{"detail",#N/A,FALSE,"mfg";"summary",#N/A,FALSE,"mfg"}</definedName>
    <definedName name="abca312" hidden="1">{"detail",#N/A,FALSE,"mfg";"summary",#N/A,FALSE,"mfg"}</definedName>
    <definedName name="abca312b" localSheetId="3" hidden="1">{"detail",#N/A,FALSE,"mfg";"summary",#N/A,FALSE,"mfg"}</definedName>
    <definedName name="abca312b" localSheetId="7" hidden="1">{"detail",#N/A,FALSE,"mfg";"summary",#N/A,FALSE,"mfg"}</definedName>
    <definedName name="abca312b" hidden="1">{"detail",#N/A,FALSE,"mfg";"summary",#N/A,FALSE,"mfg"}</definedName>
    <definedName name="abcd" localSheetId="3" hidden="1">{#N/A,"PURCHM",FALSE,"Business Analysis";#N/A,"SPADD",FALSE,"Business Analysis"}</definedName>
    <definedName name="abcd" localSheetId="7" hidden="1">{#N/A,"PURCHM",FALSE,"Business Analysis";#N/A,"SPADD",FALSE,"Business Analysis"}</definedName>
    <definedName name="abcd" hidden="1">{#N/A,"PURCHM",FALSE,"Business Analysis";#N/A,"SPADD",FALSE,"Business Analysis"}</definedName>
    <definedName name="abcd1" localSheetId="3" hidden="1">{#N/A,"PURCHM",FALSE,"Business Analysis";#N/A,"SPADD",FALSE,"Business Analysis"}</definedName>
    <definedName name="abcd1" localSheetId="7" hidden="1">{#N/A,"PURCHM",FALSE,"Business Analysis";#N/A,"SPADD",FALSE,"Business Analysis"}</definedName>
    <definedName name="abcd1" hidden="1">{#N/A,"PURCHM",FALSE,"Business Analysis";#N/A,"SPADD",FALSE,"Business Analysis"}</definedName>
    <definedName name="abcd10" localSheetId="3" hidden="1">{#N/A,"PURCHM",FALSE,"Business Analysis";#N/A,"SPADD",FALSE,"Business Analysis"}</definedName>
    <definedName name="abcd10" localSheetId="7" hidden="1">{#N/A,"PURCHM",FALSE,"Business Analysis";#N/A,"SPADD",FALSE,"Business Analysis"}</definedName>
    <definedName name="abcd10" hidden="1">{#N/A,"PURCHM",FALSE,"Business Analysis";#N/A,"SPADD",FALSE,"Business Analysis"}</definedName>
    <definedName name="abcd101" localSheetId="3" hidden="1">{#N/A,"PURCHM",FALSE,"Business Analysis";#N/A,"SPADD",FALSE,"Business Analysis"}</definedName>
    <definedName name="abcd101" localSheetId="7" hidden="1">{#N/A,"PURCHM",FALSE,"Business Analysis";#N/A,"SPADD",FALSE,"Business Analysis"}</definedName>
    <definedName name="abcd101" hidden="1">{#N/A,"PURCHM",FALSE,"Business Analysis";#N/A,"SPADD",FALSE,"Business Analysis"}</definedName>
    <definedName name="abcd10a" localSheetId="3" hidden="1">{#N/A,"PURCHM",FALSE,"Business Analysis";#N/A,"SPADD",FALSE,"Business Analysis"}</definedName>
    <definedName name="abcd10a" localSheetId="7" hidden="1">{#N/A,"PURCHM",FALSE,"Business Analysis";#N/A,"SPADD",FALSE,"Business Analysis"}</definedName>
    <definedName name="abcd10a" hidden="1">{#N/A,"PURCHM",FALSE,"Business Analysis";#N/A,"SPADD",FALSE,"Business Analysis"}</definedName>
    <definedName name="abcd11" localSheetId="3" hidden="1">{#N/A,"PURCHM",FALSE,"Business Analysis";#N/A,"SPADD",FALSE,"Business Analysis"}</definedName>
    <definedName name="abcd11" localSheetId="7" hidden="1">{#N/A,"PURCHM",FALSE,"Business Analysis";#N/A,"SPADD",FALSE,"Business Analysis"}</definedName>
    <definedName name="abcd11" hidden="1">{#N/A,"PURCHM",FALSE,"Business Analysis";#N/A,"SPADD",FALSE,"Business Analysis"}</definedName>
    <definedName name="abcd12" localSheetId="3" hidden="1">{#N/A,"PURCHM",FALSE,"Business Analysis";#N/A,"SPADD",FALSE,"Business Analysis"}</definedName>
    <definedName name="abcd12" localSheetId="7" hidden="1">{#N/A,"PURCHM",FALSE,"Business Analysis";#N/A,"SPADD",FALSE,"Business Analysis"}</definedName>
    <definedName name="abcd12" hidden="1">{#N/A,"PURCHM",FALSE,"Business Analysis";#N/A,"SPADD",FALSE,"Business Analysis"}</definedName>
    <definedName name="abcd12b" localSheetId="3" hidden="1">{#N/A,"PURCHM",FALSE,"Business Analysis";#N/A,"SPADD",FALSE,"Business Analysis"}</definedName>
    <definedName name="abcd12b" localSheetId="7" hidden="1">{#N/A,"PURCHM",FALSE,"Business Analysis";#N/A,"SPADD",FALSE,"Business Analysis"}</definedName>
    <definedName name="abcd12b" hidden="1">{#N/A,"PURCHM",FALSE,"Business Analysis";#N/A,"SPADD",FALSE,"Business Analysis"}</definedName>
    <definedName name="abcd2" localSheetId="3" hidden="1">{#N/A,"PURCHM",FALSE,"Business Analysis";#N/A,"SPADD",FALSE,"Business Analysis"}</definedName>
    <definedName name="abcd2" localSheetId="7" hidden="1">{#N/A,"PURCHM",FALSE,"Business Analysis";#N/A,"SPADD",FALSE,"Business Analysis"}</definedName>
    <definedName name="abcd2" hidden="1">{#N/A,"PURCHM",FALSE,"Business Analysis";#N/A,"SPADD",FALSE,"Business Analysis"}</definedName>
    <definedName name="abcd200" localSheetId="3" hidden="1">{#N/A,"PURCHM",FALSE,"Business Analysis";#N/A,"SPADD",FALSE,"Business Analysis"}</definedName>
    <definedName name="abcd200" localSheetId="7" hidden="1">{#N/A,"PURCHM",FALSE,"Business Analysis";#N/A,"SPADD",FALSE,"Business Analysis"}</definedName>
    <definedName name="abcd200" hidden="1">{#N/A,"PURCHM",FALSE,"Business Analysis";#N/A,"SPADD",FALSE,"Business Analysis"}</definedName>
    <definedName name="abcd200b" localSheetId="3" hidden="1">{#N/A,"PURCHM",FALSE,"Business Analysis";#N/A,"SPADD",FALSE,"Business Analysis"}</definedName>
    <definedName name="abcd200b" localSheetId="7" hidden="1">{#N/A,"PURCHM",FALSE,"Business Analysis";#N/A,"SPADD",FALSE,"Business Analysis"}</definedName>
    <definedName name="abcd200b" hidden="1">{#N/A,"PURCHM",FALSE,"Business Analysis";#N/A,"SPADD",FALSE,"Business Analysis"}</definedName>
    <definedName name="abcd202" localSheetId="3" hidden="1">{#N/A,"PURCHM",FALSE,"Business Analysis";#N/A,"SPADD",FALSE,"Business Analysis"}</definedName>
    <definedName name="abcd202" localSheetId="7" hidden="1">{#N/A,"PURCHM",FALSE,"Business Analysis";#N/A,"SPADD",FALSE,"Business Analysis"}</definedName>
    <definedName name="abcd202" hidden="1">{#N/A,"PURCHM",FALSE,"Business Analysis";#N/A,"SPADD",FALSE,"Business Analysis"}</definedName>
    <definedName name="abcd21" localSheetId="3" hidden="1">{#N/A,"PURCHM",FALSE,"Business Analysis";#N/A,"SPADD",FALSE,"Business Analysis"}</definedName>
    <definedName name="abcd21" localSheetId="7" hidden="1">{#N/A,"PURCHM",FALSE,"Business Analysis";#N/A,"SPADD",FALSE,"Business Analysis"}</definedName>
    <definedName name="abcd21" hidden="1">{#N/A,"PURCHM",FALSE,"Business Analysis";#N/A,"SPADD",FALSE,"Business Analysis"}</definedName>
    <definedName name="abcd212" localSheetId="3" hidden="1">{#N/A,"PURCHM",FALSE,"Business Analysis";#N/A,"SPADD",FALSE,"Business Analysis"}</definedName>
    <definedName name="abcd212" localSheetId="7" hidden="1">{#N/A,"PURCHM",FALSE,"Business Analysis";#N/A,"SPADD",FALSE,"Business Analysis"}</definedName>
    <definedName name="abcd212" hidden="1">{#N/A,"PURCHM",FALSE,"Business Analysis";#N/A,"SPADD",FALSE,"Business Analysis"}</definedName>
    <definedName name="abcd21225b" localSheetId="3" hidden="1">{#N/A,"PURCHM",FALSE,"Business Analysis";#N/A,"SPADD",FALSE,"Business Analysis"}</definedName>
    <definedName name="abcd21225b" localSheetId="7" hidden="1">{#N/A,"PURCHM",FALSE,"Business Analysis";#N/A,"SPADD",FALSE,"Business Analysis"}</definedName>
    <definedName name="abcd21225b" hidden="1">{#N/A,"PURCHM",FALSE,"Business Analysis";#N/A,"SPADD",FALSE,"Business Analysis"}</definedName>
    <definedName name="abcd212b" localSheetId="3" hidden="1">{#N/A,"PURCHM",FALSE,"Business Analysis";#N/A,"SPADD",FALSE,"Business Analysis"}</definedName>
    <definedName name="abcd212b" localSheetId="7" hidden="1">{#N/A,"PURCHM",FALSE,"Business Analysis";#N/A,"SPADD",FALSE,"Business Analysis"}</definedName>
    <definedName name="abcd212b" hidden="1">{#N/A,"PURCHM",FALSE,"Business Analysis";#N/A,"SPADD",FALSE,"Business Analysis"}</definedName>
    <definedName name="abcd213" localSheetId="3" hidden="1">{#N/A,"PURCHM",FALSE,"Business Analysis";#N/A,"SPADD",FALSE,"Business Analysis"}</definedName>
    <definedName name="abcd213" localSheetId="7" hidden="1">{#N/A,"PURCHM",FALSE,"Business Analysis";#N/A,"SPADD",FALSE,"Business Analysis"}</definedName>
    <definedName name="abcd213" hidden="1">{#N/A,"PURCHM",FALSE,"Business Analysis";#N/A,"SPADD",FALSE,"Business Analysis"}</definedName>
    <definedName name="abcd213b" localSheetId="3" hidden="1">{#N/A,"PURCHM",FALSE,"Business Analysis";#N/A,"SPADD",FALSE,"Business Analysis"}</definedName>
    <definedName name="abcd213b" localSheetId="7" hidden="1">{#N/A,"PURCHM",FALSE,"Business Analysis";#N/A,"SPADD",FALSE,"Business Analysis"}</definedName>
    <definedName name="abcd213b" hidden="1">{#N/A,"PURCHM",FALSE,"Business Analysis";#N/A,"SPADD",FALSE,"Business Analysis"}</definedName>
    <definedName name="abcd21kb" localSheetId="3" hidden="1">{#N/A,"PURCHM",FALSE,"Business Analysis";#N/A,"SPADD",FALSE,"Business Analysis"}</definedName>
    <definedName name="abcd21kb" localSheetId="7" hidden="1">{#N/A,"PURCHM",FALSE,"Business Analysis";#N/A,"SPADD",FALSE,"Business Analysis"}</definedName>
    <definedName name="abcd21kb" hidden="1">{#N/A,"PURCHM",FALSE,"Business Analysis";#N/A,"SPADD",FALSE,"Business Analysis"}</definedName>
    <definedName name="abcd254" localSheetId="3" hidden="1">{#N/A,"PURCHM",FALSE,"Business Analysis";#N/A,"SPADD",FALSE,"Business Analysis"}</definedName>
    <definedName name="abcd254" localSheetId="7" hidden="1">{#N/A,"PURCHM",FALSE,"Business Analysis";#N/A,"SPADD",FALSE,"Business Analysis"}</definedName>
    <definedName name="abcd254" hidden="1">{#N/A,"PURCHM",FALSE,"Business Analysis";#N/A,"SPADD",FALSE,"Business Analysis"}</definedName>
    <definedName name="abcd2ab" localSheetId="3" hidden="1">{#N/A,"PURCHM",FALSE,"Business Analysis";#N/A,"SPADD",FALSE,"Business Analysis"}</definedName>
    <definedName name="abcd2ab" localSheetId="7" hidden="1">{#N/A,"PURCHM",FALSE,"Business Analysis";#N/A,"SPADD",FALSE,"Business Analysis"}</definedName>
    <definedName name="abcd2ab" hidden="1">{#N/A,"PURCHM",FALSE,"Business Analysis";#N/A,"SPADD",FALSE,"Business Analysis"}</definedName>
    <definedName name="abcd312" localSheetId="3" hidden="1">{#N/A,"PURCHM",FALSE,"Business Analysis";#N/A,"SPADD",FALSE,"Business Analysis"}</definedName>
    <definedName name="abcd312" localSheetId="7" hidden="1">{#N/A,"PURCHM",FALSE,"Business Analysis";#N/A,"SPADD",FALSE,"Business Analysis"}</definedName>
    <definedName name="abcd312" hidden="1">{#N/A,"PURCHM",FALSE,"Business Analysis";#N/A,"SPADD",FALSE,"Business Analysis"}</definedName>
    <definedName name="abcd312bd" localSheetId="3" hidden="1">{#N/A,"PURCHM",FALSE,"Business Analysis";#N/A,"SPADD",FALSE,"Business Analysis"}</definedName>
    <definedName name="abcd312bd" localSheetId="7" hidden="1">{#N/A,"PURCHM",FALSE,"Business Analysis";#N/A,"SPADD",FALSE,"Business Analysis"}</definedName>
    <definedName name="abcd312bd" hidden="1">{#N/A,"PURCHM",FALSE,"Business Analysis";#N/A,"SPADD",FALSE,"Business Analysis"}</definedName>
    <definedName name="abcd32" localSheetId="3" hidden="1">{#N/A,"PURCHM",FALSE,"Business Analysis";#N/A,"SPADD",FALSE,"Business Analysis"}</definedName>
    <definedName name="abcd32" localSheetId="7" hidden="1">{#N/A,"PURCHM",FALSE,"Business Analysis";#N/A,"SPADD",FALSE,"Business Analysis"}</definedName>
    <definedName name="abcd32" hidden="1">{#N/A,"PURCHM",FALSE,"Business Analysis";#N/A,"SPADD",FALSE,"Business Analysis"}</definedName>
    <definedName name="abcd32b" localSheetId="3" hidden="1">{#N/A,"PURCHM",FALSE,"Business Analysis";#N/A,"SPADD",FALSE,"Business Analysis"}</definedName>
    <definedName name="abcd32b" localSheetId="7" hidden="1">{#N/A,"PURCHM",FALSE,"Business Analysis";#N/A,"SPADD",FALSE,"Business Analysis"}</definedName>
    <definedName name="abcd32b" hidden="1">{#N/A,"PURCHM",FALSE,"Business Analysis";#N/A,"SPADD",FALSE,"Business Analysis"}</definedName>
    <definedName name="abcd33" localSheetId="3" hidden="1">{"detail",#N/A,FALSE,"mfg";"summary",#N/A,FALSE,"mfg"}</definedName>
    <definedName name="abcd33" localSheetId="7" hidden="1">{"detail",#N/A,FALSE,"mfg";"summary",#N/A,FALSE,"mfg"}</definedName>
    <definedName name="abcd33" hidden="1">{"detail",#N/A,FALSE,"mfg";"summary",#N/A,FALSE,"mfg"}</definedName>
    <definedName name="abcd33b" localSheetId="3" hidden="1">{"detail",#N/A,FALSE,"mfg";"summary",#N/A,FALSE,"mfg"}</definedName>
    <definedName name="abcd33b" localSheetId="7" hidden="1">{"detail",#N/A,FALSE,"mfg";"summary",#N/A,FALSE,"mfg"}</definedName>
    <definedName name="abcd33b" hidden="1">{"detail",#N/A,FALSE,"mfg";"summary",#N/A,FALSE,"mfg"}</definedName>
    <definedName name="abcd34" localSheetId="3" hidden="1">{#N/A,"PURCHM",FALSE,"Business Analysis";#N/A,"SPADD",FALSE,"Business Analysis"}</definedName>
    <definedName name="abcd34" localSheetId="7" hidden="1">{#N/A,"PURCHM",FALSE,"Business Analysis";#N/A,"SPADD",FALSE,"Business Analysis"}</definedName>
    <definedName name="abcd34" hidden="1">{#N/A,"PURCHM",FALSE,"Business Analysis";#N/A,"SPADD",FALSE,"Business Analysis"}</definedName>
    <definedName name="abcd34b" localSheetId="3" hidden="1">{#N/A,"PURCHM",FALSE,"Business Analysis";#N/A,"SPADD",FALSE,"Business Analysis"}</definedName>
    <definedName name="abcd34b" localSheetId="7" hidden="1">{#N/A,"PURCHM",FALSE,"Business Analysis";#N/A,"SPADD",FALSE,"Business Analysis"}</definedName>
    <definedName name="abcd34b" hidden="1">{#N/A,"PURCHM",FALSE,"Business Analysis";#N/A,"SPADD",FALSE,"Business Analysis"}</definedName>
    <definedName name="abcd35" localSheetId="3" hidden="1">{#N/A,"PURCHM",FALSE,"Business Analysis";#N/A,"SPADD",FALSE,"Business Analysis"}</definedName>
    <definedName name="abcd35" localSheetId="7" hidden="1">{#N/A,"PURCHM",FALSE,"Business Analysis";#N/A,"SPADD",FALSE,"Business Analysis"}</definedName>
    <definedName name="abcd35" hidden="1">{#N/A,"PURCHM",FALSE,"Business Analysis";#N/A,"SPADD",FALSE,"Business Analysis"}</definedName>
    <definedName name="abcd35b" localSheetId="3" hidden="1">{#N/A,"PURCHM",FALSE,"Business Analysis";#N/A,"SPADD",FALSE,"Business Analysis"}</definedName>
    <definedName name="abcd35b" localSheetId="7" hidden="1">{#N/A,"PURCHM",FALSE,"Business Analysis";#N/A,"SPADD",FALSE,"Business Analysis"}</definedName>
    <definedName name="abcd35b" hidden="1">{#N/A,"PURCHM",FALSE,"Business Analysis";#N/A,"SPADD",FALSE,"Business Analysis"}</definedName>
    <definedName name="abcd36" localSheetId="3" hidden="1">{"detail",#N/A,FALSE,"mfg";"summary",#N/A,FALSE,"mfg"}</definedName>
    <definedName name="abcd36" localSheetId="7" hidden="1">{"detail",#N/A,FALSE,"mfg";"summary",#N/A,FALSE,"mfg"}</definedName>
    <definedName name="abcd36" hidden="1">{"detail",#N/A,FALSE,"mfg";"summary",#N/A,FALSE,"mfg"}</definedName>
    <definedName name="abcd36b" localSheetId="3" hidden="1">{"detail",#N/A,FALSE,"mfg";"summary",#N/A,FALSE,"mfg"}</definedName>
    <definedName name="abcd36b" localSheetId="7" hidden="1">{"detail",#N/A,FALSE,"mfg";"summary",#N/A,FALSE,"mfg"}</definedName>
    <definedName name="abcd36b" hidden="1">{"detail",#N/A,FALSE,"mfg";"summary",#N/A,FALSE,"mfg"}</definedName>
    <definedName name="abcd39" localSheetId="3" hidden="1">{#N/A,"PURCHM",FALSE,"Business Analysis";#N/A,"SPADD",FALSE,"Business Analysis"}</definedName>
    <definedName name="abcd39" localSheetId="7" hidden="1">{#N/A,"PURCHM",FALSE,"Business Analysis";#N/A,"SPADD",FALSE,"Business Analysis"}</definedName>
    <definedName name="abcd39" hidden="1">{#N/A,"PURCHM",FALSE,"Business Analysis";#N/A,"SPADD",FALSE,"Business Analysis"}</definedName>
    <definedName name="abcd39bd" localSheetId="3" hidden="1">{#N/A,"PURCHM",FALSE,"Business Analysis";#N/A,"SPADD",FALSE,"Business Analysis"}</definedName>
    <definedName name="abcd39bd" localSheetId="7" hidden="1">{#N/A,"PURCHM",FALSE,"Business Analysis";#N/A,"SPADD",FALSE,"Business Analysis"}</definedName>
    <definedName name="abcd39bd" hidden="1">{#N/A,"PURCHM",FALSE,"Business Analysis";#N/A,"SPADD",FALSE,"Business Analysis"}</definedName>
    <definedName name="ABCD41" localSheetId="3" hidden="1">{#N/A,"PURCHM",FALSE,"Business Analysis";#N/A,"SPADD",FALSE,"Business Analysis"}</definedName>
    <definedName name="ABCD41" localSheetId="7" hidden="1">{#N/A,"PURCHM",FALSE,"Business Analysis";#N/A,"SPADD",FALSE,"Business Analysis"}</definedName>
    <definedName name="ABCD41" hidden="1">{#N/A,"PURCHM",FALSE,"Business Analysis";#N/A,"SPADD",FALSE,"Business Analysis"}</definedName>
    <definedName name="abcd412" localSheetId="3" hidden="1">{#N/A,"PURCHM",FALSE,"Business Analysis";#N/A,"SPADD",FALSE,"Business Analysis"}</definedName>
    <definedName name="abcd412" localSheetId="7" hidden="1">{#N/A,"PURCHM",FALSE,"Business Analysis";#N/A,"SPADD",FALSE,"Business Analysis"}</definedName>
    <definedName name="abcd412" hidden="1">{#N/A,"PURCHM",FALSE,"Business Analysis";#N/A,"SPADD",FALSE,"Business Analysis"}</definedName>
    <definedName name="abcd412bd" localSheetId="3" hidden="1">{#N/A,"PURCHM",FALSE,"Business Analysis";#N/A,"SPADD",FALSE,"Business Analysis"}</definedName>
    <definedName name="abcd412bd" localSheetId="7" hidden="1">{#N/A,"PURCHM",FALSE,"Business Analysis";#N/A,"SPADD",FALSE,"Business Analysis"}</definedName>
    <definedName name="abcd412bd" hidden="1">{#N/A,"PURCHM",FALSE,"Business Analysis";#N/A,"SPADD",FALSE,"Business Analysis"}</definedName>
    <definedName name="abcd41bd" localSheetId="3" hidden="1">{#N/A,"PURCHM",FALSE,"Business Analysis";#N/A,"SPADD",FALSE,"Business Analysis"}</definedName>
    <definedName name="abcd41bd" localSheetId="7" hidden="1">{#N/A,"PURCHM",FALSE,"Business Analysis";#N/A,"SPADD",FALSE,"Business Analysis"}</definedName>
    <definedName name="abcd41bd" hidden="1">{#N/A,"PURCHM",FALSE,"Business Analysis";#N/A,"SPADD",FALSE,"Business Analysis"}</definedName>
    <definedName name="abcd42" localSheetId="3" hidden="1">{#N/A,"PURCHM",FALSE,"Business Analysis";#N/A,"SPADD",FALSE,"Business Analysis"}</definedName>
    <definedName name="abcd42" localSheetId="7" hidden="1">{#N/A,"PURCHM",FALSE,"Business Analysis";#N/A,"SPADD",FALSE,"Business Analysis"}</definedName>
    <definedName name="abcd42" hidden="1">{#N/A,"PURCHM",FALSE,"Business Analysis";#N/A,"SPADD",FALSE,"Business Analysis"}</definedName>
    <definedName name="abcd42bd" localSheetId="3" hidden="1">{#N/A,"PURCHM",FALSE,"Business Analysis";#N/A,"SPADD",FALSE,"Business Analysis"}</definedName>
    <definedName name="abcd42bd" localSheetId="7" hidden="1">{#N/A,"PURCHM",FALSE,"Business Analysis";#N/A,"SPADD",FALSE,"Business Analysis"}</definedName>
    <definedName name="abcd42bd" hidden="1">{#N/A,"PURCHM",FALSE,"Business Analysis";#N/A,"SPADD",FALSE,"Business Analysis"}</definedName>
    <definedName name="abcd45" localSheetId="3" hidden="1">{#N/A,"PURCHM",FALSE,"Business Analysis";#N/A,"SPADD",FALSE,"Business Analysis"}</definedName>
    <definedName name="abcd45" localSheetId="7" hidden="1">{#N/A,"PURCHM",FALSE,"Business Analysis";#N/A,"SPADD",FALSE,"Business Analysis"}</definedName>
    <definedName name="abcd45" hidden="1">{#N/A,"PURCHM",FALSE,"Business Analysis";#N/A,"SPADD",FALSE,"Business Analysis"}</definedName>
    <definedName name="abcd45bd" localSheetId="3" hidden="1">{#N/A,"PURCHM",FALSE,"Business Analysis";#N/A,"SPADD",FALSE,"Business Analysis"}</definedName>
    <definedName name="abcd45bd" localSheetId="7" hidden="1">{#N/A,"PURCHM",FALSE,"Business Analysis";#N/A,"SPADD",FALSE,"Business Analysis"}</definedName>
    <definedName name="abcd45bd" hidden="1">{#N/A,"PURCHM",FALSE,"Business Analysis";#N/A,"SPADD",FALSE,"Business Analysis"}</definedName>
    <definedName name="abcd50" localSheetId="3" hidden="1">{#N/A,"PURCHM",FALSE,"Business Analysis";#N/A,"SPADD",FALSE,"Business Analysis"}</definedName>
    <definedName name="abcd50" localSheetId="7" hidden="1">{#N/A,"PURCHM",FALSE,"Business Analysis";#N/A,"SPADD",FALSE,"Business Analysis"}</definedName>
    <definedName name="abcd50" hidden="1">{#N/A,"PURCHM",FALSE,"Business Analysis";#N/A,"SPADD",FALSE,"Business Analysis"}</definedName>
    <definedName name="abcd51" localSheetId="3" hidden="1">{#N/A,"PURCHM",FALSE,"Business Analysis";#N/A,"SPADD",FALSE,"Business Analysis"}</definedName>
    <definedName name="abcd51" localSheetId="7" hidden="1">{#N/A,"PURCHM",FALSE,"Business Analysis";#N/A,"SPADD",FALSE,"Business Analysis"}</definedName>
    <definedName name="abcd51" hidden="1">{#N/A,"PURCHM",FALSE,"Business Analysis";#N/A,"SPADD",FALSE,"Business Analysis"}</definedName>
    <definedName name="abcd51bd" localSheetId="3" hidden="1">{#N/A,"PURCHM",FALSE,"Business Analysis";#N/A,"SPADD",FALSE,"Business Analysis"}</definedName>
    <definedName name="abcd51bd" localSheetId="7" hidden="1">{#N/A,"PURCHM",FALSE,"Business Analysis";#N/A,"SPADD",FALSE,"Business Analysis"}</definedName>
    <definedName name="abcd51bd" hidden="1">{#N/A,"PURCHM",FALSE,"Business Analysis";#N/A,"SPADD",FALSE,"Business Analysis"}</definedName>
    <definedName name="abcd61" localSheetId="3" hidden="1">{#N/A,"PURCHM",FALSE,"Business Analysis";#N/A,"SPADD",FALSE,"Business Analysis"}</definedName>
    <definedName name="abcd61" localSheetId="7" hidden="1">{#N/A,"PURCHM",FALSE,"Business Analysis";#N/A,"SPADD",FALSE,"Business Analysis"}</definedName>
    <definedName name="abcd61" hidden="1">{#N/A,"PURCHM",FALSE,"Business Analysis";#N/A,"SPADD",FALSE,"Business Analysis"}</definedName>
    <definedName name="abcd61bd" localSheetId="3" hidden="1">{#N/A,"PURCHM",FALSE,"Business Analysis";#N/A,"SPADD",FALSE,"Business Analysis"}</definedName>
    <definedName name="abcd61bd" localSheetId="7" hidden="1">{#N/A,"PURCHM",FALSE,"Business Analysis";#N/A,"SPADD",FALSE,"Business Analysis"}</definedName>
    <definedName name="abcd61bd" hidden="1">{#N/A,"PURCHM",FALSE,"Business Analysis";#N/A,"SPADD",FALSE,"Business Analysis"}</definedName>
    <definedName name="abcd71" localSheetId="3" hidden="1">{#N/A,"PURCHM",FALSE,"Business Analysis";#N/A,"SPADD",FALSE,"Business Analysis"}</definedName>
    <definedName name="abcd71" localSheetId="7" hidden="1">{#N/A,"PURCHM",FALSE,"Business Analysis";#N/A,"SPADD",FALSE,"Business Analysis"}</definedName>
    <definedName name="abcd71" hidden="1">{#N/A,"PURCHM",FALSE,"Business Analysis";#N/A,"SPADD",FALSE,"Business Analysis"}</definedName>
    <definedName name="abcd71bd" localSheetId="3" hidden="1">{#N/A,"PURCHM",FALSE,"Business Analysis";#N/A,"SPADD",FALSE,"Business Analysis"}</definedName>
    <definedName name="abcd71bd" localSheetId="7" hidden="1">{#N/A,"PURCHM",FALSE,"Business Analysis";#N/A,"SPADD",FALSE,"Business Analysis"}</definedName>
    <definedName name="abcd71bd" hidden="1">{#N/A,"PURCHM",FALSE,"Business Analysis";#N/A,"SPADD",FALSE,"Business Analysis"}</definedName>
    <definedName name="abcd90" localSheetId="3" hidden="1">{#N/A,"PURCHM",FALSE,"Business Analysis";#N/A,"SPADD",FALSE,"Business Analysis"}</definedName>
    <definedName name="abcd90" localSheetId="7" hidden="1">{#N/A,"PURCHM",FALSE,"Business Analysis";#N/A,"SPADD",FALSE,"Business Analysis"}</definedName>
    <definedName name="abcd90" hidden="1">{#N/A,"PURCHM",FALSE,"Business Analysis";#N/A,"SPADD",FALSE,"Business Analysis"}</definedName>
    <definedName name="abcd98b" localSheetId="3" hidden="1">{#N/A,"PURCHM",FALSE,"Business Analysis";#N/A,"SPADD",FALSE,"Business Analysis"}</definedName>
    <definedName name="abcd98b" localSheetId="7" hidden="1">{#N/A,"PURCHM",FALSE,"Business Analysis";#N/A,"SPADD",FALSE,"Business Analysis"}</definedName>
    <definedName name="abcd98b" hidden="1">{#N/A,"PURCHM",FALSE,"Business Analysis";#N/A,"SPADD",FALSE,"Business Analysis"}</definedName>
    <definedName name="abcda" localSheetId="3" hidden="1">{#N/A,"PURCHM",FALSE,"Business Analysis";#N/A,"SPADD",FALSE,"Business Analysis"}</definedName>
    <definedName name="abcda" localSheetId="7" hidden="1">{#N/A,"PURCHM",FALSE,"Business Analysis";#N/A,"SPADD",FALSE,"Business Analysis"}</definedName>
    <definedName name="abcda" hidden="1">{#N/A,"PURCHM",FALSE,"Business Analysis";#N/A,"SPADD",FALSE,"Business Analysis"}</definedName>
    <definedName name="abcda101" localSheetId="3" hidden="1">{#N/A,"PURCHM",FALSE,"Business Analysis";#N/A,"SPADD",FALSE,"Business Analysis"}</definedName>
    <definedName name="abcda101" localSheetId="7" hidden="1">{#N/A,"PURCHM",FALSE,"Business Analysis";#N/A,"SPADD",FALSE,"Business Analysis"}</definedName>
    <definedName name="abcda101" hidden="1">{#N/A,"PURCHM",FALSE,"Business Analysis";#N/A,"SPADD",FALSE,"Business Analysis"}</definedName>
    <definedName name="abcdef" localSheetId="3" hidden="1">{"'PXR_6500'!$A$1:$I$124"}</definedName>
    <definedName name="abcdef" localSheetId="7" hidden="1">{"'PXR_6500'!$A$1:$I$124"}</definedName>
    <definedName name="abcdef" hidden="1">{"'PXR_6500'!$A$1:$I$124"}</definedName>
    <definedName name="abcdmibh" localSheetId="3" hidden="1">{#N/A,"PURCHM",FALSE,"Business Analysis";#N/A,"SPADD",FALSE,"Business Analysis"}</definedName>
    <definedName name="abcdmibh" localSheetId="7" hidden="1">{#N/A,"PURCHM",FALSE,"Business Analysis";#N/A,"SPADD",FALSE,"Business Analysis"}</definedName>
    <definedName name="abcdmibh" hidden="1">{#N/A,"PURCHM",FALSE,"Business Analysis";#N/A,"SPADD",FALSE,"Business Analysis"}</definedName>
    <definedName name="abcdv102" localSheetId="3" hidden="1">{#N/A,"PURCHM",FALSE,"Business Analysis";#N/A,"SPADD",FALSE,"Business Analysis"}</definedName>
    <definedName name="abcdv102" localSheetId="7" hidden="1">{#N/A,"PURCHM",FALSE,"Business Analysis";#N/A,"SPADD",FALSE,"Business Analysis"}</definedName>
    <definedName name="abcdv102" hidden="1">{#N/A,"PURCHM",FALSE,"Business Analysis";#N/A,"SPADD",FALSE,"Business Analysis"}</definedName>
    <definedName name="abcdv102d" localSheetId="3" hidden="1">{#N/A,"PURCHM",FALSE,"Business Analysis";#N/A,"SPADD",FALSE,"Business Analysis"}</definedName>
    <definedName name="abcdv102d" localSheetId="7" hidden="1">{#N/A,"PURCHM",FALSE,"Business Analysis";#N/A,"SPADD",FALSE,"Business Analysis"}</definedName>
    <definedName name="abcdv102d" hidden="1">{#N/A,"PURCHM",FALSE,"Business Analysis";#N/A,"SPADD",FALSE,"Business Analysis"}</definedName>
    <definedName name="abci9" localSheetId="3" hidden="1">{#N/A,"PURCHM",FALSE,"Business Analysis";#N/A,"SPADD",FALSE,"Business Analysis"}</definedName>
    <definedName name="abci9" localSheetId="7" hidden="1">{#N/A,"PURCHM",FALSE,"Business Analysis";#N/A,"SPADD",FALSE,"Business Analysis"}</definedName>
    <definedName name="abci9" hidden="1">{#N/A,"PURCHM",FALSE,"Business Analysis";#N/A,"SPADD",FALSE,"Business Analysis"}</definedName>
    <definedName name="abci92" localSheetId="3" hidden="1">{#N/A,"PURCHM",FALSE,"Business Analysis";#N/A,"SPADD",FALSE,"Business Analysis"}</definedName>
    <definedName name="abci92" localSheetId="7" hidden="1">{#N/A,"PURCHM",FALSE,"Business Analysis";#N/A,"SPADD",FALSE,"Business Analysis"}</definedName>
    <definedName name="abci92" hidden="1">{#N/A,"PURCHM",FALSE,"Business Analysis";#N/A,"SPADD",FALSE,"Business Analysis"}</definedName>
    <definedName name="abcj9i" localSheetId="3" hidden="1">{"detail",#N/A,FALSE,"mfg";"summary",#N/A,FALSE,"mfg"}</definedName>
    <definedName name="abcj9i" localSheetId="7" hidden="1">{"detail",#N/A,FALSE,"mfg";"summary",#N/A,FALSE,"mfg"}</definedName>
    <definedName name="abcj9i" hidden="1">{"detail",#N/A,FALSE,"mfg";"summary",#N/A,FALSE,"mfg"}</definedName>
    <definedName name="abckg" localSheetId="3" hidden="1">{#N/A,"PURCHM",FALSE,"Business Analysis";#N/A,"SPADD",FALSE,"Business Analysis"}</definedName>
    <definedName name="abckg" localSheetId="7" hidden="1">{#N/A,"PURCHM",FALSE,"Business Analysis";#N/A,"SPADD",FALSE,"Business Analysis"}</definedName>
    <definedName name="abckg" hidden="1">{#N/A,"PURCHM",FALSE,"Business Analysis";#N/A,"SPADD",FALSE,"Business Analysis"}</definedName>
    <definedName name="abcklg" localSheetId="3" hidden="1">{"detail",#N/A,FALSE,"mfg";"summary",#N/A,FALSE,"mfg"}</definedName>
    <definedName name="abcklg" localSheetId="7" hidden="1">{"detail",#N/A,FALSE,"mfg";"summary",#N/A,FALSE,"mfg"}</definedName>
    <definedName name="abcklg" hidden="1">{"detail",#N/A,FALSE,"mfg";"summary",#N/A,FALSE,"mfg"}</definedName>
    <definedName name="abcl96\" localSheetId="3" hidden="1">{#N/A,"PURCHM",FALSE,"Business Analysis";#N/A,"SPADD",FALSE,"Business Analysis"}</definedName>
    <definedName name="abcl96\" localSheetId="7" hidden="1">{#N/A,"PURCHM",FALSE,"Business Analysis";#N/A,"SPADD",FALSE,"Business Analysis"}</definedName>
    <definedName name="abcl96\" hidden="1">{#N/A,"PURCHM",FALSE,"Business Analysis";#N/A,"SPADD",FALSE,"Business Analysis"}</definedName>
    <definedName name="abclkj" localSheetId="3" hidden="1">{"detail",#N/A,FALSE,"mfg";"summary",#N/A,FALSE,"mfg"}</definedName>
    <definedName name="abclkj" localSheetId="7" hidden="1">{"detail",#N/A,FALSE,"mfg";"summary",#N/A,FALSE,"mfg"}</definedName>
    <definedName name="abclkj" hidden="1">{"detail",#N/A,FALSE,"mfg";"summary",#N/A,FALSE,"mfg"}</definedName>
    <definedName name="abclxs" localSheetId="3" hidden="1">{"detail",#N/A,FALSE,"mfg";"summary",#N/A,FALSE,"mfg"}</definedName>
    <definedName name="abclxs" localSheetId="7" hidden="1">{"detail",#N/A,FALSE,"mfg";"summary",#N/A,FALSE,"mfg"}</definedName>
    <definedName name="abclxs" hidden="1">{"detail",#N/A,FALSE,"mfg";"summary",#N/A,FALSE,"mfg"}</definedName>
    <definedName name="abcoi" localSheetId="3" hidden="1">{"detail",#N/A,FALSE,"mfg";"summary",#N/A,FALSE,"mfg"}</definedName>
    <definedName name="abcoi" localSheetId="7" hidden="1">{"detail",#N/A,FALSE,"mfg";"summary",#N/A,FALSE,"mfg"}</definedName>
    <definedName name="abcoi" hidden="1">{"detail",#N/A,FALSE,"mfg";"summary",#N/A,FALSE,"mfg"}</definedName>
    <definedName name="abcois" localSheetId="3" hidden="1">{"detail",#N/A,FALSE,"mfg";"summary",#N/A,FALSE,"mfg"}</definedName>
    <definedName name="abcois" localSheetId="7" hidden="1">{"detail",#N/A,FALSE,"mfg";"summary",#N/A,FALSE,"mfg"}</definedName>
    <definedName name="abcois" hidden="1">{"detail",#N/A,FALSE,"mfg";"summary",#N/A,FALSE,"mfg"}</definedName>
    <definedName name="abji" localSheetId="3" hidden="1">{#N/A,"PURCHM",FALSE,"Business Analysis";#N/A,"SPADD",FALSE,"Business Analysis"}</definedName>
    <definedName name="abji" localSheetId="7" hidden="1">{#N/A,"PURCHM",FALSE,"Business Analysis";#N/A,"SPADD",FALSE,"Business Analysis"}</definedName>
    <definedName name="abji" hidden="1">{#N/A,"PURCHM",FALSE,"Business Analysis";#N/A,"SPADD",FALSE,"Business Analysis"}</definedName>
    <definedName name="abki9" localSheetId="3" hidden="1">{#N/A,"PURCHM",FALSE,"Business Analysis";#N/A,"SPADD",FALSE,"Business Analysis"}</definedName>
    <definedName name="abki9" localSheetId="7" hidden="1">{#N/A,"PURCHM",FALSE,"Business Analysis";#N/A,"SPADD",FALSE,"Business Analysis"}</definedName>
    <definedName name="abki9" hidden="1">{#N/A,"PURCHM",FALSE,"Business Analysis";#N/A,"SPADD",FALSE,"Business Analysis"}</definedName>
    <definedName name="ablo5" localSheetId="3" hidden="1">{#N/A,"PURCHM",FALSE,"Business Analysis";#N/A,"SPADD",FALSE,"Business Analysis"}</definedName>
    <definedName name="ablo5" localSheetId="7" hidden="1">{#N/A,"PURCHM",FALSE,"Business Analysis";#N/A,"SPADD",FALSE,"Business Analysis"}</definedName>
    <definedName name="ablo5" hidden="1">{#N/A,"PURCHM",FALSE,"Business Analysis";#N/A,"SPADD",FALSE,"Business Analysis"}</definedName>
    <definedName name="ABN" localSheetId="3" hidden="1">{"'PXR_6500'!$A$1:$I$124"}</definedName>
    <definedName name="ABN" localSheetId="7" hidden="1">{"'PXR_6500'!$A$1:$I$124"}</definedName>
    <definedName name="ABN" hidden="1">{"'PXR_6500'!$A$1:$I$124"}</definedName>
    <definedName name="abno" localSheetId="3" hidden="1">{"'PXR_6500'!$A$1:$I$124"}</definedName>
    <definedName name="abno" localSheetId="7" hidden="1">{"'PXR_6500'!$A$1:$I$124"}</definedName>
    <definedName name="abno" hidden="1">{"'PXR_6500'!$A$1:$I$124"}</definedName>
    <definedName name="Abril" localSheetId="3" hidden="1">{#N/A,#N/A,FALSE,"Acum Julio - 00"}</definedName>
    <definedName name="Abril" localSheetId="7" hidden="1">{#N/A,#N/A,FALSE,"Acum Julio - 00"}</definedName>
    <definedName name="Abril" hidden="1">{#N/A,#N/A,FALSE,"Acum Julio - 00"}</definedName>
    <definedName name="ac" localSheetId="3" hidden="1">{#N/A,"PURCHM",FALSE,"Business Analysis";#N/A,"SPADD",FALSE,"Business Analysis"}</definedName>
    <definedName name="ac" localSheetId="7" hidden="1">{#N/A,"PURCHM",FALSE,"Business Analysis";#N/A,"SPADD",FALSE,"Business Analysis"}</definedName>
    <definedName name="ac" hidden="1">{#N/A,"PURCHM",FALSE,"Business Analysis";#N/A,"SPADD",FALSE,"Business Analysis"}</definedName>
    <definedName name="AccessDatabase" hidden="1">"C:\Meus documentos\Planilha_mãe.mdb"</definedName>
    <definedName name="accs" localSheetId="3" hidden="1">{"detail",#N/A,FALSE,"mfg";"summary",#N/A,FALSE,"mfg"}</definedName>
    <definedName name="accs" localSheetId="7" hidden="1">{"detail",#N/A,FALSE,"mfg";"summary",#N/A,FALSE,"mfg"}</definedName>
    <definedName name="accs" hidden="1">{"detail",#N/A,FALSE,"mfg";"summary",#N/A,FALSE,"mfg"}</definedName>
    <definedName name="actionplan" localSheetId="3" hidden="1">{#N/A,"PURADD",FALSE,"Business Analysis";#N/A,"PURSPP",FALSE,"Business Analysis";#N/A,"CTGIND",FALSE,"Business Analysis";#N/A,"PURCHM",FALSE,"Business Analysis";#N/A,"SPADD",FALSE,"Business Analysis";#N/A,"EPOXY",FALSE,"Business Analysis";#N/A,"PURPER",FALSE,"Business Analysis"}</definedName>
    <definedName name="actionplan" localSheetId="7" hidden="1">{#N/A,"PURADD",FALSE,"Business Analysis";#N/A,"PURSPP",FALSE,"Business Analysis";#N/A,"CTGIND",FALSE,"Business Analysis";#N/A,"PURCHM",FALSE,"Business Analysis";#N/A,"SPADD",FALSE,"Business Analysis";#N/A,"EPOXY",FALSE,"Business Analysis";#N/A,"PURPER",FALSE,"Business Analysis"}</definedName>
    <definedName name="actionplan" hidden="1">{#N/A,"PURADD",FALSE,"Business Analysis";#N/A,"PURSPP",FALSE,"Business Analysis";#N/A,"CTGIND",FALSE,"Business Analysis";#N/A,"PURCHM",FALSE,"Business Analysis";#N/A,"SPADD",FALSE,"Business Analysis";#N/A,"EPOXY",FALSE,"Business Analysis";#N/A,"PURPER",FALSE,"Business Analysis"}</definedName>
    <definedName name="ACTIVOS" localSheetId="3" hidden="1">{#N/A,#N/A,FALSE,"tipo prestatario";#N/A,#N/A,FALSE,"por importes";#N/A,#N/A,FALSE,"por plazos";#N/A,#N/A,FALSE,"por tipo  interes";#N/A,#N/A,FALSE,"desg. cart";#N/A,#N/A,FALSE,"act. dud. deuda"}</definedName>
    <definedName name="ACTIVOS" localSheetId="7" hidden="1">{#N/A,#N/A,FALSE,"tipo prestatario";#N/A,#N/A,FALSE,"por importes";#N/A,#N/A,FALSE,"por plazos";#N/A,#N/A,FALSE,"por tipo  interes";#N/A,#N/A,FALSE,"desg. cart";#N/A,#N/A,FALSE,"act. dud. deuda"}</definedName>
    <definedName name="ACTIVOS" hidden="1">{#N/A,#N/A,FALSE,"tipo prestatario";#N/A,#N/A,FALSE,"por importes";#N/A,#N/A,FALSE,"por plazos";#N/A,#N/A,FALSE,"por tipo  interes";#N/A,#N/A,FALSE,"desg. cart";#N/A,#N/A,FALSE,"act. dud. deuda"}</definedName>
    <definedName name="Actual" localSheetId="3" hidden="1">{#N/A,#N/A,TRUE,"Historicals";#N/A,#N/A,TRUE,"Charts";#N/A,#N/A,TRUE,"Forecasts"}</definedName>
    <definedName name="Actual" localSheetId="7" hidden="1">{#N/A,#N/A,TRUE,"Historicals";#N/A,#N/A,TRUE,"Charts";#N/A,#N/A,TRUE,"Forecasts"}</definedName>
    <definedName name="Actual" hidden="1">{#N/A,#N/A,TRUE,"Historicals";#N/A,#N/A,TRUE,"Charts";#N/A,#N/A,TRUE,"Forecasts"}</definedName>
    <definedName name="ACwvu.inputs._.raw._.data." hidden="1">#REF!</definedName>
    <definedName name="ACwvu.RAZA03." hidden="1">#REF!</definedName>
    <definedName name="ACwvu.summary1." hidden="1">#REF!</definedName>
    <definedName name="ACwvu.summary2." hidden="1">#REF!</definedName>
    <definedName name="ACwvu.summary3." hidden="1">#REF!</definedName>
    <definedName name="AD" localSheetId="3" hidden="1">{"'cuadro12'!$A$3:$H$41"}</definedName>
    <definedName name="AD" localSheetId="7" hidden="1">{"'cuadro12'!$A$3:$H$41"}</definedName>
    <definedName name="AD" hidden="1">{"'cuadro12'!$A$3:$H$41"}</definedName>
    <definedName name="adasd" localSheetId="3" hidden="1">{#N/A,#N/A,FALSE,"KA CH  (2)"}</definedName>
    <definedName name="adasd" localSheetId="7" hidden="1">{#N/A,#N/A,FALSE,"KA CH  (2)"}</definedName>
    <definedName name="adasd" hidden="1">{#N/A,#N/A,FALSE,"KA CH  (2)"}</definedName>
    <definedName name="adc" localSheetId="3" hidden="1">{#N/A,"PURCHM",FALSE,"Business Analysis";#N/A,"SPADD",FALSE,"Business Analysis"}</definedName>
    <definedName name="adc" localSheetId="7" hidden="1">{#N/A,"PURCHM",FALSE,"Business Analysis";#N/A,"SPADD",FALSE,"Business Analysis"}</definedName>
    <definedName name="adc" hidden="1">{#N/A,"PURCHM",FALSE,"Business Analysis";#N/A,"SPADD",FALSE,"Business Analysis"}</definedName>
    <definedName name="adfd" localSheetId="3" hidden="1">{"sales growth",#N/A,FALSE,"summary";"oper income",#N/A,FALSE,"summary";"oros rank",#N/A,FALSE,"summary";"net assets",#N/A,FALSE,"summary";"asset turnover",#N/A,FALSE,"summary";"orona",#N/A,FALSE,"summary"}</definedName>
    <definedName name="adfd" localSheetId="7" hidden="1">{"sales growth",#N/A,FALSE,"summary";"oper income",#N/A,FALSE,"summary";"oros rank",#N/A,FALSE,"summary";"net assets",#N/A,FALSE,"summary";"asset turnover",#N/A,FALSE,"summary";"orona",#N/A,FALSE,"summary"}</definedName>
    <definedName name="adfd" hidden="1">{"sales growth",#N/A,FALSE,"summary";"oper income",#N/A,FALSE,"summary";"oros rank",#N/A,FALSE,"summary";"net assets",#N/A,FALSE,"summary";"asset turnover",#N/A,FALSE,"summary";"orona",#N/A,FALSE,"summary"}</definedName>
    <definedName name="adfgasdysty" localSheetId="3" hidden="1">{#N/A,#N/A,FALSE,"REPORT"}</definedName>
    <definedName name="adfgasdysty" localSheetId="7" hidden="1">{#N/A,#N/A,FALSE,"REPORT"}</definedName>
    <definedName name="adfgasdysty" hidden="1">{#N/A,#N/A,FALSE,"REPORT"}</definedName>
    <definedName name="adfsfjfjky" localSheetId="3" hidden="1">{#N/A,#N/A,FALSE,"REPORT"}</definedName>
    <definedName name="adfsfjfjky" localSheetId="7" hidden="1">{#N/A,#N/A,FALSE,"REPORT"}</definedName>
    <definedName name="adfsfjfjky" hidden="1">{#N/A,#N/A,FALSE,"REPORT"}</definedName>
    <definedName name="adgfgd" localSheetId="3" hidden="1">{"detail",#N/A,FALSE,"mfg";"summary",#N/A,FALSE,"mfg"}</definedName>
    <definedName name="adgfgd" localSheetId="7" hidden="1">{"detail",#N/A,FALSE,"mfg";"summary",#N/A,FALSE,"mfg"}</definedName>
    <definedName name="adgfgd" hidden="1">{"detail",#N/A,FALSE,"mfg";"summary",#N/A,FALSE,"mfg"}</definedName>
    <definedName name="ads" localSheetId="3" hidden="1">{"Qtr Op Mgd Q2",#N/A,FALSE,"Qtr-Op (Mng)";"Qtr Op Rpt Q2",#N/A,FALSE,"Qtr-Op (Rpt)";"Operating Vs Reported",#N/A,FALSE,"Rpt-Op Inc"}</definedName>
    <definedName name="ads" localSheetId="7" hidden="1">{"Qtr Op Mgd Q2",#N/A,FALSE,"Qtr-Op (Mng)";"Qtr Op Rpt Q2",#N/A,FALSE,"Qtr-Op (Rpt)";"Operating Vs Reported",#N/A,FALSE,"Rpt-Op Inc"}</definedName>
    <definedName name="ads" hidden="1">{"Qtr Op Mgd Q2",#N/A,FALSE,"Qtr-Op (Mng)";"Qtr Op Rpt Q2",#N/A,FALSE,"Qtr-Op (Rpt)";"Operating Vs Reported",#N/A,FALSE,"Rpt-Op Inc"}</definedName>
    <definedName name="adsf" localSheetId="3" hidden="1">{"QTD",#N/A,FALSE,"SUM"}</definedName>
    <definedName name="adsf" localSheetId="7" hidden="1">{"QTD",#N/A,FALSE,"SUM"}</definedName>
    <definedName name="adsf" hidden="1">{"QTD",#N/A,FALSE,"SUM"}</definedName>
    <definedName name="adsfgds" localSheetId="3" hidden="1">{#N/A,#N/A,FALSE,"Umsatz CH";#N/A,#N/A,FALSE,"ER CH";#N/A,#N/A,FALSE,"EA CH (2) ";#N/A,#N/A,FALSE,"EA CH";#N/A,#N/A,FALSE,"EA CH (3) ";#N/A,#N/A,FALSE,"EA CH (4)";#N/A,#N/A,FALSE,"KA CH";#N/A,#N/A,FALSE,"KA CH  (2)";#N/A,#N/A,FALSE,"KA CH  (3)";#N/A,#N/A,FALSE,"KA CH (4)"}</definedName>
    <definedName name="adsfgds" localSheetId="7" hidden="1">{#N/A,#N/A,FALSE,"Umsatz CH";#N/A,#N/A,FALSE,"ER CH";#N/A,#N/A,FALSE,"EA CH (2) ";#N/A,#N/A,FALSE,"EA CH";#N/A,#N/A,FALSE,"EA CH (3) ";#N/A,#N/A,FALSE,"EA CH (4)";#N/A,#N/A,FALSE,"KA CH";#N/A,#N/A,FALSE,"KA CH  (2)";#N/A,#N/A,FALSE,"KA CH  (3)";#N/A,#N/A,FALSE,"KA CH (4)"}</definedName>
    <definedName name="adsfgds" hidden="1">{#N/A,#N/A,FALSE,"Umsatz CH";#N/A,#N/A,FALSE,"ER CH";#N/A,#N/A,FALSE,"EA CH (2) ";#N/A,#N/A,FALSE,"EA CH";#N/A,#N/A,FALSE,"EA CH (3) ";#N/A,#N/A,FALSE,"EA CH (4)";#N/A,#N/A,FALSE,"KA CH";#N/A,#N/A,FALSE,"KA CH  (2)";#N/A,#N/A,FALSE,"KA CH  (3)";#N/A,#N/A,FALSE,"KA CH (4)"}</definedName>
    <definedName name="aew" localSheetId="3" hidden="1">{#N/A,"PURCHM",FALSE,"Business Analysis";#N/A,"SPADD",FALSE,"Business Analysis"}</definedName>
    <definedName name="aew" localSheetId="7" hidden="1">{#N/A,"PURCHM",FALSE,"Business Analysis";#N/A,"SPADD",FALSE,"Business Analysis"}</definedName>
    <definedName name="aew" hidden="1">{#N/A,"PURCHM",FALSE,"Business Analysis";#N/A,"SPADD",FALSE,"Business Analysis"}</definedName>
    <definedName name="aewfwe" localSheetId="3" hidden="1">{#N/A,#N/A,FALSE,"Brad_DCFM";#N/A,#N/A,FALSE,"Nick_DCFM";#N/A,#N/A,FALSE,"Mobile_DCFM"}</definedName>
    <definedName name="aewfwe" localSheetId="7" hidden="1">{#N/A,#N/A,FALSE,"Brad_DCFM";#N/A,#N/A,FALSE,"Nick_DCFM";#N/A,#N/A,FALSE,"Mobile_DCFM"}</definedName>
    <definedName name="aewfwe" hidden="1">{#N/A,#N/A,FALSE,"Brad_DCFM";#N/A,#N/A,FALSE,"Nick_DCFM";#N/A,#N/A,FALSE,"Mobile_DCFM"}</definedName>
    <definedName name="afc" localSheetId="3" hidden="1">{"detail",#N/A,FALSE,"mfg";"summary",#N/A,FALSE,"mfg"}</definedName>
    <definedName name="afc" localSheetId="7" hidden="1">{"detail",#N/A,FALSE,"mfg";"summary",#N/A,FALSE,"mfg"}</definedName>
    <definedName name="afc" hidden="1">{"detail",#N/A,FALSE,"mfg";"summary",#N/A,FALSE,"mfg"}</definedName>
    <definedName name="AFDADSFDAS" localSheetId="3" hidden="1">{#N/A,#N/A,FALSE,"REPORT"}</definedName>
    <definedName name="AFDADSFDAS" localSheetId="7" hidden="1">{#N/A,#N/A,FALSE,"REPORT"}</definedName>
    <definedName name="AFDADSFDAS" hidden="1">{#N/A,#N/A,FALSE,"REPORT"}</definedName>
    <definedName name="afds" localSheetId="3" hidden="1">{"YTD",#N/A,FALSE,"SUM"}</definedName>
    <definedName name="afds" localSheetId="7" hidden="1">{"YTD",#N/A,FALSE,"SUM"}</definedName>
    <definedName name="afds" hidden="1">{"YTD",#N/A,FALSE,"SUM"}</definedName>
    <definedName name="africa" localSheetId="3" hidden="1">{#N/A,#N/A,FALSE,"CNS";#N/A,#N/A,FALSE,"Serz";#N/A,#N/A,FALSE,"Ace"}</definedName>
    <definedName name="africa" localSheetId="7" hidden="1">{#N/A,#N/A,FALSE,"CNS";#N/A,#N/A,FALSE,"Serz";#N/A,#N/A,FALSE,"Ace"}</definedName>
    <definedName name="africa" hidden="1">{#N/A,#N/A,FALSE,"CNS";#N/A,#N/A,FALSE,"Serz";#N/A,#N/A,FALSE,"Ace"}</definedName>
    <definedName name="ag" localSheetId="3" hidden="1">{"detail",#N/A,FALSE,"mfg";"summary",#N/A,FALSE,"mfg"}</definedName>
    <definedName name="ag" localSheetId="7" hidden="1">{"detail",#N/A,FALSE,"mfg";"summary",#N/A,FALSE,"mfg"}</definedName>
    <definedName name="ag" hidden="1">{"detail",#N/A,FALSE,"mfg";"summary",#N/A,FALSE,"mfg"}</definedName>
    <definedName name="agafdhsdh" localSheetId="3" hidden="1">{#N/A,#N/A,FALSE,"REPORT"}</definedName>
    <definedName name="agafdhsdh" localSheetId="7" hidden="1">{#N/A,#N/A,FALSE,"REPORT"}</definedName>
    <definedName name="agafdhsdh" hidden="1">{#N/A,#N/A,FALSE,"REPORT"}</definedName>
    <definedName name="agcd22" localSheetId="3" hidden="1">{#N/A,"PURCHM",FALSE,"Business Analysis";#N/A,"SPADD",FALSE,"Business Analysis"}</definedName>
    <definedName name="agcd22" localSheetId="7" hidden="1">{#N/A,"PURCHM",FALSE,"Business Analysis";#N/A,"SPADD",FALSE,"Business Analysis"}</definedName>
    <definedName name="agcd22" hidden="1">{#N/A,"PURCHM",FALSE,"Business Analysis";#N/A,"SPADD",FALSE,"Business Analysis"}</definedName>
    <definedName name="agcd22bd" localSheetId="3" hidden="1">{#N/A,"PURCHM",FALSE,"Business Analysis";#N/A,"SPADD",FALSE,"Business Analysis"}</definedName>
    <definedName name="agcd22bd" localSheetId="7" hidden="1">{#N/A,"PURCHM",FALSE,"Business Analysis";#N/A,"SPADD",FALSE,"Business Analysis"}</definedName>
    <definedName name="agcd22bd" hidden="1">{#N/A,"PURCHM",FALSE,"Business Analysis";#N/A,"SPADD",FALSE,"Business Analysis"}</definedName>
    <definedName name="agfdg" localSheetId="3" hidden="1">{#N/A,#N/A,FALSE,"PMW Gruppe 99_98";#N/A,#N/A,FALSE,"PMW KG 98_99";#N/A,#N/A,FALSE,"PMW Inc. 99_98";#N/A,#N/A,FALSE,"PMW VTECH 99_98";#N/A,#N/A,FALSE,"PMW Thail. 99_98";#N/A,#N/A,FALSE,"PMW Canada 99_98";#N/A,#N/A,FALSE,"Währungsabw. 99_98"}</definedName>
    <definedName name="agfdg" localSheetId="7" hidden="1">{#N/A,#N/A,FALSE,"PMW Gruppe 99_98";#N/A,#N/A,FALSE,"PMW KG 98_99";#N/A,#N/A,FALSE,"PMW Inc. 99_98";#N/A,#N/A,FALSE,"PMW VTECH 99_98";#N/A,#N/A,FALSE,"PMW Thail. 99_98";#N/A,#N/A,FALSE,"PMW Canada 99_98";#N/A,#N/A,FALSE,"Währungsabw. 99_98"}</definedName>
    <definedName name="agfdg" hidden="1">{#N/A,#N/A,FALSE,"PMW Gruppe 99_98";#N/A,#N/A,FALSE,"PMW KG 98_99";#N/A,#N/A,FALSE,"PMW Inc. 99_98";#N/A,#N/A,FALSE,"PMW VTECH 99_98";#N/A,#N/A,FALSE,"PMW Thail. 99_98";#N/A,#N/A,FALSE,"PMW Canada 99_98";#N/A,#N/A,FALSE,"Währungsabw. 99_98"}</definedName>
    <definedName name="agsgaghgfj" localSheetId="3" hidden="1">{#N/A,#N/A,FALSE,"Pharm";#N/A,#N/A,FALSE,"WWCM"}</definedName>
    <definedName name="agsgaghgfj" localSheetId="7" hidden="1">{#N/A,#N/A,FALSE,"Pharm";#N/A,#N/A,FALSE,"WWCM"}</definedName>
    <definedName name="agsgaghgfj" hidden="1">{#N/A,#N/A,FALSE,"Pharm";#N/A,#N/A,FALSE,"WWCM"}</definedName>
    <definedName name="ah" localSheetId="3" hidden="1">{"detail",#N/A,FALSE,"mfg";"summary",#N/A,FALSE,"mfg"}</definedName>
    <definedName name="ah" localSheetId="7" hidden="1">{"detail",#N/A,FALSE,"mfg";"summary",#N/A,FALSE,"mfg"}</definedName>
    <definedName name="ah" hidden="1">{"detail",#N/A,FALSE,"mfg";"summary",#N/A,FALSE,"mfg"}</definedName>
    <definedName name="aj" localSheetId="3" hidden="1">{"detail",#N/A,FALSE,"mfg";"summary",#N/A,FALSE,"mfg"}</definedName>
    <definedName name="aj" localSheetId="7" hidden="1">{"detail",#N/A,FALSE,"mfg";"summary",#N/A,FALSE,"mfg"}</definedName>
    <definedName name="aj" hidden="1">{"detail",#N/A,FALSE,"mfg";"summary",#N/A,FALSE,"mfg"}</definedName>
    <definedName name="alex" localSheetId="3" hidden="1">{#N/A,#N/A,FALSE,"REPORT"}</definedName>
    <definedName name="alex" localSheetId="7" hidden="1">{#N/A,#N/A,FALSE,"REPORT"}</definedName>
    <definedName name="alex" hidden="1">{#N/A,#N/A,FALSE,"REPORT"}</definedName>
    <definedName name="alexan" localSheetId="3" hidden="1">{#N/A,#N/A,FALSE,"REPORT"}</definedName>
    <definedName name="alexan" localSheetId="7" hidden="1">{#N/A,#N/A,FALSE,"REPORT"}</definedName>
    <definedName name="alexan" hidden="1">{#N/A,#N/A,FALSE,"REPORT"}</definedName>
    <definedName name="älll" localSheetId="3" hidden="1">{#N/A,#N/A,FALSE,"Produkte Erw.";#N/A,#N/A,FALSE,"Produkte Plan";#N/A,#N/A,FALSE,"Leistungen Erw.";#N/A,#N/A,FALSE,"Leistungen Plan";#N/A,#N/A,FALSE,"KA Allg.Kosten (2)";#N/A,#N/A,FALSE,"KA All.Kosten"}</definedName>
    <definedName name="älll" localSheetId="7" hidden="1">{#N/A,#N/A,FALSE,"Produkte Erw.";#N/A,#N/A,FALSE,"Produkte Plan";#N/A,#N/A,FALSE,"Leistungen Erw.";#N/A,#N/A,FALSE,"Leistungen Plan";#N/A,#N/A,FALSE,"KA Allg.Kosten (2)";#N/A,#N/A,FALSE,"KA All.Kosten"}</definedName>
    <definedName name="älll" hidden="1">{#N/A,#N/A,FALSE,"Produkte Erw.";#N/A,#N/A,FALSE,"Produkte Plan";#N/A,#N/A,FALSE,"Leistungen Erw.";#N/A,#N/A,FALSE,"Leistungen Plan";#N/A,#N/A,FALSE,"KA Allg.Kosten (2)";#N/A,#N/A,FALSE,"KA All.Kosten"}</definedName>
    <definedName name="am" hidden="1">"iQHideSelected"</definedName>
    <definedName name="añ" localSheetId="3" hidden="1">{"Performance Details",#N/A,FALSE,"Current Yr";"Performance Details",#N/A,FALSE,"Budget";"Performance Details",#N/A,FALSE,"Prior Year"}</definedName>
    <definedName name="añ" localSheetId="7" hidden="1">{"Performance Details",#N/A,FALSE,"Current Yr";"Performance Details",#N/A,FALSE,"Budget";"Performance Details",#N/A,FALSE,"Prior Year"}</definedName>
    <definedName name="añ" hidden="1">{"Performance Details",#N/A,FALSE,"Current Yr";"Performance Details",#N/A,FALSE,"Budget";"Performance Details",#N/A,FALSE,"Prior Year"}</definedName>
    <definedName name="andy" localSheetId="3" hidden="1">{#N/A,#N/A,FALSE,"REPORT"}</definedName>
    <definedName name="andy" localSheetId="7" hidden="1">{#N/A,#N/A,FALSE,"REPORT"}</definedName>
    <definedName name="andy" hidden="1">{#N/A,#N/A,FALSE,"REPORT"}</definedName>
    <definedName name="anscount" hidden="1">1</definedName>
    <definedName name="antonio" localSheetId="3" hidden="1">{#N/A,"70% Success",FALSE,"Sales Forecast";#N/A,#N/A,FALSE,"Sheet2"}</definedName>
    <definedName name="antonio" localSheetId="7" hidden="1">{#N/A,"70% Success",FALSE,"Sales Forecast";#N/A,#N/A,FALSE,"Sheet2"}</definedName>
    <definedName name="antonio" hidden="1">{#N/A,"70% Success",FALSE,"Sales Forecast";#N/A,#N/A,FALSE,"Sheet2"}</definedName>
    <definedName name="anything" localSheetId="3" hidden="1">{#N/A,#N/A,FALSE,"Output";#N/A,#N/A,FALSE,"Cover Sheet";#N/A,#N/A,FALSE,"Current Mkt. Projections"}</definedName>
    <definedName name="anything" localSheetId="7" hidden="1">{#N/A,#N/A,FALSE,"Output";#N/A,#N/A,FALSE,"Cover Sheet";#N/A,#N/A,FALSE,"Current Mkt. Projections"}</definedName>
    <definedName name="anything" hidden="1">{#N/A,#N/A,FALSE,"Output";#N/A,#N/A,FALSE,"Cover Sheet";#N/A,#N/A,FALSE,"Current Mkt. Projections"}</definedName>
    <definedName name="äöäö" localSheetId="3" hidden="1">{#N/A,#N/A,FALSE,"Umsatz CH";#N/A,#N/A,FALSE,"ER CH";#N/A,#N/A,FALSE,"EA CH (2) ";#N/A,#N/A,FALSE,"EA CH";#N/A,#N/A,FALSE,"EA CH (3) ";#N/A,#N/A,FALSE,"EA CH (4)";#N/A,#N/A,FALSE,"KA CH";#N/A,#N/A,FALSE,"KA CH  (2)";#N/A,#N/A,FALSE,"KA CH  (3)";#N/A,#N/A,FALSE,"KA CH (4)"}</definedName>
    <definedName name="äöäö" localSheetId="7" hidden="1">{#N/A,#N/A,FALSE,"Umsatz CH";#N/A,#N/A,FALSE,"ER CH";#N/A,#N/A,FALSE,"EA CH (2) ";#N/A,#N/A,FALSE,"EA CH";#N/A,#N/A,FALSE,"EA CH (3) ";#N/A,#N/A,FALSE,"EA CH (4)";#N/A,#N/A,FALSE,"KA CH";#N/A,#N/A,FALSE,"KA CH  (2)";#N/A,#N/A,FALSE,"KA CH  (3)";#N/A,#N/A,FALSE,"KA CH (4)"}</definedName>
    <definedName name="äöäö" hidden="1">{#N/A,#N/A,FALSE,"Umsatz CH";#N/A,#N/A,FALSE,"ER CH";#N/A,#N/A,FALSE,"EA CH (2) ";#N/A,#N/A,FALSE,"EA CH";#N/A,#N/A,FALSE,"EA CH (3) ";#N/A,#N/A,FALSE,"EA CH (4)";#N/A,#N/A,FALSE,"KA CH";#N/A,#N/A,FALSE,"KA CH  (2)";#N/A,#N/A,FALSE,"KA CH  (3)";#N/A,#N/A,FALSE,"KA CH (4)"}</definedName>
    <definedName name="aqw" localSheetId="3" hidden="1">{#N/A,"PURCHM",FALSE,"Business Analysis";#N/A,"SPADD",FALSE,"Business Analysis"}</definedName>
    <definedName name="aqw" localSheetId="7" hidden="1">{#N/A,"PURCHM",FALSE,"Business Analysis";#N/A,"SPADD",FALSE,"Business Analysis"}</definedName>
    <definedName name="aqw" hidden="1">{#N/A,"PURCHM",FALSE,"Business Analysis";#N/A,"SPADD",FALSE,"Business Analysis"}</definedName>
    <definedName name="_xlnm.Print_Area" localSheetId="8">UNITS!$A$1:$H$136</definedName>
    <definedName name="arg" localSheetId="0" hidden="1">{#N/A,#N/A,FALSE,"base"}</definedName>
    <definedName name="arg" localSheetId="3" hidden="1">{#N/A,#N/A,FALSE,"base"}</definedName>
    <definedName name="arg" localSheetId="7" hidden="1">{#N/A,#N/A,FALSE,"base"}</definedName>
    <definedName name="arg" hidden="1">{#N/A,#N/A,FALSE,"base"}</definedName>
    <definedName name="as" localSheetId="3" hidden="1">{"FCB_ALL",#N/A,FALSE,"FCB"}</definedName>
    <definedName name="as" localSheetId="7" hidden="1">{"FCB_ALL",#N/A,FALSE,"FCB"}</definedName>
    <definedName name="as" hidden="1">{"FCB_ALL",#N/A,FALSE,"FCB"}</definedName>
    <definedName name="AS2DocOpenMode" localSheetId="0" hidden="1">"AS2DocumentEdit"</definedName>
    <definedName name="AS2DocOpenMode" localSheetId="3" hidden="1">"AS2DocumentEdit"</definedName>
    <definedName name="AS2DocOpenMode" hidden="1">"AS2DocumentBrowse"</definedName>
    <definedName name="AS2NamedRange" hidden="1">23</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s" localSheetId="3" hidden="1">{#N/A,#N/A,FALSE,"Pharm";#N/A,#N/A,FALSE,"WWCM"}</definedName>
    <definedName name="asas" localSheetId="7" hidden="1">{#N/A,#N/A,FALSE,"Pharm";#N/A,#N/A,FALSE,"WWCM"}</definedName>
    <definedName name="asas" hidden="1">{#N/A,#N/A,FALSE,"Pharm";#N/A,#N/A,FALSE,"WWCM"}</definedName>
    <definedName name="asasdasd" localSheetId="3" hidden="1">{"Variance Q4",#N/A,FALSE,"Var"}</definedName>
    <definedName name="asasdasd" localSheetId="7" hidden="1">{"Variance Q4",#N/A,FALSE,"Var"}</definedName>
    <definedName name="asasdasd" hidden="1">{"Variance Q4",#N/A,FALSE,"Var"}</definedName>
    <definedName name="asda" hidden="1">#REF!</definedName>
    <definedName name="asdf" localSheetId="0" hidden="1">{"short1",#N/A,FALSE,"masmode";"short2",#N/A,FALSE,"masmode";"qtrres",#N/A,FALSE,"QTR. RES.";"sales",#N/A,FALSE,"Sales &amp; Market Share"}</definedName>
    <definedName name="asdf" localSheetId="3" hidden="1">{"short1",#N/A,FALSE,"masmode";"short2",#N/A,FALSE,"masmode";"qtrres",#N/A,FALSE,"QTR. RES.";"sales",#N/A,FALSE,"Sales &amp; Market Share"}</definedName>
    <definedName name="asdf" localSheetId="7" hidden="1">{"Commentary",#N/A,FALSE,"May"}</definedName>
    <definedName name="asdf" hidden="1">{"Commentary",#N/A,FALSE,"May"}</definedName>
    <definedName name="asdfdfddfsf" localSheetId="3"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dfddfsf"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dfddfsf"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g" localSheetId="3" hidden="1">{#N/A,#N/A,FALSE,"Pharm";#N/A,#N/A,FALSE,"WWCM"}</definedName>
    <definedName name="asdfg" localSheetId="7" hidden="1">{#N/A,#N/A,FALSE,"Pharm";#N/A,#N/A,FALSE,"WWCM"}</definedName>
    <definedName name="asdfg" hidden="1">{#N/A,#N/A,FALSE,"Pharm";#N/A,#N/A,FALSE,"WWCM"}</definedName>
    <definedName name="asdgahdfhth" localSheetId="3" hidden="1">{#N/A,#N/A,FALSE,"REPORT"}</definedName>
    <definedName name="asdgahdfhth" localSheetId="7" hidden="1">{#N/A,#N/A,FALSE,"REPORT"}</definedName>
    <definedName name="asdgahdfhth" hidden="1">{#N/A,#N/A,FALSE,"REPORT"}</definedName>
    <definedName name="asdgayery" localSheetId="3" hidden="1">{#N/A,#N/A,FALSE,"Pharm";#N/A,#N/A,FALSE,"WWCM"}</definedName>
    <definedName name="asdgayery" localSheetId="7" hidden="1">{#N/A,#N/A,FALSE,"Pharm";#N/A,#N/A,FALSE,"WWCM"}</definedName>
    <definedName name="asdgayery" hidden="1">{#N/A,#N/A,FALSE,"Pharm";#N/A,#N/A,FALSE,"WWCM"}</definedName>
    <definedName name="asdgfdytyet" localSheetId="3" hidden="1">{#N/A,#N/A,FALSE,"REPORT"}</definedName>
    <definedName name="asdgfdytyet" localSheetId="7" hidden="1">{#N/A,#N/A,FALSE,"REPORT"}</definedName>
    <definedName name="asdgfdytyet" hidden="1">{#N/A,#N/A,FALSE,"REPORT"}</definedName>
    <definedName name="asdgtryukuio" localSheetId="3" hidden="1">{#N/A,#N/A,FALSE,"REPORT"}</definedName>
    <definedName name="asdgtryukuio" localSheetId="7" hidden="1">{#N/A,#N/A,FALSE,"REPORT"}</definedName>
    <definedName name="asdgtryukuio" hidden="1">{#N/A,#N/A,FALSE,"REPORT"}</definedName>
    <definedName name="asdjgkl" localSheetId="3" hidden="1">{#N/A,#N/A,FALSE,"Pharm";#N/A,#N/A,FALSE,"WWCM"}</definedName>
    <definedName name="asdjgkl" localSheetId="7" hidden="1">{#N/A,#N/A,FALSE,"Pharm";#N/A,#N/A,FALSE,"WWCM"}</definedName>
    <definedName name="asdjgkl" hidden="1">{#N/A,#N/A,FALSE,"Pharm";#N/A,#N/A,FALSE,"WWCM"}</definedName>
    <definedName name="asds" localSheetId="3" hidden="1">{#N/A,#N/A,FALSE,"Umsatz CH";#N/A,#N/A,FALSE,"ER CH";#N/A,#N/A,FALSE,"EA CH (2) ";#N/A,#N/A,FALSE,"EA CH";#N/A,#N/A,FALSE,"EA CH (3) ";#N/A,#N/A,FALSE,"EA CH (4)";#N/A,#N/A,FALSE,"KA CH";#N/A,#N/A,FALSE,"KA CH  (2)";#N/A,#N/A,FALSE,"KA CH  (3)";#N/A,#N/A,FALSE,"KA CH (4)"}</definedName>
    <definedName name="asds" localSheetId="7" hidden="1">{#N/A,#N/A,FALSE,"Umsatz CH";#N/A,#N/A,FALSE,"ER CH";#N/A,#N/A,FALSE,"EA CH (2) ";#N/A,#N/A,FALSE,"EA CH";#N/A,#N/A,FALSE,"EA CH (3) ";#N/A,#N/A,FALSE,"EA CH (4)";#N/A,#N/A,FALSE,"KA CH";#N/A,#N/A,FALSE,"KA CH  (2)";#N/A,#N/A,FALSE,"KA CH  (3)";#N/A,#N/A,FALSE,"KA CH (4)"}</definedName>
    <definedName name="asds" hidden="1">{#N/A,#N/A,FALSE,"Umsatz CH";#N/A,#N/A,FALSE,"ER CH";#N/A,#N/A,FALSE,"EA CH (2) ";#N/A,#N/A,FALSE,"EA CH";#N/A,#N/A,FALSE,"EA CH (3) ";#N/A,#N/A,FALSE,"EA CH (4)";#N/A,#N/A,FALSE,"KA CH";#N/A,#N/A,FALSE,"KA CH  (2)";#N/A,#N/A,FALSE,"KA CH  (3)";#N/A,#N/A,FALSE,"KA CH (4)"}</definedName>
    <definedName name="asedfdf" localSheetId="3" hidden="1">{"apci",#N/A,FALSE,"Chem_CY";"eastman",#N/A,FALSE,"Eastman";"betz",#N/A,FALSE,"Betz";"great lakes",#N/A,FALSE,"Great_Lakes";"hercules",#N/A,FALSE,"Hercules Chem Seg Data";"rohm",#N/A,FALSE,"Rohm";"union carbide",#N/A,FALSE,"Union";"witco",#N/A,FALSE,"Witco"}</definedName>
    <definedName name="asedfdf" localSheetId="7" hidden="1">{"apci",#N/A,FALSE,"Chem_CY";"eastman",#N/A,FALSE,"Eastman";"betz",#N/A,FALSE,"Betz";"great lakes",#N/A,FALSE,"Great_Lakes";"hercules",#N/A,FALSE,"Hercules Chem Seg Data";"rohm",#N/A,FALSE,"Rohm";"union carbide",#N/A,FALSE,"Union";"witco",#N/A,FALSE,"Witco"}</definedName>
    <definedName name="asedfdf" hidden="1">{"apci",#N/A,FALSE,"Chem_CY";"eastman",#N/A,FALSE,"Eastman";"betz",#N/A,FALSE,"Betz";"great lakes",#N/A,FALSE,"Great_Lakes";"hercules",#N/A,FALSE,"Hercules Chem Seg Data";"rohm",#N/A,FALSE,"Rohm";"union carbide",#N/A,FALSE,"Union";"witco",#N/A,FALSE,"Witco"}</definedName>
    <definedName name="asf" localSheetId="3" hidden="1">{"qchm_dcf",#N/A,FALSE,"QCHMDCF2";"qchm_terminal",#N/A,FALSE,"QCHMDCF2"}</definedName>
    <definedName name="asf" localSheetId="7" hidden="1">{"qchm_dcf",#N/A,FALSE,"QCHMDCF2";"qchm_terminal",#N/A,FALSE,"QCHMDCF2"}</definedName>
    <definedName name="asf" hidden="1">{"qchm_dcf",#N/A,FALSE,"QCHMDCF2";"qchm_terminal",#N/A,FALSE,"QCHMDCF2"}</definedName>
    <definedName name="asffghujyki" localSheetId="3" hidden="1">{#N/A,#N/A,FALSE,"Pharm";#N/A,#N/A,FALSE,"WWCM"}</definedName>
    <definedName name="asffghujyki" localSheetId="7" hidden="1">{#N/A,#N/A,FALSE,"Pharm";#N/A,#N/A,FALSE,"WWCM"}</definedName>
    <definedName name="asffghujyki" hidden="1">{#N/A,#N/A,FALSE,"Pharm";#N/A,#N/A,FALSE,"WWCM"}</definedName>
    <definedName name="asqq" localSheetId="3" hidden="1">{"Performance Details",#N/A,FALSE,"Current Yr";"Performance Details",#N/A,FALSE,"Budget";"Performance Details",#N/A,FALSE,"Prior Year"}</definedName>
    <definedName name="asqq" localSheetId="7" hidden="1">{"Performance Details",#N/A,FALSE,"Current Yr";"Performance Details",#N/A,FALSE,"Budget";"Performance Details",#N/A,FALSE,"Prior Year"}</definedName>
    <definedName name="asqq" hidden="1">{"Performance Details",#N/A,FALSE,"Current Yr";"Performance Details",#N/A,FALSE,"Budget";"Performance Details",#N/A,FALSE,"Prior Year"}</definedName>
    <definedName name="ASSA" localSheetId="3" hidden="1">{#N/A,#N/A,FALSE,"1";#N/A,#N/A,FALSE,"2";#N/A,#N/A,FALSE,"16 - 17";#N/A,#N/A,FALSE,"18 - 19";#N/A,#N/A,FALSE,"26";#N/A,#N/A,FALSE,"27";#N/A,#N/A,FALSE,"28"}</definedName>
    <definedName name="ASSA" localSheetId="7" hidden="1">{#N/A,#N/A,FALSE,"1";#N/A,#N/A,FALSE,"2";#N/A,#N/A,FALSE,"16 - 17";#N/A,#N/A,FALSE,"18 - 19";#N/A,#N/A,FALSE,"26";#N/A,#N/A,FALSE,"27";#N/A,#N/A,FALSE,"28"}</definedName>
    <definedName name="ASSA" hidden="1">{#N/A,#N/A,FALSE,"1";#N/A,#N/A,FALSE,"2";#N/A,#N/A,FALSE,"16 - 17";#N/A,#N/A,FALSE,"18 - 19";#N/A,#N/A,FALSE,"26";#N/A,#N/A,FALSE,"27";#N/A,#N/A,FALSE,"28"}</definedName>
    <definedName name="Assumptios2"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we" localSheetId="3" hidden="1">{"TXO2N2_GP",#N/A,FALSE,"MTHLYGP";"TXH2_GP",#N/A,FALSE,"MTHLYGP";"LOUIS_GP",#N/A,FALSE,"MTHLYGP";"H2_GP",#N/A,FALSE,"MTHLYGP";"O2N2_GP",#N/A,FALSE,"MTHLYGP";"PACKAGE_GP",#N/A,FALSE,"MTHLYGP";"OTHER_GP",#N/A,FALSE,"MTHLYGP"}</definedName>
    <definedName name="aswe" localSheetId="7" hidden="1">{"TXO2N2_GP",#N/A,FALSE,"MTHLYGP";"TXH2_GP",#N/A,FALSE,"MTHLYGP";"LOUIS_GP",#N/A,FALSE,"MTHLYGP";"H2_GP",#N/A,FALSE,"MTHLYGP";"O2N2_GP",#N/A,FALSE,"MTHLYGP";"PACKAGE_GP",#N/A,FALSE,"MTHLYGP";"OTHER_GP",#N/A,FALSE,"MTHLYGP"}</definedName>
    <definedName name="aswe" hidden="1">{"TXO2N2_GP",#N/A,FALSE,"MTHLYGP";"TXH2_GP",#N/A,FALSE,"MTHLYGP";"LOUIS_GP",#N/A,FALSE,"MTHLYGP";"H2_GP",#N/A,FALSE,"MTHLYGP";"O2N2_GP",#N/A,FALSE,"MTHLYGP";"PACKAGE_GP",#N/A,FALSE,"MTHLYGP";"OTHER_GP",#N/A,FALSE,"MTHLYGP"}</definedName>
    <definedName name="att" localSheetId="3" hidden="1">{#N/A,#N/A,FALSE,"COVER PAGE";#N/A,#N/A,FALSE,"Page 2";#N/A,#N/A,FALSE,"Page 2";#N/A,#N/A,FALSE,"Page 4";#N/A,#N/A,FALSE,"Page5";#N/A,#N/A,FALSE,"Page 6";#N/A,#N/A,FALSE,"Page 7";#N/A,#N/A,FALSE,"Page 8";#N/A,#N/A,FALSE,"Page 10";#N/A,#N/A,FALSE,"Long-Term OCF Mult.";#N/A,#N/A,FALSE,"PCS Comp";#N/A,#N/A,FALSE,"OCS-CAPEX";#N/A,#N/A,FALSE,"Blank"}</definedName>
    <definedName name="att" localSheetId="7" hidden="1">{#N/A,#N/A,FALSE,"COVER PAGE";#N/A,#N/A,FALSE,"Page 2";#N/A,#N/A,FALSE,"Page 2";#N/A,#N/A,FALSE,"Page 4";#N/A,#N/A,FALSE,"Page5";#N/A,#N/A,FALSE,"Page 6";#N/A,#N/A,FALSE,"Page 7";#N/A,#N/A,FALSE,"Page 8";#N/A,#N/A,FALSE,"Page 10";#N/A,#N/A,FALSE,"Long-Term OCF Mult.";#N/A,#N/A,FALSE,"PCS Comp";#N/A,#N/A,FALSE,"OCS-CAPEX";#N/A,#N/A,FALSE,"Blank"}</definedName>
    <definedName name="att" hidden="1">{#N/A,#N/A,FALSE,"COVER PAGE";#N/A,#N/A,FALSE,"Page 2";#N/A,#N/A,FALSE,"Page 2";#N/A,#N/A,FALSE,"Page 4";#N/A,#N/A,FALSE,"Page5";#N/A,#N/A,FALSE,"Page 6";#N/A,#N/A,FALSE,"Page 7";#N/A,#N/A,FALSE,"Page 8";#N/A,#N/A,FALSE,"Page 10";#N/A,#N/A,FALSE,"Long-Term OCF Mult.";#N/A,#N/A,FALSE,"PCS Comp";#N/A,#N/A,FALSE,"OCS-CAPEX";#N/A,#N/A,FALSE,"Blank"}</definedName>
    <definedName name="awq" localSheetId="3" hidden="1">{"YTD",#N/A,FALSE,"SUM"}</definedName>
    <definedName name="awq" localSheetId="7" hidden="1">{"YTD",#N/A,FALSE,"SUM"}</definedName>
    <definedName name="awq" hidden="1">{"YTD",#N/A,FALSE,"SUM"}</definedName>
    <definedName name="awqe" localSheetId="3" hidden="1">{"net assets",#N/A,FALSE,"summary";"asset turnover",#N/A,FALSE,"summary";"orona",#N/A,FALSE,"summary"}</definedName>
    <definedName name="awqe" localSheetId="7" hidden="1">{"net assets",#N/A,FALSE,"summary";"asset turnover",#N/A,FALSE,"summary";"orona",#N/A,FALSE,"summary"}</definedName>
    <definedName name="awqe" hidden="1">{"net assets",#N/A,FALSE,"summary";"asset turnover",#N/A,FALSE,"summary";"orona",#N/A,FALSE,"summary"}</definedName>
    <definedName name="awqx" localSheetId="3" hidden="1">{"Comp_of_Price_Effect",#N/A,FALSE,"QTRDPVAR"}</definedName>
    <definedName name="awqx" localSheetId="7" hidden="1">{"Comp_of_Price_Effect",#N/A,FALSE,"QTRDPVAR"}</definedName>
    <definedName name="awqx" hidden="1">{"Comp_of_Price_Effect",#N/A,FALSE,"QTRDPVAR"}</definedName>
    <definedName name="awsdew" localSheetId="3" hidden="1">{#N/A,#N/A,TRUE,"ICMAN96 (1)"}</definedName>
    <definedName name="awsdew" localSheetId="7" hidden="1">{#N/A,#N/A,TRUE,"ICMAN96 (1)"}</definedName>
    <definedName name="awsdew" hidden="1">{#N/A,#N/A,TRUE,"ICMAN96 (1)"}</definedName>
    <definedName name="AX" localSheetId="3" hidden="1">{#N/A,#N/A,FALSE,"Pharm";#N/A,#N/A,FALSE,"WWCM"}</definedName>
    <definedName name="AX" localSheetId="7" hidden="1">{#N/A,#N/A,FALSE,"Pharm";#N/A,#N/A,FALSE,"WWCM"}</definedName>
    <definedName name="AX" hidden="1">{#N/A,#N/A,FALSE,"Pharm";#N/A,#N/A,FALSE,"WWCM"}</definedName>
    <definedName name="axs" localSheetId="3" hidden="1">{"QTD",#N/A,FALSE,"SUM"}</definedName>
    <definedName name="axs" localSheetId="7" hidden="1">{"QTD",#N/A,FALSE,"SUM"}</definedName>
    <definedName name="axs" hidden="1">{"QTD",#N/A,FALSE,"SUM"}</definedName>
    <definedName name="axz" localSheetId="3" hidden="1">{#N/A,"PURCHM",FALSE,"Business Analysis";#N/A,"SPADD",FALSE,"Business Analysis"}</definedName>
    <definedName name="axz" localSheetId="7" hidden="1">{#N/A,"PURCHM",FALSE,"Business Analysis";#N/A,"SPADD",FALSE,"Business Analysis"}</definedName>
    <definedName name="axz" hidden="1">{#N/A,"PURCHM",FALSE,"Business Analysis";#N/A,"SPADD",FALSE,"Business Analysis"}</definedName>
    <definedName name="ayman" localSheetId="3" hidden="1">{#N/A,#N/A,FALSE,"1";#N/A,#N/A,FALSE,"2";#N/A,#N/A,FALSE,"16 - 17";#N/A,#N/A,FALSE,"18 - 19";#N/A,#N/A,FALSE,"26";#N/A,#N/A,FALSE,"27";#N/A,#N/A,FALSE,"28"}</definedName>
    <definedName name="ayman" localSheetId="7" hidden="1">{#N/A,#N/A,FALSE,"1";#N/A,#N/A,FALSE,"2";#N/A,#N/A,FALSE,"16 - 17";#N/A,#N/A,FALSE,"18 - 19";#N/A,#N/A,FALSE,"26";#N/A,#N/A,FALSE,"27";#N/A,#N/A,FALSE,"28"}</definedName>
    <definedName name="ayman" hidden="1">{#N/A,#N/A,FALSE,"1";#N/A,#N/A,FALSE,"2";#N/A,#N/A,FALSE,"16 - 17";#N/A,#N/A,FALSE,"18 - 19";#N/A,#N/A,FALSE,"26";#N/A,#N/A,FALSE,"27";#N/A,#N/A,FALSE,"28"}</definedName>
    <definedName name="ayman1" localSheetId="3" hidden="1">{#N/A,#N/A,FALSE,"Pharm";#N/A,#N/A,FALSE,"WWCM"}</definedName>
    <definedName name="ayman1" localSheetId="7" hidden="1">{#N/A,#N/A,FALSE,"Pharm";#N/A,#N/A,FALSE,"WWCM"}</definedName>
    <definedName name="ayman1" hidden="1">{#N/A,#N/A,FALSE,"Pharm";#N/A,#N/A,FALSE,"WWCM"}</definedName>
    <definedName name="ayman2" localSheetId="3" hidden="1">{#N/A,#N/A,FALSE,"Pharm";#N/A,#N/A,FALSE,"WWCM"}</definedName>
    <definedName name="ayman2" localSheetId="7" hidden="1">{#N/A,#N/A,FALSE,"Pharm";#N/A,#N/A,FALSE,"WWCM"}</definedName>
    <definedName name="ayman2" hidden="1">{#N/A,#N/A,FALSE,"Pharm";#N/A,#N/A,FALSE,"WWCM"}</definedName>
    <definedName name="ayman7" localSheetId="3" hidden="1">{#N/A,#N/A,FALSE,"REPORT"}</definedName>
    <definedName name="ayman7" localSheetId="7" hidden="1">{#N/A,#N/A,FALSE,"REPORT"}</definedName>
    <definedName name="ayman7" hidden="1">{#N/A,#N/A,FALSE,"REPORT"}</definedName>
    <definedName name="ayman8" localSheetId="3" hidden="1">{#N/A,#N/A,FALSE,"REPORT"}</definedName>
    <definedName name="ayman8" localSheetId="7" hidden="1">{#N/A,#N/A,FALSE,"REPORT"}</definedName>
    <definedName name="ayman8" hidden="1">{#N/A,#N/A,FALSE,"REPORT"}</definedName>
    <definedName name="az" localSheetId="3" hidden="1">{#N/A,#N/A,FALSE,"Pharm";#N/A,#N/A,FALSE,"WWCM"}</definedName>
    <definedName name="az" localSheetId="7" hidden="1">{#N/A,#N/A,FALSE,"Pharm";#N/A,#N/A,FALSE,"WWCM"}</definedName>
    <definedName name="az" hidden="1">{#N/A,#N/A,FALSE,"Pharm";#N/A,#N/A,FALSE,"WWCM"}</definedName>
    <definedName name="azeazr" localSheetId="3" hidden="1">{#N/A,#N/A,FALSE,"Sales Graph";#N/A,#N/A,FALSE,"BUC Graph";#N/A,#N/A,FALSE,"P&amp;L - YTD"}</definedName>
    <definedName name="azeazr" localSheetId="7" hidden="1">{#N/A,#N/A,FALSE,"Sales Graph";#N/A,#N/A,FALSE,"BUC Graph";#N/A,#N/A,FALSE,"P&amp;L - YTD"}</definedName>
    <definedName name="azeazr" hidden="1">{#N/A,#N/A,FALSE,"Sales Graph";#N/A,#N/A,FALSE,"BUC Graph";#N/A,#N/A,FALSE,"P&amp;L - YTD"}</definedName>
    <definedName name="azerety" localSheetId="3" hidden="1">{#N/A,#N/A,FALSE,"Pharm";#N/A,#N/A,FALSE,"WWCM"}</definedName>
    <definedName name="azerety" localSheetId="7" hidden="1">{#N/A,#N/A,FALSE,"Pharm";#N/A,#N/A,FALSE,"WWCM"}</definedName>
    <definedName name="azerety" hidden="1">{#N/A,#N/A,FALSE,"Pharm";#N/A,#N/A,FALSE,"WWCM"}</definedName>
    <definedName name="b" localSheetId="3" hidden="1">#REF!</definedName>
    <definedName name="b" hidden="1">#REF!</definedName>
    <definedName name="BA" localSheetId="3" hidden="1">{#N/A,#N/A,FALSE,"Earn'gs &amp; Val'n";#N/A,#N/A,FALSE,"Interim"}</definedName>
    <definedName name="BA" localSheetId="7" hidden="1">{#N/A,#N/A,FALSE,"Earn'gs &amp; Val'n";#N/A,#N/A,FALSE,"Interim"}</definedName>
    <definedName name="BA" hidden="1">{#N/A,#N/A,FALSE,"Earn'gs &amp; Val'n";#N/A,#N/A,FALSE,"Interim"}</definedName>
    <definedName name="bacd1101bd" localSheetId="3" hidden="1">{#N/A,"PURCHM",FALSE,"Business Analysis";#N/A,"SPADD",FALSE,"Business Analysis"}</definedName>
    <definedName name="bacd1101bd" localSheetId="7" hidden="1">{#N/A,"PURCHM",FALSE,"Business Analysis";#N/A,"SPADD",FALSE,"Business Analysis"}</definedName>
    <definedName name="bacd1101bd" hidden="1">{#N/A,"PURCHM",FALSE,"Business Analysis";#N/A,"SPADD",FALSE,"Business Analysis"}</definedName>
    <definedName name="bacd31" localSheetId="3" hidden="1">{#N/A,"PURCHM",FALSE,"Business Analysis";#N/A,"SPADD",FALSE,"Business Analysis"}</definedName>
    <definedName name="bacd31" localSheetId="7" hidden="1">{#N/A,"PURCHM",FALSE,"Business Analysis";#N/A,"SPADD",FALSE,"Business Analysis"}</definedName>
    <definedName name="bacd31" hidden="1">{#N/A,"PURCHM",FALSE,"Business Analysis";#N/A,"SPADD",FALSE,"Business Analysis"}</definedName>
    <definedName name="bacd31bd" localSheetId="3" hidden="1">{#N/A,"PURCHM",FALSE,"Business Analysis";#N/A,"SPADD",FALSE,"Business Analysis"}</definedName>
    <definedName name="bacd31bd" localSheetId="7" hidden="1">{#N/A,"PURCHM",FALSE,"Business Analysis";#N/A,"SPADD",FALSE,"Business Analysis"}</definedName>
    <definedName name="bacd31bd" hidden="1">{#N/A,"PURCHM",FALSE,"Business Analysis";#N/A,"SPADD",FALSE,"Business Analysis"}</definedName>
    <definedName name="bal" hidden="1">#REF!</definedName>
    <definedName name="Balancemiles" localSheetId="3" hidden="1">{"Cuenta 21 (página 1)",#N/A,FALSE,"21 (1)"}</definedName>
    <definedName name="Balancemiles" localSheetId="7" hidden="1">{"Cuenta 21 (página 1)",#N/A,FALSE,"21 (1)"}</definedName>
    <definedName name="Balancemiles" hidden="1">{"Cuenta 21 (página 1)",#N/A,FALSE,"21 (1)"}</definedName>
    <definedName name="balancemiles2" localSheetId="3" hidden="1">{"Cuenta 21 (página 1)",#N/A,FALSE,"21 (1)"}</definedName>
    <definedName name="balancemiles2" localSheetId="7" hidden="1">{"Cuenta 21 (página 1)",#N/A,FALSE,"21 (1)"}</definedName>
    <definedName name="balancemiles2" hidden="1">{"Cuenta 21 (página 1)",#N/A,FALSE,"21 (1)"}</definedName>
    <definedName name="barbara" localSheetId="3" hidden="1">{#N/A,#N/A,TRUE,"ICMAN96 (1)"}</definedName>
    <definedName name="barbara" localSheetId="7" hidden="1">{#N/A,#N/A,TRUE,"ICMAN96 (1)"}</definedName>
    <definedName name="barbara" hidden="1">{#N/A,#N/A,TRUE,"ICMAN96 (1)"}</definedName>
    <definedName name="bb.gb._98" localSheetId="3" hidden="1">{#N/A,#N/A,FALSE,"Umsatz 99";#N/A,#N/A,FALSE,"ER 99 "}</definedName>
    <definedName name="bb.gb._98" localSheetId="7" hidden="1">{#N/A,#N/A,FALSE,"Umsatz 99";#N/A,#N/A,FALSE,"ER 99 "}</definedName>
    <definedName name="bb.gb._98" hidden="1">{#N/A,#N/A,FALSE,"Umsatz 99";#N/A,#N/A,FALSE,"ER 99 "}</definedName>
    <definedName name="bb.gb._99" localSheetId="3" hidden="1">{#N/A,#N/A,FALSE,"Umsatz 99";#N/A,#N/A,FALSE,"ER 99 "}</definedName>
    <definedName name="bb.gb._99" localSheetId="7" hidden="1">{#N/A,#N/A,FALSE,"Umsatz 99";#N/A,#N/A,FALSE,"ER 99 "}</definedName>
    <definedName name="bb.gb._99" hidden="1">{#N/A,#N/A,FALSE,"Umsatz 99";#N/A,#N/A,FALSE,"ER 99 "}</definedName>
    <definedName name="bbb" localSheetId="3" hidden="1">{"FS`s",#N/A,TRUE,"FS's";"Icome St",#N/A,TRUE,"Income St.";"Balance Sh",#N/A,TRUE,"Balance Sh.";"Gross Margin",#N/A,TRUE,"Gross Margin"}</definedName>
    <definedName name="bbb" localSheetId="7" hidden="1">{"FS`s",#N/A,TRUE,"FS's";"Icome St",#N/A,TRUE,"Income St.";"Balance Sh",#N/A,TRUE,"Balance Sh.";"Gross Margin",#N/A,TRUE,"Gross Margin"}</definedName>
    <definedName name="bbb" hidden="1">{"FS`s",#N/A,TRUE,"FS's";"Icome St",#N/A,TRUE,"Income St.";"Balance Sh",#N/A,TRUE,"Balance Sh.";"Gross Margin",#N/A,TRUE,"Gross Margin"}</definedName>
    <definedName name="bbbb" localSheetId="3" hidden="1">{#N/A,#N/A,FALSE,"REPORT"}</definedName>
    <definedName name="bbbb" localSheetId="7" hidden="1">{#N/A,#N/A,FALSE,"REPORT"}</definedName>
    <definedName name="bbbb" hidden="1">{#N/A,#N/A,FALSE,"REPORT"}</definedName>
    <definedName name="bbbbb" localSheetId="3" hidden="1">{#N/A,#N/A,FALSE,"Pharm";#N/A,#N/A,FALSE,"WWCM"}</definedName>
    <definedName name="bbbbb" localSheetId="7" hidden="1">{#N/A,#N/A,FALSE,"Pharm";#N/A,#N/A,FALSE,"WWCM"}</definedName>
    <definedName name="bbbbb" hidden="1">{#N/A,#N/A,FALSE,"Pharm";#N/A,#N/A,FALSE,"WWCM"}</definedName>
    <definedName name="BBBBBB" localSheetId="3" hidden="1">{#N/A,#N/A,FALSE,"REPORT"}</definedName>
    <definedName name="BBBBBB" localSheetId="7" hidden="1">{#N/A,#N/A,FALSE,"REPORT"}</definedName>
    <definedName name="BBBBBB" hidden="1">{#N/A,#N/A,FALSE,"REPORT"}</definedName>
    <definedName name="BBBBBBB" localSheetId="3" hidden="1">{"'Hoja1'!$A$1:$L$57"}</definedName>
    <definedName name="BBBBBBB" localSheetId="7" hidden="1">{"'Hoja1'!$A$1:$L$57"}</definedName>
    <definedName name="BBBBBBB" hidden="1">{"'Hoja1'!$A$1:$L$57"}</definedName>
    <definedName name="BBBBBBBBB" localSheetId="3" hidden="1">{#N/A,#N/A,FALSE,"REPORT"}</definedName>
    <definedName name="BBBBBBBBB" localSheetId="7" hidden="1">{#N/A,#N/A,FALSE,"REPORT"}</definedName>
    <definedName name="BBBBBBBBB" hidden="1">{#N/A,#N/A,FALSE,"REPORT"}</definedName>
    <definedName name="bbbbbbbbbb" localSheetId="3" hidden="1">{"detail",#N/A,FALSE,"mfg";"summary",#N/A,FALSE,"mfg"}</definedName>
    <definedName name="bbbbbbbbbb" localSheetId="7" hidden="1">{"detail",#N/A,FALSE,"mfg";"summary",#N/A,FALSE,"mfg"}</definedName>
    <definedName name="bbbbbbbbbb" hidden="1">{"detail",#N/A,FALSE,"mfg";"summary",#N/A,FALSE,"mfg"}</definedName>
    <definedName name="bbbbbbbbbbbbb" localSheetId="3" hidden="1">{#N/A,#N/A,FALSE,"Pharm";#N/A,#N/A,FALSE,"WWCM"}</definedName>
    <definedName name="bbbbbbbbbbbbb" localSheetId="7" hidden="1">{#N/A,#N/A,FALSE,"Pharm";#N/A,#N/A,FALSE,"WWCM"}</definedName>
    <definedName name="bbbbbbbbbbbbb" hidden="1">{#N/A,#N/A,FALSE,"Pharm";#N/A,#N/A,FALSE,"WWCM"}</definedName>
    <definedName name="bbbbbbbbbbbbbbbbbbbb" localSheetId="3" hidden="1">{"detail",#N/A,FALSE,"mfg";"summary",#N/A,FALSE,"mfg"}</definedName>
    <definedName name="bbbbbbbbbbbbbbbbbbbb" localSheetId="7" hidden="1">{"detail",#N/A,FALSE,"mfg";"summary",#N/A,FALSE,"mfg"}</definedName>
    <definedName name="bbbbbbbbbbbbbbbbbbbb" hidden="1">{"detail",#N/A,FALSE,"mfg";"summary",#N/A,FALSE,"mfg"}</definedName>
    <definedName name="bbvcx" localSheetId="3" hidden="1">{#N/A,#N/A,FALSE,"Umsatz HM";#N/A,#N/A,FALSE,"ER HM";#N/A,#N/A,FALSE,"EA HM  (2)";#N/A,#N/A,FALSE,"EA HM ";#N/A,#N/A,FALSE,"EA HM  (4)";#N/A,#N/A,FALSE,"EA HM  (3)";#N/A,#N/A,FALSE,"KA HM  (2)";#N/A,#N/A,FALSE,"KA HM";#N/A,#N/A,FALSE,"KA HM  (3)";#N/A,#N/A,FALSE,"KA HM (4)"}</definedName>
    <definedName name="bbvcx" localSheetId="7" hidden="1">{#N/A,#N/A,FALSE,"Umsatz HM";#N/A,#N/A,FALSE,"ER HM";#N/A,#N/A,FALSE,"EA HM  (2)";#N/A,#N/A,FALSE,"EA HM ";#N/A,#N/A,FALSE,"EA HM  (4)";#N/A,#N/A,FALSE,"EA HM  (3)";#N/A,#N/A,FALSE,"KA HM  (2)";#N/A,#N/A,FALSE,"KA HM";#N/A,#N/A,FALSE,"KA HM  (3)";#N/A,#N/A,FALSE,"KA HM (4)"}</definedName>
    <definedName name="bbvcx" hidden="1">{#N/A,#N/A,FALSE,"Umsatz HM";#N/A,#N/A,FALSE,"ER HM";#N/A,#N/A,FALSE,"EA HM  (2)";#N/A,#N/A,FALSE,"EA HM ";#N/A,#N/A,FALSE,"EA HM  (4)";#N/A,#N/A,FALSE,"EA HM  (3)";#N/A,#N/A,FALSE,"KA HM  (2)";#N/A,#N/A,FALSE,"KA HM";#N/A,#N/A,FALSE,"KA HM  (3)";#N/A,#N/A,FALSE,"KA HM (4)"}</definedName>
    <definedName name="bcd" localSheetId="3" hidden="1">{"detail",#N/A,FALSE,"mfg";"summary",#N/A,FALSE,"mfg"}</definedName>
    <definedName name="bcd" localSheetId="7" hidden="1">{"detail",#N/A,FALSE,"mfg";"summary",#N/A,FALSE,"mfg"}</definedName>
    <definedName name="bcd" hidden="1">{"detail",#N/A,FALSE,"mfg";"summary",#N/A,FALSE,"mfg"}</definedName>
    <definedName name="BDVB" localSheetId="3" hidden="1">{#N/A,#N/A,FALSE,"Pag.01"}</definedName>
    <definedName name="BDVB" localSheetId="7" hidden="1">{#N/A,#N/A,FALSE,"Pag.01"}</definedName>
    <definedName name="BDVB" hidden="1">{#N/A,#N/A,FALSE,"Pag.01"}</definedName>
    <definedName name="benta" hidden="1">#REF!</definedName>
    <definedName name="BETAA" localSheetId="3" hidden="1">{"fdsup://directions/FAT Viewer?action=UPDATE&amp;creator=factset&amp;DYN_ARGS=TRUE&amp;DOC_NAME=FAT:FQL_AUDITING_CLIENT_TEMPLATE.FAT&amp;display_string=Audit&amp;VAR:KEY=WJQXUPOHOJ&amp;VAR:QUERY=UkdGX1RBWF9SQVRFKEFOTiwwLCwsLCwsTk9BVURJVCk=&amp;WINDOW=FIRST_POPUP&amp;HEIGHT=450&amp;WIDTH=450&amp;","START_MAXIMIZED=FALSE&amp;VAR:CALENDAR=US&amp;VAR:SYMBOL=MENT&amp;VAR:INDEX=0"}</definedName>
    <definedName name="BETAA" localSheetId="7" hidden="1">{"fdsup://directions/FAT Viewer?action=UPDATE&amp;creator=factset&amp;DYN_ARGS=TRUE&amp;DOC_NAME=FAT:FQL_AUDITING_CLIENT_TEMPLATE.FAT&amp;display_string=Audit&amp;VAR:KEY=WJQXUPOHOJ&amp;VAR:QUERY=UkdGX1RBWF9SQVRFKEFOTiwwLCwsLCwsTk9BVURJVCk=&amp;WINDOW=FIRST_POPUP&amp;HEIGHT=450&amp;WIDTH=450&amp;","START_MAXIMIZED=FALSE&amp;VAR:CALENDAR=US&amp;VAR:SYMBOL=MENT&amp;VAR:INDEX=0"}</definedName>
    <definedName name="BETAA" hidden="1">{"fdsup://directions/FAT Viewer?action=UPDATE&amp;creator=factset&amp;DYN_ARGS=TRUE&amp;DOC_NAME=FAT:FQL_AUDITING_CLIENT_TEMPLATE.FAT&amp;display_string=Audit&amp;VAR:KEY=WJQXUPOHOJ&amp;VAR:QUERY=UkdGX1RBWF9SQVRFKEFOTiwwLCwsLCwsTk9BVURJVCk=&amp;WINDOW=FIRST_POPUP&amp;HEIGHT=450&amp;WIDTH=450&amp;","START_MAXIMIZED=FALSE&amp;VAR:CALENDAR=US&amp;VAR:SYMBOL=MENT&amp;VAR:INDEX=0"}</definedName>
    <definedName name="bg" localSheetId="3" hidden="1">{"net assets",#N/A,FALSE,"summary";"asset turnover",#N/A,FALSE,"summary";"orona",#N/A,FALSE,"summary"}</definedName>
    <definedName name="bg" localSheetId="7" hidden="1">{"net assets",#N/A,FALSE,"summary";"asset turnover",#N/A,FALSE,"summary";"orona",#N/A,FALSE,"summary"}</definedName>
    <definedName name="bg" hidden="1">{"net assets",#N/A,FALSE,"summary";"asset turnover",#N/A,FALSE,"summary";"orona",#N/A,FALSE,"summary"}</definedName>
    <definedName name="BG_Del" hidden="1">15</definedName>
    <definedName name="BG_Ins" hidden="1">4</definedName>
    <definedName name="BG_Mod" hidden="1">6</definedName>
    <definedName name="bimdk2" localSheetId="3" hidden="1">{#N/A,"PURADD",FALSE,"Business Analysis";#N/A,"PURSPP",FALSE,"Business Analysis";#N/A,"CTGIND",FALSE,"Business Analysis";#N/A,"PURCHM",FALSE,"Business Analysis";#N/A,"SPADD",FALSE,"Business Analysis";#N/A,"EPOXY",FALSE,"Business Analysis";#N/A,"PURPER",FALSE,"Business Analysis"}</definedName>
    <definedName name="bimdk2" localSheetId="7" hidden="1">{#N/A,"PURADD",FALSE,"Business Analysis";#N/A,"PURSPP",FALSE,"Business Analysis";#N/A,"CTGIND",FALSE,"Business Analysis";#N/A,"PURCHM",FALSE,"Business Analysis";#N/A,"SPADD",FALSE,"Business Analysis";#N/A,"EPOXY",FALSE,"Business Analysis";#N/A,"PURPER",FALSE,"Business Analysis"}</definedName>
    <definedName name="bimdk2" hidden="1">{#N/A,"PURADD",FALSE,"Business Analysis";#N/A,"PURSPP",FALSE,"Business Analysis";#N/A,"CTGIND",FALSE,"Business Analysis";#N/A,"PURCHM",FALSE,"Business Analysis";#N/A,"SPADD",FALSE,"Business Analysis";#N/A,"EPOXY",FALSE,"Business Analysis";#N/A,"PURPER",FALSE,"Business Analysis"}</definedName>
    <definedName name="bimw09" localSheetId="3" hidden="1">{#N/A,"PURADD",FALSE,"Business Analysis";#N/A,"PURSPP",FALSE,"Business Analysis";#N/A,"CTGIND",FALSE,"Business Analysis";#N/A,"PURCHM",FALSE,"Business Analysis";#N/A,"SPADD",FALSE,"Business Analysis";#N/A,"EPOXY",FALSE,"Business Analysis";#N/A,"PURPER",FALSE,"Business Analysis"}</definedName>
    <definedName name="bimw09" localSheetId="7" hidden="1">{#N/A,"PURADD",FALSE,"Business Analysis";#N/A,"PURSPP",FALSE,"Business Analysis";#N/A,"CTGIND",FALSE,"Business Analysis";#N/A,"PURCHM",FALSE,"Business Analysis";#N/A,"SPADD",FALSE,"Business Analysis";#N/A,"EPOXY",FALSE,"Business Analysis";#N/A,"PURPER",FALSE,"Business Analysis"}</definedName>
    <definedName name="bimw09" hidden="1">{#N/A,"PURADD",FALSE,"Business Analysis";#N/A,"PURSPP",FALSE,"Business Analysis";#N/A,"CTGIND",FALSE,"Business Analysis";#N/A,"PURCHM",FALSE,"Business Analysis";#N/A,"SPADD",FALSE,"Business Analysis";#N/A,"EPOXY",FALSE,"Business Analysis";#N/A,"PURPER",FALSE,"Business Analysis"}</definedName>
    <definedName name="bkls" localSheetId="3" hidden="1">{#N/A,"PURCHM",FALSE,"Business Analysis";#N/A,"SPADD",FALSE,"Business Analysis"}</definedName>
    <definedName name="bkls" localSheetId="7" hidden="1">{#N/A,"PURCHM",FALSE,"Business Analysis";#N/A,"SPADD",FALSE,"Business Analysis"}</definedName>
    <definedName name="bkls" hidden="1">{#N/A,"PURCHM",FALSE,"Business Analysis";#N/A,"SPADD",FALSE,"Business Analysis"}</definedName>
    <definedName name="BKMYHHZRHS" localSheetId="3" hidden="1">{#N/A,#N/A,FALSE,"Pag.01"}</definedName>
    <definedName name="BKMYHHZRHS" localSheetId="7" hidden="1">{#N/A,#N/A,FALSE,"Pag.01"}</definedName>
    <definedName name="BKMYHHZRHS" hidden="1">{#N/A,#N/A,FALSE,"Pag.01"}</definedName>
    <definedName name="bl" localSheetId="0" hidden="1">#REF!</definedName>
    <definedName name="bl" localSheetId="3" hidden="1">#REF!</definedName>
    <definedName name="bl" hidden="1">#REF!</definedName>
    <definedName name="BLANK"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2"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2"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PH_2" hidden="1">#REF!</definedName>
    <definedName name="BLPH1" localSheetId="0" hidden="1">#REF!</definedName>
    <definedName name="BLPH1" localSheetId="3" hidden="1">#REF!</definedName>
    <definedName name="BLPH1" hidden="1">#REF!</definedName>
    <definedName name="BLPH10" hidden="1">#REF!</definedName>
    <definedName name="BLPH100" localSheetId="0" hidden="1">#REF!</definedName>
    <definedName name="BLPH100" localSheetId="3" hidden="1">#REF!</definedName>
    <definedName name="BLPH100" hidden="1">#REF!</definedName>
    <definedName name="BLPH1000003" hidden="1">#REF!</definedName>
    <definedName name="BLPH1001" hidden="1">#REF!</definedName>
    <definedName name="BLPH1002" hidden="1">#REF!</definedName>
    <definedName name="BLPH1003" hidden="1">#REF!</definedName>
    <definedName name="BLPH101" localSheetId="0" hidden="1">#REF!</definedName>
    <definedName name="BLPH101" localSheetId="3" hidden="1">#REF!</definedName>
    <definedName name="BLPH101" hidden="1">#REF!</definedName>
    <definedName name="BLPH102" localSheetId="0" hidden="1">#REF!</definedName>
    <definedName name="BLPH102" localSheetId="3" hidden="1">#REF!</definedName>
    <definedName name="BLPH102" hidden="1">#REF!</definedName>
    <definedName name="BLPH103" localSheetId="0" hidden="1">#REF!</definedName>
    <definedName name="BLPH103" localSheetId="3" hidden="1">#REF!</definedName>
    <definedName name="BLPH103" hidden="1">#REF!</definedName>
    <definedName name="BLPH104" localSheetId="0" hidden="1">#REF!</definedName>
    <definedName name="BLPH104" localSheetId="3" hidden="1">#REF!</definedName>
    <definedName name="BLPH104" hidden="1">#REF!</definedName>
    <definedName name="BLPH105" localSheetId="0" hidden="1">#REF!</definedName>
    <definedName name="BLPH105" localSheetId="3" hidden="1">#REF!</definedName>
    <definedName name="BLPH105" hidden="1">#REF!</definedName>
    <definedName name="BLPH106" localSheetId="0" hidden="1">#REF!</definedName>
    <definedName name="BLPH106" localSheetId="3" hidden="1">#REF!</definedName>
    <definedName name="BLPH106" hidden="1">#REF!</definedName>
    <definedName name="BLPH107" localSheetId="0" hidden="1">#REF!</definedName>
    <definedName name="BLPH107" localSheetId="3" hidden="1">#REF!</definedName>
    <definedName name="BLPH107" hidden="1">#REF!</definedName>
    <definedName name="BLPH108" localSheetId="0" hidden="1">#REF!</definedName>
    <definedName name="BLPH108" localSheetId="3" hidden="1">#REF!</definedName>
    <definedName name="BLPH108" hidden="1">#REF!</definedName>
    <definedName name="BLPH109" localSheetId="0" hidden="1">#REF!</definedName>
    <definedName name="BLPH109" localSheetId="3" hidden="1">#REF!</definedName>
    <definedName name="BLPH109" hidden="1">#REF!</definedName>
    <definedName name="BLPH11" localSheetId="0" hidden="1">#REF!</definedName>
    <definedName name="BLPH11" localSheetId="3" hidden="1">#REF!</definedName>
    <definedName name="BLPH11" hidden="1">#REF!</definedName>
    <definedName name="BLPH110" localSheetId="0" hidden="1">#REF!</definedName>
    <definedName name="BLPH110" localSheetId="3" hidden="1">#REF!</definedName>
    <definedName name="BLPH110" hidden="1">#REF!</definedName>
    <definedName name="BLPH111" localSheetId="0" hidden="1">#REF!</definedName>
    <definedName name="BLPH111" localSheetId="3" hidden="1">#REF!</definedName>
    <definedName name="BLPH111" hidden="1">#REF!</definedName>
    <definedName name="BLPH112" localSheetId="0" hidden="1">#REF!</definedName>
    <definedName name="BLPH112" localSheetId="3" hidden="1">#REF!</definedName>
    <definedName name="BLPH112" hidden="1">#REF!</definedName>
    <definedName name="BLPH113" localSheetId="0" hidden="1">#REF!</definedName>
    <definedName name="BLPH113" localSheetId="3" hidden="1">#REF!</definedName>
    <definedName name="BLPH113" hidden="1">#REF!</definedName>
    <definedName name="BLPH114" localSheetId="0" hidden="1">#REF!</definedName>
    <definedName name="BLPH114" localSheetId="3" hidden="1">#REF!</definedName>
    <definedName name="BLPH114" hidden="1">#REF!</definedName>
    <definedName name="BLPH115" localSheetId="0" hidden="1">#REF!</definedName>
    <definedName name="BLPH115" localSheetId="3" hidden="1">#REF!</definedName>
    <definedName name="BLPH115" hidden="1">#REF!</definedName>
    <definedName name="BLPH116" localSheetId="0" hidden="1">#REF!</definedName>
    <definedName name="BLPH116" localSheetId="3" hidden="1">#REF!</definedName>
    <definedName name="BLPH116" hidden="1">#REF!</definedName>
    <definedName name="BLPH117" localSheetId="0" hidden="1">#REF!</definedName>
    <definedName name="BLPH117" localSheetId="3" hidden="1">#REF!</definedName>
    <definedName name="BLPH117" hidden="1">#REF!</definedName>
    <definedName name="BLPH118" localSheetId="0" hidden="1">#REF!</definedName>
    <definedName name="BLPH118" localSheetId="3" hidden="1">#REF!</definedName>
    <definedName name="BLPH118" hidden="1">#REF!</definedName>
    <definedName name="BLPH119" localSheetId="0" hidden="1">#REF!</definedName>
    <definedName name="BLPH119" localSheetId="3" hidden="1">#REF!</definedName>
    <definedName name="BLPH119" hidden="1">#REF!</definedName>
    <definedName name="BLPH12" localSheetId="0" hidden="1">#REF!</definedName>
    <definedName name="BLPH12" localSheetId="3" hidden="1">#REF!</definedName>
    <definedName name="BLPH12" hidden="1">#REF!</definedName>
    <definedName name="BLPH120" localSheetId="0" hidden="1">#REF!</definedName>
    <definedName name="BLPH120" localSheetId="3" hidden="1">#REF!</definedName>
    <definedName name="BLPH120" hidden="1">#REF!</definedName>
    <definedName name="BLPH121" localSheetId="0" hidden="1">#REF!</definedName>
    <definedName name="BLPH121" localSheetId="3" hidden="1">#REF!</definedName>
    <definedName name="BLPH121" hidden="1">#REF!</definedName>
    <definedName name="BLPH122" localSheetId="0" hidden="1">#REF!</definedName>
    <definedName name="BLPH122" localSheetId="3" hidden="1">#REF!</definedName>
    <definedName name="BLPH122" hidden="1">#REF!</definedName>
    <definedName name="BLPH123" localSheetId="0" hidden="1">#REF!</definedName>
    <definedName name="BLPH123" localSheetId="3" hidden="1">#REF!</definedName>
    <definedName name="BLPH123" hidden="1">#REF!</definedName>
    <definedName name="BLPH124" localSheetId="0" hidden="1">#REF!</definedName>
    <definedName name="BLPH124" localSheetId="3" hidden="1">#REF!</definedName>
    <definedName name="BLPH124" hidden="1">#REF!</definedName>
    <definedName name="BLPH125" localSheetId="0" hidden="1">#REF!</definedName>
    <definedName name="BLPH125" localSheetId="3" hidden="1">#REF!</definedName>
    <definedName name="BLPH125" hidden="1">#REF!</definedName>
    <definedName name="BLPH126" localSheetId="0" hidden="1">#REF!</definedName>
    <definedName name="BLPH126" localSheetId="3" hidden="1">#REF!</definedName>
    <definedName name="BLPH126" hidden="1">#REF!</definedName>
    <definedName name="BLPH127" localSheetId="0" hidden="1">#REF!</definedName>
    <definedName name="BLPH127" localSheetId="3" hidden="1">#REF!</definedName>
    <definedName name="BLPH127" hidden="1">#REF!</definedName>
    <definedName name="BLPH128" localSheetId="0" hidden="1">#REF!</definedName>
    <definedName name="BLPH128" localSheetId="3" hidden="1">#REF!</definedName>
    <definedName name="BLPH128" hidden="1">#REF!</definedName>
    <definedName name="BLPH129" localSheetId="0" hidden="1">#REF!</definedName>
    <definedName name="BLPH129" localSheetId="3" hidden="1">#REF!</definedName>
    <definedName name="BLPH129" hidden="1">#REF!</definedName>
    <definedName name="BLPH13" localSheetId="0" hidden="1">#REF!</definedName>
    <definedName name="BLPH13" localSheetId="3" hidden="1">#REF!</definedName>
    <definedName name="BLPH13" hidden="1">#REF!</definedName>
    <definedName name="BLPH130" localSheetId="0" hidden="1">#REF!</definedName>
    <definedName name="BLPH130" localSheetId="3" hidden="1">#REF!</definedName>
    <definedName name="BLPH130" hidden="1">#REF!</definedName>
    <definedName name="BLPH131" localSheetId="0" hidden="1">#REF!</definedName>
    <definedName name="BLPH131" localSheetId="3" hidden="1">#REF!</definedName>
    <definedName name="BLPH131" hidden="1">#REF!</definedName>
    <definedName name="BLPH132" localSheetId="0" hidden="1">#REF!</definedName>
    <definedName name="BLPH132" localSheetId="3" hidden="1">#REF!</definedName>
    <definedName name="BLPH132" hidden="1">#REF!</definedName>
    <definedName name="BLPH133" localSheetId="0" hidden="1">#REF!</definedName>
    <definedName name="BLPH133" localSheetId="3" hidden="1">#REF!</definedName>
    <definedName name="BLPH133" hidden="1">#REF!</definedName>
    <definedName name="BLPH134" localSheetId="0" hidden="1">#REF!</definedName>
    <definedName name="BLPH134" localSheetId="3" hidden="1">#REF!</definedName>
    <definedName name="BLPH134" hidden="1">#REF!</definedName>
    <definedName name="BLPH135" localSheetId="0" hidden="1">#REF!</definedName>
    <definedName name="BLPH135" localSheetId="3" hidden="1">#REF!</definedName>
    <definedName name="BLPH135" hidden="1">#REF!</definedName>
    <definedName name="BLPH136" localSheetId="0" hidden="1">#REF!</definedName>
    <definedName name="BLPH136" localSheetId="3" hidden="1">#REF!</definedName>
    <definedName name="BLPH136" hidden="1">#REF!</definedName>
    <definedName name="BLPH137" localSheetId="0" hidden="1">#REF!</definedName>
    <definedName name="BLPH137" localSheetId="3" hidden="1">#REF!</definedName>
    <definedName name="BLPH137" hidden="1">#REF!</definedName>
    <definedName name="BLPH138" localSheetId="0" hidden="1">#REF!</definedName>
    <definedName name="BLPH138" localSheetId="3" hidden="1">#REF!</definedName>
    <definedName name="BLPH138" hidden="1">#REF!</definedName>
    <definedName name="BLPH139" localSheetId="0" hidden="1">#REF!</definedName>
    <definedName name="BLPH139" localSheetId="3" hidden="1">#REF!</definedName>
    <definedName name="BLPH139" hidden="1">#REF!</definedName>
    <definedName name="BLPH14" localSheetId="0" hidden="1">#REF!</definedName>
    <definedName name="BLPH14" localSheetId="3" hidden="1">#REF!</definedName>
    <definedName name="BLPH14" hidden="1">#REF!</definedName>
    <definedName name="BLPH140" localSheetId="0" hidden="1">#REF!</definedName>
    <definedName name="BLPH140" localSheetId="3" hidden="1">#REF!</definedName>
    <definedName name="BLPH140" hidden="1">#REF!</definedName>
    <definedName name="BLPH141" localSheetId="0" hidden="1">#REF!</definedName>
    <definedName name="BLPH141" localSheetId="3" hidden="1">#REF!</definedName>
    <definedName name="BLPH141" hidden="1">#REF!</definedName>
    <definedName name="BLPH142" localSheetId="0" hidden="1">#REF!</definedName>
    <definedName name="BLPH142" localSheetId="3" hidden="1">#REF!</definedName>
    <definedName name="BLPH142" hidden="1">#REF!</definedName>
    <definedName name="BLPH143" localSheetId="0" hidden="1">#REF!</definedName>
    <definedName name="BLPH143" localSheetId="3" hidden="1">#REF!</definedName>
    <definedName name="BLPH143" hidden="1">#REF!</definedName>
    <definedName name="BLPH144" localSheetId="0" hidden="1">#REF!</definedName>
    <definedName name="BLPH144" localSheetId="3" hidden="1">#REF!</definedName>
    <definedName name="BLPH144" hidden="1">#REF!</definedName>
    <definedName name="BLPH145" hidden="1">#REF!</definedName>
    <definedName name="BLPH146" hidden="1">#REF!</definedName>
    <definedName name="BLPH147" hidden="1">#REF!</definedName>
    <definedName name="BLPH148" hidden="1">#REF!</definedName>
    <definedName name="BLPH149" hidden="1">#REF!</definedName>
    <definedName name="BLPH15" localSheetId="0" hidden="1">#REF!</definedName>
    <definedName name="BLPH15" localSheetId="3" hidden="1">#REF!</definedName>
    <definedName name="BLPH15" hidden="1">#REF!</definedName>
    <definedName name="BLPH150" hidden="1">#REF!</definedName>
    <definedName name="BLPH151" hidden="1">#REF!</definedName>
    <definedName name="BLPH152" hidden="1">#REF!</definedName>
    <definedName name="BLPH153" hidden="1">#REF!</definedName>
    <definedName name="BLPH154" hidden="1">#REF!</definedName>
    <definedName name="BLPH155" hidden="1">#REF!</definedName>
    <definedName name="BLPH156" hidden="1">#REF!</definedName>
    <definedName name="BLPH16" hidden="1">#REF!</definedName>
    <definedName name="BLPH17" hidden="1">#REF!</definedName>
    <definedName name="BLPH18" hidden="1">#REF!</definedName>
    <definedName name="BLPH19" hidden="1">#REF!</definedName>
    <definedName name="BLPH2" localSheetId="0" hidden="1">#REF!</definedName>
    <definedName name="BLPH2" localSheetId="3" hidden="1">#REF!</definedName>
    <definedName name="BLPH2" hidden="1">#REF!</definedName>
    <definedName name="BLPH22" hidden="1">#REF!</definedName>
    <definedName name="BLPH23" hidden="1">#REF!</definedName>
    <definedName name="BLPH24" hidden="1">#REF!</definedName>
    <definedName name="BLPH25" hidden="1">#REF!</definedName>
    <definedName name="BLPH26" hidden="1">#REF!</definedName>
    <definedName name="BLPH27" hidden="1">#REF!</definedName>
    <definedName name="BLPH28" hidden="1">#REF!</definedName>
    <definedName name="BLPH29" hidden="1">#REF!</definedName>
    <definedName name="BLPH3" hidden="1">#REF!</definedName>
    <definedName name="BLPH30" hidden="1">#REF!</definedName>
    <definedName name="BLPH31" hidden="1">#REF!</definedName>
    <definedName name="BLPH32" hidden="1">#REF!</definedName>
    <definedName name="BLPH33" hidden="1">#REF!</definedName>
    <definedName name="BLPH34" hidden="1">#REF!</definedName>
    <definedName name="BLPH35" hidden="1">#REF!</definedName>
    <definedName name="BLPH36" hidden="1">#REF!</definedName>
    <definedName name="BLPH37" hidden="1">#REF!</definedName>
    <definedName name="BLPH38" hidden="1">#REF!</definedName>
    <definedName name="BLPH39" hidden="1">#REF!</definedName>
    <definedName name="BLPH4" localSheetId="0" hidden="1">#REF!</definedName>
    <definedName name="BLPH4" localSheetId="3" hidden="1">#REF!</definedName>
    <definedName name="BLPH4" hidden="1">#REF!</definedName>
    <definedName name="BLPH40" hidden="1">#REF!</definedName>
    <definedName name="BLPH41" hidden="1">#REF!</definedName>
    <definedName name="BLPH42" hidden="1">#REF!</definedName>
    <definedName name="BLPH43" hidden="1">#REF!</definedName>
    <definedName name="BLPH44" hidden="1">#REF!</definedName>
    <definedName name="BLPH45" hidden="1">#REF!</definedName>
    <definedName name="BLPH46" hidden="1">#REF!</definedName>
    <definedName name="BLPH47" hidden="1">#REF!</definedName>
    <definedName name="BLPH48" hidden="1">#REF!</definedName>
    <definedName name="BLPH49" hidden="1">#REF!</definedName>
    <definedName name="BLPH5" localSheetId="0" hidden="1">#REF!</definedName>
    <definedName name="BLPH5" localSheetId="3" hidden="1">#REF!</definedName>
    <definedName name="BLPH5" hidden="1">#REF!</definedName>
    <definedName name="BLPH50" hidden="1">#REF!</definedName>
    <definedName name="BLPH51" hidden="1">#REF!</definedName>
    <definedName name="BLPH52" hidden="1">#REF!</definedName>
    <definedName name="BLPH53" hidden="1">#REF!</definedName>
    <definedName name="BLPH54" hidden="1">#REF!</definedName>
    <definedName name="BLPH55" hidden="1">#REF!</definedName>
    <definedName name="BLPH6" hidden="1">#REF!</definedName>
    <definedName name="BLPH64" hidden="1">#REF!</definedName>
    <definedName name="BLPH65" hidden="1">#REF!</definedName>
    <definedName name="BLPH66" hidden="1">#REF!</definedName>
    <definedName name="BLPH67" hidden="1">#REF!</definedName>
    <definedName name="BLPH68" hidden="1">#REF!</definedName>
    <definedName name="BLPH69" hidden="1">#REF!</definedName>
    <definedName name="BLPH7" localSheetId="3" hidden="1">#REF!</definedName>
    <definedName name="BLPH7" hidden="1">#REF!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 hidden="1">#REF!</definedName>
    <definedName name="BLPH80" hidden="1">#REF!</definedName>
    <definedName name="BLPH81" hidden="1">#REF!</definedName>
    <definedName name="BLPH82" hidden="1">#REF!</definedName>
    <definedName name="BLPH83" hidden="1">#REF!</definedName>
    <definedName name="BLPH84" hidden="1">#REF!</definedName>
    <definedName name="BLPH85" localSheetId="0" hidden="1">#REF!</definedName>
    <definedName name="BLPH85" localSheetId="3" hidden="1">#REF!</definedName>
    <definedName name="BLPH85" hidden="1">#REF!</definedName>
    <definedName name="BLPH86" localSheetId="0" hidden="1">#REF!</definedName>
    <definedName name="BLPH86" localSheetId="3" hidden="1">#REF!</definedName>
    <definedName name="BLPH86" hidden="1">#REF!</definedName>
    <definedName name="BLPH87" localSheetId="0" hidden="1">#REF!</definedName>
    <definedName name="BLPH87" localSheetId="3" hidden="1">#REF!</definedName>
    <definedName name="BLPH87" hidden="1">#REF!</definedName>
    <definedName name="BLPH88" localSheetId="0" hidden="1">#REF!</definedName>
    <definedName name="BLPH88" localSheetId="3" hidden="1">#REF!</definedName>
    <definedName name="BLPH88" hidden="1">#REF!</definedName>
    <definedName name="BLPH89" localSheetId="0" hidden="1">#REF!</definedName>
    <definedName name="BLPH89" localSheetId="3" hidden="1">#REF!</definedName>
    <definedName name="BLPH89" hidden="1">#REF!</definedName>
    <definedName name="BLPH9" hidden="1">#REF!</definedName>
    <definedName name="BLPH90" localSheetId="0" hidden="1">#REF!</definedName>
    <definedName name="BLPH90" localSheetId="3" hidden="1">#REF!</definedName>
    <definedName name="BLPH90" hidden="1">#REF!</definedName>
    <definedName name="BLPH91" localSheetId="0" hidden="1">#REF!</definedName>
    <definedName name="BLPH91" localSheetId="3" hidden="1">#REF!</definedName>
    <definedName name="BLPH91" hidden="1">#REF!</definedName>
    <definedName name="BLPH92" localSheetId="0" hidden="1">#REF!</definedName>
    <definedName name="BLPH92" localSheetId="3" hidden="1">#REF!</definedName>
    <definedName name="BLPH92" hidden="1">#REF!</definedName>
    <definedName name="BLPH93" localSheetId="0" hidden="1">#REF!</definedName>
    <definedName name="BLPH93" localSheetId="3" hidden="1">#REF!</definedName>
    <definedName name="BLPH93" hidden="1">#REF!</definedName>
    <definedName name="BLPH94" localSheetId="0" hidden="1">#REF!</definedName>
    <definedName name="BLPH94" localSheetId="3" hidden="1">#REF!</definedName>
    <definedName name="BLPH94" hidden="1">#REF!</definedName>
    <definedName name="BLPH95" localSheetId="0" hidden="1">#REF!</definedName>
    <definedName name="BLPH95" localSheetId="3" hidden="1">#REF!</definedName>
    <definedName name="BLPH95" hidden="1">#REF!</definedName>
    <definedName name="BLPH96" localSheetId="0" hidden="1">#REF!</definedName>
    <definedName name="BLPH96" localSheetId="3" hidden="1">#REF!</definedName>
    <definedName name="BLPH96" hidden="1">#REF!</definedName>
    <definedName name="BLPH97" localSheetId="0" hidden="1">#REF!</definedName>
    <definedName name="BLPH97" localSheetId="3" hidden="1">#REF!</definedName>
    <definedName name="BLPH97" hidden="1">#REF!</definedName>
    <definedName name="BLPH98" localSheetId="0" hidden="1">#REF!</definedName>
    <definedName name="BLPH98" localSheetId="3" hidden="1">#REF!</definedName>
    <definedName name="BLPH98" hidden="1">#REF!</definedName>
    <definedName name="BLPH99" localSheetId="0" hidden="1">#REF!</definedName>
    <definedName name="BLPH99" localSheetId="3" hidden="1">#REF!</definedName>
    <definedName name="BLPH99" hidden="1">#REF!</definedName>
    <definedName name="BLPR10020040303143550017" hidden="1">#REF!</definedName>
    <definedName name="BLPR10020040303143550017_1_1" hidden="1">#REF!</definedName>
    <definedName name="BLPR10120040303143550017" hidden="1">#REF!</definedName>
    <definedName name="BLPR10120040303143550017_1_1" hidden="1">#REF!</definedName>
    <definedName name="BLPR1020040303143540803" hidden="1">#REF!</definedName>
    <definedName name="BLPR1020040303143540803_1_3" hidden="1">#REF!</definedName>
    <definedName name="BLPR1020040303143540803_2_3" hidden="1">#REF!</definedName>
    <definedName name="BLPR1020040303143540803_3_3" hidden="1">#REF!</definedName>
    <definedName name="BLPR10220040303143550017" hidden="1">#REF!</definedName>
    <definedName name="BLPR10220040303143550017_1_1" hidden="1">#REF!</definedName>
    <definedName name="BLPR10320040303143550017" hidden="1">#REF!</definedName>
    <definedName name="BLPR10320040303143550017_1_1" hidden="1">#REF!</definedName>
    <definedName name="BLPR10420040303143550027" hidden="1">#REF!</definedName>
    <definedName name="BLPR10420040303143550027_1_1" hidden="1">#REF!</definedName>
    <definedName name="BLPR10520040303143550027" hidden="1">#REF!</definedName>
    <definedName name="BLPR10520040303143550027_1_1" hidden="1">#REF!</definedName>
    <definedName name="BLPR10620040303143550027" hidden="1">#REF!</definedName>
    <definedName name="BLPR10620040303143550027_1_1" hidden="1">#REF!</definedName>
    <definedName name="BLPR10720040303143550027" hidden="1">#REF!</definedName>
    <definedName name="BLPR10720040303143550027_1_1" hidden="1">#REF!</definedName>
    <definedName name="BLPR10820040303143550027" hidden="1">#REF!</definedName>
    <definedName name="BLPR10820040303143550027_1_1" hidden="1">#REF!</definedName>
    <definedName name="BLPR10920040303143550027" hidden="1">#REF!</definedName>
    <definedName name="BLPR10920040303143550027_1_1" hidden="1">#REF!</definedName>
    <definedName name="BLPR11020040303143550027" hidden="1">#REF!</definedName>
    <definedName name="BLPR11020040303143550027_1_1" hidden="1">#REF!</definedName>
    <definedName name="BLPR11120040303143550037" hidden="1">#REF!</definedName>
    <definedName name="BLPR11120040303143550037_1_1" hidden="1">#REF!</definedName>
    <definedName name="BLPR1120040303143540803" hidden="1">#REF!</definedName>
    <definedName name="BLPR1120040303143540803_1_3" hidden="1">#REF!</definedName>
    <definedName name="BLPR1120040303143540803_2_3" hidden="1">#REF!</definedName>
    <definedName name="BLPR1120040303143540803_3_3" hidden="1">#REF!</definedName>
    <definedName name="BLPR11220040303143550037" hidden="1">#REF!</definedName>
    <definedName name="BLPR11220040303143550037_1_1" hidden="1">#REF!</definedName>
    <definedName name="BLPR11320040303143550037" hidden="1">#REF!</definedName>
    <definedName name="BLPR11320040303143550037_1_1" hidden="1">#REF!</definedName>
    <definedName name="BLPR11420040303143550037" hidden="1">#REF!</definedName>
    <definedName name="BLPR11420040303143550037_1_1" hidden="1">#REF!</definedName>
    <definedName name="BLPR11520040303143550037" hidden="1">#REF!</definedName>
    <definedName name="BLPR11520040303143550037_1_1" hidden="1">#REF!</definedName>
    <definedName name="BLPR11620040303143550037" hidden="1">#REF!</definedName>
    <definedName name="BLPR11620040303143550037_1_1" hidden="1">#REF!</definedName>
    <definedName name="BLPR11720040303143550047" hidden="1">#REF!</definedName>
    <definedName name="BLPR11720040303143550047_1_1" hidden="1">#REF!</definedName>
    <definedName name="BLPR11820040303143550047" hidden="1">#REF!</definedName>
    <definedName name="BLPR11820040303143550047_1_1" hidden="1">#REF!</definedName>
    <definedName name="BLPR11920040303143550047" hidden="1">#REF!</definedName>
    <definedName name="BLPR11920040303143550047_1_1" hidden="1">#REF!</definedName>
    <definedName name="BLPR120040303143540763" hidden="1">#REF!</definedName>
    <definedName name="BLPR120040303143540763_1_3" hidden="1">#REF!</definedName>
    <definedName name="BLPR120040303143540763_2_3" hidden="1">#REF!</definedName>
    <definedName name="BLPR120040303143540763_3_3" hidden="1">#REF!</definedName>
    <definedName name="BLPR12020040303143550047" hidden="1">#REF!</definedName>
    <definedName name="BLPR12020040303143550047_1_1" hidden="1">#REF!</definedName>
    <definedName name="BLPR12120040303143550047" hidden="1">#REF!</definedName>
    <definedName name="BLPR12120040303143550047_1_1" hidden="1">#REF!</definedName>
    <definedName name="BLPR1220040303143540803" hidden="1">#REF!</definedName>
    <definedName name="BLPR1220040303143540803_1_3" hidden="1">#REF!</definedName>
    <definedName name="BLPR1220040303143540803_2_3" hidden="1">#REF!</definedName>
    <definedName name="BLPR1220040303143540803_3_3" hidden="1">#REF!</definedName>
    <definedName name="BLPR12220040303143550047" hidden="1">#REF!</definedName>
    <definedName name="BLPR12220040303143550047_1_1" hidden="1">#REF!</definedName>
    <definedName name="BLPR12320040303143550047" hidden="1">#REF!</definedName>
    <definedName name="BLPR12320040303143550047_1_1" hidden="1">#REF!</definedName>
    <definedName name="BLPR12420040303143550057" hidden="1">#REF!</definedName>
    <definedName name="BLPR12420040303143550057_1_1" hidden="1">#REF!</definedName>
    <definedName name="BLPR12520040303143550057" hidden="1">#REF!</definedName>
    <definedName name="BLPR12520040303143550057_1_1" hidden="1">#REF!</definedName>
    <definedName name="BLPR12620040303143550057" hidden="1">#REF!</definedName>
    <definedName name="BLPR12620040303143550057_1_1" hidden="1">#REF!</definedName>
    <definedName name="BLPR12720040303143550057" hidden="1">#REF!</definedName>
    <definedName name="BLPR12720040303143550057_1_1" hidden="1">#REF!</definedName>
    <definedName name="BLPR12820040303143550057" hidden="1">#REF!</definedName>
    <definedName name="BLPR12820040303143550057_1_1" hidden="1">#REF!</definedName>
    <definedName name="BLPR12920040303143550057" hidden="1">#REF!</definedName>
    <definedName name="BLPR12920040303143550057_1_1" hidden="1">#REF!</definedName>
    <definedName name="BLPR13020040303143550067" hidden="1">#REF!</definedName>
    <definedName name="BLPR13020040303143550067_1_1" hidden="1">#REF!</definedName>
    <definedName name="BLPR13120040303143550067" hidden="1">#REF!</definedName>
    <definedName name="BLPR13120040303143550067_1_1" hidden="1">#REF!</definedName>
    <definedName name="BLPR1320040303143540813" hidden="1">#REF!</definedName>
    <definedName name="BLPR1320040303143540813_1_3" hidden="1">#REF!</definedName>
    <definedName name="BLPR1320040303143540813_2_3" hidden="1">#REF!</definedName>
    <definedName name="BLPR1320040303143540813_3_3" hidden="1">#REF!</definedName>
    <definedName name="BLPR13220040303143550067" hidden="1">#REF!</definedName>
    <definedName name="BLPR13220040303143550067_1_1" hidden="1">#REF!</definedName>
    <definedName name="BLPR13320040303143550067" hidden="1">#REF!</definedName>
    <definedName name="BLPR13320040303143550067_1_1" hidden="1">#REF!</definedName>
    <definedName name="BLPR13420040303143550067" hidden="1">#REF!</definedName>
    <definedName name="BLPR13420040303143550067_1_1" hidden="1">#REF!</definedName>
    <definedName name="BLPR13520040303143550067" hidden="1">#REF!</definedName>
    <definedName name="BLPR13520040303143550067_1_1" hidden="1">#REF!</definedName>
    <definedName name="BLPR13620040303143550077" hidden="1">#REF!</definedName>
    <definedName name="BLPR13620040303143550077_1_1" hidden="1">#REF!</definedName>
    <definedName name="BLPR13720040303143550077" hidden="1">#REF!</definedName>
    <definedName name="BLPR13720040303143550077_1_1" hidden="1">#REF!</definedName>
    <definedName name="BLPR13820040303143550077" hidden="1">#REF!</definedName>
    <definedName name="BLPR13820040303143550077_1_1" hidden="1">#REF!</definedName>
    <definedName name="BLPR13920040303143550077" hidden="1">#REF!</definedName>
    <definedName name="BLPR13920040303143550077_1_1" hidden="1">#REF!</definedName>
    <definedName name="BLPR14020040303143550077" hidden="1">#REF!</definedName>
    <definedName name="BLPR14020040303143550077_1_1" hidden="1">#REF!</definedName>
    <definedName name="BLPR14120040303143550077" hidden="1">#REF!</definedName>
    <definedName name="BLPR14120040303143550077_1_1" hidden="1">#REF!</definedName>
    <definedName name="BLPR1420040303143540813" hidden="1">#REF!</definedName>
    <definedName name="BLPR1420040303143540813_1_3" hidden="1">#REF!</definedName>
    <definedName name="BLPR1420040303143540813_2_3" hidden="1">#REF!</definedName>
    <definedName name="BLPR1420040303143540813_3_3" hidden="1">#REF!</definedName>
    <definedName name="BLPR14220040303143550077" hidden="1">#REF!</definedName>
    <definedName name="BLPR14220040303143550077_1_1" hidden="1">#REF!</definedName>
    <definedName name="BLPR14320040303143550077" hidden="1">#REF!</definedName>
    <definedName name="BLPR14320040303143550077_1_1" hidden="1">#REF!</definedName>
    <definedName name="BLPR14420040303143550077" hidden="1">#REF!</definedName>
    <definedName name="BLPR14420040303143550077_1_1" hidden="1">#REF!</definedName>
    <definedName name="BLPR14520040303143550077" hidden="1">#REF!</definedName>
    <definedName name="BLPR14520040303143550077_1_1" hidden="1">#REF!</definedName>
    <definedName name="BLPR14620040303143550077" hidden="1">#REF!</definedName>
    <definedName name="BLPR14620040303143550077_1_1" hidden="1">#REF!</definedName>
    <definedName name="BLPR14720040303143550077" hidden="1">#REF!</definedName>
    <definedName name="BLPR14720040303143550077_1_1" hidden="1">#REF!</definedName>
    <definedName name="BLPR14820040303143550077" hidden="1">#REF!</definedName>
    <definedName name="BLPR14820040303143550077_1_1" hidden="1">#REF!</definedName>
    <definedName name="BLPR14920040303143550077" hidden="1">#REF!</definedName>
    <definedName name="BLPR14920040303143550077_1_1" hidden="1">#REF!</definedName>
    <definedName name="BLPR15020040303143550087" hidden="1">#REF!</definedName>
    <definedName name="BLPR15020040303143550087_1_1" hidden="1">#REF!</definedName>
    <definedName name="BLPR15120040303143550087" hidden="1">#REF!</definedName>
    <definedName name="BLPR15120040303143550087_1_1" hidden="1">#REF!</definedName>
    <definedName name="BLPR1520040303143540813" hidden="1">#REF!</definedName>
    <definedName name="BLPR1520040303143540813_1_3" hidden="1">#REF!</definedName>
    <definedName name="BLPR1520040303143540813_2_3" hidden="1">#REF!</definedName>
    <definedName name="BLPR1520040303143540813_3_3" hidden="1">#REF!</definedName>
    <definedName name="BLPR15220040303143550087" hidden="1">#REF!</definedName>
    <definedName name="BLPR15220040303143550087_1_1" hidden="1">#REF!</definedName>
    <definedName name="BLPR15320040303143550087" hidden="1">#REF!</definedName>
    <definedName name="BLPR15320040303143550087_1_1" hidden="1">#REF!</definedName>
    <definedName name="BLPR15420040303143550087" hidden="1">#REF!</definedName>
    <definedName name="BLPR15420040303143550087_1_1" hidden="1">#REF!</definedName>
    <definedName name="BLPR15520040303143550207" hidden="1">#REF!</definedName>
    <definedName name="BLPR15520040303143550207_1_2" hidden="1">#REF!</definedName>
    <definedName name="BLPR15520040303143550207_2_2" hidden="1">#REF!</definedName>
    <definedName name="BLPR15620040303143550227" hidden="1">#REF!</definedName>
    <definedName name="BLPR15620040303143550227_1_2" hidden="1">#REF!</definedName>
    <definedName name="BLPR15620040303143550227_2_2" hidden="1">#REF!</definedName>
    <definedName name="BLPR15720040303143550237" hidden="1">#REF!</definedName>
    <definedName name="BLPR15720040303143550237_1_2" hidden="1">#REF!</definedName>
    <definedName name="BLPR15720040303143550237_2_2" hidden="1">#REF!</definedName>
    <definedName name="BLPR15820040303143550257" hidden="1">#REF!</definedName>
    <definedName name="BLPR15820040303143550257_1_2" hidden="1">#REF!</definedName>
    <definedName name="BLPR15820040303143550257_2_2" hidden="1">#REF!</definedName>
    <definedName name="BLPR15920040303143550267" hidden="1">#REF!</definedName>
    <definedName name="BLPR15920040303143550267_1_2" hidden="1">#REF!</definedName>
    <definedName name="BLPR15920040303143550267_2_2" hidden="1">#REF!</definedName>
    <definedName name="BLPR16020040303143550287" hidden="1">#REF!</definedName>
    <definedName name="BLPR16020040303143550287_1_2" hidden="1">#REF!</definedName>
    <definedName name="BLPR16020040303143550287_2_2" hidden="1">#REF!</definedName>
    <definedName name="BLPR16120040303143550297" hidden="1">#REF!</definedName>
    <definedName name="BLPR16120040303143550297_1_2" hidden="1">#REF!</definedName>
    <definedName name="BLPR16120040303143550297_2_2" hidden="1">#REF!</definedName>
    <definedName name="BLPR1620040303143540813" hidden="1">#REF!</definedName>
    <definedName name="BLPR1620040303143540813_1_3" hidden="1">#REF!</definedName>
    <definedName name="BLPR1620040303143540813_2_3" hidden="1">#REF!</definedName>
    <definedName name="BLPR1620040303143540813_3_3" hidden="1">#REF!</definedName>
    <definedName name="BLPR16220040303143550317" hidden="1">#REF!</definedName>
    <definedName name="BLPR16220040303143550317_1_2" hidden="1">#REF!</definedName>
    <definedName name="BLPR16220040303143550317_2_2" hidden="1">#REF!</definedName>
    <definedName name="BLPR16320040303143550327" hidden="1">#REF!</definedName>
    <definedName name="BLPR16320040303143550327_1_2" hidden="1">#REF!</definedName>
    <definedName name="BLPR16320040303143550327_2_2" hidden="1">#REF!</definedName>
    <definedName name="BLPR16420040303143550347" hidden="1">#REF!</definedName>
    <definedName name="BLPR16420040303143550347_1_2" hidden="1">#REF!</definedName>
    <definedName name="BLPR16420040303143550347_2_2" hidden="1">#REF!</definedName>
    <definedName name="BLPR16520040303143550357" hidden="1">#REF!</definedName>
    <definedName name="BLPR16520040303143550357_1_2" hidden="1">#REF!</definedName>
    <definedName name="BLPR16520040303143550357_2_2" hidden="1">#REF!</definedName>
    <definedName name="BLPR16620040303143550377" hidden="1">#REF!</definedName>
    <definedName name="BLPR16620040303143550377_1_2" hidden="1">#REF!</definedName>
    <definedName name="BLPR16620040303143550377_2_2" hidden="1">#REF!</definedName>
    <definedName name="BLPR16720040303143550397" hidden="1">#REF!</definedName>
    <definedName name="BLPR16720040303143550397_1_2" hidden="1">#REF!</definedName>
    <definedName name="BLPR16720040303143550397_2_2" hidden="1">#REF!</definedName>
    <definedName name="BLPR16820040303143550407" hidden="1">#REF!</definedName>
    <definedName name="BLPR16820040303143550407_1_2" hidden="1">#REF!</definedName>
    <definedName name="BLPR16820040303143550407_2_2" hidden="1">#REF!</definedName>
    <definedName name="BLPR16920040303143550427" hidden="1">#REF!</definedName>
    <definedName name="BLPR16920040303143550427_1_2" hidden="1">#REF!</definedName>
    <definedName name="BLPR16920040303143550427_2_2" hidden="1">#REF!</definedName>
    <definedName name="BLPR17020040303143550437" hidden="1">#REF!</definedName>
    <definedName name="BLPR17020040303143550437_1_2" hidden="1">#REF!</definedName>
    <definedName name="BLPR17020040303143550437_2_2" hidden="1">#REF!</definedName>
    <definedName name="BLPR17120040303143550457" hidden="1">#REF!</definedName>
    <definedName name="BLPR17120040303143550457_1_2" hidden="1">#REF!</definedName>
    <definedName name="BLPR17120040303143550457_2_2" hidden="1">#REF!</definedName>
    <definedName name="BLPR1720040303143540823" hidden="1">#REF!</definedName>
    <definedName name="BLPR1720040303143540823_1_3" hidden="1">#REF!</definedName>
    <definedName name="BLPR1720040303143540823_2_3" hidden="1">#REF!</definedName>
    <definedName name="BLPR1720040303143540823_3_3" hidden="1">#REF!</definedName>
    <definedName name="BLPR17220040303143550477" hidden="1">#REF!</definedName>
    <definedName name="BLPR17220040303143550477_1_2" hidden="1">#REF!</definedName>
    <definedName name="BLPR17220040303143550477_2_2" hidden="1">#REF!</definedName>
    <definedName name="BLPR17320040303143550487" hidden="1">#REF!</definedName>
    <definedName name="BLPR17320040303143550487_1_2" hidden="1">#REF!</definedName>
    <definedName name="BLPR17320040303143550487_2_2" hidden="1">#REF!</definedName>
    <definedName name="BLPR17420040303143550507" hidden="1">#REF!</definedName>
    <definedName name="BLPR17420040303143550507_1_2" hidden="1">#REF!</definedName>
    <definedName name="BLPR17420040303143550507_2_2" hidden="1">#REF!</definedName>
    <definedName name="BLPR17520040303143550527" hidden="1">#REF!</definedName>
    <definedName name="BLPR17520040303143550527_1_2" hidden="1">#REF!</definedName>
    <definedName name="BLPR17520040303143550527_2_2" hidden="1">#REF!</definedName>
    <definedName name="BLPR17620040303143550547" hidden="1">#REF!</definedName>
    <definedName name="BLPR17620040303143550547_1_2" hidden="1">#REF!</definedName>
    <definedName name="BLPR17620040303143550547_2_2" hidden="1">#REF!</definedName>
    <definedName name="BLPR17720040303143550557" hidden="1">#REF!</definedName>
    <definedName name="BLPR17720040303143550557_1_2" hidden="1">#REF!</definedName>
    <definedName name="BLPR17720040303143550557_2_2" hidden="1">#REF!</definedName>
    <definedName name="BLPR17820040303143550577" hidden="1">#REF!</definedName>
    <definedName name="BLPR17820040303143550577_1_2" hidden="1">#REF!</definedName>
    <definedName name="BLPR17820040303143550577_2_2" hidden="1">#REF!</definedName>
    <definedName name="BLPR17920040303143550597" hidden="1">#REF!</definedName>
    <definedName name="BLPR17920040303143550597_1_2" hidden="1">#REF!</definedName>
    <definedName name="BLPR17920040303143550597_2_2" hidden="1">#REF!</definedName>
    <definedName name="BLPR18020040303143550617" hidden="1">#REF!</definedName>
    <definedName name="BLPR18020040303143550617_1_2" hidden="1">#REF!</definedName>
    <definedName name="BLPR18020040303143550617_2_2" hidden="1">#REF!</definedName>
    <definedName name="BLPR18120040303143550637" hidden="1">#REF!</definedName>
    <definedName name="BLPR18120040303143550637_1_2" hidden="1">#REF!</definedName>
    <definedName name="BLPR18120040303143550637_2_2" hidden="1">#REF!</definedName>
    <definedName name="BLPR1820040303143540823" hidden="1">#REF!</definedName>
    <definedName name="BLPR1820040303143540823_1_3" hidden="1">#REF!</definedName>
    <definedName name="BLPR1820040303143540823_2_3" hidden="1">#REF!</definedName>
    <definedName name="BLPR1820040303143540823_3_3" hidden="1">#REF!</definedName>
    <definedName name="BLPR18220040303143550657" hidden="1">#REF!</definedName>
    <definedName name="BLPR18220040303143550657_1_2" hidden="1">#REF!</definedName>
    <definedName name="BLPR18220040303143550657_2_2" hidden="1">#REF!</definedName>
    <definedName name="BLPR18320040303143550678" hidden="1">#REF!</definedName>
    <definedName name="BLPR18320040303143550678_1_2" hidden="1">#REF!</definedName>
    <definedName name="BLPR18320040303143550678_2_2" hidden="1">#REF!</definedName>
    <definedName name="BLPR18420040303143550698" hidden="1">#REF!</definedName>
    <definedName name="BLPR18420040303143550698_1_2" hidden="1">#REF!</definedName>
    <definedName name="BLPR18420040303143550698_2_2" hidden="1">#REF!</definedName>
    <definedName name="BLPR18520040303143550718" hidden="1">#REF!</definedName>
    <definedName name="BLPR18520040303143550718_1_2" hidden="1">#REF!</definedName>
    <definedName name="BLPR18520040303143550718_2_2" hidden="1">#REF!</definedName>
    <definedName name="BLPR18620040303143550738" hidden="1">#REF!</definedName>
    <definedName name="BLPR18620040303143550738_1_2" hidden="1">#REF!</definedName>
    <definedName name="BLPR18620040303143550738_2_2" hidden="1">#REF!</definedName>
    <definedName name="BLPR18720040303143550758" hidden="1">#REF!</definedName>
    <definedName name="BLPR18720040303143550758_1_2" hidden="1">#REF!</definedName>
    <definedName name="BLPR18720040303143550758_2_2" hidden="1">#REF!</definedName>
    <definedName name="BLPR18820040303143550778" hidden="1">#REF!</definedName>
    <definedName name="BLPR18820040303143550778_1_2" hidden="1">#REF!</definedName>
    <definedName name="BLPR18820040303143550778_2_2" hidden="1">#REF!</definedName>
    <definedName name="BLPR18920040303143550798" hidden="1">#REF!</definedName>
    <definedName name="BLPR18920040303143550798_1_2" hidden="1">#REF!</definedName>
    <definedName name="BLPR18920040303143550798_2_2" hidden="1">#REF!</definedName>
    <definedName name="BLPR19020040303143550818" hidden="1">#REF!</definedName>
    <definedName name="BLPR19020040303143550818_1_2" hidden="1">#REF!</definedName>
    <definedName name="BLPR19020040303143550818_2_2" hidden="1">#REF!</definedName>
    <definedName name="BLPR19120040303143550838" hidden="1">#REF!</definedName>
    <definedName name="BLPR19120040303143550838_1_2" hidden="1">#REF!</definedName>
    <definedName name="BLPR19120040303143550838_2_2" hidden="1">#REF!</definedName>
    <definedName name="BLPR1920040303143540823" hidden="1">#REF!</definedName>
    <definedName name="BLPR1920040303143540823_1_3" hidden="1">#REF!</definedName>
    <definedName name="BLPR1920040303143540823_2_3" hidden="1">#REF!</definedName>
    <definedName name="BLPR1920040303143540823_3_3" hidden="1">#REF!</definedName>
    <definedName name="BLPR19220040303143550858" hidden="1">#REF!</definedName>
    <definedName name="BLPR19220040303143550858_1_2" hidden="1">#REF!</definedName>
    <definedName name="BLPR19220040303143550858_2_2" hidden="1">#REF!</definedName>
    <definedName name="BLPR19320040303143550878" hidden="1">#REF!</definedName>
    <definedName name="BLPR19320040303143550878_1_2" hidden="1">#REF!</definedName>
    <definedName name="BLPR19320040303143550878_2_2" hidden="1">#REF!</definedName>
    <definedName name="BLPR19420040303143550898" hidden="1">#REF!</definedName>
    <definedName name="BLPR19420040303143550898_1_2" hidden="1">#REF!</definedName>
    <definedName name="BLPR19420040303143550898_2_2" hidden="1">#REF!</definedName>
    <definedName name="BLPR19520040303143550928" hidden="1">#REF!</definedName>
    <definedName name="BLPR19520040303143550928_1_2" hidden="1">#REF!</definedName>
    <definedName name="BLPR19520040303143550928_2_2" hidden="1">#REF!</definedName>
    <definedName name="BLPR19620040303143550948" hidden="1">#REF!</definedName>
    <definedName name="BLPR19620040303143550948_1_2" hidden="1">#REF!</definedName>
    <definedName name="BLPR19620040303143550948_2_2" hidden="1">#REF!</definedName>
    <definedName name="BLPR19720040303143550968" hidden="1">#REF!</definedName>
    <definedName name="BLPR19720040303143550968_1_2" hidden="1">#REF!</definedName>
    <definedName name="BLPR19720040303143550968_2_2" hidden="1">#REF!</definedName>
    <definedName name="BLPR19820040303143550988" hidden="1">#REF!</definedName>
    <definedName name="BLPR19820040303143550988_1_2" hidden="1">#REF!</definedName>
    <definedName name="BLPR19820040303143550988_2_2" hidden="1">#REF!</definedName>
    <definedName name="BLPR19920040303143551999" hidden="1">#REF!</definedName>
    <definedName name="BLPR19920040303143551999_1_1" hidden="1">#REF!</definedName>
    <definedName name="BLPR20020040303143551999" hidden="1">#REF!</definedName>
    <definedName name="BLPR20020040303143551999_1_1" hidden="1">#REF!</definedName>
    <definedName name="BLPR20120040303143551999" hidden="1">#REF!</definedName>
    <definedName name="BLPR20120040303143551999_1_1" hidden="1">#REF!</definedName>
    <definedName name="BLPR2020040303143540823" hidden="1">#REF!</definedName>
    <definedName name="BLPR2020040303143540823_1_3" hidden="1">#REF!</definedName>
    <definedName name="BLPR2020040303143540823_2_3" hidden="1">#REF!</definedName>
    <definedName name="BLPR2020040303143540823_3_3" hidden="1">#REF!</definedName>
    <definedName name="BLPR20220040303143551999" hidden="1">#REF!</definedName>
    <definedName name="BLPR20220040303143551999_1_1" hidden="1">#REF!</definedName>
    <definedName name="BLPR20320040303143552009" hidden="1">#REF!</definedName>
    <definedName name="BLPR20320040303143552009_1_1" hidden="1">#REF!</definedName>
    <definedName name="BLPR20420040303143552009" hidden="1">#REF!</definedName>
    <definedName name="BLPR20420040303143552009_1_1" hidden="1">#REF!</definedName>
    <definedName name="BLPR20520040303143552009" hidden="1">#REF!</definedName>
    <definedName name="BLPR20520040303143552009_1_1" hidden="1">#REF!</definedName>
    <definedName name="BLPR20620040303143552009" hidden="1">#REF!</definedName>
    <definedName name="BLPR20620040303143552009_1_1" hidden="1">#REF!</definedName>
    <definedName name="BLPR20720040303143552009" hidden="1">#REF!</definedName>
    <definedName name="BLPR20720040303143552009_1_1" hidden="1">#REF!</definedName>
    <definedName name="BLPR20820040303143552009" hidden="1">#REF!</definedName>
    <definedName name="BLPR20820040303143552009_1_1" hidden="1">#REF!</definedName>
    <definedName name="BLPR20920040303143552009" hidden="1">#REF!</definedName>
    <definedName name="BLPR20920040303143552009_1_1" hidden="1">#REF!</definedName>
    <definedName name="BLPR21020040303143552009" hidden="1">#REF!</definedName>
    <definedName name="BLPR21020040303143552009_1_1" hidden="1">#REF!</definedName>
    <definedName name="BLPR21120040303143552009" hidden="1">#REF!</definedName>
    <definedName name="BLPR21120040303143552009_1_1" hidden="1">#REF!</definedName>
    <definedName name="BLPR2120040303143540823" hidden="1">#REF!</definedName>
    <definedName name="BLPR2120040303143540823_1_3" hidden="1">#REF!</definedName>
    <definedName name="BLPR2120040303143540823_2_3" hidden="1">#REF!</definedName>
    <definedName name="BLPR2120040303143540823_3_3" hidden="1">#REF!</definedName>
    <definedName name="BLPR21220040303143552009" hidden="1">#REF!</definedName>
    <definedName name="BLPR21220040303143552009_1_1" hidden="1">#REF!</definedName>
    <definedName name="BLPR21320040303143552009" hidden="1">#REF!</definedName>
    <definedName name="BLPR21320040303143552009_1_1" hidden="1">#REF!</definedName>
    <definedName name="BLPR21420040303143552019" hidden="1">#REF!</definedName>
    <definedName name="BLPR21420040303143552019_1_1" hidden="1">#REF!</definedName>
    <definedName name="BLPR21520040303143552080" hidden="1">#REF!</definedName>
    <definedName name="BLPR21520040303143552080_1_2" hidden="1">#REF!</definedName>
    <definedName name="BLPR21520040303143552080_2_2" hidden="1">#REF!</definedName>
    <definedName name="BLPR21620040303143552110" hidden="1">#REF!</definedName>
    <definedName name="BLPR21620040303143552110_1_2" hidden="1">#REF!</definedName>
    <definedName name="BLPR21620040303143552110_2_2" hidden="1">#REF!</definedName>
    <definedName name="BLPR21720040303143552130" hidden="1">#REF!</definedName>
    <definedName name="BLPR21720040303143552130_1_2" hidden="1">#REF!</definedName>
    <definedName name="BLPR21720040303143552130_2_2" hidden="1">#REF!</definedName>
    <definedName name="BLPR21820040303143552160" hidden="1">#REF!</definedName>
    <definedName name="BLPR21820040303143552160_1_2" hidden="1">#REF!</definedName>
    <definedName name="BLPR21820040303143552160_2_2" hidden="1">#REF!</definedName>
    <definedName name="BLPR21920040303143552180" hidden="1">#REF!</definedName>
    <definedName name="BLPR21920040303143552180_1_2" hidden="1">#REF!</definedName>
    <definedName name="BLPR21920040303143552180_2_2" hidden="1">#REF!</definedName>
    <definedName name="BLPR220040303143540773" hidden="1">#REF!</definedName>
    <definedName name="BLPR220040303143540773_1_3" hidden="1">#REF!</definedName>
    <definedName name="BLPR220040303143540773_2_3" hidden="1">#REF!</definedName>
    <definedName name="BLPR220040303143540773_3_3" hidden="1">#REF!</definedName>
    <definedName name="BLPR22020040303143552210" hidden="1">#REF!</definedName>
    <definedName name="BLPR22020040303143552210_1_2" hidden="1">#REF!</definedName>
    <definedName name="BLPR22020040303143552210_2_2" hidden="1">#REF!</definedName>
    <definedName name="BLPR22120040303143552230" hidden="1">#REF!</definedName>
    <definedName name="BLPR22120040303143552230_1_2" hidden="1">#REF!</definedName>
    <definedName name="BLPR22120040303143552230_2_2" hidden="1">#REF!</definedName>
    <definedName name="BLPR2220040303143540833" hidden="1">#REF!</definedName>
    <definedName name="BLPR2220040303143540833_1_3" hidden="1">#REF!</definedName>
    <definedName name="BLPR2220040303143540833_2_3" hidden="1">#REF!</definedName>
    <definedName name="BLPR2220040303143540833_3_3" hidden="1">#REF!</definedName>
    <definedName name="BLPR22220040303143552260" hidden="1">#REF!</definedName>
    <definedName name="BLPR22220040303143552260_1_2" hidden="1">#REF!</definedName>
    <definedName name="BLPR22220040303143552260_2_2" hidden="1">#REF!</definedName>
    <definedName name="BLPR2320040303143540833" hidden="1">#REF!</definedName>
    <definedName name="BLPR2320040303143540833_1_3" hidden="1">#REF!</definedName>
    <definedName name="BLPR2320040303143540833_2_3" hidden="1">#REF!</definedName>
    <definedName name="BLPR2320040303143540833_3_3" hidden="1">#REF!</definedName>
    <definedName name="BLPR2420040303143540833" hidden="1">#REF!</definedName>
    <definedName name="BLPR2420040303143540833_1_3" hidden="1">#REF!</definedName>
    <definedName name="BLPR2420040303143540833_2_3" hidden="1">#REF!</definedName>
    <definedName name="BLPR2420040303143540833_3_3" hidden="1">#REF!</definedName>
    <definedName name="BLPR2520040303143540833" hidden="1">#REF!</definedName>
    <definedName name="BLPR2520040303143540833_1_3" hidden="1">#REF!</definedName>
    <definedName name="BLPR2520040303143540833_2_3" hidden="1">#REF!</definedName>
    <definedName name="BLPR2520040303143540833_3_3" hidden="1">#REF!</definedName>
    <definedName name="BLPR2620040303143540833" hidden="1">#REF!</definedName>
    <definedName name="BLPR2620040303143540833_1_3" hidden="1">#REF!</definedName>
    <definedName name="BLPR2620040303143540833_2_3" hidden="1">#REF!</definedName>
    <definedName name="BLPR2620040303143540833_3_3" hidden="1">#REF!</definedName>
    <definedName name="BLPR2720040303143540843" hidden="1">#REF!</definedName>
    <definedName name="BLPR2720040303143540843_1_3" hidden="1">#REF!</definedName>
    <definedName name="BLPR2720040303143540843_2_3" hidden="1">#REF!</definedName>
    <definedName name="BLPR2720040303143540843_3_3" hidden="1">#REF!</definedName>
    <definedName name="BLPR2820040303143540843" hidden="1">#REF!</definedName>
    <definedName name="BLPR2820040303143540843_1_3" hidden="1">#REF!</definedName>
    <definedName name="BLPR2820040303143540843_2_3" hidden="1">#REF!</definedName>
    <definedName name="BLPR2820040303143540843_3_3" hidden="1">#REF!</definedName>
    <definedName name="BLPR2920040303143540843" hidden="1">#REF!</definedName>
    <definedName name="BLPR2920040303143540843_1_3" hidden="1">#REF!</definedName>
    <definedName name="BLPR2920040303143540843_2_3" hidden="1">#REF!</definedName>
    <definedName name="BLPR2920040303143540843_3_3" hidden="1">#REF!</definedName>
    <definedName name="BLPR3020040303143540843" hidden="1">#REF!</definedName>
    <definedName name="BLPR3020040303143540843_1_3" hidden="1">#REF!</definedName>
    <definedName name="BLPR3020040303143540843_2_3" hidden="1">#REF!</definedName>
    <definedName name="BLPR3020040303143540843_3_3" hidden="1">#REF!</definedName>
    <definedName name="BLPR3120040303143540853" hidden="1">#REF!</definedName>
    <definedName name="BLPR3120040303143540853_1_3" hidden="1">#REF!</definedName>
    <definedName name="BLPR3120040303143540853_2_3" hidden="1">#REF!</definedName>
    <definedName name="BLPR3120040303143540853_3_3" hidden="1">#REF!</definedName>
    <definedName name="BLPR320040303143540773" hidden="1">#REF!</definedName>
    <definedName name="BLPR320040303143540773_1_3" hidden="1">#REF!</definedName>
    <definedName name="BLPR320040303143540773_2_3" hidden="1">#REF!</definedName>
    <definedName name="BLPR320040303143540773_3_3" hidden="1">#REF!</definedName>
    <definedName name="BLPR3220040303143540853" hidden="1">#REF!</definedName>
    <definedName name="BLPR3220040303143540853_1_3" hidden="1">#REF!</definedName>
    <definedName name="BLPR3220040303143540853_2_3" hidden="1">#REF!</definedName>
    <definedName name="BLPR3220040303143540853_3_3" hidden="1">#REF!</definedName>
    <definedName name="BLPR3320040303143540853" hidden="1">#REF!</definedName>
    <definedName name="BLPR3320040303143540853_1_3" hidden="1">#REF!</definedName>
    <definedName name="BLPR3320040303143540853_2_3" hidden="1">#REF!</definedName>
    <definedName name="BLPR3320040303143540853_3_3" hidden="1">#REF!</definedName>
    <definedName name="BLPR3420040303143540853" hidden="1">#REF!</definedName>
    <definedName name="BLPR3420040303143540853_1_3" hidden="1">#REF!</definedName>
    <definedName name="BLPR3420040303143540853_2_3" hidden="1">#REF!</definedName>
    <definedName name="BLPR3420040303143540853_3_3" hidden="1">#REF!</definedName>
    <definedName name="BLPR3520040303143540853" hidden="1">#REF!</definedName>
    <definedName name="BLPR3520040303143540853_1_3" hidden="1">#REF!</definedName>
    <definedName name="BLPR3520040303143540853_2_3" hidden="1">#REF!</definedName>
    <definedName name="BLPR3520040303143540853_3_3" hidden="1">#REF!</definedName>
    <definedName name="BLPR3620040303143540863" hidden="1">#REF!</definedName>
    <definedName name="BLPR3620040303143540863_1_3" hidden="1">#REF!</definedName>
    <definedName name="BLPR3620040303143540863_2_3" hidden="1">#REF!</definedName>
    <definedName name="BLPR3620040303143540863_3_3" hidden="1">#REF!</definedName>
    <definedName name="BLPR3720040303143540863" hidden="1">#REF!</definedName>
    <definedName name="BLPR3720040303143540863_1_3" hidden="1">#REF!</definedName>
    <definedName name="BLPR3720040303143540863_2_3" hidden="1">#REF!</definedName>
    <definedName name="BLPR3720040303143540863_3_3" hidden="1">#REF!</definedName>
    <definedName name="BLPR3820040303143540863" hidden="1">#REF!</definedName>
    <definedName name="BLPR3820040303143540863_1_3" hidden="1">#REF!</definedName>
    <definedName name="BLPR3820040303143540863_2_3" hidden="1">#REF!</definedName>
    <definedName name="BLPR3820040303143540863_3_3" hidden="1">#REF!</definedName>
    <definedName name="BLPR3920040303143540863" hidden="1">#REF!</definedName>
    <definedName name="BLPR3920040303143540863_1_3" hidden="1">#REF!</definedName>
    <definedName name="BLPR3920040303143540863_2_3" hidden="1">#REF!</definedName>
    <definedName name="BLPR3920040303143540863_3_3" hidden="1">#REF!</definedName>
    <definedName name="BLPR4020040303143540873" hidden="1">#REF!</definedName>
    <definedName name="BLPR4020040303143540873_1_3" hidden="1">#REF!</definedName>
    <definedName name="BLPR4020040303143540873_2_3" hidden="1">#REF!</definedName>
    <definedName name="BLPR4020040303143540873_3_3" hidden="1">#REF!</definedName>
    <definedName name="BLPR4120040303143540873" hidden="1">#REF!</definedName>
    <definedName name="BLPR4120040303143540873_1_3" hidden="1">#REF!</definedName>
    <definedName name="BLPR4120040303143540873_2_3" hidden="1">#REF!</definedName>
    <definedName name="BLPR4120040303143540873_3_3" hidden="1">#REF!</definedName>
    <definedName name="BLPR420040303143540783" hidden="1">#REF!</definedName>
    <definedName name="BLPR420040303143540783_1_3" hidden="1">#REF!</definedName>
    <definedName name="BLPR420040303143540783_2_3" hidden="1">#REF!</definedName>
    <definedName name="BLPR420040303143540783_3_3" hidden="1">#REF!</definedName>
    <definedName name="BLPR4220040303143540873" hidden="1">#REF!</definedName>
    <definedName name="BLPR4220040303143540873_1_3" hidden="1">#REF!</definedName>
    <definedName name="BLPR4220040303143540873_2_3" hidden="1">#REF!</definedName>
    <definedName name="BLPR4220040303143540873_3_3" hidden="1">#REF!</definedName>
    <definedName name="BLPR4320040303143540873" hidden="1">#REF!</definedName>
    <definedName name="BLPR4320040303143540873_1_3" hidden="1">#REF!</definedName>
    <definedName name="BLPR4320040303143540873_2_3" hidden="1">#REF!</definedName>
    <definedName name="BLPR4320040303143540873_3_3" hidden="1">#REF!</definedName>
    <definedName name="BLPR4420040303143540883" hidden="1">#REF!</definedName>
    <definedName name="BLPR4420040303143540883_1_3" hidden="1">#REF!</definedName>
    <definedName name="BLPR4420040303143540883_2_3" hidden="1">#REF!</definedName>
    <definedName name="BLPR4420040303143540883_3_3" hidden="1">#REF!</definedName>
    <definedName name="BLPR4520040303143540883" hidden="1">#REF!</definedName>
    <definedName name="BLPR4520040303143540883_1_3" hidden="1">#REF!</definedName>
    <definedName name="BLPR4520040303143540883_2_3" hidden="1">#REF!</definedName>
    <definedName name="BLPR4520040303143540883_3_3" hidden="1">#REF!</definedName>
    <definedName name="BLPR4620040303143540883" hidden="1">#REF!</definedName>
    <definedName name="BLPR4620040303143540883_1_3" hidden="1">#REF!</definedName>
    <definedName name="BLPR4620040303143540883_2_3" hidden="1">#REF!</definedName>
    <definedName name="BLPR4620040303143540883_3_3" hidden="1">#REF!</definedName>
    <definedName name="BLPR4720040303143540893" hidden="1">#REF!</definedName>
    <definedName name="BLPR4720040303143540893_1_3" hidden="1">#REF!</definedName>
    <definedName name="BLPR4720040303143540893_2_3" hidden="1">#REF!</definedName>
    <definedName name="BLPR4720040303143540893_3_3" hidden="1">#REF!</definedName>
    <definedName name="BLPR4820040303143540893" hidden="1">#REF!</definedName>
    <definedName name="BLPR4820040303143540893_1_3" hidden="1">#REF!</definedName>
    <definedName name="BLPR4820040303143540893_2_3" hidden="1">#REF!</definedName>
    <definedName name="BLPR4820040303143540893_3_3" hidden="1">#REF!</definedName>
    <definedName name="BLPR4920040303143542085" hidden="1">#REF!</definedName>
    <definedName name="BLPR4920040303143542085_1_3" hidden="1">#REF!</definedName>
    <definedName name="BLPR4920040303143542085_2_3" hidden="1">#REF!</definedName>
    <definedName name="BLPR4920040303143542085_3_3" hidden="1">#REF!</definedName>
    <definedName name="BLPR5020040303143542085" hidden="1">#REF!</definedName>
    <definedName name="BLPR5020040303143542085_1_3" hidden="1">#REF!</definedName>
    <definedName name="BLPR5020040303143542085_2_3" hidden="1">#REF!</definedName>
    <definedName name="BLPR5020040303143542085_3_3" hidden="1">#REF!</definedName>
    <definedName name="BLPR5120040303143542095" hidden="1">#REF!</definedName>
    <definedName name="BLPR5120040303143542095_1_3" hidden="1">#REF!</definedName>
    <definedName name="BLPR5120040303143542095_2_3" hidden="1">#REF!</definedName>
    <definedName name="BLPR5120040303143542095_3_3" hidden="1">#REF!</definedName>
    <definedName name="BLPR520040303143540783" hidden="1">#REF!</definedName>
    <definedName name="BLPR520040303143540783_1_3" hidden="1">#REF!</definedName>
    <definedName name="BLPR520040303143540783_2_3" hidden="1">#REF!</definedName>
    <definedName name="BLPR520040303143540783_3_3" hidden="1">#REF!</definedName>
    <definedName name="BLPR5220040303143542095" hidden="1">#REF!</definedName>
    <definedName name="BLPR5220040303143542095_1_3" hidden="1">#REF!</definedName>
    <definedName name="BLPR5220040303143542095_2_3" hidden="1">#REF!</definedName>
    <definedName name="BLPR5220040303143542095_3_3" hidden="1">#REF!</definedName>
    <definedName name="BLPR5320040303143542095" hidden="1">#REF!</definedName>
    <definedName name="BLPR5320040303143542095_1_3" hidden="1">#REF!</definedName>
    <definedName name="BLPR5320040303143542095_2_3" hidden="1">#REF!</definedName>
    <definedName name="BLPR5320040303143542095_3_3" hidden="1">#REF!</definedName>
    <definedName name="BLPR5420040303143542095" hidden="1">#REF!</definedName>
    <definedName name="BLPR5420040303143542095_1_3" hidden="1">#REF!</definedName>
    <definedName name="BLPR5420040303143542095_2_3" hidden="1">#REF!</definedName>
    <definedName name="BLPR5420040303143542095_3_3" hidden="1">#REF!</definedName>
    <definedName name="BLPR5520040303143542095" hidden="1">#REF!</definedName>
    <definedName name="BLPR5520040303143542095_1_3" hidden="1">#REF!</definedName>
    <definedName name="BLPR5520040303143542095_2_3" hidden="1">#REF!</definedName>
    <definedName name="BLPR5520040303143542095_3_3" hidden="1">#REF!</definedName>
    <definedName name="BLPR5620040303143542105" hidden="1">#REF!</definedName>
    <definedName name="BLPR5620040303143542105_1_3" hidden="1">#REF!</definedName>
    <definedName name="BLPR5620040303143542105_2_3" hidden="1">#REF!</definedName>
    <definedName name="BLPR5620040303143542105_3_3" hidden="1">#REF!</definedName>
    <definedName name="BLPR5720040303143542105" hidden="1">#REF!</definedName>
    <definedName name="BLPR5720040303143542105_1_3" hidden="1">#REF!</definedName>
    <definedName name="BLPR5720040303143542105_2_3" hidden="1">#REF!</definedName>
    <definedName name="BLPR5720040303143542105_3_3" hidden="1">#REF!</definedName>
    <definedName name="BLPR5820040303143548064" hidden="1">#REF!</definedName>
    <definedName name="BLPR5820040303143548064_1_1" hidden="1">#REF!</definedName>
    <definedName name="BLPR5920040303143548074" hidden="1">#REF!</definedName>
    <definedName name="BLPR5920040303143548074_1_1" hidden="1">#REF!</definedName>
    <definedName name="BLPR6020040303143548074" hidden="1">#REF!</definedName>
    <definedName name="BLPR6020040303143548074_1_1" hidden="1">#REF!</definedName>
    <definedName name="BLPR6120040303143548074" hidden="1">#REF!</definedName>
    <definedName name="BLPR6120040303143548074_1_1" hidden="1">#REF!</definedName>
    <definedName name="BLPR620040303143540783" hidden="1">#REF!</definedName>
    <definedName name="BLPR620040303143540783_1_3" hidden="1">#REF!</definedName>
    <definedName name="BLPR620040303143540783_2_3" hidden="1">#REF!</definedName>
    <definedName name="BLPR620040303143540783_3_3" hidden="1">#REF!</definedName>
    <definedName name="BLPR6220040303143548074" hidden="1">#REF!</definedName>
    <definedName name="BLPR6220040303143548074_1_1" hidden="1">#REF!</definedName>
    <definedName name="BLPR6320040303143548074" hidden="1">#REF!</definedName>
    <definedName name="BLPR6320040303143548074_1_1" hidden="1">#REF!</definedName>
    <definedName name="BLPR6420040303143548104" hidden="1">#REF!</definedName>
    <definedName name="BLPR6420040303143548104_1_2" hidden="1">#REF!</definedName>
    <definedName name="BLPR6420040303143548104_2_2" hidden="1">#REF!</definedName>
    <definedName name="BLPR6520040303143548114" hidden="1">#REF!</definedName>
    <definedName name="BLPR6520040303143548114_1_2" hidden="1">#REF!</definedName>
    <definedName name="BLPR6520040303143548114_2_2" hidden="1">#REF!</definedName>
    <definedName name="BLPR6620040303143548134" hidden="1">#REF!</definedName>
    <definedName name="BLPR6620040303143548134_1_2" hidden="1">#REF!</definedName>
    <definedName name="BLPR6620040303143548134_2_2" hidden="1">#REF!</definedName>
    <definedName name="BLPR6720040303143549966" hidden="1">#REF!</definedName>
    <definedName name="BLPR6720040303143549966_1_1" hidden="1">#REF!</definedName>
    <definedName name="BLPR6820040303143549966" hidden="1">#REF!</definedName>
    <definedName name="BLPR6820040303143549966_1_1" hidden="1">#REF!</definedName>
    <definedName name="BLPR6920040303143549966" hidden="1">#REF!</definedName>
    <definedName name="BLPR6920040303143549966_1_1" hidden="1">#REF!</definedName>
    <definedName name="BLPR7020040303143549966" hidden="1">#REF!</definedName>
    <definedName name="BLPR7020040303143549966_1_1" hidden="1">#REF!</definedName>
    <definedName name="BLPR7120040303143549966" hidden="1">#REF!</definedName>
    <definedName name="BLPR7120040303143549966_1_1" hidden="1">#REF!</definedName>
    <definedName name="BLPR720040303143540783" hidden="1">#REF!</definedName>
    <definedName name="BLPR720040303143540783_1_3" hidden="1">#REF!</definedName>
    <definedName name="BLPR720040303143540783_2_3" hidden="1">#REF!</definedName>
    <definedName name="BLPR720040303143540783_3_3" hidden="1">#REF!</definedName>
    <definedName name="BLPR7220040303143549966" hidden="1">#REF!</definedName>
    <definedName name="BLPR7220040303143549966_1_1" hidden="1">#REF!</definedName>
    <definedName name="BLPR7320040303143549976" hidden="1">#REF!</definedName>
    <definedName name="BLPR7320040303143549976_1_1" hidden="1">#REF!</definedName>
    <definedName name="BLPR7420040303143549976" hidden="1">#REF!</definedName>
    <definedName name="BLPR7420040303143549976_1_1" hidden="1">#REF!</definedName>
    <definedName name="BLPR7520040303143549976" hidden="1">#REF!</definedName>
    <definedName name="BLPR7520040303143549976_1_1" hidden="1">#REF!</definedName>
    <definedName name="BLPR7620040303143549976" hidden="1">#REF!</definedName>
    <definedName name="BLPR7620040303143549976_1_1" hidden="1">#REF!</definedName>
    <definedName name="BLPR7720040303143549976" hidden="1">#REF!</definedName>
    <definedName name="BLPR7720040303143549976_1_1" hidden="1">#REF!</definedName>
    <definedName name="BLPR7820040303143549976" hidden="1">#REF!</definedName>
    <definedName name="BLPR7820040303143549976_1_1" hidden="1">#REF!</definedName>
    <definedName name="BLPR7920040303143549987" hidden="1">#REF!</definedName>
    <definedName name="BLPR7920040303143549987_1_1" hidden="1">#REF!</definedName>
    <definedName name="BLPR8020040303143549987" hidden="1">#REF!</definedName>
    <definedName name="BLPR8020040303143549987_1_1" hidden="1">#REF!</definedName>
    <definedName name="BLPR8120040303143549987" hidden="1">#REF!</definedName>
    <definedName name="BLPR8120040303143549987_1_1" hidden="1">#REF!</definedName>
    <definedName name="BLPR820040303143540793" hidden="1">#REF!</definedName>
    <definedName name="BLPR820040303143540793_1_3" hidden="1">#REF!</definedName>
    <definedName name="BLPR820040303143540793_2_3" hidden="1">#REF!</definedName>
    <definedName name="BLPR820040303143540793_3_3" hidden="1">#REF!</definedName>
    <definedName name="BLPR8220040303143549987" hidden="1">#REF!</definedName>
    <definedName name="BLPR8220040303143549987_1_1" hidden="1">#REF!</definedName>
    <definedName name="BLPR8320040303143549987" hidden="1">#REF!</definedName>
    <definedName name="BLPR8320040303143549987_1_1" hidden="1">#REF!</definedName>
    <definedName name="BLPR8420040303143549987" hidden="1">#REF!</definedName>
    <definedName name="BLPR8420040303143549987_1_1" hidden="1">#REF!</definedName>
    <definedName name="BLPR8520040303143549987" hidden="1">#REF!</definedName>
    <definedName name="BLPR8520040303143549987_1_1" hidden="1">#REF!</definedName>
    <definedName name="BLPR8620040303143549997" hidden="1">#REF!</definedName>
    <definedName name="BLPR8620040303143549997_1_1" hidden="1">#REF!</definedName>
    <definedName name="BLPR8720040303143549997" hidden="1">#REF!</definedName>
    <definedName name="BLPR8720040303143549997_1_1" hidden="1">#REF!</definedName>
    <definedName name="BLPR8820040303143549997" hidden="1">#REF!</definedName>
    <definedName name="BLPR8820040303143549997_1_1" hidden="1">#REF!</definedName>
    <definedName name="BLPR8920040303143549997" hidden="1">#REF!</definedName>
    <definedName name="BLPR8920040303143549997_1_1" hidden="1">#REF!</definedName>
    <definedName name="BLPR9020040303143549997" hidden="1">#REF!</definedName>
    <definedName name="BLPR9020040303143549997_1_1" hidden="1">#REF!</definedName>
    <definedName name="BLPR9120040303143549997" hidden="1">#REF!</definedName>
    <definedName name="BLPR9120040303143549997_1_1" hidden="1">#REF!</definedName>
    <definedName name="BLPR920040303143540803" hidden="1">#REF!</definedName>
    <definedName name="BLPR920040303143540803_1_3" hidden="1">#REF!</definedName>
    <definedName name="BLPR920040303143540803_2_3" hidden="1">#REF!</definedName>
    <definedName name="BLPR920040303143540803_3_3" hidden="1">#REF!</definedName>
    <definedName name="BLPR9220040303143550007" hidden="1">#REF!</definedName>
    <definedName name="BLPR9220040303143550007_1_1" hidden="1">#REF!</definedName>
    <definedName name="BLPR9320040303143550007" hidden="1">#REF!</definedName>
    <definedName name="BLPR9320040303143550007_1_1" hidden="1">#REF!</definedName>
    <definedName name="BLPR9420040303143550007" hidden="1">#REF!</definedName>
    <definedName name="BLPR9420040303143550007_1_1" hidden="1">#REF!</definedName>
    <definedName name="BLPR9520040303143550007" hidden="1">#REF!</definedName>
    <definedName name="BLPR9520040303143550007_1_1" hidden="1">#REF!</definedName>
    <definedName name="BLPR9620040303143550007" hidden="1">#REF!</definedName>
    <definedName name="BLPR9620040303143550007_1_1" hidden="1">#REF!</definedName>
    <definedName name="BLPR9720040303143550007" hidden="1">#REF!</definedName>
    <definedName name="BLPR9720040303143550007_1_1" hidden="1">#REF!</definedName>
    <definedName name="BLPR9820040303143550017" hidden="1">#REF!</definedName>
    <definedName name="BLPR9820040303143550017_1_1" hidden="1">#REF!</definedName>
    <definedName name="BLPR9920040303143550017" hidden="1">#REF!</definedName>
    <definedName name="BLPR9920040303143550017_1_1" hidden="1">#REF!</definedName>
    <definedName name="bmbnmn" localSheetId="3" hidden="1">{#N/A,#N/A,FALSE,"KA CH  (2)"}</definedName>
    <definedName name="bmbnmn" localSheetId="7" hidden="1">{#N/A,#N/A,FALSE,"KA CH  (2)"}</definedName>
    <definedName name="bmbnmn" hidden="1">{#N/A,#N/A,FALSE,"KA CH  (2)"}</definedName>
    <definedName name="bn" localSheetId="3"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bn" localSheetId="7"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bn"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bnbn" localSheetId="3" hidden="1">{"oct_res_comm",#N/A,FALSE,"VarToBud"}</definedName>
    <definedName name="bnbn" localSheetId="7" hidden="1">{"oct_res_comm",#N/A,FALSE,"VarToBud"}</definedName>
    <definedName name="bnbn" hidden="1">{"oct_res_comm",#N/A,FALSE,"VarToBud"}</definedName>
    <definedName name="bnm" localSheetId="3" hidden="1">{#N/A,#N/A,FALSE,"REPORT"}</definedName>
    <definedName name="bnm" localSheetId="7" hidden="1">{#N/A,#N/A,FALSE,"REPORT"}</definedName>
    <definedName name="bnm" hidden="1">{#N/A,#N/A,FALSE,"REPORT"}</definedName>
    <definedName name="bnmk" localSheetId="3" hidden="1">{#N/A,#N/A,FALSE,"Produkte Erw.";#N/A,#N/A,FALSE,"Produkte Plan";#N/A,#N/A,FALSE,"Leistungen Erw.";#N/A,#N/A,FALSE,"Leistungen Plan";#N/A,#N/A,FALSE,"KA Allg.Kosten (2)";#N/A,#N/A,FALSE,"KA All.Kosten"}</definedName>
    <definedName name="bnmk" localSheetId="7" hidden="1">{#N/A,#N/A,FALSE,"Produkte Erw.";#N/A,#N/A,FALSE,"Produkte Plan";#N/A,#N/A,FALSE,"Leistungen Erw.";#N/A,#N/A,FALSE,"Leistungen Plan";#N/A,#N/A,FALSE,"KA Allg.Kosten (2)";#N/A,#N/A,FALSE,"KA All.Kosten"}</definedName>
    <definedName name="bnmk" hidden="1">{#N/A,#N/A,FALSE,"Produkte Erw.";#N/A,#N/A,FALSE,"Produkte Plan";#N/A,#N/A,FALSE,"Leistungen Erw.";#N/A,#N/A,FALSE,"Leistungen Plan";#N/A,#N/A,FALSE,"KA Allg.Kosten (2)";#N/A,#N/A,FALSE,"KA All.Kosten"}</definedName>
    <definedName name="bnmm" localSheetId="3" hidden="1">{"detail",#N/A,FALSE,"mfg";"summary",#N/A,FALSE,"mfg"}</definedName>
    <definedName name="bnmm" localSheetId="7" hidden="1">{"detail",#N/A,FALSE,"mfg";"summary",#N/A,FALSE,"mfg"}</definedName>
    <definedName name="bnmm" hidden="1">{"detail",#N/A,FALSE,"mfg";"summary",#N/A,FALSE,"mfg"}</definedName>
    <definedName name="both203" localSheetId="3" hidden="1">{"detail",#N/A,FALSE,"mfg";"summary",#N/A,FALSE,"mfg"}</definedName>
    <definedName name="both203" localSheetId="7" hidden="1">{"detail",#N/A,FALSE,"mfg";"summary",#N/A,FALSE,"mfg"}</definedName>
    <definedName name="both203" hidden="1">{"detail",#N/A,FALSE,"mfg";"summary",#N/A,FALSE,"mfg"}</definedName>
    <definedName name="both204" localSheetId="3" hidden="1">{"detail",#N/A,FALSE,"mfg";"summary",#N/A,FALSE,"mfg"}</definedName>
    <definedName name="both204" localSheetId="7" hidden="1">{"detail",#N/A,FALSE,"mfg";"summary",#N/A,FALSE,"mfg"}</definedName>
    <definedName name="both204" hidden="1">{"detail",#N/A,FALSE,"mfg";"summary",#N/A,FALSE,"mfg"}</definedName>
    <definedName name="both89n" localSheetId="3" hidden="1">{"detail",#N/A,FALSE,"mfg";"summary",#N/A,FALSE,"mfg"}</definedName>
    <definedName name="both89n" localSheetId="7" hidden="1">{"detail",#N/A,FALSE,"mfg";"summary",#N/A,FALSE,"mfg"}</definedName>
    <definedName name="both89n" hidden="1">{"detail",#N/A,FALSE,"mfg";"summary",#N/A,FALSE,"mfg"}</definedName>
    <definedName name="both8mj" localSheetId="3" hidden="1">{"detail",#N/A,FALSE,"mfg";"summary",#N/A,FALSE,"mfg"}</definedName>
    <definedName name="both8mj" localSheetId="7" hidden="1">{"detail",#N/A,FALSE,"mfg";"summary",#N/A,FALSE,"mfg"}</definedName>
    <definedName name="both8mj" hidden="1">{"detail",#N/A,FALSE,"mfg";"summary",#N/A,FALSE,"mfg"}</definedName>
    <definedName name="bqbfq" localSheetId="3" hidden="1">{"fdsup://directions/FAT Viewer?action=UPDATE&amp;creator=factset&amp;DYN_ARGS=TRUE&amp;DOC_NAME=FAT:FQL_AUDITING_CLIENT_TEMPLATE.FAT&amp;display_string=Audit&amp;VAR:KEY=QNEJKDCTIB&amp;VAR:QUERY=UkdGX1RBWF9SQVRFKEFOTiwwLCwsLCwsTk9BVURJVCk=&amp;WINDOW=FIRST_POPUP&amp;HEIGHT=450&amp;WIDTH=450&amp;","START_MAXIMIZED=FALSE&amp;VAR:CALENDAR=US&amp;VAR:SYMBOL=IT&amp;VAR:INDEX=0"}</definedName>
    <definedName name="bqbfq" localSheetId="7" hidden="1">{"fdsup://directions/FAT Viewer?action=UPDATE&amp;creator=factset&amp;DYN_ARGS=TRUE&amp;DOC_NAME=FAT:FQL_AUDITING_CLIENT_TEMPLATE.FAT&amp;display_string=Audit&amp;VAR:KEY=QNEJKDCTIB&amp;VAR:QUERY=UkdGX1RBWF9SQVRFKEFOTiwwLCwsLCwsTk9BVURJVCk=&amp;WINDOW=FIRST_POPUP&amp;HEIGHT=450&amp;WIDTH=450&amp;","START_MAXIMIZED=FALSE&amp;VAR:CALENDAR=US&amp;VAR:SYMBOL=IT&amp;VAR:INDEX=0"}</definedName>
    <definedName name="bqbfq" hidden="1">{"fdsup://directions/FAT Viewer?action=UPDATE&amp;creator=factset&amp;DYN_ARGS=TRUE&amp;DOC_NAME=FAT:FQL_AUDITING_CLIENT_TEMPLATE.FAT&amp;display_string=Audit&amp;VAR:KEY=QNEJKDCTIB&amp;VAR:QUERY=UkdGX1RBWF9SQVRFKEFOTiwwLCwsLCwsTk9BVURJVCk=&amp;WINDOW=FIRST_POPUP&amp;HEIGHT=450&amp;WIDTH=450&amp;","START_MAXIMIZED=FALSE&amp;VAR:CALENDAR=US&amp;VAR:SYMBOL=IT&amp;VAR:INDEX=0"}</definedName>
    <definedName name="br" localSheetId="3" hidden="1">{"oct_res_comm",#N/A,FALSE,"VarToBud"}</definedName>
    <definedName name="br" localSheetId="7" hidden="1">{"oct_res_comm",#N/A,FALSE,"VarToBud"}</definedName>
    <definedName name="br" hidden="1">{"oct_res_comm",#N/A,FALSE,"VarToBud"}</definedName>
    <definedName name="BROW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yan" localSheetId="3" hidden="1">{#N/A,"PURADD",FALSE,"Business Analysis";#N/A,"PURSPP",FALSE,"Business Analysis";#N/A,"CTGIND",FALSE,"Business Analysis";#N/A,"PURCHM",FALSE,"Business Analysis";#N/A,"SPADD",FALSE,"Business Analysis";#N/A,"EPOXY",FALSE,"Business Analysis";#N/A,"PURPER",FALSE,"Business Analysis"}</definedName>
    <definedName name="Bryan" localSheetId="7" hidden="1">{#N/A,"PURADD",FALSE,"Business Analysis";#N/A,"PURSPP",FALSE,"Business Analysis";#N/A,"CTGIND",FALSE,"Business Analysis";#N/A,"PURCHM",FALSE,"Business Analysis";#N/A,"SPADD",FALSE,"Business Analysis";#N/A,"EPOXY",FALSE,"Business Analysis";#N/A,"PURPER",FALSE,"Business Analysis"}</definedName>
    <definedName name="Bryan" hidden="1">{#N/A,"PURADD",FALSE,"Business Analysis";#N/A,"PURSPP",FALSE,"Business Analysis";#N/A,"CTGIND",FALSE,"Business Analysis";#N/A,"PURCHM",FALSE,"Business Analysis";#N/A,"SPADD",FALSE,"Business Analysis";#N/A,"EPOXY",FALSE,"Business Analysis";#N/A,"PURPER",FALSE,"Business Analysis"}</definedName>
    <definedName name="bt" localSheetId="3" hidden="1">{"QTR_ACT",#N/A,FALSE,"PROP_PBIT_DEV_Q3";"QTR_BUD",#N/A,FALSE,"PROP_PBIT_DEV_Q3";"YTD_BUD",#N/A,FALSE,"PROP_PBIT_DEV_Q3";"YTD_ACT",#N/A,FALSE,"PROP_PBIT_DEV_Q3";"FY95 SNAP3",#N/A,FALSE,"PROP_PBIT_DEV_Q3";"FY95_BUD",#N/A,FALSE,"PROP_PBIT_DEV_Q3";"FY96_BUD",#N/A,FALSE,"PROP_PBIT_DEV_Q3"}</definedName>
    <definedName name="bt" localSheetId="7" hidden="1">{"QTR_ACT",#N/A,FALSE,"PROP_PBIT_DEV_Q3";"QTR_BUD",#N/A,FALSE,"PROP_PBIT_DEV_Q3";"YTD_BUD",#N/A,FALSE,"PROP_PBIT_DEV_Q3";"YTD_ACT",#N/A,FALSE,"PROP_PBIT_DEV_Q3";"FY95 SNAP3",#N/A,FALSE,"PROP_PBIT_DEV_Q3";"FY95_BUD",#N/A,FALSE,"PROP_PBIT_DEV_Q3";"FY96_BUD",#N/A,FALSE,"PROP_PBIT_DEV_Q3"}</definedName>
    <definedName name="bt" hidden="1">{"QTR_ACT",#N/A,FALSE,"PROP_PBIT_DEV_Q3";"QTR_BUD",#N/A,FALSE,"PROP_PBIT_DEV_Q3";"YTD_BUD",#N/A,FALSE,"PROP_PBIT_DEV_Q3";"YTD_ACT",#N/A,FALSE,"PROP_PBIT_DEV_Q3";"FY95 SNAP3",#N/A,FALSE,"PROP_PBIT_DEV_Q3";"FY95_BUD",#N/A,FALSE,"PROP_PBIT_DEV_Q3";"FY96_BUD",#N/A,FALSE,"PROP_PBIT_DEV_Q3"}</definedName>
    <definedName name="buibd" localSheetId="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ibd"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ibd"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ll" localSheetId="3" hidden="1">{"detail",#N/A,FALSE,"mfg";"summary",#N/A,FALSE,"mfg"}</definedName>
    <definedName name="bull" localSheetId="7" hidden="1">{"detail",#N/A,FALSE,"mfg";"summary",#N/A,FALSE,"mfg"}</definedName>
    <definedName name="bull" hidden="1">{"detail",#N/A,FALSE,"mfg";"summary",#N/A,FALSE,"mfg"}</definedName>
    <definedName name="bull2" localSheetId="3" hidden="1">{#N/A,"PURCHM",FALSE,"Business Analysis";#N/A,"SPADD",FALSE,"Business Analysis"}</definedName>
    <definedName name="bull2" localSheetId="7" hidden="1">{#N/A,"PURCHM",FALSE,"Business Analysis";#N/A,"SPADD",FALSE,"Business Analysis"}</definedName>
    <definedName name="bull2" hidden="1">{#N/A,"PURCHM",FALSE,"Business Analysis";#N/A,"SPADD",FALSE,"Business Analysis"}</definedName>
    <definedName name="bull3" localSheetId="3" hidden="1">{"detail",#N/A,FALSE,"mfg";"summary",#N/A,FALSE,"mfg"}</definedName>
    <definedName name="bull3" localSheetId="7" hidden="1">{"detail",#N/A,FALSE,"mfg";"summary",#N/A,FALSE,"mfg"}</definedName>
    <definedName name="bull3" hidden="1">{"detail",#N/A,FALSE,"mfg";"summary",#N/A,FALSE,"mfg"}</definedName>
    <definedName name="bull4" localSheetId="3" hidden="1">{#N/A,"PURCHM",FALSE,"Business Analysis";#N/A,"SPADD",FALSE,"Business Analysis"}</definedName>
    <definedName name="bull4" localSheetId="7" hidden="1">{#N/A,"PURCHM",FALSE,"Business Analysis";#N/A,"SPADD",FALSE,"Business Analysis"}</definedName>
    <definedName name="bull4" hidden="1">{#N/A,"PURCHM",FALSE,"Business Analysis";#N/A,"SPADD",FALSE,"Business Analysis"}</definedName>
    <definedName name="bull5" localSheetId="3" hidden="1">{#N/A,"PURADD",FALSE,"Business Analysis";#N/A,"PURSPP",FALSE,"Business Analysis";#N/A,"CTGIND",FALSE,"Business Analysis";#N/A,"PURCHM",FALSE,"Business Analysis";#N/A,"SPADD",FALSE,"Business Analysis";#N/A,"EPOXY",FALSE,"Business Analysis";#N/A,"PURPER",FALSE,"Business Analysis"}</definedName>
    <definedName name="bull5" localSheetId="7" hidden="1">{#N/A,"PURADD",FALSE,"Business Analysis";#N/A,"PURSPP",FALSE,"Business Analysis";#N/A,"CTGIND",FALSE,"Business Analysis";#N/A,"PURCHM",FALSE,"Business Analysis";#N/A,"SPADD",FALSE,"Business Analysis";#N/A,"EPOXY",FALSE,"Business Analysis";#N/A,"PURPER",FALSE,"Business Analysis"}</definedName>
    <definedName name="bull5" hidden="1">{#N/A,"PURADD",FALSE,"Business Analysis";#N/A,"PURSPP",FALSE,"Business Analysis";#N/A,"CTGIND",FALSE,"Business Analysis";#N/A,"PURCHM",FALSE,"Business Analysis";#N/A,"SPADD",FALSE,"Business Analysis";#N/A,"EPOXY",FALSE,"Business Analysis";#N/A,"PURPER",FALSE,"Business Analysis"}</definedName>
    <definedName name="busais" localSheetId="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is"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is"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localSheetId="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localSheetId="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V" localSheetId="3" hidden="1">Main.SAPF4Help()</definedName>
    <definedName name="BV" localSheetId="7" hidden="1">Main.SAPF4Help()</definedName>
    <definedName name="BV" hidden="1">Main.SAPF4Help()</definedName>
    <definedName name="bvcx" localSheetId="3" hidden="1">{"apci",#N/A,FALSE,"Chem_CY";"eastman",#N/A,FALSE,"Eastman";"betz",#N/A,FALSE,"Betz";"great lakes",#N/A,FALSE,"Great_Lakes";"hercules",#N/A,FALSE,"Hercules Chem Seg Data";"rohm",#N/A,FALSE,"Rohm";"union carbide",#N/A,FALSE,"Union";"witco",#N/A,FALSE,"Witco"}</definedName>
    <definedName name="bvcx" localSheetId="7" hidden="1">{"apci",#N/A,FALSE,"Chem_CY";"eastman",#N/A,FALSE,"Eastman";"betz",#N/A,FALSE,"Betz";"great lakes",#N/A,FALSE,"Great_Lakes";"hercules",#N/A,FALSE,"Hercules Chem Seg Data";"rohm",#N/A,FALSE,"Rohm";"union carbide",#N/A,FALSE,"Union";"witco",#N/A,FALSE,"Witco"}</definedName>
    <definedName name="bvcx" hidden="1">{"apci",#N/A,FALSE,"Chem_CY";"eastman",#N/A,FALSE,"Eastman";"betz",#N/A,FALSE,"Betz";"great lakes",#N/A,FALSE,"Great_Lakes";"hercules",#N/A,FALSE,"Hercules Chem Seg Data";"rohm",#N/A,FALSE,"Rohm";"union carbide",#N/A,FALSE,"Union";"witco",#N/A,FALSE,"Witco"}</definedName>
    <definedName name="BVFG" localSheetId="3" hidden="1">Main.SAPF4Help()</definedName>
    <definedName name="BVFG" localSheetId="7" hidden="1">Main.SAPF4Help()</definedName>
    <definedName name="BVFG" hidden="1">Main.SAPF4Help()</definedName>
    <definedName name="BYD" localSheetId="3" hidden="1">{#N/A,#N/A,FALSE,"Earn'gs &amp; Val'n";#N/A,#N/A,FALSE,"Interim"}</definedName>
    <definedName name="BYD" localSheetId="7" hidden="1">{#N/A,#N/A,FALSE,"Earn'gs &amp; Val'n";#N/A,#N/A,FALSE,"Interim"}</definedName>
    <definedName name="BYD" hidden="1">{#N/A,#N/A,FALSE,"Earn'gs &amp; Val'n";#N/A,#N/A,FALSE,"Interim"}</definedName>
    <definedName name="bz" localSheetId="3" hidden="1">{"sales growth",#N/A,FALSE,"summary";"oper income",#N/A,FALSE,"summary";"oros rank",#N/A,FALSE,"summary";"net assets",#N/A,FALSE,"summary";"asset turnover",#N/A,FALSE,"summary";"orona",#N/A,FALSE,"summary"}</definedName>
    <definedName name="bz" localSheetId="7" hidden="1">{"sales growth",#N/A,FALSE,"summary";"oper income",#N/A,FALSE,"summary";"oros rank",#N/A,FALSE,"summary";"net assets",#N/A,FALSE,"summary";"asset turnover",#N/A,FALSE,"summary";"orona",#N/A,FALSE,"summary"}</definedName>
    <definedName name="bz" hidden="1">{"sales growth",#N/A,FALSE,"summary";"oper income",#N/A,FALSE,"summary";"oros rank",#N/A,FALSE,"summary";"net assets",#N/A,FALSE,"summary";"asset turnover",#N/A,FALSE,"summary";"orona",#N/A,FALSE,"summary"}</definedName>
    <definedName name="ç" localSheetId="3" hidden="1">{"'PXR_6500'!$A$1:$I$124"}</definedName>
    <definedName name="ç" localSheetId="7" hidden="1">{"'PXR_6500'!$A$1:$I$124"}</definedName>
    <definedName name="ç" hidden="1">{"'PXR_6500'!$A$1:$I$124"}</definedName>
    <definedName name="cac" localSheetId="0" hidden="1">{"short1",#N/A,FALSE,"masmode";"short2",#N/A,FALSE,"masmode";"qtrres",#N/A,FALSE,"QTR. RES.";"sales",#N/A,FALSE,"Sales &amp; Market Share"}</definedName>
    <definedName name="cac" localSheetId="3" hidden="1">{"short1",#N/A,FALSE,"masmode";"short2",#N/A,FALSE,"masmode";"qtrres",#N/A,FALSE,"QTR. RES.";"sales",#N/A,FALSE,"Sales &amp; Market Share"}</definedName>
    <definedName name="cac" localSheetId="7" hidden="1">{"short1",#N/A,FALSE,"masmode";"short2",#N/A,FALSE,"masmode";"qtrres",#N/A,FALSE,"QTR. RES.";"sales",#N/A,FALSE,"Sales &amp; Market Share"}</definedName>
    <definedName name="cac" hidden="1">{"short1",#N/A,FALSE,"masmode";"short2",#N/A,FALSE,"masmode";"qtrres",#N/A,FALSE,"QTR. RES.";"sales",#N/A,FALSE,"Sales &amp; Market Share"}</definedName>
    <definedName name="Capacidade" localSheetId="3" hidden="1">{#N/A,#N/A,TRUE,"ICMAN96 (1)"}</definedName>
    <definedName name="Capacidade" localSheetId="7" hidden="1">{#N/A,#N/A,TRUE,"ICMAN96 (1)"}</definedName>
    <definedName name="Capacidade" hidden="1">{#N/A,#N/A,TRUE,"ICMAN96 (1)"}</definedName>
    <definedName name="CapSpendingExcludesSanFu" localSheetId="3" hidden="1">{"detail",#N/A,FALSE,"mfg";"summary",#N/A,FALSE,"mfg"}</definedName>
    <definedName name="CapSpendingExcludesSanFu" localSheetId="7" hidden="1">{"detail",#N/A,FALSE,"mfg";"summary",#N/A,FALSE,"mfg"}</definedName>
    <definedName name="CapSpendingExcludesSanFu" hidden="1">{"detail",#N/A,FALSE,"mfg";"summary",#N/A,FALSE,"mfg"}</definedName>
    <definedName name="carlos" localSheetId="3" hidden="1">{#N/A,"10% Success",FALSE,"Sales Forecast";#N/A,#N/A,FALSE,"Sheet2"}</definedName>
    <definedName name="carlos" localSheetId="7" hidden="1">{#N/A,"10% Success",FALSE,"Sales Forecast";#N/A,#N/A,FALSE,"Sheet2"}</definedName>
    <definedName name="carlos" hidden="1">{#N/A,"10% Success",FALSE,"Sales Forecast";#N/A,#N/A,FALSE,"Sheet2"}</definedName>
    <definedName name="CBWorkbookPriority" hidden="1">-1838839354</definedName>
    <definedName name="cc" localSheetId="3" hidden="1">{#N/A,"PURADD",FALSE,"Business Analysis";#N/A,"PURSPP",FALSE,"Business Analysis";#N/A,"CTGIND",FALSE,"Business Analysis";#N/A,"PURCHM",FALSE,"Business Analysis";#N/A,"SPADD",FALSE,"Business Analysis";#N/A,"EPOXY",FALSE,"Business Analysis";#N/A,"PURPER",FALSE,"Business Analysis"}</definedName>
    <definedName name="cc" localSheetId="7" hidden="1">{#N/A,"PURADD",FALSE,"Business Analysis";#N/A,"PURSPP",FALSE,"Business Analysis";#N/A,"CTGIND",FALSE,"Business Analysis";#N/A,"PURCHM",FALSE,"Business Analysis";#N/A,"SPADD",FALSE,"Business Analysis";#N/A,"EPOXY",FALSE,"Business Analysis";#N/A,"PURPER",FALSE,"Business Analysis"}</definedName>
    <definedName name="cc" hidden="1">{#N/A,"PURADD",FALSE,"Business Analysis";#N/A,"PURSPP",FALSE,"Business Analysis";#N/A,"CTGIND",FALSE,"Business Analysis";#N/A,"PURCHM",FALSE,"Business Analysis";#N/A,"SPADD",FALSE,"Business Analysis";#N/A,"EPOXY",FALSE,"Business Analysis";#N/A,"PURPER",FALSE,"Business Analysis"}</definedName>
    <definedName name="ccc" localSheetId="3" hidden="1">{"detail",#N/A,FALSE,"mfg";"summary",#N/A,FALSE,"mfg"}</definedName>
    <definedName name="ccc" localSheetId="7" hidden="1">{"detail",#N/A,FALSE,"mfg";"summary",#N/A,FALSE,"mfg"}</definedName>
    <definedName name="ccc" hidden="1">{"detail",#N/A,FALSE,"mfg";"summary",#N/A,FALSE,"mfg"}</definedName>
    <definedName name="cccc" localSheetId="3" hidden="1">{"defnitiva1",#N/A,FALSE,"RESUMO DA DÍVIDA";"defitiva2",#N/A,FALSE,"RESUMO DA DÍVIDA";"defitiva3",#N/A,FALSE,"RESUMO DA DÍVIDA"}</definedName>
    <definedName name="cccc" localSheetId="7" hidden="1">{"defnitiva1",#N/A,FALSE,"RESUMO DA DÍVIDA";"defitiva2",#N/A,FALSE,"RESUMO DA DÍVIDA";"defitiva3",#N/A,FALSE,"RESUMO DA DÍVIDA"}</definedName>
    <definedName name="cccc" hidden="1">{"defnitiva1",#N/A,FALSE,"RESUMO DA DÍVIDA";"defitiva2",#N/A,FALSE,"RESUMO DA DÍVIDA";"defitiva3",#N/A,FALSE,"RESUMO DA DÍVIDA"}</definedName>
    <definedName name="çççç" localSheetId="3" hidden="1">{"'PXR_6500'!$A$1:$I$124"}</definedName>
    <definedName name="çççç" localSheetId="7" hidden="1">{"'PXR_6500'!$A$1:$I$124"}</definedName>
    <definedName name="çççç" hidden="1">{"'PXR_6500'!$A$1:$I$124"}</definedName>
    <definedName name="cccccc" localSheetId="0" hidden="1">{"PARTE1",#N/A,FALSE,"Plan1"}</definedName>
    <definedName name="cccccc" localSheetId="3" hidden="1">{"PARTE1",#N/A,FALSE,"Plan1"}</definedName>
    <definedName name="cccccc" localSheetId="7" hidden="1">{"PARTE1",#N/A,FALSE,"Plan1"}</definedName>
    <definedName name="cccccc" hidden="1">{"PARTE1",#N/A,FALSE,"Plan1"}</definedName>
    <definedName name="CCCCCCCC" localSheetId="3" hidden="1">{"'Hoja1'!$A$1:$L$57"}</definedName>
    <definedName name="CCCCCCCC" localSheetId="7" hidden="1">{"'Hoja1'!$A$1:$L$57"}</definedName>
    <definedName name="CCCCCCCC" hidden="1">{"'Hoja1'!$A$1:$L$57"}</definedName>
    <definedName name="çççççççççç" localSheetId="3" hidden="1">{#N/A,#N/A,FALSE,"Pag.01"}</definedName>
    <definedName name="çççççççççç" localSheetId="7" hidden="1">{#N/A,#N/A,FALSE,"Pag.01"}</definedName>
    <definedName name="çççççççççç" hidden="1">{#N/A,#N/A,FALSE,"Pag.01"}</definedName>
    <definedName name="ccf" localSheetId="3" hidden="1">{"YD PRS",#N/A,FALSE,"YTD"}</definedName>
    <definedName name="ccf" localSheetId="7" hidden="1">{"YD PRS",#N/A,FALSE,"YTD"}</definedName>
    <definedName name="ccf" hidden="1">{"YD PRS",#N/A,FALSE,"YTD"}</definedName>
    <definedName name="cdds" localSheetId="3" hidden="1">{"detail",#N/A,FALSE,"mfg";"summary",#N/A,FALSE,"mfg"}</definedName>
    <definedName name="cdds" localSheetId="7" hidden="1">{"detail",#N/A,FALSE,"mfg";"summary",#N/A,FALSE,"mfg"}</definedName>
    <definedName name="cdds" hidden="1">{"detail",#N/A,FALSE,"mfg";"summary",#N/A,FALSE,"mfg"}</definedName>
    <definedName name="cdf" localSheetId="3" hidden="1">{"sales growth",#N/A,FALSE,"summary";"oper income",#N/A,FALSE,"summary";"oros rank",#N/A,FALSE,"summary";"net assets",#N/A,FALSE,"summary";"asset turnover",#N/A,FALSE,"summary";"orona",#N/A,FALSE,"summary"}</definedName>
    <definedName name="cdf" localSheetId="7" hidden="1">{"sales growth",#N/A,FALSE,"summary";"oper income",#N/A,FALSE,"summary";"oros rank",#N/A,FALSE,"summary";"net assets",#N/A,FALSE,"summary";"asset turnover",#N/A,FALSE,"summary";"orona",#N/A,FALSE,"summary"}</definedName>
    <definedName name="cdf" hidden="1">{"sales growth",#N/A,FALSE,"summary";"oper income",#N/A,FALSE,"summary";"oros rank",#N/A,FALSE,"summary";"net assets",#N/A,FALSE,"summary";"asset turnover",#N/A,FALSE,"summary";"orona",#N/A,FALSE,"summary"}</definedName>
    <definedName name="cds" localSheetId="3" hidden="1">{"detail",#N/A,FALSE,"mfg";"summary",#N/A,FALSE,"mfg"}</definedName>
    <definedName name="cds" localSheetId="7" hidden="1">{"detail",#N/A,FALSE,"mfg";"summary",#N/A,FALSE,"mfg"}</definedName>
    <definedName name="cds" hidden="1">{"detail",#N/A,FALSE,"mfg";"summary",#N/A,FALSE,"mfg"}</definedName>
    <definedName name="cdsc" localSheetId="3" hidden="1">{#N/A,#N/A,FALSE,"FFCXOUT3"}</definedName>
    <definedName name="cdsc" localSheetId="7" hidden="1">{#N/A,#N/A,FALSE,"FFCXOUT3"}</definedName>
    <definedName name="cdsc" hidden="1">{#N/A,#N/A,FALSE,"FFCXOUT3"}</definedName>
    <definedName name="cea" localSheetId="3"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a" localSheetId="7"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a"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w" localSheetId="3" hidden="1">{"ICD Details",#N/A,FALSE,"Current Yr";"ICD Details",#N/A,FALSE,"Budget";"ICD Details",#N/A,FALSE,"Prior Year"}</definedName>
    <definedName name="cew" localSheetId="7" hidden="1">{"ICD Details",#N/A,FALSE,"Current Yr";"ICD Details",#N/A,FALSE,"Budget";"ICD Details",#N/A,FALSE,"Prior Year"}</definedName>
    <definedName name="cew" hidden="1">{"ICD Details",#N/A,FALSE,"Current Yr";"ICD Details",#N/A,FALSE,"Budget";"ICD Details",#N/A,FALSE,"Prior Year"}</definedName>
    <definedName name="cf" localSheetId="3" hidden="1">{"detail",#N/A,FALSE,"mfg";"summary",#N/A,FALSE,"mfg"}</definedName>
    <definedName name="cf" localSheetId="7" hidden="1">{"detail",#N/A,FALSE,"mfg";"summary",#N/A,FALSE,"mfg"}</definedName>
    <definedName name="cf" hidden="1">{"detail",#N/A,FALSE,"mfg";"summary",#N/A,FALSE,"mfg"}</definedName>
    <definedName name="cfg" localSheetId="3" hidden="1">{"Act_vs_Budget",#N/A,FALSE,"QTRDPVAR";"Act_vs_Prior_Year",#N/A,FALSE,"QTRDPVAR"}</definedName>
    <definedName name="cfg" localSheetId="7" hidden="1">{"Act_vs_Budget",#N/A,FALSE,"QTRDPVAR";"Act_vs_Prior_Year",#N/A,FALSE,"QTRDPVAR"}</definedName>
    <definedName name="cfg" hidden="1">{"Act_vs_Budget",#N/A,FALSE,"QTRDPVAR";"Act_vs_Prior_Year",#N/A,FALSE,"QTRDPVAR"}</definedName>
    <definedName name="cfs" localSheetId="3" hidden="1">{"YD LOUISIANA",#N/A,FALSE,"YTD"}</definedName>
    <definedName name="cfs" localSheetId="7" hidden="1">{"YD LOUISIANA",#N/A,FALSE,"YTD"}</definedName>
    <definedName name="cfs" hidden="1">{"YD LOUISIANA",#N/A,FALSE,"YTD"}</definedName>
    <definedName name="CFValue" localSheetId="3" hidden="1">{#N/A,#N/A,FALSE,"EARNINGS";#N/A,#N/A,FALSE,"BALANCE";#N/A,#N/A,FALSE,"CASHFLOW"}</definedName>
    <definedName name="CFValue" localSheetId="7" hidden="1">{#N/A,#N/A,FALSE,"EARNINGS";#N/A,#N/A,FALSE,"BALANCE";#N/A,#N/A,FALSE,"CASHFLOW"}</definedName>
    <definedName name="CFValue" hidden="1">{#N/A,#N/A,FALSE,"EARNINGS";#N/A,#N/A,FALSE,"BALANCE";#N/A,#N/A,FALSE,"CASHFLOW"}</definedName>
    <definedName name="çgu" localSheetId="3" hidden="1">{"CONSOLIDADO",#N/A,FALSE,"COMENTARIOS"}</definedName>
    <definedName name="çgu" localSheetId="7" hidden="1">{"CONSOLIDADO",#N/A,FALSE,"COMENTARIOS"}</definedName>
    <definedName name="çgu" hidden="1">{"CONSOLIDADO",#N/A,FALSE,"COMENTARIOS"}</definedName>
    <definedName name="Chart" localSheetId="3" hidden="1">{#N/A,#N/A,FALSE,"Pharm";#N/A,#N/A,FALSE,"WWCM"}</definedName>
    <definedName name="Chart" localSheetId="7" hidden="1">{#N/A,#N/A,FALSE,"Pharm";#N/A,#N/A,FALSE,"WWCM"}</definedName>
    <definedName name="Chart" hidden="1">{#N/A,#N/A,FALSE,"Pharm";#N/A,#N/A,FALSE,"WWCM"}</definedName>
    <definedName name="chosie" localSheetId="3" hidden="1">{#N/A,#N/A,FALSE,"Pharm";#N/A,#N/A,FALSE,"WWCM"}</definedName>
    <definedName name="chosie" localSheetId="7" hidden="1">{#N/A,#N/A,FALSE,"Pharm";#N/A,#N/A,FALSE,"WWCM"}</definedName>
    <definedName name="chosie" hidden="1">{#N/A,#N/A,FALSE,"Pharm";#N/A,#N/A,FALSE,"WWCM"}</definedName>
    <definedName name="CIQWBGuid" localSheetId="8" hidden="1">"d136940b-3f7f-4286-bce2-62cb91d2d7e3"</definedName>
    <definedName name="CIQWBGuid" hidden="1">"DB Project Colon 22.06 (version 1).xlsb"</definedName>
    <definedName name="cjghjhj" localSheetId="3" hidden="1">{#N/A,#N/A,FALSE,"Umsatz CH";#N/A,#N/A,FALSE,"ER CH";#N/A,#N/A,FALSE,"EA CH (2) ";#N/A,#N/A,FALSE,"EA CH";#N/A,#N/A,FALSE,"EA CH (3) ";#N/A,#N/A,FALSE,"EA CH (4)";#N/A,#N/A,FALSE,"KA CH";#N/A,#N/A,FALSE,"KA CH  (2)";#N/A,#N/A,FALSE,"KA CH  (3)";#N/A,#N/A,FALSE,"KA CH (4)"}</definedName>
    <definedName name="cjghjhj" localSheetId="7" hidden="1">{#N/A,#N/A,FALSE,"Umsatz CH";#N/A,#N/A,FALSE,"ER CH";#N/A,#N/A,FALSE,"EA CH (2) ";#N/A,#N/A,FALSE,"EA CH";#N/A,#N/A,FALSE,"EA CH (3) ";#N/A,#N/A,FALSE,"EA CH (4)";#N/A,#N/A,FALSE,"KA CH";#N/A,#N/A,FALSE,"KA CH  (2)";#N/A,#N/A,FALSE,"KA CH  (3)";#N/A,#N/A,FALSE,"KA CH (4)"}</definedName>
    <definedName name="cjghjhj" hidden="1">{#N/A,#N/A,FALSE,"Umsatz CH";#N/A,#N/A,FALSE,"ER CH";#N/A,#N/A,FALSE,"EA CH (2) ";#N/A,#N/A,FALSE,"EA CH";#N/A,#N/A,FALSE,"EA CH (3) ";#N/A,#N/A,FALSE,"EA CH (4)";#N/A,#N/A,FALSE,"KA CH";#N/A,#N/A,FALSE,"KA CH  (2)";#N/A,#N/A,FALSE,"KA CH  (3)";#N/A,#N/A,FALSE,"KA CH (4)"}</definedName>
    <definedName name="çjh" localSheetId="3" hidden="1">{"'PXR_6500'!$A$1:$I$124"}</definedName>
    <definedName name="çjh" localSheetId="7" hidden="1">{"'PXR_6500'!$A$1:$I$124"}</definedName>
    <definedName name="çjh" hidden="1">{"'PXR_6500'!$A$1:$I$124"}</definedName>
    <definedName name="çl" localSheetId="3" hidden="1">{"'PXR_6500'!$A$1:$I$124"}</definedName>
    <definedName name="çl" localSheetId="7" hidden="1">{"'PXR_6500'!$A$1:$I$124"}</definedName>
    <definedName name="çl" hidden="1">{"'PXR_6500'!$A$1:$I$124"}</definedName>
    <definedName name="claudia" localSheetId="3" hidden="1">{#N/A,"70% Success",FALSE,"Sales Forecast";#N/A,#N/A,FALSE,"Sheet2"}</definedName>
    <definedName name="claudia" localSheetId="7" hidden="1">{#N/A,"70% Success",FALSE,"Sales Forecast";#N/A,#N/A,FALSE,"Sheet2"}</definedName>
    <definedName name="claudia" hidden="1">{#N/A,"70% Success",FALSE,"Sales Forecast";#N/A,#N/A,FALSE,"Sheet2"}</definedName>
    <definedName name="çlç" localSheetId="3" hidden="1">{"'PXR_6500'!$A$1:$I$124"}</definedName>
    <definedName name="çlç" localSheetId="7" hidden="1">{"'PXR_6500'!$A$1:$I$124"}</definedName>
    <definedName name="çlç" hidden="1">{"'PXR_6500'!$A$1:$I$124"}</definedName>
    <definedName name="çlj" localSheetId="3" hidden="1">{#N/A,#N/A,FALSE,"Relatórios";"Vendas e Custos",#N/A,FALSE,"Vendas e Custos";"Premissas",#N/A,FALSE,"Premissas";"Projeções",#N/A,FALSE,"Projeções";"Dolar",#N/A,FALSE,"Dolar";"Original",#N/A,FALSE,"Original e UFIR"}</definedName>
    <definedName name="çlj" localSheetId="7" hidden="1">{#N/A,#N/A,FALSE,"Relatórios";"Vendas e Custos",#N/A,FALSE,"Vendas e Custos";"Premissas",#N/A,FALSE,"Premissas";"Projeções",#N/A,FALSE,"Projeções";"Dolar",#N/A,FALSE,"Dolar";"Original",#N/A,FALSE,"Original e UFIR"}</definedName>
    <definedName name="çlj" hidden="1">{#N/A,#N/A,FALSE,"Relatórios";"Vendas e Custos",#N/A,FALSE,"Vendas e Custos";"Premissas",#N/A,FALSE,"Premissas";"Projeções",#N/A,FALSE,"Projeções";"Dolar",#N/A,FALSE,"Dolar";"Original",#N/A,FALSE,"Original e UFIR"}</definedName>
    <definedName name="çlk" localSheetId="3" hidden="1">{"'PXR_6500'!$A$1:$I$124"}</definedName>
    <definedName name="çlk" localSheetId="7" hidden="1">{"'PXR_6500'!$A$1:$I$124"}</definedName>
    <definedName name="çlk" hidden="1">{"'PXR_6500'!$A$1:$I$124"}</definedName>
    <definedName name="COGstandard" localSheetId="3" hidden="1">{#N/A,#N/A,FALSE,"Pharm";#N/A,#N/A,FALSE,"WWCM"}</definedName>
    <definedName name="COGstandard" localSheetId="7" hidden="1">{#N/A,#N/A,FALSE,"Pharm";#N/A,#N/A,FALSE,"WWCM"}</definedName>
    <definedName name="COGstandard" hidden="1">{#N/A,#N/A,FALSE,"Pharm";#N/A,#N/A,FALSE,"WWCM"}</definedName>
    <definedName name="Concessão_Malha_Sul" localSheetId="3" hidden="1">{#N/A,"100% Success",TRUE,"Sales Forecast";#N/A,#N/A,TRUE,"Sheet2"}</definedName>
    <definedName name="Concessão_Malha_Sul" localSheetId="7" hidden="1">{#N/A,"100% Success",TRUE,"Sales Forecast";#N/A,#N/A,TRUE,"Sheet2"}</definedName>
    <definedName name="Concessão_Malha_Sul" hidden="1">{#N/A,"100% Success",TRUE,"Sales Forecast";#N/A,#N/A,TRUE,"Sheet2"}</definedName>
    <definedName name="Contrato1" localSheetId="3" hidden="1">{#N/A,#N/A,TRUE,"ICMAN96 (1)"}</definedName>
    <definedName name="Contrato1" localSheetId="7" hidden="1">{#N/A,#N/A,TRUE,"ICMAN96 (1)"}</definedName>
    <definedName name="Contrato1" hidden="1">{#N/A,#N/A,TRUE,"ICMAN96 (1)"}</definedName>
    <definedName name="COPY" localSheetId="3" hidden="1">{#N/A,#N/A,FALSE,"Pharm";#N/A,#N/A,FALSE,"WWCM"}</definedName>
    <definedName name="COPY" localSheetId="7" hidden="1">{#N/A,#N/A,FALSE,"Pharm";#N/A,#N/A,FALSE,"WWCM"}</definedName>
    <definedName name="COPY" hidden="1">{#N/A,#N/A,FALSE,"Pharm";#N/A,#N/A,FALSE,"WWCM"}</definedName>
    <definedName name="copy1" localSheetId="3" hidden="1">{#N/A,#N/A,FALSE,"Pharm";#N/A,#N/A,FALSE,"WWCM"}</definedName>
    <definedName name="copy1" localSheetId="7" hidden="1">{#N/A,#N/A,FALSE,"Pharm";#N/A,#N/A,FALSE,"WWCM"}</definedName>
    <definedName name="copy1" hidden="1">{#N/A,#N/A,FALSE,"Pharm";#N/A,#N/A,FALSE,"WWCM"}</definedName>
    <definedName name="COPY2" localSheetId="3" hidden="1">{#N/A,#N/A,FALSE,"Pharm";#N/A,#N/A,FALSE,"WWCM"}</definedName>
    <definedName name="COPY2" localSheetId="7" hidden="1">{#N/A,#N/A,FALSE,"Pharm";#N/A,#N/A,FALSE,"WWCM"}</definedName>
    <definedName name="COPY2" hidden="1">{#N/A,#N/A,FALSE,"Pharm";#N/A,#N/A,FALSE,"WWCM"}</definedName>
    <definedName name="copy233" localSheetId="3" hidden="1">{#N/A,#N/A,FALSE,"Pharm";#N/A,#N/A,FALSE,"WWCM"}</definedName>
    <definedName name="copy233" localSheetId="7" hidden="1">{#N/A,#N/A,FALSE,"Pharm";#N/A,#N/A,FALSE,"WWCM"}</definedName>
    <definedName name="copy233" hidden="1">{#N/A,#N/A,FALSE,"Pharm";#N/A,#N/A,FALSE,"WWCM"}</definedName>
    <definedName name="copy33" localSheetId="3" hidden="1">{#N/A,#N/A,FALSE,"Pharm";#N/A,#N/A,FALSE,"WWCM"}</definedName>
    <definedName name="copy33" localSheetId="7" hidden="1">{#N/A,#N/A,FALSE,"Pharm";#N/A,#N/A,FALSE,"WWCM"}</definedName>
    <definedName name="copy33" hidden="1">{#N/A,#N/A,FALSE,"Pharm";#N/A,#N/A,FALSE,"WWCM"}</definedName>
    <definedName name="copy38" localSheetId="3" hidden="1">{#N/A,#N/A,FALSE,"Pharm";#N/A,#N/A,FALSE,"WWCM"}</definedName>
    <definedName name="copy38" localSheetId="7" hidden="1">{#N/A,#N/A,FALSE,"Pharm";#N/A,#N/A,FALSE,"WWCM"}</definedName>
    <definedName name="copy38" hidden="1">{#N/A,#N/A,FALSE,"Pharm";#N/A,#N/A,FALSE,"WWCM"}</definedName>
    <definedName name="cs" localSheetId="3" hidden="1">{"AS REP",#N/A,FALSE,"EEFSNAP2";"PROP",#N/A,FALSE,"EEFSNAP2";"RISKS",#N/A,FALSE,"EEFSNAP2";"VIEW ALL",#N/A,FALSE,"EEFSNAP2"}</definedName>
    <definedName name="cs" localSheetId="7" hidden="1">{"AS REP",#N/A,FALSE,"EEFSNAP2";"PROP",#N/A,FALSE,"EEFSNAP2";"RISKS",#N/A,FALSE,"EEFSNAP2";"VIEW ALL",#N/A,FALSE,"EEFSNAP2"}</definedName>
    <definedName name="cs" hidden="1">{"AS REP",#N/A,FALSE,"EEFSNAP2";"PROP",#N/A,FALSE,"EEFSNAP2";"RISKS",#N/A,FALSE,"EEFSNAP2";"VIEW ALL",#N/A,FALSE,"EEFSNAP2"}</definedName>
    <definedName name="csa" localSheetId="3" hidden="1">{"TXO2N2_GP",#N/A,FALSE,"MTHLYGP";"TXH2_GP",#N/A,FALSE,"MTHLYGP";"LOUIS_GP",#N/A,FALSE,"MTHLYGP";"H2_GP",#N/A,FALSE,"MTHLYGP";"O2N2_GP",#N/A,FALSE,"MTHLYGP";"PACKAGE_GP",#N/A,FALSE,"MTHLYGP";"OTHER_GP",#N/A,FALSE,"MTHLYGP"}</definedName>
    <definedName name="csa" localSheetId="7" hidden="1">{"TXO2N2_GP",#N/A,FALSE,"MTHLYGP";"TXH2_GP",#N/A,FALSE,"MTHLYGP";"LOUIS_GP",#N/A,FALSE,"MTHLYGP";"H2_GP",#N/A,FALSE,"MTHLYGP";"O2N2_GP",#N/A,FALSE,"MTHLYGP";"PACKAGE_GP",#N/A,FALSE,"MTHLYGP";"OTHER_GP",#N/A,FALSE,"MTHLYGP"}</definedName>
    <definedName name="csa" hidden="1">{"TXO2N2_GP",#N/A,FALSE,"MTHLYGP";"TXH2_GP",#N/A,FALSE,"MTHLYGP";"LOUIS_GP",#N/A,FALSE,"MTHLYGP";"H2_GP",#N/A,FALSE,"MTHLYGP";"O2N2_GP",#N/A,FALSE,"MTHLYGP";"PACKAGE_GP",#N/A,FALSE,"MTHLYGP";"OTHER_GP",#N/A,FALSE,"MTHLYGP"}</definedName>
    <definedName name="CSG" localSheetId="3" hidden="1">{"cap_structure",#N/A,FALSE,"Graph-Mkt Cap";"price",#N/A,FALSE,"Graph-Price";"ebit",#N/A,FALSE,"Graph-EBITDA";"ebitda",#N/A,FALSE,"Graph-EBITDA"}</definedName>
    <definedName name="CSG" localSheetId="7" hidden="1">{"cap_structure",#N/A,FALSE,"Graph-Mkt Cap";"price",#N/A,FALSE,"Graph-Price";"ebit",#N/A,FALSE,"Graph-EBITDA";"ebitda",#N/A,FALSE,"Graph-EBITDA"}</definedName>
    <definedName name="CSG" hidden="1">{"cap_structure",#N/A,FALSE,"Graph-Mkt Cap";"price",#N/A,FALSE,"Graph-Price";"ebit",#N/A,FALSE,"Graph-EBITDA";"ebitda",#N/A,FALSE,"Graph-EBITDA"}</definedName>
    <definedName name="cu102.ShareScalingFactor" hidden="1">1000000</definedName>
    <definedName name="cu103.EmployeeScalingFactor" hidden="1">1000</definedName>
    <definedName name="cu107.DPSSymbol" hidden="1">"R$"</definedName>
    <definedName name="cu107.EPSSymbol" hidden="1">"R$"</definedName>
    <definedName name="cu71.ScalingFactor" hidden="1">1000000</definedName>
    <definedName name="cvb" localSheetId="3" hidden="1">{"detail",#N/A,FALSE,"mfg";"summary",#N/A,FALSE,"mfg"}</definedName>
    <definedName name="cvb" localSheetId="7" hidden="1">{"detail",#N/A,FALSE,"mfg";"summary",#N/A,FALSE,"mfg"}</definedName>
    <definedName name="cvb" hidden="1">{"detail",#N/A,FALSE,"mfg";"summary",#N/A,FALSE,"mfg"}</definedName>
    <definedName name="cvbn" localSheetId="3" hidden="1">{"vol data",#N/A,FALSE,"Datasheet";"vol graph",#N/A,FALSE,"Volume";"price data",#N/A,FALSE,"Datasheet";"price graph",#N/A,FALSE,"Price";"dp data",#N/A,FALSE,"Datasheet";"dp graph",#N/A,FALSE,"DirectProfit"}</definedName>
    <definedName name="cvbn" localSheetId="7" hidden="1">{"vol data",#N/A,FALSE,"Datasheet";"vol graph",#N/A,FALSE,"Volume";"price data",#N/A,FALSE,"Datasheet";"price graph",#N/A,FALSE,"Price";"dp data",#N/A,FALSE,"Datasheet";"dp graph",#N/A,FALSE,"DirectProfit"}</definedName>
    <definedName name="cvbn" hidden="1">{"vol data",#N/A,FALSE,"Datasheet";"vol graph",#N/A,FALSE,"Volume";"price data",#N/A,FALSE,"Datasheet";"price graph",#N/A,FALSE,"Price";"dp data",#N/A,FALSE,"Datasheet";"dp graph",#N/A,FALSE,"DirectProfit"}</definedName>
    <definedName name="cvc" localSheetId="3" hidden="1">{#N/A,#N/A,FALSE,"KA CH  (2)"}</definedName>
    <definedName name="cvc" localSheetId="7" hidden="1">{#N/A,#N/A,FALSE,"KA CH  (2)"}</definedName>
    <definedName name="cvc" hidden="1">{#N/A,#N/A,FALSE,"KA CH  (2)"}</definedName>
    <definedName name="cvcv" localSheetId="3" hidden="1">{"AS REP",#N/A,FALSE,"EEFSNAP2";"PROP",#N/A,FALSE,"EEFSNAP2";"RISKS",#N/A,FALSE,"EEFSNAP2";"VIEW ALL",#N/A,FALSE,"EEFSNAP2"}</definedName>
    <definedName name="cvcv" localSheetId="7" hidden="1">{"AS REP",#N/A,FALSE,"EEFSNAP2";"PROP",#N/A,FALSE,"EEFSNAP2";"RISKS",#N/A,FALSE,"EEFSNAP2";"VIEW ALL",#N/A,FALSE,"EEFSNAP2"}</definedName>
    <definedName name="cvcv" hidden="1">{"AS REP",#N/A,FALSE,"EEFSNAP2";"PROP",#N/A,FALSE,"EEFSNAP2";"RISKS",#N/A,FALSE,"EEFSNAP2";"VIEW ALL",#N/A,FALSE,"EEFSNAP2"}</definedName>
    <definedName name="Cwvu.GREY_ALL." hidden="1">#REF!</definedName>
    <definedName name="Cwvy.GREY_ALL._dcf" hidden="1">#REF!</definedName>
    <definedName name="cxv" localSheetId="3"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 localSheetId="7"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sd" localSheetId="3"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xvsd"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xvsd"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z" localSheetId="3" hidden="1">{"pro_view",#N/A,FALSE,"EEFSNAP2";"rep_view",#N/A,FALSE,"EEFSNAP2"}</definedName>
    <definedName name="cz" localSheetId="7" hidden="1">{"pro_view",#N/A,FALSE,"EEFSNAP2";"rep_view",#N/A,FALSE,"EEFSNAP2"}</definedName>
    <definedName name="cz" hidden="1">{"pro_view",#N/A,FALSE,"EEFSNAP2";"rep_view",#N/A,FALSE,"EEFSNAP2"}</definedName>
    <definedName name="czf" localSheetId="3" hidden="1">{"AS REP",#N/A,FALSE,"EEFSNAP2";"PROP",#N/A,FALSE,"EEFSNAP2";"RISKS",#N/A,FALSE,"EEFSNAP2";"VIEW ALL",#N/A,FALSE,"EEFSNAP2"}</definedName>
    <definedName name="czf" localSheetId="7" hidden="1">{"AS REP",#N/A,FALSE,"EEFSNAP2";"PROP",#N/A,FALSE,"EEFSNAP2";"RISKS",#N/A,FALSE,"EEFSNAP2";"VIEW ALL",#N/A,FALSE,"EEFSNAP2"}</definedName>
    <definedName name="czf" hidden="1">{"AS REP",#N/A,FALSE,"EEFSNAP2";"PROP",#N/A,FALSE,"EEFSNAP2";"RISKS",#N/A,FALSE,"EEFSNAP2";"VIEW ALL",#N/A,FALSE,"EEFSNAP2"}</definedName>
    <definedName name="d" localSheetId="3" hidden="1">{"cap_structure",#N/A,FALSE,"Graph-Mkt Cap";"price",#N/A,FALSE,"Graph-Price";"ebit",#N/A,FALSE,"Graph-EBITDA";"ebitda",#N/A,FALSE,"Graph-EBITDA"}</definedName>
    <definedName name="d" localSheetId="7" hidden="1">{"cap_structure",#N/A,FALSE,"Graph-Mkt Cap";"price",#N/A,FALSE,"Graph-Price";"ebit",#N/A,FALSE,"Graph-EBITDA";"ebitda",#N/A,FALSE,"Graph-EBITDA"}</definedName>
    <definedName name="d" hidden="1">{"cap_structure",#N/A,FALSE,"Graph-Mkt Cap";"price",#N/A,FALSE,"Graph-Price";"ebit",#N/A,FALSE,"Graph-EBITDA";"ebitda",#N/A,FALSE,"Graph-EBITDA"}</definedName>
    <definedName name="DAD" localSheetId="3" hidden="1">{#N/A,#N/A,FALSE,"REPORT"}</definedName>
    <definedName name="DAD" localSheetId="7" hidden="1">{#N/A,#N/A,FALSE,"REPORT"}</definedName>
    <definedName name="DAD" hidden="1">{#N/A,#N/A,FALSE,"REPORT"}</definedName>
    <definedName name="DADF" localSheetId="3" hidden="1">{#N/A,#N/A,FALSE,"REPORT"}</definedName>
    <definedName name="DADF" localSheetId="7" hidden="1">{#N/A,#N/A,FALSE,"REPORT"}</definedName>
    <definedName name="DADF" hidden="1">{#N/A,#N/A,FALSE,"REPORT"}</definedName>
    <definedName name="daf" localSheetId="3" hidden="1">{#N/A,#N/A,FALSE,"1";#N/A,#N/A,FALSE,"2";#N/A,#N/A,FALSE,"16 - 17";#N/A,#N/A,FALSE,"18 - 19";#N/A,#N/A,FALSE,"26";#N/A,#N/A,FALSE,"27";#N/A,#N/A,FALSE,"28"}</definedName>
    <definedName name="daf" localSheetId="7" hidden="1">{#N/A,#N/A,FALSE,"1";#N/A,#N/A,FALSE,"2";#N/A,#N/A,FALSE,"16 - 17";#N/A,#N/A,FALSE,"18 - 19";#N/A,#N/A,FALSE,"26";#N/A,#N/A,FALSE,"27";#N/A,#N/A,FALSE,"28"}</definedName>
    <definedName name="daf" hidden="1">{#N/A,#N/A,FALSE,"1";#N/A,#N/A,FALSE,"2";#N/A,#N/A,FALSE,"16 - 17";#N/A,#N/A,FALSE,"18 - 19";#N/A,#N/A,FALSE,"26";#N/A,#N/A,FALSE,"27";#N/A,#N/A,FALSE,"28"}</definedName>
    <definedName name="dakfkjafgkeaj" localSheetId="3" hidden="1">{#N/A,#N/A,FALSE,"Pharm";#N/A,#N/A,FALSE,"WWCM"}</definedName>
    <definedName name="dakfkjafgkeaj" localSheetId="7" hidden="1">{#N/A,#N/A,FALSE,"Pharm";#N/A,#N/A,FALSE,"WWCM"}</definedName>
    <definedName name="dakfkjafgkeaj" hidden="1">{#N/A,#N/A,FALSE,"Pharm";#N/A,#N/A,FALSE,"WWCM"}</definedName>
    <definedName name="das" localSheetId="3" hidden="1">{#N/A,#N/A,FALSE,"Produkte Erw.";#N/A,#N/A,FALSE,"Produkte Plan";#N/A,#N/A,FALSE,"Leistungen Erw.";#N/A,#N/A,FALSE,"Leistungen Plan";#N/A,#N/A,FALSE,"KA Allg.Kosten (2)";#N/A,#N/A,FALSE,"KA All.Kosten"}</definedName>
    <definedName name="das" localSheetId="7" hidden="1">{#N/A,#N/A,FALSE,"Produkte Erw.";#N/A,#N/A,FALSE,"Produkte Plan";#N/A,#N/A,FALSE,"Leistungen Erw.";#N/A,#N/A,FALSE,"Leistungen Plan";#N/A,#N/A,FALSE,"KA Allg.Kosten (2)";#N/A,#N/A,FALSE,"KA All.Kosten"}</definedName>
    <definedName name="das" hidden="1">{#N/A,#N/A,FALSE,"Produkte Erw.";#N/A,#N/A,FALSE,"Produkte Plan";#N/A,#N/A,FALSE,"Leistungen Erw.";#N/A,#N/A,FALSE,"Leistungen Plan";#N/A,#N/A,FALSE,"KA Allg.Kosten (2)";#N/A,#N/A,FALSE,"KA All.Kosten"}</definedName>
    <definedName name="dasdas" localSheetId="0" hidden="1">{"PARTE1",#N/A,FALSE,"Plan1"}</definedName>
    <definedName name="dasdas" localSheetId="3" hidden="1">{"PARTE1",#N/A,FALSE,"Plan1"}</definedName>
    <definedName name="dasdas" localSheetId="7" hidden="1">{"PARTE1",#N/A,FALSE,"Plan1"}</definedName>
    <definedName name="dasdas" hidden="1">{"PARTE1",#N/A,FALSE,"Plan1"}</definedName>
    <definedName name="dd" localSheetId="3" hidden="1">{#N/A,#N/A,FALSE,"Pharm";#N/A,#N/A,FALSE,"WWCM"}</definedName>
    <definedName name="dd" localSheetId="7" hidden="1">{#N/A,#N/A,FALSE,"Pharm";#N/A,#N/A,FALSE,"WWCM"}</definedName>
    <definedName name="dd" hidden="1">{#N/A,#N/A,FALSE,"Pharm";#N/A,#N/A,FALSE,"WWCM"}</definedName>
    <definedName name="ddd" localSheetId="3" hidden="1">{"'Hoja1'!$A$1:$L$57"}</definedName>
    <definedName name="ddd" localSheetId="7" hidden="1">{"'Hoja1'!$A$1:$L$57"}</definedName>
    <definedName name="ddd" hidden="1">{"'Hoja1'!$A$1:$L$57"}</definedName>
    <definedName name="dddaz" localSheetId="3" hidden="1">{#N/A,#N/A,FALSE,"Pharm";#N/A,#N/A,FALSE,"WWCM"}</definedName>
    <definedName name="dddaz" localSheetId="7" hidden="1">{#N/A,#N/A,FALSE,"Pharm";#N/A,#N/A,FALSE,"WWCM"}</definedName>
    <definedName name="dddaz" hidden="1">{#N/A,#N/A,FALSE,"Pharm";#N/A,#N/A,FALSE,"WWCM"}</definedName>
    <definedName name="dddddd" localSheetId="3" hidden="1">{"FCB_ALL",#N/A,FALSE,"FCB";"GREY_ALL",#N/A,FALSE,"GREY"}</definedName>
    <definedName name="dddddd" localSheetId="7" hidden="1">{"FCB_ALL",#N/A,FALSE,"FCB";"GREY_ALL",#N/A,FALSE,"GREY"}</definedName>
    <definedName name="dddddd" hidden="1">{"FCB_ALL",#N/A,FALSE,"FCB";"GREY_ALL",#N/A,FALSE,"GREY"}</definedName>
    <definedName name="ddddddd" localSheetId="3" hidden="1">{"detail",#N/A,FALSE,"mfg";"summary",#N/A,FALSE,"mfg"}</definedName>
    <definedName name="ddddddd" localSheetId="7" hidden="1">{"detail",#N/A,FALSE,"mfg";"summary",#N/A,FALSE,"mfg"}</definedName>
    <definedName name="ddddddd" hidden="1">{"detail",#N/A,FALSE,"mfg";"summary",#N/A,FALSE,"mfg"}</definedName>
    <definedName name="dde" localSheetId="3" hidden="1">Main.SAPF4Help()</definedName>
    <definedName name="dde" localSheetId="7" hidden="1">Main.SAPF4Help()</definedName>
    <definedName name="dde" hidden="1">Main.SAPF4Help()</definedName>
    <definedName name="ddf" localSheetId="3" hidden="1">{#N/A,#N/A,FALSE,"KA CH  (2)"}</definedName>
    <definedName name="ddf" localSheetId="7" hidden="1">{#N/A,#N/A,FALSE,"KA CH  (2)"}</definedName>
    <definedName name="ddf" hidden="1">{#N/A,#N/A,FALSE,"KA CH  (2)"}</definedName>
    <definedName name="ddx" localSheetId="3" hidden="1">{"YD LAPO2",#N/A,FALSE,"YTD";"YD LPH2",#N/A,FALSE,"YTD";"YD LOUISIANA",#N/A,FALSE,"YTD";"YD GENERALH2",#N/A,FALSE,"YTD";"YD PRS",#N/A,FALSE,"YTD";"YD PACKAGE",#N/A,FALSE,"YTD";"YD OTHER",#N/A,FALSE,"YTD"}</definedName>
    <definedName name="ddx" localSheetId="7" hidden="1">{"YD LAPO2",#N/A,FALSE,"YTD";"YD LPH2",#N/A,FALSE,"YTD";"YD LOUISIANA",#N/A,FALSE,"YTD";"YD GENERALH2",#N/A,FALSE,"YTD";"YD PRS",#N/A,FALSE,"YTD";"YD PACKAGE",#N/A,FALSE,"YTD";"YD OTHER",#N/A,FALSE,"YTD"}</definedName>
    <definedName name="ddx" hidden="1">{"YD LAPO2",#N/A,FALSE,"YTD";"YD LPH2",#N/A,FALSE,"YTD";"YD LOUISIANA",#N/A,FALSE,"YTD";"YD GENERALH2",#N/A,FALSE,"YTD";"YD PRS",#N/A,FALSE,"YTD";"YD PACKAGE",#N/A,FALSE,"YTD";"YD OTHER",#N/A,FALSE,"YTD"}</definedName>
    <definedName name="dede" localSheetId="3" hidden="1">{#N/A,#N/A,FALSE,"Pharm";#N/A,#N/A,FALSE,"WWCM"}</definedName>
    <definedName name="dede" localSheetId="7" hidden="1">{#N/A,#N/A,FALSE,"Pharm";#N/A,#N/A,FALSE,"WWCM"}</definedName>
    <definedName name="dede" hidden="1">{#N/A,#N/A,FALSE,"Pharm";#N/A,#N/A,FALSE,"WWCM"}</definedName>
    <definedName name="DEDED" localSheetId="3" hidden="1">{#N/A,#N/A,FALSE,"Card";#N/A,#N/A,FALSE,"Prav";#N/A,#N/A,FALSE,"Irbe";#N/A,#N/A,FALSE,"Plavix";#N/A,#N/A,FALSE,"Capt";#N/A,#N/A,FALSE,"Fosi"}</definedName>
    <definedName name="DEDED" localSheetId="7" hidden="1">{#N/A,#N/A,FALSE,"Card";#N/A,#N/A,FALSE,"Prav";#N/A,#N/A,FALSE,"Irbe";#N/A,#N/A,FALSE,"Plavix";#N/A,#N/A,FALSE,"Capt";#N/A,#N/A,FALSE,"Fosi"}</definedName>
    <definedName name="DEDED" hidden="1">{#N/A,#N/A,FALSE,"Card";#N/A,#N/A,FALSE,"Prav";#N/A,#N/A,FALSE,"Irbe";#N/A,#N/A,FALSE,"Plavix";#N/A,#N/A,FALSE,"Capt";#N/A,#N/A,FALSE,"Fosi"}</definedName>
    <definedName name="DEDEDZE" localSheetId="3" hidden="1">{#N/A,#N/A,FALSE,"Pharm";#N/A,#N/A,FALSE,"WWCM"}</definedName>
    <definedName name="DEDEDZE" localSheetId="7" hidden="1">{#N/A,#N/A,FALSE,"Pharm";#N/A,#N/A,FALSE,"WWCM"}</definedName>
    <definedName name="DEDEDZE" hidden="1">{#N/A,#N/A,FALSE,"Pharm";#N/A,#N/A,FALSE,"WWCM"}</definedName>
    <definedName name="DEDZD" localSheetId="3" hidden="1">{#N/A,#N/A,FALSE,"Pharm";#N/A,#N/A,FALSE,"WWCM"}</definedName>
    <definedName name="DEDZD" localSheetId="7" hidden="1">{#N/A,#N/A,FALSE,"Pharm";#N/A,#N/A,FALSE,"WWCM"}</definedName>
    <definedName name="DEDZD" hidden="1">{#N/A,#N/A,FALSE,"Pharm";#N/A,#N/A,FALSE,"WWCM"}</definedName>
    <definedName name="DEE" localSheetId="3" hidden="1">{#N/A,#N/A,FALSE,"Pharm";#N/A,#N/A,FALSE,"WWCM"}</definedName>
    <definedName name="DEE" localSheetId="7" hidden="1">{#N/A,#N/A,FALSE,"Pharm";#N/A,#N/A,FALSE,"WWCM"}</definedName>
    <definedName name="DEE" hidden="1">{#N/A,#N/A,FALSE,"Pharm";#N/A,#N/A,FALSE,"WWCM"}</definedName>
    <definedName name="des" localSheetId="3" hidden="1">{"QTR_ACT",#N/A,FALSE,"PROP_PBIT_DEV_Q3";"QTR_BUD",#N/A,FALSE,"PROP_PBIT_DEV_Q3";"YTD_BUD",#N/A,FALSE,"PROP_PBIT_DEV_Q3";"YTD_ACT",#N/A,FALSE,"PROP_PBIT_DEV_Q3";"FY95 SNAP3",#N/A,FALSE,"PROP_PBIT_DEV_Q3";"FY95_BUD",#N/A,FALSE,"PROP_PBIT_DEV_Q3";"FY96_BUD",#N/A,FALSE,"PROP_PBIT_DEV_Q3"}</definedName>
    <definedName name="des" localSheetId="7" hidden="1">{"QTR_ACT",#N/A,FALSE,"PROP_PBIT_DEV_Q3";"QTR_BUD",#N/A,FALSE,"PROP_PBIT_DEV_Q3";"YTD_BUD",#N/A,FALSE,"PROP_PBIT_DEV_Q3";"YTD_ACT",#N/A,FALSE,"PROP_PBIT_DEV_Q3";"FY95 SNAP3",#N/A,FALSE,"PROP_PBIT_DEV_Q3";"FY95_BUD",#N/A,FALSE,"PROP_PBIT_DEV_Q3";"FY96_BUD",#N/A,FALSE,"PROP_PBIT_DEV_Q3"}</definedName>
    <definedName name="des" hidden="1">{"QTR_ACT",#N/A,FALSE,"PROP_PBIT_DEV_Q3";"QTR_BUD",#N/A,FALSE,"PROP_PBIT_DEV_Q3";"YTD_BUD",#N/A,FALSE,"PROP_PBIT_DEV_Q3";"YTD_ACT",#N/A,FALSE,"PROP_PBIT_DEV_Q3";"FY95 SNAP3",#N/A,FALSE,"PROP_PBIT_DEV_Q3";"FY95_BUD",#N/A,FALSE,"PROP_PBIT_DEV_Q3";"FY96_BUD",#N/A,FALSE,"PROP_PBIT_DEV_Q3"}</definedName>
    <definedName name="Despacho" localSheetId="3" hidden="1">{#N/A,#N/A,TRUE,"ICMAN96 (1)"}</definedName>
    <definedName name="Despacho" localSheetId="7" hidden="1">{#N/A,#N/A,TRUE,"ICMAN96 (1)"}</definedName>
    <definedName name="Despacho" hidden="1">{#N/A,#N/A,TRUE,"ICMAN96 (1)"}</definedName>
    <definedName name="devc" localSheetId="3" hidden="1">{"TOTTEXAS",#N/A,FALSE,"CM"}</definedName>
    <definedName name="devc" localSheetId="7" hidden="1">{"TOTTEXAS",#N/A,FALSE,"CM"}</definedName>
    <definedName name="devc" hidden="1">{"TOTTEXAS",#N/A,FALSE,"CM"}</definedName>
    <definedName name="DEZ" localSheetId="3" hidden="1">{#N/A,#N/A,TRUE,"ICMAN96 (1)"}</definedName>
    <definedName name="DEZ" localSheetId="7" hidden="1">{#N/A,#N/A,TRUE,"ICMAN96 (1)"}</definedName>
    <definedName name="DEZ" hidden="1">{#N/A,#N/A,TRUE,"ICMAN96 (1)"}</definedName>
    <definedName name="DEZLFEZKLHF" localSheetId="3" hidden="1">{#N/A,#N/A,FALSE,"Pharm";#N/A,#N/A,FALSE,"WWCM"}</definedName>
    <definedName name="DEZLFEZKLHF" localSheetId="7" hidden="1">{#N/A,#N/A,FALSE,"Pharm";#N/A,#N/A,FALSE,"WWCM"}</definedName>
    <definedName name="DEZLFEZKLHF" hidden="1">{#N/A,#N/A,FALSE,"Pharm";#N/A,#N/A,FALSE,"WWCM"}</definedName>
    <definedName name="DF" localSheetId="3" hidden="1">{#N/A,#N/A,FALSE,"Pag.01"}</definedName>
    <definedName name="DF" localSheetId="7" hidden="1">{#N/A,#N/A,FALSE,"Pag.01"}</definedName>
    <definedName name="DF" hidden="1">{#N/A,#N/A,FALSE,"Pag.01"}</definedName>
    <definedName name="dfasdf" localSheetId="3" hidden="1">{#N/A,#N/A,TRUE,"Summary ($R)";#N/A,#N/A,TRUE,"Summary (US$)";#N/A,#N/A,TRUE,"Drivers - Area 4";#N/A,#N/A,TRUE,"Drivers - Area 9";#N/A,#N/A,TRUE,"I S";#N/A,#N/A,TRUE,"B S";#N/A,#N/A,TRUE,"C F";#N/A,#N/A,TRUE,"Debt_Repayment";#N/A,#N/A,TRUE,"Ratio_Analysis";#N/A,#N/A,TRUE,"Sensitivities"}</definedName>
    <definedName name="dfasdf" localSheetId="7" hidden="1">{#N/A,#N/A,TRUE,"Summary ($R)";#N/A,#N/A,TRUE,"Summary (US$)";#N/A,#N/A,TRUE,"Drivers - Area 4";#N/A,#N/A,TRUE,"Drivers - Area 9";#N/A,#N/A,TRUE,"I S";#N/A,#N/A,TRUE,"B S";#N/A,#N/A,TRUE,"C F";#N/A,#N/A,TRUE,"Debt_Repayment";#N/A,#N/A,TRUE,"Ratio_Analysis";#N/A,#N/A,TRUE,"Sensitivities"}</definedName>
    <definedName name="dfasdf" hidden="1">{#N/A,#N/A,TRUE,"Summary ($R)";#N/A,#N/A,TRUE,"Summary (US$)";#N/A,#N/A,TRUE,"Drivers - Area 4";#N/A,#N/A,TRUE,"Drivers - Area 9";#N/A,#N/A,TRUE,"I S";#N/A,#N/A,TRUE,"B S";#N/A,#N/A,TRUE,"C F";#N/A,#N/A,TRUE,"Debt_Repayment";#N/A,#N/A,TRUE,"Ratio_Analysis";#N/A,#N/A,TRUE,"Sensitivities"}</definedName>
    <definedName name="dfd" localSheetId="3" hidden="1">{"FCB_ALL",#N/A,FALSE,"FCB";"GREY_ALL",#N/A,FALSE,"GREY"}</definedName>
    <definedName name="dfd" localSheetId="7" hidden="1">{"FCB_ALL",#N/A,FALSE,"FCB";"GREY_ALL",#N/A,FALSE,"GREY"}</definedName>
    <definedName name="dfd" hidden="1">{"FCB_ALL",#N/A,FALSE,"FCB";"GREY_ALL",#N/A,FALSE,"GREY"}</definedName>
    <definedName name="dfdas" localSheetId="3" hidden="1">{"FCB_ALL",#N/A,FALSE,"FCB";"GREY_ALL",#N/A,FALSE,"GREY"}</definedName>
    <definedName name="dfdas" localSheetId="7" hidden="1">{"FCB_ALL",#N/A,FALSE,"FCB";"GREY_ALL",#N/A,FALSE,"GREY"}</definedName>
    <definedName name="dfdas" hidden="1">{"FCB_ALL",#N/A,FALSE,"FCB";"GREY_ALL",#N/A,FALSE,"GREY"}</definedName>
    <definedName name="DFDD" localSheetId="3" hidden="1">{#N/A,#N/A,FALSE,"REPORT"}</definedName>
    <definedName name="DFDD" localSheetId="7" hidden="1">{#N/A,#N/A,FALSE,"REPORT"}</definedName>
    <definedName name="DFDD" hidden="1">{#N/A,#N/A,FALSE,"REPORT"}</definedName>
    <definedName name="dfdfd" localSheetId="3" hidden="1">{"FCB_ALL",#N/A,FALSE,"FCB";"GREY_ALL",#N/A,FALSE,"GREY"}</definedName>
    <definedName name="dfdfd" localSheetId="7" hidden="1">{"FCB_ALL",#N/A,FALSE,"FCB";"GREY_ALL",#N/A,FALSE,"GREY"}</definedName>
    <definedName name="dfdfd" hidden="1">{"FCB_ALL",#N/A,FALSE,"FCB";"GREY_ALL",#N/A,FALSE,"GREY"}</definedName>
    <definedName name="dfdfdfd" localSheetId="3" hidden="1">{"FCB_ALL",#N/A,FALSE,"FCB"}</definedName>
    <definedName name="dfdfdfd" localSheetId="7" hidden="1">{"FCB_ALL",#N/A,FALSE,"FCB"}</definedName>
    <definedName name="dfdfdfd" hidden="1">{"FCB_ALL",#N/A,FALSE,"FCB"}</definedName>
    <definedName name="dfg" localSheetId="3"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fg" localSheetId="7"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fg"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fgfdg" localSheetId="3" hidden="1">{#N/A,#N/A,FALSE,"Umsatz CH";#N/A,#N/A,FALSE,"ER CH";#N/A,#N/A,FALSE,"EA CH (2) ";#N/A,#N/A,FALSE,"EA CH";#N/A,#N/A,FALSE,"EA CH (3) ";#N/A,#N/A,FALSE,"EA CH (4)";#N/A,#N/A,FALSE,"KA CH";#N/A,#N/A,FALSE,"KA CH  (2)";#N/A,#N/A,FALSE,"KA CH  (3)";#N/A,#N/A,FALSE,"KA CH (4)"}</definedName>
    <definedName name="dfgfdg" localSheetId="7" hidden="1">{#N/A,#N/A,FALSE,"Umsatz CH";#N/A,#N/A,FALSE,"ER CH";#N/A,#N/A,FALSE,"EA CH (2) ";#N/A,#N/A,FALSE,"EA CH";#N/A,#N/A,FALSE,"EA CH (3) ";#N/A,#N/A,FALSE,"EA CH (4)";#N/A,#N/A,FALSE,"KA CH";#N/A,#N/A,FALSE,"KA CH  (2)";#N/A,#N/A,FALSE,"KA CH  (3)";#N/A,#N/A,FALSE,"KA CH (4)"}</definedName>
    <definedName name="dfgfdg" hidden="1">{#N/A,#N/A,FALSE,"Umsatz CH";#N/A,#N/A,FALSE,"ER CH";#N/A,#N/A,FALSE,"EA CH (2) ";#N/A,#N/A,FALSE,"EA CH";#N/A,#N/A,FALSE,"EA CH (3) ";#N/A,#N/A,FALSE,"EA CH (4)";#N/A,#N/A,FALSE,"KA CH";#N/A,#N/A,FALSE,"KA CH  (2)";#N/A,#N/A,FALSE,"KA CH  (3)";#N/A,#N/A,FALSE,"KA CH (4)"}</definedName>
    <definedName name="dfgfdgf" localSheetId="3" hidden="1">{#N/A,#N/A,FALSE,"Produkte Erw.";#N/A,#N/A,FALSE,"Produkte Plan";#N/A,#N/A,FALSE,"Leistungen Erw.";#N/A,#N/A,FALSE,"Leistungen Plan";#N/A,#N/A,FALSE,"KA Allg.Kosten (2)";#N/A,#N/A,FALSE,"KA All.Kosten"}</definedName>
    <definedName name="dfgfdgf" localSheetId="7" hidden="1">{#N/A,#N/A,FALSE,"Produkte Erw.";#N/A,#N/A,FALSE,"Produkte Plan";#N/A,#N/A,FALSE,"Leistungen Erw.";#N/A,#N/A,FALSE,"Leistungen Plan";#N/A,#N/A,FALSE,"KA Allg.Kosten (2)";#N/A,#N/A,FALSE,"KA All.Kosten"}</definedName>
    <definedName name="dfgfdgf" hidden="1">{#N/A,#N/A,FALSE,"Produkte Erw.";#N/A,#N/A,FALSE,"Produkte Plan";#N/A,#N/A,FALSE,"Leistungen Erw.";#N/A,#N/A,FALSE,"Leistungen Plan";#N/A,#N/A,FALSE,"KA Allg.Kosten (2)";#N/A,#N/A,FALSE,"KA All.Kosten"}</definedName>
    <definedName name="dfgfg" localSheetId="3" hidden="1">{#N/A,#N/A,FALSE,"Umsatz HM";#N/A,#N/A,FALSE,"ER HM";#N/A,#N/A,FALSE,"EA HM  (2)";#N/A,#N/A,FALSE,"EA HM ";#N/A,#N/A,FALSE,"EA HM  (4)";#N/A,#N/A,FALSE,"EA HM  (3)";#N/A,#N/A,FALSE,"KA HM  (2)";#N/A,#N/A,FALSE,"KA HM";#N/A,#N/A,FALSE,"KA HM  (3)";#N/A,#N/A,FALSE,"KA HM (4)"}</definedName>
    <definedName name="dfgfg" localSheetId="7" hidden="1">{#N/A,#N/A,FALSE,"Umsatz HM";#N/A,#N/A,FALSE,"ER HM";#N/A,#N/A,FALSE,"EA HM  (2)";#N/A,#N/A,FALSE,"EA HM ";#N/A,#N/A,FALSE,"EA HM  (4)";#N/A,#N/A,FALSE,"EA HM  (3)";#N/A,#N/A,FALSE,"KA HM  (2)";#N/A,#N/A,FALSE,"KA HM";#N/A,#N/A,FALSE,"KA HM  (3)";#N/A,#N/A,FALSE,"KA HM (4)"}</definedName>
    <definedName name="dfgfg" hidden="1">{#N/A,#N/A,FALSE,"Umsatz HM";#N/A,#N/A,FALSE,"ER HM";#N/A,#N/A,FALSE,"EA HM  (2)";#N/A,#N/A,FALSE,"EA HM ";#N/A,#N/A,FALSE,"EA HM  (4)";#N/A,#N/A,FALSE,"EA HM  (3)";#N/A,#N/A,FALSE,"KA HM  (2)";#N/A,#N/A,FALSE,"KA HM";#N/A,#N/A,FALSE,"KA HM  (3)";#N/A,#N/A,FALSE,"KA HM (4)"}</definedName>
    <definedName name="dfggfhhj" localSheetId="3" hidden="1">{#N/A,#N/A,FALSE,"Umsatz CH";#N/A,#N/A,FALSE,"ER CH";#N/A,#N/A,FALSE,"EA CH (2) ";#N/A,#N/A,FALSE,"EA CH";#N/A,#N/A,FALSE,"EA CH (3) ";#N/A,#N/A,FALSE,"EA CH (4)";#N/A,#N/A,FALSE,"KA CH";#N/A,#N/A,FALSE,"KA CH  (2)";#N/A,#N/A,FALSE,"KA CH  (3)";#N/A,#N/A,FALSE,"KA CH (4)"}</definedName>
    <definedName name="dfggfhhj" localSheetId="7" hidden="1">{#N/A,#N/A,FALSE,"Umsatz CH";#N/A,#N/A,FALSE,"ER CH";#N/A,#N/A,FALSE,"EA CH (2) ";#N/A,#N/A,FALSE,"EA CH";#N/A,#N/A,FALSE,"EA CH (3) ";#N/A,#N/A,FALSE,"EA CH (4)";#N/A,#N/A,FALSE,"KA CH";#N/A,#N/A,FALSE,"KA CH  (2)";#N/A,#N/A,FALSE,"KA CH  (3)";#N/A,#N/A,FALSE,"KA CH (4)"}</definedName>
    <definedName name="dfggfhhj" hidden="1">{#N/A,#N/A,FALSE,"Umsatz CH";#N/A,#N/A,FALSE,"ER CH";#N/A,#N/A,FALSE,"EA CH (2) ";#N/A,#N/A,FALSE,"EA CH";#N/A,#N/A,FALSE,"EA CH (3) ";#N/A,#N/A,FALSE,"EA CH (4)";#N/A,#N/A,FALSE,"KA CH";#N/A,#N/A,FALSE,"KA CH  (2)";#N/A,#N/A,FALSE,"KA CH  (3)";#N/A,#N/A,FALSE,"KA CH (4)"}</definedName>
    <definedName name="dfgh" localSheetId="3" hidden="1">{#N/A,"PURCHM",FALSE,"Business Analysis";#N/A,"SPADD",FALSE,"Business Analysis"}</definedName>
    <definedName name="dfgh" localSheetId="7" hidden="1">{#N/A,"PURCHM",FALSE,"Business Analysis";#N/A,"SPADD",FALSE,"Business Analysis"}</definedName>
    <definedName name="dfgh" hidden="1">{#N/A,"PURCHM",FALSE,"Business Analysis";#N/A,"SPADD",FALSE,"Business Analysis"}</definedName>
    <definedName name="dfghdfhdg" localSheetId="3" hidden="1">{#N/A,#N/A,FALSE,"Umsatz 99";#N/A,#N/A,FALSE,"ER 99 "}</definedName>
    <definedName name="dfghdfhdg" localSheetId="7" hidden="1">{#N/A,#N/A,FALSE,"Umsatz 99";#N/A,#N/A,FALSE,"ER 99 "}</definedName>
    <definedName name="dfghdfhdg" hidden="1">{#N/A,#N/A,FALSE,"Umsatz 99";#N/A,#N/A,FALSE,"ER 99 "}</definedName>
    <definedName name="dfr" localSheetId="3" hidden="1">{#N/A,#N/A,FALSE,"Pharm";#N/A,#N/A,FALSE,"WWCM"}</definedName>
    <definedName name="dfr" localSheetId="7" hidden="1">{#N/A,#N/A,FALSE,"Pharm";#N/A,#N/A,FALSE,"WWCM"}</definedName>
    <definedName name="dfr" hidden="1">{#N/A,#N/A,FALSE,"Pharm";#N/A,#N/A,FALSE,"WWCM"}</definedName>
    <definedName name="dfre" localSheetId="3"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re" localSheetId="7"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re"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sdfdsf" localSheetId="3" hidden="1">{#N/A,#N/A,FALSE,"Umsatz CH";#N/A,#N/A,FALSE,"ER CH";#N/A,#N/A,FALSE,"EA CH (2) ";#N/A,#N/A,FALSE,"EA CH";#N/A,#N/A,FALSE,"EA CH (3) ";#N/A,#N/A,FALSE,"EA CH (4)";#N/A,#N/A,FALSE,"KA CH";#N/A,#N/A,FALSE,"KA CH  (2)";#N/A,#N/A,FALSE,"KA CH  (3)";#N/A,#N/A,FALSE,"KA CH (4)"}</definedName>
    <definedName name="dfsdfdsf" localSheetId="7" hidden="1">{#N/A,#N/A,FALSE,"Umsatz CH";#N/A,#N/A,FALSE,"ER CH";#N/A,#N/A,FALSE,"EA CH (2) ";#N/A,#N/A,FALSE,"EA CH";#N/A,#N/A,FALSE,"EA CH (3) ";#N/A,#N/A,FALSE,"EA CH (4)";#N/A,#N/A,FALSE,"KA CH";#N/A,#N/A,FALSE,"KA CH  (2)";#N/A,#N/A,FALSE,"KA CH  (3)";#N/A,#N/A,FALSE,"KA CH (4)"}</definedName>
    <definedName name="dfsdfdsf" hidden="1">{#N/A,#N/A,FALSE,"Umsatz CH";#N/A,#N/A,FALSE,"ER CH";#N/A,#N/A,FALSE,"EA CH (2) ";#N/A,#N/A,FALSE,"EA CH";#N/A,#N/A,FALSE,"EA CH (3) ";#N/A,#N/A,FALSE,"EA CH (4)";#N/A,#N/A,FALSE,"KA CH";#N/A,#N/A,FALSE,"KA CH  (2)";#N/A,#N/A,FALSE,"KA CH  (3)";#N/A,#N/A,FALSE,"KA CH (4)"}</definedName>
    <definedName name="DG" localSheetId="3" hidden="1">{#N/A,#N/A,FALSE,"Pag.01"}</definedName>
    <definedName name="DG" localSheetId="7" hidden="1">{#N/A,#N/A,FALSE,"Pag.01"}</definedName>
    <definedName name="DG" hidden="1">{#N/A,#N/A,FALSE,"Pag.01"}</definedName>
    <definedName name="dghgh" localSheetId="3" hidden="1">{#N/A,#N/A,FALSE,"Produkte Erw.";#N/A,#N/A,FALSE,"Produkte Plan";#N/A,#N/A,FALSE,"Leistungen Erw.";#N/A,#N/A,FALSE,"Leistungen Plan";#N/A,#N/A,FALSE,"KA Allg.Kosten (2)";#N/A,#N/A,FALSE,"KA All.Kosten"}</definedName>
    <definedName name="dghgh" localSheetId="7" hidden="1">{#N/A,#N/A,FALSE,"Produkte Erw.";#N/A,#N/A,FALSE,"Produkte Plan";#N/A,#N/A,FALSE,"Leistungen Erw.";#N/A,#N/A,FALSE,"Leistungen Plan";#N/A,#N/A,FALSE,"KA Allg.Kosten (2)";#N/A,#N/A,FALSE,"KA All.Kosten"}</definedName>
    <definedName name="dghgh" hidden="1">{#N/A,#N/A,FALSE,"Produkte Erw.";#N/A,#N/A,FALSE,"Produkte Plan";#N/A,#N/A,FALSE,"Leistungen Erw.";#N/A,#N/A,FALSE,"Leistungen Plan";#N/A,#N/A,FALSE,"KA Allg.Kosten (2)";#N/A,#N/A,FALSE,"KA All.Kosten"}</definedName>
    <definedName name="DiagramaA." localSheetId="3" hidden="1">{#N/A,#N/A,FALSE,"Pag.01"}</definedName>
    <definedName name="DiagramaA." localSheetId="7" hidden="1">{#N/A,#N/A,FALSE,"Pag.01"}</definedName>
    <definedName name="DiagramaA." hidden="1">{#N/A,#N/A,FALSE,"Pag.01"}</definedName>
    <definedName name="djksljd" localSheetId="3" hidden="1">{#N/A,#N/A,FALSE,"Other";#N/A,#N/A,FALSE,"Ace";#N/A,#N/A,FALSE,"Derm"}</definedName>
    <definedName name="djksljd" localSheetId="7" hidden="1">{#N/A,#N/A,FALSE,"Other";#N/A,#N/A,FALSE,"Ace";#N/A,#N/A,FALSE,"Derm"}</definedName>
    <definedName name="djksljd" hidden="1">{#N/A,#N/A,FALSE,"Other";#N/A,#N/A,FALSE,"Ace";#N/A,#N/A,FALSE,"Derm"}</definedName>
    <definedName name="dkgahirghigf" localSheetId="3" hidden="1">{#N/A,#N/A,FALSE,"Pharm";#N/A,#N/A,FALSE,"WWCM"}</definedName>
    <definedName name="dkgahirghigf" localSheetId="7" hidden="1">{#N/A,#N/A,FALSE,"Pharm";#N/A,#N/A,FALSE,"WWCM"}</definedName>
    <definedName name="dkgahirghigf" hidden="1">{#N/A,#N/A,FALSE,"Pharm";#N/A,#N/A,FALSE,"WWCM"}</definedName>
    <definedName name="DLKHASJKGFAJSKHDFJASHFJKAJKF" hidden="1">#REF!</definedName>
    <definedName name="Doar" localSheetId="3" hidden="1">{#N/A,#N/A,FALSE,"Relatórios";"Vendas e Custos",#N/A,FALSE,"Vendas e Custos";"Premissas",#N/A,FALSE,"Premissas";"Projeções",#N/A,FALSE,"Projeções";"Dolar",#N/A,FALSE,"Dolar";"Original",#N/A,FALSE,"Original e UFIR"}</definedName>
    <definedName name="Doar" localSheetId="7" hidden="1">{#N/A,#N/A,FALSE,"Relatórios";"Vendas e Custos",#N/A,FALSE,"Vendas e Custos";"Premissas",#N/A,FALSE,"Premissas";"Projeções",#N/A,FALSE,"Projeções";"Dolar",#N/A,FALSE,"Dolar";"Original",#N/A,FALSE,"Original e UFIR"}</definedName>
    <definedName name="Doar" hidden="1">{#N/A,#N/A,FALSE,"Relatórios";"Vendas e Custos",#N/A,FALSE,"Vendas e Custos";"Premissas",#N/A,FALSE,"Premissas";"Projeções",#N/A,FALSE,"Projeções";"Dolar",#N/A,FALSE,"Dolar";"Original",#N/A,FALSE,"Original e UFIR"}</definedName>
    <definedName name="dq" localSheetId="3" hidden="1">{"Comp_of_Price_Effect",#N/A,FALSE,"QTRDPVAR"}</definedName>
    <definedName name="dq" localSheetId="7" hidden="1">{"Comp_of_Price_Effect",#N/A,FALSE,"QTRDPVAR"}</definedName>
    <definedName name="dq" hidden="1">{"Comp_of_Price_Effect",#N/A,FALSE,"QTRDPVAR"}</definedName>
    <definedName name="dre" localSheetId="3" hidden="1">{#N/A,"PURADD",FALSE,"Business Analysis";#N/A,"PURSPP",FALSE,"Business Analysis";#N/A,"CTGIND",FALSE,"Business Analysis";#N/A,"PURCHM",FALSE,"Business Analysis";#N/A,"SPADD",FALSE,"Business Analysis";#N/A,"EPOXY",FALSE,"Business Analysis";#N/A,"PURPER",FALSE,"Business Analysis"}</definedName>
    <definedName name="dre" localSheetId="7" hidden="1">{#N/A,"PURADD",FALSE,"Business Analysis";#N/A,"PURSPP",FALSE,"Business Analysis";#N/A,"CTGIND",FALSE,"Business Analysis";#N/A,"PURCHM",FALSE,"Business Analysis";#N/A,"SPADD",FALSE,"Business Analysis";#N/A,"EPOXY",FALSE,"Business Analysis";#N/A,"PURPER",FALSE,"Business Analysis"}</definedName>
    <definedName name="dre" hidden="1">{#N/A,"PURADD",FALSE,"Business Analysis";#N/A,"PURSPP",FALSE,"Business Analysis";#N/A,"CTGIND",FALSE,"Business Analysis";#N/A,"PURCHM",FALSE,"Business Analysis";#N/A,"SPADD",FALSE,"Business Analysis";#N/A,"EPOXY",FALSE,"Business Analysis";#N/A,"PURPER",FALSE,"Business Analysis"}</definedName>
    <definedName name="dreyer" localSheetId="3" hidden="1">{"FCB_ALL",#N/A,FALSE,"FCB"}</definedName>
    <definedName name="dreyer" localSheetId="7" hidden="1">{"FCB_ALL",#N/A,FALSE,"FCB"}</definedName>
    <definedName name="dreyer" hidden="1">{"FCB_ALL",#N/A,FALSE,"FCB"}</definedName>
    <definedName name="drw" localSheetId="3" hidden="1">{"PAGE 1",#N/A,FALSE,"COS";"PAGE 2",#N/A,FALSE,"COS";"PAGE 3",#N/A,FALSE,"COS"}</definedName>
    <definedName name="drw" localSheetId="7" hidden="1">{"PAGE 1",#N/A,FALSE,"COS";"PAGE 2",#N/A,FALSE,"COS";"PAGE 3",#N/A,FALSE,"COS"}</definedName>
    <definedName name="drw" hidden="1">{"PAGE 1",#N/A,FALSE,"COS";"PAGE 2",#N/A,FALSE,"COS";"PAGE 3",#N/A,FALSE,"COS"}</definedName>
    <definedName name="dsa" localSheetId="3" hidden="1">{"'PXR_6500'!$A$1:$I$124"}</definedName>
    <definedName name="dsa" localSheetId="7" hidden="1">{"'PXR_6500'!$A$1:$I$124"}</definedName>
    <definedName name="dsa" hidden="1">{"'PXR_6500'!$A$1:$I$124"}</definedName>
    <definedName name="dsdafgsa" localSheetId="3" hidden="1">{"Performance Details",#N/A,FALSE,"Current Yr";"Performance Details",#N/A,FALSE,"Budget";"Performance Details",#N/A,FALSE,"Prior Year"}</definedName>
    <definedName name="dsdafgsa" localSheetId="7" hidden="1">{"Performance Details",#N/A,FALSE,"Current Yr";"Performance Details",#N/A,FALSE,"Budget";"Performance Details",#N/A,FALSE,"Prior Year"}</definedName>
    <definedName name="dsdafgsa" hidden="1">{"Performance Details",#N/A,FALSE,"Current Yr";"Performance Details",#N/A,FALSE,"Budget";"Performance Details",#N/A,FALSE,"Prior Year"}</definedName>
    <definedName name="dsds" localSheetId="3" hidden="1">{#N/A,#N/A,TRUE,"ICMAN96 (1)"}</definedName>
    <definedName name="dsds" localSheetId="7" hidden="1">{#N/A,#N/A,TRUE,"ICMAN96 (1)"}</definedName>
    <definedName name="dsds" hidden="1">{#N/A,#N/A,TRUE,"ICMAN96 (1)"}</definedName>
    <definedName name="dse" localSheetId="3" hidden="1">{"YTDACT",#N/A,FALSE,"YTD Cum";"YTDBUD",#N/A,FALSE,"YTD Cum";"YTDPRIOR",#N/A,FALSE,"YTD Cum"}</definedName>
    <definedName name="dse" localSheetId="7" hidden="1">{"YTDACT",#N/A,FALSE,"YTD Cum";"YTDBUD",#N/A,FALSE,"YTD Cum";"YTDPRIOR",#N/A,FALSE,"YTD Cum"}</definedName>
    <definedName name="dse" hidden="1">{"YTDACT",#N/A,FALSE,"YTD Cum";"YTDBUD",#N/A,FALSE,"YTD Cum";"YTDPRIOR",#N/A,FALSE,"YTD Cum"}</definedName>
    <definedName name="dsfsf" localSheetId="3" hidden="1">{"detail",#N/A,FALSE,"mfg";"summary",#N/A,FALSE,"mfg"}</definedName>
    <definedName name="dsfsf" localSheetId="7" hidden="1">{"detail",#N/A,FALSE,"mfg";"summary",#N/A,FALSE,"mfg"}</definedName>
    <definedName name="dsfsf" hidden="1">{"detail",#N/A,FALSE,"mfg";"summary",#N/A,FALSE,"mfg"}</definedName>
    <definedName name="dsfsffss" localSheetId="3" hidden="1">{#N/A,#N/A,FALSE,"Pharm";#N/A,#N/A,FALSE,"WWCM"}</definedName>
    <definedName name="dsfsffss" localSheetId="7" hidden="1">{#N/A,#N/A,FALSE,"Pharm";#N/A,#N/A,FALSE,"WWCM"}</definedName>
    <definedName name="dsfsffss" hidden="1">{#N/A,#N/A,FALSE,"Pharm";#N/A,#N/A,FALSE,"WWCM"}</definedName>
    <definedName name="dsgfhgfv" localSheetId="3" hidden="1">{#N/A,"PURADD",FALSE,"Business Analysis";#N/A,"PURSPP",FALSE,"Business Analysis";#N/A,"CTGIND",FALSE,"Business Analysis";#N/A,"PURCHM",FALSE,"Business Analysis";#N/A,"SPADD",FALSE,"Business Analysis";#N/A,"EPOXY",FALSE,"Business Analysis";#N/A,"PURPER",FALSE,"Business Analysis"}</definedName>
    <definedName name="dsgfhgfv" localSheetId="7" hidden="1">{#N/A,"PURADD",FALSE,"Business Analysis";#N/A,"PURSPP",FALSE,"Business Analysis";#N/A,"CTGIND",FALSE,"Business Analysis";#N/A,"PURCHM",FALSE,"Business Analysis";#N/A,"SPADD",FALSE,"Business Analysis";#N/A,"EPOXY",FALSE,"Business Analysis";#N/A,"PURPER",FALSE,"Business Analysis"}</definedName>
    <definedName name="dsgfhgfv" hidden="1">{#N/A,"PURADD",FALSE,"Business Analysis";#N/A,"PURSPP",FALSE,"Business Analysis";#N/A,"CTGIND",FALSE,"Business Analysis";#N/A,"PURCHM",FALSE,"Business Analysis";#N/A,"SPADD",FALSE,"Business Analysis";#N/A,"EPOXY",FALSE,"Business Analysis";#N/A,"PURPER",FALSE,"Business Analysis"}</definedName>
    <definedName name="dswe" localSheetId="3"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swe" localSheetId="7"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swe"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wx" localSheetId="3" hidden="1">{"Comp_of_Price_Effect",#N/A,FALSE,"QTRDPVAR"}</definedName>
    <definedName name="dwx" localSheetId="7" hidden="1">{"Comp_of_Price_Effect",#N/A,FALSE,"QTRDPVAR"}</definedName>
    <definedName name="dwx" hidden="1">{"Comp_of_Price_Effect",#N/A,FALSE,"QTRDPVAR"}</definedName>
    <definedName name="dx" localSheetId="3" hidden="1">{"Month Summary",#N/A,FALSE,"Summary";"Total Details",#N/A,FALSE,"Current Yr";"Polymers Details",#N/A,FALSE,"Current Yr";"Performance Details",#N/A,FALSE,"Current Yr";"ICD Details",#N/A,FALSE,"Current Yr"}</definedName>
    <definedName name="dx" localSheetId="7" hidden="1">{"Month Summary",#N/A,FALSE,"Summary";"Total Details",#N/A,FALSE,"Current Yr";"Polymers Details",#N/A,FALSE,"Current Yr";"Performance Details",#N/A,FALSE,"Current Yr";"ICD Details",#N/A,FALSE,"Current Yr"}</definedName>
    <definedName name="dx" hidden="1">{"Month Summary",#N/A,FALSE,"Summary";"Total Details",#N/A,FALSE,"Current Yr";"Polymers Details",#N/A,FALSE,"Current Yr";"Performance Details",#N/A,FALSE,"Current Yr";"ICD Details",#N/A,FALSE,"Current Yr"}</definedName>
    <definedName name="E"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7"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arningsModel" localSheetId="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arningsModel" localSheetId="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arnings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CNOFIBRAS" localSheetId="3" hidden="1">{"'PXR_6500'!$A$1:$I$124"}</definedName>
    <definedName name="ECNOFIBRAS" localSheetId="7" hidden="1">{"'PXR_6500'!$A$1:$I$124"}</definedName>
    <definedName name="ECNOFIBRAS" hidden="1">{"'PXR_6500'!$A$1:$I$124"}</definedName>
    <definedName name="ECNOFIBRAS2" localSheetId="3" hidden="1">{"'PXR_6500'!$A$1:$I$124"}</definedName>
    <definedName name="ECNOFIBRAS2" localSheetId="7" hidden="1">{"'PXR_6500'!$A$1:$I$124"}</definedName>
    <definedName name="ECNOFIBRAS2" hidden="1">{"'PXR_6500'!$A$1:$I$124"}</definedName>
    <definedName name="ed" localSheetId="3" hidden="1">{"vol data",#N/A,FALSE,"Datasheet";"vol graph",#N/A,FALSE,"Volume";"price data",#N/A,FALSE,"Datasheet";"price graph",#N/A,FALSE,"Price";"dp data",#N/A,FALSE,"Datasheet";"dp graph",#N/A,FALSE,"DirectProfit"}</definedName>
    <definedName name="ed" localSheetId="7" hidden="1">{"vol data",#N/A,FALSE,"Datasheet";"vol graph",#N/A,FALSE,"Volume";"price data",#N/A,FALSE,"Datasheet";"price graph",#N/A,FALSE,"Price";"dp data",#N/A,FALSE,"Datasheet";"dp graph",#N/A,FALSE,"DirectProfit"}</definedName>
    <definedName name="ed" hidden="1">{"vol data",#N/A,FALSE,"Datasheet";"vol graph",#N/A,FALSE,"Volume";"price data",#N/A,FALSE,"Datasheet";"price graph",#N/A,FALSE,"Price";"dp data",#N/A,FALSE,"Datasheet";"dp graph",#N/A,FALSE,"DirectProfit"}</definedName>
    <definedName name="ededed" localSheetId="3" hidden="1">{#N/A,#N/A,FALSE,"tipo prestatario";#N/A,#N/A,FALSE,"por importes";#N/A,#N/A,FALSE,"por plazos";#N/A,#N/A,FALSE,"por tipo  interes";#N/A,#N/A,FALSE,"desg. cart";#N/A,#N/A,FALSE,"act. dud. deuda"}</definedName>
    <definedName name="ededed" localSheetId="7" hidden="1">{#N/A,#N/A,FALSE,"tipo prestatario";#N/A,#N/A,FALSE,"por importes";#N/A,#N/A,FALSE,"por plazos";#N/A,#N/A,FALSE,"por tipo  interes";#N/A,#N/A,FALSE,"desg. cart";#N/A,#N/A,FALSE,"act. dud. deuda"}</definedName>
    <definedName name="ededed" hidden="1">{#N/A,#N/A,FALSE,"tipo prestatario";#N/A,#N/A,FALSE,"por importes";#N/A,#N/A,FALSE,"por plazos";#N/A,#N/A,FALSE,"por tipo  interes";#N/A,#N/A,FALSE,"desg. cart";#N/A,#N/A,FALSE,"act. dud. deuda"}</definedName>
    <definedName name="ee" localSheetId="3" hidden="1">{#N/A,#N/A,FALSE,"KA CH  (2)"}</definedName>
    <definedName name="ee" localSheetId="7" hidden="1">{#N/A,#N/A,FALSE,"KA CH  (2)"}</definedName>
    <definedName name="ee" hidden="1">{#N/A,#N/A,FALSE,"KA CH  (2)"}</definedName>
    <definedName name="EEE" localSheetId="3" hidden="1">{#N/A,#N/A,FALSE,"Pharm";#N/A,#N/A,FALSE,"WWCM"}</definedName>
    <definedName name="EEE" localSheetId="7" hidden="1">{#N/A,#N/A,FALSE,"Pharm";#N/A,#N/A,FALSE,"WWCM"}</definedName>
    <definedName name="EEE" hidden="1">{#N/A,#N/A,FALSE,"Pharm";#N/A,#N/A,FALSE,"WWCM"}</definedName>
    <definedName name="eee.lll" localSheetId="3" hidden="1">{#N/A,#N/A,FALSE,"PMW Gruppe 99_98";#N/A,#N/A,FALSE,"PMW KG 98_99";#N/A,#N/A,FALSE,"PMW Inc. 99_98";#N/A,#N/A,FALSE,"PMW VTECH 99_98";#N/A,#N/A,FALSE,"PMW Thail. 99_98";#N/A,#N/A,FALSE,"PMW Canada 99_98";#N/A,#N/A,FALSE,"Währungsabw. 99_98"}</definedName>
    <definedName name="eee.lll" localSheetId="7" hidden="1">{#N/A,#N/A,FALSE,"PMW Gruppe 99_98";#N/A,#N/A,FALSE,"PMW KG 98_99";#N/A,#N/A,FALSE,"PMW Inc. 99_98";#N/A,#N/A,FALSE,"PMW VTECH 99_98";#N/A,#N/A,FALSE,"PMW Thail. 99_98";#N/A,#N/A,FALSE,"PMW Canada 99_98";#N/A,#N/A,FALSE,"Währungsabw. 99_98"}</definedName>
    <definedName name="eee.lll" hidden="1">{#N/A,#N/A,FALSE,"PMW Gruppe 99_98";#N/A,#N/A,FALSE,"PMW KG 98_99";#N/A,#N/A,FALSE,"PMW Inc. 99_98";#N/A,#N/A,FALSE,"PMW VTECH 99_98";#N/A,#N/A,FALSE,"PMW Thail. 99_98";#N/A,#N/A,FALSE,"PMW Canada 99_98";#N/A,#N/A,FALSE,"Währungsabw. 99_98"}</definedName>
    <definedName name="eeee" localSheetId="3" hidden="1">{"YD LAPO2",#N/A,FALSE,"YTD"}</definedName>
    <definedName name="eeee" localSheetId="7" hidden="1">{"YD LAPO2",#N/A,FALSE,"YTD"}</definedName>
    <definedName name="eeee" hidden="1">{"YD LAPO2",#N/A,FALSE,"YTD"}</definedName>
    <definedName name="eeeee" localSheetId="3" hidden="1">{#N/A,#N/A,FALSE,"Pharm";#N/A,#N/A,FALSE,"WWCM"}</definedName>
    <definedName name="eeeee" localSheetId="7" hidden="1">{#N/A,#N/A,FALSE,"Pharm";#N/A,#N/A,FALSE,"WWCM"}</definedName>
    <definedName name="eeeee" hidden="1">{#N/A,#N/A,FALSE,"Pharm";#N/A,#N/A,FALSE,"WWCM"}</definedName>
    <definedName name="eeeeee" localSheetId="3" hidden="1">{"YD OTHER",#N/A,FALSE,"YTD"}</definedName>
    <definedName name="eeeeee" localSheetId="7" hidden="1">{"YD OTHER",#N/A,FALSE,"YTD"}</definedName>
    <definedName name="eeeeee" hidden="1">{"YD OTHER",#N/A,FALSE,"YTD"}</definedName>
    <definedName name="eeeeeee" localSheetId="3" hidden="1">{"YD LPH2",#N/A,FALSE,"YTD"}</definedName>
    <definedName name="eeeeeee" localSheetId="7" hidden="1">{"YD LPH2",#N/A,FALSE,"YTD"}</definedName>
    <definedName name="eeeeeee" hidden="1">{"YD LPH2",#N/A,FALSE,"YTD"}</definedName>
    <definedName name="eeeeeeee" localSheetId="3" hidden="1">{"Pg1",#N/A,FALSE,"OpExYTDvsBud";"Pg2",#N/A,FALSE,"OpExYTDvsBud"}</definedName>
    <definedName name="eeeeeeee" localSheetId="7" hidden="1">{"Pg1",#N/A,FALSE,"OpExYTDvsBud";"Pg2",#N/A,FALSE,"OpExYTDvsBud"}</definedName>
    <definedName name="eeeeeeee" hidden="1">{"Pg1",#N/A,FALSE,"OpExYTDvsBud";"Pg2",#N/A,FALSE,"OpExYTDvsBud"}</definedName>
    <definedName name="eeeeeeeee" localSheetId="3" hidden="1">{"Pa1",#N/A,FALSE,"OpExYTDvsPY";"Pa2",#N/A,FALSE,"OpExYTDvsPY"}</definedName>
    <definedName name="eeeeeeeee" localSheetId="7" hidden="1">{"Pa1",#N/A,FALSE,"OpExYTDvsPY";"Pa2",#N/A,FALSE,"OpExYTDvsPY"}</definedName>
    <definedName name="eeeeeeeee" hidden="1">{"Pa1",#N/A,FALSE,"OpExYTDvsPY";"Pa2",#N/A,FALSE,"OpExYTDvsPY"}</definedName>
    <definedName name="eeeeeeeeee" localSheetId="3"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e" localSheetId="3" hidden="1">{#N/A,"PURCHM",FALSE,"Business Analysis";#N/A,"SPADD",FALSE,"Business Analysis"}</definedName>
    <definedName name="eeeeeeeeeee" localSheetId="7" hidden="1">{#N/A,"PURCHM",FALSE,"Business Analysis";#N/A,"SPADD",FALSE,"Business Analysis"}</definedName>
    <definedName name="eeeeeeeeeee" hidden="1">{#N/A,"PURCHM",FALSE,"Business Analysis";#N/A,"SPADD",FALSE,"Business Analysis"}</definedName>
    <definedName name="eeeeeeeeeeee" localSheetId="3" hidden="1">{"pro_view",#N/A,FALSE,"EEFSNAP2";"rep_view",#N/A,FALSE,"EEFSNAP2"}</definedName>
    <definedName name="eeeeeeeeeeee" localSheetId="7" hidden="1">{"pro_view",#N/A,FALSE,"EEFSNAP2";"rep_view",#N/A,FALSE,"EEFSNAP2"}</definedName>
    <definedName name="eeeeeeeeeeee" hidden="1">{"pro_view",#N/A,FALSE,"EEFSNAP2";"rep_view",#N/A,FALSE,"EEFSNAP2"}</definedName>
    <definedName name="eeeeeeeeeeeeeee" localSheetId="3" hidden="1">{#N/A,"PURADD",FALSE,"Business Analysis";#N/A,"PURSPP",FALSE,"Business Analysis";#N/A,"CTGIND",FALSE,"Business Analysis";#N/A,"PURCHM",FALSE,"Business Analysis";#N/A,"SPADD",FALSE,"Business Analysis";#N/A,"EPOXY",FALSE,"Business Analysis";#N/A,"PURPER",FALSE,"Business Analysis"}</definedName>
    <definedName name="eeeeeeeeeeeeeee" localSheetId="7" hidden="1">{#N/A,"PURADD",FALSE,"Business Analysis";#N/A,"PURSPP",FALSE,"Business Analysis";#N/A,"CTGIND",FALSE,"Business Analysis";#N/A,"PURCHM",FALSE,"Business Analysis";#N/A,"SPADD",FALSE,"Business Analysis";#N/A,"EPOXY",FALSE,"Business Analysis";#N/A,"PURPER",FALSE,"Business Analysis"}</definedName>
    <definedName name="eeeeeeeeeeeeeee" hidden="1">{#N/A,"PURADD",FALSE,"Business Analysis";#N/A,"PURSPP",FALSE,"Business Analysis";#N/A,"CTGIND",FALSE,"Business Analysis";#N/A,"PURCHM",FALSE,"Business Analysis";#N/A,"SPADD",FALSE,"Business Analysis";#N/A,"EPOXY",FALSE,"Business Analysis";#N/A,"PURPER",FALSE,"Business Analysis"}</definedName>
    <definedName name="eert" localSheetId="3" hidden="1">{#N/A,#N/A,FALSE,"Umsatz EO BP";#N/A,#N/A,FALSE,"Umsatz EO OP";#N/A,#N/A,FALSE,"ER EO BP";#N/A,#N/A,FALSE,"ER EO OP";#N/A,#N/A,FALSE,"EA EO (2)";#N/A,#N/A,FALSE,"EA EO";#N/A,#N/A,FALSE,"EA EO (3)";#N/A,#N/A,FALSE,"EA EO (4)";#N/A,#N/A,FALSE,"KA EO  (2)";#N/A,#N/A,FALSE,"KA EO";#N/A,#N/A,FALSE,"KA EO  (3)";#N/A,#N/A,FALSE,"KA EO (4)"}</definedName>
    <definedName name="eert" localSheetId="7" hidden="1">{#N/A,#N/A,FALSE,"Umsatz EO BP";#N/A,#N/A,FALSE,"Umsatz EO OP";#N/A,#N/A,FALSE,"ER EO BP";#N/A,#N/A,FALSE,"ER EO OP";#N/A,#N/A,FALSE,"EA EO (2)";#N/A,#N/A,FALSE,"EA EO";#N/A,#N/A,FALSE,"EA EO (3)";#N/A,#N/A,FALSE,"EA EO (4)";#N/A,#N/A,FALSE,"KA EO  (2)";#N/A,#N/A,FALSE,"KA EO";#N/A,#N/A,FALSE,"KA EO  (3)";#N/A,#N/A,FALSE,"KA EO (4)"}</definedName>
    <definedName name="eert" hidden="1">{#N/A,#N/A,FALSE,"Umsatz EO BP";#N/A,#N/A,FALSE,"Umsatz EO OP";#N/A,#N/A,FALSE,"ER EO BP";#N/A,#N/A,FALSE,"ER EO OP";#N/A,#N/A,FALSE,"EA EO (2)";#N/A,#N/A,FALSE,"EA EO";#N/A,#N/A,FALSE,"EA EO (3)";#N/A,#N/A,FALSE,"EA EO (4)";#N/A,#N/A,FALSE,"KA EO  (2)";#N/A,#N/A,FALSE,"KA EO";#N/A,#N/A,FALSE,"KA EO  (3)";#N/A,#N/A,FALSE,"KA EO (4)"}</definedName>
    <definedName name="efin" localSheetId="3" hidden="1">{#N/A,#N/A,FALSE,"Output";#N/A,#N/A,FALSE,"Cover Sheet";#N/A,#N/A,FALSE,"Current Mkt. Projections"}</definedName>
    <definedName name="efin" localSheetId="7" hidden="1">{#N/A,#N/A,FALSE,"Output";#N/A,#N/A,FALSE,"Cover Sheet";#N/A,#N/A,FALSE,"Current Mkt. Projections"}</definedName>
    <definedName name="efin" hidden="1">{#N/A,#N/A,FALSE,"Output";#N/A,#N/A,FALSE,"Cover Sheet";#N/A,#N/A,FALSE,"Current Mkt. Projections"}</definedName>
    <definedName name="efn" localSheetId="3" hidden="1">{#N/A,#N/A,TRUE,"DCF Summary";#N/A,#N/A,TRUE,"Casema";#N/A,#N/A,TRUE,"UK";#N/A,#N/A,TRUE,"RCF";#N/A,#N/A,TRUE,"Intercable CZ";#N/A,#N/A,TRUE,"Interkabel P";#N/A,#N/A,TRUE,"LBO-Total";#N/A,#N/A,TRUE,"LBO-Casema"}</definedName>
    <definedName name="efn" localSheetId="7" hidden="1">{#N/A,#N/A,TRUE,"DCF Summary";#N/A,#N/A,TRUE,"Casema";#N/A,#N/A,TRUE,"UK";#N/A,#N/A,TRUE,"RCF";#N/A,#N/A,TRUE,"Intercable CZ";#N/A,#N/A,TRUE,"Interkabel P";#N/A,#N/A,TRUE,"LBO-Total";#N/A,#N/A,TRUE,"LBO-Casema"}</definedName>
    <definedName name="efn" hidden="1">{#N/A,#N/A,TRUE,"DCF Summary";#N/A,#N/A,TRUE,"Casema";#N/A,#N/A,TRUE,"UK";#N/A,#N/A,TRUE,"RCF";#N/A,#N/A,TRUE,"Intercable CZ";#N/A,#N/A,TRUE,"Interkabel P";#N/A,#N/A,TRUE,"LBO-Total";#N/A,#N/A,TRUE,"LBO-Casema"}</definedName>
    <definedName name="ei" localSheetId="3"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ei"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ei"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eings" localSheetId="3" hidden="1">{#N/A,"PURCHM",FALSE,"Business Analysis";#N/A,"SPADD",FALSE,"Business Analysis"}</definedName>
    <definedName name="eings" localSheetId="7" hidden="1">{#N/A,"PURCHM",FALSE,"Business Analysis";#N/A,"SPADD",FALSE,"Business Analysis"}</definedName>
    <definedName name="eings" hidden="1">{#N/A,"PURCHM",FALSE,"Business Analysis";#N/A,"SPADD",FALSE,"Business Analysis"}</definedName>
    <definedName name="ejkfgkjze" localSheetId="3" hidden="1">{#N/A,#N/A,FALSE,"Pharm";#N/A,#N/A,FALSE,"WWCM"}</definedName>
    <definedName name="ejkfgkjze" localSheetId="7" hidden="1">{#N/A,#N/A,FALSE,"Pharm";#N/A,#N/A,FALSE,"WWCM"}</definedName>
    <definedName name="ejkfgkjze" hidden="1">{#N/A,#N/A,FALSE,"Pharm";#N/A,#N/A,FALSE,"WWCM"}</definedName>
    <definedName name="Encuesta" localSheetId="3" hidden="1">{#N/A,#N/A,TRUE,"ICMAN96 (1)"}</definedName>
    <definedName name="Encuesta" localSheetId="7" hidden="1">{#N/A,#N/A,TRUE,"ICMAN96 (1)"}</definedName>
    <definedName name="Encuesta" hidden="1">{#N/A,#N/A,TRUE,"ICMAN96 (1)"}</definedName>
    <definedName name="eoflsru" localSheetId="3" hidden="1">{"QTD",#N/A,FALSE,"SUM"}</definedName>
    <definedName name="eoflsru" localSheetId="7" hidden="1">{"QTD",#N/A,FALSE,"SUM"}</definedName>
    <definedName name="eoflsru" hidden="1">{"QTD",#N/A,FALSE,"SUM"}</definedName>
    <definedName name="eoil" localSheetId="3" hidden="1">{"detail",#N/A,FALSE,"mfg";"summary",#N/A,FALSE,"mfg"}</definedName>
    <definedName name="eoil" localSheetId="7" hidden="1">{"detail",#N/A,FALSE,"mfg";"summary",#N/A,FALSE,"mfg"}</definedName>
    <definedName name="eoil" hidden="1">{"detail",#N/A,FALSE,"mfg";"summary",#N/A,FALSE,"mfg"}</definedName>
    <definedName name="er" localSheetId="3" hidden="1">{#N/A,#N/A,FALSE,"Umsatz 99";#N/A,#N/A,FALSE,"ER 99 "}</definedName>
    <definedName name="er" localSheetId="7" hidden="1">{#N/A,#N/A,FALSE,"Umsatz 99";#N/A,#N/A,FALSE,"ER 99 "}</definedName>
    <definedName name="er" hidden="1">{#N/A,#N/A,FALSE,"Umsatz 99";#N/A,#N/A,FALSE,"ER 99 "}</definedName>
    <definedName name="erd" localSheetId="3" hidden="1">{#N/A,#N/A,FALSE,"Pharm";#N/A,#N/A,FALSE,"WWCM"}</definedName>
    <definedName name="erd" localSheetId="7" hidden="1">{#N/A,#N/A,FALSE,"Pharm";#N/A,#N/A,FALSE,"WWCM"}</definedName>
    <definedName name="erd" hidden="1">{#N/A,#N/A,FALSE,"Pharm";#N/A,#N/A,FALSE,"WWCM"}</definedName>
    <definedName name="ERERER" localSheetId="3" hidden="1">{#N/A,#N/A,FALSE,"Pag.01"}</definedName>
    <definedName name="ERERER" localSheetId="7" hidden="1">{#N/A,#N/A,FALSE,"Pag.01"}</definedName>
    <definedName name="ERERER" hidden="1">{#N/A,#N/A,FALSE,"Pag.01"}</definedName>
    <definedName name="erf" localSheetId="3" hidden="1">{"QTR_ACT",#N/A,FALSE,"PROP_PBIT_DEV_Q3";"QTR_BUD",#N/A,FALSE,"PROP_PBIT_DEV_Q3";"YTD_BUD",#N/A,FALSE,"PROP_PBIT_DEV_Q3";"YTD_ACT",#N/A,FALSE,"PROP_PBIT_DEV_Q3";"FY95 SNAP3",#N/A,FALSE,"PROP_PBIT_DEV_Q3";"FY95_BUD",#N/A,FALSE,"PROP_PBIT_DEV_Q3";"FY96_BUD",#N/A,FALSE,"PROP_PBIT_DEV_Q3"}</definedName>
    <definedName name="erf" localSheetId="7" hidden="1">{"QTR_ACT",#N/A,FALSE,"PROP_PBIT_DEV_Q3";"QTR_BUD",#N/A,FALSE,"PROP_PBIT_DEV_Q3";"YTD_BUD",#N/A,FALSE,"PROP_PBIT_DEV_Q3";"YTD_ACT",#N/A,FALSE,"PROP_PBIT_DEV_Q3";"FY95 SNAP3",#N/A,FALSE,"PROP_PBIT_DEV_Q3";"FY95_BUD",#N/A,FALSE,"PROP_PBIT_DEV_Q3";"FY96_BUD",#N/A,FALSE,"PROP_PBIT_DEV_Q3"}</definedName>
    <definedName name="erf" hidden="1">{"QTR_ACT",#N/A,FALSE,"PROP_PBIT_DEV_Q3";"QTR_BUD",#N/A,FALSE,"PROP_PBIT_DEV_Q3";"YTD_BUD",#N/A,FALSE,"PROP_PBIT_DEV_Q3";"YTD_ACT",#N/A,FALSE,"PROP_PBIT_DEV_Q3";"FY95 SNAP3",#N/A,FALSE,"PROP_PBIT_DEV_Q3";"FY95_BUD",#N/A,FALSE,"PROP_PBIT_DEV_Q3";"FY96_BUD",#N/A,FALSE,"PROP_PBIT_DEV_Q3"}</definedName>
    <definedName name="err.g." localSheetId="3" hidden="1">{#N/A,#N/A,FALSE,"KA CH  (2)"}</definedName>
    <definedName name="err.g." localSheetId="7" hidden="1">{#N/A,#N/A,FALSE,"KA CH  (2)"}</definedName>
    <definedName name="err.g." hidden="1">{#N/A,#N/A,FALSE,"KA CH  (2)"}</definedName>
    <definedName name="errr.g" localSheetId="3" hidden="1">{#N/A,#N/A,FALSE,"KA CH  (2)"}</definedName>
    <definedName name="errr.g" localSheetId="7" hidden="1">{#N/A,#N/A,FALSE,"KA CH  (2)"}</definedName>
    <definedName name="errr.g" hidden="1">{#N/A,#N/A,FALSE,"KA CH  (2)"}</definedName>
    <definedName name="erryeyetyuu" localSheetId="3" hidden="1">{#N/A,#N/A,FALSE,"Pharm";#N/A,#N/A,FALSE,"WWCM"}</definedName>
    <definedName name="erryeyetyuu" localSheetId="7" hidden="1">{#N/A,#N/A,FALSE,"Pharm";#N/A,#N/A,FALSE,"WWCM"}</definedName>
    <definedName name="erryeyetyuu" hidden="1">{#N/A,#N/A,FALSE,"Pharm";#N/A,#N/A,FALSE,"WWCM"}</definedName>
    <definedName name="ert" localSheetId="3" hidden="1">{#N/A,#N/A,FALSE,"Umsatz 99";#N/A,#N/A,FALSE,"ER 99 "}</definedName>
    <definedName name="ert" localSheetId="7" hidden="1">{#N/A,#N/A,FALSE,"Umsatz 99";#N/A,#N/A,FALSE,"ER 99 "}</definedName>
    <definedName name="ert" hidden="1">{#N/A,#N/A,FALSE,"Umsatz 99";#N/A,#N/A,FALSE,"ER 99 "}</definedName>
    <definedName name="ertr" localSheetId="3" hidden="1">{#N/A,#N/A,FALSE,"Umsatz 99";#N/A,#N/A,FALSE,"ER 99 "}</definedName>
    <definedName name="ertr" localSheetId="7" hidden="1">{#N/A,#N/A,FALSE,"Umsatz 99";#N/A,#N/A,FALSE,"ER 99 "}</definedName>
    <definedName name="ertr" hidden="1">{#N/A,#N/A,FALSE,"Umsatz 99";#N/A,#N/A,FALSE,"ER 99 "}</definedName>
    <definedName name="ervnj" localSheetId="3" hidden="1">{"YTDACT",#N/A,FALSE,"YTD Cum";"YTDBUD",#N/A,FALSE,"YTD Cum";"YTDPRIOR",#N/A,FALSE,"YTD Cum"}</definedName>
    <definedName name="ervnj" localSheetId="7" hidden="1">{"YTDACT",#N/A,FALSE,"YTD Cum";"YTDBUD",#N/A,FALSE,"YTD Cum";"YTDPRIOR",#N/A,FALSE,"YTD Cum"}</definedName>
    <definedName name="ervnj" hidden="1">{"YTDACT",#N/A,FALSE,"YTD Cum";"YTDBUD",#N/A,FALSE,"YTD Cum";"YTDPRIOR",#N/A,FALSE,"YTD Cum"}</definedName>
    <definedName name="erw" localSheetId="3"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rw"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rw"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s" localSheetId="3" hidden="1">{"QTR_ACT",#N/A,FALSE,"PROP_PBIT_DEV_Q3";"QTR_BUD",#N/A,FALSE,"PROP_PBIT_DEV_Q3";"YTD_BUD",#N/A,FALSE,"PROP_PBIT_DEV_Q3";"YTD_ACT",#N/A,FALSE,"PROP_PBIT_DEV_Q3";"FY95 SNAP3",#N/A,FALSE,"PROP_PBIT_DEV_Q3";"FY95_BUD",#N/A,FALSE,"PROP_PBIT_DEV_Q3";"FY96_BUD",#N/A,FALSE,"PROP_PBIT_DEV_Q3"}</definedName>
    <definedName name="es" localSheetId="7" hidden="1">{"QTR_ACT",#N/A,FALSE,"PROP_PBIT_DEV_Q3";"QTR_BUD",#N/A,FALSE,"PROP_PBIT_DEV_Q3";"YTD_BUD",#N/A,FALSE,"PROP_PBIT_DEV_Q3";"YTD_ACT",#N/A,FALSE,"PROP_PBIT_DEV_Q3";"FY95 SNAP3",#N/A,FALSE,"PROP_PBIT_DEV_Q3";"FY95_BUD",#N/A,FALSE,"PROP_PBIT_DEV_Q3";"FY96_BUD",#N/A,FALSE,"PROP_PBIT_DEV_Q3"}</definedName>
    <definedName name="es" hidden="1">{"QTR_ACT",#N/A,FALSE,"PROP_PBIT_DEV_Q3";"QTR_BUD",#N/A,FALSE,"PROP_PBIT_DEV_Q3";"YTD_BUD",#N/A,FALSE,"PROP_PBIT_DEV_Q3";"YTD_ACT",#N/A,FALSE,"PROP_PBIT_DEV_Q3";"FY95 SNAP3",#N/A,FALSE,"PROP_PBIT_DEV_Q3";"FY95_BUD",#N/A,FALSE,"PROP_PBIT_DEV_Q3";"FY96_BUD",#N/A,FALSE,"PROP_PBIT_DEV_Q3"}</definedName>
    <definedName name="Escelsa" localSheetId="3" hidden="1">Main.SAPF4Help()</definedName>
    <definedName name="Escelsa" localSheetId="7" hidden="1">Main.SAPF4Help()</definedName>
    <definedName name="Escelsa" hidden="1">Main.SAPF4Help()</definedName>
    <definedName name="esnrc20c1_values" localSheetId="3" hidden="1">{"FTSE22","COMPANIES",TRUE}</definedName>
    <definedName name="esnrc20c1_values" localSheetId="7" hidden="1">{"FTSE22","COMPANIES",TRUE}</definedName>
    <definedName name="esnrc20c1_values" hidden="1">{"FTSE22","COMPANIES",TRUE}</definedName>
    <definedName name="esnrc25c1_values" localSheetId="3" hidden="1">{"FTSE21","COMPANIES",TRUE}</definedName>
    <definedName name="esnrc25c1_values" localSheetId="7" hidden="1">{"FTSE21","COMPANIES",TRUE}</definedName>
    <definedName name="esnrc25c1_values" hidden="1">{"FTSE21","COMPANIES",TRUE}</definedName>
    <definedName name="esnrc29c1" hidden="1">#REF!</definedName>
    <definedName name="esnrc37c1_values" localSheetId="3" hidden="1">{"FTSE21","COMPANIES",TRUE}</definedName>
    <definedName name="esnrc37c1_values" localSheetId="7" hidden="1">{"FTSE21","COMPANIES",TRUE}</definedName>
    <definedName name="esnrc37c1_values" hidden="1">{"FTSE21","COMPANIES",TRUE}</definedName>
    <definedName name="esnrc41c1" hidden="1">#REF!</definedName>
    <definedName name="esnrc48c1" hidden="1">#REF!</definedName>
    <definedName name="esnrc48c2" hidden="1">#REF!</definedName>
    <definedName name="esnrc48c3" hidden="1">#REF!</definedName>
    <definedName name="esnrc48c4" hidden="1">#REF!</definedName>
    <definedName name="esnrc48c5" hidden="1">#REF!</definedName>
    <definedName name="esnrc5c1" hidden="1">#REF!</definedName>
    <definedName name="ESSAI" localSheetId="3" hidden="1">{#N/A,#N/A,FALSE,"Pharm";#N/A,#N/A,FALSE,"WWCM"}</definedName>
    <definedName name="ESSAI" localSheetId="7" hidden="1">{#N/A,#N/A,FALSE,"Pharm";#N/A,#N/A,FALSE,"WWCM"}</definedName>
    <definedName name="ESSAI" hidden="1">{#N/A,#N/A,FALSE,"Pharm";#N/A,#N/A,FALSE,"WWCM"}</definedName>
    <definedName name="Estafinnacxi2" localSheetId="3" hidden="1">{"Cuenta 21 (página 1)",#N/A,FALSE,"21 (1)"}</definedName>
    <definedName name="Estafinnacxi2" localSheetId="7" hidden="1">{"Cuenta 21 (página 1)",#N/A,FALSE,"21 (1)"}</definedName>
    <definedName name="Estafinnacxi2" hidden="1">{"Cuenta 21 (página 1)",#N/A,FALSE,"21 (1)"}</definedName>
    <definedName name="et" localSheetId="3"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t"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t"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tet" localSheetId="3" hidden="1">{#N/A,#N/A,FALSE,"Umsatz CH";#N/A,#N/A,FALSE,"ER CH";#N/A,#N/A,FALSE,"EA CH (2) ";#N/A,#N/A,FALSE,"EA CH";#N/A,#N/A,FALSE,"EA CH (3) ";#N/A,#N/A,FALSE,"EA CH (4)";#N/A,#N/A,FALSE,"KA CH";#N/A,#N/A,FALSE,"KA CH  (2)";#N/A,#N/A,FALSE,"KA CH  (3)";#N/A,#N/A,FALSE,"KA CH (4)"}</definedName>
    <definedName name="etet" localSheetId="7" hidden="1">{#N/A,#N/A,FALSE,"Umsatz CH";#N/A,#N/A,FALSE,"ER CH";#N/A,#N/A,FALSE,"EA CH (2) ";#N/A,#N/A,FALSE,"EA CH";#N/A,#N/A,FALSE,"EA CH (3) ";#N/A,#N/A,FALSE,"EA CH (4)";#N/A,#N/A,FALSE,"KA CH";#N/A,#N/A,FALSE,"KA CH  (2)";#N/A,#N/A,FALSE,"KA CH  (3)";#N/A,#N/A,FALSE,"KA CH (4)"}</definedName>
    <definedName name="etet" hidden="1">{#N/A,#N/A,FALSE,"Umsatz CH";#N/A,#N/A,FALSE,"ER CH";#N/A,#N/A,FALSE,"EA CH (2) ";#N/A,#N/A,FALSE,"EA CH";#N/A,#N/A,FALSE,"EA CH (3) ";#N/A,#N/A,FALSE,"EA CH (4)";#N/A,#N/A,FALSE,"KA CH";#N/A,#N/A,FALSE,"KA CH  (2)";#N/A,#N/A,FALSE,"KA CH  (3)";#N/A,#N/A,FALSE,"KA CH (4)"}</definedName>
    <definedName name="eu" localSheetId="3" hidden="1">{"apci",#N/A,FALSE,"Chem_CY";"eastman",#N/A,FALSE,"Eastman";"betz",#N/A,FALSE,"Betz";"great lakes",#N/A,FALSE,"Great_Lakes";"hercules",#N/A,FALSE,"Hercules Chem Seg Data";"rohm",#N/A,FALSE,"Rohm";"union carbide",#N/A,FALSE,"Union";"witco",#N/A,FALSE,"Witco"}</definedName>
    <definedName name="eu" localSheetId="7" hidden="1">{"apci",#N/A,FALSE,"Chem_CY";"eastman",#N/A,FALSE,"Eastman";"betz",#N/A,FALSE,"Betz";"great lakes",#N/A,FALSE,"Great_Lakes";"hercules",#N/A,FALSE,"Hercules Chem Seg Data";"rohm",#N/A,FALSE,"Rohm";"union carbide",#N/A,FALSE,"Union";"witco",#N/A,FALSE,"Witco"}</definedName>
    <definedName name="eu" hidden="1">{"apci",#N/A,FALSE,"Chem_CY";"eastman",#N/A,FALSE,"Eastman";"betz",#N/A,FALSE,"Betz";"great lakes",#N/A,FALSE,"Great_Lakes";"hercules",#N/A,FALSE,"Hercules Chem Seg Data";"rohm",#N/A,FALSE,"Rohm";"union carbide",#N/A,FALSE,"Union";"witco",#N/A,FALSE,"Witco"}</definedName>
    <definedName name="ev.Calculation" hidden="1">-4135</definedName>
    <definedName name="ev.Initialized" hidden="1">FALSE</definedName>
    <definedName name="ew" localSheetId="3" hidden="1">{#N/A,"PURADD",FALSE,"Business Analysis";#N/A,"PURSPP",FALSE,"Business Analysis";#N/A,"CTGIND",FALSE,"Business Analysis";#N/A,"PURCHM",FALSE,"Business Analysis";#N/A,"SPADD",FALSE,"Business Analysis";#N/A,"EPOXY",FALSE,"Business Analysis";#N/A,"PURPER",FALSE,"Business Analysis"}</definedName>
    <definedName name="ew" localSheetId="7" hidden="1">{#N/A,"PURADD",FALSE,"Business Analysis";#N/A,"PURSPP",FALSE,"Business Analysis";#N/A,"CTGIND",FALSE,"Business Analysis";#N/A,"PURCHM",FALSE,"Business Analysis";#N/A,"SPADD",FALSE,"Business Analysis";#N/A,"EPOXY",FALSE,"Business Analysis";#N/A,"PURPER",FALSE,"Business Analysis"}</definedName>
    <definedName name="ew" hidden="1">{#N/A,"PURADD",FALSE,"Business Analysis";#N/A,"PURSPP",FALSE,"Business Analysis";#N/A,"CTGIND",FALSE,"Business Analysis";#N/A,"PURCHM",FALSE,"Business Analysis";#N/A,"SPADD",FALSE,"Business Analysis";#N/A,"EPOXY",FALSE,"Business Analysis";#N/A,"PURPER",FALSE,"Business Analysis"}</definedName>
    <definedName name="ewaw" localSheetId="3" hidden="1">{"Act_vs_Budget",#N/A,FALSE,"QTRDPVAR";"Act_vs_Prior_Year",#N/A,FALSE,"QTRDPVAR"}</definedName>
    <definedName name="ewaw" localSheetId="7" hidden="1">{"Act_vs_Budget",#N/A,FALSE,"QTRDPVAR";"Act_vs_Prior_Year",#N/A,FALSE,"QTRDPVAR"}</definedName>
    <definedName name="ewaw" hidden="1">{"Act_vs_Budget",#N/A,FALSE,"QTRDPVAR";"Act_vs_Prior_Year",#N/A,FALSE,"QTRDPVAR"}</definedName>
    <definedName name="ewdwqd" localSheetId="3" hidden="1">{#N/A,"PURCHM",FALSE,"Business Analysis";#N/A,"SPADD",FALSE,"Business Analysis"}</definedName>
    <definedName name="ewdwqd" localSheetId="7" hidden="1">{#N/A,"PURCHM",FALSE,"Business Analysis";#N/A,"SPADD",FALSE,"Business Analysis"}</definedName>
    <definedName name="ewdwqd" hidden="1">{#N/A,"PURCHM",FALSE,"Business Analysis";#N/A,"SPADD",FALSE,"Business Analysis"}</definedName>
    <definedName name="ewq" localSheetId="3" hidden="1">{"oct_res_comm",#N/A,FALSE,"VarToBud"}</definedName>
    <definedName name="ewq" localSheetId="7" hidden="1">{"oct_res_comm",#N/A,FALSE,"VarToBud"}</definedName>
    <definedName name="ewq" hidden="1">{"oct_res_comm",#N/A,FALSE,"VarToBud"}</definedName>
    <definedName name="ewv" localSheetId="3" hidden="1">{"Page1",#N/A,FALSE,"OpExJanvsBud";"Page2",#N/A,FALSE,"OpExJanvsBud"}</definedName>
    <definedName name="ewv" localSheetId="7" hidden="1">{"Page1",#N/A,FALSE,"OpExJanvsBud";"Page2",#N/A,FALSE,"OpExJanvsBud"}</definedName>
    <definedName name="ewv" hidden="1">{"Page1",#N/A,FALSE,"OpExJanvsBud";"Page2",#N/A,FALSE,"OpExJanvsBud"}</definedName>
    <definedName name="ewwe" localSheetId="3" hidden="1">{#N/A,#N/A,FALSE,"REPORT"}</definedName>
    <definedName name="ewwe" localSheetId="7" hidden="1">{#N/A,#N/A,FALSE,"REPORT"}</definedName>
    <definedName name="ewwe" hidden="1">{#N/A,#N/A,FALSE,"REPORT"}</definedName>
    <definedName name="eydsr" localSheetId="3" hidden="1">{#N/A,"PURCHM",FALSE,"Business Analysis";#N/A,"SPADD",FALSE,"Business Analysis"}</definedName>
    <definedName name="eydsr" localSheetId="7" hidden="1">{#N/A,"PURCHM",FALSE,"Business Analysis";#N/A,"SPADD",FALSE,"Business Analysis"}</definedName>
    <definedName name="eydsr" hidden="1">{#N/A,"PURCHM",FALSE,"Business Analysis";#N/A,"SPADD",FALSE,"Business Analysis"}</definedName>
    <definedName name="F" localSheetId="0" hidden="1">{"'Sheet1'!$A$1:$G$85"}</definedName>
    <definedName name="F" localSheetId="3" hidden="1">{"'Sheet1'!$A$1:$G$85"}</definedName>
    <definedName name="f" localSheetId="7" hidden="1">{#N/A,#N/A,FALSE,"Int'l 2002 Comparative Fore";#N/A,#N/A,FALSE,"Int'l - Consolidated";#N/A,#N/A,FALSE,"Co 05 - Tunisia";#N/A,#N/A,FALSE,"Co 06 - Machala Power";#N/A,#N/A,FALSE,"Co. 07 - Samedan of  N Africa";#N/A,#N/A,FALSE,"Co. 08 - Samedan Transfer Sub";#N/A,#N/A,FALSE,"Co. 11 - Samedan Mediterranean";#N/A,#N/A,FALSE,"Co. 12 - Samedan International";#N/A,#N/A,FALSE,"Co. 13 - China";#N/A,#N/A,FALSE,"Co. 14 - EDC Portugal";#N/A,#N/A,FALSE,"Co. 17 - EDC Argentina (Home)";#N/A,#N/A,FALSE,"Co. 18 - EDC Argentina (Branch)";#N/A,#N/A,FALSE,"Co. 19 - EDC Ecuador";#N/A,#N/A,FALSE,"Co. 21 - U.K. Limited";#N/A,#N/A,FALSE,"Co. 22 - EDC Europe ";#N/A,#N/A,FALSE,"Co. 23 - EDC Australia";#N/A,#N/A,FALSE,"Co. 28 - EDC Denmark";#N/A,#N/A,FALSE,"Co. 38 - Viet Nam";#N/A,#N/A,FALSE,"Co. 39-Ireland";#N/A,#N/A,FALSE,"Co.61 - Netherlands"}</definedName>
    <definedName name="ｆ" hidden="1">"iQShowAnnual"</definedName>
    <definedName name="f.ffff" localSheetId="3" hidden="1">{#N/A,#N/A,FALSE,"Umsatz 99";#N/A,#N/A,FALSE,"ER 99 "}</definedName>
    <definedName name="f.ffff" localSheetId="7" hidden="1">{#N/A,#N/A,FALSE,"Umsatz 99";#N/A,#N/A,FALSE,"ER 99 "}</definedName>
    <definedName name="f.ffff" hidden="1">{#N/A,#N/A,FALSE,"Umsatz 99";#N/A,#N/A,FALSE,"ER 99 "}</definedName>
    <definedName name="fa" localSheetId="3" hidden="1">{"vol data",#N/A,FALSE,"Datasheet";"vol graph",#N/A,FALSE,"Volume";"price data",#N/A,FALSE,"Datasheet";"price graph",#N/A,FALSE,"Price";"dp data",#N/A,FALSE,"Datasheet";"dp graph",#N/A,FALSE,"DirectProfit"}</definedName>
    <definedName name="fa" localSheetId="7" hidden="1">{"vol data",#N/A,FALSE,"Datasheet";"vol graph",#N/A,FALSE,"Volume";"price data",#N/A,FALSE,"Datasheet";"price graph",#N/A,FALSE,"Price";"dp data",#N/A,FALSE,"Datasheet";"dp graph",#N/A,FALSE,"DirectProfit"}</definedName>
    <definedName name="fa" hidden="1">{"vol data",#N/A,FALSE,"Datasheet";"vol graph",#N/A,FALSE,"Volume";"price data",#N/A,FALSE,"Datasheet";"price graph",#N/A,FALSE,"Price";"dp data",#N/A,FALSE,"Datasheet";"dp graph",#N/A,FALSE,"DirectProfit"}</definedName>
    <definedName name="faa" localSheetId="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a"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a"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d" localSheetId="3" hidden="1">{#N/A,"70% Success",FALSE,"Sales Forecast";#N/A,#N/A,FALSE,"Sheet2"}</definedName>
    <definedName name="fad" localSheetId="7" hidden="1">{#N/A,"70% Success",FALSE,"Sales Forecast";#N/A,#N/A,FALSE,"Sheet2"}</definedName>
    <definedName name="fad" hidden="1">{#N/A,"70% Success",FALSE,"Sales Forecast";#N/A,#N/A,FALSE,"Sheet2"}</definedName>
    <definedName name="fafs" localSheetId="3" hidden="1">{#N/A,#N/A,FALSE,"Brad BANM_S";#N/A,#N/A,FALSE,"Brad SAM_BANM";#N/A,#N/A,FALSE,"Brad_LD";#N/A,#N/A,FALSE,"BANM-&gt;S";#N/A,#N/A,FALSE,"BANM_S";#N/A,#N/A,FALSE,"S-&gt;BANM";#N/A,#N/A,FALSE,"SAM_BANM";#N/A,#N/A,FALSE,"BANM";#N/A,#N/A,FALSE,"Sam"}</definedName>
    <definedName name="fafs" localSheetId="7" hidden="1">{#N/A,#N/A,FALSE,"Brad BANM_S";#N/A,#N/A,FALSE,"Brad SAM_BANM";#N/A,#N/A,FALSE,"Brad_LD";#N/A,#N/A,FALSE,"BANM-&gt;S";#N/A,#N/A,FALSE,"BANM_S";#N/A,#N/A,FALSE,"S-&gt;BANM";#N/A,#N/A,FALSE,"SAM_BANM";#N/A,#N/A,FALSE,"BANM";#N/A,#N/A,FALSE,"Sam"}</definedName>
    <definedName name="fafs" hidden="1">{#N/A,#N/A,FALSE,"Brad BANM_S";#N/A,#N/A,FALSE,"Brad SAM_BANM";#N/A,#N/A,FALSE,"Brad_LD";#N/A,#N/A,FALSE,"BANM-&gt;S";#N/A,#N/A,FALSE,"BANM_S";#N/A,#N/A,FALSE,"S-&gt;BANM";#N/A,#N/A,FALSE,"SAM_BANM";#N/A,#N/A,FALSE,"BANM";#N/A,#N/A,FALSE,"Sam"}</definedName>
    <definedName name="FDC_0_0" hidden="1">"#"</definedName>
    <definedName name="FDC_1_0" hidden="1">"#"</definedName>
    <definedName name="FDC_10_0" hidden="1">"#"</definedName>
    <definedName name="FDC_10_1" hidden="1">"#"</definedName>
    <definedName name="FDC_10_2" hidden="1">"#"</definedName>
    <definedName name="FDC_10_3" hidden="1">"#"</definedName>
    <definedName name="FDC_11_0" hidden="1">"#"</definedName>
    <definedName name="FDC_11_1" hidden="1">"#"</definedName>
    <definedName name="FDC_11_2" hidden="1">"#"</definedName>
    <definedName name="FDC_11_3" hidden="1">"#"</definedName>
    <definedName name="FDC_12_0" hidden="1">"#"</definedName>
    <definedName name="FDC_12_1" hidden="1">"#"</definedName>
    <definedName name="FDC_12_2" hidden="1">"#"</definedName>
    <definedName name="FDC_12_3" hidden="1">"#"</definedName>
    <definedName name="FDC_13_0" hidden="1">"#"</definedName>
    <definedName name="FDC_13_1" hidden="1">"#"</definedName>
    <definedName name="FDC_13_2" hidden="1">"#"</definedName>
    <definedName name="FDC_13_3" hidden="1">"#"</definedName>
    <definedName name="FDC_14_0" hidden="1">"#"</definedName>
    <definedName name="FDC_14_1" hidden="1">"#"</definedName>
    <definedName name="FDC_14_2" hidden="1">"#"</definedName>
    <definedName name="FDC_14_3" hidden="1">"#"</definedName>
    <definedName name="FDC_15_0" hidden="1">"#"</definedName>
    <definedName name="FDC_16_0" hidden="1">"#"</definedName>
    <definedName name="FDC_17_0" hidden="1">"#"</definedName>
    <definedName name="FDC_18_0" hidden="1">"#"</definedName>
    <definedName name="FDC_19_0" hidden="1">"#"</definedName>
    <definedName name="FDC_19_1" hidden="1">"#"</definedName>
    <definedName name="FDC_19_2" hidden="1">"#"</definedName>
    <definedName name="FDC_19_3" hidden="1">"#"</definedName>
    <definedName name="FDC_2_0" hidden="1">"#"</definedName>
    <definedName name="FDC_20_0" hidden="1">"#"</definedName>
    <definedName name="FDC_21_0" hidden="1">"#"</definedName>
    <definedName name="FDC_21_1" hidden="1">"#"</definedName>
    <definedName name="FDC_21_2" hidden="1">"#"</definedName>
    <definedName name="FDC_21_3" hidden="1">"#"</definedName>
    <definedName name="FDC_22_0" hidden="1">"#"</definedName>
    <definedName name="FDC_23_0" hidden="1">"#"</definedName>
    <definedName name="FDC_24_0" hidden="1">"#"</definedName>
    <definedName name="FDC_25_0" hidden="1">"#"</definedName>
    <definedName name="FDC_25_1" hidden="1">"#"</definedName>
    <definedName name="FDC_25_2" hidden="1">"#"</definedName>
    <definedName name="FDC_25_3" hidden="1">"#"</definedName>
    <definedName name="FDC_26_0" hidden="1">"#"</definedName>
    <definedName name="FDC_26_1" hidden="1">"#"</definedName>
    <definedName name="FDC_26_2" hidden="1">"#"</definedName>
    <definedName name="FDC_26_3" hidden="1">"#"</definedName>
    <definedName name="FDC_27_0" hidden="1">"#"</definedName>
    <definedName name="FDC_28_0" hidden="1">"#"</definedName>
    <definedName name="FDC_28_1" hidden="1">"#"</definedName>
    <definedName name="FDC_28_2" hidden="1">"#"</definedName>
    <definedName name="FDC_28_3" hidden="1">"#"</definedName>
    <definedName name="FDC_29_0" hidden="1">"#"</definedName>
    <definedName name="FDC_29_1" hidden="1">"#"</definedName>
    <definedName name="FDC_29_2" hidden="1">"#"</definedName>
    <definedName name="FDC_29_3" hidden="1">"#"</definedName>
    <definedName name="FDC_3_0" hidden="1">"#"</definedName>
    <definedName name="FDC_30_0" hidden="1">"#"</definedName>
    <definedName name="FDC_31_0" hidden="1">"#"</definedName>
    <definedName name="FDC_32_0" hidden="1">"#"</definedName>
    <definedName name="FDC_33_0" hidden="1">"#"</definedName>
    <definedName name="FDC_34_0" hidden="1">"#"</definedName>
    <definedName name="FDC_35_0" hidden="1">"#"</definedName>
    <definedName name="FDC_36_0" hidden="1">"#"</definedName>
    <definedName name="FDC_37_0" hidden="1">"#"</definedName>
    <definedName name="FDC_38_0" hidden="1">"#"</definedName>
    <definedName name="FDC_39_0" hidden="1">"#"</definedName>
    <definedName name="FDC_4_0" hidden="1">"#"</definedName>
    <definedName name="FDC_40_0" hidden="1">"#"</definedName>
    <definedName name="FDC_41_0" hidden="1">"#"</definedName>
    <definedName name="FDC_41_1" hidden="1">"#"</definedName>
    <definedName name="FDC_41_2" hidden="1">"#"</definedName>
    <definedName name="FDC_41_3" hidden="1">"#"</definedName>
    <definedName name="FDC_42_0" hidden="1">"#"</definedName>
    <definedName name="FDC_42_1" hidden="1">"#"</definedName>
    <definedName name="FDC_42_2" hidden="1">"#"</definedName>
    <definedName name="FDC_42_3" hidden="1">"#"</definedName>
    <definedName name="FDC_43_0" hidden="1">"#"</definedName>
    <definedName name="FDC_43_1" hidden="1">"#"</definedName>
    <definedName name="FDC_43_2" hidden="1">"#"</definedName>
    <definedName name="FDC_43_3" hidden="1">"#"</definedName>
    <definedName name="FDC_44_0" hidden="1">"#"</definedName>
    <definedName name="FDC_45_0" hidden="1">"#"</definedName>
    <definedName name="FDC_45_1" hidden="1">"#"</definedName>
    <definedName name="FDC_45_2" hidden="1">"#"</definedName>
    <definedName name="FDC_45_3" hidden="1">"#"</definedName>
    <definedName name="FDC_46_0" hidden="1">"#"</definedName>
    <definedName name="FDC_46_1" hidden="1">"#"</definedName>
    <definedName name="FDC_46_2" hidden="1">"#"</definedName>
    <definedName name="FDC_46_3" hidden="1">"#"</definedName>
    <definedName name="FDC_47_0" hidden="1">"#"</definedName>
    <definedName name="FDC_47_1" hidden="1">"#"</definedName>
    <definedName name="FDC_47_2" hidden="1">"#"</definedName>
    <definedName name="FDC_47_3" hidden="1">"#"</definedName>
    <definedName name="FDC_48_0" hidden="1">"#"</definedName>
    <definedName name="FDC_48_1" hidden="1">"#"</definedName>
    <definedName name="FDC_48_2" hidden="1">"#"</definedName>
    <definedName name="FDC_48_3" hidden="1">"#"</definedName>
    <definedName name="FDC_49_0" hidden="1">"#"</definedName>
    <definedName name="FDC_49_1" hidden="1">"#"</definedName>
    <definedName name="FDC_49_2" hidden="1">"#"</definedName>
    <definedName name="FDC_49_3" hidden="1">"#"</definedName>
    <definedName name="FDC_5_0" hidden="1">"#"</definedName>
    <definedName name="FDC_5_1" hidden="1">"#"</definedName>
    <definedName name="FDC_5_2" hidden="1">"#"</definedName>
    <definedName name="FDC_5_3" hidden="1">"#"</definedName>
    <definedName name="FDC_50_0" hidden="1">"#"</definedName>
    <definedName name="FDC_50_1" hidden="1">"#"</definedName>
    <definedName name="FDC_50_2" hidden="1">"#"</definedName>
    <definedName name="FDC_50_3" hidden="1">"#"</definedName>
    <definedName name="FDC_51_0" hidden="1">"#"</definedName>
    <definedName name="FDC_51_1" hidden="1">"#"</definedName>
    <definedName name="FDC_51_2" hidden="1">"#"</definedName>
    <definedName name="FDC_51_3" hidden="1">"#"</definedName>
    <definedName name="FDC_52_0" hidden="1">"#"</definedName>
    <definedName name="FDC_52_1" hidden="1">"#"</definedName>
    <definedName name="FDC_52_2" hidden="1">"#"</definedName>
    <definedName name="FDC_52_3" hidden="1">"#"</definedName>
    <definedName name="FDC_53_0" hidden="1">"#"</definedName>
    <definedName name="FDC_53_1" hidden="1">"#"</definedName>
    <definedName name="FDC_53_2" hidden="1">"#"</definedName>
    <definedName name="FDC_53_3" hidden="1">"#"</definedName>
    <definedName name="FDC_54_0" hidden="1">"#"</definedName>
    <definedName name="FDC_54_1" hidden="1">"#"</definedName>
    <definedName name="FDC_54_2" hidden="1">"#"</definedName>
    <definedName name="FDC_54_3" hidden="1">"#"</definedName>
    <definedName name="FDC_55_0" hidden="1">"#"</definedName>
    <definedName name="FDC_55_1" hidden="1">"#"</definedName>
    <definedName name="FDC_55_2" hidden="1">"#"</definedName>
    <definedName name="FDC_55_3" hidden="1">"#"</definedName>
    <definedName name="FDC_56_0" hidden="1">"#"</definedName>
    <definedName name="FDC_57_0" hidden="1">"#"</definedName>
    <definedName name="FDC_58_0" hidden="1">"#"</definedName>
    <definedName name="FDC_58_1" hidden="1">"#"</definedName>
    <definedName name="FDC_58_10" hidden="1">"#"</definedName>
    <definedName name="FDC_58_100" hidden="1">"#"</definedName>
    <definedName name="FDC_58_101" hidden="1">"#"</definedName>
    <definedName name="FDC_58_102" hidden="1">"#"</definedName>
    <definedName name="FDC_58_103" hidden="1">"#"</definedName>
    <definedName name="FDC_58_104" hidden="1">"#"</definedName>
    <definedName name="FDC_58_105" hidden="1">"#"</definedName>
    <definedName name="FDC_58_106" hidden="1">"#"</definedName>
    <definedName name="FDC_58_107" hidden="1">"#"</definedName>
    <definedName name="FDC_58_108" hidden="1">"#"</definedName>
    <definedName name="FDC_58_109" hidden="1">"#"</definedName>
    <definedName name="FDC_58_11" hidden="1">"#"</definedName>
    <definedName name="FDC_58_110" hidden="1">"#"</definedName>
    <definedName name="FDC_58_111" hidden="1">"#"</definedName>
    <definedName name="FDC_58_112" hidden="1">"#"</definedName>
    <definedName name="FDC_58_113" hidden="1">"#"</definedName>
    <definedName name="FDC_58_114" hidden="1">"#"</definedName>
    <definedName name="FDC_58_115" hidden="1">"#"</definedName>
    <definedName name="FDC_58_116" hidden="1">"#"</definedName>
    <definedName name="FDC_58_117" hidden="1">"#"</definedName>
    <definedName name="FDC_58_118" hidden="1">"#"</definedName>
    <definedName name="FDC_58_119" hidden="1">"#"</definedName>
    <definedName name="FDC_58_12" hidden="1">"#"</definedName>
    <definedName name="FDC_58_120" hidden="1">"#"</definedName>
    <definedName name="FDC_58_121" hidden="1">"#"</definedName>
    <definedName name="FDC_58_122" hidden="1">"#"</definedName>
    <definedName name="FDC_58_123" hidden="1">"#"</definedName>
    <definedName name="FDC_58_124" hidden="1">"#"</definedName>
    <definedName name="FDC_58_125" hidden="1">"#"</definedName>
    <definedName name="FDC_58_126" hidden="1">"#"</definedName>
    <definedName name="FDC_58_127" hidden="1">"#"</definedName>
    <definedName name="FDC_58_128" hidden="1">"#"</definedName>
    <definedName name="FDC_58_129" hidden="1">"#"</definedName>
    <definedName name="FDC_58_13" hidden="1">"#"</definedName>
    <definedName name="FDC_58_130" hidden="1">"#"</definedName>
    <definedName name="FDC_58_131" hidden="1">"#"</definedName>
    <definedName name="FDC_58_132" hidden="1">"#"</definedName>
    <definedName name="FDC_58_133" hidden="1">"#"</definedName>
    <definedName name="FDC_58_134" hidden="1">"#"</definedName>
    <definedName name="FDC_58_135" hidden="1">"#"</definedName>
    <definedName name="FDC_58_136" hidden="1">"#"</definedName>
    <definedName name="FDC_58_137" hidden="1">"#"</definedName>
    <definedName name="FDC_58_138" hidden="1">"#"</definedName>
    <definedName name="FDC_58_139" hidden="1">"#"</definedName>
    <definedName name="FDC_58_14" hidden="1">"#"</definedName>
    <definedName name="FDC_58_140" hidden="1">"#"</definedName>
    <definedName name="FDC_58_141" hidden="1">"#"</definedName>
    <definedName name="FDC_58_142" hidden="1">"#"</definedName>
    <definedName name="FDC_58_143" hidden="1">"#"</definedName>
    <definedName name="FDC_58_144" hidden="1">"#"</definedName>
    <definedName name="FDC_58_145" hidden="1">"#"</definedName>
    <definedName name="FDC_58_146" hidden="1">"#"</definedName>
    <definedName name="FDC_58_147" hidden="1">"#"</definedName>
    <definedName name="FDC_58_148" hidden="1">"#"</definedName>
    <definedName name="FDC_58_149" hidden="1">"#"</definedName>
    <definedName name="FDC_58_15" hidden="1">"#"</definedName>
    <definedName name="FDC_58_150" hidden="1">"#"</definedName>
    <definedName name="FDC_58_151" hidden="1">"#"</definedName>
    <definedName name="FDC_58_152" hidden="1">"#"</definedName>
    <definedName name="FDC_58_153" hidden="1">"#"</definedName>
    <definedName name="FDC_58_154" hidden="1">"#"</definedName>
    <definedName name="FDC_58_155" hidden="1">"#"</definedName>
    <definedName name="FDC_58_156" hidden="1">"#"</definedName>
    <definedName name="FDC_58_157" hidden="1">"#"</definedName>
    <definedName name="FDC_58_158" hidden="1">"#"</definedName>
    <definedName name="FDC_58_159" hidden="1">"#"</definedName>
    <definedName name="FDC_58_16" hidden="1">"#"</definedName>
    <definedName name="FDC_58_160" hidden="1">"#"</definedName>
    <definedName name="FDC_58_161" hidden="1">"#"</definedName>
    <definedName name="FDC_58_162" hidden="1">"#"</definedName>
    <definedName name="FDC_58_163" hidden="1">"#"</definedName>
    <definedName name="FDC_58_164" hidden="1">"#"</definedName>
    <definedName name="FDC_58_165" hidden="1">"#"</definedName>
    <definedName name="FDC_58_166" hidden="1">"#"</definedName>
    <definedName name="FDC_58_167" hidden="1">"#"</definedName>
    <definedName name="FDC_58_168" hidden="1">"#"</definedName>
    <definedName name="FDC_58_169" hidden="1">"#"</definedName>
    <definedName name="FDC_58_17" hidden="1">"#"</definedName>
    <definedName name="FDC_58_170" hidden="1">"#"</definedName>
    <definedName name="FDC_58_171" hidden="1">"#"</definedName>
    <definedName name="FDC_58_172" hidden="1">"#"</definedName>
    <definedName name="FDC_58_173" hidden="1">"#"</definedName>
    <definedName name="FDC_58_174" hidden="1">"#"</definedName>
    <definedName name="FDC_58_175" hidden="1">"#"</definedName>
    <definedName name="FDC_58_176" hidden="1">"#"</definedName>
    <definedName name="FDC_58_177" hidden="1">"#"</definedName>
    <definedName name="FDC_58_178" hidden="1">"#"</definedName>
    <definedName name="FDC_58_179" hidden="1">"#"</definedName>
    <definedName name="FDC_58_18" hidden="1">"#"</definedName>
    <definedName name="FDC_58_180" hidden="1">"#"</definedName>
    <definedName name="FDC_58_181" hidden="1">"#"</definedName>
    <definedName name="FDC_58_182" hidden="1">"#"</definedName>
    <definedName name="FDC_58_183" hidden="1">"#"</definedName>
    <definedName name="FDC_58_184" hidden="1">"#"</definedName>
    <definedName name="FDC_58_185" hidden="1">"#"</definedName>
    <definedName name="FDC_58_186" hidden="1">"#"</definedName>
    <definedName name="FDC_58_187" hidden="1">"#"</definedName>
    <definedName name="FDC_58_188" hidden="1">"#"</definedName>
    <definedName name="FDC_58_189" hidden="1">"#"</definedName>
    <definedName name="FDC_58_19" hidden="1">"#"</definedName>
    <definedName name="FDC_58_190" hidden="1">"#"</definedName>
    <definedName name="FDC_58_191" hidden="1">"#"</definedName>
    <definedName name="FDC_58_192" hidden="1">"#"</definedName>
    <definedName name="FDC_58_193" hidden="1">"#"</definedName>
    <definedName name="FDC_58_194" hidden="1">"#"</definedName>
    <definedName name="FDC_58_195" hidden="1">"#"</definedName>
    <definedName name="FDC_58_196" hidden="1">"#"</definedName>
    <definedName name="FDC_58_197" hidden="1">"#"</definedName>
    <definedName name="FDC_58_198" hidden="1">"#"</definedName>
    <definedName name="FDC_58_199" hidden="1">"#"</definedName>
    <definedName name="FDC_58_2" hidden="1">"#"</definedName>
    <definedName name="FDC_58_20" hidden="1">"#"</definedName>
    <definedName name="FDC_58_200" hidden="1">"#"</definedName>
    <definedName name="FDC_58_201" hidden="1">"#"</definedName>
    <definedName name="FDC_58_202" hidden="1">"#"</definedName>
    <definedName name="FDC_58_203" hidden="1">"#"</definedName>
    <definedName name="FDC_58_204" hidden="1">"#"</definedName>
    <definedName name="FDC_58_205" hidden="1">"#"</definedName>
    <definedName name="FDC_58_206" hidden="1">"#"</definedName>
    <definedName name="FDC_58_207" hidden="1">"#"</definedName>
    <definedName name="FDC_58_208" hidden="1">"#"</definedName>
    <definedName name="FDC_58_209" hidden="1">"#"</definedName>
    <definedName name="FDC_58_21" hidden="1">"#"</definedName>
    <definedName name="FDC_58_210" hidden="1">"#"</definedName>
    <definedName name="FDC_58_211" hidden="1">"#"</definedName>
    <definedName name="FDC_58_212" hidden="1">"#"</definedName>
    <definedName name="FDC_58_213" hidden="1">"#"</definedName>
    <definedName name="FDC_58_214" hidden="1">"#"</definedName>
    <definedName name="FDC_58_215" hidden="1">"#"</definedName>
    <definedName name="FDC_58_216" hidden="1">"#"</definedName>
    <definedName name="FDC_58_217" hidden="1">"#"</definedName>
    <definedName name="FDC_58_218" hidden="1">"#"</definedName>
    <definedName name="FDC_58_219" hidden="1">"#"</definedName>
    <definedName name="FDC_58_22" hidden="1">"#"</definedName>
    <definedName name="FDC_58_220" hidden="1">"#"</definedName>
    <definedName name="FDC_58_221" hidden="1">"#"</definedName>
    <definedName name="FDC_58_222" hidden="1">"#"</definedName>
    <definedName name="FDC_58_223" hidden="1">"#"</definedName>
    <definedName name="FDC_58_224" hidden="1">"#"</definedName>
    <definedName name="FDC_58_225" hidden="1">"#"</definedName>
    <definedName name="FDC_58_226" hidden="1">"#"</definedName>
    <definedName name="FDC_58_227" hidden="1">"#"</definedName>
    <definedName name="FDC_58_228" hidden="1">"#"</definedName>
    <definedName name="FDC_58_229" hidden="1">"#"</definedName>
    <definedName name="FDC_58_23" hidden="1">"#"</definedName>
    <definedName name="FDC_58_230" hidden="1">"#"</definedName>
    <definedName name="FDC_58_231" hidden="1">"#"</definedName>
    <definedName name="FDC_58_232" hidden="1">"#"</definedName>
    <definedName name="FDC_58_233" hidden="1">"#"</definedName>
    <definedName name="FDC_58_234" hidden="1">"#"</definedName>
    <definedName name="FDC_58_235" hidden="1">"#"</definedName>
    <definedName name="FDC_58_236" hidden="1">"#"</definedName>
    <definedName name="FDC_58_237" hidden="1">"#"</definedName>
    <definedName name="FDC_58_238" hidden="1">"#"</definedName>
    <definedName name="FDC_58_239" hidden="1">"#"</definedName>
    <definedName name="FDC_58_24" hidden="1">"#"</definedName>
    <definedName name="FDC_58_240" hidden="1">"#"</definedName>
    <definedName name="FDC_58_241" hidden="1">"#"</definedName>
    <definedName name="FDC_58_242" hidden="1">"#"</definedName>
    <definedName name="FDC_58_243" hidden="1">"#"</definedName>
    <definedName name="FDC_58_244" hidden="1">"#"</definedName>
    <definedName name="FDC_58_245" hidden="1">"#"</definedName>
    <definedName name="FDC_58_246" hidden="1">"#"</definedName>
    <definedName name="FDC_58_247" hidden="1">"#"</definedName>
    <definedName name="FDC_58_248" hidden="1">"#"</definedName>
    <definedName name="FDC_58_249" hidden="1">"#"</definedName>
    <definedName name="FDC_58_25" hidden="1">"#"</definedName>
    <definedName name="FDC_58_250" hidden="1">"#"</definedName>
    <definedName name="FDC_58_251" hidden="1">"#"</definedName>
    <definedName name="FDC_58_252" hidden="1">"#"</definedName>
    <definedName name="FDC_58_253" hidden="1">"#"</definedName>
    <definedName name="FDC_58_254" hidden="1">"#"</definedName>
    <definedName name="FDC_58_255" hidden="1">"#"</definedName>
    <definedName name="FDC_58_256" hidden="1">"#"</definedName>
    <definedName name="FDC_58_257" hidden="1">"#"</definedName>
    <definedName name="FDC_58_258" hidden="1">"#"</definedName>
    <definedName name="FDC_58_259" hidden="1">"#"</definedName>
    <definedName name="FDC_58_26" hidden="1">"#"</definedName>
    <definedName name="FDC_58_260" hidden="1">"#"</definedName>
    <definedName name="FDC_58_261" hidden="1">"#"</definedName>
    <definedName name="FDC_58_27" hidden="1">"#"</definedName>
    <definedName name="FDC_58_28" hidden="1">"#"</definedName>
    <definedName name="FDC_58_29" hidden="1">"#"</definedName>
    <definedName name="FDC_58_3" hidden="1">"#"</definedName>
    <definedName name="FDC_58_30" hidden="1">"#"</definedName>
    <definedName name="FDC_58_31" hidden="1">"#"</definedName>
    <definedName name="FDC_58_32" hidden="1">"#"</definedName>
    <definedName name="FDC_58_33" hidden="1">"#"</definedName>
    <definedName name="FDC_58_34" hidden="1">"#"</definedName>
    <definedName name="FDC_58_35" hidden="1">"#"</definedName>
    <definedName name="FDC_58_36" hidden="1">"#"</definedName>
    <definedName name="FDC_58_37" hidden="1">"#"</definedName>
    <definedName name="FDC_58_38" hidden="1">"#"</definedName>
    <definedName name="FDC_58_39" hidden="1">"#"</definedName>
    <definedName name="FDC_58_4" hidden="1">"#"</definedName>
    <definedName name="FDC_58_40" hidden="1">"#"</definedName>
    <definedName name="FDC_58_41" hidden="1">"#"</definedName>
    <definedName name="FDC_58_42" hidden="1">"#"</definedName>
    <definedName name="FDC_58_43" hidden="1">"#"</definedName>
    <definedName name="FDC_58_44" hidden="1">"#"</definedName>
    <definedName name="FDC_58_45" hidden="1">"#"</definedName>
    <definedName name="FDC_58_46" hidden="1">"#"</definedName>
    <definedName name="FDC_58_47" hidden="1">"#"</definedName>
    <definedName name="FDC_58_48" hidden="1">"#"</definedName>
    <definedName name="FDC_58_49" hidden="1">"#"</definedName>
    <definedName name="FDC_58_5" hidden="1">"#"</definedName>
    <definedName name="FDC_58_50" hidden="1">"#"</definedName>
    <definedName name="FDC_58_51" hidden="1">"#"</definedName>
    <definedName name="FDC_58_52" hidden="1">"#"</definedName>
    <definedName name="FDC_58_53" hidden="1">"#"</definedName>
    <definedName name="FDC_58_54" hidden="1">"#"</definedName>
    <definedName name="FDC_58_55" hidden="1">"#"</definedName>
    <definedName name="FDC_58_56" hidden="1">"#"</definedName>
    <definedName name="FDC_58_57" hidden="1">"#"</definedName>
    <definedName name="FDC_58_58" hidden="1">"#"</definedName>
    <definedName name="FDC_58_59" hidden="1">"#"</definedName>
    <definedName name="FDC_58_6" hidden="1">"#"</definedName>
    <definedName name="FDC_58_60" hidden="1">"#"</definedName>
    <definedName name="FDC_58_61" hidden="1">"#"</definedName>
    <definedName name="FDC_58_62" hidden="1">"#"</definedName>
    <definedName name="FDC_58_63" hidden="1">"#"</definedName>
    <definedName name="FDC_58_64" hidden="1">"#"</definedName>
    <definedName name="FDC_58_65" hidden="1">"#"</definedName>
    <definedName name="FDC_58_66" hidden="1">"#"</definedName>
    <definedName name="FDC_58_67" hidden="1">"#"</definedName>
    <definedName name="FDC_58_68" hidden="1">"#"</definedName>
    <definedName name="FDC_58_69" hidden="1">"#"</definedName>
    <definedName name="FDC_58_7" hidden="1">"#"</definedName>
    <definedName name="FDC_58_70" hidden="1">"#"</definedName>
    <definedName name="FDC_58_71" hidden="1">"#"</definedName>
    <definedName name="FDC_58_72" hidden="1">"#"</definedName>
    <definedName name="FDC_58_73" hidden="1">"#"</definedName>
    <definedName name="FDC_58_74" hidden="1">"#"</definedName>
    <definedName name="FDC_58_75" hidden="1">"#"</definedName>
    <definedName name="FDC_58_76" hidden="1">"#"</definedName>
    <definedName name="FDC_58_77" hidden="1">"#"</definedName>
    <definedName name="FDC_58_78" hidden="1">"#"</definedName>
    <definedName name="FDC_58_79" hidden="1">"#"</definedName>
    <definedName name="FDC_58_8" hidden="1">"#"</definedName>
    <definedName name="FDC_58_80" hidden="1">"#"</definedName>
    <definedName name="FDC_58_81" hidden="1">"#"</definedName>
    <definedName name="FDC_58_82" hidden="1">"#"</definedName>
    <definedName name="FDC_58_83" hidden="1">"#"</definedName>
    <definedName name="FDC_58_84" hidden="1">"#"</definedName>
    <definedName name="FDC_58_85" hidden="1">"#"</definedName>
    <definedName name="FDC_58_86" hidden="1">"#"</definedName>
    <definedName name="FDC_58_87" hidden="1">"#"</definedName>
    <definedName name="FDC_58_88" hidden="1">"#"</definedName>
    <definedName name="FDC_58_89" hidden="1">"#"</definedName>
    <definedName name="FDC_58_9" hidden="1">"#"</definedName>
    <definedName name="FDC_58_90" hidden="1">"#"</definedName>
    <definedName name="FDC_58_91" hidden="1">"#"</definedName>
    <definedName name="FDC_58_92" hidden="1">"#"</definedName>
    <definedName name="FDC_58_93" hidden="1">"#"</definedName>
    <definedName name="FDC_58_94" hidden="1">"#"</definedName>
    <definedName name="FDC_58_95" hidden="1">"#"</definedName>
    <definedName name="FDC_58_96" hidden="1">"#"</definedName>
    <definedName name="FDC_58_97" hidden="1">"#"</definedName>
    <definedName name="FDC_58_98" hidden="1">"#"</definedName>
    <definedName name="FDC_58_99" hidden="1">"#"</definedName>
    <definedName name="FDC_59_0" hidden="1">"#"</definedName>
    <definedName name="FDC_59_1" hidden="1">"#"</definedName>
    <definedName name="FDC_59_10" hidden="1">"#"</definedName>
    <definedName name="FDC_59_100" hidden="1">"#"</definedName>
    <definedName name="FDC_59_101" hidden="1">"#"</definedName>
    <definedName name="FDC_59_102" hidden="1">"#"</definedName>
    <definedName name="FDC_59_103" hidden="1">"#"</definedName>
    <definedName name="FDC_59_104" hidden="1">"#"</definedName>
    <definedName name="FDC_59_105" hidden="1">"#"</definedName>
    <definedName name="FDC_59_106" hidden="1">"#"</definedName>
    <definedName name="FDC_59_107" hidden="1">"#"</definedName>
    <definedName name="FDC_59_108" hidden="1">"#"</definedName>
    <definedName name="FDC_59_109" hidden="1">"#"</definedName>
    <definedName name="FDC_59_11" hidden="1">"#"</definedName>
    <definedName name="FDC_59_110" hidden="1">"#"</definedName>
    <definedName name="FDC_59_111" hidden="1">"#"</definedName>
    <definedName name="FDC_59_112" hidden="1">"#"</definedName>
    <definedName name="FDC_59_113" hidden="1">"#"</definedName>
    <definedName name="FDC_59_114" hidden="1">"#"</definedName>
    <definedName name="FDC_59_115" hidden="1">"#"</definedName>
    <definedName name="FDC_59_116" hidden="1">"#"</definedName>
    <definedName name="FDC_59_117" hidden="1">"#"</definedName>
    <definedName name="FDC_59_118" hidden="1">"#"</definedName>
    <definedName name="FDC_59_119" hidden="1">"#"</definedName>
    <definedName name="FDC_59_12" hidden="1">"#"</definedName>
    <definedName name="FDC_59_120" hidden="1">"#"</definedName>
    <definedName name="FDC_59_121" hidden="1">"#"</definedName>
    <definedName name="FDC_59_122" hidden="1">"#"</definedName>
    <definedName name="FDC_59_123" hidden="1">"#"</definedName>
    <definedName name="FDC_59_124" hidden="1">"#"</definedName>
    <definedName name="FDC_59_125" hidden="1">"#"</definedName>
    <definedName name="FDC_59_126" hidden="1">"#"</definedName>
    <definedName name="FDC_59_127" hidden="1">"#"</definedName>
    <definedName name="FDC_59_128" hidden="1">"#"</definedName>
    <definedName name="FDC_59_129" hidden="1">"#"</definedName>
    <definedName name="FDC_59_13" hidden="1">"#"</definedName>
    <definedName name="FDC_59_130" hidden="1">"#"</definedName>
    <definedName name="FDC_59_131" hidden="1">"#"</definedName>
    <definedName name="FDC_59_132" hidden="1">"#"</definedName>
    <definedName name="FDC_59_133" hidden="1">"#"</definedName>
    <definedName name="FDC_59_134" hidden="1">"#"</definedName>
    <definedName name="FDC_59_135" hidden="1">"#"</definedName>
    <definedName name="FDC_59_136" hidden="1">"#"</definedName>
    <definedName name="FDC_59_137" hidden="1">"#"</definedName>
    <definedName name="FDC_59_138" hidden="1">"#"</definedName>
    <definedName name="FDC_59_139" hidden="1">"#"</definedName>
    <definedName name="FDC_59_14" hidden="1">"#"</definedName>
    <definedName name="FDC_59_140" hidden="1">"#"</definedName>
    <definedName name="FDC_59_141" hidden="1">"#"</definedName>
    <definedName name="FDC_59_142" hidden="1">"#"</definedName>
    <definedName name="FDC_59_143" hidden="1">"#"</definedName>
    <definedName name="FDC_59_144" hidden="1">"#"</definedName>
    <definedName name="FDC_59_145" hidden="1">"#"</definedName>
    <definedName name="FDC_59_146" hidden="1">"#"</definedName>
    <definedName name="FDC_59_147" hidden="1">"#"</definedName>
    <definedName name="FDC_59_148" hidden="1">"#"</definedName>
    <definedName name="FDC_59_149" hidden="1">"#"</definedName>
    <definedName name="FDC_59_15" hidden="1">"#"</definedName>
    <definedName name="FDC_59_150" hidden="1">"#"</definedName>
    <definedName name="FDC_59_151" hidden="1">"#"</definedName>
    <definedName name="FDC_59_152" hidden="1">"#"</definedName>
    <definedName name="FDC_59_153" hidden="1">"#"</definedName>
    <definedName name="FDC_59_154" hidden="1">"#"</definedName>
    <definedName name="FDC_59_155" hidden="1">"#"</definedName>
    <definedName name="FDC_59_156" hidden="1">"#"</definedName>
    <definedName name="FDC_59_157" hidden="1">"#"</definedName>
    <definedName name="FDC_59_158" hidden="1">"#"</definedName>
    <definedName name="FDC_59_159" hidden="1">"#"</definedName>
    <definedName name="FDC_59_16" hidden="1">"#"</definedName>
    <definedName name="FDC_59_160" hidden="1">"#"</definedName>
    <definedName name="FDC_59_161" hidden="1">"#"</definedName>
    <definedName name="FDC_59_162" hidden="1">"#"</definedName>
    <definedName name="FDC_59_163" hidden="1">"#"</definedName>
    <definedName name="FDC_59_164" hidden="1">"#"</definedName>
    <definedName name="FDC_59_165" hidden="1">"#"</definedName>
    <definedName name="FDC_59_166" hidden="1">"#"</definedName>
    <definedName name="FDC_59_167" hidden="1">"#"</definedName>
    <definedName name="FDC_59_168" hidden="1">"#"</definedName>
    <definedName name="FDC_59_169" hidden="1">"#"</definedName>
    <definedName name="FDC_59_17" hidden="1">"#"</definedName>
    <definedName name="FDC_59_170" hidden="1">"#"</definedName>
    <definedName name="FDC_59_171" hidden="1">"#"</definedName>
    <definedName name="FDC_59_172" hidden="1">"#"</definedName>
    <definedName name="FDC_59_173" hidden="1">"#"</definedName>
    <definedName name="FDC_59_174" hidden="1">"#"</definedName>
    <definedName name="FDC_59_175" hidden="1">"#"</definedName>
    <definedName name="FDC_59_176" hidden="1">"#"</definedName>
    <definedName name="FDC_59_177" hidden="1">"#"</definedName>
    <definedName name="FDC_59_178" hidden="1">"#"</definedName>
    <definedName name="FDC_59_179" hidden="1">"#"</definedName>
    <definedName name="FDC_59_18" hidden="1">"#"</definedName>
    <definedName name="FDC_59_180" hidden="1">"#"</definedName>
    <definedName name="FDC_59_181" hidden="1">"#"</definedName>
    <definedName name="FDC_59_182" hidden="1">"#"</definedName>
    <definedName name="FDC_59_183" hidden="1">"#"</definedName>
    <definedName name="FDC_59_184" hidden="1">"#"</definedName>
    <definedName name="FDC_59_185" hidden="1">"#"</definedName>
    <definedName name="FDC_59_186" hidden="1">"#"</definedName>
    <definedName name="FDC_59_187" hidden="1">"#"</definedName>
    <definedName name="FDC_59_188" hidden="1">"#"</definedName>
    <definedName name="FDC_59_189" hidden="1">"#"</definedName>
    <definedName name="FDC_59_19" hidden="1">"#"</definedName>
    <definedName name="FDC_59_190" hidden="1">"#"</definedName>
    <definedName name="FDC_59_191" hidden="1">"#"</definedName>
    <definedName name="FDC_59_192" hidden="1">"#"</definedName>
    <definedName name="FDC_59_193" hidden="1">"#"</definedName>
    <definedName name="FDC_59_194" hidden="1">"#"</definedName>
    <definedName name="FDC_59_195" hidden="1">"#"</definedName>
    <definedName name="FDC_59_196" hidden="1">"#"</definedName>
    <definedName name="FDC_59_197" hidden="1">"#"</definedName>
    <definedName name="FDC_59_198" hidden="1">"#"</definedName>
    <definedName name="FDC_59_199" hidden="1">"#"</definedName>
    <definedName name="FDC_59_2" hidden="1">"#"</definedName>
    <definedName name="FDC_59_20" hidden="1">"#"</definedName>
    <definedName name="FDC_59_200" hidden="1">"#"</definedName>
    <definedName name="FDC_59_201" hidden="1">"#"</definedName>
    <definedName name="FDC_59_202" hidden="1">"#"</definedName>
    <definedName name="FDC_59_203" hidden="1">"#"</definedName>
    <definedName name="FDC_59_204" hidden="1">"#"</definedName>
    <definedName name="FDC_59_205" hidden="1">"#"</definedName>
    <definedName name="FDC_59_206" hidden="1">"#"</definedName>
    <definedName name="FDC_59_207" hidden="1">"#"</definedName>
    <definedName name="FDC_59_208" hidden="1">"#"</definedName>
    <definedName name="FDC_59_209" hidden="1">"#"</definedName>
    <definedName name="FDC_59_21" hidden="1">"#"</definedName>
    <definedName name="FDC_59_210" hidden="1">"#"</definedName>
    <definedName name="FDC_59_211" hidden="1">"#"</definedName>
    <definedName name="FDC_59_212" hidden="1">"#"</definedName>
    <definedName name="FDC_59_213" hidden="1">"#"</definedName>
    <definedName name="FDC_59_214" hidden="1">"#"</definedName>
    <definedName name="FDC_59_215" hidden="1">"#"</definedName>
    <definedName name="FDC_59_216" hidden="1">"#"</definedName>
    <definedName name="FDC_59_217" hidden="1">"#"</definedName>
    <definedName name="FDC_59_218" hidden="1">"#"</definedName>
    <definedName name="FDC_59_219" hidden="1">"#"</definedName>
    <definedName name="FDC_59_22" hidden="1">"#"</definedName>
    <definedName name="FDC_59_220" hidden="1">"#"</definedName>
    <definedName name="FDC_59_221" hidden="1">"#"</definedName>
    <definedName name="FDC_59_222" hidden="1">"#"</definedName>
    <definedName name="FDC_59_223" hidden="1">"#"</definedName>
    <definedName name="FDC_59_224" hidden="1">"#"</definedName>
    <definedName name="FDC_59_225" hidden="1">"#"</definedName>
    <definedName name="FDC_59_226" hidden="1">"#"</definedName>
    <definedName name="FDC_59_227" hidden="1">"#"</definedName>
    <definedName name="FDC_59_228" hidden="1">"#"</definedName>
    <definedName name="FDC_59_229" hidden="1">"#"</definedName>
    <definedName name="FDC_59_23" hidden="1">"#"</definedName>
    <definedName name="FDC_59_230" hidden="1">"#"</definedName>
    <definedName name="FDC_59_231" hidden="1">"#"</definedName>
    <definedName name="FDC_59_232" hidden="1">"#"</definedName>
    <definedName name="FDC_59_233" hidden="1">"#"</definedName>
    <definedName name="FDC_59_234" hidden="1">"#"</definedName>
    <definedName name="FDC_59_235" hidden="1">"#"</definedName>
    <definedName name="FDC_59_236" hidden="1">"#"</definedName>
    <definedName name="FDC_59_237" hidden="1">"#"</definedName>
    <definedName name="FDC_59_238" hidden="1">"#"</definedName>
    <definedName name="FDC_59_239" hidden="1">"#"</definedName>
    <definedName name="FDC_59_24" hidden="1">"#"</definedName>
    <definedName name="FDC_59_240" hidden="1">"#"</definedName>
    <definedName name="FDC_59_241" hidden="1">"#"</definedName>
    <definedName name="FDC_59_242" hidden="1">"#"</definedName>
    <definedName name="FDC_59_243" hidden="1">"#"</definedName>
    <definedName name="FDC_59_244" hidden="1">"#"</definedName>
    <definedName name="FDC_59_245" hidden="1">"#"</definedName>
    <definedName name="FDC_59_246" hidden="1">"#"</definedName>
    <definedName name="FDC_59_247" hidden="1">"#"</definedName>
    <definedName name="FDC_59_248" hidden="1">"#"</definedName>
    <definedName name="FDC_59_249" hidden="1">"#"</definedName>
    <definedName name="FDC_59_25" hidden="1">"#"</definedName>
    <definedName name="FDC_59_250" hidden="1">"#"</definedName>
    <definedName name="FDC_59_251" hidden="1">"#"</definedName>
    <definedName name="FDC_59_252" hidden="1">"#"</definedName>
    <definedName name="FDC_59_253" hidden="1">"#"</definedName>
    <definedName name="FDC_59_254" hidden="1">"#"</definedName>
    <definedName name="FDC_59_255" hidden="1">"#"</definedName>
    <definedName name="FDC_59_256" hidden="1">"#"</definedName>
    <definedName name="FDC_59_257" hidden="1">"#"</definedName>
    <definedName name="FDC_59_258" hidden="1">"#"</definedName>
    <definedName name="FDC_59_259" hidden="1">"#"</definedName>
    <definedName name="FDC_59_26" hidden="1">"#"</definedName>
    <definedName name="FDC_59_260" hidden="1">"#"</definedName>
    <definedName name="FDC_59_261" hidden="1">"#"</definedName>
    <definedName name="FDC_59_27" hidden="1">"#"</definedName>
    <definedName name="FDC_59_28" hidden="1">"#"</definedName>
    <definedName name="FDC_59_29" hidden="1">"#"</definedName>
    <definedName name="FDC_59_3" hidden="1">"#"</definedName>
    <definedName name="FDC_59_30" hidden="1">"#"</definedName>
    <definedName name="FDC_59_31" hidden="1">"#"</definedName>
    <definedName name="FDC_59_32" hidden="1">"#"</definedName>
    <definedName name="FDC_59_33" hidden="1">"#"</definedName>
    <definedName name="FDC_59_34" hidden="1">"#"</definedName>
    <definedName name="FDC_59_35" hidden="1">"#"</definedName>
    <definedName name="FDC_59_36" hidden="1">"#"</definedName>
    <definedName name="FDC_59_37" hidden="1">"#"</definedName>
    <definedName name="FDC_59_38" hidden="1">"#"</definedName>
    <definedName name="FDC_59_39" hidden="1">"#"</definedName>
    <definedName name="FDC_59_4" hidden="1">"#"</definedName>
    <definedName name="FDC_59_40" hidden="1">"#"</definedName>
    <definedName name="FDC_59_41" hidden="1">"#"</definedName>
    <definedName name="FDC_59_42" hidden="1">"#"</definedName>
    <definedName name="FDC_59_43" hidden="1">"#"</definedName>
    <definedName name="FDC_59_44" hidden="1">"#"</definedName>
    <definedName name="FDC_59_45" hidden="1">"#"</definedName>
    <definedName name="FDC_59_46" hidden="1">"#"</definedName>
    <definedName name="FDC_59_47" hidden="1">"#"</definedName>
    <definedName name="FDC_59_48" hidden="1">"#"</definedName>
    <definedName name="FDC_59_49" hidden="1">"#"</definedName>
    <definedName name="FDC_59_5" hidden="1">"#"</definedName>
    <definedName name="FDC_59_50" hidden="1">"#"</definedName>
    <definedName name="FDC_59_51" hidden="1">"#"</definedName>
    <definedName name="FDC_59_52" hidden="1">"#"</definedName>
    <definedName name="FDC_59_53" hidden="1">"#"</definedName>
    <definedName name="FDC_59_54" hidden="1">"#"</definedName>
    <definedName name="FDC_59_55" hidden="1">"#"</definedName>
    <definedName name="FDC_59_56" hidden="1">"#"</definedName>
    <definedName name="FDC_59_57" hidden="1">"#"</definedName>
    <definedName name="FDC_59_58" hidden="1">"#"</definedName>
    <definedName name="FDC_59_59" hidden="1">"#"</definedName>
    <definedName name="FDC_59_6" hidden="1">"#"</definedName>
    <definedName name="FDC_59_60" hidden="1">"#"</definedName>
    <definedName name="FDC_59_61" hidden="1">"#"</definedName>
    <definedName name="FDC_59_62" hidden="1">"#"</definedName>
    <definedName name="FDC_59_63" hidden="1">"#"</definedName>
    <definedName name="FDC_59_64" hidden="1">"#"</definedName>
    <definedName name="FDC_59_65" hidden="1">"#"</definedName>
    <definedName name="FDC_59_66" hidden="1">"#"</definedName>
    <definedName name="FDC_59_67" hidden="1">"#"</definedName>
    <definedName name="FDC_59_68" hidden="1">"#"</definedName>
    <definedName name="FDC_59_69" hidden="1">"#"</definedName>
    <definedName name="FDC_59_7" hidden="1">"#"</definedName>
    <definedName name="FDC_59_70" hidden="1">"#"</definedName>
    <definedName name="FDC_59_71" hidden="1">"#"</definedName>
    <definedName name="FDC_59_72" hidden="1">"#"</definedName>
    <definedName name="FDC_59_73" hidden="1">"#"</definedName>
    <definedName name="FDC_59_74" hidden="1">"#"</definedName>
    <definedName name="FDC_59_75" hidden="1">"#"</definedName>
    <definedName name="FDC_59_76" hidden="1">"#"</definedName>
    <definedName name="FDC_59_77" hidden="1">"#"</definedName>
    <definedName name="FDC_59_78" hidden="1">"#"</definedName>
    <definedName name="FDC_59_79" hidden="1">"#"</definedName>
    <definedName name="FDC_59_8" hidden="1">"#"</definedName>
    <definedName name="FDC_59_80" hidden="1">"#"</definedName>
    <definedName name="FDC_59_81" hidden="1">"#"</definedName>
    <definedName name="FDC_59_82" hidden="1">"#"</definedName>
    <definedName name="FDC_59_83" hidden="1">"#"</definedName>
    <definedName name="FDC_59_84" hidden="1">"#"</definedName>
    <definedName name="FDC_59_85" hidden="1">"#"</definedName>
    <definedName name="FDC_59_86" hidden="1">"#"</definedName>
    <definedName name="FDC_59_87" hidden="1">"#"</definedName>
    <definedName name="FDC_59_88" hidden="1">"#"</definedName>
    <definedName name="FDC_59_89" hidden="1">"#"</definedName>
    <definedName name="FDC_59_9" hidden="1">"#"</definedName>
    <definedName name="FDC_59_90" hidden="1">"#"</definedName>
    <definedName name="FDC_59_91" hidden="1">"#"</definedName>
    <definedName name="FDC_59_92" hidden="1">"#"</definedName>
    <definedName name="FDC_59_93" hidden="1">"#"</definedName>
    <definedName name="FDC_59_94" hidden="1">"#"</definedName>
    <definedName name="FDC_59_95" hidden="1">"#"</definedName>
    <definedName name="FDC_59_96" hidden="1">"#"</definedName>
    <definedName name="FDC_59_97" hidden="1">"#"</definedName>
    <definedName name="FDC_59_98" hidden="1">"#"</definedName>
    <definedName name="FDC_59_99" hidden="1">"#"</definedName>
    <definedName name="FDC_6_0" hidden="1">"#"</definedName>
    <definedName name="FDC_6_1" hidden="1">"#"</definedName>
    <definedName name="FDC_6_2" hidden="1">"#"</definedName>
    <definedName name="FDC_6_3" hidden="1">"#"</definedName>
    <definedName name="FDC_60_0" hidden="1">"#"</definedName>
    <definedName name="FDC_60_1" hidden="1">"#"</definedName>
    <definedName name="FDC_60_10" hidden="1">"#"</definedName>
    <definedName name="FDC_60_100" hidden="1">"#"</definedName>
    <definedName name="FDC_60_101" hidden="1">"#"</definedName>
    <definedName name="FDC_60_102" hidden="1">"#"</definedName>
    <definedName name="FDC_60_103" hidden="1">"#"</definedName>
    <definedName name="FDC_60_104" hidden="1">"#"</definedName>
    <definedName name="FDC_60_105" hidden="1">"#"</definedName>
    <definedName name="FDC_60_106" hidden="1">"#"</definedName>
    <definedName name="FDC_60_107" hidden="1">"#"</definedName>
    <definedName name="FDC_60_108" hidden="1">"#"</definedName>
    <definedName name="FDC_60_109" hidden="1">"#"</definedName>
    <definedName name="FDC_60_11" hidden="1">"#"</definedName>
    <definedName name="FDC_60_110" hidden="1">"#"</definedName>
    <definedName name="FDC_60_111" hidden="1">"#"</definedName>
    <definedName name="FDC_60_112" hidden="1">"#"</definedName>
    <definedName name="FDC_60_113" hidden="1">"#"</definedName>
    <definedName name="FDC_60_114" hidden="1">"#"</definedName>
    <definedName name="FDC_60_115" hidden="1">"#"</definedName>
    <definedName name="FDC_60_116" hidden="1">"#"</definedName>
    <definedName name="FDC_60_117" hidden="1">"#"</definedName>
    <definedName name="FDC_60_118" hidden="1">"#"</definedName>
    <definedName name="FDC_60_119" hidden="1">"#"</definedName>
    <definedName name="FDC_60_12" hidden="1">"#"</definedName>
    <definedName name="FDC_60_120" hidden="1">"#"</definedName>
    <definedName name="FDC_60_121" hidden="1">"#"</definedName>
    <definedName name="FDC_60_122" hidden="1">"#"</definedName>
    <definedName name="FDC_60_123" hidden="1">"#"</definedName>
    <definedName name="FDC_60_124" hidden="1">"#"</definedName>
    <definedName name="FDC_60_125" hidden="1">"#"</definedName>
    <definedName name="FDC_60_126" hidden="1">"#"</definedName>
    <definedName name="FDC_60_127" hidden="1">"#"</definedName>
    <definedName name="FDC_60_128" hidden="1">"#"</definedName>
    <definedName name="FDC_60_129" hidden="1">"#"</definedName>
    <definedName name="FDC_60_13" hidden="1">"#"</definedName>
    <definedName name="FDC_60_130" hidden="1">"#"</definedName>
    <definedName name="FDC_60_131" hidden="1">"#"</definedName>
    <definedName name="FDC_60_132" hidden="1">"#"</definedName>
    <definedName name="FDC_60_133" hidden="1">"#"</definedName>
    <definedName name="FDC_60_134" hidden="1">"#"</definedName>
    <definedName name="FDC_60_135" hidden="1">"#"</definedName>
    <definedName name="FDC_60_136" hidden="1">"#"</definedName>
    <definedName name="FDC_60_137" hidden="1">"#"</definedName>
    <definedName name="FDC_60_138" hidden="1">"#"</definedName>
    <definedName name="FDC_60_139" hidden="1">"#"</definedName>
    <definedName name="FDC_60_14" hidden="1">"#"</definedName>
    <definedName name="FDC_60_140" hidden="1">"#"</definedName>
    <definedName name="FDC_60_141" hidden="1">"#"</definedName>
    <definedName name="FDC_60_142" hidden="1">"#"</definedName>
    <definedName name="FDC_60_143" hidden="1">"#"</definedName>
    <definedName name="FDC_60_144" hidden="1">"#"</definedName>
    <definedName name="FDC_60_145" hidden="1">"#"</definedName>
    <definedName name="FDC_60_146" hidden="1">"#"</definedName>
    <definedName name="FDC_60_147" hidden="1">"#"</definedName>
    <definedName name="FDC_60_148" hidden="1">"#"</definedName>
    <definedName name="FDC_60_149" hidden="1">"#"</definedName>
    <definedName name="FDC_60_15" hidden="1">"#"</definedName>
    <definedName name="FDC_60_150" hidden="1">"#"</definedName>
    <definedName name="FDC_60_151" hidden="1">"#"</definedName>
    <definedName name="FDC_60_152" hidden="1">"#"</definedName>
    <definedName name="FDC_60_153" hidden="1">"#"</definedName>
    <definedName name="FDC_60_154" hidden="1">"#"</definedName>
    <definedName name="FDC_60_155" hidden="1">"#"</definedName>
    <definedName name="FDC_60_156" hidden="1">"#"</definedName>
    <definedName name="FDC_60_157" hidden="1">"#"</definedName>
    <definedName name="FDC_60_158" hidden="1">"#"</definedName>
    <definedName name="FDC_60_159" hidden="1">"#"</definedName>
    <definedName name="FDC_60_16" hidden="1">"#"</definedName>
    <definedName name="FDC_60_160" hidden="1">"#"</definedName>
    <definedName name="FDC_60_161" hidden="1">"#"</definedName>
    <definedName name="FDC_60_162" hidden="1">"#"</definedName>
    <definedName name="FDC_60_163" hidden="1">"#"</definedName>
    <definedName name="FDC_60_164" hidden="1">"#"</definedName>
    <definedName name="FDC_60_165" hidden="1">"#"</definedName>
    <definedName name="FDC_60_166" hidden="1">"#"</definedName>
    <definedName name="FDC_60_167" hidden="1">"#"</definedName>
    <definedName name="FDC_60_168" hidden="1">"#"</definedName>
    <definedName name="FDC_60_169" hidden="1">"#"</definedName>
    <definedName name="FDC_60_17" hidden="1">"#"</definedName>
    <definedName name="FDC_60_170" hidden="1">"#"</definedName>
    <definedName name="FDC_60_171" hidden="1">"#"</definedName>
    <definedName name="FDC_60_172" hidden="1">"#"</definedName>
    <definedName name="FDC_60_173" hidden="1">"#"</definedName>
    <definedName name="FDC_60_174" hidden="1">"#"</definedName>
    <definedName name="FDC_60_175" hidden="1">"#"</definedName>
    <definedName name="FDC_60_176" hidden="1">"#"</definedName>
    <definedName name="FDC_60_177" hidden="1">"#"</definedName>
    <definedName name="FDC_60_178" hidden="1">"#"</definedName>
    <definedName name="FDC_60_179" hidden="1">"#"</definedName>
    <definedName name="FDC_60_18" hidden="1">"#"</definedName>
    <definedName name="FDC_60_180" hidden="1">"#"</definedName>
    <definedName name="FDC_60_181" hidden="1">"#"</definedName>
    <definedName name="FDC_60_182" hidden="1">"#"</definedName>
    <definedName name="FDC_60_183" hidden="1">"#"</definedName>
    <definedName name="FDC_60_184" hidden="1">"#"</definedName>
    <definedName name="FDC_60_185" hidden="1">"#"</definedName>
    <definedName name="FDC_60_186" hidden="1">"#"</definedName>
    <definedName name="FDC_60_187" hidden="1">"#"</definedName>
    <definedName name="FDC_60_188" hidden="1">"#"</definedName>
    <definedName name="FDC_60_189" hidden="1">"#"</definedName>
    <definedName name="FDC_60_19" hidden="1">"#"</definedName>
    <definedName name="FDC_60_190" hidden="1">"#"</definedName>
    <definedName name="FDC_60_191" hidden="1">"#"</definedName>
    <definedName name="FDC_60_192" hidden="1">"#"</definedName>
    <definedName name="FDC_60_193" hidden="1">"#"</definedName>
    <definedName name="FDC_60_194" hidden="1">"#"</definedName>
    <definedName name="FDC_60_195" hidden="1">"#"</definedName>
    <definedName name="FDC_60_196" hidden="1">"#"</definedName>
    <definedName name="FDC_60_197" hidden="1">"#"</definedName>
    <definedName name="FDC_60_198" hidden="1">"#"</definedName>
    <definedName name="FDC_60_199" hidden="1">"#"</definedName>
    <definedName name="FDC_60_2" hidden="1">"#"</definedName>
    <definedName name="FDC_60_20" hidden="1">"#"</definedName>
    <definedName name="FDC_60_200" hidden="1">"#"</definedName>
    <definedName name="FDC_60_201" hidden="1">"#"</definedName>
    <definedName name="FDC_60_202" hidden="1">"#"</definedName>
    <definedName name="FDC_60_203" hidden="1">"#"</definedName>
    <definedName name="FDC_60_204" hidden="1">"#"</definedName>
    <definedName name="FDC_60_205" hidden="1">"#"</definedName>
    <definedName name="FDC_60_206" hidden="1">"#"</definedName>
    <definedName name="FDC_60_207" hidden="1">"#"</definedName>
    <definedName name="FDC_60_208" hidden="1">"#"</definedName>
    <definedName name="FDC_60_209" hidden="1">"#"</definedName>
    <definedName name="FDC_60_21" hidden="1">"#"</definedName>
    <definedName name="FDC_60_210" hidden="1">"#"</definedName>
    <definedName name="FDC_60_211" hidden="1">"#"</definedName>
    <definedName name="FDC_60_212" hidden="1">"#"</definedName>
    <definedName name="FDC_60_213" hidden="1">"#"</definedName>
    <definedName name="FDC_60_214" hidden="1">"#"</definedName>
    <definedName name="FDC_60_215" hidden="1">"#"</definedName>
    <definedName name="FDC_60_216" hidden="1">"#"</definedName>
    <definedName name="FDC_60_217" hidden="1">"#"</definedName>
    <definedName name="FDC_60_218" hidden="1">"#"</definedName>
    <definedName name="FDC_60_219" hidden="1">"#"</definedName>
    <definedName name="FDC_60_22" hidden="1">"#"</definedName>
    <definedName name="FDC_60_220" hidden="1">"#"</definedName>
    <definedName name="FDC_60_221" hidden="1">"#"</definedName>
    <definedName name="FDC_60_222" hidden="1">"#"</definedName>
    <definedName name="FDC_60_223" hidden="1">"#"</definedName>
    <definedName name="FDC_60_224" hidden="1">"#"</definedName>
    <definedName name="FDC_60_225" hidden="1">"#"</definedName>
    <definedName name="FDC_60_226" hidden="1">"#"</definedName>
    <definedName name="FDC_60_227" hidden="1">"#"</definedName>
    <definedName name="FDC_60_228" hidden="1">"#"</definedName>
    <definedName name="FDC_60_229" hidden="1">"#"</definedName>
    <definedName name="FDC_60_23" hidden="1">"#"</definedName>
    <definedName name="FDC_60_230" hidden="1">"#"</definedName>
    <definedName name="FDC_60_231" hidden="1">"#"</definedName>
    <definedName name="FDC_60_232" hidden="1">"#"</definedName>
    <definedName name="FDC_60_233" hidden="1">"#"</definedName>
    <definedName name="FDC_60_234" hidden="1">"#"</definedName>
    <definedName name="FDC_60_235" hidden="1">"#"</definedName>
    <definedName name="FDC_60_236" hidden="1">"#"</definedName>
    <definedName name="FDC_60_237" hidden="1">"#"</definedName>
    <definedName name="FDC_60_238" hidden="1">"#"</definedName>
    <definedName name="FDC_60_239" hidden="1">"#"</definedName>
    <definedName name="FDC_60_24" hidden="1">"#"</definedName>
    <definedName name="FDC_60_240" hidden="1">"#"</definedName>
    <definedName name="FDC_60_241" hidden="1">"#"</definedName>
    <definedName name="FDC_60_242" hidden="1">"#"</definedName>
    <definedName name="FDC_60_243" hidden="1">"#"</definedName>
    <definedName name="FDC_60_244" hidden="1">"#"</definedName>
    <definedName name="FDC_60_245" hidden="1">"#"</definedName>
    <definedName name="FDC_60_246" hidden="1">"#"</definedName>
    <definedName name="FDC_60_247" hidden="1">"#"</definedName>
    <definedName name="FDC_60_248" hidden="1">"#"</definedName>
    <definedName name="FDC_60_249" hidden="1">"#"</definedName>
    <definedName name="FDC_60_25" hidden="1">"#"</definedName>
    <definedName name="FDC_60_250" hidden="1">"#"</definedName>
    <definedName name="FDC_60_251" hidden="1">"#"</definedName>
    <definedName name="FDC_60_252" hidden="1">"#"</definedName>
    <definedName name="FDC_60_253" hidden="1">"#"</definedName>
    <definedName name="FDC_60_254" hidden="1">"#"</definedName>
    <definedName name="FDC_60_255" hidden="1">"#"</definedName>
    <definedName name="FDC_60_256" hidden="1">"#"</definedName>
    <definedName name="FDC_60_257" hidden="1">"#"</definedName>
    <definedName name="FDC_60_258" hidden="1">"#"</definedName>
    <definedName name="FDC_60_259" hidden="1">"#"</definedName>
    <definedName name="FDC_60_26" hidden="1">"#"</definedName>
    <definedName name="FDC_60_260" hidden="1">"#"</definedName>
    <definedName name="FDC_60_261" hidden="1">"#"</definedName>
    <definedName name="FDC_60_27" hidden="1">"#"</definedName>
    <definedName name="FDC_60_28" hidden="1">"#"</definedName>
    <definedName name="FDC_60_29" hidden="1">"#"</definedName>
    <definedName name="FDC_60_3" hidden="1">"#"</definedName>
    <definedName name="FDC_60_30" hidden="1">"#"</definedName>
    <definedName name="FDC_60_31" hidden="1">"#"</definedName>
    <definedName name="FDC_60_32" hidden="1">"#"</definedName>
    <definedName name="FDC_60_33" hidden="1">"#"</definedName>
    <definedName name="FDC_60_34" hidden="1">"#"</definedName>
    <definedName name="FDC_60_35" hidden="1">"#"</definedName>
    <definedName name="FDC_60_36" hidden="1">"#"</definedName>
    <definedName name="FDC_60_37" hidden="1">"#"</definedName>
    <definedName name="FDC_60_38" hidden="1">"#"</definedName>
    <definedName name="FDC_60_39" hidden="1">"#"</definedName>
    <definedName name="FDC_60_4" hidden="1">"#"</definedName>
    <definedName name="FDC_60_40" hidden="1">"#"</definedName>
    <definedName name="FDC_60_41" hidden="1">"#"</definedName>
    <definedName name="FDC_60_42" hidden="1">"#"</definedName>
    <definedName name="FDC_60_43" hidden="1">"#"</definedName>
    <definedName name="FDC_60_44" hidden="1">"#"</definedName>
    <definedName name="FDC_60_45" hidden="1">"#"</definedName>
    <definedName name="FDC_60_46" hidden="1">"#"</definedName>
    <definedName name="FDC_60_47" hidden="1">"#"</definedName>
    <definedName name="FDC_60_48" hidden="1">"#"</definedName>
    <definedName name="FDC_60_49" hidden="1">"#"</definedName>
    <definedName name="FDC_60_5" hidden="1">"#"</definedName>
    <definedName name="FDC_60_50" hidden="1">"#"</definedName>
    <definedName name="FDC_60_51" hidden="1">"#"</definedName>
    <definedName name="FDC_60_52" hidden="1">"#"</definedName>
    <definedName name="FDC_60_53" hidden="1">"#"</definedName>
    <definedName name="FDC_60_54" hidden="1">"#"</definedName>
    <definedName name="FDC_60_55" hidden="1">"#"</definedName>
    <definedName name="FDC_60_56" hidden="1">"#"</definedName>
    <definedName name="FDC_60_57" hidden="1">"#"</definedName>
    <definedName name="FDC_60_58" hidden="1">"#"</definedName>
    <definedName name="FDC_60_59" hidden="1">"#"</definedName>
    <definedName name="FDC_60_6" hidden="1">"#"</definedName>
    <definedName name="FDC_60_60" hidden="1">"#"</definedName>
    <definedName name="FDC_60_61" hidden="1">"#"</definedName>
    <definedName name="FDC_60_62" hidden="1">"#"</definedName>
    <definedName name="FDC_60_63" hidden="1">"#"</definedName>
    <definedName name="FDC_60_64" hidden="1">"#"</definedName>
    <definedName name="FDC_60_65" hidden="1">"#"</definedName>
    <definedName name="FDC_60_66" hidden="1">"#"</definedName>
    <definedName name="FDC_60_67" hidden="1">"#"</definedName>
    <definedName name="FDC_60_68" hidden="1">"#"</definedName>
    <definedName name="FDC_60_69" hidden="1">"#"</definedName>
    <definedName name="FDC_60_7" hidden="1">"#"</definedName>
    <definedName name="FDC_60_70" hidden="1">"#"</definedName>
    <definedName name="FDC_60_71" hidden="1">"#"</definedName>
    <definedName name="FDC_60_72" hidden="1">"#"</definedName>
    <definedName name="FDC_60_73" hidden="1">"#"</definedName>
    <definedName name="FDC_60_74" hidden="1">"#"</definedName>
    <definedName name="FDC_60_75" hidden="1">"#"</definedName>
    <definedName name="FDC_60_76" hidden="1">"#"</definedName>
    <definedName name="FDC_60_77" hidden="1">"#"</definedName>
    <definedName name="FDC_60_78" hidden="1">"#"</definedName>
    <definedName name="FDC_60_79" hidden="1">"#"</definedName>
    <definedName name="FDC_60_8" hidden="1">"#"</definedName>
    <definedName name="FDC_60_80" hidden="1">"#"</definedName>
    <definedName name="FDC_60_81" hidden="1">"#"</definedName>
    <definedName name="FDC_60_82" hidden="1">"#"</definedName>
    <definedName name="FDC_60_83" hidden="1">"#"</definedName>
    <definedName name="FDC_60_84" hidden="1">"#"</definedName>
    <definedName name="FDC_60_85" hidden="1">"#"</definedName>
    <definedName name="FDC_60_86" hidden="1">"#"</definedName>
    <definedName name="FDC_60_87" hidden="1">"#"</definedName>
    <definedName name="FDC_60_88" hidden="1">"#"</definedName>
    <definedName name="FDC_60_89" hidden="1">"#"</definedName>
    <definedName name="FDC_60_9" hidden="1">"#"</definedName>
    <definedName name="FDC_60_90" hidden="1">"#"</definedName>
    <definedName name="FDC_60_91" hidden="1">"#"</definedName>
    <definedName name="FDC_60_92" hidden="1">"#"</definedName>
    <definedName name="FDC_60_93" hidden="1">"#"</definedName>
    <definedName name="FDC_60_94" hidden="1">"#"</definedName>
    <definedName name="FDC_60_95" hidden="1">"#"</definedName>
    <definedName name="FDC_60_96" hidden="1">"#"</definedName>
    <definedName name="FDC_60_97" hidden="1">"#"</definedName>
    <definedName name="FDC_60_98" hidden="1">"#"</definedName>
    <definedName name="FDC_60_99" hidden="1">"#"</definedName>
    <definedName name="FDC_61_0" hidden="1">"#"</definedName>
    <definedName name="FDC_62_0" hidden="1">"#"</definedName>
    <definedName name="FDC_62_1" hidden="1">"#"</definedName>
    <definedName name="FDC_62_10" hidden="1">"#"</definedName>
    <definedName name="FDC_62_100" hidden="1">"#"</definedName>
    <definedName name="FDC_62_101" hidden="1">"#"</definedName>
    <definedName name="FDC_62_102" hidden="1">"#"</definedName>
    <definedName name="FDC_62_103" hidden="1">"#"</definedName>
    <definedName name="FDC_62_104" hidden="1">"#"</definedName>
    <definedName name="FDC_62_105" hidden="1">"#"</definedName>
    <definedName name="FDC_62_106" hidden="1">"#"</definedName>
    <definedName name="FDC_62_107" hidden="1">"#"</definedName>
    <definedName name="FDC_62_108" hidden="1">"#"</definedName>
    <definedName name="FDC_62_109" hidden="1">"#"</definedName>
    <definedName name="FDC_62_11" hidden="1">"#"</definedName>
    <definedName name="FDC_62_110" hidden="1">"#"</definedName>
    <definedName name="FDC_62_111" hidden="1">"#"</definedName>
    <definedName name="FDC_62_112" hidden="1">"#"</definedName>
    <definedName name="FDC_62_113" hidden="1">"#"</definedName>
    <definedName name="FDC_62_114" hidden="1">"#"</definedName>
    <definedName name="FDC_62_115" hidden="1">"#"</definedName>
    <definedName name="FDC_62_116" hidden="1">"#"</definedName>
    <definedName name="FDC_62_117" hidden="1">"#"</definedName>
    <definedName name="FDC_62_118" hidden="1">"#"</definedName>
    <definedName name="FDC_62_119" hidden="1">"#"</definedName>
    <definedName name="FDC_62_12" hidden="1">"#"</definedName>
    <definedName name="FDC_62_120" hidden="1">"#"</definedName>
    <definedName name="FDC_62_121" hidden="1">"#"</definedName>
    <definedName name="FDC_62_122" hidden="1">"#"</definedName>
    <definedName name="FDC_62_123" hidden="1">"#"</definedName>
    <definedName name="FDC_62_124" hidden="1">"#"</definedName>
    <definedName name="FDC_62_125" hidden="1">"#"</definedName>
    <definedName name="FDC_62_126" hidden="1">"#"</definedName>
    <definedName name="FDC_62_127" hidden="1">"#"</definedName>
    <definedName name="FDC_62_128" hidden="1">"#"</definedName>
    <definedName name="FDC_62_129" hidden="1">"#"</definedName>
    <definedName name="FDC_62_13" hidden="1">"#"</definedName>
    <definedName name="FDC_62_130" hidden="1">"#"</definedName>
    <definedName name="FDC_62_131" hidden="1">"#"</definedName>
    <definedName name="FDC_62_132" hidden="1">"#"</definedName>
    <definedName name="FDC_62_133" hidden="1">"#"</definedName>
    <definedName name="FDC_62_134" hidden="1">"#"</definedName>
    <definedName name="FDC_62_135" hidden="1">"#"</definedName>
    <definedName name="FDC_62_136" hidden="1">"#"</definedName>
    <definedName name="FDC_62_137" hidden="1">"#"</definedName>
    <definedName name="FDC_62_138" hidden="1">"#"</definedName>
    <definedName name="FDC_62_139" hidden="1">"#"</definedName>
    <definedName name="FDC_62_14" hidden="1">"#"</definedName>
    <definedName name="FDC_62_140" hidden="1">"#"</definedName>
    <definedName name="FDC_62_141" hidden="1">"#"</definedName>
    <definedName name="FDC_62_142" hidden="1">"#"</definedName>
    <definedName name="FDC_62_143" hidden="1">"#"</definedName>
    <definedName name="FDC_62_144" hidden="1">"#"</definedName>
    <definedName name="FDC_62_145" hidden="1">"#"</definedName>
    <definedName name="FDC_62_146" hidden="1">"#"</definedName>
    <definedName name="FDC_62_147" hidden="1">"#"</definedName>
    <definedName name="FDC_62_148" hidden="1">"#"</definedName>
    <definedName name="FDC_62_149" hidden="1">"#"</definedName>
    <definedName name="FDC_62_15" hidden="1">"#"</definedName>
    <definedName name="FDC_62_150" hidden="1">"#"</definedName>
    <definedName name="FDC_62_151" hidden="1">"#"</definedName>
    <definedName name="FDC_62_152" hidden="1">"#"</definedName>
    <definedName name="FDC_62_153" hidden="1">"#"</definedName>
    <definedName name="FDC_62_154" hidden="1">"#"</definedName>
    <definedName name="FDC_62_155" hidden="1">"#"</definedName>
    <definedName name="FDC_62_156" hidden="1">"#"</definedName>
    <definedName name="FDC_62_157" hidden="1">"#"</definedName>
    <definedName name="FDC_62_158" hidden="1">"#"</definedName>
    <definedName name="FDC_62_159" hidden="1">"#"</definedName>
    <definedName name="FDC_62_16" hidden="1">"#"</definedName>
    <definedName name="FDC_62_160" hidden="1">"#"</definedName>
    <definedName name="FDC_62_161" hidden="1">"#"</definedName>
    <definedName name="FDC_62_162" hidden="1">"#"</definedName>
    <definedName name="FDC_62_163" hidden="1">"#"</definedName>
    <definedName name="FDC_62_164" hidden="1">"#"</definedName>
    <definedName name="FDC_62_165" hidden="1">"#"</definedName>
    <definedName name="FDC_62_166" hidden="1">"#"</definedName>
    <definedName name="FDC_62_167" hidden="1">"#"</definedName>
    <definedName name="FDC_62_168" hidden="1">"#"</definedName>
    <definedName name="FDC_62_169" hidden="1">"#"</definedName>
    <definedName name="FDC_62_17" hidden="1">"#"</definedName>
    <definedName name="FDC_62_170" hidden="1">"#"</definedName>
    <definedName name="FDC_62_171" hidden="1">"#"</definedName>
    <definedName name="FDC_62_172" hidden="1">"#"</definedName>
    <definedName name="FDC_62_173" hidden="1">"#"</definedName>
    <definedName name="FDC_62_174" hidden="1">"#"</definedName>
    <definedName name="FDC_62_175" hidden="1">"#"</definedName>
    <definedName name="FDC_62_176" hidden="1">"#"</definedName>
    <definedName name="FDC_62_177" hidden="1">"#"</definedName>
    <definedName name="FDC_62_178" hidden="1">"#"</definedName>
    <definedName name="FDC_62_179" hidden="1">"#"</definedName>
    <definedName name="FDC_62_18" hidden="1">"#"</definedName>
    <definedName name="FDC_62_180" hidden="1">"#"</definedName>
    <definedName name="FDC_62_181" hidden="1">"#"</definedName>
    <definedName name="FDC_62_182" hidden="1">"#"</definedName>
    <definedName name="FDC_62_183" hidden="1">"#"</definedName>
    <definedName name="FDC_62_184" hidden="1">"#"</definedName>
    <definedName name="FDC_62_185" hidden="1">"#"</definedName>
    <definedName name="FDC_62_186" hidden="1">"#"</definedName>
    <definedName name="FDC_62_187" hidden="1">"#"</definedName>
    <definedName name="FDC_62_188" hidden="1">"#"</definedName>
    <definedName name="FDC_62_189" hidden="1">"#"</definedName>
    <definedName name="FDC_62_19" hidden="1">"#"</definedName>
    <definedName name="FDC_62_190" hidden="1">"#"</definedName>
    <definedName name="FDC_62_191" hidden="1">"#"</definedName>
    <definedName name="FDC_62_192" hidden="1">"#"</definedName>
    <definedName name="FDC_62_193" hidden="1">"#"</definedName>
    <definedName name="FDC_62_194" hidden="1">"#"</definedName>
    <definedName name="FDC_62_195" hidden="1">"#"</definedName>
    <definedName name="FDC_62_196" hidden="1">"#"</definedName>
    <definedName name="FDC_62_197" hidden="1">"#"</definedName>
    <definedName name="FDC_62_198" hidden="1">"#"</definedName>
    <definedName name="FDC_62_199" hidden="1">"#"</definedName>
    <definedName name="FDC_62_2" hidden="1">"#"</definedName>
    <definedName name="FDC_62_20" hidden="1">"#"</definedName>
    <definedName name="FDC_62_200" hidden="1">"#"</definedName>
    <definedName name="FDC_62_201" hidden="1">"#"</definedName>
    <definedName name="FDC_62_202" hidden="1">"#"</definedName>
    <definedName name="FDC_62_203" hidden="1">"#"</definedName>
    <definedName name="FDC_62_204" hidden="1">"#"</definedName>
    <definedName name="FDC_62_205" hidden="1">"#"</definedName>
    <definedName name="FDC_62_206" hidden="1">"#"</definedName>
    <definedName name="FDC_62_207" hidden="1">"#"</definedName>
    <definedName name="FDC_62_208" hidden="1">"#"</definedName>
    <definedName name="FDC_62_209" hidden="1">"#"</definedName>
    <definedName name="FDC_62_21" hidden="1">"#"</definedName>
    <definedName name="FDC_62_210" hidden="1">"#"</definedName>
    <definedName name="FDC_62_211" hidden="1">"#"</definedName>
    <definedName name="FDC_62_212" hidden="1">"#"</definedName>
    <definedName name="FDC_62_213" hidden="1">"#"</definedName>
    <definedName name="FDC_62_214" hidden="1">"#"</definedName>
    <definedName name="FDC_62_215" hidden="1">"#"</definedName>
    <definedName name="FDC_62_216" hidden="1">"#"</definedName>
    <definedName name="FDC_62_217" hidden="1">"#"</definedName>
    <definedName name="FDC_62_218" hidden="1">"#"</definedName>
    <definedName name="FDC_62_219" hidden="1">"#"</definedName>
    <definedName name="FDC_62_22" hidden="1">"#"</definedName>
    <definedName name="FDC_62_220" hidden="1">"#"</definedName>
    <definedName name="FDC_62_221" hidden="1">"#"</definedName>
    <definedName name="FDC_62_222" hidden="1">"#"</definedName>
    <definedName name="FDC_62_223" hidden="1">"#"</definedName>
    <definedName name="FDC_62_224" hidden="1">"#"</definedName>
    <definedName name="FDC_62_225" hidden="1">"#"</definedName>
    <definedName name="FDC_62_226" hidden="1">"#"</definedName>
    <definedName name="FDC_62_227" hidden="1">"#"</definedName>
    <definedName name="FDC_62_228" hidden="1">"#"</definedName>
    <definedName name="FDC_62_229" hidden="1">"#"</definedName>
    <definedName name="FDC_62_23" hidden="1">"#"</definedName>
    <definedName name="FDC_62_230" hidden="1">"#"</definedName>
    <definedName name="FDC_62_231" hidden="1">"#"</definedName>
    <definedName name="FDC_62_232" hidden="1">"#"</definedName>
    <definedName name="FDC_62_233" hidden="1">"#"</definedName>
    <definedName name="FDC_62_234" hidden="1">"#"</definedName>
    <definedName name="FDC_62_235" hidden="1">"#"</definedName>
    <definedName name="FDC_62_236" hidden="1">"#"</definedName>
    <definedName name="FDC_62_237" hidden="1">"#"</definedName>
    <definedName name="FDC_62_238" hidden="1">"#"</definedName>
    <definedName name="FDC_62_239" hidden="1">"#"</definedName>
    <definedName name="FDC_62_24" hidden="1">"#"</definedName>
    <definedName name="FDC_62_240" hidden="1">"#"</definedName>
    <definedName name="FDC_62_241" hidden="1">"#"</definedName>
    <definedName name="FDC_62_242" hidden="1">"#"</definedName>
    <definedName name="FDC_62_243" hidden="1">"#"</definedName>
    <definedName name="FDC_62_244" hidden="1">"#"</definedName>
    <definedName name="FDC_62_245" hidden="1">"#"</definedName>
    <definedName name="FDC_62_246" hidden="1">"#"</definedName>
    <definedName name="FDC_62_247" hidden="1">"#"</definedName>
    <definedName name="FDC_62_248" hidden="1">"#"</definedName>
    <definedName name="FDC_62_249" hidden="1">"#"</definedName>
    <definedName name="FDC_62_25" hidden="1">"#"</definedName>
    <definedName name="FDC_62_250" hidden="1">"#"</definedName>
    <definedName name="FDC_62_251" hidden="1">"#"</definedName>
    <definedName name="FDC_62_252" hidden="1">"#"</definedName>
    <definedName name="FDC_62_253" hidden="1">"#"</definedName>
    <definedName name="FDC_62_254" hidden="1">"#"</definedName>
    <definedName name="FDC_62_255" hidden="1">"#"</definedName>
    <definedName name="FDC_62_256" hidden="1">"#"</definedName>
    <definedName name="FDC_62_257" hidden="1">"#"</definedName>
    <definedName name="FDC_62_258" hidden="1">"#"</definedName>
    <definedName name="FDC_62_259" hidden="1">"#"</definedName>
    <definedName name="FDC_62_26" hidden="1">"#"</definedName>
    <definedName name="FDC_62_260" hidden="1">"#"</definedName>
    <definedName name="FDC_62_261" hidden="1">"#"</definedName>
    <definedName name="FDC_62_27" hidden="1">"#"</definedName>
    <definedName name="FDC_62_28" hidden="1">"#"</definedName>
    <definedName name="FDC_62_29" hidden="1">"#"</definedName>
    <definedName name="FDC_62_3" hidden="1">"#"</definedName>
    <definedName name="FDC_62_30" hidden="1">"#"</definedName>
    <definedName name="FDC_62_31" hidden="1">"#"</definedName>
    <definedName name="FDC_62_32" hidden="1">"#"</definedName>
    <definedName name="FDC_62_33" hidden="1">"#"</definedName>
    <definedName name="FDC_62_34" hidden="1">"#"</definedName>
    <definedName name="FDC_62_35" hidden="1">"#"</definedName>
    <definedName name="FDC_62_36" hidden="1">"#"</definedName>
    <definedName name="FDC_62_37" hidden="1">"#"</definedName>
    <definedName name="FDC_62_38" hidden="1">"#"</definedName>
    <definedName name="FDC_62_39" hidden="1">"#"</definedName>
    <definedName name="FDC_62_4" hidden="1">"#"</definedName>
    <definedName name="FDC_62_40" hidden="1">"#"</definedName>
    <definedName name="FDC_62_41" hidden="1">"#"</definedName>
    <definedName name="FDC_62_42" hidden="1">"#"</definedName>
    <definedName name="FDC_62_43" hidden="1">"#"</definedName>
    <definedName name="FDC_62_44" hidden="1">"#"</definedName>
    <definedName name="FDC_62_45" hidden="1">"#"</definedName>
    <definedName name="FDC_62_46" hidden="1">"#"</definedName>
    <definedName name="FDC_62_47" hidden="1">"#"</definedName>
    <definedName name="FDC_62_48" hidden="1">"#"</definedName>
    <definedName name="FDC_62_49" hidden="1">"#"</definedName>
    <definedName name="FDC_62_5" hidden="1">"#"</definedName>
    <definedName name="FDC_62_50" hidden="1">"#"</definedName>
    <definedName name="FDC_62_51" hidden="1">"#"</definedName>
    <definedName name="FDC_62_52" hidden="1">"#"</definedName>
    <definedName name="FDC_62_53" hidden="1">"#"</definedName>
    <definedName name="FDC_62_54" hidden="1">"#"</definedName>
    <definedName name="FDC_62_55" hidden="1">"#"</definedName>
    <definedName name="FDC_62_56" hidden="1">"#"</definedName>
    <definedName name="FDC_62_57" hidden="1">"#"</definedName>
    <definedName name="FDC_62_58" hidden="1">"#"</definedName>
    <definedName name="FDC_62_59" hidden="1">"#"</definedName>
    <definedName name="FDC_62_6" hidden="1">"#"</definedName>
    <definedName name="FDC_62_60" hidden="1">"#"</definedName>
    <definedName name="FDC_62_61" hidden="1">"#"</definedName>
    <definedName name="FDC_62_62" hidden="1">"#"</definedName>
    <definedName name="FDC_62_63" hidden="1">"#"</definedName>
    <definedName name="FDC_62_64" hidden="1">"#"</definedName>
    <definedName name="FDC_62_65" hidden="1">"#"</definedName>
    <definedName name="FDC_62_66" hidden="1">"#"</definedName>
    <definedName name="FDC_62_67" hidden="1">"#"</definedName>
    <definedName name="FDC_62_68" hidden="1">"#"</definedName>
    <definedName name="FDC_62_69" hidden="1">"#"</definedName>
    <definedName name="FDC_62_7" hidden="1">"#"</definedName>
    <definedName name="FDC_62_70" hidden="1">"#"</definedName>
    <definedName name="FDC_62_71" hidden="1">"#"</definedName>
    <definedName name="FDC_62_72" hidden="1">"#"</definedName>
    <definedName name="FDC_62_73" hidden="1">"#"</definedName>
    <definedName name="FDC_62_74" hidden="1">"#"</definedName>
    <definedName name="FDC_62_75" hidden="1">"#"</definedName>
    <definedName name="FDC_62_76" hidden="1">"#"</definedName>
    <definedName name="FDC_62_77" hidden="1">"#"</definedName>
    <definedName name="FDC_62_78" hidden="1">"#"</definedName>
    <definedName name="FDC_62_79" hidden="1">"#"</definedName>
    <definedName name="FDC_62_8" hidden="1">"#"</definedName>
    <definedName name="FDC_62_80" hidden="1">"#"</definedName>
    <definedName name="FDC_62_81" hidden="1">"#"</definedName>
    <definedName name="FDC_62_82" hidden="1">"#"</definedName>
    <definedName name="FDC_62_83" hidden="1">"#"</definedName>
    <definedName name="FDC_62_84" hidden="1">"#"</definedName>
    <definedName name="FDC_62_85" hidden="1">"#"</definedName>
    <definedName name="FDC_62_86" hidden="1">"#"</definedName>
    <definedName name="FDC_62_87" hidden="1">"#"</definedName>
    <definedName name="FDC_62_88" hidden="1">"#"</definedName>
    <definedName name="FDC_62_89" hidden="1">"#"</definedName>
    <definedName name="FDC_62_9" hidden="1">"#"</definedName>
    <definedName name="FDC_62_90" hidden="1">"#"</definedName>
    <definedName name="FDC_62_91" hidden="1">"#"</definedName>
    <definedName name="FDC_62_92" hidden="1">"#"</definedName>
    <definedName name="FDC_62_93" hidden="1">"#"</definedName>
    <definedName name="FDC_62_94" hidden="1">"#"</definedName>
    <definedName name="FDC_62_95" hidden="1">"#"</definedName>
    <definedName name="FDC_62_96" hidden="1">"#"</definedName>
    <definedName name="FDC_62_97" hidden="1">"#"</definedName>
    <definedName name="FDC_62_98" hidden="1">"#"</definedName>
    <definedName name="FDC_62_99" hidden="1">"#"</definedName>
    <definedName name="FDC_63_0" hidden="1">"#"</definedName>
    <definedName name="FDC_63_1" hidden="1">"#"</definedName>
    <definedName name="FDC_63_10" hidden="1">"#"</definedName>
    <definedName name="FDC_63_100" hidden="1">"#"</definedName>
    <definedName name="FDC_63_101" hidden="1">"#"</definedName>
    <definedName name="FDC_63_102" hidden="1">"#"</definedName>
    <definedName name="FDC_63_103" hidden="1">"#"</definedName>
    <definedName name="FDC_63_104" hidden="1">"#"</definedName>
    <definedName name="FDC_63_105" hidden="1">"#"</definedName>
    <definedName name="FDC_63_106" hidden="1">"#"</definedName>
    <definedName name="FDC_63_107" hidden="1">"#"</definedName>
    <definedName name="FDC_63_108" hidden="1">"#"</definedName>
    <definedName name="FDC_63_109" hidden="1">"#"</definedName>
    <definedName name="FDC_63_11" hidden="1">"#"</definedName>
    <definedName name="FDC_63_110" hidden="1">"#"</definedName>
    <definedName name="FDC_63_111" hidden="1">"#"</definedName>
    <definedName name="FDC_63_112" hidden="1">"#"</definedName>
    <definedName name="FDC_63_113" hidden="1">"#"</definedName>
    <definedName name="FDC_63_114" hidden="1">"#"</definedName>
    <definedName name="FDC_63_115" hidden="1">"#"</definedName>
    <definedName name="FDC_63_116" hidden="1">"#"</definedName>
    <definedName name="FDC_63_117" hidden="1">"#"</definedName>
    <definedName name="FDC_63_118" hidden="1">"#"</definedName>
    <definedName name="FDC_63_119" hidden="1">"#"</definedName>
    <definedName name="FDC_63_12" hidden="1">"#"</definedName>
    <definedName name="FDC_63_120" hidden="1">"#"</definedName>
    <definedName name="FDC_63_121" hidden="1">"#"</definedName>
    <definedName name="FDC_63_122" hidden="1">"#"</definedName>
    <definedName name="FDC_63_123" hidden="1">"#"</definedName>
    <definedName name="FDC_63_124" hidden="1">"#"</definedName>
    <definedName name="FDC_63_125" hidden="1">"#"</definedName>
    <definedName name="FDC_63_126" hidden="1">"#"</definedName>
    <definedName name="FDC_63_127" hidden="1">"#"</definedName>
    <definedName name="FDC_63_128" hidden="1">"#"</definedName>
    <definedName name="FDC_63_129" hidden="1">"#"</definedName>
    <definedName name="FDC_63_13" hidden="1">"#"</definedName>
    <definedName name="FDC_63_130" hidden="1">"#"</definedName>
    <definedName name="FDC_63_131" hidden="1">"#"</definedName>
    <definedName name="FDC_63_132" hidden="1">"#"</definedName>
    <definedName name="FDC_63_133" hidden="1">"#"</definedName>
    <definedName name="FDC_63_134" hidden="1">"#"</definedName>
    <definedName name="FDC_63_135" hidden="1">"#"</definedName>
    <definedName name="FDC_63_136" hidden="1">"#"</definedName>
    <definedName name="FDC_63_137" hidden="1">"#"</definedName>
    <definedName name="FDC_63_138" hidden="1">"#"</definedName>
    <definedName name="FDC_63_139" hidden="1">"#"</definedName>
    <definedName name="FDC_63_14" hidden="1">"#"</definedName>
    <definedName name="FDC_63_140" hidden="1">"#"</definedName>
    <definedName name="FDC_63_141" hidden="1">"#"</definedName>
    <definedName name="FDC_63_142" hidden="1">"#"</definedName>
    <definedName name="FDC_63_143" hidden="1">"#"</definedName>
    <definedName name="FDC_63_144" hidden="1">"#"</definedName>
    <definedName name="FDC_63_145" hidden="1">"#"</definedName>
    <definedName name="FDC_63_146" hidden="1">"#"</definedName>
    <definedName name="FDC_63_147" hidden="1">"#"</definedName>
    <definedName name="FDC_63_148" hidden="1">"#"</definedName>
    <definedName name="FDC_63_149" hidden="1">"#"</definedName>
    <definedName name="FDC_63_15" hidden="1">"#"</definedName>
    <definedName name="FDC_63_150" hidden="1">"#"</definedName>
    <definedName name="FDC_63_151" hidden="1">"#"</definedName>
    <definedName name="FDC_63_152" hidden="1">"#"</definedName>
    <definedName name="FDC_63_153" hidden="1">"#"</definedName>
    <definedName name="FDC_63_154" hidden="1">"#"</definedName>
    <definedName name="FDC_63_155" hidden="1">"#"</definedName>
    <definedName name="FDC_63_156" hidden="1">"#"</definedName>
    <definedName name="FDC_63_157" hidden="1">"#"</definedName>
    <definedName name="FDC_63_158" hidden="1">"#"</definedName>
    <definedName name="FDC_63_159" hidden="1">"#"</definedName>
    <definedName name="FDC_63_16" hidden="1">"#"</definedName>
    <definedName name="FDC_63_160" hidden="1">"#"</definedName>
    <definedName name="FDC_63_161" hidden="1">"#"</definedName>
    <definedName name="FDC_63_162" hidden="1">"#"</definedName>
    <definedName name="FDC_63_163" hidden="1">"#"</definedName>
    <definedName name="FDC_63_164" hidden="1">"#"</definedName>
    <definedName name="FDC_63_165" hidden="1">"#"</definedName>
    <definedName name="FDC_63_166" hidden="1">"#"</definedName>
    <definedName name="FDC_63_167" hidden="1">"#"</definedName>
    <definedName name="FDC_63_168" hidden="1">"#"</definedName>
    <definedName name="FDC_63_169" hidden="1">"#"</definedName>
    <definedName name="FDC_63_17" hidden="1">"#"</definedName>
    <definedName name="FDC_63_170" hidden="1">"#"</definedName>
    <definedName name="FDC_63_171" hidden="1">"#"</definedName>
    <definedName name="FDC_63_172" hidden="1">"#"</definedName>
    <definedName name="FDC_63_173" hidden="1">"#"</definedName>
    <definedName name="FDC_63_174" hidden="1">"#"</definedName>
    <definedName name="FDC_63_175" hidden="1">"#"</definedName>
    <definedName name="FDC_63_176" hidden="1">"#"</definedName>
    <definedName name="FDC_63_177" hidden="1">"#"</definedName>
    <definedName name="FDC_63_178" hidden="1">"#"</definedName>
    <definedName name="FDC_63_179" hidden="1">"#"</definedName>
    <definedName name="FDC_63_18" hidden="1">"#"</definedName>
    <definedName name="FDC_63_180" hidden="1">"#"</definedName>
    <definedName name="FDC_63_181" hidden="1">"#"</definedName>
    <definedName name="FDC_63_182" hidden="1">"#"</definedName>
    <definedName name="FDC_63_183" hidden="1">"#"</definedName>
    <definedName name="FDC_63_184" hidden="1">"#"</definedName>
    <definedName name="FDC_63_185" hidden="1">"#"</definedName>
    <definedName name="FDC_63_186" hidden="1">"#"</definedName>
    <definedName name="FDC_63_187" hidden="1">"#"</definedName>
    <definedName name="FDC_63_188" hidden="1">"#"</definedName>
    <definedName name="FDC_63_189" hidden="1">"#"</definedName>
    <definedName name="FDC_63_19" hidden="1">"#"</definedName>
    <definedName name="FDC_63_190" hidden="1">"#"</definedName>
    <definedName name="FDC_63_191" hidden="1">"#"</definedName>
    <definedName name="FDC_63_192" hidden="1">"#"</definedName>
    <definedName name="FDC_63_193" hidden="1">"#"</definedName>
    <definedName name="FDC_63_194" hidden="1">"#"</definedName>
    <definedName name="FDC_63_195" hidden="1">"#"</definedName>
    <definedName name="FDC_63_196" hidden="1">"#"</definedName>
    <definedName name="FDC_63_197" hidden="1">"#"</definedName>
    <definedName name="FDC_63_198" hidden="1">"#"</definedName>
    <definedName name="FDC_63_199" hidden="1">"#"</definedName>
    <definedName name="FDC_63_2" hidden="1">"#"</definedName>
    <definedName name="FDC_63_20" hidden="1">"#"</definedName>
    <definedName name="FDC_63_200" hidden="1">"#"</definedName>
    <definedName name="FDC_63_201" hidden="1">"#"</definedName>
    <definedName name="FDC_63_202" hidden="1">"#"</definedName>
    <definedName name="FDC_63_203" hidden="1">"#"</definedName>
    <definedName name="FDC_63_204" hidden="1">"#"</definedName>
    <definedName name="FDC_63_205" hidden="1">"#"</definedName>
    <definedName name="FDC_63_206" hidden="1">"#"</definedName>
    <definedName name="FDC_63_207" hidden="1">"#"</definedName>
    <definedName name="FDC_63_208" hidden="1">"#"</definedName>
    <definedName name="FDC_63_209" hidden="1">"#"</definedName>
    <definedName name="FDC_63_21" hidden="1">"#"</definedName>
    <definedName name="FDC_63_210" hidden="1">"#"</definedName>
    <definedName name="FDC_63_211" hidden="1">"#"</definedName>
    <definedName name="FDC_63_212" hidden="1">"#"</definedName>
    <definedName name="FDC_63_213" hidden="1">"#"</definedName>
    <definedName name="FDC_63_214" hidden="1">"#"</definedName>
    <definedName name="FDC_63_215" hidden="1">"#"</definedName>
    <definedName name="FDC_63_216" hidden="1">"#"</definedName>
    <definedName name="FDC_63_217" hidden="1">"#"</definedName>
    <definedName name="FDC_63_218" hidden="1">"#"</definedName>
    <definedName name="FDC_63_219" hidden="1">"#"</definedName>
    <definedName name="FDC_63_22" hidden="1">"#"</definedName>
    <definedName name="FDC_63_220" hidden="1">"#"</definedName>
    <definedName name="FDC_63_221" hidden="1">"#"</definedName>
    <definedName name="FDC_63_222" hidden="1">"#"</definedName>
    <definedName name="FDC_63_223" hidden="1">"#"</definedName>
    <definedName name="FDC_63_224" hidden="1">"#"</definedName>
    <definedName name="FDC_63_225" hidden="1">"#"</definedName>
    <definedName name="FDC_63_226" hidden="1">"#"</definedName>
    <definedName name="FDC_63_227" hidden="1">"#"</definedName>
    <definedName name="FDC_63_228" hidden="1">"#"</definedName>
    <definedName name="FDC_63_229" hidden="1">"#"</definedName>
    <definedName name="FDC_63_23" hidden="1">"#"</definedName>
    <definedName name="FDC_63_230" hidden="1">"#"</definedName>
    <definedName name="FDC_63_231" hidden="1">"#"</definedName>
    <definedName name="FDC_63_232" hidden="1">"#"</definedName>
    <definedName name="FDC_63_233" hidden="1">"#"</definedName>
    <definedName name="FDC_63_234" hidden="1">"#"</definedName>
    <definedName name="FDC_63_235" hidden="1">"#"</definedName>
    <definedName name="FDC_63_236" hidden="1">"#"</definedName>
    <definedName name="FDC_63_237" hidden="1">"#"</definedName>
    <definedName name="FDC_63_238" hidden="1">"#"</definedName>
    <definedName name="FDC_63_239" hidden="1">"#"</definedName>
    <definedName name="FDC_63_24" hidden="1">"#"</definedName>
    <definedName name="FDC_63_240" hidden="1">"#"</definedName>
    <definedName name="FDC_63_241" hidden="1">"#"</definedName>
    <definedName name="FDC_63_242" hidden="1">"#"</definedName>
    <definedName name="FDC_63_243" hidden="1">"#"</definedName>
    <definedName name="FDC_63_244" hidden="1">"#"</definedName>
    <definedName name="FDC_63_245" hidden="1">"#"</definedName>
    <definedName name="FDC_63_246" hidden="1">"#"</definedName>
    <definedName name="FDC_63_247" hidden="1">"#"</definedName>
    <definedName name="FDC_63_248" hidden="1">"#"</definedName>
    <definedName name="FDC_63_249" hidden="1">"#"</definedName>
    <definedName name="FDC_63_25" hidden="1">"#"</definedName>
    <definedName name="FDC_63_250" hidden="1">"#"</definedName>
    <definedName name="FDC_63_251" hidden="1">"#"</definedName>
    <definedName name="FDC_63_252" hidden="1">"#"</definedName>
    <definedName name="FDC_63_253" hidden="1">"#"</definedName>
    <definedName name="FDC_63_254" hidden="1">"#"</definedName>
    <definedName name="FDC_63_255" hidden="1">"#"</definedName>
    <definedName name="FDC_63_256" hidden="1">"#"</definedName>
    <definedName name="FDC_63_257" hidden="1">"#"</definedName>
    <definedName name="FDC_63_258" hidden="1">"#"</definedName>
    <definedName name="FDC_63_259" hidden="1">"#"</definedName>
    <definedName name="FDC_63_26" hidden="1">"#"</definedName>
    <definedName name="FDC_63_260" hidden="1">"#"</definedName>
    <definedName name="FDC_63_261" hidden="1">"#"</definedName>
    <definedName name="FDC_63_27" hidden="1">"#"</definedName>
    <definedName name="FDC_63_28" hidden="1">"#"</definedName>
    <definedName name="FDC_63_29" hidden="1">"#"</definedName>
    <definedName name="FDC_63_3" hidden="1">"#"</definedName>
    <definedName name="FDC_63_30" hidden="1">"#"</definedName>
    <definedName name="FDC_63_31" hidden="1">"#"</definedName>
    <definedName name="FDC_63_32" hidden="1">"#"</definedName>
    <definedName name="FDC_63_33" hidden="1">"#"</definedName>
    <definedName name="FDC_63_34" hidden="1">"#"</definedName>
    <definedName name="FDC_63_35" hidden="1">"#"</definedName>
    <definedName name="FDC_63_36" hidden="1">"#"</definedName>
    <definedName name="FDC_63_37" hidden="1">"#"</definedName>
    <definedName name="FDC_63_38" hidden="1">"#"</definedName>
    <definedName name="FDC_63_39" hidden="1">"#"</definedName>
    <definedName name="FDC_63_4" hidden="1">"#"</definedName>
    <definedName name="FDC_63_40" hidden="1">"#"</definedName>
    <definedName name="FDC_63_41" hidden="1">"#"</definedName>
    <definedName name="FDC_63_42" hidden="1">"#"</definedName>
    <definedName name="FDC_63_43" hidden="1">"#"</definedName>
    <definedName name="FDC_63_44" hidden="1">"#"</definedName>
    <definedName name="FDC_63_45" hidden="1">"#"</definedName>
    <definedName name="FDC_63_46" hidden="1">"#"</definedName>
    <definedName name="FDC_63_47" hidden="1">"#"</definedName>
    <definedName name="FDC_63_48" hidden="1">"#"</definedName>
    <definedName name="FDC_63_49" hidden="1">"#"</definedName>
    <definedName name="FDC_63_5" hidden="1">"#"</definedName>
    <definedName name="FDC_63_50" hidden="1">"#"</definedName>
    <definedName name="FDC_63_51" hidden="1">"#"</definedName>
    <definedName name="FDC_63_52" hidden="1">"#"</definedName>
    <definedName name="FDC_63_53" hidden="1">"#"</definedName>
    <definedName name="FDC_63_54" hidden="1">"#"</definedName>
    <definedName name="FDC_63_55" hidden="1">"#"</definedName>
    <definedName name="FDC_63_56" hidden="1">"#"</definedName>
    <definedName name="FDC_63_57" hidden="1">"#"</definedName>
    <definedName name="FDC_63_58" hidden="1">"#"</definedName>
    <definedName name="FDC_63_59" hidden="1">"#"</definedName>
    <definedName name="FDC_63_6" hidden="1">"#"</definedName>
    <definedName name="FDC_63_60" hidden="1">"#"</definedName>
    <definedName name="FDC_63_61" hidden="1">"#"</definedName>
    <definedName name="FDC_63_62" hidden="1">"#"</definedName>
    <definedName name="FDC_63_63" hidden="1">"#"</definedName>
    <definedName name="FDC_63_64" hidden="1">"#"</definedName>
    <definedName name="FDC_63_65" hidden="1">"#"</definedName>
    <definedName name="FDC_63_66" hidden="1">"#"</definedName>
    <definedName name="FDC_63_67" hidden="1">"#"</definedName>
    <definedName name="FDC_63_68" hidden="1">"#"</definedName>
    <definedName name="FDC_63_69" hidden="1">"#"</definedName>
    <definedName name="FDC_63_7" hidden="1">"#"</definedName>
    <definedName name="FDC_63_70" hidden="1">"#"</definedName>
    <definedName name="FDC_63_71" hidden="1">"#"</definedName>
    <definedName name="FDC_63_72" hidden="1">"#"</definedName>
    <definedName name="FDC_63_73" hidden="1">"#"</definedName>
    <definedName name="FDC_63_74" hidden="1">"#"</definedName>
    <definedName name="FDC_63_75" hidden="1">"#"</definedName>
    <definedName name="FDC_63_76" hidden="1">"#"</definedName>
    <definedName name="FDC_63_77" hidden="1">"#"</definedName>
    <definedName name="FDC_63_78" hidden="1">"#"</definedName>
    <definedName name="FDC_63_79" hidden="1">"#"</definedName>
    <definedName name="FDC_63_8" hidden="1">"#"</definedName>
    <definedName name="FDC_63_80" hidden="1">"#"</definedName>
    <definedName name="FDC_63_81" hidden="1">"#"</definedName>
    <definedName name="FDC_63_82" hidden="1">"#"</definedName>
    <definedName name="FDC_63_83" hidden="1">"#"</definedName>
    <definedName name="FDC_63_84" hidden="1">"#"</definedName>
    <definedName name="FDC_63_85" hidden="1">"#"</definedName>
    <definedName name="FDC_63_86" hidden="1">"#"</definedName>
    <definedName name="FDC_63_87" hidden="1">"#"</definedName>
    <definedName name="FDC_63_88" hidden="1">"#"</definedName>
    <definedName name="FDC_63_89" hidden="1">"#"</definedName>
    <definedName name="FDC_63_9" hidden="1">"#"</definedName>
    <definedName name="FDC_63_90" hidden="1">"#"</definedName>
    <definedName name="FDC_63_91" hidden="1">"#"</definedName>
    <definedName name="FDC_63_92" hidden="1">"#"</definedName>
    <definedName name="FDC_63_93" hidden="1">"#"</definedName>
    <definedName name="FDC_63_94" hidden="1">"#"</definedName>
    <definedName name="FDC_63_95" hidden="1">"#"</definedName>
    <definedName name="FDC_63_96" hidden="1">"#"</definedName>
    <definedName name="FDC_63_97" hidden="1">"#"</definedName>
    <definedName name="FDC_63_98" hidden="1">"#"</definedName>
    <definedName name="FDC_63_99" hidden="1">"#"</definedName>
    <definedName name="FDC_64_0" hidden="1">"#"</definedName>
    <definedName name="FDC_64_1" hidden="1">"#"</definedName>
    <definedName name="FDC_64_10" hidden="1">"#"</definedName>
    <definedName name="FDC_64_100" hidden="1">"#"</definedName>
    <definedName name="FDC_64_101" hidden="1">"#"</definedName>
    <definedName name="FDC_64_102" hidden="1">"#"</definedName>
    <definedName name="FDC_64_103" hidden="1">"#"</definedName>
    <definedName name="FDC_64_104" hidden="1">"#"</definedName>
    <definedName name="FDC_64_105" hidden="1">"#"</definedName>
    <definedName name="FDC_64_106" hidden="1">"#"</definedName>
    <definedName name="FDC_64_107" hidden="1">"#"</definedName>
    <definedName name="FDC_64_108" hidden="1">"#"</definedName>
    <definedName name="FDC_64_109" hidden="1">"#"</definedName>
    <definedName name="FDC_64_11" hidden="1">"#"</definedName>
    <definedName name="FDC_64_110" hidden="1">"#"</definedName>
    <definedName name="FDC_64_111" hidden="1">"#"</definedName>
    <definedName name="FDC_64_112" hidden="1">"#"</definedName>
    <definedName name="FDC_64_113" hidden="1">"#"</definedName>
    <definedName name="FDC_64_114" hidden="1">"#"</definedName>
    <definedName name="FDC_64_115" hidden="1">"#"</definedName>
    <definedName name="FDC_64_116" hidden="1">"#"</definedName>
    <definedName name="FDC_64_117" hidden="1">"#"</definedName>
    <definedName name="FDC_64_118" hidden="1">"#"</definedName>
    <definedName name="FDC_64_119" hidden="1">"#"</definedName>
    <definedName name="FDC_64_12" hidden="1">"#"</definedName>
    <definedName name="FDC_64_120" hidden="1">"#"</definedName>
    <definedName name="FDC_64_121" hidden="1">"#"</definedName>
    <definedName name="FDC_64_122" hidden="1">"#"</definedName>
    <definedName name="FDC_64_123" hidden="1">"#"</definedName>
    <definedName name="FDC_64_124" hidden="1">"#"</definedName>
    <definedName name="FDC_64_125" hidden="1">"#"</definedName>
    <definedName name="FDC_64_126" hidden="1">"#"</definedName>
    <definedName name="FDC_64_127" hidden="1">"#"</definedName>
    <definedName name="FDC_64_128" hidden="1">"#"</definedName>
    <definedName name="FDC_64_129" hidden="1">"#"</definedName>
    <definedName name="FDC_64_13" hidden="1">"#"</definedName>
    <definedName name="FDC_64_130" hidden="1">"#"</definedName>
    <definedName name="FDC_64_131" hidden="1">"#"</definedName>
    <definedName name="FDC_64_132" hidden="1">"#"</definedName>
    <definedName name="FDC_64_133" hidden="1">"#"</definedName>
    <definedName name="FDC_64_134" hidden="1">"#"</definedName>
    <definedName name="FDC_64_135" hidden="1">"#"</definedName>
    <definedName name="FDC_64_136" hidden="1">"#"</definedName>
    <definedName name="FDC_64_137" hidden="1">"#"</definedName>
    <definedName name="FDC_64_138" hidden="1">"#"</definedName>
    <definedName name="FDC_64_139" hidden="1">"#"</definedName>
    <definedName name="FDC_64_14" hidden="1">"#"</definedName>
    <definedName name="FDC_64_140" hidden="1">"#"</definedName>
    <definedName name="FDC_64_141" hidden="1">"#"</definedName>
    <definedName name="FDC_64_142" hidden="1">"#"</definedName>
    <definedName name="FDC_64_143" hidden="1">"#"</definedName>
    <definedName name="FDC_64_144" hidden="1">"#"</definedName>
    <definedName name="FDC_64_145" hidden="1">"#"</definedName>
    <definedName name="FDC_64_146" hidden="1">"#"</definedName>
    <definedName name="FDC_64_147" hidden="1">"#"</definedName>
    <definedName name="FDC_64_148" hidden="1">"#"</definedName>
    <definedName name="FDC_64_149" hidden="1">"#"</definedName>
    <definedName name="FDC_64_15" hidden="1">"#"</definedName>
    <definedName name="FDC_64_150" hidden="1">"#"</definedName>
    <definedName name="FDC_64_151" hidden="1">"#"</definedName>
    <definedName name="FDC_64_152" hidden="1">"#"</definedName>
    <definedName name="FDC_64_153" hidden="1">"#"</definedName>
    <definedName name="FDC_64_154" hidden="1">"#"</definedName>
    <definedName name="FDC_64_155" hidden="1">"#"</definedName>
    <definedName name="FDC_64_156" hidden="1">"#"</definedName>
    <definedName name="FDC_64_157" hidden="1">"#"</definedName>
    <definedName name="FDC_64_158" hidden="1">"#"</definedName>
    <definedName name="FDC_64_159" hidden="1">"#"</definedName>
    <definedName name="FDC_64_16" hidden="1">"#"</definedName>
    <definedName name="FDC_64_160" hidden="1">"#"</definedName>
    <definedName name="FDC_64_161" hidden="1">"#"</definedName>
    <definedName name="FDC_64_162" hidden="1">"#"</definedName>
    <definedName name="FDC_64_163" hidden="1">"#"</definedName>
    <definedName name="FDC_64_164" hidden="1">"#"</definedName>
    <definedName name="FDC_64_165" hidden="1">"#"</definedName>
    <definedName name="FDC_64_166" hidden="1">"#"</definedName>
    <definedName name="FDC_64_167" hidden="1">"#"</definedName>
    <definedName name="FDC_64_168" hidden="1">"#"</definedName>
    <definedName name="FDC_64_169" hidden="1">"#"</definedName>
    <definedName name="FDC_64_17" hidden="1">"#"</definedName>
    <definedName name="FDC_64_170" hidden="1">"#"</definedName>
    <definedName name="FDC_64_171" hidden="1">"#"</definedName>
    <definedName name="FDC_64_172" hidden="1">"#"</definedName>
    <definedName name="FDC_64_173" hidden="1">"#"</definedName>
    <definedName name="FDC_64_174" hidden="1">"#"</definedName>
    <definedName name="FDC_64_175" hidden="1">"#"</definedName>
    <definedName name="FDC_64_176" hidden="1">"#"</definedName>
    <definedName name="FDC_64_177" hidden="1">"#"</definedName>
    <definedName name="FDC_64_178" hidden="1">"#"</definedName>
    <definedName name="FDC_64_179" hidden="1">"#"</definedName>
    <definedName name="FDC_64_18" hidden="1">"#"</definedName>
    <definedName name="FDC_64_180" hidden="1">"#"</definedName>
    <definedName name="FDC_64_181" hidden="1">"#"</definedName>
    <definedName name="FDC_64_182" hidden="1">"#"</definedName>
    <definedName name="FDC_64_183" hidden="1">"#"</definedName>
    <definedName name="FDC_64_184" hidden="1">"#"</definedName>
    <definedName name="FDC_64_185" hidden="1">"#"</definedName>
    <definedName name="FDC_64_186" hidden="1">"#"</definedName>
    <definedName name="FDC_64_187" hidden="1">"#"</definedName>
    <definedName name="FDC_64_188" hidden="1">"#"</definedName>
    <definedName name="FDC_64_189" hidden="1">"#"</definedName>
    <definedName name="FDC_64_19" hidden="1">"#"</definedName>
    <definedName name="FDC_64_190" hidden="1">"#"</definedName>
    <definedName name="FDC_64_191" hidden="1">"#"</definedName>
    <definedName name="FDC_64_192" hidden="1">"#"</definedName>
    <definedName name="FDC_64_193" hidden="1">"#"</definedName>
    <definedName name="FDC_64_194" hidden="1">"#"</definedName>
    <definedName name="FDC_64_195" hidden="1">"#"</definedName>
    <definedName name="FDC_64_196" hidden="1">"#"</definedName>
    <definedName name="FDC_64_197" hidden="1">"#"</definedName>
    <definedName name="FDC_64_198" hidden="1">"#"</definedName>
    <definedName name="FDC_64_199" hidden="1">"#"</definedName>
    <definedName name="FDC_64_2" hidden="1">"#"</definedName>
    <definedName name="FDC_64_20" hidden="1">"#"</definedName>
    <definedName name="FDC_64_200" hidden="1">"#"</definedName>
    <definedName name="FDC_64_201" hidden="1">"#"</definedName>
    <definedName name="FDC_64_202" hidden="1">"#"</definedName>
    <definedName name="FDC_64_203" hidden="1">"#"</definedName>
    <definedName name="FDC_64_204" hidden="1">"#"</definedName>
    <definedName name="FDC_64_205" hidden="1">"#"</definedName>
    <definedName name="FDC_64_206" hidden="1">"#"</definedName>
    <definedName name="FDC_64_207" hidden="1">"#"</definedName>
    <definedName name="FDC_64_208" hidden="1">"#"</definedName>
    <definedName name="FDC_64_209" hidden="1">"#"</definedName>
    <definedName name="FDC_64_21" hidden="1">"#"</definedName>
    <definedName name="FDC_64_210" hidden="1">"#"</definedName>
    <definedName name="FDC_64_211" hidden="1">"#"</definedName>
    <definedName name="FDC_64_212" hidden="1">"#"</definedName>
    <definedName name="FDC_64_213" hidden="1">"#"</definedName>
    <definedName name="FDC_64_214" hidden="1">"#"</definedName>
    <definedName name="FDC_64_215" hidden="1">"#"</definedName>
    <definedName name="FDC_64_216" hidden="1">"#"</definedName>
    <definedName name="FDC_64_217" hidden="1">"#"</definedName>
    <definedName name="FDC_64_218" hidden="1">"#"</definedName>
    <definedName name="FDC_64_219" hidden="1">"#"</definedName>
    <definedName name="FDC_64_22" hidden="1">"#"</definedName>
    <definedName name="FDC_64_220" hidden="1">"#"</definedName>
    <definedName name="FDC_64_221" hidden="1">"#"</definedName>
    <definedName name="FDC_64_222" hidden="1">"#"</definedName>
    <definedName name="FDC_64_223" hidden="1">"#"</definedName>
    <definedName name="FDC_64_224" hidden="1">"#"</definedName>
    <definedName name="FDC_64_225" hidden="1">"#"</definedName>
    <definedName name="FDC_64_226" hidden="1">"#"</definedName>
    <definedName name="FDC_64_227" hidden="1">"#"</definedName>
    <definedName name="FDC_64_228" hidden="1">"#"</definedName>
    <definedName name="FDC_64_229" hidden="1">"#"</definedName>
    <definedName name="FDC_64_23" hidden="1">"#"</definedName>
    <definedName name="FDC_64_230" hidden="1">"#"</definedName>
    <definedName name="FDC_64_231" hidden="1">"#"</definedName>
    <definedName name="FDC_64_232" hidden="1">"#"</definedName>
    <definedName name="FDC_64_233" hidden="1">"#"</definedName>
    <definedName name="FDC_64_234" hidden="1">"#"</definedName>
    <definedName name="FDC_64_235" hidden="1">"#"</definedName>
    <definedName name="FDC_64_236" hidden="1">"#"</definedName>
    <definedName name="FDC_64_237" hidden="1">"#"</definedName>
    <definedName name="FDC_64_238" hidden="1">"#"</definedName>
    <definedName name="FDC_64_239" hidden="1">"#"</definedName>
    <definedName name="FDC_64_24" hidden="1">"#"</definedName>
    <definedName name="FDC_64_240" hidden="1">"#"</definedName>
    <definedName name="FDC_64_241" hidden="1">"#"</definedName>
    <definedName name="FDC_64_242" hidden="1">"#"</definedName>
    <definedName name="FDC_64_243" hidden="1">"#"</definedName>
    <definedName name="FDC_64_244" hidden="1">"#"</definedName>
    <definedName name="FDC_64_245" hidden="1">"#"</definedName>
    <definedName name="FDC_64_246" hidden="1">"#"</definedName>
    <definedName name="FDC_64_247" hidden="1">"#"</definedName>
    <definedName name="FDC_64_248" hidden="1">"#"</definedName>
    <definedName name="FDC_64_249" hidden="1">"#"</definedName>
    <definedName name="FDC_64_25" hidden="1">"#"</definedName>
    <definedName name="FDC_64_250" hidden="1">"#"</definedName>
    <definedName name="FDC_64_251" hidden="1">"#"</definedName>
    <definedName name="FDC_64_252" hidden="1">"#"</definedName>
    <definedName name="FDC_64_253" hidden="1">"#"</definedName>
    <definedName name="FDC_64_254" hidden="1">"#"</definedName>
    <definedName name="FDC_64_255" hidden="1">"#"</definedName>
    <definedName name="FDC_64_256" hidden="1">"#"</definedName>
    <definedName name="FDC_64_257" hidden="1">"#"</definedName>
    <definedName name="FDC_64_258" hidden="1">"#"</definedName>
    <definedName name="FDC_64_259" hidden="1">"#"</definedName>
    <definedName name="FDC_64_26" hidden="1">"#"</definedName>
    <definedName name="FDC_64_260" hidden="1">"#"</definedName>
    <definedName name="FDC_64_261" hidden="1">"#"</definedName>
    <definedName name="FDC_64_27" hidden="1">"#"</definedName>
    <definedName name="FDC_64_28" hidden="1">"#"</definedName>
    <definedName name="FDC_64_29" hidden="1">"#"</definedName>
    <definedName name="FDC_64_3" hidden="1">"#"</definedName>
    <definedName name="FDC_64_30" hidden="1">"#"</definedName>
    <definedName name="FDC_64_31" hidden="1">"#"</definedName>
    <definedName name="FDC_64_32" hidden="1">"#"</definedName>
    <definedName name="FDC_64_33" hidden="1">"#"</definedName>
    <definedName name="FDC_64_34" hidden="1">"#"</definedName>
    <definedName name="FDC_64_35" hidden="1">"#"</definedName>
    <definedName name="FDC_64_36" hidden="1">"#"</definedName>
    <definedName name="FDC_64_37" hidden="1">"#"</definedName>
    <definedName name="FDC_64_38" hidden="1">"#"</definedName>
    <definedName name="FDC_64_39" hidden="1">"#"</definedName>
    <definedName name="FDC_64_4" hidden="1">"#"</definedName>
    <definedName name="FDC_64_40" hidden="1">"#"</definedName>
    <definedName name="FDC_64_41" hidden="1">"#"</definedName>
    <definedName name="FDC_64_42" hidden="1">"#"</definedName>
    <definedName name="FDC_64_43" hidden="1">"#"</definedName>
    <definedName name="FDC_64_44" hidden="1">"#"</definedName>
    <definedName name="FDC_64_45" hidden="1">"#"</definedName>
    <definedName name="FDC_64_46" hidden="1">"#"</definedName>
    <definedName name="FDC_64_47" hidden="1">"#"</definedName>
    <definedName name="FDC_64_48" hidden="1">"#"</definedName>
    <definedName name="FDC_64_49" hidden="1">"#"</definedName>
    <definedName name="FDC_64_5" hidden="1">"#"</definedName>
    <definedName name="FDC_64_50" hidden="1">"#"</definedName>
    <definedName name="FDC_64_51" hidden="1">"#"</definedName>
    <definedName name="FDC_64_52" hidden="1">"#"</definedName>
    <definedName name="FDC_64_53" hidden="1">"#"</definedName>
    <definedName name="FDC_64_54" hidden="1">"#"</definedName>
    <definedName name="FDC_64_55" hidden="1">"#"</definedName>
    <definedName name="FDC_64_56" hidden="1">"#"</definedName>
    <definedName name="FDC_64_57" hidden="1">"#"</definedName>
    <definedName name="FDC_64_58" hidden="1">"#"</definedName>
    <definedName name="FDC_64_59" hidden="1">"#"</definedName>
    <definedName name="FDC_64_6" hidden="1">"#"</definedName>
    <definedName name="FDC_64_60" hidden="1">"#"</definedName>
    <definedName name="FDC_64_61" hidden="1">"#"</definedName>
    <definedName name="FDC_64_62" hidden="1">"#"</definedName>
    <definedName name="FDC_64_63" hidden="1">"#"</definedName>
    <definedName name="FDC_64_64" hidden="1">"#"</definedName>
    <definedName name="FDC_64_65" hidden="1">"#"</definedName>
    <definedName name="FDC_64_66" hidden="1">"#"</definedName>
    <definedName name="FDC_64_67" hidden="1">"#"</definedName>
    <definedName name="FDC_64_68" hidden="1">"#"</definedName>
    <definedName name="FDC_64_69" hidden="1">"#"</definedName>
    <definedName name="FDC_64_7" hidden="1">"#"</definedName>
    <definedName name="FDC_64_70" hidden="1">"#"</definedName>
    <definedName name="FDC_64_71" hidden="1">"#"</definedName>
    <definedName name="FDC_64_72" hidden="1">"#"</definedName>
    <definedName name="FDC_64_73" hidden="1">"#"</definedName>
    <definedName name="FDC_64_74" hidden="1">"#"</definedName>
    <definedName name="FDC_64_75" hidden="1">"#"</definedName>
    <definedName name="FDC_64_76" hidden="1">"#"</definedName>
    <definedName name="FDC_64_77" hidden="1">"#"</definedName>
    <definedName name="FDC_64_78" hidden="1">"#"</definedName>
    <definedName name="FDC_64_79" hidden="1">"#"</definedName>
    <definedName name="FDC_64_8" hidden="1">"#"</definedName>
    <definedName name="FDC_64_80" hidden="1">"#"</definedName>
    <definedName name="FDC_64_81" hidden="1">"#"</definedName>
    <definedName name="FDC_64_82" hidden="1">"#"</definedName>
    <definedName name="FDC_64_83" hidden="1">"#"</definedName>
    <definedName name="FDC_64_84" hidden="1">"#"</definedName>
    <definedName name="FDC_64_85" hidden="1">"#"</definedName>
    <definedName name="FDC_64_86" hidden="1">"#"</definedName>
    <definedName name="FDC_64_87" hidden="1">"#"</definedName>
    <definedName name="FDC_64_88" hidden="1">"#"</definedName>
    <definedName name="FDC_64_89" hidden="1">"#"</definedName>
    <definedName name="FDC_64_9" hidden="1">"#"</definedName>
    <definedName name="FDC_64_90" hidden="1">"#"</definedName>
    <definedName name="FDC_64_91" hidden="1">"#"</definedName>
    <definedName name="FDC_64_92" hidden="1">"#"</definedName>
    <definedName name="FDC_64_93" hidden="1">"#"</definedName>
    <definedName name="FDC_64_94" hidden="1">"#"</definedName>
    <definedName name="FDC_64_95" hidden="1">"#"</definedName>
    <definedName name="FDC_64_96" hidden="1">"#"</definedName>
    <definedName name="FDC_64_97" hidden="1">"#"</definedName>
    <definedName name="FDC_64_98" hidden="1">"#"</definedName>
    <definedName name="FDC_64_99" hidden="1">"#"</definedName>
    <definedName name="FDC_65_0" hidden="1">"#"</definedName>
    <definedName name="FDC_7_0" hidden="1">"#"</definedName>
    <definedName name="FDC_7_1" hidden="1">"#"</definedName>
    <definedName name="FDC_7_2" hidden="1">"#"</definedName>
    <definedName name="FDC_7_3" hidden="1">"#"</definedName>
    <definedName name="FDC_8_0" hidden="1">"#"</definedName>
    <definedName name="FDC_8_1" hidden="1">"#"</definedName>
    <definedName name="FDC_8_2" hidden="1">"#"</definedName>
    <definedName name="FDC_8_3" hidden="1">"#"</definedName>
    <definedName name="FDC_9_0" hidden="1">"#"</definedName>
    <definedName name="FDC_9_1" hidden="1">"#"</definedName>
    <definedName name="FDC_9_2" hidden="1">"#"</definedName>
    <definedName name="FDC_9_3" hidden="1">"#"</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_1" hidden="1">"A35795"</definedName>
    <definedName name="FDD_10_2" hidden="1">"A36160"</definedName>
    <definedName name="FDD_10_3" hidden="1">"E36525"</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_1" hidden="1">"E35795"</definedName>
    <definedName name="FDD_11_2" hidden="1">"E36160"</definedName>
    <definedName name="FDD_11_3" hidden="1">"E36525"</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_1" hidden="1">"E35795"</definedName>
    <definedName name="FDD_12_2" hidden="1">"E36160"</definedName>
    <definedName name="FDD_12_3" hidden="1">"E36525"</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_1" hidden="1">"A35795"</definedName>
    <definedName name="FDD_19_2" hidden="1">"E36160"</definedName>
    <definedName name="FDD_19_3" hidden="1">"E36525"</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_1" hidden="1">"U35795"</definedName>
    <definedName name="FDD_25_2" hidden="1">"U36160"</definedName>
    <definedName name="FDD_25_3" hidden="1">"U36525"</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1_1" hidden="1">"A35795"</definedName>
    <definedName name="FDD_41_2" hidden="1">"E36160"</definedName>
    <definedName name="FDD_41_3" hidden="1">"E36525"</definedName>
    <definedName name="FDD_42_0" hidden="1">"U25569"</definedName>
    <definedName name="FDD_42_1" hidden="1">"U35795"</definedName>
    <definedName name="FDD_42_2" hidden="1">"U36160"</definedName>
    <definedName name="FDD_42_3" hidden="1">"U36525"</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_1" hidden="1">"E35795"</definedName>
    <definedName name="FDD_5_2" hidden="1">"E36160"</definedName>
    <definedName name="FDD_5_3" hidden="1">"E36525"</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00" hidden="1">"A35044"</definedName>
    <definedName name="FDD_58_101" hidden="1">"A35051"</definedName>
    <definedName name="FDD_58_102" hidden="1">"A35058"</definedName>
    <definedName name="FDD_58_103" hidden="1">"A35065"</definedName>
    <definedName name="FDD_58_104" hidden="1">"A35072"</definedName>
    <definedName name="FDD_58_105" hidden="1">"A35079"</definedName>
    <definedName name="FDD_58_106" hidden="1">"A35086"</definedName>
    <definedName name="FDD_58_107" hidden="1">"A35093"</definedName>
    <definedName name="FDD_58_108" hidden="1">"A35100"</definedName>
    <definedName name="FDD_58_109" hidden="1">"A35107"</definedName>
    <definedName name="FDD_58_11" hidden="1">"A34699"</definedName>
    <definedName name="FDD_58_110" hidden="1">"A35114"</definedName>
    <definedName name="FDD_58_111" hidden="1">"A35121"</definedName>
    <definedName name="FDD_58_112" hidden="1">"A35128"</definedName>
    <definedName name="FDD_58_113" hidden="1">"A35135"</definedName>
    <definedName name="FDD_58_114" hidden="1">"A35142"</definedName>
    <definedName name="FDD_58_115" hidden="1">"A35149"</definedName>
    <definedName name="FDD_58_116" hidden="1">"A35156"</definedName>
    <definedName name="FDD_58_117" hidden="1">"A35162"</definedName>
    <definedName name="FDD_58_118" hidden="1">"A35170"</definedName>
    <definedName name="FDD_58_119" hidden="1">"A35177"</definedName>
    <definedName name="FDD_58_12" hidden="1">"A35064"</definedName>
    <definedName name="FDD_58_120" hidden="1">"A35184"</definedName>
    <definedName name="FDD_58_121" hidden="1">"A35191"</definedName>
    <definedName name="FDD_58_122" hidden="1">"A35198"</definedName>
    <definedName name="FDD_58_123" hidden="1">"A35205"</definedName>
    <definedName name="FDD_58_124" hidden="1">"A35212"</definedName>
    <definedName name="FDD_58_125" hidden="1">"A35219"</definedName>
    <definedName name="FDD_58_126" hidden="1">"A35226"</definedName>
    <definedName name="FDD_58_127" hidden="1">"A35233"</definedName>
    <definedName name="FDD_58_128" hidden="1">"A35240"</definedName>
    <definedName name="FDD_58_129" hidden="1">"A35247"</definedName>
    <definedName name="FDD_58_13" hidden="1">"A35430"</definedName>
    <definedName name="FDD_58_130" hidden="1">"A35254"</definedName>
    <definedName name="FDD_58_131" hidden="1">"A35261"</definedName>
    <definedName name="FDD_58_132" hidden="1">"A35268"</definedName>
    <definedName name="FDD_58_133" hidden="1">"A35275"</definedName>
    <definedName name="FDD_58_134" hidden="1">"A35282"</definedName>
    <definedName name="FDD_58_135" hidden="1">"A35289"</definedName>
    <definedName name="FDD_58_136" hidden="1">"A35296"</definedName>
    <definedName name="FDD_58_137" hidden="1">"A35303"</definedName>
    <definedName name="FDD_58_138" hidden="1">"A35310"</definedName>
    <definedName name="FDD_58_139" hidden="1">"A35317"</definedName>
    <definedName name="FDD_58_14" hidden="1">"A35795"</definedName>
    <definedName name="FDD_58_140" hidden="1">"A35324"</definedName>
    <definedName name="FDD_58_141" hidden="1">"A35331"</definedName>
    <definedName name="FDD_58_142" hidden="1">"A35338"</definedName>
    <definedName name="FDD_58_143" hidden="1">"A35345"</definedName>
    <definedName name="FDD_58_144" hidden="1">"A35352"</definedName>
    <definedName name="FDD_58_145" hidden="1">"A35359"</definedName>
    <definedName name="FDD_58_146" hidden="1">"A35366"</definedName>
    <definedName name="FDD_58_147" hidden="1">"A35373"</definedName>
    <definedName name="FDD_58_148" hidden="1">"A35380"</definedName>
    <definedName name="FDD_58_149" hidden="1">"A35387"</definedName>
    <definedName name="FDD_58_15" hidden="1">"A34449"</definedName>
    <definedName name="FDD_58_150" hidden="1">"A35394"</definedName>
    <definedName name="FDD_58_151" hidden="1">"A35401"</definedName>
    <definedName name="FDD_58_152" hidden="1">"A35408"</definedName>
    <definedName name="FDD_58_153" hidden="1">"A35415"</definedName>
    <definedName name="FDD_58_154" hidden="1">"A35422"</definedName>
    <definedName name="FDD_58_155" hidden="1">"A35429"</definedName>
    <definedName name="FDD_58_156" hidden="1">"A35436"</definedName>
    <definedName name="FDD_58_157" hidden="1">"A35443"</definedName>
    <definedName name="FDD_58_158" hidden="1">"A35450"</definedName>
    <definedName name="FDD_58_159" hidden="1">"A35457"</definedName>
    <definedName name="FDD_58_16" hidden="1">"A34456"</definedName>
    <definedName name="FDD_58_160" hidden="1">"A35464"</definedName>
    <definedName name="FDD_58_161" hidden="1">"A35471"</definedName>
    <definedName name="FDD_58_162" hidden="1">"A35478"</definedName>
    <definedName name="FDD_58_163" hidden="1">"A35485"</definedName>
    <definedName name="FDD_58_164" hidden="1">"A35492"</definedName>
    <definedName name="FDD_58_165" hidden="1">"A35499"</definedName>
    <definedName name="FDD_58_166" hidden="1">"A35506"</definedName>
    <definedName name="FDD_58_167" hidden="1">"A35513"</definedName>
    <definedName name="FDD_58_168" hidden="1">"A35520"</definedName>
    <definedName name="FDD_58_169" hidden="1">"A35527"</definedName>
    <definedName name="FDD_58_17" hidden="1">"A34463"</definedName>
    <definedName name="FDD_58_170" hidden="1">"A35534"</definedName>
    <definedName name="FDD_58_171" hidden="1">"A35541"</definedName>
    <definedName name="FDD_58_172" hidden="1">"A35548"</definedName>
    <definedName name="FDD_58_173" hidden="1">"A35555"</definedName>
    <definedName name="FDD_58_174" hidden="1">"A35562"</definedName>
    <definedName name="FDD_58_175" hidden="1">"A35569"</definedName>
    <definedName name="FDD_58_176" hidden="1">"A35576"</definedName>
    <definedName name="FDD_58_177" hidden="1">"A35583"</definedName>
    <definedName name="FDD_58_178" hidden="1">"A35590"</definedName>
    <definedName name="FDD_58_179" hidden="1">"A35597"</definedName>
    <definedName name="FDD_58_18" hidden="1">"A34470"</definedName>
    <definedName name="FDD_58_180" hidden="1">"A35604"</definedName>
    <definedName name="FDD_58_181" hidden="1">"A35611"</definedName>
    <definedName name="FDD_58_182" hidden="1">"A35618"</definedName>
    <definedName name="FDD_58_183" hidden="1">"A35625"</definedName>
    <definedName name="FDD_58_184" hidden="1">"A35632"</definedName>
    <definedName name="FDD_58_185" hidden="1">"A35639"</definedName>
    <definedName name="FDD_58_186" hidden="1">"A35646"</definedName>
    <definedName name="FDD_58_187" hidden="1">"A35653"</definedName>
    <definedName name="FDD_58_188" hidden="1">"A35660"</definedName>
    <definedName name="FDD_58_189" hidden="1">"A35667"</definedName>
    <definedName name="FDD_58_19" hidden="1">"A34477"</definedName>
    <definedName name="FDD_58_190" hidden="1">"A35674"</definedName>
    <definedName name="FDD_58_191" hidden="1">"A35681"</definedName>
    <definedName name="FDD_58_192" hidden="1">"A35688"</definedName>
    <definedName name="FDD_58_193" hidden="1">"A35695"</definedName>
    <definedName name="FDD_58_194" hidden="1">"A35702"</definedName>
    <definedName name="FDD_58_195" hidden="1">"A35709"</definedName>
    <definedName name="FDD_58_196" hidden="1">"A35716"</definedName>
    <definedName name="FDD_58_197" hidden="1">"A35723"</definedName>
    <definedName name="FDD_58_198" hidden="1">"A35730"</definedName>
    <definedName name="FDD_58_199" hidden="1">"A35737"</definedName>
    <definedName name="FDD_58_2" hidden="1">"A31412"</definedName>
    <definedName name="FDD_58_20" hidden="1">"A34484"</definedName>
    <definedName name="FDD_58_200" hidden="1">"A35744"</definedName>
    <definedName name="FDD_58_201" hidden="1">"A35751"</definedName>
    <definedName name="FDD_58_202" hidden="1">"A35758"</definedName>
    <definedName name="FDD_58_203" hidden="1">"A35765"</definedName>
    <definedName name="FDD_58_204" hidden="1">"A35772"</definedName>
    <definedName name="FDD_58_205" hidden="1">"A35779"</definedName>
    <definedName name="FDD_58_206" hidden="1">"A35786"</definedName>
    <definedName name="FDD_58_207" hidden="1">"A35793"</definedName>
    <definedName name="FDD_58_208" hidden="1">"A35800"</definedName>
    <definedName name="FDD_58_209" hidden="1">"A35807"</definedName>
    <definedName name="FDD_58_21" hidden="1">"A34491"</definedName>
    <definedName name="FDD_58_210" hidden="1">"A35814"</definedName>
    <definedName name="FDD_58_211" hidden="1">"A35821"</definedName>
    <definedName name="FDD_58_212" hidden="1">"A35828"</definedName>
    <definedName name="FDD_58_213" hidden="1">"A35835"</definedName>
    <definedName name="FDD_58_214" hidden="1">"A35842"</definedName>
    <definedName name="FDD_58_215" hidden="1">"A35849"</definedName>
    <definedName name="FDD_58_216" hidden="1">"A35856"</definedName>
    <definedName name="FDD_58_217" hidden="1">"A35863"</definedName>
    <definedName name="FDD_58_218" hidden="1">"A35870"</definedName>
    <definedName name="FDD_58_219" hidden="1">"A35877"</definedName>
    <definedName name="FDD_58_22" hidden="1">"A34498"</definedName>
    <definedName name="FDD_58_220" hidden="1">"A35884"</definedName>
    <definedName name="FDD_58_221" hidden="1">"A35891"</definedName>
    <definedName name="FDD_58_222" hidden="1">"A35898"</definedName>
    <definedName name="FDD_58_223" hidden="1">"A35905"</definedName>
    <definedName name="FDD_58_224" hidden="1">"A35912"</definedName>
    <definedName name="FDD_58_225" hidden="1">"A35919"</definedName>
    <definedName name="FDD_58_226" hidden="1">"A35926"</definedName>
    <definedName name="FDD_58_227" hidden="1">"A35933"</definedName>
    <definedName name="FDD_58_228" hidden="1">"A35940"</definedName>
    <definedName name="FDD_58_229" hidden="1">"A35947"</definedName>
    <definedName name="FDD_58_23" hidden="1">"A34505"</definedName>
    <definedName name="FDD_58_230" hidden="1">"A35954"</definedName>
    <definedName name="FDD_58_231" hidden="1">"A35961"</definedName>
    <definedName name="FDD_58_232" hidden="1">"A35968"</definedName>
    <definedName name="FDD_58_233" hidden="1">"A35975"</definedName>
    <definedName name="FDD_58_234" hidden="1">"A35982"</definedName>
    <definedName name="FDD_58_235" hidden="1">"A35989"</definedName>
    <definedName name="FDD_58_236" hidden="1">"A35996"</definedName>
    <definedName name="FDD_58_237" hidden="1">"A36003"</definedName>
    <definedName name="FDD_58_238" hidden="1">"A36010"</definedName>
    <definedName name="FDD_58_239" hidden="1">"A36017"</definedName>
    <definedName name="FDD_58_24" hidden="1">"A34512"</definedName>
    <definedName name="FDD_58_240" hidden="1">"A36024"</definedName>
    <definedName name="FDD_58_241" hidden="1">"A36031"</definedName>
    <definedName name="FDD_58_242" hidden="1">"A36038"</definedName>
    <definedName name="FDD_58_243" hidden="1">"A36045"</definedName>
    <definedName name="FDD_58_244" hidden="1">"A36052"</definedName>
    <definedName name="FDD_58_245" hidden="1">"A36059"</definedName>
    <definedName name="FDD_58_246" hidden="1">"A36066"</definedName>
    <definedName name="FDD_58_247" hidden="1">"A36073"</definedName>
    <definedName name="FDD_58_248" hidden="1">"A36080"</definedName>
    <definedName name="FDD_58_249" hidden="1">"A36087"</definedName>
    <definedName name="FDD_58_25" hidden="1">"A34519"</definedName>
    <definedName name="FDD_58_250" hidden="1">"A36094"</definedName>
    <definedName name="FDD_58_251" hidden="1">"A36101"</definedName>
    <definedName name="FDD_58_252" hidden="1">"A36108"</definedName>
    <definedName name="FDD_58_253" hidden="1">"A36115"</definedName>
    <definedName name="FDD_58_254" hidden="1">"A36122"</definedName>
    <definedName name="FDD_58_255" hidden="1">"A36129"</definedName>
    <definedName name="FDD_58_256" hidden="1">"A36136"</definedName>
    <definedName name="FDD_58_257" hidden="1">"A36143"</definedName>
    <definedName name="FDD_58_258" hidden="1">"A36150"</definedName>
    <definedName name="FDD_58_259" hidden="1">"A36157"</definedName>
    <definedName name="FDD_58_26" hidden="1">"A34526"</definedName>
    <definedName name="FDD_58_260" hidden="1">"A36164"</definedName>
    <definedName name="FDD_58_27" hidden="1">"A34533"</definedName>
    <definedName name="FDD_58_28" hidden="1">"A34540"</definedName>
    <definedName name="FDD_58_29" hidden="1">"A34547"</definedName>
    <definedName name="FDD_58_3" hidden="1">"A31777"</definedName>
    <definedName name="FDD_58_30" hidden="1">"A34554"</definedName>
    <definedName name="FDD_58_31" hidden="1">"A34561"</definedName>
    <definedName name="FDD_58_32" hidden="1">"A34568"</definedName>
    <definedName name="FDD_58_33" hidden="1">"A34575"</definedName>
    <definedName name="FDD_58_34" hidden="1">"A34582"</definedName>
    <definedName name="FDD_58_35" hidden="1">"A34589"</definedName>
    <definedName name="FDD_58_36" hidden="1">"A34596"</definedName>
    <definedName name="FDD_58_37" hidden="1">"A34603"</definedName>
    <definedName name="FDD_58_38" hidden="1">"A34610"</definedName>
    <definedName name="FDD_58_39" hidden="1">"A34617"</definedName>
    <definedName name="FDD_58_4" hidden="1">"A32142"</definedName>
    <definedName name="FDD_58_40" hidden="1">"A34624"</definedName>
    <definedName name="FDD_58_41" hidden="1">"A34631"</definedName>
    <definedName name="FDD_58_42" hidden="1">"A34638"</definedName>
    <definedName name="FDD_58_43" hidden="1">"A34645"</definedName>
    <definedName name="FDD_58_44" hidden="1">"A34652"</definedName>
    <definedName name="FDD_58_45" hidden="1">"A34659"</definedName>
    <definedName name="FDD_58_46" hidden="1">"A34666"</definedName>
    <definedName name="FDD_58_47" hidden="1">"A34673"</definedName>
    <definedName name="FDD_58_48" hidden="1">"A34680"</definedName>
    <definedName name="FDD_58_49" hidden="1">"A34687"</definedName>
    <definedName name="FDD_58_5" hidden="1">"A32508"</definedName>
    <definedName name="FDD_58_50" hidden="1">"A34694"</definedName>
    <definedName name="FDD_58_51" hidden="1">"A34701"</definedName>
    <definedName name="FDD_58_52" hidden="1">"A34708"</definedName>
    <definedName name="FDD_58_53" hidden="1">"A34715"</definedName>
    <definedName name="FDD_58_54" hidden="1">"A34722"</definedName>
    <definedName name="FDD_58_55" hidden="1">"A34729"</definedName>
    <definedName name="FDD_58_56" hidden="1">"A34736"</definedName>
    <definedName name="FDD_58_57" hidden="1">"A34743"</definedName>
    <definedName name="FDD_58_58" hidden="1">"A34750"</definedName>
    <definedName name="FDD_58_59" hidden="1">"A34757"</definedName>
    <definedName name="FDD_58_6" hidden="1">"A32873"</definedName>
    <definedName name="FDD_58_60" hidden="1">"A34764"</definedName>
    <definedName name="FDD_58_61" hidden="1">"A34771"</definedName>
    <definedName name="FDD_58_62" hidden="1">"A34778"</definedName>
    <definedName name="FDD_58_63" hidden="1">"A34785"</definedName>
    <definedName name="FDD_58_64" hidden="1">"A34792"</definedName>
    <definedName name="FDD_58_65" hidden="1">"A34799"</definedName>
    <definedName name="FDD_58_66" hidden="1">"A34806"</definedName>
    <definedName name="FDD_58_67" hidden="1">"A34813"</definedName>
    <definedName name="FDD_58_68" hidden="1">"A34820"</definedName>
    <definedName name="FDD_58_69" hidden="1">"A34827"</definedName>
    <definedName name="FDD_58_7" hidden="1">"A33238"</definedName>
    <definedName name="FDD_58_70" hidden="1">"A34834"</definedName>
    <definedName name="FDD_58_71" hidden="1">"A34841"</definedName>
    <definedName name="FDD_58_72" hidden="1">"A34848"</definedName>
    <definedName name="FDD_58_73" hidden="1">"A34855"</definedName>
    <definedName name="FDD_58_74" hidden="1">"A34862"</definedName>
    <definedName name="FDD_58_75" hidden="1">"A34869"</definedName>
    <definedName name="FDD_58_76" hidden="1">"A34876"</definedName>
    <definedName name="FDD_58_77" hidden="1">"A34883"</definedName>
    <definedName name="FDD_58_78" hidden="1">"A34890"</definedName>
    <definedName name="FDD_58_79" hidden="1">"A34897"</definedName>
    <definedName name="FDD_58_8" hidden="1">"A33603"</definedName>
    <definedName name="FDD_58_80" hidden="1">"A34904"</definedName>
    <definedName name="FDD_58_81" hidden="1">"A34911"</definedName>
    <definedName name="FDD_58_82" hidden="1">"A34918"</definedName>
    <definedName name="FDD_58_83" hidden="1">"A34925"</definedName>
    <definedName name="FDD_58_84" hidden="1">"A34932"</definedName>
    <definedName name="FDD_58_85" hidden="1">"A34939"</definedName>
    <definedName name="FDD_58_86" hidden="1">"A34946"</definedName>
    <definedName name="FDD_58_87" hidden="1">"A34953"</definedName>
    <definedName name="FDD_58_88" hidden="1">"A34960"</definedName>
    <definedName name="FDD_58_89" hidden="1">"A34967"</definedName>
    <definedName name="FDD_58_9" hidden="1">"A33969"</definedName>
    <definedName name="FDD_58_90" hidden="1">"A34974"</definedName>
    <definedName name="FDD_58_91" hidden="1">"A34981"</definedName>
    <definedName name="FDD_58_92" hidden="1">"A34988"</definedName>
    <definedName name="FDD_58_93" hidden="1">"A34995"</definedName>
    <definedName name="FDD_58_94" hidden="1">"A35002"</definedName>
    <definedName name="FDD_58_95" hidden="1">"A35009"</definedName>
    <definedName name="FDD_58_96" hidden="1">"A35016"</definedName>
    <definedName name="FDD_58_97" hidden="1">"A35023"</definedName>
    <definedName name="FDD_58_98" hidden="1">"A35030"</definedName>
    <definedName name="FDD_58_99" hidden="1">"A35037"</definedName>
    <definedName name="FDD_59_0" hidden="1">"A30681"</definedName>
    <definedName name="FDD_59_1" hidden="1">"A31047"</definedName>
    <definedName name="FDD_59_10" hidden="1">"A34334"</definedName>
    <definedName name="FDD_59_100" hidden="1">"A35044"</definedName>
    <definedName name="FDD_59_101" hidden="1">"A35051"</definedName>
    <definedName name="FDD_59_102" hidden="1">"A35059"</definedName>
    <definedName name="FDD_59_103" hidden="1">"A35065"</definedName>
    <definedName name="FDD_59_104" hidden="1">"A35072"</definedName>
    <definedName name="FDD_59_105" hidden="1">"A35079"</definedName>
    <definedName name="FDD_59_106" hidden="1">"A35086"</definedName>
    <definedName name="FDD_59_107" hidden="1">"A35093"</definedName>
    <definedName name="FDD_59_108" hidden="1">"A35100"</definedName>
    <definedName name="FDD_59_109" hidden="1">"A35107"</definedName>
    <definedName name="FDD_59_11" hidden="1">"A34699"</definedName>
    <definedName name="FDD_59_110" hidden="1">"A35114"</definedName>
    <definedName name="FDD_59_111" hidden="1">"A35121"</definedName>
    <definedName name="FDD_59_112" hidden="1">"A35128"</definedName>
    <definedName name="FDD_59_113" hidden="1">"A35135"</definedName>
    <definedName name="FDD_59_114" hidden="1">"A35141"</definedName>
    <definedName name="FDD_59_115" hidden="1">"A35149"</definedName>
    <definedName name="FDD_59_116" hidden="1">"A35156"</definedName>
    <definedName name="FDD_59_117" hidden="1">"A35163"</definedName>
    <definedName name="FDD_59_118" hidden="1">"A35170"</definedName>
    <definedName name="FDD_59_119" hidden="1">"A35177"</definedName>
    <definedName name="FDD_59_12" hidden="1">"A35064"</definedName>
    <definedName name="FDD_59_120" hidden="1">"A35184"</definedName>
    <definedName name="FDD_59_121" hidden="1">"A35192"</definedName>
    <definedName name="FDD_59_122" hidden="1">"A35198"</definedName>
    <definedName name="FDD_59_123" hidden="1">"A35205"</definedName>
    <definedName name="FDD_59_124" hidden="1">"A35213"</definedName>
    <definedName name="FDD_59_125" hidden="1">"A35219"</definedName>
    <definedName name="FDD_59_126" hidden="1">"A35226"</definedName>
    <definedName name="FDD_59_127" hidden="1">"A35233"</definedName>
    <definedName name="FDD_59_128" hidden="1">"A35240"</definedName>
    <definedName name="FDD_59_129" hidden="1">"A35247"</definedName>
    <definedName name="FDD_59_13" hidden="1">"A35430"</definedName>
    <definedName name="FDD_59_130" hidden="1">"A35254"</definedName>
    <definedName name="FDD_59_131" hidden="1">"A35261"</definedName>
    <definedName name="FDD_59_132" hidden="1">"A35268"</definedName>
    <definedName name="FDD_59_133" hidden="1">"A35275"</definedName>
    <definedName name="FDD_59_134" hidden="1">"A35282"</definedName>
    <definedName name="FDD_59_135" hidden="1">"A35289"</definedName>
    <definedName name="FDD_59_136" hidden="1">"A35296"</definedName>
    <definedName name="FDD_59_137" hidden="1">"A35303"</definedName>
    <definedName name="FDD_59_138" hidden="1">"A35310"</definedName>
    <definedName name="FDD_59_139" hidden="1">"A35317"</definedName>
    <definedName name="FDD_59_14" hidden="1">"A35795"</definedName>
    <definedName name="FDD_59_140" hidden="1">"A35324"</definedName>
    <definedName name="FDD_59_141" hidden="1">"A35331"</definedName>
    <definedName name="FDD_59_142" hidden="1">"A35338"</definedName>
    <definedName name="FDD_59_143" hidden="1">"A35345"</definedName>
    <definedName name="FDD_59_144" hidden="1">"A35352"</definedName>
    <definedName name="FDD_59_145" hidden="1">"A35359"</definedName>
    <definedName name="FDD_59_146" hidden="1">"A35366"</definedName>
    <definedName name="FDD_59_147" hidden="1">"A35373"</definedName>
    <definedName name="FDD_59_148" hidden="1">"A35380"</definedName>
    <definedName name="FDD_59_149" hidden="1">"A35387"</definedName>
    <definedName name="FDD_59_15" hidden="1">"A34449"</definedName>
    <definedName name="FDD_59_150" hidden="1">"A35394"</definedName>
    <definedName name="FDD_59_151" hidden="1">"A35401"</definedName>
    <definedName name="FDD_59_152" hidden="1">"A35408"</definedName>
    <definedName name="FDD_59_153" hidden="1">"A35415"</definedName>
    <definedName name="FDD_59_154" hidden="1">"A35422"</definedName>
    <definedName name="FDD_59_155" hidden="1">"A35429"</definedName>
    <definedName name="FDD_59_156" hidden="1">"A35436"</definedName>
    <definedName name="FDD_59_157" hidden="1">"A35443"</definedName>
    <definedName name="FDD_59_158" hidden="1">"A35450"</definedName>
    <definedName name="FDD_59_159" hidden="1">"A35457"</definedName>
    <definedName name="FDD_59_16" hidden="1">"A34457"</definedName>
    <definedName name="FDD_59_160" hidden="1">"A35464"</definedName>
    <definedName name="FDD_59_161" hidden="1">"A35471"</definedName>
    <definedName name="FDD_59_162" hidden="1">"A35478"</definedName>
    <definedName name="FDD_59_163" hidden="1">"A35485"</definedName>
    <definedName name="FDD_59_164" hidden="1">"A35492"</definedName>
    <definedName name="FDD_59_165" hidden="1">"A35499"</definedName>
    <definedName name="FDD_59_166" hidden="1">"A35506"</definedName>
    <definedName name="FDD_59_167" hidden="1">"A35513"</definedName>
    <definedName name="FDD_59_168" hidden="1">"A35521"</definedName>
    <definedName name="FDD_59_169" hidden="1">"A35527"</definedName>
    <definedName name="FDD_59_17" hidden="1">"A34463"</definedName>
    <definedName name="FDD_59_170" hidden="1">"A35534"</definedName>
    <definedName name="FDD_59_171" hidden="1">"A35541"</definedName>
    <definedName name="FDD_59_172" hidden="1">"A35548"</definedName>
    <definedName name="FDD_59_173" hidden="1">"A35556"</definedName>
    <definedName name="FDD_59_174" hidden="1">"A35562"</definedName>
    <definedName name="FDD_59_175" hidden="1">"A35569"</definedName>
    <definedName name="FDD_59_176" hidden="1">"A35577"</definedName>
    <definedName name="FDD_59_177" hidden="1">"A35583"</definedName>
    <definedName name="FDD_59_178" hidden="1">"A35590"</definedName>
    <definedName name="FDD_59_179" hidden="1">"A35597"</definedName>
    <definedName name="FDD_59_18" hidden="1">"A34470"</definedName>
    <definedName name="FDD_59_180" hidden="1">"A35604"</definedName>
    <definedName name="FDD_59_181" hidden="1">"A35611"</definedName>
    <definedName name="FDD_59_182" hidden="1">"A35618"</definedName>
    <definedName name="FDD_59_183" hidden="1">"A35625"</definedName>
    <definedName name="FDD_59_184" hidden="1">"A35632"</definedName>
    <definedName name="FDD_59_185" hidden="1">"A35639"</definedName>
    <definedName name="FDD_59_186" hidden="1">"A35646"</definedName>
    <definedName name="FDD_59_187" hidden="1">"A35653"</definedName>
    <definedName name="FDD_59_188" hidden="1">"A35660"</definedName>
    <definedName name="FDD_59_189" hidden="1">"A35668"</definedName>
    <definedName name="FDD_59_19" hidden="1">"A34477"</definedName>
    <definedName name="FDD_59_190" hidden="1">"A35674"</definedName>
    <definedName name="FDD_59_191" hidden="1">"A35681"</definedName>
    <definedName name="FDD_59_192" hidden="1">"A35688"</definedName>
    <definedName name="FDD_59_193" hidden="1">"A35695"</definedName>
    <definedName name="FDD_59_194" hidden="1">"A35702"</definedName>
    <definedName name="FDD_59_195" hidden="1">"A35709"</definedName>
    <definedName name="FDD_59_196" hidden="1">"A35716"</definedName>
    <definedName name="FDD_59_197" hidden="1">"A35723"</definedName>
    <definedName name="FDD_59_198" hidden="1">"A35730"</definedName>
    <definedName name="FDD_59_199" hidden="1">"A35737"</definedName>
    <definedName name="FDD_59_2" hidden="1">"A31412"</definedName>
    <definedName name="FDD_59_20" hidden="1">"A34485"</definedName>
    <definedName name="FDD_59_200" hidden="1">"A35744"</definedName>
    <definedName name="FDD_59_201" hidden="1">"A35751"</definedName>
    <definedName name="FDD_59_202" hidden="1">"A35758"</definedName>
    <definedName name="FDD_59_203" hidden="1">"A35765"</definedName>
    <definedName name="FDD_59_204" hidden="1">"A35772"</definedName>
    <definedName name="FDD_59_205" hidden="1">"A35779"</definedName>
    <definedName name="FDD_59_206" hidden="1">"A35786"</definedName>
    <definedName name="FDD_59_207" hidden="1">"A35793"</definedName>
    <definedName name="FDD_59_208" hidden="1">"A35800"</definedName>
    <definedName name="FDD_59_209" hidden="1">"A35807"</definedName>
    <definedName name="FDD_59_21" hidden="1">"A34491"</definedName>
    <definedName name="FDD_59_210" hidden="1">"A35814"</definedName>
    <definedName name="FDD_59_211" hidden="1">"A35821"</definedName>
    <definedName name="FDD_59_212" hidden="1">"A35828"</definedName>
    <definedName name="FDD_59_213" hidden="1">"A35835"</definedName>
    <definedName name="FDD_59_214" hidden="1">"A35842"</definedName>
    <definedName name="FDD_59_215" hidden="1">"A35849"</definedName>
    <definedName name="FDD_59_216" hidden="1">"A35856"</definedName>
    <definedName name="FDD_59_217" hidden="1">"A35863"</definedName>
    <definedName name="FDD_59_218" hidden="1">"A35870"</definedName>
    <definedName name="FDD_59_219" hidden="1">"A35877"</definedName>
    <definedName name="FDD_59_22" hidden="1">"A34498"</definedName>
    <definedName name="FDD_59_220" hidden="1">"A35884"</definedName>
    <definedName name="FDD_59_221" hidden="1">"A35891"</definedName>
    <definedName name="FDD_59_222" hidden="1">"A35899"</definedName>
    <definedName name="FDD_59_223" hidden="1">"A35905"</definedName>
    <definedName name="FDD_59_224" hidden="1">"A35912"</definedName>
    <definedName name="FDD_59_225" hidden="1">"A35919"</definedName>
    <definedName name="FDD_59_226" hidden="1">"A35926"</definedName>
    <definedName name="FDD_59_227" hidden="1">"A35933"</definedName>
    <definedName name="FDD_59_228" hidden="1">"A35941"</definedName>
    <definedName name="FDD_59_229" hidden="1">"A35947"</definedName>
    <definedName name="FDD_59_23" hidden="1">"A34505"</definedName>
    <definedName name="FDD_59_230" hidden="1">"A35954"</definedName>
    <definedName name="FDD_59_231" hidden="1">"A35961"</definedName>
    <definedName name="FDD_59_232" hidden="1">"A35968"</definedName>
    <definedName name="FDD_59_233" hidden="1">"A35975"</definedName>
    <definedName name="FDD_59_234" hidden="1">"A35982"</definedName>
    <definedName name="FDD_59_235" hidden="1">"A35989"</definedName>
    <definedName name="FDD_59_236" hidden="1">"A35996"</definedName>
    <definedName name="FDD_59_237" hidden="1">"A36003"</definedName>
    <definedName name="FDD_59_238" hidden="1">"A36010"</definedName>
    <definedName name="FDD_59_239" hidden="1">"A36017"</definedName>
    <definedName name="FDD_59_24" hidden="1">"A34512"</definedName>
    <definedName name="FDD_59_240" hidden="1">"A36024"</definedName>
    <definedName name="FDD_59_241" hidden="1">"A36031"</definedName>
    <definedName name="FDD_59_242" hidden="1">"A36039"</definedName>
    <definedName name="FDD_59_243" hidden="1">"A36045"</definedName>
    <definedName name="FDD_59_244" hidden="1">"A36052"</definedName>
    <definedName name="FDD_59_245" hidden="1">"A36059"</definedName>
    <definedName name="FDD_59_246" hidden="1">"A36066"</definedName>
    <definedName name="FDD_59_247" hidden="1">"A36073"</definedName>
    <definedName name="FDD_59_248" hidden="1">"A36080"</definedName>
    <definedName name="FDD_59_249" hidden="1">"A36087"</definedName>
    <definedName name="FDD_59_25" hidden="1">"A34519"</definedName>
    <definedName name="FDD_59_250" hidden="1">"A36094"</definedName>
    <definedName name="FDD_59_251" hidden="1">"A36101"</definedName>
    <definedName name="FDD_59_252" hidden="1">"A36108"</definedName>
    <definedName name="FDD_59_253" hidden="1">"A36116"</definedName>
    <definedName name="FDD_59_254" hidden="1">"A36122"</definedName>
    <definedName name="FDD_59_255" hidden="1">"A36129"</definedName>
    <definedName name="FDD_59_256" hidden="1">"A36136"</definedName>
    <definedName name="FDD_59_257" hidden="1">"A36143"</definedName>
    <definedName name="FDD_59_258" hidden="1">"A36150"</definedName>
    <definedName name="FDD_59_259" hidden="1">"A36157"</definedName>
    <definedName name="FDD_59_26" hidden="1">"A34526"</definedName>
    <definedName name="FDD_59_260" hidden="1">"A36164"</definedName>
    <definedName name="FDD_59_27" hidden="1">"A34533"</definedName>
    <definedName name="FDD_59_28" hidden="1">"A34540"</definedName>
    <definedName name="FDD_59_29" hidden="1">"A34547"</definedName>
    <definedName name="FDD_59_3" hidden="1">"A31777"</definedName>
    <definedName name="FDD_59_30" hidden="1">"A34554"</definedName>
    <definedName name="FDD_59_31" hidden="1">"A34561"</definedName>
    <definedName name="FDD_59_32" hidden="1">"A34568"</definedName>
    <definedName name="FDD_59_33" hidden="1">"A34576"</definedName>
    <definedName name="FDD_59_34" hidden="1">"A34582"</definedName>
    <definedName name="FDD_59_35" hidden="1">"A34589"</definedName>
    <definedName name="FDD_59_36" hidden="1">"A34596"</definedName>
    <definedName name="FDD_59_37" hidden="1">"A34603"</definedName>
    <definedName name="FDD_59_38" hidden="1">"A34610"</definedName>
    <definedName name="FDD_59_39" hidden="1">"A34617"</definedName>
    <definedName name="FDD_59_4" hidden="1">"A32142"</definedName>
    <definedName name="FDD_59_40" hidden="1">"A34624"</definedName>
    <definedName name="FDD_59_41" hidden="1">"A34631"</definedName>
    <definedName name="FDD_59_42" hidden="1">"A34638"</definedName>
    <definedName name="FDD_59_43" hidden="1">"A34645"</definedName>
    <definedName name="FDD_59_44" hidden="1">"A34652"</definedName>
    <definedName name="FDD_59_45" hidden="1">"A34659"</definedName>
    <definedName name="FDD_59_46" hidden="1">"A34666"</definedName>
    <definedName name="FDD_59_47" hidden="1">"A34673"</definedName>
    <definedName name="FDD_59_48" hidden="1">"A34680"</definedName>
    <definedName name="FDD_59_49" hidden="1">"A34687"</definedName>
    <definedName name="FDD_59_5" hidden="1">"A32508"</definedName>
    <definedName name="FDD_59_50" hidden="1">"A34696"</definedName>
    <definedName name="FDD_59_51" hidden="1">"A34702"</definedName>
    <definedName name="FDD_59_52" hidden="1">"A34708"</definedName>
    <definedName name="FDD_59_53" hidden="1">"A34715"</definedName>
    <definedName name="FDD_59_54" hidden="1">"A34722"</definedName>
    <definedName name="FDD_59_55" hidden="1">"A34729"</definedName>
    <definedName name="FDD_59_56" hidden="1">"A34736"</definedName>
    <definedName name="FDD_59_57" hidden="1">"A34743"</definedName>
    <definedName name="FDD_59_58" hidden="1">"A34750"</definedName>
    <definedName name="FDD_59_59" hidden="1">"A34757"</definedName>
    <definedName name="FDD_59_6" hidden="1">"A32873"</definedName>
    <definedName name="FDD_59_60" hidden="1">"A34764"</definedName>
    <definedName name="FDD_59_61" hidden="1">"A34771"</definedName>
    <definedName name="FDD_59_62" hidden="1">"A34778"</definedName>
    <definedName name="FDD_59_63" hidden="1">"A34785"</definedName>
    <definedName name="FDD_59_64" hidden="1">"A34792"</definedName>
    <definedName name="FDD_59_65" hidden="1">"A34799"</definedName>
    <definedName name="FDD_59_66" hidden="1">"A34807"</definedName>
    <definedName name="FDD_59_67" hidden="1">"A34813"</definedName>
    <definedName name="FDD_59_68" hidden="1">"A34820"</definedName>
    <definedName name="FDD_59_69" hidden="1">"A34828"</definedName>
    <definedName name="FDD_59_7" hidden="1">"A33238"</definedName>
    <definedName name="FDD_59_70" hidden="1">"A34834"</definedName>
    <definedName name="FDD_59_71" hidden="1">"A34841"</definedName>
    <definedName name="FDD_59_72" hidden="1">"A34848"</definedName>
    <definedName name="FDD_59_73" hidden="1">"A34855"</definedName>
    <definedName name="FDD_59_74" hidden="1">"A34862"</definedName>
    <definedName name="FDD_59_75" hidden="1">"A34870"</definedName>
    <definedName name="FDD_59_76" hidden="1">"A34876"</definedName>
    <definedName name="FDD_59_77" hidden="1">"A34883"</definedName>
    <definedName name="FDD_59_78" hidden="1">"A34891"</definedName>
    <definedName name="FDD_59_79" hidden="1">"A34897"</definedName>
    <definedName name="FDD_59_8" hidden="1">"A33603"</definedName>
    <definedName name="FDD_59_80" hidden="1">"A34904"</definedName>
    <definedName name="FDD_59_81" hidden="1">"A34911"</definedName>
    <definedName name="FDD_59_82" hidden="1">"A34918"</definedName>
    <definedName name="FDD_59_83" hidden="1">"A34925"</definedName>
    <definedName name="FDD_59_84" hidden="1">"A34932"</definedName>
    <definedName name="FDD_59_85" hidden="1">"A34940"</definedName>
    <definedName name="FDD_59_86" hidden="1">"A34946"</definedName>
    <definedName name="FDD_59_87" hidden="1">"A34953"</definedName>
    <definedName name="FDD_59_88" hidden="1">"A34960"</definedName>
    <definedName name="FDD_59_89" hidden="1">"A34967"</definedName>
    <definedName name="FDD_59_9" hidden="1">"A33969"</definedName>
    <definedName name="FDD_59_90" hidden="1">"A34974"</definedName>
    <definedName name="FDD_59_91" hidden="1">"A34981"</definedName>
    <definedName name="FDD_59_92" hidden="1">"A34988"</definedName>
    <definedName name="FDD_59_93" hidden="1">"A34995"</definedName>
    <definedName name="FDD_59_94" hidden="1">"A35002"</definedName>
    <definedName name="FDD_59_95" hidden="1">"A35009"</definedName>
    <definedName name="FDD_59_96" hidden="1">"A35016"</definedName>
    <definedName name="FDD_59_97" hidden="1">"A35023"</definedName>
    <definedName name="FDD_59_98" hidden="1">"A35030"</definedName>
    <definedName name="FDD_59_99" hidden="1">"A35037"</definedName>
    <definedName name="FDD_6_0" hidden="1">"A25569"</definedName>
    <definedName name="FDD_6_1" hidden="1">"A35795"</definedName>
    <definedName name="FDD_6_2" hidden="1">"E36160"</definedName>
    <definedName name="FDD_6_3" hidden="1">"E36525"</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_1" hidden="1">"E35795"</definedName>
    <definedName name="FDD_7_2" hidden="1">"E36160"</definedName>
    <definedName name="FDD_7_3" hidden="1">"E36525"</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_1" hidden="1">"E35795"</definedName>
    <definedName name="FDD_8_2" hidden="1">"E36160"</definedName>
    <definedName name="FDD_8_3" hidden="1">"E36525"</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_1" hidden="1">"E35795"</definedName>
    <definedName name="FDD_9_2" hidden="1">"E36160"</definedName>
    <definedName name="FDD_9_3" hidden="1">"E36525"</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ef" localSheetId="3" hidden="1">{#N/A,"PURADD",FALSE,"Business Analysis";#N/A,"PURSPP",FALSE,"Business Analysis";#N/A,"CTGIND",FALSE,"Business Analysis";#N/A,"PURCHM",FALSE,"Business Analysis";#N/A,"SPADD",FALSE,"Business Analysis";#N/A,"EPOXY",FALSE,"Business Analysis";#N/A,"PURPER",FALSE,"Business Analysis"}</definedName>
    <definedName name="fdef" localSheetId="7" hidden="1">{#N/A,"PURADD",FALSE,"Business Analysis";#N/A,"PURSPP",FALSE,"Business Analysis";#N/A,"CTGIND",FALSE,"Business Analysis";#N/A,"PURCHM",FALSE,"Business Analysis";#N/A,"SPADD",FALSE,"Business Analysis";#N/A,"EPOXY",FALSE,"Business Analysis";#N/A,"PURPER",FALSE,"Business Analysis"}</definedName>
    <definedName name="fdef" hidden="1">{#N/A,"PURADD",FALSE,"Business Analysis";#N/A,"PURSPP",FALSE,"Business Analysis";#N/A,"CTGIND",FALSE,"Business Analysis";#N/A,"PURCHM",FALSE,"Business Analysis";#N/A,"SPADD",FALSE,"Business Analysis";#N/A,"EPOXY",FALSE,"Business Analysis";#N/A,"PURPER",FALSE,"Business Analysis"}</definedName>
    <definedName name="FDFD" localSheetId="3" hidden="1">{#N/A,#N/A,FALSE,"Pharm";#N/A,#N/A,FALSE,"WWCM"}</definedName>
    <definedName name="FDFD" localSheetId="7" hidden="1">{#N/A,#N/A,FALSE,"Pharm";#N/A,#N/A,FALSE,"WWCM"}</definedName>
    <definedName name="FDFD" hidden="1">{#N/A,#N/A,FALSE,"Pharm";#N/A,#N/A,FALSE,"WWCM"}</definedName>
    <definedName name="fdgdfgfdgf" localSheetId="3" hidden="1">{#N/A,#N/A,FALSE,"Produkte Erw.";#N/A,#N/A,FALSE,"Produkte Plan";#N/A,#N/A,FALSE,"Leistungen Erw.";#N/A,#N/A,FALSE,"Leistungen Plan";#N/A,#N/A,FALSE,"KA Allg.Kosten (2)";#N/A,#N/A,FALSE,"KA All.Kosten"}</definedName>
    <definedName name="fdgdfgfdgf" localSheetId="7" hidden="1">{#N/A,#N/A,FALSE,"Produkte Erw.";#N/A,#N/A,FALSE,"Produkte Plan";#N/A,#N/A,FALSE,"Leistungen Erw.";#N/A,#N/A,FALSE,"Leistungen Plan";#N/A,#N/A,FALSE,"KA Allg.Kosten (2)";#N/A,#N/A,FALSE,"KA All.Kosten"}</definedName>
    <definedName name="fdgdfgfdgf" hidden="1">{#N/A,#N/A,FALSE,"Produkte Erw.";#N/A,#N/A,FALSE,"Produkte Plan";#N/A,#N/A,FALSE,"Leistungen Erw.";#N/A,#N/A,FALSE,"Leistungen Plan";#N/A,#N/A,FALSE,"KA Allg.Kosten (2)";#N/A,#N/A,FALSE,"KA All.Kosten"}</definedName>
    <definedName name="fdgfdg" localSheetId="3" hidden="1">{#N/A,#N/A,FALSE,"Umsatz EO BP";#N/A,#N/A,FALSE,"Umsatz EO OP";#N/A,#N/A,FALSE,"ER EO BP";#N/A,#N/A,FALSE,"ER EO OP";#N/A,#N/A,FALSE,"EA EO (2)";#N/A,#N/A,FALSE,"EA EO";#N/A,#N/A,FALSE,"EA EO (3)";#N/A,#N/A,FALSE,"EA EO (4)";#N/A,#N/A,FALSE,"KA EO  (2)";#N/A,#N/A,FALSE,"KA EO";#N/A,#N/A,FALSE,"KA EO  (3)";#N/A,#N/A,FALSE,"KA EO (4)"}</definedName>
    <definedName name="fdgfdg" localSheetId="7" hidden="1">{#N/A,#N/A,FALSE,"Umsatz EO BP";#N/A,#N/A,FALSE,"Umsatz EO OP";#N/A,#N/A,FALSE,"ER EO BP";#N/A,#N/A,FALSE,"ER EO OP";#N/A,#N/A,FALSE,"EA EO (2)";#N/A,#N/A,FALSE,"EA EO";#N/A,#N/A,FALSE,"EA EO (3)";#N/A,#N/A,FALSE,"EA EO (4)";#N/A,#N/A,FALSE,"KA EO  (2)";#N/A,#N/A,FALSE,"KA EO";#N/A,#N/A,FALSE,"KA EO  (3)";#N/A,#N/A,FALSE,"KA EO (4)"}</definedName>
    <definedName name="fdgfdg" hidden="1">{#N/A,#N/A,FALSE,"Umsatz EO BP";#N/A,#N/A,FALSE,"Umsatz EO OP";#N/A,#N/A,FALSE,"ER EO BP";#N/A,#N/A,FALSE,"ER EO OP";#N/A,#N/A,FALSE,"EA EO (2)";#N/A,#N/A,FALSE,"EA EO";#N/A,#N/A,FALSE,"EA EO (3)";#N/A,#N/A,FALSE,"EA EO (4)";#N/A,#N/A,FALSE,"KA EO  (2)";#N/A,#N/A,FALSE,"KA EO";#N/A,#N/A,FALSE,"KA EO  (3)";#N/A,#N/A,FALSE,"KA EO (4)"}</definedName>
    <definedName name="fdgfdgfdgfdg" localSheetId="3" hidden="1">{#N/A,#N/A,FALSE,"KA CH  (2)"}</definedName>
    <definedName name="fdgfdgfdgfdg" localSheetId="7" hidden="1">{#N/A,#N/A,FALSE,"KA CH  (2)"}</definedName>
    <definedName name="fdgfdgfdgfdg" hidden="1">{#N/A,#N/A,FALSE,"KA CH  (2)"}</definedName>
    <definedName name="fdgfdgsdgsdgs" localSheetId="3" hidden="1">{#N/A,#N/A,FALSE,"KA CH  (2)"}</definedName>
    <definedName name="fdgfdgsdgsdgs" localSheetId="7" hidden="1">{#N/A,#N/A,FALSE,"KA CH  (2)"}</definedName>
    <definedName name="fdgfdgsdgsdgs" hidden="1">{#N/A,#N/A,FALSE,"KA CH  (2)"}</definedName>
    <definedName name="FDP_1_1_aSrv" localSheetId="0" hidden="1">#REF!</definedName>
    <definedName name="FDP_1_1_aSrv" localSheetId="3" hidden="1">#REF!</definedName>
    <definedName name="FDP_1_1_aSrv" hidden="1">#REF!</definedName>
    <definedName name="FDP_100_1_aUrv" localSheetId="0" hidden="1">#REF!</definedName>
    <definedName name="FDP_100_1_aUrv" localSheetId="3" hidden="1">#REF!</definedName>
    <definedName name="FDP_100_1_aUrv" hidden="1">#REF!</definedName>
    <definedName name="FDP_101_1_aUrv" localSheetId="0" hidden="1">#REF!</definedName>
    <definedName name="FDP_101_1_aUrv" localSheetId="3" hidden="1">#REF!</definedName>
    <definedName name="FDP_101_1_aUrv" hidden="1">#REF!</definedName>
    <definedName name="FDP_102_1_aUrv" localSheetId="0" hidden="1">#REF!</definedName>
    <definedName name="FDP_102_1_aUrv" localSheetId="3" hidden="1">#REF!</definedName>
    <definedName name="FDP_102_1_aUrv" hidden="1">#REF!</definedName>
    <definedName name="FDP_103_1_aUrv" localSheetId="0" hidden="1">#REF!</definedName>
    <definedName name="FDP_103_1_aUrv" localSheetId="3" hidden="1">#REF!</definedName>
    <definedName name="FDP_103_1_aUrv" hidden="1">#REF!</definedName>
    <definedName name="FDP_104_1_aUrv" localSheetId="0" hidden="1">#REF!</definedName>
    <definedName name="FDP_104_1_aUrv" localSheetId="3" hidden="1">#REF!</definedName>
    <definedName name="FDP_104_1_aUrv" hidden="1">#REF!</definedName>
    <definedName name="FDP_105_1_aUrv" localSheetId="0" hidden="1">#REF!</definedName>
    <definedName name="FDP_105_1_aUrv" localSheetId="3" hidden="1">#REF!</definedName>
    <definedName name="FDP_105_1_aUrv" hidden="1">#REF!</definedName>
    <definedName name="FDP_106_1_dUrv" localSheetId="0" hidden="1">#REF!</definedName>
    <definedName name="FDP_106_1_dUrv" localSheetId="3" hidden="1">#REF!</definedName>
    <definedName name="FDP_106_1_dUrv" hidden="1">#REF!</definedName>
    <definedName name="FDP_108_1_aDrv" localSheetId="0" hidden="1">#REF!</definedName>
    <definedName name="FDP_108_1_aDrv" localSheetId="3" hidden="1">#REF!</definedName>
    <definedName name="FDP_108_1_aDrv" hidden="1">#REF!</definedName>
    <definedName name="FDP_109_1_aDrv" localSheetId="0" hidden="1">#REF!</definedName>
    <definedName name="FDP_109_1_aDrv" localSheetId="3" hidden="1">#REF!</definedName>
    <definedName name="FDP_109_1_aDrv" hidden="1">#REF!</definedName>
    <definedName name="FDP_110_1_aDrv" localSheetId="0" hidden="1">#REF!</definedName>
    <definedName name="FDP_110_1_aDrv" localSheetId="3" hidden="1">#REF!</definedName>
    <definedName name="FDP_110_1_aDrv" hidden="1">#REF!</definedName>
    <definedName name="FDP_112_1_aUrv" localSheetId="0" hidden="1">#REF!</definedName>
    <definedName name="FDP_112_1_aUrv" localSheetId="3" hidden="1">#REF!</definedName>
    <definedName name="FDP_112_1_aUrv" hidden="1">#REF!</definedName>
    <definedName name="FDP_113_1_aUrv" localSheetId="0" hidden="1">#REF!</definedName>
    <definedName name="FDP_113_1_aUrv" localSheetId="3" hidden="1">#REF!</definedName>
    <definedName name="FDP_113_1_aUrv" hidden="1">#REF!</definedName>
    <definedName name="FDP_114_1_aUrv" localSheetId="0" hidden="1">#REF!</definedName>
    <definedName name="FDP_114_1_aUrv" localSheetId="3" hidden="1">#REF!</definedName>
    <definedName name="FDP_114_1_aUrv" hidden="1">#REF!</definedName>
    <definedName name="FDP_115_1_aUrv" localSheetId="0" hidden="1">#REF!</definedName>
    <definedName name="FDP_115_1_aUrv" localSheetId="3" hidden="1">#REF!</definedName>
    <definedName name="FDP_115_1_aUrv" hidden="1">#REF!</definedName>
    <definedName name="FDP_116_1_aUrv" localSheetId="0" hidden="1">#REF!</definedName>
    <definedName name="FDP_116_1_aUrv" localSheetId="3" hidden="1">#REF!</definedName>
    <definedName name="FDP_116_1_aUrv" hidden="1">#REF!</definedName>
    <definedName name="FDP_118_1_aUrv" localSheetId="0" hidden="1">#REF!</definedName>
    <definedName name="FDP_118_1_aUrv" localSheetId="3" hidden="1">#REF!</definedName>
    <definedName name="FDP_118_1_aUrv" hidden="1">#REF!</definedName>
    <definedName name="FDP_119_1_aUrv" localSheetId="0" hidden="1">#REF!</definedName>
    <definedName name="FDP_119_1_aUrv" localSheetId="3" hidden="1">#REF!</definedName>
    <definedName name="FDP_119_1_aUrv" hidden="1">#REF!</definedName>
    <definedName name="FDP_121_1_aUrv" localSheetId="0" hidden="1">#REF!</definedName>
    <definedName name="FDP_121_1_aUrv" localSheetId="3" hidden="1">#REF!</definedName>
    <definedName name="FDP_121_1_aUrv" hidden="1">#REF!</definedName>
    <definedName name="FDP_122_1_aUrv" localSheetId="0" hidden="1">#REF!</definedName>
    <definedName name="FDP_122_1_aUrv" localSheetId="3" hidden="1">#REF!</definedName>
    <definedName name="FDP_122_1_aUrv" hidden="1">#REF!</definedName>
    <definedName name="FDP_123_1_aUrv" localSheetId="0" hidden="1">#REF!</definedName>
    <definedName name="FDP_123_1_aUrv" localSheetId="3" hidden="1">#REF!</definedName>
    <definedName name="FDP_123_1_aUrv" hidden="1">#REF!</definedName>
    <definedName name="FDP_125_1_aUrv" localSheetId="0" hidden="1">#REF!</definedName>
    <definedName name="FDP_125_1_aUrv" localSheetId="3" hidden="1">#REF!</definedName>
    <definedName name="FDP_125_1_aUrv" hidden="1">#REF!</definedName>
    <definedName name="FDP_130_1_lDrv" localSheetId="0" hidden="1">#REF!</definedName>
    <definedName name="FDP_130_1_lDrv" localSheetId="3" hidden="1">#REF!</definedName>
    <definedName name="FDP_130_1_lDrv" hidden="1">#REF!</definedName>
    <definedName name="FDP_132_1_aUdv" localSheetId="0" hidden="1">#REF!</definedName>
    <definedName name="FDP_132_1_aUdv" localSheetId="3" hidden="1">#REF!</definedName>
    <definedName name="FDP_132_1_aUdv" hidden="1">#REF!</definedName>
    <definedName name="FDP_133_1_aUrv" localSheetId="0" hidden="1">#REF!</definedName>
    <definedName name="FDP_133_1_aUrv" localSheetId="3" hidden="1">#REF!</definedName>
    <definedName name="FDP_133_1_aUrv" hidden="1">#REF!</definedName>
    <definedName name="FDP_136_1_aUrv" localSheetId="0" hidden="1">#REF!</definedName>
    <definedName name="FDP_136_1_aUrv" localSheetId="3" hidden="1">#REF!</definedName>
    <definedName name="FDP_136_1_aUrv" hidden="1">#REF!</definedName>
    <definedName name="FDP_138_1_aUrv" localSheetId="0" hidden="1">#REF!</definedName>
    <definedName name="FDP_138_1_aUrv" localSheetId="3" hidden="1">#REF!</definedName>
    <definedName name="FDP_138_1_aUrv" hidden="1">#REF!</definedName>
    <definedName name="FDP_142_1_aSrv" localSheetId="0" hidden="1">#REF!</definedName>
    <definedName name="FDP_142_1_aSrv" localSheetId="3" hidden="1">#REF!</definedName>
    <definedName name="FDP_142_1_aSrv" hidden="1">#REF!</definedName>
    <definedName name="FDP_2_1_aSrv" localSheetId="0" hidden="1">#REF!</definedName>
    <definedName name="FDP_2_1_aSrv" localSheetId="3" hidden="1">#REF!</definedName>
    <definedName name="FDP_2_1_aSrv" hidden="1">#REF!</definedName>
    <definedName name="FDP_28_1_aUrv" localSheetId="0" hidden="1">#REF!</definedName>
    <definedName name="FDP_28_1_aUrv" localSheetId="3" hidden="1">#REF!</definedName>
    <definedName name="FDP_28_1_aUrv" hidden="1">#REF!</definedName>
    <definedName name="FDP_3_1_aDrv" localSheetId="0" hidden="1">#REF!</definedName>
    <definedName name="FDP_3_1_aDrv" localSheetId="3" hidden="1">#REF!</definedName>
    <definedName name="FDP_3_1_aDrv" hidden="1">#REF!</definedName>
    <definedName name="FDP_4_1_aDrv" localSheetId="0" hidden="1">#REF!</definedName>
    <definedName name="FDP_4_1_aDrv" localSheetId="3" hidden="1">#REF!</definedName>
    <definedName name="FDP_4_1_aDrv" hidden="1">#REF!</definedName>
    <definedName name="FDP_5_1_aDrv" localSheetId="0" hidden="1">#REF!</definedName>
    <definedName name="FDP_5_1_aDrv" localSheetId="3" hidden="1">#REF!</definedName>
    <definedName name="FDP_5_1_aDrv" hidden="1">#REF!</definedName>
    <definedName name="FDP_56_1_aUrv" localSheetId="0" hidden="1">#REF!</definedName>
    <definedName name="FDP_56_1_aUrv" localSheetId="3" hidden="1">#REF!</definedName>
    <definedName name="FDP_56_1_aUrv" hidden="1">#REF!</definedName>
    <definedName name="FDP_57_1_aUrv" localSheetId="0" hidden="1">#REF!</definedName>
    <definedName name="FDP_57_1_aUrv" localSheetId="3" hidden="1">#REF!</definedName>
    <definedName name="FDP_57_1_aUrv" hidden="1">#REF!</definedName>
    <definedName name="FDP_58_1_aUrv" localSheetId="0" hidden="1">#REF!</definedName>
    <definedName name="FDP_58_1_aUrv" localSheetId="3" hidden="1">#REF!</definedName>
    <definedName name="FDP_58_1_aUrv" hidden="1">#REF!</definedName>
    <definedName name="FDP_59_1_aUrv" localSheetId="0" hidden="1">#REF!</definedName>
    <definedName name="FDP_59_1_aUrv" localSheetId="3" hidden="1">#REF!</definedName>
    <definedName name="FDP_59_1_aUrv" hidden="1">#REF!</definedName>
    <definedName name="FDP_6_1_aUdv" localSheetId="0" hidden="1">#REF!</definedName>
    <definedName name="FDP_6_1_aUdv" localSheetId="3" hidden="1">#REF!</definedName>
    <definedName name="FDP_6_1_aUdv" hidden="1">#REF!</definedName>
    <definedName name="FDP_6_1_dUdv" localSheetId="0" hidden="1">#REF!</definedName>
    <definedName name="FDP_6_1_dUdv" localSheetId="3" hidden="1">#REF!</definedName>
    <definedName name="FDP_6_1_dUdv" hidden="1">#REF!</definedName>
    <definedName name="FDP_60_1_aUrv" localSheetId="0" hidden="1">#REF!</definedName>
    <definedName name="FDP_60_1_aUrv" localSheetId="3" hidden="1">#REF!</definedName>
    <definedName name="FDP_60_1_aUrv" hidden="1">#REF!</definedName>
    <definedName name="FDP_61_1_aUrv" localSheetId="0" hidden="1">#REF!</definedName>
    <definedName name="FDP_61_1_aUrv" localSheetId="3" hidden="1">#REF!</definedName>
    <definedName name="FDP_61_1_aUrv" hidden="1">#REF!</definedName>
    <definedName name="FDP_62_1_aUrv" localSheetId="0" hidden="1">#REF!</definedName>
    <definedName name="FDP_62_1_aUrv" localSheetId="3" hidden="1">#REF!</definedName>
    <definedName name="FDP_62_1_aUrv" hidden="1">#REF!</definedName>
    <definedName name="FDP_63_1_aUrv" localSheetId="0" hidden="1">#REF!</definedName>
    <definedName name="FDP_63_1_aUrv" localSheetId="3" hidden="1">#REF!</definedName>
    <definedName name="FDP_63_1_aUrv" hidden="1">#REF!</definedName>
    <definedName name="FDP_64_1_aDrv" localSheetId="0" hidden="1">#REF!</definedName>
    <definedName name="FDP_64_1_aDrv" localSheetId="3" hidden="1">#REF!</definedName>
    <definedName name="FDP_64_1_aDrv" hidden="1">#REF!</definedName>
    <definedName name="FDP_65_1_aDrv" localSheetId="0" hidden="1">#REF!</definedName>
    <definedName name="FDP_65_1_aDrv" localSheetId="3" hidden="1">#REF!</definedName>
    <definedName name="FDP_65_1_aDrv" hidden="1">#REF!</definedName>
    <definedName name="FDP_66_1_aDrv" localSheetId="0" hidden="1">#REF!</definedName>
    <definedName name="FDP_66_1_aDrv" localSheetId="3" hidden="1">#REF!</definedName>
    <definedName name="FDP_66_1_aDrv" hidden="1">#REF!</definedName>
    <definedName name="FDP_67_1_aSrv" localSheetId="0" hidden="1">#REF!</definedName>
    <definedName name="FDP_67_1_aSrv" localSheetId="3" hidden="1">#REF!</definedName>
    <definedName name="FDP_67_1_aSrv" hidden="1">#REF!</definedName>
    <definedName name="FDP_68_1_aUrv" localSheetId="0" hidden="1">#REF!</definedName>
    <definedName name="FDP_68_1_aUrv" localSheetId="3" hidden="1">#REF!</definedName>
    <definedName name="FDP_68_1_aUrv" hidden="1">#REF!</definedName>
    <definedName name="FDP_69_1_aSrv" localSheetId="0" hidden="1">#REF!</definedName>
    <definedName name="FDP_69_1_aSrv" localSheetId="3" hidden="1">#REF!</definedName>
    <definedName name="FDP_69_1_aSrv" hidden="1">#REF!</definedName>
    <definedName name="FDP_7_1_aUdv" localSheetId="0" hidden="1">#REF!</definedName>
    <definedName name="FDP_7_1_aUdv" localSheetId="3" hidden="1">#REF!</definedName>
    <definedName name="FDP_7_1_aUdv" hidden="1">#REF!</definedName>
    <definedName name="FDP_70_1_aSrv" localSheetId="0" hidden="1">#REF!</definedName>
    <definedName name="FDP_70_1_aSrv" localSheetId="3" hidden="1">#REF!</definedName>
    <definedName name="FDP_70_1_aSrv" hidden="1">#REF!</definedName>
    <definedName name="FDP_71_1_aDrv" localSheetId="0" hidden="1">#REF!</definedName>
    <definedName name="FDP_71_1_aDrv" localSheetId="3" hidden="1">#REF!</definedName>
    <definedName name="FDP_71_1_aDrv" hidden="1">#REF!</definedName>
    <definedName name="FDP_72_1_aSrv" localSheetId="0" hidden="1">#REF!</definedName>
    <definedName name="FDP_72_1_aSrv" localSheetId="3" hidden="1">#REF!</definedName>
    <definedName name="FDP_72_1_aSrv" hidden="1">#REF!</definedName>
    <definedName name="FDP_73_1_aDrv" localSheetId="0" hidden="1">#REF!</definedName>
    <definedName name="FDP_73_1_aDrv" localSheetId="3" hidden="1">#REF!</definedName>
    <definedName name="FDP_73_1_aDrv" hidden="1">#REF!</definedName>
    <definedName name="FDP_74_1_aDrv" localSheetId="0" hidden="1">#REF!</definedName>
    <definedName name="FDP_74_1_aDrv" localSheetId="3" hidden="1">#REF!</definedName>
    <definedName name="FDP_74_1_aDrv" hidden="1">#REF!</definedName>
    <definedName name="FDP_75_1_aDrv" localSheetId="0" hidden="1">#REF!</definedName>
    <definedName name="FDP_75_1_aDrv" localSheetId="3" hidden="1">#REF!</definedName>
    <definedName name="FDP_75_1_aDrv" hidden="1">#REF!</definedName>
    <definedName name="FDP_76_1_aSrv" localSheetId="0" hidden="1">#REF!</definedName>
    <definedName name="FDP_76_1_aSrv" localSheetId="3" hidden="1">#REF!</definedName>
    <definedName name="FDP_76_1_aSrv" hidden="1">#REF!</definedName>
    <definedName name="FDP_77_1_aSrv" localSheetId="0" hidden="1">#REF!</definedName>
    <definedName name="FDP_77_1_aSrv" localSheetId="3" hidden="1">#REF!</definedName>
    <definedName name="FDP_77_1_aSrv" hidden="1">#REF!</definedName>
    <definedName name="FDP_78_1_aSrv" localSheetId="0" hidden="1">#REF!</definedName>
    <definedName name="FDP_78_1_aSrv" localSheetId="3" hidden="1">#REF!</definedName>
    <definedName name="FDP_78_1_aSrv" hidden="1">#REF!</definedName>
    <definedName name="FDP_79_1_aSrv" localSheetId="0" hidden="1">#REF!</definedName>
    <definedName name="FDP_79_1_aSrv" localSheetId="3" hidden="1">#REF!</definedName>
    <definedName name="FDP_79_1_aSrv" hidden="1">#REF!</definedName>
    <definedName name="FDP_80_1_aSrv" localSheetId="0" hidden="1">#REF!</definedName>
    <definedName name="FDP_80_1_aSrv" localSheetId="3" hidden="1">#REF!</definedName>
    <definedName name="FDP_80_1_aSrv" hidden="1">#REF!</definedName>
    <definedName name="FDP_81_1_aSrv" localSheetId="0" hidden="1">#REF!</definedName>
    <definedName name="FDP_81_1_aSrv" localSheetId="3" hidden="1">#REF!</definedName>
    <definedName name="FDP_81_1_aSrv" hidden="1">#REF!</definedName>
    <definedName name="FDP_82_1_aSrv" localSheetId="0" hidden="1">#REF!</definedName>
    <definedName name="FDP_82_1_aSrv" localSheetId="3" hidden="1">#REF!</definedName>
    <definedName name="FDP_82_1_aSrv" hidden="1">#REF!</definedName>
    <definedName name="FDP_83_1_aSrv" localSheetId="0" hidden="1">#REF!</definedName>
    <definedName name="FDP_83_1_aSrv" localSheetId="3" hidden="1">#REF!</definedName>
    <definedName name="FDP_83_1_aSrv" hidden="1">#REF!</definedName>
    <definedName name="FDP_84_1_aSrv" localSheetId="0" hidden="1">#REF!</definedName>
    <definedName name="FDP_84_1_aSrv" localSheetId="3" hidden="1">#REF!</definedName>
    <definedName name="FDP_84_1_aSrv" hidden="1">#REF!</definedName>
    <definedName name="FDP_85_1_aSrv" localSheetId="0" hidden="1">#REF!</definedName>
    <definedName name="FDP_85_1_aSrv" localSheetId="3" hidden="1">#REF!</definedName>
    <definedName name="FDP_85_1_aSrv" hidden="1">#REF!</definedName>
    <definedName name="FDP_86_1_aSrv" localSheetId="0" hidden="1">#REF!</definedName>
    <definedName name="FDP_86_1_aSrv" localSheetId="3" hidden="1">#REF!</definedName>
    <definedName name="FDP_86_1_aSrv" hidden="1">#REF!</definedName>
    <definedName name="FDP_87_1_aUrv" localSheetId="0" hidden="1">#REF!</definedName>
    <definedName name="FDP_87_1_aUrv" localSheetId="3" hidden="1">#REF!</definedName>
    <definedName name="FDP_87_1_aUrv" hidden="1">#REF!</definedName>
    <definedName name="FDP_88_1_aUrv" localSheetId="0" hidden="1">#REF!</definedName>
    <definedName name="FDP_88_1_aUrv" localSheetId="3" hidden="1">#REF!</definedName>
    <definedName name="FDP_88_1_aUrv" hidden="1">#REF!</definedName>
    <definedName name="FDP_89_1_aUrv" localSheetId="0" hidden="1">#REF!</definedName>
    <definedName name="FDP_89_1_aUrv" localSheetId="3" hidden="1">#REF!</definedName>
    <definedName name="FDP_89_1_aUrv" hidden="1">#REF!</definedName>
    <definedName name="FDP_90_1_aUrv" localSheetId="0" hidden="1">#REF!</definedName>
    <definedName name="FDP_90_1_aUrv" localSheetId="3" hidden="1">#REF!</definedName>
    <definedName name="FDP_90_1_aUrv" hidden="1">#REF!</definedName>
    <definedName name="FDP_91_1_aUrv" localSheetId="0" hidden="1">#REF!</definedName>
    <definedName name="FDP_91_1_aUrv" localSheetId="3" hidden="1">#REF!</definedName>
    <definedName name="FDP_91_1_aUrv" hidden="1">#REF!</definedName>
    <definedName name="FDP_92_1_aUrv" localSheetId="0" hidden="1">#REF!</definedName>
    <definedName name="FDP_92_1_aUrv" localSheetId="3" hidden="1">#REF!</definedName>
    <definedName name="FDP_92_1_aUrv" hidden="1">#REF!</definedName>
    <definedName name="FDP_93_1_aUrv" localSheetId="0" hidden="1">#REF!</definedName>
    <definedName name="FDP_93_1_aUrv" localSheetId="3" hidden="1">#REF!</definedName>
    <definedName name="FDP_93_1_aUrv" hidden="1">#REF!</definedName>
    <definedName name="FDP_94_1_aUrv" localSheetId="0" hidden="1">#REF!</definedName>
    <definedName name="FDP_94_1_aUrv" localSheetId="3" hidden="1">#REF!</definedName>
    <definedName name="FDP_94_1_aUrv" hidden="1">#REF!</definedName>
    <definedName name="FDP_95_1_aUrv" localSheetId="0" hidden="1">#REF!</definedName>
    <definedName name="FDP_95_1_aUrv" localSheetId="3" hidden="1">#REF!</definedName>
    <definedName name="FDP_95_1_aUrv" hidden="1">#REF!</definedName>
    <definedName name="FDP_96_1_aUrv" localSheetId="0" hidden="1">#REF!</definedName>
    <definedName name="FDP_96_1_aUrv" localSheetId="3" hidden="1">#REF!</definedName>
    <definedName name="FDP_96_1_aUrv" hidden="1">#REF!</definedName>
    <definedName name="FDP_97_1_aUrv" localSheetId="0" hidden="1">#REF!</definedName>
    <definedName name="FDP_97_1_aUrv" localSheetId="3" hidden="1">#REF!</definedName>
    <definedName name="FDP_97_1_aUrv" hidden="1">#REF!</definedName>
    <definedName name="FDP_98_1_aUrv" localSheetId="0" hidden="1">#REF!</definedName>
    <definedName name="FDP_98_1_aUrv" localSheetId="3" hidden="1">#REF!</definedName>
    <definedName name="FDP_98_1_aUrv" hidden="1">#REF!</definedName>
    <definedName name="FDP_99_1_aUrv" localSheetId="0" hidden="1">#REF!</definedName>
    <definedName name="FDP_99_1_aUrv" localSheetId="3" hidden="1">#REF!</definedName>
    <definedName name="FDP_99_1_aUrv" hidden="1">#REF!</definedName>
    <definedName name="FDQ" localSheetId="3" hidden="1">{"detail",#N/A,FALSE,"mfg";"summary",#N/A,FALSE,"mfg"}</definedName>
    <definedName name="FDQ" localSheetId="7" hidden="1">{"detail",#N/A,FALSE,"mfg";"summary",#N/A,FALSE,"mfg"}</definedName>
    <definedName name="FDQ" hidden="1">{"detail",#N/A,FALSE,"mfg";"summary",#N/A,FALSE,"mfg"}</definedName>
    <definedName name="fds" localSheetId="3" hidden="1">{#N/A,#N/A,FALSE,"Pharm";#N/A,#N/A,FALSE,"WWCM"}</definedName>
    <definedName name="fds" localSheetId="7" hidden="1">{#N/A,#N/A,FALSE,"Pharm";#N/A,#N/A,FALSE,"WWCM"}</definedName>
    <definedName name="fds" hidden="1">{#N/A,#N/A,FALSE,"Pharm";#N/A,#N/A,FALSE,"WWCM"}</definedName>
    <definedName name="fdsa" localSheetId="3" hidden="1">{"QTR_ACT",#N/A,FALSE,"PROP_PBIT_DEV_Q3";"QTR_BUD",#N/A,FALSE,"PROP_PBIT_DEV_Q3";"YTD_BUD",#N/A,FALSE,"PROP_PBIT_DEV_Q3";"YTD_ACT",#N/A,FALSE,"PROP_PBIT_DEV_Q3";"FY95 SNAP3",#N/A,FALSE,"PROP_PBIT_DEV_Q3";"FY95_BUD",#N/A,FALSE,"PROP_PBIT_DEV_Q3";"FY96_BUD",#N/A,FALSE,"PROP_PBIT_DEV_Q3"}</definedName>
    <definedName name="fdsa" localSheetId="7" hidden="1">{"QTR_ACT",#N/A,FALSE,"PROP_PBIT_DEV_Q3";"QTR_BUD",#N/A,FALSE,"PROP_PBIT_DEV_Q3";"YTD_BUD",#N/A,FALSE,"PROP_PBIT_DEV_Q3";"YTD_ACT",#N/A,FALSE,"PROP_PBIT_DEV_Q3";"FY95 SNAP3",#N/A,FALSE,"PROP_PBIT_DEV_Q3";"FY95_BUD",#N/A,FALSE,"PROP_PBIT_DEV_Q3";"FY96_BUD",#N/A,FALSE,"PROP_PBIT_DEV_Q3"}</definedName>
    <definedName name="fdsa" hidden="1">{"QTR_ACT",#N/A,FALSE,"PROP_PBIT_DEV_Q3";"QTR_BUD",#N/A,FALSE,"PROP_PBIT_DEV_Q3";"YTD_BUD",#N/A,FALSE,"PROP_PBIT_DEV_Q3";"YTD_ACT",#N/A,FALSE,"PROP_PBIT_DEV_Q3";"FY95 SNAP3",#N/A,FALSE,"PROP_PBIT_DEV_Q3";"FY95_BUD",#N/A,FALSE,"PROP_PBIT_DEV_Q3";"FY96_BUD",#N/A,FALSE,"PROP_PBIT_DEV_Q3"}</definedName>
    <definedName name="FDSF" localSheetId="3" hidden="1">{#N/A,#N/A,FALSE,"Pag.01"}</definedName>
    <definedName name="FDSF" localSheetId="7" hidden="1">{#N/A,#N/A,FALSE,"Pag.01"}</definedName>
    <definedName name="FDSF" hidden="1">{#N/A,#N/A,FALSE,"Pag.01"}</definedName>
    <definedName name="fdsvfsdavfabae" localSheetId="3" hidden="1">{"fdsup://directions/FAT Viewer?action=UPDATE&amp;creator=factset&amp;DYN_ARGS=TRUE&amp;DOC_NAME=FAT:FQL_AUDITING_CLIENT_TEMPLATE.FAT&amp;display_string=Audit&amp;VAR:KEY=CJALQTKTCN&amp;VAR:QUERY=UkdGX1RBWF9SQVRFKEFOTiwwLCwsLCwsTk9BVURJVCk=&amp;WINDOW=FIRST_POPUP&amp;HEIGHT=450&amp;WIDTH=450&amp;","START_MAXIMIZED=FALSE&amp;VAR:CALENDAR=US&amp;VAR:SYMBOL=EBAY&amp;VAR:INDEX=0"}</definedName>
    <definedName name="fdsvfsdavfabae" localSheetId="7" hidden="1">{"fdsup://directions/FAT Viewer?action=UPDATE&amp;creator=factset&amp;DYN_ARGS=TRUE&amp;DOC_NAME=FAT:FQL_AUDITING_CLIENT_TEMPLATE.FAT&amp;display_string=Audit&amp;VAR:KEY=CJALQTKTCN&amp;VAR:QUERY=UkdGX1RBWF9SQVRFKEFOTiwwLCwsLCwsTk9BVURJVCk=&amp;WINDOW=FIRST_POPUP&amp;HEIGHT=450&amp;WIDTH=450&amp;","START_MAXIMIZED=FALSE&amp;VAR:CALENDAR=US&amp;VAR:SYMBOL=EBAY&amp;VAR:INDEX=0"}</definedName>
    <definedName name="fdsvfsdavfabae" hidden="1">{"fdsup://directions/FAT Viewer?action=UPDATE&amp;creator=factset&amp;DYN_ARGS=TRUE&amp;DOC_NAME=FAT:FQL_AUDITING_CLIENT_TEMPLATE.FAT&amp;display_string=Audit&amp;VAR:KEY=CJALQTKTCN&amp;VAR:QUERY=UkdGX1RBWF9SQVRFKEFOTiwwLCwsLCwsTk9BVURJVCk=&amp;WINDOW=FIRST_POPUP&amp;HEIGHT=450&amp;WIDTH=450&amp;","START_MAXIMIZED=FALSE&amp;VAR:CALENDAR=US&amp;VAR:SYMBOL=EBAY&amp;VAR:INDEX=0"}</definedName>
    <definedName name="fesa" localSheetId="3" hidden="1">{"apci",#N/A,FALSE,"Chem_CY";"eastman",#N/A,FALSE,"Eastman";"betz",#N/A,FALSE,"Betz";"great lakes",#N/A,FALSE,"Great_Lakes";"hercules",#N/A,FALSE,"Hercules Chem Seg Data";"rohm",#N/A,FALSE,"Rohm";"union carbide",#N/A,FALSE,"Union";"witco",#N/A,FALSE,"Witco"}</definedName>
    <definedName name="fesa" localSheetId="7" hidden="1">{"apci",#N/A,FALSE,"Chem_CY";"eastman",#N/A,FALSE,"Eastman";"betz",#N/A,FALSE,"Betz";"great lakes",#N/A,FALSE,"Great_Lakes";"hercules",#N/A,FALSE,"Hercules Chem Seg Data";"rohm",#N/A,FALSE,"Rohm";"union carbide",#N/A,FALSE,"Union";"witco",#N/A,FALSE,"Witco"}</definedName>
    <definedName name="fesa" hidden="1">{"apci",#N/A,FALSE,"Chem_CY";"eastman",#N/A,FALSE,"Eastman";"betz",#N/A,FALSE,"Betz";"great lakes",#N/A,FALSE,"Great_Lakes";"hercules",#N/A,FALSE,"Hercules Chem Seg Data";"rohm",#N/A,FALSE,"Rohm";"union carbide",#N/A,FALSE,"Union";"witco",#N/A,FALSE,"Witco"}</definedName>
    <definedName name="fetr" localSheetId="3" hidden="1">{"BA detail",#N/A,FALSE,"Q3YTD "}</definedName>
    <definedName name="fetr" localSheetId="7" hidden="1">{"BA detail",#N/A,FALSE,"Q3YTD "}</definedName>
    <definedName name="fetr" hidden="1">{"BA detail",#N/A,FALSE,"Q3YTD "}</definedName>
    <definedName name="fewq" localSheetId="3" hidden="1">{"Comp_of_Price_Effect",#N/A,FALSE,"QTRDPVAR"}</definedName>
    <definedName name="fewq" localSheetId="7" hidden="1">{"Comp_of_Price_Effect",#N/A,FALSE,"QTRDPVAR"}</definedName>
    <definedName name="fewq" hidden="1">{"Comp_of_Price_Effect",#N/A,FALSE,"QTRDPVAR"}</definedName>
    <definedName name="ff" localSheetId="3" hidden="1">{#N/A,#N/A,FALSE,"Pharm";#N/A,#N/A,FALSE,"WWCM"}</definedName>
    <definedName name="ff" localSheetId="7" hidden="1">{#N/A,#N/A,FALSE,"Pharm";#N/A,#N/A,FALSE,"WWCM"}</definedName>
    <definedName name="ff" hidden="1">{#N/A,#N/A,FALSE,"Pharm";#N/A,#N/A,FALSE,"WWCM"}</definedName>
    <definedName name="ffd" localSheetId="3" hidden="1">{#N/A,#N/A,FALSE,"Rohstoffnotierungen";#N/A,#N/A,FALSE,"ER HCST Erw. 99";#N/A,#N/A,FALSE,"ER HCST Plan 00";#N/A,#N/A,FALSE,"Umsatz KG";#N/A,#N/A,FALSE,"ER HCST";#N/A,#N/A,FALSE,"EA ST (2)";#N/A,#N/A,FALSE,"EA ST";#N/A,#N/A,FALSE,"EA ST (3)";#N/A,#N/A,FALSE,"EA ST (4)";#N/A,#N/A,FALSE,"KA ST  (2)";#N/A,#N/A,FALSE,"KA ST";#N/A,#N/A,FALSE,"KA ST  (3)";#N/A,#N/A,FALSE,"KA ST (4)"}</definedName>
    <definedName name="ffd" localSheetId="7" hidden="1">{#N/A,#N/A,FALSE,"Rohstoffnotierungen";#N/A,#N/A,FALSE,"ER HCST Erw. 99";#N/A,#N/A,FALSE,"ER HCST Plan 00";#N/A,#N/A,FALSE,"Umsatz KG";#N/A,#N/A,FALSE,"ER HCST";#N/A,#N/A,FALSE,"EA ST (2)";#N/A,#N/A,FALSE,"EA ST";#N/A,#N/A,FALSE,"EA ST (3)";#N/A,#N/A,FALSE,"EA ST (4)";#N/A,#N/A,FALSE,"KA ST  (2)";#N/A,#N/A,FALSE,"KA ST";#N/A,#N/A,FALSE,"KA ST  (3)";#N/A,#N/A,FALSE,"KA ST (4)"}</definedName>
    <definedName name="ffd" hidden="1">{#N/A,#N/A,FALSE,"Rohstoffnotierungen";#N/A,#N/A,FALSE,"ER HCST Erw. 99";#N/A,#N/A,FALSE,"ER HCST Plan 00";#N/A,#N/A,FALSE,"Umsatz KG";#N/A,#N/A,FALSE,"ER HCST";#N/A,#N/A,FALSE,"EA ST (2)";#N/A,#N/A,FALSE,"EA ST";#N/A,#N/A,FALSE,"EA ST (3)";#N/A,#N/A,FALSE,"EA ST (4)";#N/A,#N/A,FALSE,"KA ST  (2)";#N/A,#N/A,FALSE,"KA ST";#N/A,#N/A,FALSE,"KA ST  (3)";#N/A,#N/A,FALSE,"KA ST (4)"}</definedName>
    <definedName name="ffdd" localSheetId="3" hidden="1">{#N/A,#N/A,FALSE,"Umsatz EO BP";#N/A,#N/A,FALSE,"Umsatz EO OP";#N/A,#N/A,FALSE,"ER EO BP";#N/A,#N/A,FALSE,"ER EO OP";#N/A,#N/A,FALSE,"EA EO (2)";#N/A,#N/A,FALSE,"EA EO";#N/A,#N/A,FALSE,"EA EO (3)";#N/A,#N/A,FALSE,"EA EO (4)";#N/A,#N/A,FALSE,"KA EO  (2)";#N/A,#N/A,FALSE,"KA EO";#N/A,#N/A,FALSE,"KA EO  (3)";#N/A,#N/A,FALSE,"KA EO (4)"}</definedName>
    <definedName name="ffdd" localSheetId="7" hidden="1">{#N/A,#N/A,FALSE,"Umsatz EO BP";#N/A,#N/A,FALSE,"Umsatz EO OP";#N/A,#N/A,FALSE,"ER EO BP";#N/A,#N/A,FALSE,"ER EO OP";#N/A,#N/A,FALSE,"EA EO (2)";#N/A,#N/A,FALSE,"EA EO";#N/A,#N/A,FALSE,"EA EO (3)";#N/A,#N/A,FALSE,"EA EO (4)";#N/A,#N/A,FALSE,"KA EO  (2)";#N/A,#N/A,FALSE,"KA EO";#N/A,#N/A,FALSE,"KA EO  (3)";#N/A,#N/A,FALSE,"KA EO (4)"}</definedName>
    <definedName name="ffdd" hidden="1">{#N/A,#N/A,FALSE,"Umsatz EO BP";#N/A,#N/A,FALSE,"Umsatz EO OP";#N/A,#N/A,FALSE,"ER EO BP";#N/A,#N/A,FALSE,"ER EO OP";#N/A,#N/A,FALSE,"EA EO (2)";#N/A,#N/A,FALSE,"EA EO";#N/A,#N/A,FALSE,"EA EO (3)";#N/A,#N/A,FALSE,"EA EO (4)";#N/A,#N/A,FALSE,"KA EO  (2)";#N/A,#N/A,FALSE,"KA EO";#N/A,#N/A,FALSE,"KA EO  (3)";#N/A,#N/A,FALSE,"KA EO (4)"}</definedName>
    <definedName name="fff" localSheetId="3" hidden="1">{#N/A,#N/A,FALSE,"Pharm";#N/A,#N/A,FALSE,"WWCM"}</definedName>
    <definedName name="fff" localSheetId="7" hidden="1">{#N/A,#N/A,FALSE,"Pharm";#N/A,#N/A,FALSE,"WWCM"}</definedName>
    <definedName name="fff" hidden="1">{#N/A,#N/A,FALSE,"Pharm";#N/A,#N/A,FALSE,"WWCM"}</definedName>
    <definedName name="ffffff"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fffff" localSheetId="7"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ffff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ffffff" localSheetId="3" hidden="1">{#N/A,#N/A,FALSE,"Pharm";#N/A,#N/A,FALSE,"WWCM"}</definedName>
    <definedName name="fffffff" localSheetId="7" hidden="1">{#N/A,#N/A,FALSE,"Pharm";#N/A,#N/A,FALSE,"WWCM"}</definedName>
    <definedName name="fffffff" hidden="1">{#N/A,#N/A,FALSE,"Pharm";#N/A,#N/A,FALSE,"WWCM"}</definedName>
    <definedName name="ffffffffff"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fffffffff" localSheetId="7"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fffffffff"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g" localSheetId="3" hidden="1">{#N/A,#N/A,FALSE,"REPORT"}</definedName>
    <definedName name="fg" localSheetId="7" hidden="1">{#N/A,#N/A,FALSE,"REPORT"}</definedName>
    <definedName name="fg" hidden="1">{#N/A,#N/A,FALSE,"REPORT"}</definedName>
    <definedName name="fgf" localSheetId="3" hidden="1">{#N/A,#N/A,FALSE,"Umsatz 99";#N/A,#N/A,FALSE,"ER 99 "}</definedName>
    <definedName name="fgf" localSheetId="7" hidden="1">{#N/A,#N/A,FALSE,"Umsatz 99";#N/A,#N/A,FALSE,"ER 99 "}</definedName>
    <definedName name="fgf" hidden="1">{#N/A,#N/A,FALSE,"Umsatz 99";#N/A,#N/A,FALSE,"ER 99 "}</definedName>
    <definedName name="fgfg" localSheetId="3" hidden="1">{#N/A,#N/A,FALSE,"Umsatz EO BP";#N/A,#N/A,FALSE,"Umsatz EO OP";#N/A,#N/A,FALSE,"ER EO BP";#N/A,#N/A,FALSE,"ER EO OP";#N/A,#N/A,FALSE,"EA EO (2)";#N/A,#N/A,FALSE,"EA EO";#N/A,#N/A,FALSE,"EA EO (3)";#N/A,#N/A,FALSE,"EA EO (4)";#N/A,#N/A,FALSE,"KA EO  (2)";#N/A,#N/A,FALSE,"KA EO";#N/A,#N/A,FALSE,"KA EO  (3)";#N/A,#N/A,FALSE,"KA EO (4)"}</definedName>
    <definedName name="fgfg" localSheetId="7" hidden="1">{#N/A,#N/A,FALSE,"Umsatz EO BP";#N/A,#N/A,FALSE,"Umsatz EO OP";#N/A,#N/A,FALSE,"ER EO BP";#N/A,#N/A,FALSE,"ER EO OP";#N/A,#N/A,FALSE,"EA EO (2)";#N/A,#N/A,FALSE,"EA EO";#N/A,#N/A,FALSE,"EA EO (3)";#N/A,#N/A,FALSE,"EA EO (4)";#N/A,#N/A,FALSE,"KA EO  (2)";#N/A,#N/A,FALSE,"KA EO";#N/A,#N/A,FALSE,"KA EO  (3)";#N/A,#N/A,FALSE,"KA EO (4)"}</definedName>
    <definedName name="fgfg" hidden="1">{#N/A,#N/A,FALSE,"Umsatz EO BP";#N/A,#N/A,FALSE,"Umsatz EO OP";#N/A,#N/A,FALSE,"ER EO BP";#N/A,#N/A,FALSE,"ER EO OP";#N/A,#N/A,FALSE,"EA EO (2)";#N/A,#N/A,FALSE,"EA EO";#N/A,#N/A,FALSE,"EA EO (3)";#N/A,#N/A,FALSE,"EA EO (4)";#N/A,#N/A,FALSE,"KA EO  (2)";#N/A,#N/A,FALSE,"KA EO";#N/A,#N/A,FALSE,"KA EO  (3)";#N/A,#N/A,FALSE,"KA EO (4)"}</definedName>
    <definedName name="fgfgf" localSheetId="3" hidden="1">{#N/A,#N/A,FALSE,"Umsatz 99";#N/A,#N/A,FALSE,"ER 99 "}</definedName>
    <definedName name="fgfgf" localSheetId="7" hidden="1">{#N/A,#N/A,FALSE,"Umsatz 99";#N/A,#N/A,FALSE,"ER 99 "}</definedName>
    <definedName name="fgfgf" hidden="1">{#N/A,#N/A,FALSE,"Umsatz 99";#N/A,#N/A,FALSE,"ER 99 "}</definedName>
    <definedName name="fgfx" localSheetId="3" hidden="1">{#N/A,#N/A,FALSE,"Umsatz 99";#N/A,#N/A,FALSE,"ER 99 "}</definedName>
    <definedName name="fgfx" localSheetId="7" hidden="1">{#N/A,#N/A,FALSE,"Umsatz 99";#N/A,#N/A,FALSE,"ER 99 "}</definedName>
    <definedName name="fgfx" hidden="1">{#N/A,#N/A,FALSE,"Umsatz 99";#N/A,#N/A,FALSE,"ER 99 "}</definedName>
    <definedName name="fgh" localSheetId="3"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fgh" localSheetId="7"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fgh"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fghfghfghgfh" localSheetId="3" hidden="1">{#N/A,#N/A,FALSE,"KA CH  (2)"}</definedName>
    <definedName name="fghfghfghgfh" localSheetId="7" hidden="1">{#N/A,#N/A,FALSE,"KA CH  (2)"}</definedName>
    <definedName name="fghfghfghgfh" hidden="1">{#N/A,#N/A,FALSE,"KA CH  (2)"}</definedName>
    <definedName name="fghfghfghgfhgfh" localSheetId="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fghgfhgfh"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fghgfhgfh"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gfh" localSheetId="3" hidden="1">{#N/A,#N/A,FALSE,"Umsatz CH";#N/A,#N/A,FALSE,"ER CH";#N/A,#N/A,FALSE,"EA CH (2) ";#N/A,#N/A,FALSE,"EA CH";#N/A,#N/A,FALSE,"EA CH (3) ";#N/A,#N/A,FALSE,"EA CH (4)";#N/A,#N/A,FALSE,"KA CH";#N/A,#N/A,FALSE,"KA CH  (2)";#N/A,#N/A,FALSE,"KA CH  (3)";#N/A,#N/A,FALSE,"KA CH (4)"}</definedName>
    <definedName name="fghfghgfh" localSheetId="7" hidden="1">{#N/A,#N/A,FALSE,"Umsatz CH";#N/A,#N/A,FALSE,"ER CH";#N/A,#N/A,FALSE,"EA CH (2) ";#N/A,#N/A,FALSE,"EA CH";#N/A,#N/A,FALSE,"EA CH (3) ";#N/A,#N/A,FALSE,"EA CH (4)";#N/A,#N/A,FALSE,"KA CH";#N/A,#N/A,FALSE,"KA CH  (2)";#N/A,#N/A,FALSE,"KA CH  (3)";#N/A,#N/A,FALSE,"KA CH (4)"}</definedName>
    <definedName name="fghfghgfh" hidden="1">{#N/A,#N/A,FALSE,"Umsatz CH";#N/A,#N/A,FALSE,"ER CH";#N/A,#N/A,FALSE,"EA CH (2) ";#N/A,#N/A,FALSE,"EA CH";#N/A,#N/A,FALSE,"EA CH (3) ";#N/A,#N/A,FALSE,"EA CH (4)";#N/A,#N/A,FALSE,"KA CH";#N/A,#N/A,FALSE,"KA CH  (2)";#N/A,#N/A,FALSE,"KA CH  (3)";#N/A,#N/A,FALSE,"KA CH (4)"}</definedName>
    <definedName name="fghfh" localSheetId="3" hidden="1">{#N/A,#N/A,FALSE,"Umsatz EO BP";#N/A,#N/A,FALSE,"Umsatz EO OP";#N/A,#N/A,FALSE,"ER EO BP";#N/A,#N/A,FALSE,"ER EO OP";#N/A,#N/A,FALSE,"EA EO (2)";#N/A,#N/A,FALSE,"EA EO";#N/A,#N/A,FALSE,"EA EO (3)";#N/A,#N/A,FALSE,"EA EO (4)";#N/A,#N/A,FALSE,"KA EO  (2)";#N/A,#N/A,FALSE,"KA EO";#N/A,#N/A,FALSE,"KA EO  (3)";#N/A,#N/A,FALSE,"KA EO (4)"}</definedName>
    <definedName name="fghfh" localSheetId="7" hidden="1">{#N/A,#N/A,FALSE,"Umsatz EO BP";#N/A,#N/A,FALSE,"Umsatz EO OP";#N/A,#N/A,FALSE,"ER EO BP";#N/A,#N/A,FALSE,"ER EO OP";#N/A,#N/A,FALSE,"EA EO (2)";#N/A,#N/A,FALSE,"EA EO";#N/A,#N/A,FALSE,"EA EO (3)";#N/A,#N/A,FALSE,"EA EO (4)";#N/A,#N/A,FALSE,"KA EO  (2)";#N/A,#N/A,FALSE,"KA EO";#N/A,#N/A,FALSE,"KA EO  (3)";#N/A,#N/A,FALSE,"KA EO (4)"}</definedName>
    <definedName name="fghfh" hidden="1">{#N/A,#N/A,FALSE,"Umsatz EO BP";#N/A,#N/A,FALSE,"Umsatz EO OP";#N/A,#N/A,FALSE,"ER EO BP";#N/A,#N/A,FALSE,"ER EO OP";#N/A,#N/A,FALSE,"EA EO (2)";#N/A,#N/A,FALSE,"EA EO";#N/A,#N/A,FALSE,"EA EO (3)";#N/A,#N/A,FALSE,"EA EO (4)";#N/A,#N/A,FALSE,"KA EO  (2)";#N/A,#N/A,FALSE,"KA EO";#N/A,#N/A,FALSE,"KA EO  (3)";#N/A,#N/A,FALSE,"KA EO (4)"}</definedName>
    <definedName name="fghj" localSheetId="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j"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jfgjfgj" localSheetId="3" hidden="1">{#N/A,#N/A,FALSE,"Produkte Erw.";#N/A,#N/A,FALSE,"Produkte Plan";#N/A,#N/A,FALSE,"Leistungen Erw.";#N/A,#N/A,FALSE,"Leistungen Plan";#N/A,#N/A,FALSE,"KA Allg.Kosten (2)";#N/A,#N/A,FALSE,"KA All.Kosten"}</definedName>
    <definedName name="fgjfgjfgj" localSheetId="7" hidden="1">{#N/A,#N/A,FALSE,"Produkte Erw.";#N/A,#N/A,FALSE,"Produkte Plan";#N/A,#N/A,FALSE,"Leistungen Erw.";#N/A,#N/A,FALSE,"Leistungen Plan";#N/A,#N/A,FALSE,"KA Allg.Kosten (2)";#N/A,#N/A,FALSE,"KA All.Kosten"}</definedName>
    <definedName name="fgjfgjfgj" hidden="1">{#N/A,#N/A,FALSE,"Produkte Erw.";#N/A,#N/A,FALSE,"Produkte Plan";#N/A,#N/A,FALSE,"Leistungen Erw.";#N/A,#N/A,FALSE,"Leistungen Plan";#N/A,#N/A,FALSE,"KA Allg.Kosten (2)";#N/A,#N/A,FALSE,"KA All.Kosten"}</definedName>
    <definedName name="fgkjkh" localSheetId="3" hidden="1">{#N/A,#N/A,FALSE,"REPORT"}</definedName>
    <definedName name="fgkjkh" localSheetId="7" hidden="1">{#N/A,#N/A,FALSE,"REPORT"}</definedName>
    <definedName name="fgkjkh" hidden="1">{#N/A,#N/A,FALSE,"REPORT"}</definedName>
    <definedName name="fgsd" localSheetId="3" hidden="1">{"PAGE 1",#N/A,FALSE,"COS Excluding Geismar";"PAGE 2",#N/A,FALSE,"COS Excluding Geismar";"PAGE 3",#N/A,FALSE,"COS Excluding Geismar"}</definedName>
    <definedName name="fgsd" localSheetId="7" hidden="1">{"PAGE 1",#N/A,FALSE,"COS Excluding Geismar";"PAGE 2",#N/A,FALSE,"COS Excluding Geismar";"PAGE 3",#N/A,FALSE,"COS Excluding Geismar"}</definedName>
    <definedName name="fgsd" hidden="1">{"PAGE 1",#N/A,FALSE,"COS Excluding Geismar";"PAGE 2",#N/A,FALSE,"COS Excluding Geismar";"PAGE 3",#N/A,FALSE,"COS Excluding Geismar"}</definedName>
    <definedName name="fgt" localSheetId="3" hidden="1">{"Performance Details",#N/A,FALSE,"Current Yr";"Performance Details",#N/A,FALSE,"Budget";"Performance Details",#N/A,FALSE,"Prior Year"}</definedName>
    <definedName name="fgt" localSheetId="7" hidden="1">{"Performance Details",#N/A,FALSE,"Current Yr";"Performance Details",#N/A,FALSE,"Budget";"Performance Details",#N/A,FALSE,"Prior Year"}</definedName>
    <definedName name="fgt" hidden="1">{"Performance Details",#N/A,FALSE,"Current Yr";"Performance Details",#N/A,FALSE,"Budget";"Performance Details",#N/A,FALSE,"Prior Year"}</definedName>
    <definedName name="fh" localSheetId="3" hidden="1">{#N/A,#N/A,FALSE,"KA CH  (2)"}</definedName>
    <definedName name="fh" localSheetId="7" hidden="1">{#N/A,#N/A,FALSE,"KA CH  (2)"}</definedName>
    <definedName name="fh" hidden="1">{#N/A,#N/A,FALSE,"KA CH  (2)"}</definedName>
    <definedName name="fhfgh" localSheetId="3" hidden="1">{#N/A,#N/A,FALSE,"Umsatz CH";#N/A,#N/A,FALSE,"ER CH";#N/A,#N/A,FALSE,"EA CH (2) ";#N/A,#N/A,FALSE,"EA CH";#N/A,#N/A,FALSE,"EA CH (3) ";#N/A,#N/A,FALSE,"EA CH (4)";#N/A,#N/A,FALSE,"KA CH";#N/A,#N/A,FALSE,"KA CH  (2)";#N/A,#N/A,FALSE,"KA CH  (3)";#N/A,#N/A,FALSE,"KA CH (4)"}</definedName>
    <definedName name="fhfgh" localSheetId="7" hidden="1">{#N/A,#N/A,FALSE,"Umsatz CH";#N/A,#N/A,FALSE,"ER CH";#N/A,#N/A,FALSE,"EA CH (2) ";#N/A,#N/A,FALSE,"EA CH";#N/A,#N/A,FALSE,"EA CH (3) ";#N/A,#N/A,FALSE,"EA CH (4)";#N/A,#N/A,FALSE,"KA CH";#N/A,#N/A,FALSE,"KA CH  (2)";#N/A,#N/A,FALSE,"KA CH  (3)";#N/A,#N/A,FALSE,"KA CH (4)"}</definedName>
    <definedName name="fhfgh" hidden="1">{#N/A,#N/A,FALSE,"Umsatz CH";#N/A,#N/A,FALSE,"ER CH";#N/A,#N/A,FALSE,"EA CH (2) ";#N/A,#N/A,FALSE,"EA CH";#N/A,#N/A,FALSE,"EA CH (3) ";#N/A,#N/A,FALSE,"EA CH (4)";#N/A,#N/A,FALSE,"KA CH";#N/A,#N/A,FALSE,"KA CH  (2)";#N/A,#N/A,FALSE,"KA CH  (3)";#N/A,#N/A,FALSE,"KA CH (4)"}</definedName>
    <definedName name="fhfhh" localSheetId="3" hidden="1">{#N/A,#N/A,FALSE,"Umsatz CH";#N/A,#N/A,FALSE,"ER CH";#N/A,#N/A,FALSE,"EA CH (2) ";#N/A,#N/A,FALSE,"EA CH";#N/A,#N/A,FALSE,"EA CH (3) ";#N/A,#N/A,FALSE,"EA CH (4)";#N/A,#N/A,FALSE,"KA CH";#N/A,#N/A,FALSE,"KA CH  (2)";#N/A,#N/A,FALSE,"KA CH  (3)";#N/A,#N/A,FALSE,"KA CH (4)"}</definedName>
    <definedName name="fhfhh" localSheetId="7" hidden="1">{#N/A,#N/A,FALSE,"Umsatz CH";#N/A,#N/A,FALSE,"ER CH";#N/A,#N/A,FALSE,"EA CH (2) ";#N/A,#N/A,FALSE,"EA CH";#N/A,#N/A,FALSE,"EA CH (3) ";#N/A,#N/A,FALSE,"EA CH (4)";#N/A,#N/A,FALSE,"KA CH";#N/A,#N/A,FALSE,"KA CH  (2)";#N/A,#N/A,FALSE,"KA CH  (3)";#N/A,#N/A,FALSE,"KA CH (4)"}</definedName>
    <definedName name="fhfhh" hidden="1">{#N/A,#N/A,FALSE,"Umsatz CH";#N/A,#N/A,FALSE,"ER CH";#N/A,#N/A,FALSE,"EA CH (2) ";#N/A,#N/A,FALSE,"EA CH";#N/A,#N/A,FALSE,"EA CH (3) ";#N/A,#N/A,FALSE,"EA CH (4)";#N/A,#N/A,FALSE,"KA CH";#N/A,#N/A,FALSE,"KA CH  (2)";#N/A,#N/A,FALSE,"KA CH  (3)";#N/A,#N/A,FALSE,"KA CH (4)"}</definedName>
    <definedName name="fhrtz" localSheetId="3" hidden="1">{#N/A,#N/A,FALSE,"PMW Gruppe 00_99";#N/A,#N/A,FALSE,"PMW KG 00_99";#N/A,#N/A,FALSE,"PMW Inc. 00_99";#N/A,#N/A,FALSE,"PMW VTECH 00_99";#N/A,#N/A,FALSE,"PMW Thail. 00_99";#N/A,#N/A,FALSE,"PMW Canada 00_99";#N/A,#N/A,FALSE,"Währungsabw. 00_99"}</definedName>
    <definedName name="fhrtz" localSheetId="7" hidden="1">{#N/A,#N/A,FALSE,"PMW Gruppe 00_99";#N/A,#N/A,FALSE,"PMW KG 00_99";#N/A,#N/A,FALSE,"PMW Inc. 00_99";#N/A,#N/A,FALSE,"PMW VTECH 00_99";#N/A,#N/A,FALSE,"PMW Thail. 00_99";#N/A,#N/A,FALSE,"PMW Canada 00_99";#N/A,#N/A,FALSE,"Währungsabw. 00_99"}</definedName>
    <definedName name="fhrtz" hidden="1">{#N/A,#N/A,FALSE,"PMW Gruppe 00_99";#N/A,#N/A,FALSE,"PMW KG 00_99";#N/A,#N/A,FALSE,"PMW Inc. 00_99";#N/A,#N/A,FALSE,"PMW VTECH 00_99";#N/A,#N/A,FALSE,"PMW Thail. 00_99";#N/A,#N/A,FALSE,"PMW Canada 00_99";#N/A,#N/A,FALSE,"Währungsabw. 00_99"}</definedName>
    <definedName name="Final_Summary"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l_Summary" localSheetId="7"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l_Summary"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JEZK" localSheetId="3" hidden="1">{#N/A,#N/A,FALSE,"Pharm";#N/A,#N/A,FALSE,"WWCM"}</definedName>
    <definedName name="FJEZK" localSheetId="7" hidden="1">{#N/A,#N/A,FALSE,"Pharm";#N/A,#N/A,FALSE,"WWCM"}</definedName>
    <definedName name="FJEZK" hidden="1">{#N/A,#N/A,FALSE,"Pharm";#N/A,#N/A,FALSE,"WWCM"}</definedName>
    <definedName name="forecast" localSheetId="3" hidden="1">{"cover a","1q",FALSE,"Cover";"Op Earn Mgd Q1",#N/A,FALSE,"Op-Earn (Mng)";"Op Earn Rpt Q1",#N/A,FALSE,"Op-Earn (Rpt)";"Loans",#N/A,FALSE,"Loans";"Credit Costs",#N/A,FALSE,"CCosts";"Net Interest Margin",#N/A,FALSE,"Margin";"Nonint Income",#N/A,FALSE,"NonII";"Nonint Exp",#N/A,FALSE,"NonIE";"Valuation",#N/A,FALSE,"Valuation"}</definedName>
    <definedName name="forecast" localSheetId="7" hidden="1">{"cover a","1q",FALSE,"Cover";"Op Earn Mgd Q1",#N/A,FALSE,"Op-Earn (Mng)";"Op Earn Rpt Q1",#N/A,FALSE,"Op-Earn (Rpt)";"Loans",#N/A,FALSE,"Loans";"Credit Costs",#N/A,FALSE,"CCosts";"Net Interest Margin",#N/A,FALSE,"Margin";"Nonint Income",#N/A,FALSE,"NonII";"Nonint Exp",#N/A,FALSE,"NonIE";"Valuation",#N/A,FALSE,"Valuation"}</definedName>
    <definedName name="forecast" hidden="1">{"cover a","1q",FALSE,"Cover";"Op Earn Mgd Q1",#N/A,FALSE,"Op-Earn (Mng)";"Op Earn Rpt Q1",#N/A,FALSE,"Op-Earn (Rpt)";"Loans",#N/A,FALSE,"Loans";"Credit Costs",#N/A,FALSE,"CCosts";"Net Interest Margin",#N/A,FALSE,"Margin";"Nonint Income",#N/A,FALSE,"NonII";"Nonint Exp",#N/A,FALSE,"NonIE";"Valuation",#N/A,FALSE,"Valuation"}</definedName>
    <definedName name="four" localSheetId="3" hidden="1">#REF!</definedName>
    <definedName name="four" hidden="1">#REF!</definedName>
    <definedName name="fr" localSheetId="3" hidden="1">{#N/A,"PURCHM",FALSE,"Business Analysis";#N/A,"SPADD",FALSE,"Business Analysis"}</definedName>
    <definedName name="fr" localSheetId="7" hidden="1">{#N/A,"PURCHM",FALSE,"Business Analysis";#N/A,"SPADD",FALSE,"Business Analysis"}</definedName>
    <definedName name="fr" hidden="1">{#N/A,"PURCHM",FALSE,"Business Analysis";#N/A,"SPADD",FALSE,"Business Analysis"}</definedName>
    <definedName name="freew" localSheetId="3" hidden="1">{#N/A,#N/A,TRUE,"ICMAN96 (1)"}</definedName>
    <definedName name="freew" localSheetId="7" hidden="1">{#N/A,#N/A,TRUE,"ICMAN96 (1)"}</definedName>
    <definedName name="freew" hidden="1">{#N/A,#N/A,TRUE,"ICMAN96 (1)"}</definedName>
    <definedName name="fresfg"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F" localSheetId="3" hidden="1">{#N/A,#N/A,FALSE,"1";#N/A,#N/A,FALSE,"2";#N/A,#N/A,FALSE,"16 - 17";#N/A,#N/A,FALSE,"18 - 19";#N/A,#N/A,FALSE,"26";#N/A,#N/A,FALSE,"27";#N/A,#N/A,FALSE,"28"}</definedName>
    <definedName name="FRF" localSheetId="7" hidden="1">{#N/A,#N/A,FALSE,"1";#N/A,#N/A,FALSE,"2";#N/A,#N/A,FALSE,"16 - 17";#N/A,#N/A,FALSE,"18 - 19";#N/A,#N/A,FALSE,"26";#N/A,#N/A,FALSE,"27";#N/A,#N/A,FALSE,"28"}</definedName>
    <definedName name="FRF" hidden="1">{#N/A,#N/A,FALSE,"1";#N/A,#N/A,FALSE,"2";#N/A,#N/A,FALSE,"16 - 17";#N/A,#N/A,FALSE,"18 - 19";#N/A,#N/A,FALSE,"26";#N/A,#N/A,FALSE,"27";#N/A,#N/A,FALSE,"28"}</definedName>
    <definedName name="FRFERFE" localSheetId="3" hidden="1">{#N/A,#N/A,FALSE,"Pharm";#N/A,#N/A,FALSE,"WWCM"}</definedName>
    <definedName name="FRFERFE" localSheetId="7" hidden="1">{#N/A,#N/A,FALSE,"Pharm";#N/A,#N/A,FALSE,"WWCM"}</definedName>
    <definedName name="FRFERFE" hidden="1">{#N/A,#N/A,FALSE,"Pharm";#N/A,#N/A,FALSE,"WWCM"}</definedName>
    <definedName name="frty" localSheetId="3" hidden="1">{"PRS",#N/A,FALSE,"CM"}</definedName>
    <definedName name="frty" localSheetId="7" hidden="1">{"PRS",#N/A,FALSE,"CM"}</definedName>
    <definedName name="frty" hidden="1">{"PRS",#N/A,FALSE,"CM"}</definedName>
    <definedName name="FVG" localSheetId="3" hidden="1">{#N/A,#N/A,FALSE,"Pharm";#N/A,#N/A,FALSE,"WWCM"}</definedName>
    <definedName name="FVG" localSheetId="7" hidden="1">{#N/A,#N/A,FALSE,"Pharm";#N/A,#N/A,FALSE,"WWCM"}</definedName>
    <definedName name="FVG" hidden="1">{#N/A,#N/A,FALSE,"Pharm";#N/A,#N/A,FALSE,"WWCM"}</definedName>
    <definedName name="fwer" localSheetId="3" hidden="1">{#N/A,"PURCHM",FALSE,"Business Analysis";#N/A,"SPADD",FALSE,"Business Analysis"}</definedName>
    <definedName name="fwer" localSheetId="7" hidden="1">{#N/A,"PURCHM",FALSE,"Business Analysis";#N/A,"SPADD",FALSE,"Business Analysis"}</definedName>
    <definedName name="fwer" hidden="1">{#N/A,"PURCHM",FALSE,"Business Analysis";#N/A,"SPADD",FALSE,"Business Analysis"}</definedName>
    <definedName name="fx" localSheetId="3" hidden="1">{"TOTTEXAS",#N/A,FALSE,"CM"}</definedName>
    <definedName name="fx" localSheetId="7" hidden="1">{"TOTTEXAS",#N/A,FALSE,"CM"}</definedName>
    <definedName name="fx" hidden="1">{"TOTTEXAS",#N/A,FALSE,"CM"}</definedName>
    <definedName name="g" localSheetId="3" hidden="1">{#N/A,#N/A,FALSE,"Pharm";#N/A,#N/A,FALSE,"WWCM"}</definedName>
    <definedName name="g" localSheetId="7" hidden="1">{#N/A,#N/A,FALSE,"Pharm";#N/A,#N/A,FALSE,"WWCM"}</definedName>
    <definedName name="g" hidden="1">{#N/A,#N/A,FALSE,"Pharm";#N/A,#N/A,FALSE,"WWCM"}</definedName>
    <definedName name="g7o" localSheetId="3" hidden="1">{#N/A,#N/A,FALSE,"model"}</definedName>
    <definedName name="g7o" localSheetId="7" hidden="1">{#N/A,#N/A,FALSE,"model"}</definedName>
    <definedName name="g7o" hidden="1">{#N/A,#N/A,FALSE,"model"}</definedName>
    <definedName name="GDF" localSheetId="3" hidden="1">{"detail",#N/A,FALSE,"mfg";"summary",#N/A,FALSE,"mfg"}</definedName>
    <definedName name="GDF" localSheetId="7" hidden="1">{"detail",#N/A,FALSE,"mfg";"summary",#N/A,FALSE,"mfg"}</definedName>
    <definedName name="GDF" hidden="1">{"detail",#N/A,FALSE,"mfg";"summary",#N/A,FALSE,"mfg"}</definedName>
    <definedName name="gdfg" localSheetId="3" hidden="1">{#N/A,#N/A,FALSE,"Umsatz EO BP";#N/A,#N/A,FALSE,"Umsatz EO OP";#N/A,#N/A,FALSE,"ER EO BP";#N/A,#N/A,FALSE,"ER EO OP";#N/A,#N/A,FALSE,"EA EO (2)";#N/A,#N/A,FALSE,"EA EO";#N/A,#N/A,FALSE,"EA EO (3)";#N/A,#N/A,FALSE,"EA EO (4)";#N/A,#N/A,FALSE,"KA EO  (2)";#N/A,#N/A,FALSE,"KA EO";#N/A,#N/A,FALSE,"KA EO  (3)";#N/A,#N/A,FALSE,"KA EO (4)"}</definedName>
    <definedName name="gdfg" localSheetId="7" hidden="1">{#N/A,#N/A,FALSE,"Umsatz EO BP";#N/A,#N/A,FALSE,"Umsatz EO OP";#N/A,#N/A,FALSE,"ER EO BP";#N/A,#N/A,FALSE,"ER EO OP";#N/A,#N/A,FALSE,"EA EO (2)";#N/A,#N/A,FALSE,"EA EO";#N/A,#N/A,FALSE,"EA EO (3)";#N/A,#N/A,FALSE,"EA EO (4)";#N/A,#N/A,FALSE,"KA EO  (2)";#N/A,#N/A,FALSE,"KA EO";#N/A,#N/A,FALSE,"KA EO  (3)";#N/A,#N/A,FALSE,"KA EO (4)"}</definedName>
    <definedName name="gdfg" hidden="1">{#N/A,#N/A,FALSE,"Umsatz EO BP";#N/A,#N/A,FALSE,"Umsatz EO OP";#N/A,#N/A,FALSE,"ER EO BP";#N/A,#N/A,FALSE,"ER EO OP";#N/A,#N/A,FALSE,"EA EO (2)";#N/A,#N/A,FALSE,"EA EO";#N/A,#N/A,FALSE,"EA EO (3)";#N/A,#N/A,FALSE,"EA EO (4)";#N/A,#N/A,FALSE,"KA EO  (2)";#N/A,#N/A,FALSE,"KA EO";#N/A,#N/A,FALSE,"KA EO  (3)";#N/A,#N/A,FALSE,"KA EO (4)"}</definedName>
    <definedName name="gdfgdf" localSheetId="3" hidden="1">{#N/A,#N/A,FALSE,"Pharm";#N/A,#N/A,FALSE,"WWCM"}</definedName>
    <definedName name="gdfgdf" localSheetId="7" hidden="1">{#N/A,#N/A,FALSE,"Pharm";#N/A,#N/A,FALSE,"WWCM"}</definedName>
    <definedName name="gdfgdf" hidden="1">{#N/A,#N/A,FALSE,"Pharm";#N/A,#N/A,FALSE,"WWCM"}</definedName>
    <definedName name="general_exp." localSheetId="3" hidden="1">{#N/A,"100% Success",TRUE,"Sales Forecast";#N/A,#N/A,TRUE,"Sheet2"}</definedName>
    <definedName name="general_exp." localSheetId="7" hidden="1">{#N/A,"100% Success",TRUE,"Sales Forecast";#N/A,#N/A,TRUE,"Sheet2"}</definedName>
    <definedName name="general_exp." hidden="1">{#N/A,"100% Success",TRUE,"Sales Forecast";#N/A,#N/A,TRUE,"Sheet2"}</definedName>
    <definedName name="ger" hidden="1">#N/A</definedName>
    <definedName name="gf" localSheetId="3" hidden="1">{#N/A,#N/A,FALSE,"KA CH  (2)"}</definedName>
    <definedName name="gf" localSheetId="7" hidden="1">{#N/A,#N/A,FALSE,"KA CH  (2)"}</definedName>
    <definedName name="gf" hidden="1">{#N/A,#N/A,FALSE,"KA CH  (2)"}</definedName>
    <definedName name="gfd" localSheetId="3" hidden="1">{#N/A,"PURCHM",FALSE,"Business Analysis";#N/A,"SPADD",FALSE,"Business Analysis"}</definedName>
    <definedName name="gfd" localSheetId="7" hidden="1">{#N/A,"PURCHM",FALSE,"Business Analysis";#N/A,"SPADD",FALSE,"Business Analysis"}</definedName>
    <definedName name="gfd" hidden="1">{#N/A,"PURCHM",FALSE,"Business Analysis";#N/A,"SPADD",FALSE,"Business Analysis"}</definedName>
    <definedName name="gfdjhjh" localSheetId="3" hidden="1">{#N/A,#N/A,FALSE,"Pharm";#N/A,#N/A,FALSE,"WWCM"}</definedName>
    <definedName name="gfdjhjh" localSheetId="7" hidden="1">{#N/A,#N/A,FALSE,"Pharm";#N/A,#N/A,FALSE,"WWCM"}</definedName>
    <definedName name="gfdjhjh" hidden="1">{#N/A,#N/A,FALSE,"Pharm";#N/A,#N/A,FALSE,"WWCM"}</definedName>
    <definedName name="gfds" localSheetId="3" hidden="1">{"oct_res_comm",#N/A,FALSE,"VarToBud"}</definedName>
    <definedName name="gfds" localSheetId="7" hidden="1">{"oct_res_comm",#N/A,FALSE,"VarToBud"}</definedName>
    <definedName name="gfds" hidden="1">{"oct_res_comm",#N/A,FALSE,"VarToBud"}</definedName>
    <definedName name="GFGFG" localSheetId="3" hidden="1">Main.SAPF4Help()</definedName>
    <definedName name="GFGFG" localSheetId="7" hidden="1">Main.SAPF4Help()</definedName>
    <definedName name="GFGFG" hidden="1">Main.SAPF4Help()</definedName>
    <definedName name="GFGFGFGFGFGFGFGFGFGGFGFGFGFGF" localSheetId="3" hidden="1">{#N/A,#N/A,FALSE,"Pag.01"}</definedName>
    <definedName name="GFGFGFGFGFGFGFGFGFGGFGFGFGFGF" localSheetId="7" hidden="1">{#N/A,#N/A,FALSE,"Pag.01"}</definedName>
    <definedName name="GFGFGFGFGFGFGFGFGFGGFGFGFGFGF" hidden="1">{#N/A,#N/A,FALSE,"Pag.01"}</definedName>
    <definedName name="gfghdfgdf" localSheetId="3" hidden="1">{#N/A,#N/A,FALSE,"Umsatz CH";#N/A,#N/A,FALSE,"ER CH";#N/A,#N/A,FALSE,"EA CH (2) ";#N/A,#N/A,FALSE,"EA CH";#N/A,#N/A,FALSE,"EA CH (3) ";#N/A,#N/A,FALSE,"EA CH (4)";#N/A,#N/A,FALSE,"KA CH";#N/A,#N/A,FALSE,"KA CH  (2)";#N/A,#N/A,FALSE,"KA CH  (3)";#N/A,#N/A,FALSE,"KA CH (4)"}</definedName>
    <definedName name="gfghdfgdf" localSheetId="7" hidden="1">{#N/A,#N/A,FALSE,"Umsatz CH";#N/A,#N/A,FALSE,"ER CH";#N/A,#N/A,FALSE,"EA CH (2) ";#N/A,#N/A,FALSE,"EA CH";#N/A,#N/A,FALSE,"EA CH (3) ";#N/A,#N/A,FALSE,"EA CH (4)";#N/A,#N/A,FALSE,"KA CH";#N/A,#N/A,FALSE,"KA CH  (2)";#N/A,#N/A,FALSE,"KA CH  (3)";#N/A,#N/A,FALSE,"KA CH (4)"}</definedName>
    <definedName name="gfghdfgdf" hidden="1">{#N/A,#N/A,FALSE,"Umsatz CH";#N/A,#N/A,FALSE,"ER CH";#N/A,#N/A,FALSE,"EA CH (2) ";#N/A,#N/A,FALSE,"EA CH";#N/A,#N/A,FALSE,"EA CH (3) ";#N/A,#N/A,FALSE,"EA CH (4)";#N/A,#N/A,FALSE,"KA CH";#N/A,#N/A,FALSE,"KA CH  (2)";#N/A,#N/A,FALSE,"KA CH  (3)";#N/A,#N/A,FALSE,"KA CH (4)"}</definedName>
    <definedName name="gfhfgh" localSheetId="3" hidden="1">{#N/A,#N/A,FALSE,"Umsatz HM";#N/A,#N/A,FALSE,"ER HM";#N/A,#N/A,FALSE,"EA HM  (2)";#N/A,#N/A,FALSE,"EA HM ";#N/A,#N/A,FALSE,"EA HM  (4)";#N/A,#N/A,FALSE,"EA HM  (3)";#N/A,#N/A,FALSE,"KA HM  (2)";#N/A,#N/A,FALSE,"KA HM";#N/A,#N/A,FALSE,"KA HM  (3)";#N/A,#N/A,FALSE,"KA HM (4)"}</definedName>
    <definedName name="gfhfgh" localSheetId="7" hidden="1">{#N/A,#N/A,FALSE,"Umsatz HM";#N/A,#N/A,FALSE,"ER HM";#N/A,#N/A,FALSE,"EA HM  (2)";#N/A,#N/A,FALSE,"EA HM ";#N/A,#N/A,FALSE,"EA HM  (4)";#N/A,#N/A,FALSE,"EA HM  (3)";#N/A,#N/A,FALSE,"KA HM  (2)";#N/A,#N/A,FALSE,"KA HM";#N/A,#N/A,FALSE,"KA HM  (3)";#N/A,#N/A,FALSE,"KA HM (4)"}</definedName>
    <definedName name="gfhfgh" hidden="1">{#N/A,#N/A,FALSE,"Umsatz HM";#N/A,#N/A,FALSE,"ER HM";#N/A,#N/A,FALSE,"EA HM  (2)";#N/A,#N/A,FALSE,"EA HM ";#N/A,#N/A,FALSE,"EA HM  (4)";#N/A,#N/A,FALSE,"EA HM  (3)";#N/A,#N/A,FALSE,"KA HM  (2)";#N/A,#N/A,FALSE,"KA HM";#N/A,#N/A,FALSE,"KA HM  (3)";#N/A,#N/A,FALSE,"KA HM (4)"}</definedName>
    <definedName name="gfhfghgsdfghfg" localSheetId="3" hidden="1">{#N/A,#N/A,FALSE,"Umsatz 99";#N/A,#N/A,FALSE,"ER 99 "}</definedName>
    <definedName name="gfhfghgsdfghfg" localSheetId="7" hidden="1">{#N/A,#N/A,FALSE,"Umsatz 99";#N/A,#N/A,FALSE,"ER 99 "}</definedName>
    <definedName name="gfhfghgsdfghfg" hidden="1">{#N/A,#N/A,FALSE,"Umsatz 99";#N/A,#N/A,FALSE,"ER 99 "}</definedName>
    <definedName name="gfhh" localSheetId="3" hidden="1">{#N/A,#N/A,FALSE,"Umsatz CH";#N/A,#N/A,FALSE,"ER CH";#N/A,#N/A,FALSE,"EA CH (2) ";#N/A,#N/A,FALSE,"EA CH";#N/A,#N/A,FALSE,"EA CH (3) ";#N/A,#N/A,FALSE,"EA CH (4)";#N/A,#N/A,FALSE,"KA CH";#N/A,#N/A,FALSE,"KA CH  (2)";#N/A,#N/A,FALSE,"KA CH  (3)";#N/A,#N/A,FALSE,"KA CH (4)"}</definedName>
    <definedName name="gfhh" localSheetId="7" hidden="1">{#N/A,#N/A,FALSE,"Umsatz CH";#N/A,#N/A,FALSE,"ER CH";#N/A,#N/A,FALSE,"EA CH (2) ";#N/A,#N/A,FALSE,"EA CH";#N/A,#N/A,FALSE,"EA CH (3) ";#N/A,#N/A,FALSE,"EA CH (4)";#N/A,#N/A,FALSE,"KA CH";#N/A,#N/A,FALSE,"KA CH  (2)";#N/A,#N/A,FALSE,"KA CH  (3)";#N/A,#N/A,FALSE,"KA CH (4)"}</definedName>
    <definedName name="gfhh" hidden="1">{#N/A,#N/A,FALSE,"Umsatz CH";#N/A,#N/A,FALSE,"ER CH";#N/A,#N/A,FALSE,"EA CH (2) ";#N/A,#N/A,FALSE,"EA CH";#N/A,#N/A,FALSE,"EA CH (3) ";#N/A,#N/A,FALSE,"EA CH (4)";#N/A,#N/A,FALSE,"KA CH";#N/A,#N/A,FALSE,"KA CH  (2)";#N/A,#N/A,FALSE,"KA CH  (3)";#N/A,#N/A,FALSE,"KA CH (4)"}</definedName>
    <definedName name="gfrr" localSheetId="3" hidden="1">{#N/A,#N/A,FALSE,"Umsatz 99";#N/A,#N/A,FALSE,"ER 99 "}</definedName>
    <definedName name="gfrr" localSheetId="7" hidden="1">{#N/A,#N/A,FALSE,"Umsatz 99";#N/A,#N/A,FALSE,"ER 99 "}</definedName>
    <definedName name="gfrr" hidden="1">{#N/A,#N/A,FALSE,"Umsatz 99";#N/A,#N/A,FALSE,"ER 99 "}</definedName>
    <definedName name="gg" localSheetId="3" hidden="1">{#N/A,#N/A,FALSE,"Umsatz EO BP";#N/A,#N/A,FALSE,"Umsatz EO OP";#N/A,#N/A,FALSE,"ER EO BP";#N/A,#N/A,FALSE,"ER EO OP";#N/A,#N/A,FALSE,"EA EO (2)";#N/A,#N/A,FALSE,"EA EO";#N/A,#N/A,FALSE,"EA EO (3)";#N/A,#N/A,FALSE,"EA EO (4)";#N/A,#N/A,FALSE,"KA EO  (2)";#N/A,#N/A,FALSE,"KA EO";#N/A,#N/A,FALSE,"KA EO  (3)";#N/A,#N/A,FALSE,"KA EO (4)"}</definedName>
    <definedName name="gg" localSheetId="7" hidden="1">{#N/A,#N/A,FALSE,"Umsatz EO BP";#N/A,#N/A,FALSE,"Umsatz EO OP";#N/A,#N/A,FALSE,"ER EO BP";#N/A,#N/A,FALSE,"ER EO OP";#N/A,#N/A,FALSE,"EA EO (2)";#N/A,#N/A,FALSE,"EA EO";#N/A,#N/A,FALSE,"EA EO (3)";#N/A,#N/A,FALSE,"EA EO (4)";#N/A,#N/A,FALSE,"KA EO  (2)";#N/A,#N/A,FALSE,"KA EO";#N/A,#N/A,FALSE,"KA EO  (3)";#N/A,#N/A,FALSE,"KA EO (4)"}</definedName>
    <definedName name="gg" hidden="1">{#N/A,#N/A,FALSE,"Umsatz EO BP";#N/A,#N/A,FALSE,"Umsatz EO OP";#N/A,#N/A,FALSE,"ER EO BP";#N/A,#N/A,FALSE,"ER EO OP";#N/A,#N/A,FALSE,"EA EO (2)";#N/A,#N/A,FALSE,"EA EO";#N/A,#N/A,FALSE,"EA EO (3)";#N/A,#N/A,FALSE,"EA EO (4)";#N/A,#N/A,FALSE,"KA EO  (2)";#N/A,#N/A,FALSE,"KA EO";#N/A,#N/A,FALSE,"KA EO  (3)";#N/A,#N/A,FALSE,"KA EO (4)"}</definedName>
    <definedName name="ggg" localSheetId="3" hidden="1">{"FS`s",#N/A,TRUE,"FS's";"Icome St",#N/A,TRUE,"Income St.";"Balance Sh",#N/A,TRUE,"Balance Sh.";"Gross Margin",#N/A,TRUE,"Gross Margin"}</definedName>
    <definedName name="ggg" localSheetId="7" hidden="1">{"FS`s",#N/A,TRUE,"FS's";"Icome St",#N/A,TRUE,"Income St.";"Balance Sh",#N/A,TRUE,"Balance Sh.";"Gross Margin",#N/A,TRUE,"Gross Margin"}</definedName>
    <definedName name="ggg" hidden="1">{"FS`s",#N/A,TRUE,"FS's";"Icome St",#N/A,TRUE,"Income St.";"Balance Sh",#N/A,TRUE,"Balance Sh.";"Gross Margin",#N/A,TRUE,"Gross Margin"}</definedName>
    <definedName name="gggg" localSheetId="3" hidden="1">{#N/A,#N/A,FALSE,"Umsatz 99";#N/A,#N/A,FALSE,"ER 99 "}</definedName>
    <definedName name="gggg" localSheetId="7" hidden="1">{#N/A,#N/A,FALSE,"Umsatz 99";#N/A,#N/A,FALSE,"ER 99 "}</definedName>
    <definedName name="gggg" hidden="1">{#N/A,#N/A,FALSE,"Umsatz 99";#N/A,#N/A,FALSE,"ER 99 "}</definedName>
    <definedName name="gh" localSheetId="3" hidden="1">{"detail",#N/A,FALSE,"mfg";"summary",#N/A,FALSE,"mfg"}</definedName>
    <definedName name="gh" localSheetId="7" hidden="1">{"detail",#N/A,FALSE,"mfg";"summary",#N/A,FALSE,"mfg"}</definedName>
    <definedName name="gh" hidden="1">{"detail",#N/A,FALSE,"mfg";"summary",#N/A,FALSE,"mfg"}</definedName>
    <definedName name="ghfgh" localSheetId="3" hidden="1">{#N/A,#N/A,FALSE,"Umsatz CH";#N/A,#N/A,FALSE,"ER CH";#N/A,#N/A,FALSE,"EA CH (2) ";#N/A,#N/A,FALSE,"EA CH";#N/A,#N/A,FALSE,"EA CH (3) ";#N/A,#N/A,FALSE,"EA CH (4)";#N/A,#N/A,FALSE,"KA CH";#N/A,#N/A,FALSE,"KA CH  (2)";#N/A,#N/A,FALSE,"KA CH  (3)";#N/A,#N/A,FALSE,"KA CH (4)"}</definedName>
    <definedName name="ghfgh" localSheetId="7" hidden="1">{#N/A,#N/A,FALSE,"Umsatz CH";#N/A,#N/A,FALSE,"ER CH";#N/A,#N/A,FALSE,"EA CH (2) ";#N/A,#N/A,FALSE,"EA CH";#N/A,#N/A,FALSE,"EA CH (3) ";#N/A,#N/A,FALSE,"EA CH (4)";#N/A,#N/A,FALSE,"KA CH";#N/A,#N/A,FALSE,"KA CH  (2)";#N/A,#N/A,FALSE,"KA CH  (3)";#N/A,#N/A,FALSE,"KA CH (4)"}</definedName>
    <definedName name="ghfgh" hidden="1">{#N/A,#N/A,FALSE,"Umsatz CH";#N/A,#N/A,FALSE,"ER CH";#N/A,#N/A,FALSE,"EA CH (2) ";#N/A,#N/A,FALSE,"EA CH";#N/A,#N/A,FALSE,"EA CH (3) ";#N/A,#N/A,FALSE,"EA CH (4)";#N/A,#N/A,FALSE,"KA CH";#N/A,#N/A,FALSE,"KA CH  (2)";#N/A,#N/A,FALSE,"KA CH  (3)";#N/A,#N/A,FALSE,"KA CH (4)"}</definedName>
    <definedName name="ghh" localSheetId="3" hidden="1">{#N/A,#N/A,FALSE,"KA CH  (2)"}</definedName>
    <definedName name="ghh" localSheetId="7" hidden="1">{#N/A,#N/A,FALSE,"KA CH  (2)"}</definedName>
    <definedName name="ghh" hidden="1">{#N/A,#N/A,FALSE,"KA CH  (2)"}</definedName>
    <definedName name="ghj" localSheetId="3" hidden="1">{#N/A,#N/A,FALSE,"Umsatz CH";#N/A,#N/A,FALSE,"ER CH";#N/A,#N/A,FALSE,"EA CH (2) ";#N/A,#N/A,FALSE,"EA CH";#N/A,#N/A,FALSE,"EA CH (3) ";#N/A,#N/A,FALSE,"EA CH (4)";#N/A,#N/A,FALSE,"KA CH";#N/A,#N/A,FALSE,"KA CH  (2)";#N/A,#N/A,FALSE,"KA CH  (3)";#N/A,#N/A,FALSE,"KA CH (4)"}</definedName>
    <definedName name="ghj" localSheetId="7" hidden="1">{#N/A,#N/A,FALSE,"Umsatz CH";#N/A,#N/A,FALSE,"ER CH";#N/A,#N/A,FALSE,"EA CH (2) ";#N/A,#N/A,FALSE,"EA CH";#N/A,#N/A,FALSE,"EA CH (3) ";#N/A,#N/A,FALSE,"EA CH (4)";#N/A,#N/A,FALSE,"KA CH";#N/A,#N/A,FALSE,"KA CH  (2)";#N/A,#N/A,FALSE,"KA CH  (3)";#N/A,#N/A,FALSE,"KA CH (4)"}</definedName>
    <definedName name="ghj" hidden="1">{#N/A,#N/A,FALSE,"Umsatz CH";#N/A,#N/A,FALSE,"ER CH";#N/A,#N/A,FALSE,"EA CH (2) ";#N/A,#N/A,FALSE,"EA CH";#N/A,#N/A,FALSE,"EA CH (3) ";#N/A,#N/A,FALSE,"EA CH (4)";#N/A,#N/A,FALSE,"KA CH";#N/A,#N/A,FALSE,"KA CH  (2)";#N/A,#N/A,FALSE,"KA CH  (3)";#N/A,#N/A,FALSE,"KA CH (4)"}</definedName>
    <definedName name="ghj.ljj" localSheetId="3" hidden="1">{#N/A,#N/A,FALSE,"Produkte Erw.";#N/A,#N/A,FALSE,"Produkte Plan";#N/A,#N/A,FALSE,"Leistungen Erw.";#N/A,#N/A,FALSE,"Leistungen Plan";#N/A,#N/A,FALSE,"KA Allg.Kosten (2)";#N/A,#N/A,FALSE,"KA All.Kosten"}</definedName>
    <definedName name="ghj.ljj" localSheetId="7" hidden="1">{#N/A,#N/A,FALSE,"Produkte Erw.";#N/A,#N/A,FALSE,"Produkte Plan";#N/A,#N/A,FALSE,"Leistungen Erw.";#N/A,#N/A,FALSE,"Leistungen Plan";#N/A,#N/A,FALSE,"KA Allg.Kosten (2)";#N/A,#N/A,FALSE,"KA All.Kosten"}</definedName>
    <definedName name="ghj.ljj" hidden="1">{#N/A,#N/A,FALSE,"Produkte Erw.";#N/A,#N/A,FALSE,"Produkte Plan";#N/A,#N/A,FALSE,"Leistungen Erw.";#N/A,#N/A,FALSE,"Leistungen Plan";#N/A,#N/A,FALSE,"KA Allg.Kosten (2)";#N/A,#N/A,FALSE,"KA All.Kosten"}</definedName>
    <definedName name="ghj.zz" localSheetId="3" hidden="1">{#N/A,#N/A,FALSE,"Umsatz CH";#N/A,#N/A,FALSE,"ER CH";#N/A,#N/A,FALSE,"EA CH (2) ";#N/A,#N/A,FALSE,"EA CH";#N/A,#N/A,FALSE,"EA CH (3) ";#N/A,#N/A,FALSE,"EA CH (4)";#N/A,#N/A,FALSE,"KA CH";#N/A,#N/A,FALSE,"KA CH  (2)";#N/A,#N/A,FALSE,"KA CH  (3)";#N/A,#N/A,FALSE,"KA CH (4)"}</definedName>
    <definedName name="ghj.zz" localSheetId="7" hidden="1">{#N/A,#N/A,FALSE,"Umsatz CH";#N/A,#N/A,FALSE,"ER CH";#N/A,#N/A,FALSE,"EA CH (2) ";#N/A,#N/A,FALSE,"EA CH";#N/A,#N/A,FALSE,"EA CH (3) ";#N/A,#N/A,FALSE,"EA CH (4)";#N/A,#N/A,FALSE,"KA CH";#N/A,#N/A,FALSE,"KA CH  (2)";#N/A,#N/A,FALSE,"KA CH  (3)";#N/A,#N/A,FALSE,"KA CH (4)"}</definedName>
    <definedName name="ghj.zz" hidden="1">{#N/A,#N/A,FALSE,"Umsatz CH";#N/A,#N/A,FALSE,"ER CH";#N/A,#N/A,FALSE,"EA CH (2) ";#N/A,#N/A,FALSE,"EA CH";#N/A,#N/A,FALSE,"EA CH (3) ";#N/A,#N/A,FALSE,"EA CH (4)";#N/A,#N/A,FALSE,"KA CH";#N/A,#N/A,FALSE,"KA CH  (2)";#N/A,#N/A,FALSE,"KA CH  (3)";#N/A,#N/A,FALSE,"KA CH (4)"}</definedName>
    <definedName name="ghjggjh" localSheetId="3" hidden="1">{#N/A,#N/A,FALSE,"Pharm";#N/A,#N/A,FALSE,"WWCM"}</definedName>
    <definedName name="ghjggjh" localSheetId="7" hidden="1">{#N/A,#N/A,FALSE,"Pharm";#N/A,#N/A,FALSE,"WWCM"}</definedName>
    <definedName name="ghjggjh" hidden="1">{#N/A,#N/A,FALSE,"Pharm";#N/A,#N/A,FALSE,"WWCM"}</definedName>
    <definedName name="ghjhgj" localSheetId="3" hidden="1">{#N/A,#N/A,FALSE,"PMW Gruppe 99_98";#N/A,#N/A,FALSE,"PMW KG 98_99";#N/A,#N/A,FALSE,"PMW Inc. 99_98";#N/A,#N/A,FALSE,"PMW VTECH 99_98";#N/A,#N/A,FALSE,"PMW Thail. 99_98";#N/A,#N/A,FALSE,"PMW Canada 99_98";#N/A,#N/A,FALSE,"Währungsabw. 99_98"}</definedName>
    <definedName name="ghjhgj" localSheetId="7" hidden="1">{#N/A,#N/A,FALSE,"PMW Gruppe 99_98";#N/A,#N/A,FALSE,"PMW KG 98_99";#N/A,#N/A,FALSE,"PMW Inc. 99_98";#N/A,#N/A,FALSE,"PMW VTECH 99_98";#N/A,#N/A,FALSE,"PMW Thail. 99_98";#N/A,#N/A,FALSE,"PMW Canada 99_98";#N/A,#N/A,FALSE,"Währungsabw. 99_98"}</definedName>
    <definedName name="ghjhgj" hidden="1">{#N/A,#N/A,FALSE,"PMW Gruppe 99_98";#N/A,#N/A,FALSE,"PMW KG 98_99";#N/A,#N/A,FALSE,"PMW Inc. 99_98";#N/A,#N/A,FALSE,"PMW VTECH 99_98";#N/A,#N/A,FALSE,"PMW Thail. 99_98";#N/A,#N/A,FALSE,"PMW Canada 99_98";#N/A,#N/A,FALSE,"Währungsabw. 99_98"}</definedName>
    <definedName name="ghjhgjh" localSheetId="3" hidden="1">{#N/A,#N/A,FALSE,"KA CH  (2)"}</definedName>
    <definedName name="ghjhgjh" localSheetId="7" hidden="1">{#N/A,#N/A,FALSE,"KA CH  (2)"}</definedName>
    <definedName name="ghjhgjh" hidden="1">{#N/A,#N/A,FALSE,"KA CH  (2)"}</definedName>
    <definedName name="ghjhj" localSheetId="3" hidden="1">{#N/A,#N/A,FALSE,"Umsatz EO BP";#N/A,#N/A,FALSE,"Umsatz EO OP";#N/A,#N/A,FALSE,"ER EO BP";#N/A,#N/A,FALSE,"ER EO OP";#N/A,#N/A,FALSE,"EA EO (2)";#N/A,#N/A,FALSE,"EA EO";#N/A,#N/A,FALSE,"EA EO (3)";#N/A,#N/A,FALSE,"EA EO (4)";#N/A,#N/A,FALSE,"KA EO  (2)";#N/A,#N/A,FALSE,"KA EO";#N/A,#N/A,FALSE,"KA EO  (3)";#N/A,#N/A,FALSE,"KA EO (4)"}</definedName>
    <definedName name="ghjhj" localSheetId="7" hidden="1">{#N/A,#N/A,FALSE,"Umsatz EO BP";#N/A,#N/A,FALSE,"Umsatz EO OP";#N/A,#N/A,FALSE,"ER EO BP";#N/A,#N/A,FALSE,"ER EO OP";#N/A,#N/A,FALSE,"EA EO (2)";#N/A,#N/A,FALSE,"EA EO";#N/A,#N/A,FALSE,"EA EO (3)";#N/A,#N/A,FALSE,"EA EO (4)";#N/A,#N/A,FALSE,"KA EO  (2)";#N/A,#N/A,FALSE,"KA EO";#N/A,#N/A,FALSE,"KA EO  (3)";#N/A,#N/A,FALSE,"KA EO (4)"}</definedName>
    <definedName name="ghjhj" hidden="1">{#N/A,#N/A,FALSE,"Umsatz EO BP";#N/A,#N/A,FALSE,"Umsatz EO OP";#N/A,#N/A,FALSE,"ER EO BP";#N/A,#N/A,FALSE,"ER EO OP";#N/A,#N/A,FALSE,"EA EO (2)";#N/A,#N/A,FALSE,"EA EO";#N/A,#N/A,FALSE,"EA EO (3)";#N/A,#N/A,FALSE,"EA EO (4)";#N/A,#N/A,FALSE,"KA EO  (2)";#N/A,#N/A,FALSE,"KA EO";#N/A,#N/A,FALSE,"KA EO  (3)";#N/A,#N/A,FALSE,"KA EO (4)"}</definedName>
    <definedName name="ghjk" localSheetId="3"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hjk"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hjk"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hk" localSheetId="3" hidden="1">{#N/A,#N/A,FALSE,"PMW Gruppe 99_98";#N/A,#N/A,FALSE,"PMW KG 98_99";#N/A,#N/A,FALSE,"PMW Inc. 99_98";#N/A,#N/A,FALSE,"PMW VTECH 99_98";#N/A,#N/A,FALSE,"PMW Thail. 99_98";#N/A,#N/A,FALSE,"PMW Canada 99_98";#N/A,#N/A,FALSE,"Währungsabw. 99_98"}</definedName>
    <definedName name="ghk" localSheetId="7" hidden="1">{#N/A,#N/A,FALSE,"PMW Gruppe 99_98";#N/A,#N/A,FALSE,"PMW KG 98_99";#N/A,#N/A,FALSE,"PMW Inc. 99_98";#N/A,#N/A,FALSE,"PMW VTECH 99_98";#N/A,#N/A,FALSE,"PMW Thail. 99_98";#N/A,#N/A,FALSE,"PMW Canada 99_98";#N/A,#N/A,FALSE,"Währungsabw. 99_98"}</definedName>
    <definedName name="ghk" hidden="1">{#N/A,#N/A,FALSE,"PMW Gruppe 99_98";#N/A,#N/A,FALSE,"PMW KG 98_99";#N/A,#N/A,FALSE,"PMW Inc. 99_98";#N/A,#N/A,FALSE,"PMW VTECH 99_98";#N/A,#N/A,FALSE,"PMW Thail. 99_98";#N/A,#N/A,FALSE,"PMW Canada 99_98";#N/A,#N/A,FALSE,"Währungsabw. 99_98"}</definedName>
    <definedName name="ghuifd" localSheetId="3" hidden="1">{#N/A,"PURCHM",FALSE,"Business Analysis";#N/A,"SPADD",FALSE,"Business Analysis"}</definedName>
    <definedName name="ghuifd" localSheetId="7" hidden="1">{#N/A,"PURCHM",FALSE,"Business Analysis";#N/A,"SPADD",FALSE,"Business Analysis"}</definedName>
    <definedName name="ghuifd" hidden="1">{#N/A,"PURCHM",FALSE,"Business Analysis";#N/A,"SPADD",FALSE,"Business Analysis"}</definedName>
    <definedName name="giçgui" localSheetId="3" hidden="1">{#N/A,#N/A,FALSE,"model"}</definedName>
    <definedName name="giçgui" localSheetId="7" hidden="1">{#N/A,#N/A,FALSE,"model"}</definedName>
    <definedName name="giçgui" hidden="1">{#N/A,#N/A,FALSE,"model"}</definedName>
    <definedName name="giu" localSheetId="3" hidden="1">{#N/A,#N/A,FALSE,"BALANCE";#N/A,#N/A,FALSE,"CUENTA DE PYG";#N/A,#N/A,FALSE,"RATIOS"}</definedName>
    <definedName name="giu" localSheetId="7" hidden="1">{#N/A,#N/A,FALSE,"BALANCE";#N/A,#N/A,FALSE,"CUENTA DE PYG";#N/A,#N/A,FALSE,"RATIOS"}</definedName>
    <definedName name="giu" hidden="1">{#N/A,#N/A,FALSE,"BALANCE";#N/A,#N/A,FALSE,"CUENTA DE PYG";#N/A,#N/A,FALSE,"RATIOS"}</definedName>
    <definedName name="giuç" localSheetId="3" hidden="1">{#N/A,#N/A,FALSE,"model"}</definedName>
    <definedName name="giuç" localSheetId="7" hidden="1">{#N/A,#N/A,FALSE,"model"}</definedName>
    <definedName name="giuç" hidden="1">{#N/A,#N/A,FALSE,"model"}</definedName>
    <definedName name="gjh" localSheetId="3" hidden="1">{#N/A,#N/A,FALSE,"Umsatz 99";#N/A,#N/A,FALSE,"ER 99 "}</definedName>
    <definedName name="gjh" localSheetId="7" hidden="1">{#N/A,#N/A,FALSE,"Umsatz 99";#N/A,#N/A,FALSE,"ER 99 "}</definedName>
    <definedName name="gjh" hidden="1">{#N/A,#N/A,FALSE,"Umsatz 99";#N/A,#N/A,FALSE,"ER 99 "}</definedName>
    <definedName name="gjk" localSheetId="3" hidden="1">{#N/A,#N/A,FALSE,"Umsatz HM";#N/A,#N/A,FALSE,"ER HM";#N/A,#N/A,FALSE,"EA HM  (2)";#N/A,#N/A,FALSE,"EA HM ";#N/A,#N/A,FALSE,"EA HM  (4)";#N/A,#N/A,FALSE,"EA HM  (3)";#N/A,#N/A,FALSE,"KA HM  (2)";#N/A,#N/A,FALSE,"KA HM";#N/A,#N/A,FALSE,"KA HM  (3)";#N/A,#N/A,FALSE,"KA HM (4)"}</definedName>
    <definedName name="gjk" localSheetId="7" hidden="1">{#N/A,#N/A,FALSE,"Umsatz HM";#N/A,#N/A,FALSE,"ER HM";#N/A,#N/A,FALSE,"EA HM  (2)";#N/A,#N/A,FALSE,"EA HM ";#N/A,#N/A,FALSE,"EA HM  (4)";#N/A,#N/A,FALSE,"EA HM  (3)";#N/A,#N/A,FALSE,"KA HM  (2)";#N/A,#N/A,FALSE,"KA HM";#N/A,#N/A,FALSE,"KA HM  (3)";#N/A,#N/A,FALSE,"KA HM (4)"}</definedName>
    <definedName name="gjk" hidden="1">{#N/A,#N/A,FALSE,"Umsatz HM";#N/A,#N/A,FALSE,"ER HM";#N/A,#N/A,FALSE,"EA HM  (2)";#N/A,#N/A,FALSE,"EA HM ";#N/A,#N/A,FALSE,"EA HM  (4)";#N/A,#N/A,FALSE,"EA HM  (3)";#N/A,#N/A,FALSE,"KA HM  (2)";#N/A,#N/A,FALSE,"KA HM";#N/A,#N/A,FALSE,"KA HM  (3)";#N/A,#N/A,FALSE,"KA HM (4)"}</definedName>
    <definedName name="gkjjk" localSheetId="3" hidden="1">{#N/A,#N/A,FALSE,"Umsatz CH";#N/A,#N/A,FALSE,"ER CH";#N/A,#N/A,FALSE,"EA CH (2) ";#N/A,#N/A,FALSE,"EA CH";#N/A,#N/A,FALSE,"EA CH (3) ";#N/A,#N/A,FALSE,"EA CH (4)";#N/A,#N/A,FALSE,"KA CH";#N/A,#N/A,FALSE,"KA CH  (2)";#N/A,#N/A,FALSE,"KA CH  (3)";#N/A,#N/A,FALSE,"KA CH (4)"}</definedName>
    <definedName name="gkjjk" localSheetId="7" hidden="1">{#N/A,#N/A,FALSE,"Umsatz CH";#N/A,#N/A,FALSE,"ER CH";#N/A,#N/A,FALSE,"EA CH (2) ";#N/A,#N/A,FALSE,"EA CH";#N/A,#N/A,FALSE,"EA CH (3) ";#N/A,#N/A,FALSE,"EA CH (4)";#N/A,#N/A,FALSE,"KA CH";#N/A,#N/A,FALSE,"KA CH  (2)";#N/A,#N/A,FALSE,"KA CH  (3)";#N/A,#N/A,FALSE,"KA CH (4)"}</definedName>
    <definedName name="gkjjk" hidden="1">{#N/A,#N/A,FALSE,"Umsatz CH";#N/A,#N/A,FALSE,"ER CH";#N/A,#N/A,FALSE,"EA CH (2) ";#N/A,#N/A,FALSE,"EA CH";#N/A,#N/A,FALSE,"EA CH (3) ";#N/A,#N/A,FALSE,"EA CH (4)";#N/A,#N/A,FALSE,"KA CH";#N/A,#N/A,FALSE,"KA CH  (2)";#N/A,#N/A,FALSE,"KA CH  (3)";#N/A,#N/A,FALSE,"KA CH (4)"}</definedName>
    <definedName name="gkn" localSheetId="3" hidden="1">{#N/A,#N/A,FALSE,"COVER PAGE";#N/A,#N/A,FALSE,"Page 2";#N/A,#N/A,FALSE,"Page 2";#N/A,#N/A,FALSE,"Page 4";#N/A,#N/A,FALSE,"Page5";#N/A,#N/A,FALSE,"Page 6";#N/A,#N/A,FALSE,"Page 7";#N/A,#N/A,FALSE,"Page 8";#N/A,#N/A,FALSE,"Page 10";#N/A,#N/A,FALSE,"Long-Term OCF Mult.";#N/A,#N/A,FALSE,"PCS Comp";#N/A,#N/A,FALSE,"OCS-CAPEX";#N/A,#N/A,FALSE,"Blank"}</definedName>
    <definedName name="gkn" localSheetId="7" hidden="1">{#N/A,#N/A,FALSE,"COVER PAGE";#N/A,#N/A,FALSE,"Page 2";#N/A,#N/A,FALSE,"Page 2";#N/A,#N/A,FALSE,"Page 4";#N/A,#N/A,FALSE,"Page5";#N/A,#N/A,FALSE,"Page 6";#N/A,#N/A,FALSE,"Page 7";#N/A,#N/A,FALSE,"Page 8";#N/A,#N/A,FALSE,"Page 10";#N/A,#N/A,FALSE,"Long-Term OCF Mult.";#N/A,#N/A,FALSE,"PCS Comp";#N/A,#N/A,FALSE,"OCS-CAPEX";#N/A,#N/A,FALSE,"Blank"}</definedName>
    <definedName name="gkn" hidden="1">{#N/A,#N/A,FALSE,"COVER PAGE";#N/A,#N/A,FALSE,"Page 2";#N/A,#N/A,FALSE,"Page 2";#N/A,#N/A,FALSE,"Page 4";#N/A,#N/A,FALSE,"Page5";#N/A,#N/A,FALSE,"Page 6";#N/A,#N/A,FALSE,"Page 7";#N/A,#N/A,FALSE,"Page 8";#N/A,#N/A,FALSE,"Page 10";#N/A,#N/A,FALSE,"Long-Term OCF Mult.";#N/A,#N/A,FALSE,"PCS Comp";#N/A,#N/A,FALSE,"OCS-CAPEX";#N/A,#N/A,FALSE,"Blank"}</definedName>
    <definedName name="GlideChartMarker" hidden="1">"Chart!A1"</definedName>
    <definedName name="GlideDataMarker" hidden="1">"Data!A1"</definedName>
    <definedName name="GlideHiddenMarker" hidden="1">"Costcurvedata!A1"</definedName>
    <definedName name="GlideMaxCharts" hidden="1">7</definedName>
    <definedName name="Global1" localSheetId="3" hidden="1">{#N/A,#N/A,FALSE,"Pharm";#N/A,#N/A,FALSE,"WWCM"}</definedName>
    <definedName name="Global1" localSheetId="7" hidden="1">{#N/A,#N/A,FALSE,"Pharm";#N/A,#N/A,FALSE,"WWCM"}</definedName>
    <definedName name="Global1" hidden="1">{#N/A,#N/A,FALSE,"Pharm";#N/A,#N/A,FALSE,"WWCM"}</definedName>
    <definedName name="GNAaux" localSheetId="3" hidden="1">{"2004",#N/A,FALSE,"DEFINITIVA CASH";"2005",#N/A,FALSE,"DEFINITIVA CASH";"2006",#N/A,FALSE,"DEFINITIVA CASH"}</definedName>
    <definedName name="GNAaux" localSheetId="7" hidden="1">{"2004",#N/A,FALSE,"DEFINITIVA CASH";"2005",#N/A,FALSE,"DEFINITIVA CASH";"2006",#N/A,FALSE,"DEFINITIVA CASH"}</definedName>
    <definedName name="GNAaux" hidden="1">{"2004",#N/A,FALSE,"DEFINITIVA CASH";"2005",#N/A,FALSE,"DEFINITIVA CASH";"2006",#N/A,FALSE,"DEFINITIVA CASH"}</definedName>
    <definedName name="go8giu" localSheetId="3" hidden="1">{#N/A,#N/A,FALSE,"model"}</definedName>
    <definedName name="go8giu" localSheetId="7" hidden="1">{#N/A,#N/A,FALSE,"model"}</definedName>
    <definedName name="go8giu" hidden="1">{#N/A,#N/A,FALSE,"model"}</definedName>
    <definedName name="Gperp">'[1]Discounted Cash Flow (DCF)'!$D$10</definedName>
    <definedName name="graham" localSheetId="3" hidden="1">{"ICD Details",#N/A,FALSE,"Current Yr";"ICD Details",#N/A,FALSE,"Budget";"ICD Details",#N/A,FALSE,"Prior Year"}</definedName>
    <definedName name="graham" localSheetId="7" hidden="1">{"ICD Details",#N/A,FALSE,"Current Yr";"ICD Details",#N/A,FALSE,"Budget";"ICD Details",#N/A,FALSE,"Prior Year"}</definedName>
    <definedName name="graham" hidden="1">{"ICD Details",#N/A,FALSE,"Current Yr";"ICD Details",#N/A,FALSE,"Budget";"ICD Details",#N/A,FALSE,"Prior Year"}</definedName>
    <definedName name="graph" localSheetId="3" hidden="1">{#N/A,#N/A,FALSE,"REPORT"}</definedName>
    <definedName name="graph" localSheetId="7" hidden="1">{#N/A,#N/A,FALSE,"REPORT"}</definedName>
    <definedName name="graph" hidden="1">{#N/A,#N/A,FALSE,"REPORT"}</definedName>
    <definedName name="graph1" hidden="1">#REF!</definedName>
    <definedName name="gravedad" localSheetId="3" hidden="1">{#N/A,#N/A,TRUE,"ICMAN96 (1)"}</definedName>
    <definedName name="gravedad" localSheetId="7" hidden="1">{#N/A,#N/A,TRUE,"ICMAN96 (1)"}</definedName>
    <definedName name="gravedad" hidden="1">{#N/A,#N/A,TRUE,"ICMAN96 (1)"}</definedName>
    <definedName name="grghfgfg" localSheetId="3" hidden="1">{#N/A,#N/A,FALSE,"Umsatz CH";#N/A,#N/A,FALSE,"ER CH";#N/A,#N/A,FALSE,"EA CH (2) ";#N/A,#N/A,FALSE,"EA CH";#N/A,#N/A,FALSE,"EA CH (3) ";#N/A,#N/A,FALSE,"EA CH (4)";#N/A,#N/A,FALSE,"KA CH";#N/A,#N/A,FALSE,"KA CH  (2)";#N/A,#N/A,FALSE,"KA CH  (3)";#N/A,#N/A,FALSE,"KA CH (4)"}</definedName>
    <definedName name="grghfgfg" localSheetId="7" hidden="1">{#N/A,#N/A,FALSE,"Umsatz CH";#N/A,#N/A,FALSE,"ER CH";#N/A,#N/A,FALSE,"EA CH (2) ";#N/A,#N/A,FALSE,"EA CH";#N/A,#N/A,FALSE,"EA CH (3) ";#N/A,#N/A,FALSE,"EA CH (4)";#N/A,#N/A,FALSE,"KA CH";#N/A,#N/A,FALSE,"KA CH  (2)";#N/A,#N/A,FALSE,"KA CH  (3)";#N/A,#N/A,FALSE,"KA CH (4)"}</definedName>
    <definedName name="grghfgfg" hidden="1">{#N/A,#N/A,FALSE,"Umsatz CH";#N/A,#N/A,FALSE,"ER CH";#N/A,#N/A,FALSE,"EA CH (2) ";#N/A,#N/A,FALSE,"EA CH";#N/A,#N/A,FALSE,"EA CH (3) ";#N/A,#N/A,FALSE,"EA CH (4)";#N/A,#N/A,FALSE,"KA CH";#N/A,#N/A,FALSE,"KA CH  (2)";#N/A,#N/A,FALSE,"KA CH  (3)";#N/A,#N/A,FALSE,"KA CH (4)"}</definedName>
    <definedName name="GRRRR" localSheetId="3" hidden="1">{#N/A,#N/A,FALSE,"Pag.01"}</definedName>
    <definedName name="GRRRR" localSheetId="7" hidden="1">{#N/A,#N/A,FALSE,"Pag.01"}</definedName>
    <definedName name="GRRRR" hidden="1">{#N/A,#N/A,FALSE,"Pag.01"}</definedName>
    <definedName name="gty" localSheetId="3" hidden="1">{"QTD_PACKAGE",#N/A,FALSE,"QTD"}</definedName>
    <definedName name="gty" localSheetId="7" hidden="1">{"QTD_PACKAGE",#N/A,FALSE,"QTD"}</definedName>
    <definedName name="gty" hidden="1">{"QTD_PACKAGE",#N/A,FALSE,"QTD"}</definedName>
    <definedName name="guo" localSheetId="3" hidden="1">{"'PXR_6500'!$A$1:$I$124"}</definedName>
    <definedName name="guo" localSheetId="7" hidden="1">{"'PXR_6500'!$A$1:$I$124"}</definedName>
    <definedName name="guo" hidden="1">{"'PXR_6500'!$A$1:$I$124"}</definedName>
    <definedName name="gv" localSheetId="3"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v"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v"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you" localSheetId="3"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gyou" localSheetId="7"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gyou"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h" localSheetId="3" hidden="1">{#N/A,#N/A,FALSE,"REPORT"}</definedName>
    <definedName name="h" localSheetId="7" hidden="1">{#N/A,#N/A,FALSE,"REPORT"}</definedName>
    <definedName name="h" hidden="1">{#N/A,#N/A,FALSE,"REPORT"}</definedName>
    <definedName name="h.ll" localSheetId="3" hidden="1">{#N/A,#N/A,FALSE,"PMW Gruppe 99_98";#N/A,#N/A,FALSE,"PMW KG 98_99";#N/A,#N/A,FALSE,"PMW Inc. 99_98";#N/A,#N/A,FALSE,"PMW VTECH 99_98";#N/A,#N/A,FALSE,"PMW Thail. 99_98";#N/A,#N/A,FALSE,"PMW Canada 99_98";#N/A,#N/A,FALSE,"Währungsabw. 99_98"}</definedName>
    <definedName name="h.ll" localSheetId="7" hidden="1">{#N/A,#N/A,FALSE,"PMW Gruppe 99_98";#N/A,#N/A,FALSE,"PMW KG 98_99";#N/A,#N/A,FALSE,"PMW Inc. 99_98";#N/A,#N/A,FALSE,"PMW VTECH 99_98";#N/A,#N/A,FALSE,"PMW Thail. 99_98";#N/A,#N/A,FALSE,"PMW Canada 99_98";#N/A,#N/A,FALSE,"Währungsabw. 99_98"}</definedName>
    <definedName name="h.ll" hidden="1">{#N/A,#N/A,FALSE,"PMW Gruppe 99_98";#N/A,#N/A,FALSE,"PMW KG 98_99";#N/A,#N/A,FALSE,"PMW Inc. 99_98";#N/A,#N/A,FALSE,"PMW VTECH 99_98";#N/A,#N/A,FALSE,"PMW Thail. 99_98";#N/A,#N/A,FALSE,"PMW Canada 99_98";#N/A,#N/A,FALSE,"Währungsabw. 99_98"}</definedName>
    <definedName name="hb" localSheetId="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b"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b"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DFG" localSheetId="3" hidden="1">{#N/A,#N/A,FALSE,"Pag.01"}</definedName>
    <definedName name="HDFG" localSheetId="7" hidden="1">{#N/A,#N/A,FALSE,"Pag.01"}</definedName>
    <definedName name="HDFG" hidden="1">{#N/A,#N/A,FALSE,"Pag.01"}</definedName>
    <definedName name="Hello" hidden="1">#REF!</definedName>
    <definedName name="Hello1" hidden="1">#REF!</definedName>
    <definedName name="Help" localSheetId="3" hidden="1">{#N/A,#N/A,FALSE,"COVER PAGE";#N/A,#N/A,FALSE,"Page 2";#N/A,#N/A,FALSE,"Page 2";#N/A,#N/A,FALSE,"Page 4";#N/A,#N/A,FALSE,"Page5";#N/A,#N/A,FALSE,"Page 6";#N/A,#N/A,FALSE,"Page 7";#N/A,#N/A,FALSE,"Page 8";#N/A,#N/A,FALSE,"Page 10";#N/A,#N/A,FALSE,"Long-Term OCF Mult.";#N/A,#N/A,FALSE,"PCS Comp";#N/A,#N/A,FALSE,"OCS-CAPEX";#N/A,#N/A,FALSE,"Blank"}</definedName>
    <definedName name="Help" localSheetId="7" hidden="1">{#N/A,#N/A,FALSE,"COVER PAGE";#N/A,#N/A,FALSE,"Page 2";#N/A,#N/A,FALSE,"Page 2";#N/A,#N/A,FALSE,"Page 4";#N/A,#N/A,FALSE,"Page5";#N/A,#N/A,FALSE,"Page 6";#N/A,#N/A,FALSE,"Page 7";#N/A,#N/A,FALSE,"Page 8";#N/A,#N/A,FALSE,"Page 10";#N/A,#N/A,FALSE,"Long-Term OCF Mult.";#N/A,#N/A,FALSE,"PCS Comp";#N/A,#N/A,FALSE,"OCS-CAPEX";#N/A,#N/A,FALSE,"Blank"}</definedName>
    <definedName name="Help" hidden="1">{#N/A,#N/A,FALSE,"COVER PAGE";#N/A,#N/A,FALSE,"Page 2";#N/A,#N/A,FALSE,"Page 2";#N/A,#N/A,FALSE,"Page 4";#N/A,#N/A,FALSE,"Page5";#N/A,#N/A,FALSE,"Page 6";#N/A,#N/A,FALSE,"Page 7";#N/A,#N/A,FALSE,"Page 8";#N/A,#N/A,FALSE,"Page 10";#N/A,#N/A,FALSE,"Long-Term OCF Mult.";#N/A,#N/A,FALSE,"PCS Comp";#N/A,#N/A,FALSE,"OCS-CAPEX";#N/A,#N/A,FALSE,"Blank"}</definedName>
    <definedName name="hf" localSheetId="3" hidden="1">{"detail",#N/A,FALSE,"mfg";"summary",#N/A,FALSE,"mfg"}</definedName>
    <definedName name="hf" localSheetId="7" hidden="1">{"detail",#N/A,FALSE,"mfg";"summary",#N/A,FALSE,"mfg"}</definedName>
    <definedName name="hf" hidden="1">{"detail",#N/A,FALSE,"mfg";"summary",#N/A,FALSE,"mfg"}</definedName>
    <definedName name="HFinGraph" localSheetId="3" hidden="1">{#N/A,#N/A,FALSE,"Pharm";#N/A,#N/A,FALSE,"WWCM"}</definedName>
    <definedName name="HFinGraph" localSheetId="7" hidden="1">{#N/A,#N/A,FALSE,"Pharm";#N/A,#N/A,FALSE,"WWCM"}</definedName>
    <definedName name="HFinGraph" hidden="1">{#N/A,#N/A,FALSE,"Pharm";#N/A,#N/A,FALSE,"WWCM"}</definedName>
    <definedName name="hg" localSheetId="3" hidden="1">{"detail",#N/A,FALSE,"mfg";"summary",#N/A,FALSE,"mfg"}</definedName>
    <definedName name="hg" localSheetId="7" hidden="1">{"detail",#N/A,FALSE,"mfg";"summary",#N/A,FALSE,"mfg"}</definedName>
    <definedName name="hg" hidden="1">{"detail",#N/A,FALSE,"mfg";"summary",#N/A,FALSE,"mfg"}</definedName>
    <definedName name="hgfd" localSheetId="3" hidden="1">{"BA detail",#N/A,FALSE,"Q3YTD "}</definedName>
    <definedName name="hgfd" localSheetId="7" hidden="1">{"BA detail",#N/A,FALSE,"Q3YTD "}</definedName>
    <definedName name="hgfd" hidden="1">{"BA detail",#N/A,FALSE,"Q3YTD "}</definedName>
    <definedName name="hgjg" localSheetId="3"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 localSheetId="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hjhhg" localSheetId="3" hidden="1">{#N/A,#N/A,FALSE,"Produkte Erw.";#N/A,#N/A,FALSE,"Produkte Plan";#N/A,#N/A,FALSE,"Leistungen Erw.";#N/A,#N/A,FALSE,"Leistungen Plan";#N/A,#N/A,FALSE,"KA Allg.Kosten (2)";#N/A,#N/A,FALSE,"KA All.Kosten"}</definedName>
    <definedName name="hgjghjhhg" localSheetId="7" hidden="1">{#N/A,#N/A,FALSE,"Produkte Erw.";#N/A,#N/A,FALSE,"Produkte Plan";#N/A,#N/A,FALSE,"Leistungen Erw.";#N/A,#N/A,FALSE,"Leistungen Plan";#N/A,#N/A,FALSE,"KA Allg.Kosten (2)";#N/A,#N/A,FALSE,"KA All.Kosten"}</definedName>
    <definedName name="hgjghjhhg" hidden="1">{#N/A,#N/A,FALSE,"Produkte Erw.";#N/A,#N/A,FALSE,"Produkte Plan";#N/A,#N/A,FALSE,"Leistungen Erw.";#N/A,#N/A,FALSE,"Leistungen Plan";#N/A,#N/A,FALSE,"KA Allg.Kosten (2)";#N/A,#N/A,FALSE,"KA All.Kosten"}</definedName>
    <definedName name="hh.k" localSheetId="3" hidden="1">{#N/A,#N/A,FALSE,"KA CH  (2)"}</definedName>
    <definedName name="hh.k" localSheetId="7" hidden="1">{#N/A,#N/A,FALSE,"KA CH  (2)"}</definedName>
    <definedName name="hh.k" hidden="1">{#N/A,#N/A,FALSE,"KA CH  (2)"}</definedName>
    <definedName name="hhh" localSheetId="3" hidden="1">{"'PXR_6500'!$A$1:$I$124"}</definedName>
    <definedName name="hhh" localSheetId="7" hidden="1">{"'PXR_6500'!$A$1:$I$124"}</definedName>
    <definedName name="hhh" hidden="1">{"'PXR_6500'!$A$1:$I$124"}</definedName>
    <definedName name="hhj.ls" localSheetId="3" hidden="1">{#N/A,#N/A,FALSE,"Produkte Erw.";#N/A,#N/A,FALSE,"Produkte Plan";#N/A,#N/A,FALSE,"Leistungen Erw.";#N/A,#N/A,FALSE,"Leistungen Plan";#N/A,#N/A,FALSE,"KA Allg.Kosten (2)";#N/A,#N/A,FALSE,"KA All.Kosten"}</definedName>
    <definedName name="hhj.ls" localSheetId="7" hidden="1">{#N/A,#N/A,FALSE,"Produkte Erw.";#N/A,#N/A,FALSE,"Produkte Plan";#N/A,#N/A,FALSE,"Leistungen Erw.";#N/A,#N/A,FALSE,"Leistungen Plan";#N/A,#N/A,FALSE,"KA Allg.Kosten (2)";#N/A,#N/A,FALSE,"KA All.Kosten"}</definedName>
    <definedName name="hhj.ls" hidden="1">{#N/A,#N/A,FALSE,"Produkte Erw.";#N/A,#N/A,FALSE,"Produkte Plan";#N/A,#N/A,FALSE,"Leistungen Erw.";#N/A,#N/A,FALSE,"Leistungen Plan";#N/A,#N/A,FALSE,"KA Allg.Kosten (2)";#N/A,#N/A,FALSE,"KA All.Kosten"}</definedName>
    <definedName name="Hibh" localSheetId="3" hidden="1">{#N/A,#N/A,FALSE,"Pharm";#N/A,#N/A,FALSE,"WWCM"}</definedName>
    <definedName name="Hibh" localSheetId="7" hidden="1">{#N/A,#N/A,FALSE,"Pharm";#N/A,#N/A,FALSE,"WWCM"}</definedName>
    <definedName name="Hibh" hidden="1">{#N/A,#N/A,FALSE,"Pharm";#N/A,#N/A,FALSE,"WWCM"}</definedName>
    <definedName name="High" localSheetId="3" hidden="1">{#N/A,#N/A,FALSE,"Pharm";#N/A,#N/A,FALSE,"WWCM"}</definedName>
    <definedName name="High" localSheetId="7" hidden="1">{#N/A,#N/A,FALSE,"Pharm";#N/A,#N/A,FALSE,"WWCM"}</definedName>
    <definedName name="High" hidden="1">{#N/A,#N/A,FALSE,"Pharm";#N/A,#N/A,FALSE,"WWCM"}</definedName>
    <definedName name="hj" localSheetId="3" hidden="1">{#N/A,#N/A,FALSE,"PMW Gruppe 99_98";#N/A,#N/A,FALSE,"PMW KG 98_99";#N/A,#N/A,FALSE,"PMW Inc. 99_98";#N/A,#N/A,FALSE,"PMW VTECH 99_98";#N/A,#N/A,FALSE,"PMW Thail. 99_98";#N/A,#N/A,FALSE,"PMW Canada 99_98";#N/A,#N/A,FALSE,"Währungsabw. 99_98"}</definedName>
    <definedName name="hj" localSheetId="7" hidden="1">{#N/A,#N/A,FALSE,"PMW Gruppe 99_98";#N/A,#N/A,FALSE,"PMW KG 98_99";#N/A,#N/A,FALSE,"PMW Inc. 99_98";#N/A,#N/A,FALSE,"PMW VTECH 99_98";#N/A,#N/A,FALSE,"PMW Thail. 99_98";#N/A,#N/A,FALSE,"PMW Canada 99_98";#N/A,#N/A,FALSE,"Währungsabw. 99_98"}</definedName>
    <definedName name="hj" hidden="1">{#N/A,#N/A,FALSE,"PMW Gruppe 99_98";#N/A,#N/A,FALSE,"PMW KG 98_99";#N/A,#N/A,FALSE,"PMW Inc. 99_98";#N/A,#N/A,FALSE,"PMW VTECH 99_98";#N/A,#N/A,FALSE,"PMW Thail. 99_98";#N/A,#N/A,FALSE,"PMW Canada 99_98";#N/A,#N/A,FALSE,"Währungsabw. 99_98"}</definedName>
    <definedName name="hj.k" localSheetId="3" hidden="1">{#N/A,#N/A,FALSE,"Produkte Erw.";#N/A,#N/A,FALSE,"Produkte Plan";#N/A,#N/A,FALSE,"Leistungen Erw.";#N/A,#N/A,FALSE,"Leistungen Plan";#N/A,#N/A,FALSE,"KA Allg.Kosten (2)";#N/A,#N/A,FALSE,"KA All.Kosten"}</definedName>
    <definedName name="hj.k" localSheetId="7" hidden="1">{#N/A,#N/A,FALSE,"Produkte Erw.";#N/A,#N/A,FALSE,"Produkte Plan";#N/A,#N/A,FALSE,"Leistungen Erw.";#N/A,#N/A,FALSE,"Leistungen Plan";#N/A,#N/A,FALSE,"KA Allg.Kosten (2)";#N/A,#N/A,FALSE,"KA All.Kosten"}</definedName>
    <definedName name="hj.k" hidden="1">{#N/A,#N/A,FALSE,"Produkte Erw.";#N/A,#N/A,FALSE,"Produkte Plan";#N/A,#N/A,FALSE,"Leistungen Erw.";#N/A,#N/A,FALSE,"Leistungen Plan";#N/A,#N/A,FALSE,"KA Allg.Kosten (2)";#N/A,#N/A,FALSE,"KA All.Kosten"}</definedName>
    <definedName name="hjghhgyg" localSheetId="3" hidden="1">{"Polymers Details",#N/A,FALSE,"Current Yr";"Polymer Details",#N/A,FALSE,"Budget";"Polymer Details",#N/A,FALSE,"Prior Year"}</definedName>
    <definedName name="hjghhgyg" localSheetId="7" hidden="1">{"Polymers Details",#N/A,FALSE,"Current Yr";"Polymer Details",#N/A,FALSE,"Budget";"Polymer Details",#N/A,FALSE,"Prior Year"}</definedName>
    <definedName name="hjghhgyg" hidden="1">{"Polymers Details",#N/A,FALSE,"Current Yr";"Polymer Details",#N/A,FALSE,"Budget";"Polymer Details",#N/A,FALSE,"Prior Year"}</definedName>
    <definedName name="hjghjhgj" localSheetId="3" hidden="1">{#N/A,#N/A,FALSE,"Produkte Erw.";#N/A,#N/A,FALSE,"Produkte Plan";#N/A,#N/A,FALSE,"Leistungen Erw.";#N/A,#N/A,FALSE,"Leistungen Plan";#N/A,#N/A,FALSE,"KA Allg.Kosten (2)";#N/A,#N/A,FALSE,"KA All.Kosten"}</definedName>
    <definedName name="hjghjhgj" localSheetId="7" hidden="1">{#N/A,#N/A,FALSE,"Produkte Erw.";#N/A,#N/A,FALSE,"Produkte Plan";#N/A,#N/A,FALSE,"Leistungen Erw.";#N/A,#N/A,FALSE,"Leistungen Plan";#N/A,#N/A,FALSE,"KA Allg.Kosten (2)";#N/A,#N/A,FALSE,"KA All.Kosten"}</definedName>
    <definedName name="hjghjhgj" hidden="1">{#N/A,#N/A,FALSE,"Produkte Erw.";#N/A,#N/A,FALSE,"Produkte Plan";#N/A,#N/A,FALSE,"Leistungen Erw.";#N/A,#N/A,FALSE,"Leistungen Plan";#N/A,#N/A,FALSE,"KA Allg.Kosten (2)";#N/A,#N/A,FALSE,"KA All.Kosten"}</definedName>
    <definedName name="hjh" localSheetId="3" hidden="1">{#N/A,#N/A,FALSE,"Produkte Erw.";#N/A,#N/A,FALSE,"Produkte Plan";#N/A,#N/A,FALSE,"Leistungen Erw.";#N/A,#N/A,FALSE,"Leistungen Plan";#N/A,#N/A,FALSE,"KA Allg.Kosten (2)";#N/A,#N/A,FALSE,"KA All.Kosten"}</definedName>
    <definedName name="hjh" localSheetId="7" hidden="1">{#N/A,#N/A,FALSE,"Produkte Erw.";#N/A,#N/A,FALSE,"Produkte Plan";#N/A,#N/A,FALSE,"Leistungen Erw.";#N/A,#N/A,FALSE,"Leistungen Plan";#N/A,#N/A,FALSE,"KA Allg.Kosten (2)";#N/A,#N/A,FALSE,"KA All.Kosten"}</definedName>
    <definedName name="hjh" hidden="1">{#N/A,#N/A,FALSE,"Produkte Erw.";#N/A,#N/A,FALSE,"Produkte Plan";#N/A,#N/A,FALSE,"Leistungen Erw.";#N/A,#N/A,FALSE,"Leistungen Plan";#N/A,#N/A,FALSE,"KA Allg.Kosten (2)";#N/A,#N/A,FALSE,"KA All.Kosten"}</definedName>
    <definedName name="HJHGJ" localSheetId="3" hidden="1">{#N/A,#N/A,FALSE,"Pag.01"}</definedName>
    <definedName name="HJHGJ" localSheetId="7" hidden="1">{#N/A,#N/A,FALSE,"Pag.01"}</definedName>
    <definedName name="HJHGJ" hidden="1">{#N/A,#N/A,FALSE,"Pag.01"}</definedName>
    <definedName name="hjhjffukfuk" localSheetId="3" hidden="1">{#N/A,#N/A,FALSE,"Pharm";#N/A,#N/A,FALSE,"WWCM"}</definedName>
    <definedName name="hjhjffukfuk" localSheetId="7" hidden="1">{#N/A,#N/A,FALSE,"Pharm";#N/A,#N/A,FALSE,"WWCM"}</definedName>
    <definedName name="hjhjffukfuk" hidden="1">{#N/A,#N/A,FALSE,"Pharm";#N/A,#N/A,FALSE,"WWCM"}</definedName>
    <definedName name="hjhjfkfukywrte" localSheetId="3" hidden="1">{#N/A,#N/A,FALSE,"Pharm";#N/A,#N/A,FALSE,"WWCM"}</definedName>
    <definedName name="hjhjfkfukywrte" localSheetId="7" hidden="1">{#N/A,#N/A,FALSE,"Pharm";#N/A,#N/A,FALSE,"WWCM"}</definedName>
    <definedName name="hjhjfkfukywrte" hidden="1">{#N/A,#N/A,FALSE,"Pharm";#N/A,#N/A,FALSE,"WWCM"}</definedName>
    <definedName name="hjhkjkl" localSheetId="3" hidden="1">{#N/A,#N/A,FALSE,"Pharm";#N/A,#N/A,FALSE,"WWCM"}</definedName>
    <definedName name="hjhkjkl" localSheetId="7" hidden="1">{#N/A,#N/A,FALSE,"Pharm";#N/A,#N/A,FALSE,"WWCM"}</definedName>
    <definedName name="hjhkjkl" hidden="1">{#N/A,#N/A,FALSE,"Pharm";#N/A,#N/A,FALSE,"WWCM"}</definedName>
    <definedName name="HJJ" localSheetId="3" hidden="1">{#N/A,#N/A,FALSE,"Pag.01"}</definedName>
    <definedName name="HJJ" localSheetId="7" hidden="1">{#N/A,#N/A,FALSE,"Pag.01"}</definedName>
    <definedName name="HJJ" hidden="1">{#N/A,#N/A,FALSE,"Pag.01"}</definedName>
    <definedName name="hjjjkk" localSheetId="3" hidden="1">{#N/A,#N/A,FALSE,"REPORT"}</definedName>
    <definedName name="hjjjkk" localSheetId="7" hidden="1">{#N/A,#N/A,FALSE,"REPORT"}</definedName>
    <definedName name="hjjjkk" hidden="1">{#N/A,#N/A,FALSE,"REPORT"}</definedName>
    <definedName name="hjjkk" localSheetId="3" hidden="1">{#N/A,#N/A,FALSE,"Pharm";#N/A,#N/A,FALSE,"WWCM"}</definedName>
    <definedName name="hjjkk" localSheetId="7" hidden="1">{#N/A,#N/A,FALSE,"Pharm";#N/A,#N/A,FALSE,"WWCM"}</definedName>
    <definedName name="hjjkk" hidden="1">{#N/A,#N/A,FALSE,"Pharm";#N/A,#N/A,FALSE,"WWCM"}</definedName>
    <definedName name="hjk" localSheetId="3" hidden="1">{#N/A,#N/A,FALSE,"Umsatz 99";#N/A,#N/A,FALSE,"ER 99 "}</definedName>
    <definedName name="hjk" localSheetId="7" hidden="1">{#N/A,#N/A,FALSE,"Umsatz 99";#N/A,#N/A,FALSE,"ER 99 "}</definedName>
    <definedName name="hjk" hidden="1">{#N/A,#N/A,FALSE,"Umsatz 99";#N/A,#N/A,FALSE,"ER 99 "}</definedName>
    <definedName name="hjk.l" localSheetId="3" hidden="1">{#N/A,#N/A,FALSE,"Produkte Erw.";#N/A,#N/A,FALSE,"Produkte Plan";#N/A,#N/A,FALSE,"Leistungen Erw.";#N/A,#N/A,FALSE,"Leistungen Plan";#N/A,#N/A,FALSE,"KA Allg.Kosten (2)";#N/A,#N/A,FALSE,"KA All.Kosten"}</definedName>
    <definedName name="hjk.l" localSheetId="7" hidden="1">{#N/A,#N/A,FALSE,"Produkte Erw.";#N/A,#N/A,FALSE,"Produkte Plan";#N/A,#N/A,FALSE,"Leistungen Erw.";#N/A,#N/A,FALSE,"Leistungen Plan";#N/A,#N/A,FALSE,"KA Allg.Kosten (2)";#N/A,#N/A,FALSE,"KA All.Kosten"}</definedName>
    <definedName name="hjk.l" hidden="1">{#N/A,#N/A,FALSE,"Produkte Erw.";#N/A,#N/A,FALSE,"Produkte Plan";#N/A,#N/A,FALSE,"Leistungen Erw.";#N/A,#N/A,FALSE,"Leistungen Plan";#N/A,#N/A,FALSE,"KA Allg.Kosten (2)";#N/A,#N/A,FALSE,"KA All.Kosten"}</definedName>
    <definedName name="hjkhjk" localSheetId="3" hidden="1">{#N/A,#N/A,FALSE,"KA CH  (2)"}</definedName>
    <definedName name="hjkhjk" localSheetId="7" hidden="1">{#N/A,#N/A,FALSE,"KA CH  (2)"}</definedName>
    <definedName name="hjkhjk" hidden="1">{#N/A,#N/A,FALSE,"KA CH  (2)"}</definedName>
    <definedName name="hjkjhk" localSheetId="3" hidden="1">{#N/A,#N/A,FALSE,"Umsatz HM";#N/A,#N/A,FALSE,"ER HM";#N/A,#N/A,FALSE,"EA HM  (2)";#N/A,#N/A,FALSE,"EA HM ";#N/A,#N/A,FALSE,"EA HM  (4)";#N/A,#N/A,FALSE,"EA HM  (3)";#N/A,#N/A,FALSE,"KA HM  (2)";#N/A,#N/A,FALSE,"KA HM";#N/A,#N/A,FALSE,"KA HM  (3)";#N/A,#N/A,FALSE,"KA HM (4)"}</definedName>
    <definedName name="hjkjhk" localSheetId="7" hidden="1">{#N/A,#N/A,FALSE,"Umsatz HM";#N/A,#N/A,FALSE,"ER HM";#N/A,#N/A,FALSE,"EA HM  (2)";#N/A,#N/A,FALSE,"EA HM ";#N/A,#N/A,FALSE,"EA HM  (4)";#N/A,#N/A,FALSE,"EA HM  (3)";#N/A,#N/A,FALSE,"KA HM  (2)";#N/A,#N/A,FALSE,"KA HM";#N/A,#N/A,FALSE,"KA HM  (3)";#N/A,#N/A,FALSE,"KA HM (4)"}</definedName>
    <definedName name="hjkjhk" hidden="1">{#N/A,#N/A,FALSE,"Umsatz HM";#N/A,#N/A,FALSE,"ER HM";#N/A,#N/A,FALSE,"EA HM  (2)";#N/A,#N/A,FALSE,"EA HM ";#N/A,#N/A,FALSE,"EA HM  (4)";#N/A,#N/A,FALSE,"EA HM  (3)";#N/A,#N/A,FALSE,"KA HM  (2)";#N/A,#N/A,FALSE,"KA HM";#N/A,#N/A,FALSE,"KA HM  (3)";#N/A,#N/A,FALSE,"KA HM (4)"}</definedName>
    <definedName name="hjkk" localSheetId="3" hidden="1">{#N/A,#N/A,FALSE,"Pharm";#N/A,#N/A,FALSE,"WWCM"}</definedName>
    <definedName name="hjkk" localSheetId="7" hidden="1">{#N/A,#N/A,FALSE,"Pharm";#N/A,#N/A,FALSE,"WWCM"}</definedName>
    <definedName name="hjkk" hidden="1">{#N/A,#N/A,FALSE,"Pharm";#N/A,#N/A,FALSE,"WWCM"}</definedName>
    <definedName name="hjkl" localSheetId="3"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hjkl" localSheetId="7"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hjkl"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hk" localSheetId="3" hidden="1">{"'Directory'!$A$72:$E$91"}</definedName>
    <definedName name="hk" localSheetId="7" hidden="1">{"'Directory'!$A$72:$E$91"}</definedName>
    <definedName name="hk" hidden="1">{"'Directory'!$A$72:$E$91"}</definedName>
    <definedName name="hkjkh" localSheetId="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jkh"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jkh"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SH" localSheetId="3" hidden="1">{#N/A,#N/A,FALSE,"REPORT"}</definedName>
    <definedName name="HKSH" localSheetId="7" hidden="1">{#N/A,#N/A,FALSE,"REPORT"}</definedName>
    <definedName name="HKSH" hidden="1">{#N/A,#N/A,FALSE,"REPORT"}</definedName>
    <definedName name="HMG" localSheetId="3" hidden="1">{#N/A,#N/A,FALSE,"REPORT"}</definedName>
    <definedName name="HMG" localSheetId="7" hidden="1">{#N/A,#N/A,FALSE,"REPORT"}</definedName>
    <definedName name="HMG" hidden="1">{#N/A,#N/A,FALSE,"REPORT"}</definedName>
    <definedName name="hn.ExtDb" hidden="1">FALSE</definedName>
    <definedName name="hn.ModelType" hidden="1">"DEAL"</definedName>
    <definedName name="hn.ModelVersion" hidden="1">1</definedName>
    <definedName name="hn.NoUpload" hidden="1">0</definedName>
    <definedName name="hn.RolledForward" hidden="1">FALSE</definedName>
    <definedName name="ho" localSheetId="3"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ho" localSheetId="7"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ho"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hoçh" localSheetId="3" hidden="1">{"'PXR_6500'!$A$1:$I$124"}</definedName>
    <definedName name="hoçh" localSheetId="7" hidden="1">{"'PXR_6500'!$A$1:$I$124"}</definedName>
    <definedName name="hoçh" hidden="1">{"'PXR_6500'!$A$1:$I$124"}</definedName>
    <definedName name="hola1" hidden="1">#REF!</definedName>
    <definedName name="hoo" localSheetId="3"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hoo" localSheetId="7"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hoo"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HTML" localSheetId="3" hidden="1">{"'PXR_6500'!$A$1:$I$124"}</definedName>
    <definedName name="HTML" localSheetId="7" hidden="1">{"'PXR_6500'!$A$1:$I$124"}</definedName>
    <definedName name="HTML" hidden="1">{"'PXR_6500'!$A$1:$I$124"}</definedName>
    <definedName name="HTML_CodePage" hidden="1">1252</definedName>
    <definedName name="HTML_Control" localSheetId="3" hidden="1">{"'Directory'!$A$72:$E$91"}</definedName>
    <definedName name="HTML_Control" localSheetId="7" hidden="1">{"'Directory'!$A$72:$E$91"}</definedName>
    <definedName name="HTML_Control" hidden="1">{"'Directory'!$A$72:$E$91"}</definedName>
    <definedName name="HTML_Description" hidden="1">""</definedName>
    <definedName name="HTML_Email" hidden="1">""</definedName>
    <definedName name="HTML_Header" hidden="1">"Income-Adj"</definedName>
    <definedName name="HTML_LastUpdate" localSheetId="0" hidden="1">"2/24/99"</definedName>
    <definedName name="HTML_LastUpdate" localSheetId="3" hidden="1">"2/24/99"</definedName>
    <definedName name="HTML_LastUpdate" hidden="1">"9/1/99"</definedName>
    <definedName name="HTML_LineAfter" localSheetId="0" hidden="1">TRUE</definedName>
    <definedName name="HTML_LineAfter" localSheetId="3" hidden="1">TRUE</definedName>
    <definedName name="HTML_LineAfter" hidden="1">FALSE</definedName>
    <definedName name="HTML_LineBefore" localSheetId="0" hidden="1">TRUE</definedName>
    <definedName name="HTML_LineBefore" localSheetId="3" hidden="1">TRUE</definedName>
    <definedName name="HTML_LineBefore" hidden="1">FALSE</definedName>
    <definedName name="HTML_Name" localSheetId="0" hidden="1">"Aswath Damodaran"</definedName>
    <definedName name="HTML_Name" localSheetId="3" hidden="1">"Aswath Damodaran"</definedName>
    <definedName name="HTML_Name" hidden="1">"Neo"</definedName>
    <definedName name="HTML_OBDlg2" hidden="1">TRUE</definedName>
    <definedName name="HTML_OBDlg3" hidden="1">TRUE</definedName>
    <definedName name="HTML_OBDlg4" hidden="1">TRUE</definedName>
    <definedName name="HTML_OS" localSheetId="0" hidden="1">1</definedName>
    <definedName name="HTML_OS" localSheetId="3" hidden="1">1</definedName>
    <definedName name="HTML_OS" hidden="1">0</definedName>
    <definedName name="HTML_PathFile" hidden="1">"E:\statements-2.0\from_excel.htm"</definedName>
    <definedName name="HTML_PathFileMac" localSheetId="0" hidden="1">"Macintosh HD:HomePageStuff:New_Home_Page:datafile:histret.html"</definedName>
    <definedName name="HTML_PathFileMac" localSheetId="3" hidden="1">"Macintosh HD:HomePageStuff:New_Home_Page:datafile:histret.html"</definedName>
    <definedName name="HTML_PathFileMac" hidden="1">"Macintosh HD:HomePageStuff:New_Home_Page:datafile:ctryprem.html"</definedName>
    <definedName name="HTML_PathTemplate" hidden="1">"C:\arqexcel\Sistema de Gestão de Mercado\Arquivos Intranet\2002\htm\HTMLTemp.htm"</definedName>
    <definedName name="HTML_Title" localSheetId="0" hidden="1">"Historical Returns on Stocks, Bonds and Bills"</definedName>
    <definedName name="HTML_Title" localSheetId="3" hidden="1">"Historical Returns on Stocks, Bonds and Bills"</definedName>
    <definedName name="HTML_Title" hidden="1">"Histo_Statements"</definedName>
    <definedName name="HTML1_1" hidden="1">"[ReturnsHistorical]Sheet1!$A$1:$D$77"</definedName>
    <definedName name="HTML1_10" hidden="1">""</definedName>
    <definedName name="HTML1_11" hidden="1">1</definedName>
    <definedName name="HTML1_12" localSheetId="0" hidden="1">"Zip 100:New_Home_Page:datafile:histret.html"</definedName>
    <definedName name="HTML1_12" localSheetId="3" hidden="1">"Zip 100:New_Home_Page:datafile:histret.html"</definedName>
    <definedName name="HTML1_12" hidden="1">"C:\Irasia\mactopc\firstpachk\webpages\page 58 p and l 0713c.htm"</definedName>
    <definedName name="HTML1_2" localSheetId="0" hidden="1">1</definedName>
    <definedName name="HTML1_2" localSheetId="3" hidden="1">1</definedName>
    <definedName name="HTML1_2" hidden="1">-4146</definedName>
    <definedName name="HTML1_3" localSheetId="0" hidden="1">"ReturnsHistorical"</definedName>
    <definedName name="HTML1_3" localSheetId="3" hidden="1">"ReturnsHistorical"</definedName>
    <definedName name="HTML1_3" hidden="1">"C:\Irasia\mactopc\firstpachk\webpages\page 58 p and l 0713b.htm"</definedName>
    <definedName name="HTML1_4" hidden="1">"Historical Returns on Stocks, Bonds and Bills"</definedName>
    <definedName name="HTML1_5" hidden="1">"Ibbotson Data"</definedName>
    <definedName name="HTML1_6" hidden="1">-4146</definedName>
    <definedName name="HTML1_7" hidden="1">-4146</definedName>
    <definedName name="HTML1_8" hidden="1">"3/17/97"</definedName>
    <definedName name="HTML1_9" hidden="1">"Aswath Damodaran"</definedName>
    <definedName name="HTML2_1" hidden="1">"[histret.xls]Sheet1!$A$1:$G$85"</definedName>
    <definedName name="HTML2_10" hidden="1">""</definedName>
    <definedName name="HTML2_11" hidden="1">1</definedName>
    <definedName name="HTML2_12" localSheetId="0" hidden="1">"Macintosh HD:New_Home_Page:datafile:histret.html"</definedName>
    <definedName name="HTML2_12" localSheetId="3" hidden="1">"Macintosh HD:New_Home_Page:datafile:histret.html"</definedName>
    <definedName name="HTML2_12" hidden="1">"C:\Irasia\mactopc\firstpachk\webpages\page 58 p and l 0713b.htm"</definedName>
    <definedName name="HTML2_2" localSheetId="0" hidden="1">1</definedName>
    <definedName name="HTML2_2" localSheetId="3" hidden="1">1</definedName>
    <definedName name="HTML2_2" hidden="1">-4146</definedName>
    <definedName name="HTML2_3" localSheetId="0" hidden="1">"Historical Returns"</definedName>
    <definedName name="HTML2_3" localSheetId="3" hidden="1">"Historical Returns"</definedName>
    <definedName name="HTML2_3" hidden="1">"C:\Irasia\mactopc\firstpachk\webpages\page 58 p and l 0713.htm"</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Count" localSheetId="0" hidden="1">2</definedName>
    <definedName name="HTMLCount" localSheetId="3" hidden="1">2</definedName>
    <definedName name="HTMLCount" hidden="1">1</definedName>
    <definedName name="htyuityuiotio" localSheetId="3" hidden="1">{#N/A,#N/A,FALSE,"REPORT"}</definedName>
    <definedName name="htyuityuiotio" localSheetId="7" hidden="1">{#N/A,#N/A,FALSE,"REPORT"}</definedName>
    <definedName name="htyuityuiotio" hidden="1">{#N/A,#N/A,FALSE,"REPORT"}</definedName>
    <definedName name="hu" localSheetId="3" hidden="1">{"detail",#N/A,FALSE,"mfg";"summary",#N/A,FALSE,"mfg"}</definedName>
    <definedName name="hu" localSheetId="7" hidden="1">{"detail",#N/A,FALSE,"mfg";"summary",#N/A,FALSE,"mfg"}</definedName>
    <definedName name="hu" hidden="1">{"detail",#N/A,FALSE,"mfg";"summary",#N/A,FALSE,"mfg"}</definedName>
    <definedName name="hw" localSheetId="3" hidden="1">{"sales growth",#N/A,FALSE,"summary";"oper income",#N/A,FALSE,"summary";"oros rank",#N/A,FALSE,"summary";"net assets",#N/A,FALSE,"summary";"asset turnover",#N/A,FALSE,"summary";"orona",#N/A,FALSE,"summary"}</definedName>
    <definedName name="hw" localSheetId="7" hidden="1">{"sales growth",#N/A,FALSE,"summary";"oper income",#N/A,FALSE,"summary";"oros rank",#N/A,FALSE,"summary";"net assets",#N/A,FALSE,"summary";"asset turnover",#N/A,FALSE,"summary";"orona",#N/A,FALSE,"summary"}</definedName>
    <definedName name="hw" hidden="1">{"sales growth",#N/A,FALSE,"summary";"oper income",#N/A,FALSE,"summary";"oros rank",#N/A,FALSE,"summary";"net assets",#N/A,FALSE,"summary";"asset turnover",#N/A,FALSE,"summary";"orona",#N/A,FALSE,"summary"}</definedName>
    <definedName name="hy" localSheetId="3"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hy" localSheetId="7"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hy"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Hypertention" localSheetId="3" hidden="1">{#N/A,#N/A,FALSE,"Pharm";#N/A,#N/A,FALSE,"WWCM"}</definedName>
    <definedName name="Hypertention" localSheetId="7" hidden="1">{#N/A,#N/A,FALSE,"Pharm";#N/A,#N/A,FALSE,"WWCM"}</definedName>
    <definedName name="Hypertention" hidden="1">{#N/A,#N/A,FALSE,"Pharm";#N/A,#N/A,FALSE,"WWCM"}</definedName>
    <definedName name="hypo" localSheetId="3" hidden="1">{#N/A,#N/A,FALSE,"Pharm";#N/A,#N/A,FALSE,"WWCM"}</definedName>
    <definedName name="hypo" localSheetId="7" hidden="1">{#N/A,#N/A,FALSE,"Pharm";#N/A,#N/A,FALSE,"WWCM"}</definedName>
    <definedName name="hypo" hidden="1">{#N/A,#N/A,FALSE,"Pharm";#N/A,#N/A,FALSE,"WWCM"}</definedName>
    <definedName name="ibnjks" localSheetId="3" hidden="1">{"detail",#N/A,FALSE,"mfg";"summary",#N/A,FALSE,"mfg"}</definedName>
    <definedName name="ibnjks" localSheetId="7" hidden="1">{"detail",#N/A,FALSE,"mfg";"summary",#N/A,FALSE,"mfg"}</definedName>
    <definedName name="ibnjks" hidden="1">{"detail",#N/A,FALSE,"mfg";"summary",#N/A,FALSE,"mfg"}</definedName>
    <definedName name="ICELECTRONICO" localSheetId="3" hidden="1">{#N/A,#N/A,TRUE,"ICMAN96 (1)"}</definedName>
    <definedName name="ICELECTRONICO" localSheetId="7" hidden="1">{#N/A,#N/A,TRUE,"ICMAN96 (1)"}</definedName>
    <definedName name="ICELECTRONICO" hidden="1">{#N/A,#N/A,TRUE,"ICMAN96 (1)"}</definedName>
    <definedName name="ICIMAN1" localSheetId="3" hidden="1">{#N/A,#N/A,TRUE,"ICMAN96 (1)"}</definedName>
    <definedName name="ICIMAN1" localSheetId="7" hidden="1">{#N/A,#N/A,TRUE,"ICMAN96 (1)"}</definedName>
    <definedName name="ICIMAN1" hidden="1">{#N/A,#N/A,TRUE,"ICMAN96 (1)"}</definedName>
    <definedName name="ICM_2000" localSheetId="3" hidden="1">{#N/A,#N/A,TRUE,"ICMAN96 (1)"}</definedName>
    <definedName name="ICM_2000" localSheetId="7" hidden="1">{#N/A,#N/A,TRUE,"ICMAN96 (1)"}</definedName>
    <definedName name="ICM_2000" hidden="1">{#N/A,#N/A,TRUE,"ICMAN96 (1)"}</definedName>
    <definedName name="ICM98_2000_" localSheetId="3" hidden="1">{#N/A,#N/A,TRUE,"ICMAN96 (1)"}</definedName>
    <definedName name="ICM98_2000_" localSheetId="7" hidden="1">{#N/A,#N/A,TRUE,"ICMAN96 (1)"}</definedName>
    <definedName name="ICM98_2000_" hidden="1">{#N/A,#N/A,TRUE,"ICMAN96 (1)"}</definedName>
    <definedName name="icmam20" localSheetId="3" hidden="1">{#N/A,#N/A,TRUE,"ICMAN96 (1)"}</definedName>
    <definedName name="icmam20" localSheetId="7" hidden="1">{#N/A,#N/A,TRUE,"ICMAN96 (1)"}</definedName>
    <definedName name="icmam20" hidden="1">{#N/A,#N/A,TRUE,"ICMAN96 (1)"}</definedName>
    <definedName name="icman21" localSheetId="3" hidden="1">{#N/A,#N/A,TRUE,"ICMAN96 (1)"}</definedName>
    <definedName name="icman21" localSheetId="7" hidden="1">{#N/A,#N/A,TRUE,"ICMAN96 (1)"}</definedName>
    <definedName name="icman21" hidden="1">{#N/A,#N/A,TRUE,"ICMAN96 (1)"}</definedName>
    <definedName name="icman99" localSheetId="3" hidden="1">{#N/A,#N/A,TRUE,"ICMAN96 (1)"}</definedName>
    <definedName name="icman99" localSheetId="7" hidden="1">{#N/A,#N/A,TRUE,"ICMAN96 (1)"}</definedName>
    <definedName name="icman99" hidden="1">{#N/A,#N/A,TRUE,"ICMAN96 (1)"}</definedName>
    <definedName name="ICMECANICO" localSheetId="3" hidden="1">{#N/A,#N/A,TRUE,"ICMAN96 (1)"}</definedName>
    <definedName name="ICMECANICO" localSheetId="7" hidden="1">{#N/A,#N/A,TRUE,"ICMAN96 (1)"}</definedName>
    <definedName name="ICMECANICO" hidden="1">{#N/A,#N/A,TRUE,"ICMAN96 (1)"}</definedName>
    <definedName name="ICMMM" localSheetId="3" hidden="1">{#N/A,#N/A,TRUE,"ICMAN96 (1)"}</definedName>
    <definedName name="ICMMM" localSheetId="7" hidden="1">{#N/A,#N/A,TRUE,"ICMAN96 (1)"}</definedName>
    <definedName name="ICMMM" hidden="1">{#N/A,#N/A,TRUE,"ICMAN96 (1)"}</definedName>
    <definedName name="ii.oo" localSheetId="3" hidden="1">{#N/A,#N/A,FALSE,"Umsatz EO BP";#N/A,#N/A,FALSE,"Umsatz EO OP";#N/A,#N/A,FALSE,"ER EO BP";#N/A,#N/A,FALSE,"ER EO OP";#N/A,#N/A,FALSE,"EA EO (2)";#N/A,#N/A,FALSE,"EA EO";#N/A,#N/A,FALSE,"EA EO (3)";#N/A,#N/A,FALSE,"EA EO (4)";#N/A,#N/A,FALSE,"KA EO  (2)";#N/A,#N/A,FALSE,"KA EO";#N/A,#N/A,FALSE,"KA EO  (3)";#N/A,#N/A,FALSE,"KA EO (4)"}</definedName>
    <definedName name="ii.oo" localSheetId="7" hidden="1">{#N/A,#N/A,FALSE,"Umsatz EO BP";#N/A,#N/A,FALSE,"Umsatz EO OP";#N/A,#N/A,FALSE,"ER EO BP";#N/A,#N/A,FALSE,"ER EO OP";#N/A,#N/A,FALSE,"EA EO (2)";#N/A,#N/A,FALSE,"EA EO";#N/A,#N/A,FALSE,"EA EO (3)";#N/A,#N/A,FALSE,"EA EO (4)";#N/A,#N/A,FALSE,"KA EO  (2)";#N/A,#N/A,FALSE,"KA EO";#N/A,#N/A,FALSE,"KA EO  (3)";#N/A,#N/A,FALSE,"KA EO (4)"}</definedName>
    <definedName name="ii.oo" hidden="1">{#N/A,#N/A,FALSE,"Umsatz EO BP";#N/A,#N/A,FALSE,"Umsatz EO OP";#N/A,#N/A,FALSE,"ER EO BP";#N/A,#N/A,FALSE,"ER EO OP";#N/A,#N/A,FALSE,"EA EO (2)";#N/A,#N/A,FALSE,"EA EO";#N/A,#N/A,FALSE,"EA EO (3)";#N/A,#N/A,FALSE,"EA EO (4)";#N/A,#N/A,FALSE,"KA EO  (2)";#N/A,#N/A,FALSE,"KA EO";#N/A,#N/A,FALSE,"KA EO  (3)";#N/A,#N/A,FALSE,"KA EO (4)"}</definedName>
    <definedName name="iii" localSheetId="3" hidden="1">{"detail",#N/A,FALSE,"mfg";"summary",#N/A,FALSE,"mfg"}</definedName>
    <definedName name="iii" localSheetId="7" hidden="1">{"detail",#N/A,FALSE,"mfg";"summary",#N/A,FALSE,"mfg"}</definedName>
    <definedName name="iii" hidden="1">{"detail",#N/A,FALSE,"mfg";"summary",#N/A,FALSE,"mfg"}</definedName>
    <definedName name="ijoi" localSheetId="3" hidden="1">{#N/A,#N/A,FALSE,"Produkte Erw.";#N/A,#N/A,FALSE,"Produkte Plan";#N/A,#N/A,FALSE,"Leistungen Erw.";#N/A,#N/A,FALSE,"Leistungen Plan";#N/A,#N/A,FALSE,"KA Allg.Kosten (2)";#N/A,#N/A,FALSE,"KA All.Kosten"}</definedName>
    <definedName name="ijoi" localSheetId="7" hidden="1">{#N/A,#N/A,FALSE,"Produkte Erw.";#N/A,#N/A,FALSE,"Produkte Plan";#N/A,#N/A,FALSE,"Leistungen Erw.";#N/A,#N/A,FALSE,"Leistungen Plan";#N/A,#N/A,FALSE,"KA Allg.Kosten (2)";#N/A,#N/A,FALSE,"KA All.Kosten"}</definedName>
    <definedName name="ijoi" hidden="1">{#N/A,#N/A,FALSE,"Produkte Erw.";#N/A,#N/A,FALSE,"Produkte Plan";#N/A,#N/A,FALSE,"Leistungen Erw.";#N/A,#N/A,FALSE,"Leistungen Plan";#N/A,#N/A,FALSE,"KA Allg.Kosten (2)";#N/A,#N/A,FALSE,"KA All.Kosten"}</definedName>
    <definedName name="ik" localSheetId="3" hidden="1">{"detail",#N/A,FALSE,"mfg";"summary",#N/A,FALSE,"mfg"}</definedName>
    <definedName name="ik" localSheetId="7" hidden="1">{"detail",#N/A,FALSE,"mfg";"summary",#N/A,FALSE,"mfg"}</definedName>
    <definedName name="ik" hidden="1">{"detail",#N/A,FALSE,"mfg";"summary",#N/A,FALSE,"mfg"}</definedName>
    <definedName name="Img_ML_1c3d1n6n" hidden="1">"IMG_6"</definedName>
    <definedName name="Img_ML_1t5s6u1f" hidden="1">"IMG_10"</definedName>
    <definedName name="Img_ML_1y7a6c1t" hidden="1">"IMG_10"</definedName>
    <definedName name="Img_ML_2b2b8h8h" hidden="1">"IMG_10"</definedName>
    <definedName name="Img_ML_2e1r5p2m" hidden="1">"IMG_4"</definedName>
    <definedName name="Img_ML_2j4h5d5y" hidden="1">"IMG_6"</definedName>
    <definedName name="Img_ML_2x1b8j5c" hidden="1">"IMG_18"</definedName>
    <definedName name="Img_ML_3b3j3x9k" hidden="1">"IMG_26"</definedName>
    <definedName name="Img_ML_3c6e9c4g" hidden="1">"IMG_18"</definedName>
    <definedName name="Img_ML_3c7g1a7g" hidden="1">"IMG_7"</definedName>
    <definedName name="Img_ML_3e2q4k7i" hidden="1">"IMG_64"</definedName>
    <definedName name="Img_ML_3h2n3p4v" hidden="1">"IMG_11"</definedName>
    <definedName name="Img_ML_3p5d9q5j" hidden="1">"IMG_10"</definedName>
    <definedName name="Img_ML_3y1j4m2m" hidden="1">"IMG_18"</definedName>
    <definedName name="Img_ML_4d4d7g3c" hidden="1">"IMG_5"</definedName>
    <definedName name="Img_ML_4u3z1k5l" hidden="1">"IMG_10"</definedName>
    <definedName name="Img_ML_5e7g5e5e" hidden="1">"IMG_17"</definedName>
    <definedName name="Img_ML_5e7s6t2u" hidden="1">"IMG_18"</definedName>
    <definedName name="Img_ML_5e9i9i2b" hidden="1">"IMG_10"</definedName>
    <definedName name="Img_ML_5h6q3g8u" hidden="1">"IMG_5"</definedName>
    <definedName name="Img_ML_6f2b1a5e" hidden="1">"IMG_5"</definedName>
    <definedName name="Img_ML_6f2p1m9g" hidden="1">"IMG_32"</definedName>
    <definedName name="Img_ML_6k4t7z9z" hidden="1">"IMG_10"</definedName>
    <definedName name="Img_ML_6r9u1n9k" hidden="1">"IMG_18"</definedName>
    <definedName name="Img_ML_6w6m7b7r" hidden="1">"IMG_6"</definedName>
    <definedName name="Img_ML_6y9f7y3n" hidden="1">"IMG_10"</definedName>
    <definedName name="Img_ML_7g5e5e2b" hidden="1">"IMG_10"</definedName>
    <definedName name="Img_ML_7j6w4l1i" hidden="1">"IMG_10"</definedName>
    <definedName name="Img_ML_7m5m4k3b" hidden="1">"IMG_10"</definedName>
    <definedName name="Img_ML_7n6h3t1t" hidden="1">"IMG_2"</definedName>
    <definedName name="Img_ML_7s4w7c6r" hidden="1">"IMG_18"</definedName>
    <definedName name="Img_ML_8b9j5t1p" hidden="1">"IMG_11"</definedName>
    <definedName name="Img_ML_8c2q5i2r" hidden="1">"IMG_18"</definedName>
    <definedName name="Img_ML_8h3m3i1m" hidden="1">"IMG_18"</definedName>
    <definedName name="Img_ML_8h5e9i3c" hidden="1">"IMG_17"</definedName>
    <definedName name="Img_ML_8h7g3c9i" hidden="1">"IMG_5"</definedName>
    <definedName name="Img_ML_8h7g4d4d" hidden="1">"IMG_17"</definedName>
    <definedName name="Img_ML_8i9u7w8k" hidden="1">"IMG_10"</definedName>
    <definedName name="Img_ML_8j3w6p4c" hidden="1">"IMG_10"</definedName>
    <definedName name="Img_ML_8r1k8t4y" hidden="1">"IMG_18"</definedName>
    <definedName name="Img_ML_8s3q3c1i" hidden="1">"IMG_18"</definedName>
    <definedName name="Img_ML_9n1s4m5f" hidden="1">"IMG_18"</definedName>
    <definedName name="Img_Production_Breakdown" hidden="1">"IMG_3"</definedName>
    <definedName name="imob" localSheetId="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 localSheetId="7"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1" localSheetId="3" hidden="1">{#N/A,#N/A,FALSE,"DRE-2";#N/A,#N/A,FALSE,"DRE";#N/A,#N/A,FALSE,"ANEX-07";#N/A,#N/A,FALSE,"ANEX-08";#N/A,#N/A,FALSE,"ANEX-09";#N/A,#N/A,FALSE,"ANEX-10";#N/A,#N/A,FALSE,"ANEX-11";#N/A,#N/A,FALSE,"ANEX-12";#N/A,#N/A,FALSE,"ANEX-13";#N/A,#N/A,FALSE,"ANEX-14";#N/A,#N/A,FALSE,"BALPTR"}</definedName>
    <definedName name="imob1" localSheetId="7" hidden="1">{#N/A,#N/A,FALSE,"DRE-2";#N/A,#N/A,FALSE,"DRE";#N/A,#N/A,FALSE,"ANEX-07";#N/A,#N/A,FALSE,"ANEX-08";#N/A,#N/A,FALSE,"ANEX-09";#N/A,#N/A,FALSE,"ANEX-10";#N/A,#N/A,FALSE,"ANEX-11";#N/A,#N/A,FALSE,"ANEX-12";#N/A,#N/A,FALSE,"ANEX-13";#N/A,#N/A,FALSE,"ANEX-14";#N/A,#N/A,FALSE,"BALPTR"}</definedName>
    <definedName name="imob1" hidden="1">{#N/A,#N/A,FALSE,"DRE-2";#N/A,#N/A,FALSE,"DRE";#N/A,#N/A,FALSE,"ANEX-07";#N/A,#N/A,FALSE,"ANEX-08";#N/A,#N/A,FALSE,"ANEX-09";#N/A,#N/A,FALSE,"ANEX-10";#N/A,#N/A,FALSE,"ANEX-11";#N/A,#N/A,FALSE,"ANEX-12";#N/A,#N/A,FALSE,"ANEX-13";#N/A,#N/A,FALSE,"ANEX-14";#N/A,#N/A,FALSE,"BALPTR"}</definedName>
    <definedName name="INC" localSheetId="3" hidden="1">{#N/A,#N/A,TRUE,"ICMAN96 (1)"}</definedName>
    <definedName name="INC" localSheetId="7" hidden="1">{#N/A,#N/A,TRUE,"ICMAN96 (1)"}</definedName>
    <definedName name="INC" hidden="1">{#N/A,#N/A,TRUE,"ICMAN96 (1)"}</definedName>
    <definedName name="INFO_CIL" localSheetId="3" hidden="1">{#N/A,#N/A,TRUE,"ICMAN96 (1)"}</definedName>
    <definedName name="INFO_CIL" localSheetId="7" hidden="1">{#N/A,#N/A,TRUE,"ICMAN96 (1)"}</definedName>
    <definedName name="INFO_CIL" hidden="1">{#N/A,#N/A,TRUE,"ICMAN96 (1)"}</definedName>
    <definedName name="INFO_MAR" localSheetId="3" hidden="1">{#N/A,#N/A,TRUE,"ICMAN96 (1)"}</definedName>
    <definedName name="INFO_MAR" localSheetId="7" hidden="1">{#N/A,#N/A,TRUE,"ICMAN96 (1)"}</definedName>
    <definedName name="INFO_MAR" hidden="1">{#N/A,#N/A,TRUE,"ICMAN96 (1)"}</definedName>
    <definedName name="INFO2" localSheetId="3" hidden="1">{#N/A,#N/A,TRUE,"ICMAN96 (1)"}</definedName>
    <definedName name="INFO2" localSheetId="7" hidden="1">{#N/A,#N/A,TRUE,"ICMAN96 (1)"}</definedName>
    <definedName name="INFO2" hidden="1">{#N/A,#N/A,TRUE,"ICMAN96 (1)"}</definedName>
    <definedName name="ingjks" localSheetId="3" hidden="1">{"detail",#N/A,FALSE,"mfg";"summary",#N/A,FALSE,"mfg"}</definedName>
    <definedName name="ingjks" localSheetId="7" hidden="1">{"detail",#N/A,FALSE,"mfg";"summary",#N/A,FALSE,"mfg"}</definedName>
    <definedName name="ingjks" hidden="1">{"detail",#N/A,FALSE,"mfg";"summary",#N/A,FALSE,"mfg"}</definedName>
    <definedName name="iniske" localSheetId="3" hidden="1">{"detail",#N/A,FALSE,"mfg";"summary",#N/A,FALSE,"mfg"}</definedName>
    <definedName name="iniske" localSheetId="7" hidden="1">{"detail",#N/A,FALSE,"mfg";"summary",#N/A,FALSE,"mfg"}</definedName>
    <definedName name="iniske" hidden="1">{"detail",#N/A,FALSE,"mfg";"summary",#N/A,FALSE,"mfg"}</definedName>
    <definedName name="inksl" localSheetId="3" hidden="1">{"detail",#N/A,FALSE,"mfg";"summary",#N/A,FALSE,"mfg"}</definedName>
    <definedName name="inksl" localSheetId="7" hidden="1">{"detail",#N/A,FALSE,"mfg";"summary",#N/A,FALSE,"mfg"}</definedName>
    <definedName name="inksl" hidden="1">{"detail",#N/A,FALSE,"mfg";"summary",#N/A,FALSE,"mfg"}</definedName>
    <definedName name="Interno1" localSheetId="3" hidden="1">{#N/A,#N/A,TRUE,"ICMAN96 (1)"}</definedName>
    <definedName name="Interno1" localSheetId="7" hidden="1">{#N/A,#N/A,TRUE,"ICMAN96 (1)"}</definedName>
    <definedName name="Interno1" hidden="1">{#N/A,#N/A,TRUE,"ICMAN96 (1)"}</definedName>
    <definedName name="interno2" localSheetId="3" hidden="1">{#N/A,#N/A,TRUE,"ICMAN96 (1)"}</definedName>
    <definedName name="interno2" localSheetId="7" hidden="1">{#N/A,#N/A,TRUE,"ICMAN96 (1)"}</definedName>
    <definedName name="interno2" hidden="1">{#N/A,#N/A,TRUE,"ICMAN96 (1)"}</definedName>
    <definedName name="Investimentos" localSheetId="3" hidden="1">{"defnitiva1",#N/A,FALSE,"RESUMO DA DÍVIDA";"defitiva2",#N/A,FALSE,"RESUMO DA DÍVIDA";"defitiva3",#N/A,FALSE,"RESUMO DA DÍVIDA"}</definedName>
    <definedName name="Investimentos" localSheetId="7" hidden="1">{"defnitiva1",#N/A,FALSE,"RESUMO DA DÍVIDA";"defitiva2",#N/A,FALSE,"RESUMO DA DÍVIDA";"defitiva3",#N/A,FALSE,"RESUMO DA DÍVIDA"}</definedName>
    <definedName name="Investimentos" hidden="1">{"defnitiva1",#N/A,FALSE,"RESUMO DA DÍVIDA";"defitiva2",#N/A,FALSE,"RESUMO DA DÍVIDA";"defitiva3",#N/A,FALSE,"RESUMO DA DÍVIDA"}</definedName>
    <definedName name="io" localSheetId="3" hidden="1">{"Performance Details",#N/A,FALSE,"Current Yr";"Performance Details",#N/A,FALSE,"Budget";"Performance Details",#N/A,FALSE,"Prior Year"}</definedName>
    <definedName name="io" localSheetId="7" hidden="1">{"Performance Details",#N/A,FALSE,"Current Yr";"Performance Details",#N/A,FALSE,"Budget";"Performance Details",#N/A,FALSE,"Prior Year"}</definedName>
    <definedName name="io" hidden="1">{"Performance Details",#N/A,FALSE,"Current Yr";"Performance Details",#N/A,FALSE,"Budget";"Performance Details",#N/A,FALSE,"Prior Year"}</definedName>
    <definedName name="ioioo" localSheetId="3" hidden="1">{#N/A,#N/A,FALSE,"Rohstoffnotierungen";#N/A,#N/A,FALSE,"ER HCST Erw. 99";#N/A,#N/A,FALSE,"ER HCST Plan 00";#N/A,#N/A,FALSE,"Umsatz KG";#N/A,#N/A,FALSE,"ER HCST";#N/A,#N/A,FALSE,"EA ST (2)";#N/A,#N/A,FALSE,"EA ST";#N/A,#N/A,FALSE,"EA ST (3)";#N/A,#N/A,FALSE,"EA ST (4)";#N/A,#N/A,FALSE,"KA ST  (2)";#N/A,#N/A,FALSE,"KA ST";#N/A,#N/A,FALSE,"KA ST  (3)";#N/A,#N/A,FALSE,"KA ST (4)"}</definedName>
    <definedName name="ioioo" localSheetId="7" hidden="1">{#N/A,#N/A,FALSE,"Rohstoffnotierungen";#N/A,#N/A,FALSE,"ER HCST Erw. 99";#N/A,#N/A,FALSE,"ER HCST Plan 00";#N/A,#N/A,FALSE,"Umsatz KG";#N/A,#N/A,FALSE,"ER HCST";#N/A,#N/A,FALSE,"EA ST (2)";#N/A,#N/A,FALSE,"EA ST";#N/A,#N/A,FALSE,"EA ST (3)";#N/A,#N/A,FALSE,"EA ST (4)";#N/A,#N/A,FALSE,"KA ST  (2)";#N/A,#N/A,FALSE,"KA ST";#N/A,#N/A,FALSE,"KA ST  (3)";#N/A,#N/A,FALSE,"KA ST (4)"}</definedName>
    <definedName name="ioioo" hidden="1">{#N/A,#N/A,FALSE,"Rohstoffnotierungen";#N/A,#N/A,FALSE,"ER HCST Erw. 99";#N/A,#N/A,FALSE,"ER HCST Plan 00";#N/A,#N/A,FALSE,"Umsatz KG";#N/A,#N/A,FALSE,"ER HCST";#N/A,#N/A,FALSE,"EA ST (2)";#N/A,#N/A,FALSE,"EA ST";#N/A,#N/A,FALSE,"EA ST (3)";#N/A,#N/A,FALSE,"EA ST (4)";#N/A,#N/A,FALSE,"KA ST  (2)";#N/A,#N/A,FALSE,"KA ST";#N/A,#N/A,FALSE,"KA ST  (3)";#N/A,#N/A,FALSE,"KA ST (4)"}</definedName>
    <definedName name="iop" localSheetId="3" hidden="1">{#N/A,"PURCHM",FALSE,"Business Analysis";#N/A,"SPADD",FALSE,"Business Analysis"}</definedName>
    <definedName name="iop" localSheetId="7" hidden="1">{#N/A,"PURCHM",FALSE,"Business Analysis";#N/A,"SPADD",FALSE,"Business Analysis"}</definedName>
    <definedName name="iop" hidden="1">{#N/A,"PURCHM",FALSE,"Business Analysis";#N/A,"SPADD",FALSE,"Business Analysis"}</definedName>
    <definedName name="IP" localSheetId="3" hidden="1">{#N/A,#N/A,FALSE,"Pharm";#N/A,#N/A,FALSE,"WWCM"}</definedName>
    <definedName name="IP" localSheetId="7" hidden="1">{#N/A,#N/A,FALSE,"Pharm";#N/A,#N/A,FALSE,"WWCM"}</definedName>
    <definedName name="IP" hidden="1">{#N/A,#N/A,FALSE,"Pharm";#N/A,#N/A,FALSE,"WWCM"}</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localSheetId="0" hidden="1">"c2108"</definedName>
    <definedName name="IQ_ACCUMULATED_PENSION_OBLIGATION" localSheetId="3" hidden="1">"c2108"</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DUSTRY_REC" hidden="1">"c4455"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INESS_DESCRIPTION" hidden="1">"c322"</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OVER_SHARES" hidden="1">"c1349"</definedName>
    <definedName name="IQ_BV_SHARE" hidden="1">"c100"</definedName>
    <definedName name="IQ_BV_STDDEV_EST_REUT" hidden="1">"c5408"</definedName>
    <definedName name="IQ_BV_STDDEV_EST_THOM" hidden="1">"c5152"</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_REUT" hidden="1">"c6800"</definedName>
    <definedName name="IQ_CAL_Y" hidden="1">"c102"</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FLOW_ACT_OR_EST" hidden="1">"c4154"</definedName>
    <definedName name="IQ_CASH_IN_PROCESS_FDIC" hidden="1">"c6386"</definedName>
    <definedName name="IQ_CASH_INTEREST" hidden="1">"c120"</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CE_FDIC" hidden="1">"c6296"</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Q_INC" hidden="1">"c3498"</definedName>
    <definedName name="IQ_EBIT_EQ_INC_EXCL_SBC" hidden="1">"c3502"</definedName>
    <definedName name="IQ_EBIT_EST" hidden="1">"c1681"</definedName>
    <definedName name="IQ_EBIT_EXCL_SBC" hidden="1">"c3082"</definedName>
    <definedName name="IQ_EBIT_GW_ACT_OR_EST" hidden="1">"c4306"</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BC_ACT_OR_EST" hidden="1">"c4316"</definedName>
    <definedName name="IQ_EBIT_SBC_GW_ACT_OR_EST" hidden="1">"c4320"</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SBC_ACT_OR_EST" hidden="1">"c4350"</definedName>
    <definedName name="IQ_EBT_SBC_GW_ACT_OR_EST" hidden="1">"c4354"</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EST_REUT" hidden="1">"c5453"</definedName>
    <definedName name="IQ_EPS_GW_EST" hidden="1">"c1737"</definedName>
    <definedName name="IQ_EPS_GW_EST_REUT" hidden="1">"c5389"</definedName>
    <definedName name="IQ_EPS_GW_HIGH_EST" hidden="1">"c1739"</definedName>
    <definedName name="IQ_EPS_GW_HIGH_EST_REUT" hidden="1">"c5391"</definedName>
    <definedName name="IQ_EPS_GW_LOW_EST" hidden="1">"c1740"</definedName>
    <definedName name="IQ_EPS_GW_LOW_EST_REUT" hidden="1">"c5392"</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_REUT" hidden="1">"c5326"</definedName>
    <definedName name="IQ_EPS_NORM_HIGH_EST_REUT" hidden="1">"c5328"</definedName>
    <definedName name="IQ_EPS_NORM_LOW_EST_REUT" hidden="1">"c5329"</definedName>
    <definedName name="IQ_EPS_NORM_MEDIAN_EST_REUT" hidden="1">"c5327"</definedName>
    <definedName name="IQ_EPS_NORM_NUM_EST_REUT" hidden="1">"c5330"</definedName>
    <definedName name="IQ_EPS_NORM_STDDEV_EST_REUT" hidden="1">"c5331"</definedName>
    <definedName name="IQ_EPS_NUM_EST" hidden="1">"c402"</definedName>
    <definedName name="IQ_EPS_NUM_EST_REUT" hidden="1">"c5451"</definedName>
    <definedName name="IQ_EPS_REPORTED_EST" hidden="1">"c1744"</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_REUT" hidden="1">"c5409"</definedName>
    <definedName name="IQ_EST_ACT_BV_THOM" hidden="1">"c5153"</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GW_REUT" hidden="1">"c5395"</definedName>
    <definedName name="IQ_EST_ACT_EPS_NORM_REUT" hidden="1">"c5332"</definedName>
    <definedName name="IQ_EST_ACT_EPS_REPORTED" hidden="1">"c1750"</definedName>
    <definedName name="IQ_EST_ACT_EPS_REPORTED_REUT" hidden="1">"c5402"</definedName>
    <definedName name="IQ_EST_ACT_FFO" hidden="1">"c1666"</definedName>
    <definedName name="IQ_EST_ACT_FFO_SHARE_SHARE_THOM" hidden="1">"c4005"</definedName>
    <definedName name="IQ_EST_ACT_FFO_THOM" hidden="1">"c4005"</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BV_DIFF_REUT" hidden="1">"c5433"</definedName>
    <definedName name="IQ_EST_BV_DIFF_THOM" hidden="1">"c5204"</definedName>
    <definedName name="IQ_EST_BV_SURPRISE_PERCENT_REUT" hidden="1">"c5434"</definedName>
    <definedName name="IQ_EST_BV_SURPRISE_PERCENT_THOM" hidden="1">"c5205"</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CURRENCY_REUT" hidden="1">"c5437"</definedName>
    <definedName name="IQ_EST_DATE" hidden="1">"c1634"</definedName>
    <definedName name="IQ_EST_DATE_REUT" hidden="1">"c5438"</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1YR_REUT" hidden="1">"c3646"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REUT" hidden="1">"c3633"</definedName>
    <definedName name="IQ_EST_EPS_GROWTH_5YR_STDDEV" hidden="1">"c1660"</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_REUT" hidden="1">"c5411"</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DIFF_THOM" hidden="1">"c5186"</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HARE_SHARE_DIFF_THOM" hidden="1">"c5186"</definedName>
    <definedName name="IQ_EST_FFO_SHARE_SHARE_SURPRISE_PERCENT_THOM" hidden="1">"c5187"</definedName>
    <definedName name="IQ_EST_FFO_SURPRISE_PERCENT" hidden="1">"c1870"</definedName>
    <definedName name="IQ_EST_FFO_SURPRISE_PERCENT_THOM" hidden="1">"c5187"</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BUY_CIQ" hidden="1">"c3700"</definedName>
    <definedName name="IQ_EST_NUM_BUY_REUT" hidden="1">"c3869"</definedName>
    <definedName name="IQ_EST_NUM_BUY_THOM" hidden="1">"c5165"</definedName>
    <definedName name="IQ_EST_NUM_HOLD" hidden="1">"c1761"</definedName>
    <definedName name="IQ_EST_NUM_HOLD_CIQ" hidden="1">"c3702"</definedName>
    <definedName name="IQ_EST_NUM_HOLD_REUT" hidden="1">"c3871"</definedName>
    <definedName name="IQ_EST_NUM_HOLD_THOM" hidden="1">"c5167"</definedName>
    <definedName name="IQ_EST_NUM_NO_OPINION" hidden="1">"c1758"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"001"</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DJ_ACT_OR_EST" hidden="1">"c4435"</definedName>
    <definedName name="IQ_FFO_EST" hidden="1">"c418"</definedName>
    <definedName name="IQ_FFO_EST_THOM" hidden="1">"c3999"</definedName>
    <definedName name="IQ_FFO_HIGH_EST" hidden="1">"c419"</definedName>
    <definedName name="IQ_FFO_HIGH_EST_THOM" hidden="1">"c4001"</definedName>
    <definedName name="IQ_FFO_LOW_EST" hidden="1">"c420"</definedName>
    <definedName name="IQ_FFO_LOW_EST_THOM" hidden="1">"c4002"</definedName>
    <definedName name="IQ_FFO_MEDIAN_EST" hidden="1">"c1665"</definedName>
    <definedName name="IQ_FFO_MEDIAN_EST_THOM" hidden="1">"c4000"</definedName>
    <definedName name="IQ_FFO_NUM_EST" hidden="1">"c421"</definedName>
    <definedName name="IQ_FFO_NUM_EST_THOM" hidden="1">"c4003"</definedName>
    <definedName name="IQ_FFO_PAYOUT_RATIO" hidden="1">"c3492"</definedName>
    <definedName name="IQ_FFO_SHARE_ACT_OR_EST" hidden="1">"c4446"</definedName>
    <definedName name="IQ_FFO_SHARE_SHARE_EST_DET_EST" hidden="1">"c12059"</definedName>
    <definedName name="IQ_FFO_SHARE_SHARE_EST_DET_EST_CURRENCY" hidden="1">"c12466"</definedName>
    <definedName name="IQ_FFO_SHARE_SHARE_EST_DET_EST_CURRENCY_THOM" hidden="1">"c12487"</definedName>
    <definedName name="IQ_FFO_SHARE_SHARE_EST_DET_EST_DATE" hidden="1">"c12212"</definedName>
    <definedName name="IQ_FFO_SHARE_SHARE_EST_DET_EST_DATE_THOM" hidden="1">"c12238"</definedName>
    <definedName name="IQ_FFO_SHARE_SHARE_EST_DET_EST_INCL" hidden="1">"c12349"</definedName>
    <definedName name="IQ_FFO_SHARE_SHARE_EST_DET_EST_INCL_THOM" hidden="1">"c12370"</definedName>
    <definedName name="IQ_FFO_SHARE_SHARE_EST_DET_EST_ORIGIN" hidden="1">"c12722"</definedName>
    <definedName name="IQ_FFO_SHARE_SHARE_EST_DET_EST_ORIGIN_THOM" hidden="1">"c12608"</definedName>
    <definedName name="IQ_FFO_SHARE_SHARE_EST_DET_EST_THOM" hidden="1">"c12088"</definedName>
    <definedName name="IQ_FFO_SHARE_SHARE_EST_THOM" hidden="1">"c3999"</definedName>
    <definedName name="IQ_FFO_SHARE_SHARE_HIGH_EST_THOM" hidden="1">"c4001"</definedName>
    <definedName name="IQ_FFO_SHARE_SHARE_LOW_EST_THOM" hidden="1">"c4002"</definedName>
    <definedName name="IQ_FFO_SHARE_SHARE_MEDIAN_EST_THOM" hidden="1">"c4000"</definedName>
    <definedName name="IQ_FFO_SHARE_SHARE_NUM_EST_THOM" hidden="1">"c4003"</definedName>
    <definedName name="IQ_FFO_SHARE_SHARE_STDDEV_EST_THOM" hidden="1">"c4004"</definedName>
    <definedName name="IQ_FFO_STDDEV_EST" hidden="1">"c422"</definedName>
    <definedName name="IQ_FFO_STDDEV_EST_THOM" hidden="1">"c4004"</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_REUT" hidden="1">"c6798"</definedName>
    <definedName name="IQ_FISCAL_Y" hidden="1">"c441"</definedName>
    <definedName name="IQ_FISCAL_Y_EST_REUT"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ELD_MATURITY_FDIC" hidden="1">"c6408"</definedName>
    <definedName name="IQ_HIGH_TARGET_PRICE" hidden="1">"c1651"</definedName>
    <definedName name="IQ_HIGH_TARGET_PRICE_REUT" hidden="1">"c5317"</definedName>
    <definedName name="IQ_HIGHPRICE" hidden="1">"c545"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RATIO" hidden="1">"c2783"</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localSheetId="8" hidden="1">45664.9461805556</definedName>
    <definedName name="IQ_NAMES_REVISION_DATE_" hidden="1">44079.7556944444</definedName>
    <definedName name="IQ_NAMES_REVISION_DATE__1" hidden="1">42146.4899074074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GW_ACT_OR_EST" hidden="1">"c4478"</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 hidden="1">"c5563"</definedName>
    <definedName name="IQ_OTHER_AMORT_BR" hidden="1">"c5566"</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MINING_REVENUE_COAL" hidden="1">"c15931"</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2MONTHS_THOM" hidden="1">"c5248"</definedName>
    <definedName name="IQ_PERCENT_CHANGE_EST_FFO_18MONTHS" hidden="1">"c1829"</definedName>
    <definedName name="IQ_PERCENT_CHANGE_EST_FFO_18MONTHS_THOM" hidden="1">"c5249"</definedName>
    <definedName name="IQ_PERCENT_CHANGE_EST_FFO_3MONTHS" hidden="1">"c1825"</definedName>
    <definedName name="IQ_PERCENT_CHANGE_EST_FFO_3MONTHS_THOM" hidden="1">"c5245"</definedName>
    <definedName name="IQ_PERCENT_CHANGE_EST_FFO_6MONTHS" hidden="1">"c1826"</definedName>
    <definedName name="IQ_PERCENT_CHANGE_EST_FFO_6MONTHS_THOM" hidden="1">"c5246"</definedName>
    <definedName name="IQ_PERCENT_CHANGE_EST_FFO_9MONTHS" hidden="1">"c1827"</definedName>
    <definedName name="IQ_PERCENT_CHANGE_EST_FFO_9MONTHS_THOM" hidden="1">"c5247"</definedName>
    <definedName name="IQ_PERCENT_CHANGE_EST_FFO_DAY" hidden="1">"c1822"</definedName>
    <definedName name="IQ_PERCENT_CHANGE_EST_FFO_DAY_THOM" hidden="1">"c5243"</definedName>
    <definedName name="IQ_PERCENT_CHANGE_EST_FFO_MONTH" hidden="1">"c1824"</definedName>
    <definedName name="IQ_PERCENT_CHANGE_EST_FFO_MONTH_THOM" hidden="1">"c5244"</definedName>
    <definedName name="IQ_PERCENT_CHANGE_EST_FFO_SHARE_SHARE_12MONTHS" hidden="1">"c1828"</definedName>
    <definedName name="IQ_PERCENT_CHANGE_EST_FFO_SHARE_SHARE_12MONTHS_THOM" hidden="1">"c5248"</definedName>
    <definedName name="IQ_PERCENT_CHANGE_EST_FFO_SHARE_SHARE_18MONTHS" hidden="1">"c1829"</definedName>
    <definedName name="IQ_PERCENT_CHANGE_EST_FFO_SHARE_SHARE_18MONTHS_THOM" hidden="1">"c5249"</definedName>
    <definedName name="IQ_PERCENT_CHANGE_EST_FFO_SHARE_SHARE_3MONTHS" hidden="1">"c1825"</definedName>
    <definedName name="IQ_PERCENT_CHANGE_EST_FFO_SHARE_SHARE_3MONTHS_THOM" hidden="1">"c5245"</definedName>
    <definedName name="IQ_PERCENT_CHANGE_EST_FFO_SHARE_SHARE_6MONTHS" hidden="1">"c1826"</definedName>
    <definedName name="IQ_PERCENT_CHANGE_EST_FFO_SHARE_SHARE_6MONTHS_THOM" hidden="1">"c5246"</definedName>
    <definedName name="IQ_PERCENT_CHANGE_EST_FFO_SHARE_SHARE_9MONTHS" hidden="1">"c1827"</definedName>
    <definedName name="IQ_PERCENT_CHANGE_EST_FFO_SHARE_SHARE_9MONTHS_THOM" hidden="1">"c5247"</definedName>
    <definedName name="IQ_PERCENT_CHANGE_EST_FFO_SHARE_SHARE_DAY" hidden="1">"c1822"</definedName>
    <definedName name="IQ_PERCENT_CHANGE_EST_FFO_SHARE_SHARE_DAY_THOM" hidden="1">"c5243"</definedName>
    <definedName name="IQ_PERCENT_CHANGE_EST_FFO_SHARE_SHARE_MONTH" hidden="1">"c1824"</definedName>
    <definedName name="IQ_PERCENT_CHANGE_EST_FFO_SHARE_SHARE_MONTH_THOM" hidden="1">"c5244"</definedName>
    <definedName name="IQ_PERCENT_CHANGE_EST_FFO_SHARE_SHARE_WEEK" hidden="1">"c1823"</definedName>
    <definedName name="IQ_PERCENT_CHANGE_EST_FFO_SHARE_SHARE_WEEK_THOM" hidden="1">"c5274"</definedName>
    <definedName name="IQ_PERCENT_CHANGE_EST_FFO_WEEK" hidden="1">"c1823"</definedName>
    <definedName name="IQ_PERCENT_CHANGE_EST_FFO_WEEK_THOM" hidden="1">"c5274"</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ICE_OVER_BVPS" hidden="1">"c1412"</definedName>
    <definedName name="IQ_PRICE_OVER_LTM_EPS" hidden="1">"c1413"</definedName>
    <definedName name="IQ_PRICE_TARGET" hidden="1">"c82"</definedName>
    <definedName name="IQ_PRICE_TARGET_REUT" hidden="1">"c3631"</definedName>
    <definedName name="IQ_PRICEDATE" hidden="1">"c1069"</definedName>
    <definedName name="IQ_PRICING_DATE" hidden="1">"c1613"</definedName>
    <definedName name="IQ_PRIMARY_EPS_TYPE_THOM" hidden="1">"c5297"</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SHARE_ACT_OR_EST" hidden="1">"c4508"</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 hidden="1">"c2214"</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localSheetId="0" hidden="1">39358.4284837963</definedName>
    <definedName name="IQ_REVISION_DATE_" localSheetId="3" hidden="1">39358.4284837963</definedName>
    <definedName name="IQ_REVISION_DATE_" hidden="1">38672.4962384259</definedName>
    <definedName name="IQ_RISK_ADJ_BANK_ASSETS" hidden="1">"c2670"</definedName>
    <definedName name="IQ_RISK_WEIGHTED_ASSETS_FDIC" hidden="1">"c6370"</definedName>
    <definedName name="IQ_ROYALTY_REVENUE_COAL" hidden="1">"c15932"</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 hidden="1">"c2644"</definedName>
    <definedName name="IQ_SP_ISSUE_LC_DATE" hidden="1">"c2643"</definedName>
    <definedName name="IQ_SP_ISSUE_LC_LT" hidden="1">"c2645"</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0</definedName>
    <definedName name="IQRA10" hidden="1">"$A$11:$A$262"</definedName>
    <definedName name="IQRA38" hidden="1">"$A$39:$A$48"</definedName>
    <definedName name="IQRA5" hidden="1">"$A$6:$A$20"</definedName>
    <definedName name="IQRA6" hidden="1">"$A$7:$A$21"</definedName>
    <definedName name="IQRA60" hidden="1">"$A$61:$A$75"</definedName>
    <definedName name="IQRA7" hidden="1">"$A$8:$A$21"</definedName>
    <definedName name="IQRA8" hidden="1">"$A$9:$A$19"</definedName>
    <definedName name="IQRB15" hidden="1">"$B$16:$B$17"</definedName>
    <definedName name="IQRB17" hidden="1">"$B$18:$B$22"</definedName>
    <definedName name="IQRB18" hidden="1">"$B$19:$B$23"</definedName>
    <definedName name="IQRB19" hidden="1">"$B$20:$B$24"</definedName>
    <definedName name="IQRB20" hidden="1">"$B$21:$B$25"</definedName>
    <definedName name="IQRB21" hidden="1">"$B$22:$B$26"</definedName>
    <definedName name="IQRB22" hidden="1">"$B$23:$B$27"</definedName>
    <definedName name="IQRB23" hidden="1">"$B$24:$B$28"</definedName>
    <definedName name="IQRB24" hidden="1">"$B$25:$B$29"</definedName>
    <definedName name="IQRB32" hidden="1">"$B$33:$B$37"</definedName>
    <definedName name="IQRB33" hidden="1">"$B$34:$B$38"</definedName>
    <definedName name="IQRB34" hidden="1">"$B$35:$B$39"</definedName>
    <definedName name="IQRB38" hidden="1">"$B$39:$B$48"</definedName>
    <definedName name="IQRB5" hidden="1">"$B$6:$B$20"</definedName>
    <definedName name="IQRB6" hidden="1">"$B$7:$B$21"</definedName>
    <definedName name="IQRB8" hidden="1">"$B$9:$B$19"</definedName>
    <definedName name="IQRC15" hidden="1">"$C$16:$C$20"</definedName>
    <definedName name="IQRC24" hidden="1">"$C$25:$C$29"</definedName>
    <definedName name="IQRC5" hidden="1">"$C$6:$C$20"</definedName>
    <definedName name="IQRC6" hidden="1">"$C$7:$C$21"</definedName>
    <definedName name="IQRC8" hidden="1">"$C$9:$C$19"</definedName>
    <definedName name="IQRD15" hidden="1">"$D$16:$D$17"</definedName>
    <definedName name="IQRD8" hidden="1">"$D$9:$D$19"</definedName>
    <definedName name="IQRE8" hidden="1">"$E$9:$E$19"</definedName>
    <definedName name="iQShowHideColumns" hidden="1">"iQShowAll"</definedName>
    <definedName name="Irbe" localSheetId="3" hidden="1">{#N/A,#N/A,FALSE,"Pharm";#N/A,#N/A,FALSE,"WWCM"}</definedName>
    <definedName name="Irbe" localSheetId="7" hidden="1">{#N/A,#N/A,FALSE,"Pharm";#N/A,#N/A,FALSE,"WWCM"}</definedName>
    <definedName name="Irbe" hidden="1">{#N/A,#N/A,FALSE,"Pharm";#N/A,#N/A,FALSE,"WWCM"}</definedName>
    <definedName name="is" localSheetId="3" hidden="1">{"FCB_ALL",#N/A,FALSE,"FCB"}</definedName>
    <definedName name="is" localSheetId="7" hidden="1">{"FCB_ALL",#N/A,FALSE,"FCB"}</definedName>
    <definedName name="is" hidden="1">{"FCB_ALL",#N/A,FALSE,"FCB"}</definedName>
    <definedName name="IsColHidden" hidden="1">FALSE</definedName>
    <definedName name="IsLTMColHidden" hidden="1">FALSE</definedName>
    <definedName name="Issue" hidden="1">"BL7FKFTY6NDALOTZZF8PFRAS6"</definedName>
    <definedName name="item" localSheetId="3" hidden="1">{#N/A,#N/A,TRUE,"ICMAN96 (1)"}</definedName>
    <definedName name="item" localSheetId="7" hidden="1">{#N/A,#N/A,TRUE,"ICMAN96 (1)"}</definedName>
    <definedName name="item" hidden="1">{#N/A,#N/A,TRUE,"ICMAN96 (1)"}</definedName>
    <definedName name="iug" localSheetId="3"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iug" localSheetId="7"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iug"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iuliu" localSheetId="3" hidden="1">{#N/A,#N/A,FALSE,"model"}</definedName>
    <definedName name="iuliu" localSheetId="7" hidden="1">{#N/A,#N/A,FALSE,"model"}</definedName>
    <definedName name="iuliu" hidden="1">{#N/A,#N/A,FALSE,"model"}</definedName>
    <definedName name="iungds" localSheetId="3" hidden="1">{"detail",#N/A,FALSE,"mfg";"summary",#N/A,FALSE,"mfg"}</definedName>
    <definedName name="iungds" localSheetId="7" hidden="1">{"detail",#N/A,FALSE,"mfg";"summary",#N/A,FALSE,"mfg"}</definedName>
    <definedName name="iungds" hidden="1">{"detail",#N/A,FALSE,"mfg";"summary",#N/A,FALSE,"mfg"}</definedName>
    <definedName name="iuyt" localSheetId="3" hidden="1">{"AS REP",#N/A,FALSE,"EEFSNAP2";"PROP",#N/A,FALSE,"EEFSNAP2";"RISKS",#N/A,FALSE,"EEFSNAP2";"VIEW ALL",#N/A,FALSE,"EEFSNAP2"}</definedName>
    <definedName name="iuyt" localSheetId="7" hidden="1">{"AS REP",#N/A,FALSE,"EEFSNAP2";"PROP",#N/A,FALSE,"EEFSNAP2";"RISKS",#N/A,FALSE,"EEFSNAP2";"VIEW ALL",#N/A,FALSE,"EEFSNAP2"}</definedName>
    <definedName name="iuyt" hidden="1">{"AS REP",#N/A,FALSE,"EEFSNAP2";"PROP",#N/A,FALSE,"EEFSNAP2";"RISKS",#N/A,FALSE,"EEFSNAP2";"VIEW ALL",#N/A,FALSE,"EEFSNAP2"}</definedName>
    <definedName name="iy" localSheetId="3" hidden="1">{"AS REP",#N/A,FALSE,"EEFSNAP2";"PROP",#N/A,FALSE,"EEFSNAP2";"RISKS",#N/A,FALSE,"EEFSNAP2";"VIEW ALL",#N/A,FALSE,"EEFSNAP2"}</definedName>
    <definedName name="iy" localSheetId="7" hidden="1">{"AS REP",#N/A,FALSE,"EEFSNAP2";"PROP",#N/A,FALSE,"EEFSNAP2";"RISKS",#N/A,FALSE,"EEFSNAP2";"VIEW ALL",#N/A,FALSE,"EEFSNAP2"}</definedName>
    <definedName name="iy" hidden="1">{"AS REP",#N/A,FALSE,"EEFSNAP2";"PROP",#N/A,FALSE,"EEFSNAP2";"RISKS",#N/A,FALSE,"EEFSNAP2";"VIEW ALL",#N/A,FALSE,"EEFSNAP2"}</definedName>
    <definedName name="iyg" localSheetId="3" hidden="1">{"CONSOLIDADO",#N/A,FALSE,"COMENTARIOS"}</definedName>
    <definedName name="iyg" localSheetId="7" hidden="1">{"CONSOLIDADO",#N/A,FALSE,"COMENTARIOS"}</definedName>
    <definedName name="iyg" hidden="1">{"CONSOLIDADO",#N/A,FALSE,"COMENTARIOS"}</definedName>
    <definedName name="j" localSheetId="3" hidden="1">{"'Directory'!$A$72:$E$91"}</definedName>
    <definedName name="j" localSheetId="7" hidden="1">{"'Directory'!$A$72:$E$91"}</definedName>
    <definedName name="j" hidden="1">{"'Directory'!$A$72:$E$91"}</definedName>
    <definedName name="jad" localSheetId="3" hidden="1">{#N/A,"30% Success",TRUE,"Sales Forecast";#N/A,#N/A,TRUE,"Sheet2"}</definedName>
    <definedName name="jad" localSheetId="7" hidden="1">{#N/A,"30% Success",TRUE,"Sales Forecast";#N/A,#N/A,TRUE,"Sheet2"}</definedName>
    <definedName name="jad" hidden="1">{#N/A,"30% Success",TRUE,"Sales Forecast";#N/A,#N/A,TRUE,"Sheet2"}</definedName>
    <definedName name="jçj" localSheetId="3" hidden="1">{#N/A,#N/A,FALSE,"Relatórios";"Vendas e Custos",#N/A,FALSE,"Vendas e Custos";"Premissas",#N/A,FALSE,"Premissas";"Projeções",#N/A,FALSE,"Projeções";"Dolar",#N/A,FALSE,"Dolar";"Original",#N/A,FALSE,"Original e UFIR"}</definedName>
    <definedName name="jçj" localSheetId="7" hidden="1">{#N/A,#N/A,FALSE,"Relatórios";"Vendas e Custos",#N/A,FALSE,"Vendas e Custos";"Premissas",#N/A,FALSE,"Premissas";"Projeções",#N/A,FALSE,"Projeções";"Dolar",#N/A,FALSE,"Dolar";"Original",#N/A,FALSE,"Original e UFIR"}</definedName>
    <definedName name="jçj" hidden="1">{#N/A,#N/A,FALSE,"Relatórios";"Vendas e Custos",#N/A,FALSE,"Vendas e Custos";"Premissas",#N/A,FALSE,"Premissas";"Projeções",#N/A,FALSE,"Projeções";"Dolar",#N/A,FALSE,"Dolar";"Original",#N/A,FALSE,"Original e UFIR"}</definedName>
    <definedName name="jçl" localSheetId="3" hidden="1">{"'PXR_6500'!$A$1:$I$124"}</definedName>
    <definedName name="jçl" localSheetId="7" hidden="1">{"'PXR_6500'!$A$1:$I$124"}</definedName>
    <definedName name="jçl" hidden="1">{"'PXR_6500'!$A$1:$I$124"}</definedName>
    <definedName name="jfdsir" localSheetId="3" hidden="1">{"YTD",#N/A,FALSE,"SUM"}</definedName>
    <definedName name="jfdsir" localSheetId="7" hidden="1">{"YTD",#N/A,FALSE,"SUM"}</definedName>
    <definedName name="jfdsir" hidden="1">{"YTD",#N/A,FALSE,"SUM"}</definedName>
    <definedName name="jg" localSheetId="3"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hjg" localSheetId="3" hidden="1">{#N/A,#N/A,FALSE,"Produkte Erw.";#N/A,#N/A,FALSE,"Produkte Plan";#N/A,#N/A,FALSE,"Leistungen Erw.";#N/A,#N/A,FALSE,"Leistungen Plan";#N/A,#N/A,FALSE,"KA Allg.Kosten (2)";#N/A,#N/A,FALSE,"KA All.Kosten"}</definedName>
    <definedName name="jghjg" localSheetId="7" hidden="1">{#N/A,#N/A,FALSE,"Produkte Erw.";#N/A,#N/A,FALSE,"Produkte Plan";#N/A,#N/A,FALSE,"Leistungen Erw.";#N/A,#N/A,FALSE,"Leistungen Plan";#N/A,#N/A,FALSE,"KA Allg.Kosten (2)";#N/A,#N/A,FALSE,"KA All.Kosten"}</definedName>
    <definedName name="jghjg" hidden="1">{#N/A,#N/A,FALSE,"Produkte Erw.";#N/A,#N/A,FALSE,"Produkte Plan";#N/A,#N/A,FALSE,"Leistungen Erw.";#N/A,#N/A,FALSE,"Leistungen Plan";#N/A,#N/A,FALSE,"KA Allg.Kosten (2)";#N/A,#N/A,FALSE,"KA All.Kosten"}</definedName>
    <definedName name="jghjhlldc" localSheetId="3" hidden="1">{#N/A,#N/A,FALSE,"Umsatz CH";#N/A,#N/A,FALSE,"ER CH";#N/A,#N/A,FALSE,"EA CH (2) ";#N/A,#N/A,FALSE,"EA CH";#N/A,#N/A,FALSE,"EA CH (3) ";#N/A,#N/A,FALSE,"EA CH (4)";#N/A,#N/A,FALSE,"KA CH";#N/A,#N/A,FALSE,"KA CH  (2)";#N/A,#N/A,FALSE,"KA CH  (3)";#N/A,#N/A,FALSE,"KA CH (4)"}</definedName>
    <definedName name="jghjhlldc" localSheetId="7" hidden="1">{#N/A,#N/A,FALSE,"Umsatz CH";#N/A,#N/A,FALSE,"ER CH";#N/A,#N/A,FALSE,"EA CH (2) ";#N/A,#N/A,FALSE,"EA CH";#N/A,#N/A,FALSE,"EA CH (3) ";#N/A,#N/A,FALSE,"EA CH (4)";#N/A,#N/A,FALSE,"KA CH";#N/A,#N/A,FALSE,"KA CH  (2)";#N/A,#N/A,FALSE,"KA CH  (3)";#N/A,#N/A,FALSE,"KA CH (4)"}</definedName>
    <definedName name="jghjhlldc" hidden="1">{#N/A,#N/A,FALSE,"Umsatz CH";#N/A,#N/A,FALSE,"ER CH";#N/A,#N/A,FALSE,"EA CH (2) ";#N/A,#N/A,FALSE,"EA CH";#N/A,#N/A,FALSE,"EA CH (3) ";#N/A,#N/A,FALSE,"EA CH (4)";#N/A,#N/A,FALSE,"KA CH";#N/A,#N/A,FALSE,"KA CH  (2)";#N/A,#N/A,FALSE,"KA CH  (3)";#N/A,#N/A,FALSE,"KA CH (4)"}</definedName>
    <definedName name="jh" hidden="1">#REF!</definedName>
    <definedName name="jhg" hidden="1">#REF!</definedName>
    <definedName name="jhgdjdgh" localSheetId="0" hidden="1">{"MacroCo",#N/A,FALSE,"masmode";"IncomeS",#N/A,FALSE,"masmode";"BalanceS",#N/A,FALSE,"masmode";"CashF",#N/A,FALSE,"masmode";"Ratios",#N/A,FALSE,"masmode";"DebtFC",#N/A,FALSE,"masmode"}</definedName>
    <definedName name="jhgdjdgh" localSheetId="3" hidden="1">{"MacroCo",#N/A,FALSE,"masmode";"IncomeS",#N/A,FALSE,"masmode";"BalanceS",#N/A,FALSE,"masmode";"CashF",#N/A,FALSE,"masmode";"Ratios",#N/A,FALSE,"masmode";"DebtFC",#N/A,FALSE,"masmode"}</definedName>
    <definedName name="jhgdjdgh" localSheetId="7" hidden="1">{"MacroCo",#N/A,FALSE,"masmode";"IncomeS",#N/A,FALSE,"masmode";"BalanceS",#N/A,FALSE,"masmode";"CashF",#N/A,FALSE,"masmode";"Ratios",#N/A,FALSE,"masmode";"DebtFC",#N/A,FALSE,"masmode"}</definedName>
    <definedName name="jhgdjdgh" hidden="1">{"MacroCo",#N/A,FALSE,"masmode";"IncomeS",#N/A,FALSE,"masmode";"BalanceS",#N/A,FALSE,"masmode";"CashF",#N/A,FALSE,"masmode";"Ratios",#N/A,FALSE,"masmode";"DebtFC",#N/A,FALSE,"masmode"}</definedName>
    <definedName name="jhgf" localSheetId="3" hidden="1">{"Commentary",#N/A,FALSE,"May"}</definedName>
    <definedName name="jhgf" localSheetId="7" hidden="1">{"Commentary",#N/A,FALSE,"May"}</definedName>
    <definedName name="jhgf" hidden="1">{"Commentary",#N/A,FALSE,"May"}</definedName>
    <definedName name="jhhgjh" localSheetId="3" hidden="1">{#N/A,#N/A,FALSE,"KA CH  (2)"}</definedName>
    <definedName name="jhhgjh" localSheetId="7" hidden="1">{#N/A,#N/A,FALSE,"KA CH  (2)"}</definedName>
    <definedName name="jhhgjh" hidden="1">{#N/A,#N/A,FALSE,"KA CH  (2)"}</definedName>
    <definedName name="jhj" localSheetId="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hgj" localSheetId="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hgj"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hg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ll" localSheetId="3" hidden="1">{#N/A,#N/A,FALSE,"PMW Gruppe 99_98";#N/A,#N/A,FALSE,"PMW KG 98_99";#N/A,#N/A,FALSE,"PMW Inc. 99_98";#N/A,#N/A,FALSE,"PMW VTECH 99_98";#N/A,#N/A,FALSE,"PMW Thail. 99_98";#N/A,#N/A,FALSE,"PMW Canada 99_98";#N/A,#N/A,FALSE,"Währungsabw. 99_98"}</definedName>
    <definedName name="jhll" localSheetId="7" hidden="1">{#N/A,#N/A,FALSE,"PMW Gruppe 99_98";#N/A,#N/A,FALSE,"PMW KG 98_99";#N/A,#N/A,FALSE,"PMW Inc. 99_98";#N/A,#N/A,FALSE,"PMW VTECH 99_98";#N/A,#N/A,FALSE,"PMW Thail. 99_98";#N/A,#N/A,FALSE,"PMW Canada 99_98";#N/A,#N/A,FALSE,"Währungsabw. 99_98"}</definedName>
    <definedName name="jhll" hidden="1">{#N/A,#N/A,FALSE,"PMW Gruppe 99_98";#N/A,#N/A,FALSE,"PMW KG 98_99";#N/A,#N/A,FALSE,"PMW Inc. 99_98";#N/A,#N/A,FALSE,"PMW VTECH 99_98";#N/A,#N/A,FALSE,"PMW Thail. 99_98";#N/A,#N/A,FALSE,"PMW Canada 99_98";#N/A,#N/A,FALSE,"Währungsabw. 99_98"}</definedName>
    <definedName name="jhu" localSheetId="3" hidden="1">{#N/A,"PURADD",FALSE,"Business Analysis";#N/A,"PURSPP",FALSE,"Business Analysis";#N/A,"CTGIND",FALSE,"Business Analysis";#N/A,"PURCHM",FALSE,"Business Analysis";#N/A,"SPADD",FALSE,"Business Analysis";#N/A,"EPOXY",FALSE,"Business Analysis";#N/A,"PURPER",FALSE,"Business Analysis"}</definedName>
    <definedName name="jhu" localSheetId="7" hidden="1">{#N/A,"PURADD",FALSE,"Business Analysis";#N/A,"PURSPP",FALSE,"Business Analysis";#N/A,"CTGIND",FALSE,"Business Analysis";#N/A,"PURCHM",FALSE,"Business Analysis";#N/A,"SPADD",FALSE,"Business Analysis";#N/A,"EPOXY",FALSE,"Business Analysis";#N/A,"PURPER",FALSE,"Business Analysis"}</definedName>
    <definedName name="jhu" hidden="1">{#N/A,"PURADD",FALSE,"Business Analysis";#N/A,"PURSPP",FALSE,"Business Analysis";#N/A,"CTGIND",FALSE,"Business Analysis";#N/A,"PURCHM",FALSE,"Business Analysis";#N/A,"SPADD",FALSE,"Business Analysis";#N/A,"EPOXY",FALSE,"Business Analysis";#N/A,"PURPER",FALSE,"Business Analysis"}</definedName>
    <definedName name="jih" localSheetId="3"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h" localSheetId="7"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h"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m" localSheetId="3" hidden="1">{"'Directory'!$A$72:$E$91"}</definedName>
    <definedName name="jim" localSheetId="7" hidden="1">{"'Directory'!$A$72:$E$91"}</definedName>
    <definedName name="jim" hidden="1">{"'Directory'!$A$72:$E$91"}</definedName>
    <definedName name="jj" localSheetId="3" hidden="1">{#N/A,#N/A,FALSE,"Rohstoffnotierungen";#N/A,#N/A,FALSE,"ER HCST Erw. 99";#N/A,#N/A,FALSE,"ER HCST Plan 00";#N/A,#N/A,FALSE,"Umsatz KG";#N/A,#N/A,FALSE,"ER HCST";#N/A,#N/A,FALSE,"EA ST (2)";#N/A,#N/A,FALSE,"EA ST";#N/A,#N/A,FALSE,"EA ST (3)";#N/A,#N/A,FALSE,"EA ST (4)";#N/A,#N/A,FALSE,"KA ST  (2)";#N/A,#N/A,FALSE,"KA ST";#N/A,#N/A,FALSE,"KA ST  (3)";#N/A,#N/A,FALSE,"KA ST (4)"}</definedName>
    <definedName name="jj" localSheetId="7" hidden="1">{#N/A,#N/A,FALSE,"Rohstoffnotierungen";#N/A,#N/A,FALSE,"ER HCST Erw. 99";#N/A,#N/A,FALSE,"ER HCST Plan 00";#N/A,#N/A,FALSE,"Umsatz KG";#N/A,#N/A,FALSE,"ER HCST";#N/A,#N/A,FALSE,"EA ST (2)";#N/A,#N/A,FALSE,"EA ST";#N/A,#N/A,FALSE,"EA ST (3)";#N/A,#N/A,FALSE,"EA ST (4)";#N/A,#N/A,FALSE,"KA ST  (2)";#N/A,#N/A,FALSE,"KA ST";#N/A,#N/A,FALSE,"KA ST  (3)";#N/A,#N/A,FALSE,"KA ST (4)"}</definedName>
    <definedName name="jj" hidden="1">{#N/A,#N/A,FALSE,"Rohstoffnotierungen";#N/A,#N/A,FALSE,"ER HCST Erw. 99";#N/A,#N/A,FALSE,"ER HCST Plan 00";#N/A,#N/A,FALSE,"Umsatz KG";#N/A,#N/A,FALSE,"ER HCST";#N/A,#N/A,FALSE,"EA ST (2)";#N/A,#N/A,FALSE,"EA ST";#N/A,#N/A,FALSE,"EA ST (3)";#N/A,#N/A,FALSE,"EA ST (4)";#N/A,#N/A,FALSE,"KA ST  (2)";#N/A,#N/A,FALSE,"KA ST";#N/A,#N/A,FALSE,"KA ST  (3)";#N/A,#N/A,FALSE,"KA ST (4)"}</definedName>
    <definedName name="jj.l" localSheetId="3" hidden="1">{#N/A,#N/A,FALSE,"Umsatz EO BP";#N/A,#N/A,FALSE,"Umsatz EO OP";#N/A,#N/A,FALSE,"ER EO BP";#N/A,#N/A,FALSE,"ER EO OP";#N/A,#N/A,FALSE,"EA EO (2)";#N/A,#N/A,FALSE,"EA EO";#N/A,#N/A,FALSE,"EA EO (3)";#N/A,#N/A,FALSE,"EA EO (4)";#N/A,#N/A,FALSE,"KA EO  (2)";#N/A,#N/A,FALSE,"KA EO";#N/A,#N/A,FALSE,"KA EO  (3)";#N/A,#N/A,FALSE,"KA EO (4)"}</definedName>
    <definedName name="jj.l" localSheetId="7" hidden="1">{#N/A,#N/A,FALSE,"Umsatz EO BP";#N/A,#N/A,FALSE,"Umsatz EO OP";#N/A,#N/A,FALSE,"ER EO BP";#N/A,#N/A,FALSE,"ER EO OP";#N/A,#N/A,FALSE,"EA EO (2)";#N/A,#N/A,FALSE,"EA EO";#N/A,#N/A,FALSE,"EA EO (3)";#N/A,#N/A,FALSE,"EA EO (4)";#N/A,#N/A,FALSE,"KA EO  (2)";#N/A,#N/A,FALSE,"KA EO";#N/A,#N/A,FALSE,"KA EO  (3)";#N/A,#N/A,FALSE,"KA EO (4)"}</definedName>
    <definedName name="jj.l" hidden="1">{#N/A,#N/A,FALSE,"Umsatz EO BP";#N/A,#N/A,FALSE,"Umsatz EO OP";#N/A,#N/A,FALSE,"ER EO BP";#N/A,#N/A,FALSE,"ER EO OP";#N/A,#N/A,FALSE,"EA EO (2)";#N/A,#N/A,FALSE,"EA EO";#N/A,#N/A,FALSE,"EA EO (3)";#N/A,#N/A,FALSE,"EA EO (4)";#N/A,#N/A,FALSE,"KA EO  (2)";#N/A,#N/A,FALSE,"KA EO";#N/A,#N/A,FALSE,"KA EO  (3)";#N/A,#N/A,FALSE,"KA EO (4)"}</definedName>
    <definedName name="jjhg.lllll" localSheetId="3" hidden="1">{#N/A,#N/A,FALSE,"Umsatz HM";#N/A,#N/A,FALSE,"ER HM";#N/A,#N/A,FALSE,"EA HM  (2)";#N/A,#N/A,FALSE,"EA HM ";#N/A,#N/A,FALSE,"EA HM  (4)";#N/A,#N/A,FALSE,"EA HM  (3)";#N/A,#N/A,FALSE,"KA HM  (2)";#N/A,#N/A,FALSE,"KA HM";#N/A,#N/A,FALSE,"KA HM  (3)";#N/A,#N/A,FALSE,"KA HM (4)"}</definedName>
    <definedName name="jjhg.lllll" localSheetId="7" hidden="1">{#N/A,#N/A,FALSE,"Umsatz HM";#N/A,#N/A,FALSE,"ER HM";#N/A,#N/A,FALSE,"EA HM  (2)";#N/A,#N/A,FALSE,"EA HM ";#N/A,#N/A,FALSE,"EA HM  (4)";#N/A,#N/A,FALSE,"EA HM  (3)";#N/A,#N/A,FALSE,"KA HM  (2)";#N/A,#N/A,FALSE,"KA HM";#N/A,#N/A,FALSE,"KA HM  (3)";#N/A,#N/A,FALSE,"KA HM (4)"}</definedName>
    <definedName name="jjhg.lllll" hidden="1">{#N/A,#N/A,FALSE,"Umsatz HM";#N/A,#N/A,FALSE,"ER HM";#N/A,#N/A,FALSE,"EA HM  (2)";#N/A,#N/A,FALSE,"EA HM ";#N/A,#N/A,FALSE,"EA HM  (4)";#N/A,#N/A,FALSE,"EA HM  (3)";#N/A,#N/A,FALSE,"KA HM  (2)";#N/A,#N/A,FALSE,"KA HM";#N/A,#N/A,FALSE,"KA HM  (3)";#N/A,#N/A,FALSE,"KA HM (4)"}</definedName>
    <definedName name="jjj" localSheetId="3" hidden="1">{#N/A,#N/A,FALSE,"REPORT"}</definedName>
    <definedName name="jjj" localSheetId="7" hidden="1">{#N/A,#N/A,FALSE,"REPORT"}</definedName>
    <definedName name="jjj" hidden="1">{#N/A,#N/A,FALSE,"REPORT"}</definedName>
    <definedName name="jkiu" localSheetId="3" hidden="1">{#N/A,"PURCHM",FALSE,"Business Analysis";#N/A,"SPADD",FALSE,"Business Analysis"}</definedName>
    <definedName name="jkiu" localSheetId="7" hidden="1">{#N/A,"PURCHM",FALSE,"Business Analysis";#N/A,"SPADD",FALSE,"Business Analysis"}</definedName>
    <definedName name="jkiu" hidden="1">{#N/A,"PURCHM",FALSE,"Business Analysis";#N/A,"SPADD",FALSE,"Business Analysis"}</definedName>
    <definedName name="jkjhk" localSheetId="3" hidden="1">{#N/A,#N/A,FALSE,"Produkte Erw.";#N/A,#N/A,FALSE,"Produkte Plan";#N/A,#N/A,FALSE,"Leistungen Erw.";#N/A,#N/A,FALSE,"Leistungen Plan";#N/A,#N/A,FALSE,"KA Allg.Kosten (2)";#N/A,#N/A,FALSE,"KA All.Kosten"}</definedName>
    <definedName name="jkjhk" localSheetId="7" hidden="1">{#N/A,#N/A,FALSE,"Produkte Erw.";#N/A,#N/A,FALSE,"Produkte Plan";#N/A,#N/A,FALSE,"Leistungen Erw.";#N/A,#N/A,FALSE,"Leistungen Plan";#N/A,#N/A,FALSE,"KA Allg.Kosten (2)";#N/A,#N/A,FALSE,"KA All.Kosten"}</definedName>
    <definedName name="jkjhk" hidden="1">{#N/A,#N/A,FALSE,"Produkte Erw.";#N/A,#N/A,FALSE,"Produkte Plan";#N/A,#N/A,FALSE,"Leistungen Erw.";#N/A,#N/A,FALSE,"Leistungen Plan";#N/A,#N/A,FALSE,"KA Allg.Kosten (2)";#N/A,#N/A,FALSE,"KA All.Kosten"}</definedName>
    <definedName name="jkjk" localSheetId="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jk"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jk"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kjhkj" localSheetId="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kjhkj"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kjhk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l" localSheetId="3" hidden="1">{#N/A,#N/A,FALSE,"REPORT"}</definedName>
    <definedName name="jkl" localSheetId="7" hidden="1">{#N/A,#N/A,FALSE,"REPORT"}</definedName>
    <definedName name="jkl" hidden="1">{#N/A,#N/A,FALSE,"REPORT"}</definedName>
    <definedName name="jklk" localSheetId="3" hidden="1">{#N/A,#N/A,FALSE,"Umsatz OK";#N/A,#N/A,FALSE,"ER OK ";#N/A,#N/A,FALSE,"EA OK (2)";#N/A,#N/A,FALSE,"EA OK";#N/A,#N/A,FALSE,"EA OK (3)";#N/A,#N/A,FALSE,"EA OK (4)";#N/A,#N/A,FALSE,"KA OK  (2)";#N/A,#N/A,FALSE,"KA OK";#N/A,#N/A,FALSE,"KA OK  (3)";#N/A,#N/A,FALSE,"KA OK (4)"}</definedName>
    <definedName name="jklk" localSheetId="7" hidden="1">{#N/A,#N/A,FALSE,"Umsatz OK";#N/A,#N/A,FALSE,"ER OK ";#N/A,#N/A,FALSE,"EA OK (2)";#N/A,#N/A,FALSE,"EA OK";#N/A,#N/A,FALSE,"EA OK (3)";#N/A,#N/A,FALSE,"EA OK (4)";#N/A,#N/A,FALSE,"KA OK  (2)";#N/A,#N/A,FALSE,"KA OK";#N/A,#N/A,FALSE,"KA OK  (3)";#N/A,#N/A,FALSE,"KA OK (4)"}</definedName>
    <definedName name="jklk" hidden="1">{#N/A,#N/A,FALSE,"Umsatz OK";#N/A,#N/A,FALSE,"ER OK ";#N/A,#N/A,FALSE,"EA OK (2)";#N/A,#N/A,FALSE,"EA OK";#N/A,#N/A,FALSE,"EA OK (3)";#N/A,#N/A,FALSE,"EA OK (4)";#N/A,#N/A,FALSE,"KA OK  (2)";#N/A,#N/A,FALSE,"KA OK";#N/A,#N/A,FALSE,"KA OK  (3)";#N/A,#N/A,FALSE,"KA OK (4)"}</definedName>
    <definedName name="jklñ" localSheetId="3"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lñ" localSheetId="7"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lñ"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wsd" localSheetId="3" hidden="1">{"detail",#N/A,FALSE,"mfg";"summary",#N/A,FALSE,"mfg"}</definedName>
    <definedName name="jkwsd" localSheetId="7" hidden="1">{"detail",#N/A,FALSE,"mfg";"summary",#N/A,FALSE,"mfg"}</definedName>
    <definedName name="jkwsd" hidden="1">{"detail",#N/A,FALSE,"mfg";"summary",#N/A,FALSE,"mfg"}</definedName>
    <definedName name="jnbid" localSheetId="3" hidden="1">{"detail",#N/A,FALSE,"mfg";"summary",#N/A,FALSE,"mfg"}</definedName>
    <definedName name="jnbid" localSheetId="7" hidden="1">{"detail",#N/A,FALSE,"mfg";"summary",#N/A,FALSE,"mfg"}</definedName>
    <definedName name="jnbid" hidden="1">{"detail",#N/A,FALSE,"mfg";"summary",#N/A,FALSE,"mfg"}</definedName>
    <definedName name="joaquim" localSheetId="3" hidden="1">{#N/A,"100% Success",TRUE,"Sales Forecast";#N/A,#N/A,TRUE,"Sheet2"}</definedName>
    <definedName name="joaquim" localSheetId="7" hidden="1">{#N/A,"100% Success",TRUE,"Sales Forecast";#N/A,#N/A,TRUE,"Sheet2"}</definedName>
    <definedName name="joaquim" hidden="1">{#N/A,"100% Success",TRUE,"Sales Forecast";#N/A,#N/A,TRUE,"Sheet2"}</definedName>
    <definedName name="jomn" localSheetId="3" hidden="1">{"pro_view",#N/A,FALSE,"EEFSNAP2";"rep_view",#N/A,FALSE,"EEFSNAP2"}</definedName>
    <definedName name="jomn" localSheetId="7" hidden="1">{"pro_view",#N/A,FALSE,"EEFSNAP2";"rep_view",#N/A,FALSE,"EEFSNAP2"}</definedName>
    <definedName name="jomn" hidden="1">{"pro_view",#N/A,FALSE,"EEFSNAP2";"rep_view",#N/A,FALSE,"EEFSNAP2"}</definedName>
    <definedName name="jöuiuiuzi" localSheetId="3" hidden="1">{#N/A,#N/A,FALSE,"Umsatz 99";#N/A,#N/A,FALSE,"ER 99 "}</definedName>
    <definedName name="jöuiuiuzi" localSheetId="7" hidden="1">{#N/A,#N/A,FALSE,"Umsatz 99";#N/A,#N/A,FALSE,"ER 99 "}</definedName>
    <definedName name="jöuiuiuzi" hidden="1">{#N/A,#N/A,FALSE,"Umsatz 99";#N/A,#N/A,FALSE,"ER 99 "}</definedName>
    <definedName name="ju" localSheetId="3" hidden="1">{"detail",#N/A,FALSE,"mfg";"summary",#N/A,FALSE,"mfg"}</definedName>
    <definedName name="ju" localSheetId="7" hidden="1">{"detail",#N/A,FALSE,"mfg";"summary",#N/A,FALSE,"mfg"}</definedName>
    <definedName name="ju" hidden="1">{"detail",#N/A,FALSE,"mfg";"summary",#N/A,FALSE,"mfg"}</definedName>
    <definedName name="jud" localSheetId="3" hidden="1">{"FS`s",#N/A,TRUE,"FS's";"Icome St",#N/A,TRUE,"Income St.";"Balance Sh",#N/A,TRUE,"Balance Sh.";"Gross Margin",#N/A,TRUE,"Gross Margin"}</definedName>
    <definedName name="jud" localSheetId="7" hidden="1">{"FS`s",#N/A,TRUE,"FS's";"Icome St",#N/A,TRUE,"Income St.";"Balance Sh",#N/A,TRUE,"Balance Sh.";"Gross Margin",#N/A,TRUE,"Gross Margin"}</definedName>
    <definedName name="jud" hidden="1">{"FS`s",#N/A,TRUE,"FS's";"Icome St",#N/A,TRUE,"Income St.";"Balance Sh",#N/A,TRUE,"Balance Sh.";"Gross Margin",#N/A,TRUE,"Gross Margin"}</definedName>
    <definedName name="judith" localSheetId="3" hidden="1">{"FS`s",#N/A,TRUE,"FS's";"Icome St",#N/A,TRUE,"Income St.";"Balance Sh",#N/A,TRUE,"Balance Sh.";"Gross Margin",#N/A,TRUE,"Gross Margin"}</definedName>
    <definedName name="judith" localSheetId="7" hidden="1">{"FS`s",#N/A,TRUE,"FS's";"Icome St",#N/A,TRUE,"Income St.";"Balance Sh",#N/A,TRUE,"Balance Sh.";"Gross Margin",#N/A,TRUE,"Gross Margin"}</definedName>
    <definedName name="judith" hidden="1">{"FS`s",#N/A,TRUE,"FS's";"Icome St",#N/A,TRUE,"Income St.";"Balance Sh",#N/A,TRUE,"Balance Sh.";"Gross Margin",#N/A,TRUE,"Gross Margin"}</definedName>
    <definedName name="judy" localSheetId="3" hidden="1">{#N/A,#N/A,FALSE,"Pharm";#N/A,#N/A,FALSE,"WWCM"}</definedName>
    <definedName name="judy" localSheetId="7" hidden="1">{#N/A,#N/A,FALSE,"Pharm";#N/A,#N/A,FALSE,"WWCM"}</definedName>
    <definedName name="judy" hidden="1">{#N/A,#N/A,FALSE,"Pharm";#N/A,#N/A,FALSE,"WWCM"}</definedName>
    <definedName name="judy1" localSheetId="3" hidden="1">{#N/A,#N/A,FALSE,"Pharm";#N/A,#N/A,FALSE,"WWCM"}</definedName>
    <definedName name="judy1" localSheetId="7" hidden="1">{#N/A,#N/A,FALSE,"Pharm";#N/A,#N/A,FALSE,"WWCM"}</definedName>
    <definedName name="judy1" hidden="1">{#N/A,#N/A,FALSE,"Pharm";#N/A,#N/A,FALSE,"WWCM"}</definedName>
    <definedName name="jui" localSheetId="3" hidden="1">{"YD OTHER",#N/A,FALSE,"YTD"}</definedName>
    <definedName name="jui" localSheetId="7" hidden="1">{"YD OTHER",#N/A,FALSE,"YTD"}</definedName>
    <definedName name="jui" hidden="1">{"YD OTHER",#N/A,FALSE,"YTD"}</definedName>
    <definedName name="juio" localSheetId="3" hidden="1">{"Page 1",#N/A,FALSE,"OpExJanVsPY";"Page 2",#N/A,FALSE,"OpExJanVsPY"}</definedName>
    <definedName name="juio" localSheetId="7" hidden="1">{"Page 1",#N/A,FALSE,"OpExJanVsPY";"Page 2",#N/A,FALSE,"OpExJanVsPY"}</definedName>
    <definedName name="juio" hidden="1">{"Page 1",#N/A,FALSE,"OpExJanVsPY";"Page 2",#N/A,FALSE,"OpExJanVsPY"}</definedName>
    <definedName name="k" localSheetId="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 localSheetId="7"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aka" localSheetId="3" hidden="1">{#N/A,#N/A,FALSE,"Pag.01"}</definedName>
    <definedName name="kaka" localSheetId="7" hidden="1">{#N/A,#N/A,FALSE,"Pag.01"}</definedName>
    <definedName name="kaka" hidden="1">{#N/A,#N/A,FALSE,"Pag.01"}</definedName>
    <definedName name="kg" localSheetId="3" hidden="1">{#N/A,#N/A,FALSE,"model"}</definedName>
    <definedName name="kg" localSheetId="7" hidden="1">{#N/A,#N/A,FALSE,"model"}</definedName>
    <definedName name="kg" hidden="1">{#N/A,#N/A,FALSE,"model"}</definedName>
    <definedName name="kh" localSheetId="3"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kh" localSheetId="7"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kh"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kinjs" localSheetId="3" hidden="1">{"detail",#N/A,FALSE,"mfg";"summary",#N/A,FALSE,"mfg"}</definedName>
    <definedName name="kinjs" localSheetId="7" hidden="1">{"detail",#N/A,FALSE,"mfg";"summary",#N/A,FALSE,"mfg"}</definedName>
    <definedName name="kinjs" hidden="1">{"detail",#N/A,FALSE,"mfg";"summary",#N/A,FALSE,"mfg"}</definedName>
    <definedName name="kip" localSheetId="3" hidden="1">{"detail",#N/A,FALSE,"mfg";"summary",#N/A,FALSE,"mfg"}</definedName>
    <definedName name="kip" localSheetId="7" hidden="1">{"detail",#N/A,FALSE,"mfg";"summary",#N/A,FALSE,"mfg"}</definedName>
    <definedName name="kip" hidden="1">{"detail",#N/A,FALSE,"mfg";"summary",#N/A,FALSE,"mfg"}</definedName>
    <definedName name="kjg" localSheetId="3"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g" localSheetId="7"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g"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hg" localSheetId="3" hidden="1">{"ICD Details",#N/A,FALSE,"Current Yr";"ICD Details",#N/A,FALSE,"Budget";"ICD Details",#N/A,FALSE,"Prior Year"}</definedName>
    <definedName name="kjhg" localSheetId="7" hidden="1">{"ICD Details",#N/A,FALSE,"Current Yr";"ICD Details",#N/A,FALSE,"Budget";"ICD Details",#N/A,FALSE,"Prior Year"}</definedName>
    <definedName name="kjhg" hidden="1">{"ICD Details",#N/A,FALSE,"Current Yr";"ICD Details",#N/A,FALSE,"Budget";"ICD Details",#N/A,FALSE,"Prior Year"}</definedName>
    <definedName name="kjip" localSheetId="3" hidden="1">{"detail",#N/A,FALSE,"mfg";"summary",#N/A,FALSE,"mfg"}</definedName>
    <definedName name="kjip" localSheetId="7" hidden="1">{"detail",#N/A,FALSE,"mfg";"summary",#N/A,FALSE,"mfg"}</definedName>
    <definedName name="kjip" hidden="1">{"detail",#N/A,FALSE,"mfg";"summary",#N/A,FALSE,"mfg"}</definedName>
    <definedName name="kjk.l" localSheetId="3" hidden="1">{#N/A,#N/A,FALSE,"Produkte Erw.";#N/A,#N/A,FALSE,"Produkte Plan";#N/A,#N/A,FALSE,"Leistungen Erw.";#N/A,#N/A,FALSE,"Leistungen Plan";#N/A,#N/A,FALSE,"KA Allg.Kosten (2)";#N/A,#N/A,FALSE,"KA All.Kosten"}</definedName>
    <definedName name="kjk.l" localSheetId="7" hidden="1">{#N/A,#N/A,FALSE,"Produkte Erw.";#N/A,#N/A,FALSE,"Produkte Plan";#N/A,#N/A,FALSE,"Leistungen Erw.";#N/A,#N/A,FALSE,"Leistungen Plan";#N/A,#N/A,FALSE,"KA Allg.Kosten (2)";#N/A,#N/A,FALSE,"KA All.Kosten"}</definedName>
    <definedName name="kjk.l" hidden="1">{#N/A,#N/A,FALSE,"Produkte Erw.";#N/A,#N/A,FALSE,"Produkte Plan";#N/A,#N/A,FALSE,"Leistungen Erw.";#N/A,#N/A,FALSE,"Leistungen Plan";#N/A,#N/A,FALSE,"KA Allg.Kosten (2)";#N/A,#N/A,FALSE,"KA All.Kosten"}</definedName>
    <definedName name="kjljkölhklh" localSheetId="3" hidden="1">{#N/A,#N/A,FALSE,"Produkte Erw.";#N/A,#N/A,FALSE,"Produkte Plan";#N/A,#N/A,FALSE,"Leistungen Erw.";#N/A,#N/A,FALSE,"Leistungen Plan";#N/A,#N/A,FALSE,"KA Allg.Kosten (2)";#N/A,#N/A,FALSE,"KA All.Kosten"}</definedName>
    <definedName name="kjljkölhklh" localSheetId="7" hidden="1">{#N/A,#N/A,FALSE,"Produkte Erw.";#N/A,#N/A,FALSE,"Produkte Plan";#N/A,#N/A,FALSE,"Leistungen Erw.";#N/A,#N/A,FALSE,"Leistungen Plan";#N/A,#N/A,FALSE,"KA Allg.Kosten (2)";#N/A,#N/A,FALSE,"KA All.Kosten"}</definedName>
    <definedName name="kjljkölhklh" hidden="1">{#N/A,#N/A,FALSE,"Produkte Erw.";#N/A,#N/A,FALSE,"Produkte Plan";#N/A,#N/A,FALSE,"Leistungen Erw.";#N/A,#N/A,FALSE,"Leistungen Plan";#N/A,#N/A,FALSE,"KA Allg.Kosten (2)";#N/A,#N/A,FALSE,"KA All.Kosten"}</definedName>
    <definedName name="kk" localSheetId="3" hidden="1">{"P&amp;L US$",#N/A,FALSE,"PL REPROG";"MONTH U$",#N/A,FALSE,"MONTH";"YTD U$",#N/A,FALSE,"YTD";"FULL YEAR U$",#N/A,FALSE,"FULL YEAR";"FORECAST U$",#N/A,FALSE,"FULL YEAR";"REMAINING MONTHS U$",#N/A,FALSE,"2DO SEMESTRE";"OPERATING INCOME ANALISYS DOLARES",#N/A,FALSE,"OPER INC VAR ANALISYS";"NET INCOME ANALISYS DOLARES",#N/A,FALSE,"OPER INC VAR ANALISYS";"FCF YTD U$",#N/A,FALSE,"FREE CASH FLOW";"FCF FULL YEAR U$",#N/A,FALSE,"FREE CASH FLOW";"NET FCF U$",#N/A,FALSE,"FREE CASH FLOW (2)"}</definedName>
    <definedName name="kk" localSheetId="7" hidden="1">{"P&amp;L US$",#N/A,FALSE,"PL REPROG";"MONTH U$",#N/A,FALSE,"MONTH";"YTD U$",#N/A,FALSE,"YTD";"FULL YEAR U$",#N/A,FALSE,"FULL YEAR";"FORECAST U$",#N/A,FALSE,"FULL YEAR";"REMAINING MONTHS U$",#N/A,FALSE,"2DO SEMESTRE";"OPERATING INCOME ANALISYS DOLARES",#N/A,FALSE,"OPER INC VAR ANALISYS";"NET INCOME ANALISYS DOLARES",#N/A,FALSE,"OPER INC VAR ANALISYS";"FCF YTD U$",#N/A,FALSE,"FREE CASH FLOW";"FCF FULL YEAR U$",#N/A,FALSE,"FREE CASH FLOW";"NET FCF U$",#N/A,FALSE,"FREE CASH FLOW (2)"}</definedName>
    <definedName name="kk" hidden="1">{"P&amp;L US$",#N/A,FALSE,"PL REPROG";"MONTH U$",#N/A,FALSE,"MONTH";"YTD U$",#N/A,FALSE,"YTD";"FULL YEAR U$",#N/A,FALSE,"FULL YEAR";"FORECAST U$",#N/A,FALSE,"FULL YEAR";"REMAINING MONTHS U$",#N/A,FALSE,"2DO SEMESTRE";"OPERATING INCOME ANALISYS DOLARES",#N/A,FALSE,"OPER INC VAR ANALISYS";"NET INCOME ANALISYS DOLARES",#N/A,FALSE,"OPER INC VAR ANALISYS";"FCF YTD U$",#N/A,FALSE,"FREE CASH FLOW";"FCF FULL YEAR U$",#N/A,FALSE,"FREE CASH FLOW";"NET FCF U$",#N/A,FALSE,"FREE CASH FLOW (2)"}</definedName>
    <definedName name="kk.l" localSheetId="3" hidden="1">{#N/A,#N/A,FALSE,"Produkte Erw.";#N/A,#N/A,FALSE,"Produkte Plan";#N/A,#N/A,FALSE,"Leistungen Erw.";#N/A,#N/A,FALSE,"Leistungen Plan";#N/A,#N/A,FALSE,"KA Allg.Kosten (2)";#N/A,#N/A,FALSE,"KA All.Kosten"}</definedName>
    <definedName name="kk.l" localSheetId="7" hidden="1">{#N/A,#N/A,FALSE,"Produkte Erw.";#N/A,#N/A,FALSE,"Produkte Plan";#N/A,#N/A,FALSE,"Leistungen Erw.";#N/A,#N/A,FALSE,"Leistungen Plan";#N/A,#N/A,FALSE,"KA Allg.Kosten (2)";#N/A,#N/A,FALSE,"KA All.Kosten"}</definedName>
    <definedName name="kk.l" hidden="1">{#N/A,#N/A,FALSE,"Produkte Erw.";#N/A,#N/A,FALSE,"Produkte Plan";#N/A,#N/A,FALSE,"Leistungen Erw.";#N/A,#N/A,FALSE,"Leistungen Plan";#N/A,#N/A,FALSE,"KA Allg.Kosten (2)";#N/A,#N/A,FALSE,"KA All.Kosten"}</definedName>
    <definedName name="kkk" localSheetId="3" hidden="1">{#N/A,#N/A,FALSE,"Pharm";#N/A,#N/A,FALSE,"WWCM"}</definedName>
    <definedName name="kkk" localSheetId="7" hidden="1">{#N/A,#N/A,FALSE,"Pharm";#N/A,#N/A,FALSE,"WWCM"}</definedName>
    <definedName name="kkk" hidden="1">{#N/A,#N/A,FALSE,"Pharm";#N/A,#N/A,FALSE,"WWCM"}</definedName>
    <definedName name="kkk.llll" localSheetId="3" hidden="1">{#N/A,#N/A,FALSE,"Umsatz CH";#N/A,#N/A,FALSE,"ER CH";#N/A,#N/A,FALSE,"EA CH (2) ";#N/A,#N/A,FALSE,"EA CH";#N/A,#N/A,FALSE,"EA CH (3) ";#N/A,#N/A,FALSE,"EA CH (4)";#N/A,#N/A,FALSE,"KA CH";#N/A,#N/A,FALSE,"KA CH  (2)";#N/A,#N/A,FALSE,"KA CH  (3)";#N/A,#N/A,FALSE,"KA CH (4)"}</definedName>
    <definedName name="kkk.llll" localSheetId="7" hidden="1">{#N/A,#N/A,FALSE,"Umsatz CH";#N/A,#N/A,FALSE,"ER CH";#N/A,#N/A,FALSE,"EA CH (2) ";#N/A,#N/A,FALSE,"EA CH";#N/A,#N/A,FALSE,"EA CH (3) ";#N/A,#N/A,FALSE,"EA CH (4)";#N/A,#N/A,FALSE,"KA CH";#N/A,#N/A,FALSE,"KA CH  (2)";#N/A,#N/A,FALSE,"KA CH  (3)";#N/A,#N/A,FALSE,"KA CH (4)"}</definedName>
    <definedName name="kkk.llll" hidden="1">{#N/A,#N/A,FALSE,"Umsatz CH";#N/A,#N/A,FALSE,"ER CH";#N/A,#N/A,FALSE,"EA CH (2) ";#N/A,#N/A,FALSE,"EA CH";#N/A,#N/A,FALSE,"EA CH (3) ";#N/A,#N/A,FALSE,"EA CH (4)";#N/A,#N/A,FALSE,"KA CH";#N/A,#N/A,FALSE,"KA CH  (2)";#N/A,#N/A,FALSE,"KA CH  (3)";#N/A,#N/A,FALSE,"KA CH (4)"}</definedName>
    <definedName name="kkkk.llll" localSheetId="3" hidden="1">{#N/A,#N/A,FALSE,"Umsatz 99";#N/A,#N/A,FALSE,"ER 99 "}</definedName>
    <definedName name="kkkk.llll" localSheetId="7" hidden="1">{#N/A,#N/A,FALSE,"Umsatz 99";#N/A,#N/A,FALSE,"ER 99 "}</definedName>
    <definedName name="kkkk.llll" hidden="1">{#N/A,#N/A,FALSE,"Umsatz 99";#N/A,#N/A,FALSE,"ER 99 "}</definedName>
    <definedName name="kljk" localSheetId="3" hidden="1">{#N/A,#N/A,FALSE,"Umsatz CH";#N/A,#N/A,FALSE,"ER CH";#N/A,#N/A,FALSE,"EA CH (2) ";#N/A,#N/A,FALSE,"EA CH";#N/A,#N/A,FALSE,"EA CH (3) ";#N/A,#N/A,FALSE,"EA CH (4)";#N/A,#N/A,FALSE,"KA CH";#N/A,#N/A,FALSE,"KA CH  (2)";#N/A,#N/A,FALSE,"KA CH  (3)";#N/A,#N/A,FALSE,"KA CH (4)"}</definedName>
    <definedName name="kljk" localSheetId="7" hidden="1">{#N/A,#N/A,FALSE,"Umsatz CH";#N/A,#N/A,FALSE,"ER CH";#N/A,#N/A,FALSE,"EA CH (2) ";#N/A,#N/A,FALSE,"EA CH";#N/A,#N/A,FALSE,"EA CH (3) ";#N/A,#N/A,FALSE,"EA CH (4)";#N/A,#N/A,FALSE,"KA CH";#N/A,#N/A,FALSE,"KA CH  (2)";#N/A,#N/A,FALSE,"KA CH  (3)";#N/A,#N/A,FALSE,"KA CH (4)"}</definedName>
    <definedName name="kljk" hidden="1">{#N/A,#N/A,FALSE,"Umsatz CH";#N/A,#N/A,FALSE,"ER CH";#N/A,#N/A,FALSE,"EA CH (2) ";#N/A,#N/A,FALSE,"EA CH";#N/A,#N/A,FALSE,"EA CH (3) ";#N/A,#N/A,FALSE,"EA CH (4)";#N/A,#N/A,FALSE,"KA CH";#N/A,#N/A,FALSE,"KA CH  (2)";#N/A,#N/A,FALSE,"KA CH  (3)";#N/A,#N/A,FALSE,"KA CH (4)"}</definedName>
    <definedName name="kljklkj" localSheetId="3" hidden="1">{#N/A,#N/A,FALSE,"KA CH  (2)"}</definedName>
    <definedName name="kljklkj" localSheetId="7" hidden="1">{#N/A,#N/A,FALSE,"KA CH  (2)"}</definedName>
    <definedName name="kljklkj" hidden="1">{#N/A,#N/A,FALSE,"KA CH  (2)"}</definedName>
    <definedName name="klk" localSheetId="3" hidden="1">{#N/A,#N/A,FALSE,"Umsatz CH";#N/A,#N/A,FALSE,"ER CH";#N/A,#N/A,FALSE,"EA CH (2) ";#N/A,#N/A,FALSE,"EA CH";#N/A,#N/A,FALSE,"EA CH (3) ";#N/A,#N/A,FALSE,"EA CH (4)";#N/A,#N/A,FALSE,"KA CH";#N/A,#N/A,FALSE,"KA CH  (2)";#N/A,#N/A,FALSE,"KA CH  (3)";#N/A,#N/A,FALSE,"KA CH (4)"}</definedName>
    <definedName name="klk" localSheetId="7" hidden="1">{#N/A,#N/A,FALSE,"Umsatz CH";#N/A,#N/A,FALSE,"ER CH";#N/A,#N/A,FALSE,"EA CH (2) ";#N/A,#N/A,FALSE,"EA CH";#N/A,#N/A,FALSE,"EA CH (3) ";#N/A,#N/A,FALSE,"EA CH (4)";#N/A,#N/A,FALSE,"KA CH";#N/A,#N/A,FALSE,"KA CH  (2)";#N/A,#N/A,FALSE,"KA CH  (3)";#N/A,#N/A,FALSE,"KA CH (4)"}</definedName>
    <definedName name="klk" hidden="1">{#N/A,#N/A,FALSE,"Umsatz CH";#N/A,#N/A,FALSE,"ER CH";#N/A,#N/A,FALSE,"EA CH (2) ";#N/A,#N/A,FALSE,"EA CH";#N/A,#N/A,FALSE,"EA CH (3) ";#N/A,#N/A,FALSE,"EA CH (4)";#N/A,#N/A,FALSE,"KA CH";#N/A,#N/A,FALSE,"KA CH  (2)";#N/A,#N/A,FALSE,"KA CH  (3)";#N/A,#N/A,FALSE,"KA CH (4)"}</definedName>
    <definedName name="klkj" localSheetId="3"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j" localSheetId="7"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j"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lkl" localSheetId="3" hidden="1">{#N/A,#N/A,FALSE,"Umsatz 99";#N/A,#N/A,FALSE,"ER 99 "}</definedName>
    <definedName name="klklkl" localSheetId="7" hidden="1">{#N/A,#N/A,FALSE,"Umsatz 99";#N/A,#N/A,FALSE,"ER 99 "}</definedName>
    <definedName name="klklkl" hidden="1">{#N/A,#N/A,FALSE,"Umsatz 99";#N/A,#N/A,FALSE,"ER 99 "}</definedName>
    <definedName name="klñ" localSheetId="3" hidden="1">{"AS REP",#N/A,FALSE,"EEFSNAP2";"PROP",#N/A,FALSE,"EEFSNAP2";"RISKS",#N/A,FALSE,"EEFSNAP2";"VIEW ALL",#N/A,FALSE,"EEFSNAP2"}</definedName>
    <definedName name="klñ" localSheetId="7" hidden="1">{"AS REP",#N/A,FALSE,"EEFSNAP2";"PROP",#N/A,FALSE,"EEFSNAP2";"RISKS",#N/A,FALSE,"EEFSNAP2";"VIEW ALL",#N/A,FALSE,"EEFSNAP2"}</definedName>
    <definedName name="klñ" hidden="1">{"AS REP",#N/A,FALSE,"EEFSNAP2";"PROP",#N/A,FALSE,"EEFSNAP2";"RISKS",#N/A,FALSE,"EEFSNAP2";"VIEW ALL",#N/A,FALSE,"EEFSNAP2"}</definedName>
    <definedName name="km" localSheetId="3" hidden="1">{"pro_view",#N/A,FALSE,"EEFSNAP2";"rep_view",#N/A,FALSE,"EEFSNAP2"}</definedName>
    <definedName name="km" localSheetId="7" hidden="1">{"pro_view",#N/A,FALSE,"EEFSNAP2";"rep_view",#N/A,FALSE,"EEFSNAP2"}</definedName>
    <definedName name="km" hidden="1">{"pro_view",#N/A,FALSE,"EEFSNAP2";"rep_view",#N/A,FALSE,"EEFSNAP2"}</definedName>
    <definedName name="köäklöl" localSheetId="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öäklöl"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öäklöl"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ou" localSheetId="3" hidden="1">{"detail",#N/A,FALSE,"mfg";"summary",#N/A,FALSE,"mfg"}</definedName>
    <definedName name="kou" localSheetId="7" hidden="1">{"detail",#N/A,FALSE,"mfg";"summary",#N/A,FALSE,"mfg"}</definedName>
    <definedName name="kou" hidden="1">{"detail",#N/A,FALSE,"mfg";"summary",#N/A,FALSE,"mfg"}</definedName>
    <definedName name="kslkjkjlkjd" localSheetId="3" hidden="1">{#N/A,#N/A,FALSE,"REPORT"}</definedName>
    <definedName name="kslkjkjlkjd" localSheetId="7" hidden="1">{#N/A,#N/A,FALSE,"REPORT"}</definedName>
    <definedName name="kslkjkjlkjd" hidden="1">{#N/A,#N/A,FALSE,"REPORT"}</definedName>
    <definedName name="LBOCreditConsol" localSheetId="3" hidden="1">{"FCB_ALL",#N/A,FALSE,"FCB"}</definedName>
    <definedName name="LBOCreditConsol" localSheetId="7" hidden="1">{"FCB_ALL",#N/A,FALSE,"FCB"}</definedName>
    <definedName name="LBOCreditConsol" hidden="1">{"FCB_ALL",#N/A,FALSE,"FCB"}</definedName>
    <definedName name="ldkeir" localSheetId="3" hidden="1">{#N/A,"PURCHM",FALSE,"Business Analysis";#N/A,"SPADD",FALSE,"Business Analysis"}</definedName>
    <definedName name="ldkeir" localSheetId="7" hidden="1">{#N/A,"PURCHM",FALSE,"Business Analysis";#N/A,"SPADD",FALSE,"Business Analysis"}</definedName>
    <definedName name="ldkeir" hidden="1">{#N/A,"PURCHM",FALSE,"Business Analysis";#N/A,"SPADD",FALSE,"Business Analysis"}</definedName>
    <definedName name="lee" localSheetId="3" hidden="1">{#N/A,#N/A,FALSE,"Pharm";#N/A,#N/A,FALSE,"WWCM"}</definedName>
    <definedName name="lee" localSheetId="7" hidden="1">{#N/A,#N/A,FALSE,"Pharm";#N/A,#N/A,FALSE,"WWCM"}</definedName>
    <definedName name="lee" hidden="1">{#N/A,#N/A,FALSE,"Pharm";#N/A,#N/A,FALSE,"WWCM"}</definedName>
    <definedName name="lhjlkjlhklhljl" localSheetId="3" hidden="1">{#N/A,#N/A,FALSE,"PMW Gruppe 99_98";#N/A,#N/A,FALSE,"PMW KG 98_99";#N/A,#N/A,FALSE,"PMW Inc. 99_98";#N/A,#N/A,FALSE,"PMW VTECH 99_98";#N/A,#N/A,FALSE,"PMW Thail. 99_98";#N/A,#N/A,FALSE,"PMW Canada 99_98";#N/A,#N/A,FALSE,"Währungsabw. 99_98"}</definedName>
    <definedName name="lhjlkjlhklhljl" localSheetId="7" hidden="1">{#N/A,#N/A,FALSE,"PMW Gruppe 99_98";#N/A,#N/A,FALSE,"PMW KG 98_99";#N/A,#N/A,FALSE,"PMW Inc. 99_98";#N/A,#N/A,FALSE,"PMW VTECH 99_98";#N/A,#N/A,FALSE,"PMW Thail. 99_98";#N/A,#N/A,FALSE,"PMW Canada 99_98";#N/A,#N/A,FALSE,"Währungsabw. 99_98"}</definedName>
    <definedName name="lhjlkjlhklhljl" hidden="1">{#N/A,#N/A,FALSE,"PMW Gruppe 99_98";#N/A,#N/A,FALSE,"PMW KG 98_99";#N/A,#N/A,FALSE,"PMW Inc. 99_98";#N/A,#N/A,FALSE,"PMW VTECH 99_98";#N/A,#N/A,FALSE,"PMW Thail. 99_98";#N/A,#N/A,FALSE,"PMW Canada 99_98";#N/A,#N/A,FALSE,"Währungsabw. 99_98"}</definedName>
    <definedName name="LIMA" localSheetId="3" hidden="1">{"Cuenta 21 (página 1)",#N/A,FALSE,"21 (1)"}</definedName>
    <definedName name="LIMA" localSheetId="7" hidden="1">{"Cuenta 21 (página 1)",#N/A,FALSE,"21 (1)"}</definedName>
    <definedName name="LIMA" hidden="1">{"Cuenta 21 (página 1)",#N/A,FALSE,"21 (1)"}</definedName>
    <definedName name="limcount" hidden="1">1</definedName>
    <definedName name="lj" localSheetId="3"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 localSheetId="7"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kl" localSheetId="3" hidden="1">{#N/A,#N/A,FALSE,"Umsatz HM";#N/A,#N/A,FALSE,"ER HM";#N/A,#N/A,FALSE,"EA HM  (2)";#N/A,#N/A,FALSE,"EA HM ";#N/A,#N/A,FALSE,"EA HM  (4)";#N/A,#N/A,FALSE,"EA HM  (3)";#N/A,#N/A,FALSE,"KA HM  (2)";#N/A,#N/A,FALSE,"KA HM";#N/A,#N/A,FALSE,"KA HM  (3)";#N/A,#N/A,FALSE,"KA HM (4)"}</definedName>
    <definedName name="ljkl" localSheetId="7" hidden="1">{#N/A,#N/A,FALSE,"Umsatz HM";#N/A,#N/A,FALSE,"ER HM";#N/A,#N/A,FALSE,"EA HM  (2)";#N/A,#N/A,FALSE,"EA HM ";#N/A,#N/A,FALSE,"EA HM  (4)";#N/A,#N/A,FALSE,"EA HM  (3)";#N/A,#N/A,FALSE,"KA HM  (2)";#N/A,#N/A,FALSE,"KA HM";#N/A,#N/A,FALSE,"KA HM  (3)";#N/A,#N/A,FALSE,"KA HM (4)"}</definedName>
    <definedName name="ljkl" hidden="1">{#N/A,#N/A,FALSE,"Umsatz HM";#N/A,#N/A,FALSE,"ER HM";#N/A,#N/A,FALSE,"EA HM  (2)";#N/A,#N/A,FALSE,"EA HM ";#N/A,#N/A,FALSE,"EA HM  (4)";#N/A,#N/A,FALSE,"EA HM  (3)";#N/A,#N/A,FALSE,"KA HM  (2)";#N/A,#N/A,FALSE,"KA HM";#N/A,#N/A,FALSE,"KA HM  (3)";#N/A,#N/A,FALSE,"KA HM (4)"}</definedName>
    <definedName name="ljklk" localSheetId="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jklk"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jklk"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k" hidden="1">#REF!</definedName>
    <definedName name="lkj" localSheetId="3" hidden="1">{"detail",#N/A,FALSE,"mfg";"summary",#N/A,FALSE,"mfg"}</definedName>
    <definedName name="lkj" localSheetId="7" hidden="1">{"detail",#N/A,FALSE,"mfg";"summary",#N/A,FALSE,"mfg"}</definedName>
    <definedName name="lkj" hidden="1">{"detail",#N/A,FALSE,"mfg";"summary",#N/A,FALSE,"mfg"}</definedName>
    <definedName name="lkl" localSheetId="3" hidden="1">{#N/A,#N/A,FALSE,"Umsatz EO BP";#N/A,#N/A,FALSE,"Umsatz EO OP";#N/A,#N/A,FALSE,"ER EO BP";#N/A,#N/A,FALSE,"ER EO OP";#N/A,#N/A,FALSE,"EA EO (2)";#N/A,#N/A,FALSE,"EA EO";#N/A,#N/A,FALSE,"EA EO (3)";#N/A,#N/A,FALSE,"EA EO (4)";#N/A,#N/A,FALSE,"KA EO  (2)";#N/A,#N/A,FALSE,"KA EO";#N/A,#N/A,FALSE,"KA EO  (3)";#N/A,#N/A,FALSE,"KA EO (4)"}</definedName>
    <definedName name="lkl" localSheetId="7" hidden="1">{#N/A,#N/A,FALSE,"Umsatz EO BP";#N/A,#N/A,FALSE,"Umsatz EO OP";#N/A,#N/A,FALSE,"ER EO BP";#N/A,#N/A,FALSE,"ER EO OP";#N/A,#N/A,FALSE,"EA EO (2)";#N/A,#N/A,FALSE,"EA EO";#N/A,#N/A,FALSE,"EA EO (3)";#N/A,#N/A,FALSE,"EA EO (4)";#N/A,#N/A,FALSE,"KA EO  (2)";#N/A,#N/A,FALSE,"KA EO";#N/A,#N/A,FALSE,"KA EO  (3)";#N/A,#N/A,FALSE,"KA EO (4)"}</definedName>
    <definedName name="lkl" hidden="1">{#N/A,#N/A,FALSE,"Umsatz EO BP";#N/A,#N/A,FALSE,"Umsatz EO OP";#N/A,#N/A,FALSE,"ER EO BP";#N/A,#N/A,FALSE,"ER EO OP";#N/A,#N/A,FALSE,"EA EO (2)";#N/A,#N/A,FALSE,"EA EO";#N/A,#N/A,FALSE,"EA EO (3)";#N/A,#N/A,FALSE,"EA EO (4)";#N/A,#N/A,FALSE,"KA EO  (2)";#N/A,#N/A,FALSE,"KA EO";#N/A,#N/A,FALSE,"KA EO  (3)";#N/A,#N/A,FALSE,"KA EO (4)"}</definedName>
    <definedName name="lklk" localSheetId="3" hidden="1">{#N/A,"PURADD",FALSE,"Business Analysis";#N/A,"PURSPP",FALSE,"Business Analysis";#N/A,"CTGIND",FALSE,"Business Analysis";#N/A,"PURCHM",FALSE,"Business Analysis";#N/A,"SPADD",FALSE,"Business Analysis";#N/A,"EPOXY",FALSE,"Business Analysis";#N/A,"PURPER",FALSE,"Business Analysis"}</definedName>
    <definedName name="lklk" localSheetId="7" hidden="1">{#N/A,"PURADD",FALSE,"Business Analysis";#N/A,"PURSPP",FALSE,"Business Analysis";#N/A,"CTGIND",FALSE,"Business Analysis";#N/A,"PURCHM",FALSE,"Business Analysis";#N/A,"SPADD",FALSE,"Business Analysis";#N/A,"EPOXY",FALSE,"Business Analysis";#N/A,"PURPER",FALSE,"Business Analysis"}</definedName>
    <definedName name="lklk" hidden="1">{#N/A,"PURADD",FALSE,"Business Analysis";#N/A,"PURSPP",FALSE,"Business Analysis";#N/A,"CTGIND",FALSE,"Business Analysis";#N/A,"PURCHM",FALSE,"Business Analysis";#N/A,"SPADD",FALSE,"Business Analysis";#N/A,"EPOXY",FALSE,"Business Analysis";#N/A,"PURPER",FALSE,"Business Analysis"}</definedName>
    <definedName name="lkmn" localSheetId="3" hidden="1">{"summary",#N/A,FALSE,"summary";"sales growth",#N/A,FALSE,"summary";"oper income",#N/A,FALSE,"summary";"oros rank",#N/A,FALSE,"summary";"net assets",#N/A,FALSE,"summary";"asset turnover",#N/A,FALSE,"summary";"orona",#N/A,FALSE,"summary";"total return",#N/A,FALSE,"summary";"overview",#N/A,FALSE,"summary"}</definedName>
    <definedName name="lkmn" localSheetId="7" hidden="1">{"summary",#N/A,FALSE,"summary";"sales growth",#N/A,FALSE,"summary";"oper income",#N/A,FALSE,"summary";"oros rank",#N/A,FALSE,"summary";"net assets",#N/A,FALSE,"summary";"asset turnover",#N/A,FALSE,"summary";"orona",#N/A,FALSE,"summary";"total return",#N/A,FALSE,"summary";"overview",#N/A,FALSE,"summary"}</definedName>
    <definedName name="lkmn" hidden="1">{"summary",#N/A,FALSE,"summary";"sales growth",#N/A,FALSE,"summary";"oper income",#N/A,FALSE,"summary";"oros rank",#N/A,FALSE,"summary";"net assets",#N/A,FALSE,"summary";"asset turnover",#N/A,FALSE,"summary";"orona",#N/A,FALSE,"summary";"total return",#N/A,FALSE,"summary";"overview",#N/A,FALSE,"summary"}</definedName>
    <definedName name="lko0" localSheetId="3" hidden="1">{#N/A,#N/A,FALSE,"PMW Gruppe 99_98";#N/A,#N/A,FALSE,"PMW KG 98_99";#N/A,#N/A,FALSE,"PMW Inc. 99_98";#N/A,#N/A,FALSE,"PMW VTECH 99_98";#N/A,#N/A,FALSE,"PMW Thail. 99_98";#N/A,#N/A,FALSE,"PMW Canada 99_98";#N/A,#N/A,FALSE,"Währungsabw. 99_98"}</definedName>
    <definedName name="lko0" localSheetId="7" hidden="1">{#N/A,#N/A,FALSE,"PMW Gruppe 99_98";#N/A,#N/A,FALSE,"PMW KG 98_99";#N/A,#N/A,FALSE,"PMW Inc. 99_98";#N/A,#N/A,FALSE,"PMW VTECH 99_98";#N/A,#N/A,FALSE,"PMW Thail. 99_98";#N/A,#N/A,FALSE,"PMW Canada 99_98";#N/A,#N/A,FALSE,"Währungsabw. 99_98"}</definedName>
    <definedName name="lko0" hidden="1">{#N/A,#N/A,FALSE,"PMW Gruppe 99_98";#N/A,#N/A,FALSE,"PMW KG 98_99";#N/A,#N/A,FALSE,"PMW Inc. 99_98";#N/A,#N/A,FALSE,"PMW VTECH 99_98";#N/A,#N/A,FALSE,"PMW Thail. 99_98";#N/A,#N/A,FALSE,"PMW Canada 99_98";#N/A,#N/A,FALSE,"Währungsabw. 99_98"}</definedName>
    <definedName name="ll" localSheetId="3" hidden="1">{#N/A,"Mine Allocated, Keep AC",FALSE,"Stream INPUTS";#N/A,"All Preferred, Sell AC",FALSE,"Stream INPUTS";#N/A,"Step Up, Sell AC",FALSE,"Stream INPUTS";#N/A,"All Preferred, BRONCO buys AC",FALSE,"Stream INPUTS"}</definedName>
    <definedName name="ll" localSheetId="7" hidden="1">{#N/A,"Mine Allocated, Keep AC",FALSE,"Stream INPUTS";#N/A,"All Preferred, Sell AC",FALSE,"Stream INPUTS";#N/A,"Step Up, Sell AC",FALSE,"Stream INPUTS";#N/A,"All Preferred, BRONCO buys AC",FALSE,"Stream INPUTS"}</definedName>
    <definedName name="ll" hidden="1">{#N/A,"Mine Allocated, Keep AC",FALSE,"Stream INPUTS";#N/A,"All Preferred, Sell AC",FALSE,"Stream INPUTS";#N/A,"Step Up, Sell AC",FALSE,"Stream INPUTS";#N/A,"All Preferred, BRONCO buys AC",FALSE,"Stream INPUTS"}</definedName>
    <definedName name="ll.l" localSheetId="3" hidden="1">{#N/A,#N/A,FALSE,"Produkte Erw.";#N/A,#N/A,FALSE,"Produkte Plan";#N/A,#N/A,FALSE,"Leistungen Erw.";#N/A,#N/A,FALSE,"Leistungen Plan";#N/A,#N/A,FALSE,"KA Allg.Kosten (2)";#N/A,#N/A,FALSE,"KA All.Kosten"}</definedName>
    <definedName name="ll.l" localSheetId="7" hidden="1">{#N/A,#N/A,FALSE,"Produkte Erw.";#N/A,#N/A,FALSE,"Produkte Plan";#N/A,#N/A,FALSE,"Leistungen Erw.";#N/A,#N/A,FALSE,"Leistungen Plan";#N/A,#N/A,FALSE,"KA Allg.Kosten (2)";#N/A,#N/A,FALSE,"KA All.Kosten"}</definedName>
    <definedName name="ll.l" hidden="1">{#N/A,#N/A,FALSE,"Produkte Erw.";#N/A,#N/A,FALSE,"Produkte Plan";#N/A,#N/A,FALSE,"Leistungen Erw.";#N/A,#N/A,FALSE,"Leistungen Plan";#N/A,#N/A,FALSE,"KA Allg.Kosten (2)";#N/A,#N/A,FALSE,"KA All.Kosten"}</definedName>
    <definedName name="llk" localSheetId="3" hidden="1">{"pro_view",#N/A,FALSE,"EEFSNAP2";"rep_view",#N/A,FALSE,"EEFSNAP2"}</definedName>
    <definedName name="llk" localSheetId="7" hidden="1">{"pro_view",#N/A,FALSE,"EEFSNAP2";"rep_view",#N/A,FALSE,"EEFSNAP2"}</definedName>
    <definedName name="llk" hidden="1">{"pro_view",#N/A,FALSE,"EEFSNAP2";"rep_view",#N/A,FALSE,"EEFSNAP2"}</definedName>
    <definedName name="lll" localSheetId="3" hidden="1">{#N/A,#N/A,FALSE,"Umsatz CH";#N/A,#N/A,FALSE,"ER CH";#N/A,#N/A,FALSE,"EA CH (2) ";#N/A,#N/A,FALSE,"EA CH";#N/A,#N/A,FALSE,"EA CH (3) ";#N/A,#N/A,FALSE,"EA CH (4)";#N/A,#N/A,FALSE,"KA CH";#N/A,#N/A,FALSE,"KA CH  (2)";#N/A,#N/A,FALSE,"KA CH  (3)";#N/A,#N/A,FALSE,"KA CH (4)"}</definedName>
    <definedName name="lll" localSheetId="7" hidden="1">{#N/A,#N/A,FALSE,"Umsatz CH";#N/A,#N/A,FALSE,"ER CH";#N/A,#N/A,FALSE,"EA CH (2) ";#N/A,#N/A,FALSE,"EA CH";#N/A,#N/A,FALSE,"EA CH (3) ";#N/A,#N/A,FALSE,"EA CH (4)";#N/A,#N/A,FALSE,"KA CH";#N/A,#N/A,FALSE,"KA CH  (2)";#N/A,#N/A,FALSE,"KA CH  (3)";#N/A,#N/A,FALSE,"KA CH (4)"}</definedName>
    <definedName name="lll" hidden="1">{#N/A,#N/A,FALSE,"Umsatz CH";#N/A,#N/A,FALSE,"ER CH";#N/A,#N/A,FALSE,"EA CH (2) ";#N/A,#N/A,FALSE,"EA CH";#N/A,#N/A,FALSE,"EA CH (3) ";#N/A,#N/A,FALSE,"EA CH (4)";#N/A,#N/A,FALSE,"KA CH";#N/A,#N/A,FALSE,"KA CH  (2)";#N/A,#N/A,FALSE,"KA CH  (3)";#N/A,#N/A,FALSE,"KA CH (4)"}</definedName>
    <definedName name="llllll" localSheetId="3" hidden="1">{"detail",#N/A,FALSE,"mfg";"summary",#N/A,FALSE,"mfg"}</definedName>
    <definedName name="llllll" localSheetId="7" hidden="1">{"detail",#N/A,FALSE,"mfg";"summary",#N/A,FALSE,"mfg"}</definedName>
    <definedName name="llllll" hidden="1">{"detail",#N/A,FALSE,"mfg";"summary",#N/A,FALSE,"mfg"}</definedName>
    <definedName name="llp" localSheetId="3" hidden="1">{"YD LPH2",#N/A,FALSE,"YTD"}</definedName>
    <definedName name="llp" localSheetId="7" hidden="1">{"YD LPH2",#N/A,FALSE,"YTD"}</definedName>
    <definedName name="llp" hidden="1">{"YD LPH2",#N/A,FALSE,"YTD"}</definedName>
    <definedName name="lñ" localSheetId="3" hidden="1">{"sales growth",#N/A,FALSE,"summary";"oper income",#N/A,FALSE,"summary";"oros rank",#N/A,FALSE,"summary";"net assets",#N/A,FALSE,"summary";"asset turnover",#N/A,FALSE,"summary";"orona",#N/A,FALSE,"summary"}</definedName>
    <definedName name="lñ" localSheetId="7" hidden="1">{"sales growth",#N/A,FALSE,"summary";"oper income",#N/A,FALSE,"summary";"oros rank",#N/A,FALSE,"summary";"net assets",#N/A,FALSE,"summary";"asset turnover",#N/A,FALSE,"summary";"orona",#N/A,FALSE,"summary"}</definedName>
    <definedName name="lñ" hidden="1">{"sales growth",#N/A,FALSE,"summary";"oper income",#N/A,FALSE,"summary";"oros rank",#N/A,FALSE,"summary";"net assets",#N/A,FALSE,"summary";"asset turnover",#N/A,FALSE,"summary";"orona",#N/A,FALSE,"summary"}</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p" localSheetId="3" hidden="1">{"detail",#N/A,FALSE,"mfg";"summary",#N/A,FALSE,"mfg"}</definedName>
    <definedName name="lop" localSheetId="7" hidden="1">{"detail",#N/A,FALSE,"mfg";"summary",#N/A,FALSE,"mfg"}</definedName>
    <definedName name="lop" hidden="1">{"detail",#N/A,FALSE,"mfg";"summary",#N/A,FALSE,"mfg"}</definedName>
    <definedName name="lpok" localSheetId="3" hidden="1">{#N/A,"PURADD",FALSE,"Business Analysis";#N/A,"PURSPP",FALSE,"Business Analysis";#N/A,"CTGIND",FALSE,"Business Analysis";#N/A,"PURCHM",FALSE,"Business Analysis";#N/A,"SPADD",FALSE,"Business Analysis";#N/A,"EPOXY",FALSE,"Business Analysis";#N/A,"PURPER",FALSE,"Business Analysis"}</definedName>
    <definedName name="lpok" localSheetId="7" hidden="1">{#N/A,"PURADD",FALSE,"Business Analysis";#N/A,"PURSPP",FALSE,"Business Analysis";#N/A,"CTGIND",FALSE,"Business Analysis";#N/A,"PURCHM",FALSE,"Business Analysis";#N/A,"SPADD",FALSE,"Business Analysis";#N/A,"EPOXY",FALSE,"Business Analysis";#N/A,"PURPER",FALSE,"Business Analysis"}</definedName>
    <definedName name="lpok" hidden="1">{#N/A,"PURADD",FALSE,"Business Analysis";#N/A,"PURSPP",FALSE,"Business Analysis";#N/A,"CTGIND",FALSE,"Business Analysis";#N/A,"PURCHM",FALSE,"Business Analysis";#N/A,"SPADD",FALSE,"Business Analysis";#N/A,"EPOXY",FALSE,"Business Analysis";#N/A,"PURPER",FALSE,"Business Analysis"}</definedName>
    <definedName name="luj" localSheetId="3" hidden="1">{#N/A,#N/A,FALSE,"model"}</definedName>
    <definedName name="luj" localSheetId="7" hidden="1">{#N/A,#N/A,FALSE,"model"}</definedName>
    <definedName name="luj" hidden="1">{#N/A,#N/A,FALSE,"model"}</definedName>
    <definedName name="m" localSheetId="3" hidden="1">{#N/A,#N/A,FALSE,"CNS";#N/A,#N/A,FALSE,"Serz";#N/A,#N/A,FALSE,"Ace"}</definedName>
    <definedName name="m" localSheetId="7" hidden="1">{#N/A,#N/A,FALSE,"CNS";#N/A,#N/A,FALSE,"Serz";#N/A,#N/A,FALSE,"Ace"}</definedName>
    <definedName name="m" hidden="1">{#N/A,#N/A,FALSE,"CNS";#N/A,#N/A,FALSE,"Serz";#N/A,#N/A,FALSE,"Ace"}</definedName>
    <definedName name="M_PlaceofPath" hidden="1">"\\SNYCEQT0100\HOME\LZURLO\DATA\TELMEX\Models\tmx_vdf.xls"</definedName>
    <definedName name="maji" localSheetId="3" hidden="1">{"detail",#N/A,FALSE,"mfg";"summary",#N/A,FALSE,"mfg"}</definedName>
    <definedName name="maji" localSheetId="7" hidden="1">{"detail",#N/A,FALSE,"mfg";"summary",#N/A,FALSE,"mfg"}</definedName>
    <definedName name="maji" hidden="1">{"detail",#N/A,FALSE,"mfg";"summary",#N/A,FALSE,"mfg"}</definedName>
    <definedName name="mar" localSheetId="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 localSheetId="7"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ket" localSheetId="3" hidden="1">{#N/A,"70% Success",FALSE,"Sales Forecast";#N/A,#N/A,FALSE,"Sheet2"}</definedName>
    <definedName name="market" localSheetId="7" hidden="1">{#N/A,"70% Success",FALSE,"Sales Forecast";#N/A,#N/A,FALSE,"Sheet2"}</definedName>
    <definedName name="market" hidden="1">{#N/A,"70% Success",FALSE,"Sales Forecast";#N/A,#N/A,FALSE,"Sheet2"}</definedName>
    <definedName name="marzo1" localSheetId="3" hidden="1">{#N/A,#N/A,FALSE,"Acum Julio - 00"}</definedName>
    <definedName name="marzo1" localSheetId="7" hidden="1">{#N/A,#N/A,FALSE,"Acum Julio - 00"}</definedName>
    <definedName name="marzo1" hidden="1">{#N/A,#N/A,FALSE,"Acum Julio - 00"}</definedName>
    <definedName name="meoi" localSheetId="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 localSheetId="7"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foew" localSheetId="3" hidden="1">{#N/A,"PURCHM",FALSE,"Business Analysis";#N/A,"SPADD",FALSE,"Business Analysis"}</definedName>
    <definedName name="mfoew" localSheetId="7" hidden="1">{#N/A,"PURCHM",FALSE,"Business Analysis";#N/A,"SPADD",FALSE,"Business Analysis"}</definedName>
    <definedName name="mfoew" hidden="1">{#N/A,"PURCHM",FALSE,"Business Analysis";#N/A,"SPADD",FALSE,"Business Analysis"}</definedName>
    <definedName name="min" localSheetId="3" hidden="1">{#N/A,#N/A,FALSE,"REPORT"}</definedName>
    <definedName name="min" localSheetId="7" hidden="1">{#N/A,#N/A,FALSE,"REPORT"}</definedName>
    <definedName name="min" hidden="1">{#N/A,#N/A,FALSE,"REPORT"}</definedName>
    <definedName name="mina" localSheetId="3" hidden="1">{#N/A,#N/A,FALSE,"REPORT"}</definedName>
    <definedName name="mina" localSheetId="7" hidden="1">{#N/A,#N/A,FALSE,"REPORT"}</definedName>
    <definedName name="mina" hidden="1">{#N/A,#N/A,FALSE,"REPORT"}</definedName>
    <definedName name="miwukls" localSheetId="3" hidden="1">{"detail",#N/A,FALSE,"mfg";"summary",#N/A,FALSE,"mfg"}</definedName>
    <definedName name="miwukls" localSheetId="7" hidden="1">{"detail",#N/A,FALSE,"mfg";"summary",#N/A,FALSE,"mfg"}</definedName>
    <definedName name="miwukls" hidden="1">{"detail",#N/A,FALSE,"mfg";"summary",#N/A,FALSE,"mfg"}</definedName>
    <definedName name="mj" localSheetId="3"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mj" localSheetId="7"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mj"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mk" localSheetId="3" hidden="1">{"detail",#N/A,FALSE,"mfg";"summary",#N/A,FALSE,"mfg"}</definedName>
    <definedName name="mk" localSheetId="7" hidden="1">{"detail",#N/A,FALSE,"mfg";"summary",#N/A,FALSE,"mfg"}</definedName>
    <definedName name="mk" hidden="1">{"detail",#N/A,FALSE,"mfg";"summary",#N/A,FALSE,"mfg"}</definedName>
    <definedName name="mkl" localSheetId="3" hidden="1">{"pro_view",#N/A,FALSE,"EEFSNAP2";"rep_view",#N/A,FALSE,"EEFSNAP2"}</definedName>
    <definedName name="mkl" localSheetId="7" hidden="1">{"pro_view",#N/A,FALSE,"EEFSNAP2";"rep_view",#N/A,FALSE,"EEFSNAP2"}</definedName>
    <definedName name="mkl" hidden="1">{"pro_view",#N/A,FALSE,"EEFSNAP2";"rep_view",#N/A,FALSE,"EEFSNAP2"}</definedName>
    <definedName name="MLNK0fb6a9d857484c59bca1fbf1e4f2bec1" hidden="1">#REF!</definedName>
    <definedName name="MLNK60b0c315d61444e6b76e3d72b0acc7e1" hidden="1">'[2]Page 3'!#REF!</definedName>
    <definedName name="MLNK63fefae3e78141be95c2f448a6018285" hidden="1">'[2]Page 3'!#REF!</definedName>
    <definedName name="MLNK67fff4c76cb442d2af9179489dd8e04c" hidden="1">#REF!</definedName>
    <definedName name="MLNK79a7f05c5672415384468fc0c24f97db" hidden="1">'[2]Page 3'!#REF!</definedName>
    <definedName name="MLNK87f28598cd2e4322b47f7f7649d0a1f9" hidden="1">'[2]Page 3'!#REF!</definedName>
    <definedName name="MLNKaa6edddff8a64956adf216166afff6fc" hidden="1">'[2]Page 3'!#REF!</definedName>
    <definedName name="MLNKb266c32e6b334056b3240a4fc210c752" hidden="1">'[2]Page 3'!#REF!</definedName>
    <definedName name="MLNKd2208d89573a493c9e58580ed659d8f3" hidden="1">#REF!</definedName>
    <definedName name="MLNKdf26bca52cbc496fa2d5b824c5fc38a3" hidden="1">#REF!</definedName>
    <definedName name="MLNKfa21276d7df040a18e8c2c0129ff0d6b" hidden="1">#REF!</definedName>
    <definedName name="MLNKfc28bf8548134f7b9c538167167b2091" hidden="1">#REF!</definedName>
    <definedName name="MLNKfd97ae2465664ea88532f69c6ca3c5f9" hidden="1">#REF!</definedName>
    <definedName name="mlw" localSheetId="3" hidden="1">{#N/A,#N/A,FALSE,"Pharm";#N/A,#N/A,FALSE,"WWCM"}</definedName>
    <definedName name="mlw" localSheetId="7" hidden="1">{#N/A,#N/A,FALSE,"Pharm";#N/A,#N/A,FALSE,"WWCM"}</definedName>
    <definedName name="mlw" hidden="1">{#N/A,#N/A,FALSE,"Pharm";#N/A,#N/A,FALSE,"WWCM"}</definedName>
    <definedName name="mm" localSheetId="3" hidden="1">{"vol data",#N/A,FALSE,"Datasheet";"vol graph",#N/A,FALSE,"Volume";"price data",#N/A,FALSE,"Datasheet";"price graph",#N/A,FALSE,"Price";"dp data",#N/A,FALSE,"Datasheet";"dp graph",#N/A,FALSE,"DirectProfit"}</definedName>
    <definedName name="mm" localSheetId="7" hidden="1">{"vol data",#N/A,FALSE,"Datasheet";"vol graph",#N/A,FALSE,"Volume";"price data",#N/A,FALSE,"Datasheet";"price graph",#N/A,FALSE,"Price";"dp data",#N/A,FALSE,"Datasheet";"dp graph",#N/A,FALSE,"DirectProfit"}</definedName>
    <definedName name="mm" hidden="1">{"vol data",#N/A,FALSE,"Datasheet";"vol graph",#N/A,FALSE,"Volume";"price data",#N/A,FALSE,"Datasheet";"price graph",#N/A,FALSE,"Price";"dp data",#N/A,FALSE,"Datasheet";"dp graph",#N/A,FALSE,"DirectProfit"}</definedName>
    <definedName name="mmk" localSheetId="3" hidden="1">{"Pg1",#N/A,FALSE,"OpExYTDvsBud";"Pg2",#N/A,FALSE,"OpExYTDvsBud"}</definedName>
    <definedName name="mmk" localSheetId="7" hidden="1">{"Pg1",#N/A,FALSE,"OpExYTDvsBud";"Pg2",#N/A,FALSE,"OpExYTDvsBud"}</definedName>
    <definedName name="mmk" hidden="1">{"Pg1",#N/A,FALSE,"OpExYTDvsBud";"Pg2",#N/A,FALSE,"OpExYTDvsBud"}</definedName>
    <definedName name="mmm" localSheetId="3" hidden="1">{#N/A,"PURCHM",FALSE,"Business Analysis";#N/A,"SPADD",FALSE,"Business Analysis"}</definedName>
    <definedName name="mmm" localSheetId="7" hidden="1">{#N/A,"PURCHM",FALSE,"Business Analysis";#N/A,"SPADD",FALSE,"Business Analysis"}</definedName>
    <definedName name="mmm" hidden="1">{#N/A,"PURCHM",FALSE,"Business Analysis";#N/A,"SPADD",FALSE,"Business Analysis"}</definedName>
    <definedName name="mmmmm" localSheetId="3"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mmmmm" localSheetId="7"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mmmmm"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mmp" localSheetId="3" hidden="1">{"detail",#N/A,FALSE,"mfg";"summary",#N/A,FALSE,"mfg"}</definedName>
    <definedName name="mmp" localSheetId="7" hidden="1">{"detail",#N/A,FALSE,"mfg";"summary",#N/A,FALSE,"mfg"}</definedName>
    <definedName name="mmp" hidden="1">{"detail",#N/A,FALSE,"mfg";"summary",#N/A,FALSE,"mfg"}</definedName>
    <definedName name="mn" localSheetId="3" hidden="1">{"detail",#N/A,FALSE,"mfg";"summary",#N/A,FALSE,"mfg"}</definedName>
    <definedName name="mn" localSheetId="7" hidden="1">{"detail",#N/A,FALSE,"mfg";"summary",#N/A,FALSE,"mfg"}</definedName>
    <definedName name="mn" hidden="1">{"detail",#N/A,FALSE,"mfg";"summary",#N/A,FALSE,"mfg"}</definedName>
    <definedName name="mnb" localSheetId="3"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mnb" localSheetId="7"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mnb"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mnbv" localSheetId="3" hidden="1">{"Month Summary",#N/A,FALSE,"Summary";"Total Details",#N/A,FALSE,"Current Yr";"Polymers Details",#N/A,FALSE,"Current Yr";"Performance Details",#N/A,FALSE,"Current Yr";"ICD Details",#N/A,FALSE,"Current Yr"}</definedName>
    <definedName name="mnbv" localSheetId="7" hidden="1">{"Month Summary",#N/A,FALSE,"Summary";"Total Details",#N/A,FALSE,"Current Yr";"Polymers Details",#N/A,FALSE,"Current Yr";"Performance Details",#N/A,FALSE,"Current Yr";"ICD Details",#N/A,FALSE,"Current Yr"}</definedName>
    <definedName name="mnbv" hidden="1">{"Month Summary",#N/A,FALSE,"Summary";"Total Details",#N/A,FALSE,"Current Yr";"Polymers Details",#N/A,FALSE,"Current Yr";"Performance Details",#N/A,FALSE,"Current Yr";"ICD Details",#N/A,FALSE,"Current Yr"}</definedName>
    <definedName name="mnmn" localSheetId="3" hidden="1">{"detail",#N/A,FALSE,"mfg";"summary",#N/A,FALSE,"mfg"}</definedName>
    <definedName name="mnmn" localSheetId="7" hidden="1">{"detail",#N/A,FALSE,"mfg";"summary",#N/A,FALSE,"mfg"}</definedName>
    <definedName name="mnmn" hidden="1">{"detail",#N/A,FALSE,"mfg";"summary",#N/A,FALSE,"mfg"}</definedName>
    <definedName name="mnnb" localSheetId="3" hidden="1">{#N/A,#N/A,FALSE,"PMW Gruppe 99_98";#N/A,#N/A,FALSE,"PMW KG 98_99";#N/A,#N/A,FALSE,"PMW Inc. 99_98";#N/A,#N/A,FALSE,"PMW VTECH 99_98";#N/A,#N/A,FALSE,"PMW Thail. 99_98";#N/A,#N/A,FALSE,"PMW Canada 99_98";#N/A,#N/A,FALSE,"Währungsabw. 99_98"}</definedName>
    <definedName name="mnnb" localSheetId="7" hidden="1">{#N/A,#N/A,FALSE,"PMW Gruppe 99_98";#N/A,#N/A,FALSE,"PMW KG 98_99";#N/A,#N/A,FALSE,"PMW Inc. 99_98";#N/A,#N/A,FALSE,"PMW VTECH 99_98";#N/A,#N/A,FALSE,"PMW Thail. 99_98";#N/A,#N/A,FALSE,"PMW Canada 99_98";#N/A,#N/A,FALSE,"Währungsabw. 99_98"}</definedName>
    <definedName name="mnnb" hidden="1">{#N/A,#N/A,FALSE,"PMW Gruppe 99_98";#N/A,#N/A,FALSE,"PMW KG 98_99";#N/A,#N/A,FALSE,"PMW Inc. 99_98";#N/A,#N/A,FALSE,"PMW VTECH 99_98";#N/A,#N/A,FALSE,"PMW Thail. 99_98";#N/A,#N/A,FALSE,"PMW Canada 99_98";#N/A,#N/A,FALSE,"Währungsabw. 99_98"}</definedName>
    <definedName name="mokp" localSheetId="3" hidden="1">{"QTD_LPO2N2",#N/A,FALSE,"QTD"}</definedName>
    <definedName name="mokp" localSheetId="7" hidden="1">{"QTD_LPO2N2",#N/A,FALSE,"QTD"}</definedName>
    <definedName name="mokp" hidden="1">{"QTD_LPO2N2",#N/A,FALSE,"QTD"}</definedName>
    <definedName name="Mutações" localSheetId="3" hidden="1">{#N/A,#N/A,FALSE,"Relatórios";"Vendas e Custos",#N/A,FALSE,"Vendas e Custos";"Premissas",#N/A,FALSE,"Premissas";"Projeções",#N/A,FALSE,"Projeções";"Dolar",#N/A,FALSE,"Dolar";"Original",#N/A,FALSE,"Original e UFIR"}</definedName>
    <definedName name="Mutações" localSheetId="7" hidden="1">{#N/A,#N/A,FALSE,"Relatórios";"Vendas e Custos",#N/A,FALSE,"Vendas e Custos";"Premissas",#N/A,FALSE,"Premissas";"Projeções",#N/A,FALSE,"Projeções";"Dolar",#N/A,FALSE,"Dolar";"Original",#N/A,FALSE,"Original e UFIR"}</definedName>
    <definedName name="Mutações" hidden="1">{#N/A,#N/A,FALSE,"Relatórios";"Vendas e Custos",#N/A,FALSE,"Vendas e Custos";"Premissas",#N/A,FALSE,"Premissas";"Projeções",#N/A,FALSE,"Projeções";"Dolar",#N/A,FALSE,"Dolar";"Original",#N/A,FALSE,"Original e UFIR"}</definedName>
    <definedName name="mw" localSheetId="3" hidden="1">{#N/A,#N/A,FALSE,"Pharm";#N/A,#N/A,FALSE,"WWCM"}</definedName>
    <definedName name="mw" localSheetId="7" hidden="1">{#N/A,#N/A,FALSE,"Pharm";#N/A,#N/A,FALSE,"WWCM"}</definedName>
    <definedName name="mw" hidden="1">{#N/A,#N/A,FALSE,"Pharm";#N/A,#N/A,FALSE,"WWCM"}</definedName>
    <definedName name="n" localSheetId="3" hidden="1">{#N/A,#N/A,TRUE,"DCF Summary";#N/A,#N/A,TRUE,"Casema";#N/A,#N/A,TRUE,"UK";#N/A,#N/A,TRUE,"RCF";#N/A,#N/A,TRUE,"Intercable CZ";#N/A,#N/A,TRUE,"Interkabel P";#N/A,#N/A,TRUE,"LBO-Total";#N/A,#N/A,TRUE,"LBO-Casema"}</definedName>
    <definedName name="n" localSheetId="7" hidden="1">{#N/A,#N/A,TRUE,"DCF Summary";#N/A,#N/A,TRUE,"Casema";#N/A,#N/A,TRUE,"UK";#N/A,#N/A,TRUE,"RCF";#N/A,#N/A,TRUE,"Intercable CZ";#N/A,#N/A,TRUE,"Interkabel P";#N/A,#N/A,TRUE,"LBO-Total";#N/A,#N/A,TRUE,"LBO-Casema"}</definedName>
    <definedName name="n" hidden="1">{#N/A,#N/A,TRUE,"DCF Summary";#N/A,#N/A,TRUE,"Casema";#N/A,#N/A,TRUE,"UK";#N/A,#N/A,TRUE,"RCF";#N/A,#N/A,TRUE,"Intercable CZ";#N/A,#N/A,TRUE,"Interkabel P";#N/A,#N/A,TRUE,"LBO-Total";#N/A,#N/A,TRUE,"LBO-Casema"}</definedName>
    <definedName name="nam90ng" localSheetId="3" hidden="1">{"detail",#N/A,FALSE,"mfg";"summary",#N/A,FALSE,"mfg"}</definedName>
    <definedName name="nam90ng" localSheetId="7" hidden="1">{"detail",#N/A,FALSE,"mfg";"summary",#N/A,FALSE,"mfg"}</definedName>
    <definedName name="nam90ng" hidden="1">{"detail",#N/A,FALSE,"mfg";"summary",#N/A,FALSE,"mfg"}</definedName>
    <definedName name="nam9njk" localSheetId="3" hidden="1">{"detail",#N/A,FALSE,"mfg";"summary",#N/A,FALSE,"mfg"}</definedName>
    <definedName name="nam9njk" localSheetId="7" hidden="1">{"detail",#N/A,FALSE,"mfg";"summary",#N/A,FALSE,"mfg"}</definedName>
    <definedName name="nam9njk" hidden="1">{"detail",#N/A,FALSE,"mfg";"summary",#N/A,FALSE,"mfg"}</definedName>
    <definedName name="name" localSheetId="3" hidden="1">{"detail",#N/A,FALSE,"mfg";"summary",#N/A,FALSE,"mfg"}</definedName>
    <definedName name="name" localSheetId="7" hidden="1">{"detail",#N/A,FALSE,"mfg";"summary",#N/A,FALSE,"mfg"}</definedName>
    <definedName name="name" hidden="1">{"detail",#N/A,FALSE,"mfg";"summary",#N/A,FALSE,"mfg"}</definedName>
    <definedName name="name1" localSheetId="3" hidden="1">{"detail",#N/A,FALSE,"mfg";"summary",#N/A,FALSE,"mfg"}</definedName>
    <definedName name="name1" localSheetId="7" hidden="1">{"detail",#N/A,FALSE,"mfg";"summary",#N/A,FALSE,"mfg"}</definedName>
    <definedName name="name1" hidden="1">{"detail",#N/A,FALSE,"mfg";"summary",#N/A,FALSE,"mfg"}</definedName>
    <definedName name="name10" localSheetId="3" hidden="1">{"detail",#N/A,FALSE,"mfg";"summary",#N/A,FALSE,"mfg"}</definedName>
    <definedName name="name10" localSheetId="7" hidden="1">{"detail",#N/A,FALSE,"mfg";"summary",#N/A,FALSE,"mfg"}</definedName>
    <definedName name="name10" hidden="1">{"detail",#N/A,FALSE,"mfg";"summary",#N/A,FALSE,"mfg"}</definedName>
    <definedName name="name101" localSheetId="3" hidden="1">{"detail",#N/A,FALSE,"mfg";"summary",#N/A,FALSE,"mfg"}</definedName>
    <definedName name="name101" localSheetId="7" hidden="1">{"detail",#N/A,FALSE,"mfg";"summary",#N/A,FALSE,"mfg"}</definedName>
    <definedName name="name101" hidden="1">{"detail",#N/A,FALSE,"mfg";"summary",#N/A,FALSE,"mfg"}</definedName>
    <definedName name="name102" localSheetId="3" hidden="1">{"detail",#N/A,FALSE,"mfg";"summary",#N/A,FALSE,"mfg"}</definedName>
    <definedName name="name102" localSheetId="7" hidden="1">{"detail",#N/A,FALSE,"mfg";"summary",#N/A,FALSE,"mfg"}</definedName>
    <definedName name="name102" hidden="1">{"detail",#N/A,FALSE,"mfg";"summary",#N/A,FALSE,"mfg"}</definedName>
    <definedName name="name11" localSheetId="3" hidden="1">{"detail",#N/A,FALSE,"mfg";"summary",#N/A,FALSE,"mfg"}</definedName>
    <definedName name="name11" localSheetId="7" hidden="1">{"detail",#N/A,FALSE,"mfg";"summary",#N/A,FALSE,"mfg"}</definedName>
    <definedName name="name11" hidden="1">{"detail",#N/A,FALSE,"mfg";"summary",#N/A,FALSE,"mfg"}</definedName>
    <definedName name="name12" localSheetId="3" hidden="1">{"detail",#N/A,FALSE,"mfg";"summary",#N/A,FALSE,"mfg"}</definedName>
    <definedName name="name12" localSheetId="7" hidden="1">{"detail",#N/A,FALSE,"mfg";"summary",#N/A,FALSE,"mfg"}</definedName>
    <definedName name="name12" hidden="1">{"detail",#N/A,FALSE,"mfg";"summary",#N/A,FALSE,"mfg"}</definedName>
    <definedName name="name2" localSheetId="3" hidden="1">{"detail",#N/A,FALSE,"mfg";"summary",#N/A,FALSE,"mfg"}</definedName>
    <definedName name="name2" localSheetId="7" hidden="1">{"detail",#N/A,FALSE,"mfg";"summary",#N/A,FALSE,"mfg"}</definedName>
    <definedName name="name2" hidden="1">{"detail",#N/A,FALSE,"mfg";"summary",#N/A,FALSE,"mfg"}</definedName>
    <definedName name="name202" localSheetId="3" hidden="1">{"detail",#N/A,FALSE,"mfg";"summary",#N/A,FALSE,"mfg"}</definedName>
    <definedName name="name202" localSheetId="7" hidden="1">{"detail",#N/A,FALSE,"mfg";"summary",#N/A,FALSE,"mfg"}</definedName>
    <definedName name="name202" hidden="1">{"detail",#N/A,FALSE,"mfg";"summary",#N/A,FALSE,"mfg"}</definedName>
    <definedName name="name203" localSheetId="3" hidden="1">{"detail",#N/A,FALSE,"mfg";"summary",#N/A,FALSE,"mfg"}</definedName>
    <definedName name="name203" localSheetId="7" hidden="1">{"detail",#N/A,FALSE,"mfg";"summary",#N/A,FALSE,"mfg"}</definedName>
    <definedName name="name203" hidden="1">{"detail",#N/A,FALSE,"mfg";"summary",#N/A,FALSE,"mfg"}</definedName>
    <definedName name="name212" localSheetId="3" hidden="1">{"detail",#N/A,FALSE,"mfg";"summary",#N/A,FALSE,"mfg"}</definedName>
    <definedName name="name212" localSheetId="7" hidden="1">{"detail",#N/A,FALSE,"mfg";"summary",#N/A,FALSE,"mfg"}</definedName>
    <definedName name="name212" hidden="1">{"detail",#N/A,FALSE,"mfg";"summary",#N/A,FALSE,"mfg"}</definedName>
    <definedName name="name213" localSheetId="3" hidden="1">{"detail",#N/A,FALSE,"mfg";"summary",#N/A,FALSE,"mfg"}</definedName>
    <definedName name="name213" localSheetId="7" hidden="1">{"detail",#N/A,FALSE,"mfg";"summary",#N/A,FALSE,"mfg"}</definedName>
    <definedName name="name213" hidden="1">{"detail",#N/A,FALSE,"mfg";"summary",#N/A,FALSE,"mfg"}</definedName>
    <definedName name="name31" localSheetId="3" hidden="1">{"detail",#N/A,FALSE,"mfg";"summary",#N/A,FALSE,"mfg"}</definedName>
    <definedName name="name31" localSheetId="7" hidden="1">{"detail",#N/A,FALSE,"mfg";"summary",#N/A,FALSE,"mfg"}</definedName>
    <definedName name="name31" hidden="1">{"detail",#N/A,FALSE,"mfg";"summary",#N/A,FALSE,"mfg"}</definedName>
    <definedName name="name32" localSheetId="3" hidden="1">{"detail",#N/A,FALSE,"mfg";"summary",#N/A,FALSE,"mfg"}</definedName>
    <definedName name="name32" localSheetId="7" hidden="1">{"detail",#N/A,FALSE,"mfg";"summary",#N/A,FALSE,"mfg"}</definedName>
    <definedName name="name32" hidden="1">{"detail",#N/A,FALSE,"mfg";"summary",#N/A,FALSE,"mfg"}</definedName>
    <definedName name="name34" localSheetId="3" hidden="1">{"detail",#N/A,FALSE,"mfg";"summary",#N/A,FALSE,"mfg"}</definedName>
    <definedName name="name34" localSheetId="7" hidden="1">{"detail",#N/A,FALSE,"mfg";"summary",#N/A,FALSE,"mfg"}</definedName>
    <definedName name="name34" hidden="1">{"detail",#N/A,FALSE,"mfg";"summary",#N/A,FALSE,"mfg"}</definedName>
    <definedName name="name35" localSheetId="3" hidden="1">{"detail",#N/A,FALSE,"mfg";"summary",#N/A,FALSE,"mfg"}</definedName>
    <definedName name="name35" localSheetId="7" hidden="1">{"detail",#N/A,FALSE,"mfg";"summary",#N/A,FALSE,"mfg"}</definedName>
    <definedName name="name35" hidden="1">{"detail",#N/A,FALSE,"mfg";"summary",#N/A,FALSE,"mfg"}</definedName>
    <definedName name="NAME41" localSheetId="3" hidden="1">{"detail",#N/A,FALSE,"mfg";"summary",#N/A,FALSE,"mfg"}</definedName>
    <definedName name="NAME41" localSheetId="7" hidden="1">{"detail",#N/A,FALSE,"mfg";"summary",#N/A,FALSE,"mfg"}</definedName>
    <definedName name="NAME41" hidden="1">{"detail",#N/A,FALSE,"mfg";"summary",#N/A,FALSE,"mfg"}</definedName>
    <definedName name="name412" localSheetId="3" hidden="1">{"detail",#N/A,FALSE,"mfg";"summary",#N/A,FALSE,"mfg"}</definedName>
    <definedName name="name412" localSheetId="7" hidden="1">{"detail",#N/A,FALSE,"mfg";"summary",#N/A,FALSE,"mfg"}</definedName>
    <definedName name="name412" hidden="1">{"detail",#N/A,FALSE,"mfg";"summary",#N/A,FALSE,"mfg"}</definedName>
    <definedName name="name413" localSheetId="3" hidden="1">{"detail",#N/A,FALSE,"mfg";"summary",#N/A,FALSE,"mfg"}</definedName>
    <definedName name="name413" localSheetId="7" hidden="1">{"detail",#N/A,FALSE,"mfg";"summary",#N/A,FALSE,"mfg"}</definedName>
    <definedName name="name413" hidden="1">{"detail",#N/A,FALSE,"mfg";"summary",#N/A,FALSE,"mfg"}</definedName>
    <definedName name="name42" localSheetId="3" hidden="1">{"detail",#N/A,FALSE,"mfg";"summary",#N/A,FALSE,"mfg"}</definedName>
    <definedName name="name42" localSheetId="7" hidden="1">{"detail",#N/A,FALSE,"mfg";"summary",#N/A,FALSE,"mfg"}</definedName>
    <definedName name="name42" hidden="1">{"detail",#N/A,FALSE,"mfg";"summary",#N/A,FALSE,"mfg"}</definedName>
    <definedName name="name45" localSheetId="3" hidden="1">{"detail",#N/A,FALSE,"mfg";"summary",#N/A,FALSE,"mfg"}</definedName>
    <definedName name="name45" localSheetId="7" hidden="1">{"detail",#N/A,FALSE,"mfg";"summary",#N/A,FALSE,"mfg"}</definedName>
    <definedName name="name45" hidden="1">{"detail",#N/A,FALSE,"mfg";"summary",#N/A,FALSE,"mfg"}</definedName>
    <definedName name="name51" localSheetId="3" hidden="1">{"detail",#N/A,FALSE,"mfg";"summary",#N/A,FALSE,"mfg"}</definedName>
    <definedName name="name51" localSheetId="7" hidden="1">{"detail",#N/A,FALSE,"mfg";"summary",#N/A,FALSE,"mfg"}</definedName>
    <definedName name="name51" hidden="1">{"detail",#N/A,FALSE,"mfg";"summary",#N/A,FALSE,"mfg"}</definedName>
    <definedName name="name54ghs" localSheetId="3" hidden="1">{"detail",#N/A,FALSE,"mfg";"summary",#N/A,FALSE,"mfg"}</definedName>
    <definedName name="name54ghs" localSheetId="7" hidden="1">{"detail",#N/A,FALSE,"mfg";"summary",#N/A,FALSE,"mfg"}</definedName>
    <definedName name="name54ghs" hidden="1">{"detail",#N/A,FALSE,"mfg";"summary",#N/A,FALSE,"mfg"}</definedName>
    <definedName name="name56a" localSheetId="3" hidden="1">{"detail",#N/A,FALSE,"mfg";"summary",#N/A,FALSE,"mfg"}</definedName>
    <definedName name="name56a" localSheetId="7" hidden="1">{"detail",#N/A,FALSE,"mfg";"summary",#N/A,FALSE,"mfg"}</definedName>
    <definedName name="name56a" hidden="1">{"detail",#N/A,FALSE,"mfg";"summary",#N/A,FALSE,"mfg"}</definedName>
    <definedName name="name56a56" localSheetId="3" hidden="1">{"detail",#N/A,FALSE,"mfg";"summary",#N/A,FALSE,"mfg"}</definedName>
    <definedName name="name56a56" localSheetId="7" hidden="1">{"detail",#N/A,FALSE,"mfg";"summary",#N/A,FALSE,"mfg"}</definedName>
    <definedName name="name56a56" hidden="1">{"detail",#N/A,FALSE,"mfg";"summary",#N/A,FALSE,"mfg"}</definedName>
    <definedName name="name61" localSheetId="3" hidden="1">{"detail",#N/A,FALSE,"mfg";"summary",#N/A,FALSE,"mfg"}</definedName>
    <definedName name="name61" localSheetId="7" hidden="1">{"detail",#N/A,FALSE,"mfg";"summary",#N/A,FALSE,"mfg"}</definedName>
    <definedName name="name61" hidden="1">{"detail",#N/A,FALSE,"mfg";"summary",#N/A,FALSE,"mfg"}</definedName>
    <definedName name="name71" localSheetId="3" hidden="1">{"detail",#N/A,FALSE,"mfg";"summary",#N/A,FALSE,"mfg"}</definedName>
    <definedName name="name71" localSheetId="7" hidden="1">{"detail",#N/A,FALSE,"mfg";"summary",#N/A,FALSE,"mfg"}</definedName>
    <definedName name="name71" hidden="1">{"detail",#N/A,FALSE,"mfg";"summary",#N/A,FALSE,"mfg"}</definedName>
    <definedName name="name89shj" localSheetId="3" hidden="1">{"detail",#N/A,FALSE,"mfg";"summary",#N/A,FALSE,"mfg"}</definedName>
    <definedName name="name89shj" localSheetId="7" hidden="1">{"detail",#N/A,FALSE,"mfg";"summary",#N/A,FALSE,"mfg"}</definedName>
    <definedName name="name89shj" hidden="1">{"detail",#N/A,FALSE,"mfg";"summary",#N/A,FALSE,"mfg"}</definedName>
    <definedName name="namea101" localSheetId="3" hidden="1">{"detail",#N/A,FALSE,"mfg";"summary",#N/A,FALSE,"mfg"}</definedName>
    <definedName name="namea101" localSheetId="7" hidden="1">{"detail",#N/A,FALSE,"mfg";"summary",#N/A,FALSE,"mfg"}</definedName>
    <definedName name="namea101" hidden="1">{"detail",#N/A,FALSE,"mfg";"summary",#N/A,FALSE,"mfg"}</definedName>
    <definedName name="nameb45" localSheetId="3" hidden="1">{"detail",#N/A,FALSE,"mfg";"summary",#N/A,FALSE,"mfg"}</definedName>
    <definedName name="nameb45" localSheetId="7" hidden="1">{"detail",#N/A,FALSE,"mfg";"summary",#N/A,FALSE,"mfg"}</definedName>
    <definedName name="nameb45" hidden="1">{"detail",#N/A,FALSE,"mfg";"summary",#N/A,FALSE,"mfg"}</definedName>
    <definedName name="nameiges" localSheetId="3" hidden="1">{"detail",#N/A,FALSE,"mfg";"summary",#N/A,FALSE,"mfg"}</definedName>
    <definedName name="nameiges" localSheetId="7" hidden="1">{"detail",#N/A,FALSE,"mfg";"summary",#N/A,FALSE,"mfg"}</definedName>
    <definedName name="nameiges" hidden="1">{"detail",#N/A,FALSE,"mfg";"summary",#N/A,FALSE,"mfg"}</definedName>
    <definedName name="nbhj" localSheetId="3" hidden="1">{"QTD_LPO2N2",#N/A,FALSE,"QTD";"QTD_HYCO",#N/A,FALSE,"QTD";"QTD_LOUISIANA",#N/A,FALSE,"QTD";"QTD_GENERALH2",#N/A,FALSE,"QTD";"QTD_PACKAGE",#N/A,FALSE,"QTD";"QTD_PRS",#N/A,FALSE,"QTD";"QTD_OTHER",#N/A,FALSE,"QTD"}</definedName>
    <definedName name="nbhj" localSheetId="7" hidden="1">{"QTD_LPO2N2",#N/A,FALSE,"QTD";"QTD_HYCO",#N/A,FALSE,"QTD";"QTD_LOUISIANA",#N/A,FALSE,"QTD";"QTD_GENERALH2",#N/A,FALSE,"QTD";"QTD_PACKAGE",#N/A,FALSE,"QTD";"QTD_PRS",#N/A,FALSE,"QTD";"QTD_OTHER",#N/A,FALSE,"QTD"}</definedName>
    <definedName name="nbhj" hidden="1">{"QTD_LPO2N2",#N/A,FALSE,"QTD";"QTD_HYCO",#N/A,FALSE,"QTD";"QTD_LOUISIANA",#N/A,FALSE,"QTD";"QTD_GENERALH2",#N/A,FALSE,"QTD";"QTD_PACKAGE",#N/A,FALSE,"QTD";"QTD_PRS",#N/A,FALSE,"QTD";"QTD_OTHER",#N/A,FALSE,"QTD"}</definedName>
    <definedName name="nbv" localSheetId="3" hidden="1">{"Polymers Details",#N/A,FALSE,"Current Yr";"Polymer Details",#N/A,FALSE,"Budget";"Polymer Details",#N/A,FALSE,"Prior Year"}</definedName>
    <definedName name="nbv" localSheetId="7" hidden="1">{"Polymers Details",#N/A,FALSE,"Current Yr";"Polymer Details",#N/A,FALSE,"Budget";"Polymer Details",#N/A,FALSE,"Prior Year"}</definedName>
    <definedName name="nbv" hidden="1">{"Polymers Details",#N/A,FALSE,"Current Yr";"Polymer Details",#N/A,FALSE,"Budget";"Polymer Details",#N/A,FALSE,"Prior Year"}</definedName>
    <definedName name="nbvc" localSheetId="3"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c"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ew" localSheetId="3" hidden="1">#REF!</definedName>
    <definedName name="new" hidden="1">#REF!</definedName>
    <definedName name="newbel" localSheetId="3" hidden="1">{"'Directory'!$A$72:$E$91"}</definedName>
    <definedName name="newbel" localSheetId="7" hidden="1">{"'Directory'!$A$72:$E$91"}</definedName>
    <definedName name="newbel" hidden="1">{"'Directory'!$A$72:$E$91"}</definedName>
    <definedName name="newbel2" localSheetId="3" hidden="1">{"'Directory'!$A$72:$E$91"}</definedName>
    <definedName name="newbel2" localSheetId="7" hidden="1">{"'Directory'!$A$72:$E$91"}</definedName>
    <definedName name="newbel2" hidden="1">{"'Directory'!$A$72:$E$91"}</definedName>
    <definedName name="newbls" localSheetId="3" hidden="1">{"'Directory'!$A$72:$E$91"}</definedName>
    <definedName name="newbls" localSheetId="7" hidden="1">{"'Directory'!$A$72:$E$91"}</definedName>
    <definedName name="newbls" hidden="1">{"'Directory'!$A$72:$E$91"}</definedName>
    <definedName name="newnewnew" localSheetId="3" hidden="1">{#N/A,#N/A,FALSE,"Pharm";#N/A,#N/A,FALSE,"WWCM"}</definedName>
    <definedName name="newnewnew" localSheetId="7" hidden="1">{#N/A,#N/A,FALSE,"Pharm";#N/A,#N/A,FALSE,"WWCM"}</definedName>
    <definedName name="newnewnew" hidden="1">{#N/A,#N/A,FALSE,"Pharm";#N/A,#N/A,FALSE,"WWCM"}</definedName>
    <definedName name="newt" localSheetId="3" hidden="1">{"'Directory'!$A$72:$E$91"}</definedName>
    <definedName name="newt" localSheetId="7" hidden="1">{"'Directory'!$A$72:$E$91"}</definedName>
    <definedName name="newt" hidden="1">{"'Directory'!$A$72:$E$91"}</definedName>
    <definedName name="newwcom" localSheetId="3" hidden="1">{"'Directory'!$A$72:$E$91"}</definedName>
    <definedName name="newwcom" localSheetId="7" hidden="1">{"'Directory'!$A$72:$E$91"}</definedName>
    <definedName name="newwcom" hidden="1">{"'Directory'!$A$72:$E$91"}</definedName>
    <definedName name="NEWWW" localSheetId="3" hidden="1">{"'PXR_6500'!$A$1:$I$124"}</definedName>
    <definedName name="NEWWW" localSheetId="7" hidden="1">{"'PXR_6500'!$A$1:$I$124"}</definedName>
    <definedName name="NEWWW" hidden="1">{"'PXR_6500'!$A$1:$I$124"}</definedName>
    <definedName name="nh" localSheetId="3" hidden="1">{"AS REP",#N/A,FALSE,"EEFSNAP2";"PROP",#N/A,FALSE,"EEFSNAP2";"RISKS",#N/A,FALSE,"EEFSNAP2";"VIEW ALL",#N/A,FALSE,"EEFSNAP2"}</definedName>
    <definedName name="nh" localSheetId="7" hidden="1">{"AS REP",#N/A,FALSE,"EEFSNAP2";"PROP",#N/A,FALSE,"EEFSNAP2";"RISKS",#N/A,FALSE,"EEFSNAP2";"VIEW ALL",#N/A,FALSE,"EEFSNAP2"}</definedName>
    <definedName name="nh" hidden="1">{"AS REP",#N/A,FALSE,"EEFSNAP2";"PROP",#N/A,FALSE,"EEFSNAP2";"RISKS",#N/A,FALSE,"EEFSNAP2";"VIEW ALL",#N/A,FALSE,"EEFSNAP2"}</definedName>
    <definedName name="nhu" localSheetId="3" hidden="1">{#N/A,"PURADD",FALSE,"Business Analysis";#N/A,"PURSPP",FALSE,"Business Analysis";#N/A,"CTGIND",FALSE,"Business Analysis";#N/A,"PURCHM",FALSE,"Business Analysis";#N/A,"SPADD",FALSE,"Business Analysis";#N/A,"EPOXY",FALSE,"Business Analysis";#N/A,"PURPER",FALSE,"Business Analysis"}</definedName>
    <definedName name="nhu" localSheetId="7" hidden="1">{#N/A,"PURADD",FALSE,"Business Analysis";#N/A,"PURSPP",FALSE,"Business Analysis";#N/A,"CTGIND",FALSE,"Business Analysis";#N/A,"PURCHM",FALSE,"Business Analysis";#N/A,"SPADD",FALSE,"Business Analysis";#N/A,"EPOXY",FALSE,"Business Analysis";#N/A,"PURPER",FALSE,"Business Analysis"}</definedName>
    <definedName name="nhu" hidden="1">{#N/A,"PURADD",FALSE,"Business Analysis";#N/A,"PURSPP",FALSE,"Business Analysis";#N/A,"CTGIND",FALSE,"Business Analysis";#N/A,"PURCHM",FALSE,"Business Analysis";#N/A,"SPADD",FALSE,"Business Analysis";#N/A,"EPOXY",FALSE,"Business Analysis";#N/A,"PURPER",FALSE,"Business Analysis"}</definedName>
    <definedName name="NICOLA" localSheetId="3" hidden="1">{"IT",#N/A,FALSE,"GRAPHS";"Services",#N/A,FALSE,"GRAPHS";"Subsurface",#N/A,FALSE,"GRAPHS";"Production",#N/A,FALSE,"GRAPHS";"Facilities",#N/A,FALSE,"GRAPHS";"Pipeline &amp; Terminal",#N/A,FALSE,"GRAPHS";"Safety",#N/A,FALSE,"GRAPHS";"Commercial",#N/A,FALSE,"GRAPHS"}</definedName>
    <definedName name="NICOLA" localSheetId="7" hidden="1">{"IT",#N/A,FALSE,"GRAPHS";"Services",#N/A,FALSE,"GRAPHS";"Subsurface",#N/A,FALSE,"GRAPHS";"Production",#N/A,FALSE,"GRAPHS";"Facilities",#N/A,FALSE,"GRAPHS";"Pipeline &amp; Terminal",#N/A,FALSE,"GRAPHS";"Safety",#N/A,FALSE,"GRAPHS";"Commercial",#N/A,FALSE,"GRAPHS"}</definedName>
    <definedName name="NICOLA" hidden="1">{"IT",#N/A,FALSE,"GRAPHS";"Services",#N/A,FALSE,"GRAPHS";"Subsurface",#N/A,FALSE,"GRAPHS";"Production",#N/A,FALSE,"GRAPHS";"Facilities",#N/A,FALSE,"GRAPHS";"Pipeline &amp; Terminal",#N/A,FALSE,"GRAPHS";"Safety",#N/A,FALSE,"GRAPHS";"Commercial",#N/A,FALSE,"GRAPHS"}</definedName>
    <definedName name="nijnsh" localSheetId="3" hidden="1">{"detail",#N/A,FALSE,"mfg";"summary",#N/A,FALSE,"mfg"}</definedName>
    <definedName name="nijnsh" localSheetId="7" hidden="1">{"detail",#N/A,FALSE,"mfg";"summary",#N/A,FALSE,"mfg"}</definedName>
    <definedName name="nijnsh" hidden="1">{"detail",#N/A,FALSE,"mfg";"summary",#N/A,FALSE,"mfg"}</definedName>
    <definedName name="nj9km" localSheetId="3" hidden="1">{"detail",#N/A,FALSE,"mfg";"summary",#N/A,FALSE,"mfg"}</definedName>
    <definedName name="nj9km" localSheetId="7" hidden="1">{"detail",#N/A,FALSE,"mfg";"summary",#N/A,FALSE,"mfg"}</definedName>
    <definedName name="nj9km" hidden="1">{"detail",#N/A,FALSE,"mfg";"summary",#N/A,FALSE,"mfg"}</definedName>
    <definedName name="njhfds" localSheetId="3" hidden="1">{#N/A,"PURCHM",FALSE,"Business Analysis";#N/A,"SPADD",FALSE,"Business Analysis"}</definedName>
    <definedName name="njhfds" localSheetId="7" hidden="1">{#N/A,"PURCHM",FALSE,"Business Analysis";#N/A,"SPADD",FALSE,"Business Analysis"}</definedName>
    <definedName name="njhfds" hidden="1">{#N/A,"PURCHM",FALSE,"Business Analysis";#N/A,"SPADD",FALSE,"Business Analysis"}</definedName>
    <definedName name="njis76" localSheetId="3" hidden="1">{"detail",#N/A,FALSE,"mfg";"summary",#N/A,FALSE,"mfg"}</definedName>
    <definedName name="njis76" localSheetId="7" hidden="1">{"detail",#N/A,FALSE,"mfg";"summary",#N/A,FALSE,"mfg"}</definedName>
    <definedName name="njis76" hidden="1">{"detail",#N/A,FALSE,"mfg";"summary",#N/A,FALSE,"mfg"}</definedName>
    <definedName name="njkjsh" localSheetId="3" hidden="1">{"detail",#N/A,FALSE,"mfg";"summary",#N/A,FALSE,"mfg"}</definedName>
    <definedName name="njkjsh" localSheetId="7" hidden="1">{"detail",#N/A,FALSE,"mfg";"summary",#N/A,FALSE,"mfg"}</definedName>
    <definedName name="njkjsh" hidden="1">{"detail",#N/A,FALSE,"mfg";"summary",#N/A,FALSE,"mfg"}</definedName>
    <definedName name="nkmi9c" localSheetId="3" hidden="1">{#N/A,"PURCHM",FALSE,"Business Analysis";#N/A,"SPADD",FALSE,"Business Analysis"}</definedName>
    <definedName name="nkmi9c" localSheetId="7" hidden="1">{#N/A,"PURCHM",FALSE,"Business Analysis";#N/A,"SPADD",FALSE,"Business Analysis"}</definedName>
    <definedName name="nkmi9c" hidden="1">{#N/A,"PURCHM",FALSE,"Business Analysis";#N/A,"SPADD",FALSE,"Business Analysis"}</definedName>
    <definedName name="ñlkj" localSheetId="3"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kj" localSheetId="7"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kj"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ñl" localSheetId="3" hidden="1">{"pro_view",#N/A,FALSE,"EEFSNAP2";"rep_view",#N/A,FALSE,"EEFSNAP2"}</definedName>
    <definedName name="ñlñl" localSheetId="7" hidden="1">{"pro_view",#N/A,FALSE,"EEFSNAP2";"rep_view",#N/A,FALSE,"EEFSNAP2"}</definedName>
    <definedName name="ñlñl" hidden="1">{"pro_view",#N/A,FALSE,"EEFSNAP2";"rep_view",#N/A,FALSE,"EEFSNAP2"}</definedName>
    <definedName name="nmb" localSheetId="3" hidden="1">{#N/A,#N/A,FALSE,"model"}</definedName>
    <definedName name="nmb" localSheetId="7" hidden="1">{#N/A,#N/A,FALSE,"model"}</definedName>
    <definedName name="nmb" hidden="1">{#N/A,#N/A,FALSE,"model"}</definedName>
    <definedName name="nmnm" localSheetId="3" hidden="1">{"summary",#N/A,FALSE,"summary";"sales growth",#N/A,FALSE,"summary";"oper income",#N/A,FALSE,"summary";"oros rank",#N/A,FALSE,"summary";"net assets",#N/A,FALSE,"summary";"asset turnover",#N/A,FALSE,"summary";"orona",#N/A,FALSE,"summary";"total return",#N/A,FALSE,"summary";"overview",#N/A,FALSE,"summary"}</definedName>
    <definedName name="nmnm" localSheetId="7" hidden="1">{"summary",#N/A,FALSE,"summary";"sales growth",#N/A,FALSE,"summary";"oper income",#N/A,FALSE,"summary";"oros rank",#N/A,FALSE,"summary";"net assets",#N/A,FALSE,"summary";"asset turnover",#N/A,FALSE,"summary";"orona",#N/A,FALSE,"summary";"total return",#N/A,FALSE,"summary";"overview",#N/A,FALSE,"summary"}</definedName>
    <definedName name="nmnm" hidden="1">{"summary",#N/A,FALSE,"summary";"sales growth",#N/A,FALSE,"summary";"oper income",#N/A,FALSE,"summary";"oros rank",#N/A,FALSE,"summary";"net assets",#N/A,FALSE,"summary";"asset turnover",#N/A,FALSE,"summary";"orona",#N/A,FALSE,"summary";"total return",#N/A,FALSE,"summary";"overview",#N/A,FALSE,"summary"}</definedName>
    <definedName name="ññ" localSheetId="3" hidden="1">{"P&amp;L SOLES",#N/A,FALSE,"PL REPROG";"P&amp;L ORIGINAL SOLES",#N/A,FALSE,"PL REPROG";"EXPLICATIVO LC",#N/A,FALSE,"PL EXPLICAT.";"VARIACION TRIMESTRAL LC",#N/A,FALSE,"PL VARIAC TRIM";"MONTH LC",#N/A,FALSE,"MONTH";"YTD LC",#N/A,FALSE,"YTD";"FULL YEAR LC",#N/A,FALSE,"FULL YEAR";"FORECAST SOLES",#N/A,FALSE,"FULL YEAR";"REMAINING MONTHS SOLES",#N/A,FALSE,"2DO SEMESTRE";"PRICE VARIANCE ANALYSIS",#N/A,FALSE,"PRICE VARIANCE ANALYSIS";"OPERATING INCOME ANALISYS SOLES",#N/A,FALSE,"OPER INC VAR ANALISYS";"NET INCOME ANALISYS SOLES",#N/A,FALSE,"OPER INC VAR ANALISYS";"FCF FULL YEAR SOLES",#N/A,FALSE,"FREE CASH FLOW";"FCF YTD SOLES",#N/A,FALSE,"FREE CASH FLOW";"NET FCF SOLES",#N/A,FALSE,"FREE CASH FLOW (2)";"SUSTENTO SOLES",#N/A,FALSE,"PL REPROG"}</definedName>
    <definedName name="ññ" localSheetId="7" hidden="1">{"P&amp;L SOLES",#N/A,FALSE,"PL REPROG";"P&amp;L ORIGINAL SOLES",#N/A,FALSE,"PL REPROG";"EXPLICATIVO LC",#N/A,FALSE,"PL EXPLICAT.";"VARIACION TRIMESTRAL LC",#N/A,FALSE,"PL VARIAC TRIM";"MONTH LC",#N/A,FALSE,"MONTH";"YTD LC",#N/A,FALSE,"YTD";"FULL YEAR LC",#N/A,FALSE,"FULL YEAR";"FORECAST SOLES",#N/A,FALSE,"FULL YEAR";"REMAINING MONTHS SOLES",#N/A,FALSE,"2DO SEMESTRE";"PRICE VARIANCE ANALYSIS",#N/A,FALSE,"PRICE VARIANCE ANALYSIS";"OPERATING INCOME ANALISYS SOLES",#N/A,FALSE,"OPER INC VAR ANALISYS";"NET INCOME ANALISYS SOLES",#N/A,FALSE,"OPER INC VAR ANALISYS";"FCF FULL YEAR SOLES",#N/A,FALSE,"FREE CASH FLOW";"FCF YTD SOLES",#N/A,FALSE,"FREE CASH FLOW";"NET FCF SOLES",#N/A,FALSE,"FREE CASH FLOW (2)";"SUSTENTO SOLES",#N/A,FALSE,"PL REPROG"}</definedName>
    <definedName name="ññ" hidden="1">{"P&amp;L SOLES",#N/A,FALSE,"PL REPROG";"P&amp;L ORIGINAL SOLES",#N/A,FALSE,"PL REPROG";"EXPLICATIVO LC",#N/A,FALSE,"PL EXPLICAT.";"VARIACION TRIMESTRAL LC",#N/A,FALSE,"PL VARIAC TRIM";"MONTH LC",#N/A,FALSE,"MONTH";"YTD LC",#N/A,FALSE,"YTD";"FULL YEAR LC",#N/A,FALSE,"FULL YEAR";"FORECAST SOLES",#N/A,FALSE,"FULL YEAR";"REMAINING MONTHS SOLES",#N/A,FALSE,"2DO SEMESTRE";"PRICE VARIANCE ANALYSIS",#N/A,FALSE,"PRICE VARIANCE ANALYSIS";"OPERATING INCOME ANALISYS SOLES",#N/A,FALSE,"OPER INC VAR ANALISYS";"NET INCOME ANALISYS SOLES",#N/A,FALSE,"OPER INC VAR ANALISYS";"FCF FULL YEAR SOLES",#N/A,FALSE,"FREE CASH FLOW";"FCF YTD SOLES",#N/A,FALSE,"FREE CASH FLOW";"NET FCF SOLES",#N/A,FALSE,"FREE CASH FLOW (2)";"SUSTENTO SOLES",#N/A,FALSE,"PL REPROG"}</definedName>
    <definedName name="nnh" localSheetId="3" hidden="1">{"Pa1",#N/A,FALSE,"OpExYTDvsPY";"Pa2",#N/A,FALSE,"OpExYTDvsPY"}</definedName>
    <definedName name="nnh" localSheetId="7" hidden="1">{"Pa1",#N/A,FALSE,"OpExYTDvsPY";"Pa2",#N/A,FALSE,"OpExYTDvsPY"}</definedName>
    <definedName name="nnh" hidden="1">{"Pa1",#N/A,FALSE,"OpExYTDvsPY";"Pa2",#N/A,FALSE,"OpExYTDvsPY"}</definedName>
    <definedName name="nnnn" localSheetId="3" hidden="1">{"defnitiva1",#N/A,FALSE,"RESUMO DA DÍVIDA";"defitiva2",#N/A,FALSE,"RESUMO DA DÍVIDA";"defitiva3",#N/A,FALSE,"RESUMO DA DÍVIDA"}</definedName>
    <definedName name="nnnn" localSheetId="7" hidden="1">{"defnitiva1",#N/A,FALSE,"RESUMO DA DÍVIDA";"defitiva2",#N/A,FALSE,"RESUMO DA DÍVIDA";"defitiva3",#N/A,FALSE,"RESUMO DA DÍVIDA"}</definedName>
    <definedName name="nnnn" hidden="1">{"defnitiva1",#N/A,FALSE,"RESUMO DA DÍVIDA";"defitiva2",#N/A,FALSE,"RESUMO DA DÍVIDA";"defitiva3",#N/A,FALSE,"RESUMO DA DÍVIDA"}</definedName>
    <definedName name="nouv" localSheetId="3" hidden="1">{#N/A,#N/A,FALSE,"Pharm";#N/A,#N/A,FALSE,"WWCM"}</definedName>
    <definedName name="nouv" localSheetId="7" hidden="1">{#N/A,#N/A,FALSE,"Pharm";#N/A,#N/A,FALSE,"WWCM"}</definedName>
    <definedName name="nouv" hidden="1">{#N/A,#N/A,FALSE,"Pharm";#N/A,#N/A,FALSE,"WWCM"}</definedName>
    <definedName name="ñp" localSheetId="3" hidden="1">{#N/A,"PURCHM",FALSE,"Business Analysis";#N/A,"SPADD",FALSE,"Business Analysis"}</definedName>
    <definedName name="ñp" localSheetId="7" hidden="1">{#N/A,"PURCHM",FALSE,"Business Analysis";#N/A,"SPADD",FALSE,"Business Analysis"}</definedName>
    <definedName name="ñp" hidden="1">{#N/A,"PURCHM",FALSE,"Business Analysis";#N/A,"SPADD",FALSE,"Business Analysis"}</definedName>
    <definedName name="nuçui" localSheetId="3" hidden="1">{#N/A,#N/A,FALSE,"COMENTARIOS";#N/A,#N/A,FALSE,"BALANÇO";#N/A,#N/A,FALSE,"RESULTADO";#N/A,#N/A,FALSE," SALDOS ATIVOS";#N/A,#N/A,FALSE,"SALDOS PASSIVOS";#N/A,#N/A,FALSE,"RECEITA DE VENDAS";#N/A,#N/A,FALSE," CPV";#N/A,#N/A,FALSE,"DESP COMERCIAIS";#N/A,#N/A,FALSE,"DESP ADM";#N/A,#N/A,FALSE,"RES FIN ";#N/A,#N/A,FALSE,"OUTRAS  OP ";#N/A,#N/A,FALSE,"RES N OP ";#N/A,#N/A,FALSE,"INTERCIAS JAN";#N/A,#N/A,FALSE,"INTERCIAS FEV";#N/A,#N/A,FALSE,"INTERCIAS MAR";#N/A,#N/A,FALSE,"INTERCIAS ABR";#N/A,#N/A,FALSE,"INTERCIAS MAI";#N/A,#N/A,FALSE,"INTERCIAS JUN";#N/A,#N/A,FALSE,"INTERCIAS JUL";#N/A,#N/A,FALSE,"INRECIAS AGO";#N/A,#N/A,FALSE,"INTERCIAS SET";#N/A,#N/A,FALSE,"INTERCIAS OUT";#N/A,#N/A,FALSE,"INTERCIAS NOV";#N/A,#N/A,FALSE,"INTERCIAS DEZ"}</definedName>
    <definedName name="nuçui" localSheetId="7" hidden="1">{#N/A,#N/A,FALSE,"COMENTARIOS";#N/A,#N/A,FALSE,"BALANÇO";#N/A,#N/A,FALSE,"RESULTADO";#N/A,#N/A,FALSE," SALDOS ATIVOS";#N/A,#N/A,FALSE,"SALDOS PASSIVOS";#N/A,#N/A,FALSE,"RECEITA DE VENDAS";#N/A,#N/A,FALSE," CPV";#N/A,#N/A,FALSE,"DESP COMERCIAIS";#N/A,#N/A,FALSE,"DESP ADM";#N/A,#N/A,FALSE,"RES FIN ";#N/A,#N/A,FALSE,"OUTRAS  OP ";#N/A,#N/A,FALSE,"RES N OP ";#N/A,#N/A,FALSE,"INTERCIAS JAN";#N/A,#N/A,FALSE,"INTERCIAS FEV";#N/A,#N/A,FALSE,"INTERCIAS MAR";#N/A,#N/A,FALSE,"INTERCIAS ABR";#N/A,#N/A,FALSE,"INTERCIAS MAI";#N/A,#N/A,FALSE,"INTERCIAS JUN";#N/A,#N/A,FALSE,"INTERCIAS JUL";#N/A,#N/A,FALSE,"INRECIAS AGO";#N/A,#N/A,FALSE,"INTERCIAS SET";#N/A,#N/A,FALSE,"INTERCIAS OUT";#N/A,#N/A,FALSE,"INTERCIAS NOV";#N/A,#N/A,FALSE,"INTERCIAS DEZ"}</definedName>
    <definedName name="nuçui" hidden="1">{#N/A,#N/A,FALSE,"COMENTARIOS";#N/A,#N/A,FALSE,"BALANÇO";#N/A,#N/A,FALSE,"RESULTADO";#N/A,#N/A,FALSE," SALDOS ATIVOS";#N/A,#N/A,FALSE,"SALDOS PASSIVOS";#N/A,#N/A,FALSE,"RECEITA DE VENDAS";#N/A,#N/A,FALSE," CPV";#N/A,#N/A,FALSE,"DESP COMERCIAIS";#N/A,#N/A,FALSE,"DESP ADM";#N/A,#N/A,FALSE,"RES FIN ";#N/A,#N/A,FALSE,"OUTRAS  OP ";#N/A,#N/A,FALSE,"RES N OP ";#N/A,#N/A,FALSE,"INTERCIAS JAN";#N/A,#N/A,FALSE,"INTERCIAS FEV";#N/A,#N/A,FALSE,"INTERCIAS MAR";#N/A,#N/A,FALSE,"INTERCIAS ABR";#N/A,#N/A,FALSE,"INTERCIAS MAI";#N/A,#N/A,FALSE,"INTERCIAS JUN";#N/A,#N/A,FALSE,"INTERCIAS JUL";#N/A,#N/A,FALSE,"INRECIAS AGO";#N/A,#N/A,FALSE,"INTERCIAS SET";#N/A,#N/A,FALSE,"INTERCIAS OUT";#N/A,#N/A,FALSE,"INTERCIAS NOV";#N/A,#N/A,FALSE,"INTERCIAS DEZ"}</definedName>
    <definedName name="nuijh467" localSheetId="3" hidden="1">{"detail",#N/A,FALSE,"mfg";"summary",#N/A,FALSE,"mfg"}</definedName>
    <definedName name="nuijh467" localSheetId="7" hidden="1">{"detail",#N/A,FALSE,"mfg";"summary",#N/A,FALSE,"mfg"}</definedName>
    <definedName name="nuijh467" hidden="1">{"detail",#N/A,FALSE,"mfg";"summary",#N/A,FALSE,"mfg"}</definedName>
    <definedName name="o" localSheetId="3" hidden="1">{"detail",#N/A,FALSE,"mfg";"summary",#N/A,FALSE,"mfg"}</definedName>
    <definedName name="o" localSheetId="7" hidden="1">{"detail",#N/A,FALSE,"mfg";"summary",#N/A,FALSE,"mfg"}</definedName>
    <definedName name="o" hidden="1">{"detail",#N/A,FALSE,"mfg";"summary",#N/A,FALSE,"mfg"}</definedName>
    <definedName name="o8g" localSheetId="3" hidden="1">{#N/A,#N/A,FALSE,"INVERSIONES Y AMORTIZ";#N/A,#N/A,FALSE,"BALANCE";#N/A,#N/A,FALSE,"CUENTA DE PYG";#N/A,#N/A,FALSE,"CUENTA DE PYG (2)";#N/A,#N/A,FALSE,"RATIOS";#N/A,#N/A,FALSE,"G. PERSONAL";#N/A,#N/A,FALSE,"G. SOCIALES";#N/A,#N/A,FALSE,"G. GENERALES";#N/A,#N/A,FALSE,"LINEAS DE PRODUCTOS"}</definedName>
    <definedName name="o8g" localSheetId="7" hidden="1">{#N/A,#N/A,FALSE,"INVERSIONES Y AMORTIZ";#N/A,#N/A,FALSE,"BALANCE";#N/A,#N/A,FALSE,"CUENTA DE PYG";#N/A,#N/A,FALSE,"CUENTA DE PYG (2)";#N/A,#N/A,FALSE,"RATIOS";#N/A,#N/A,FALSE,"G. PERSONAL";#N/A,#N/A,FALSE,"G. SOCIALES";#N/A,#N/A,FALSE,"G. GENERALES";#N/A,#N/A,FALSE,"LINEAS DE PRODUCTOS"}</definedName>
    <definedName name="o8g" hidden="1">{#N/A,#N/A,FALSE,"INVERSIONES Y AMORTIZ";#N/A,#N/A,FALSE,"BALANCE";#N/A,#N/A,FALSE,"CUENTA DE PYG";#N/A,#N/A,FALSE,"CUENTA DE PYG (2)";#N/A,#N/A,FALSE,"RATIOS";#N/A,#N/A,FALSE,"G. PERSONAL";#N/A,#N/A,FALSE,"G. SOCIALES";#N/A,#N/A,FALSE,"G. GENERALES";#N/A,#N/A,FALSE,"LINEAS DE PRODUCTOS"}</definedName>
    <definedName name="o8gg7" localSheetId="3" hidden="1">{#N/A,#N/A,FALSE,"model"}</definedName>
    <definedName name="o8gg7" localSheetId="7" hidden="1">{#N/A,#N/A,FALSE,"model"}</definedName>
    <definedName name="o8gg7" hidden="1">{#N/A,#N/A,FALSE,"model"}</definedName>
    <definedName name="o8gy" localSheetId="3" hidden="1">{#N/A,#N/A,FALSE,"model"}</definedName>
    <definedName name="o8gy" localSheetId="7" hidden="1">{#N/A,#N/A,FALSE,"model"}</definedName>
    <definedName name="o8gy" hidden="1">{#N/A,#N/A,FALSE,"model"}</definedName>
    <definedName name="ogy" localSheetId="3" hidden="1">{#N/A,#N/A,FALSE,"Relatórios";"Vendas e Custos",#N/A,FALSE,"Vendas e Custos";"Premissas",#N/A,FALSE,"Premissas";"Projeções",#N/A,FALSE,"Projeções";"Dolar",#N/A,FALSE,"Dolar";"Original",#N/A,FALSE,"Original e UFIR"}</definedName>
    <definedName name="ogy" localSheetId="7" hidden="1">{#N/A,#N/A,FALSE,"Relatórios";"Vendas e Custos",#N/A,FALSE,"Vendas e Custos";"Premissas",#N/A,FALSE,"Premissas";"Projeções",#N/A,FALSE,"Projeções";"Dolar",#N/A,FALSE,"Dolar";"Original",#N/A,FALSE,"Original e UFIR"}</definedName>
    <definedName name="ogy" hidden="1">{#N/A,#N/A,FALSE,"Relatórios";"Vendas e Custos",#N/A,FALSE,"Vendas e Custos";"Premissas",#N/A,FALSE,"Premissas";"Projeções",#N/A,FALSE,"Projeções";"Dolar",#N/A,FALSE,"Dolar";"Original",#N/A,FALSE,"Original e UFIR"}</definedName>
    <definedName name="oi" localSheetId="3"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oi" localSheetId="7"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oi"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oifd" localSheetId="3" hidden="1">{"detail",#N/A,FALSE,"mfg";"summary",#N/A,FALSE,"mfg"}</definedName>
    <definedName name="oifd" localSheetId="7" hidden="1">{"detail",#N/A,FALSE,"mfg";"summary",#N/A,FALSE,"mfg"}</definedName>
    <definedName name="oifd" hidden="1">{"detail",#N/A,FALSE,"mfg";"summary",#N/A,FALSE,"mfg"}</definedName>
    <definedName name="oih" localSheetId="3" hidden="1">{#N/A,#N/A,FALSE,"Relatórios";"Vendas e Custos",#N/A,FALSE,"Vendas e Custos";"Premissas",#N/A,FALSE,"Premissas";"Projeções",#N/A,FALSE,"Projeções";"Dolar",#N/A,FALSE,"Dolar";"Original",#N/A,FALSE,"Original e UFIR"}</definedName>
    <definedName name="oih" localSheetId="7" hidden="1">{#N/A,#N/A,FALSE,"Relatórios";"Vendas e Custos",#N/A,FALSE,"Vendas e Custos";"Premissas",#N/A,FALSE,"Premissas";"Projeções",#N/A,FALSE,"Projeções";"Dolar",#N/A,FALSE,"Dolar";"Original",#N/A,FALSE,"Original e UFIR"}</definedName>
    <definedName name="oih" hidden="1">{#N/A,#N/A,FALSE,"Relatórios";"Vendas e Custos",#N/A,FALSE,"Vendas e Custos";"Premissas",#N/A,FALSE,"Premissas";"Projeções",#N/A,FALSE,"Projeções";"Dolar",#N/A,FALSE,"Dolar";"Original",#N/A,FALSE,"Original e UFIR"}</definedName>
    <definedName name="oiirx" localSheetId="3" hidden="1">{"net assets",#N/A,FALSE,"summary";"asset turnover",#N/A,FALSE,"summary";"orona",#N/A,FALSE,"summary"}</definedName>
    <definedName name="oiirx" localSheetId="7" hidden="1">{"net assets",#N/A,FALSE,"summary";"asset turnover",#N/A,FALSE,"summary";"orona",#N/A,FALSE,"summary"}</definedName>
    <definedName name="oiirx" hidden="1">{"net assets",#N/A,FALSE,"summary";"asset turnover",#N/A,FALSE,"summary";"orona",#N/A,FALSE,"summary"}</definedName>
    <definedName name="oimn" localSheetId="3" hidden="1">{"QTD_PRS",#N/A,FALSE,"QTD"}</definedName>
    <definedName name="oimn" localSheetId="7" hidden="1">{"QTD_PRS",#N/A,FALSE,"QTD"}</definedName>
    <definedName name="oimn" hidden="1">{"QTD_PRS",#N/A,FALSE,"QTD"}</definedName>
    <definedName name="oins" localSheetId="3" hidden="1">{"detail",#N/A,FALSE,"mfg";"summary",#N/A,FALSE,"mfg"}</definedName>
    <definedName name="oins" localSheetId="7" hidden="1">{"detail",#N/A,FALSE,"mfg";"summary",#N/A,FALSE,"mfg"}</definedName>
    <definedName name="oins" hidden="1">{"detail",#N/A,FALSE,"mfg";"summary",#N/A,FALSE,"mfg"}</definedName>
    <definedName name="oity" localSheetId="3" hidden="1">{#N/A,"PURADD",FALSE,"Business Analysis";#N/A,"PURSPP",FALSE,"Business Analysis";#N/A,"CTGIND",FALSE,"Business Analysis";#N/A,"PURCHM",FALSE,"Business Analysis";#N/A,"SPADD",FALSE,"Business Analysis";#N/A,"EPOXY",FALSE,"Business Analysis";#N/A,"PURPER",FALSE,"Business Analysis"}</definedName>
    <definedName name="oity" localSheetId="7" hidden="1">{#N/A,"PURADD",FALSE,"Business Analysis";#N/A,"PURSPP",FALSE,"Business Analysis";#N/A,"CTGIND",FALSE,"Business Analysis";#N/A,"PURCHM",FALSE,"Business Analysis";#N/A,"SPADD",FALSE,"Business Analysis";#N/A,"EPOXY",FALSE,"Business Analysis";#N/A,"PURPER",FALSE,"Business Analysis"}</definedName>
    <definedName name="oity" hidden="1">{#N/A,"PURADD",FALSE,"Business Analysis";#N/A,"PURSPP",FALSE,"Business Analysis";#N/A,"CTGIND",FALSE,"Business Analysis";#N/A,"PURCHM",FALSE,"Business Analysis";#N/A,"SPADD",FALSE,"Business Analysis";#N/A,"EPOXY",FALSE,"Business Analysis";#N/A,"PURPER",FALSE,"Business Analysis"}</definedName>
    <definedName name="oiu" localSheetId="3" hidden="1">{"AS REP",#N/A,FALSE,"EEFSNAP2";"PROP",#N/A,FALSE,"EEFSNAP2";"RISKS",#N/A,FALSE,"EEFSNAP2";"VIEW ALL",#N/A,FALSE,"EEFSNAP2"}</definedName>
    <definedName name="oiu" localSheetId="7" hidden="1">{"AS REP",#N/A,FALSE,"EEFSNAP2";"PROP",#N/A,FALSE,"EEFSNAP2";"RISKS",#N/A,FALSE,"EEFSNAP2";"VIEW ALL",#N/A,FALSE,"EEFSNAP2"}</definedName>
    <definedName name="oiu" hidden="1">{"AS REP",#N/A,FALSE,"EEFSNAP2";"PROP",#N/A,FALSE,"EEFSNAP2";"RISKS",#N/A,FALSE,"EEFSNAP2";"VIEW ALL",#N/A,FALSE,"EEFSNAP2"}</definedName>
    <definedName name="oiup" localSheetId="3" hidden="1">{#N/A,"PURCHM",FALSE,"Business Analysis";#N/A,"SPADD",FALSE,"Business Analysis"}</definedName>
    <definedName name="oiup" localSheetId="7" hidden="1">{#N/A,"PURCHM",FALSE,"Business Analysis";#N/A,"SPADD",FALSE,"Business Analysis"}</definedName>
    <definedName name="oiup" hidden="1">{#N/A,"PURCHM",FALSE,"Business Analysis";#N/A,"SPADD",FALSE,"Business Analysis"}</definedName>
    <definedName name="oiuy" localSheetId="3" hidden="1">{"Polymers Details",#N/A,FALSE,"Current Yr";"Polymer Details",#N/A,FALSE,"Budget";"Polymer Details",#N/A,FALSE,"Prior Year"}</definedName>
    <definedName name="oiuy" localSheetId="7" hidden="1">{"Polymers Details",#N/A,FALSE,"Current Yr";"Polymer Details",#N/A,FALSE,"Budget";"Polymer Details",#N/A,FALSE,"Prior Year"}</definedName>
    <definedName name="oiuy" hidden="1">{"Polymers Details",#N/A,FALSE,"Current Yr";"Polymer Details",#N/A,FALSE,"Budget";"Polymer Details",#N/A,FALSE,"Prior Year"}</definedName>
    <definedName name="OK" localSheetId="3" hidden="1">{#N/A,#N/A,FALSE,"REPORT"}</definedName>
    <definedName name="OK" localSheetId="7" hidden="1">{#N/A,#N/A,FALSE,"REPORT"}</definedName>
    <definedName name="OK" hidden="1">{#N/A,#N/A,FALSE,"REPORT"}</definedName>
    <definedName name="ol" localSheetId="3" hidden="1">{"vol data",#N/A,FALSE,"Datasheet";"vol graph",#N/A,FALSE,"Volume";"price data",#N/A,FALSE,"Datasheet";"price graph",#N/A,FALSE,"Price";"dp data",#N/A,FALSE,"Datasheet";"dp graph",#N/A,FALSE,"DirectProfit"}</definedName>
    <definedName name="ol" localSheetId="7" hidden="1">{"vol data",#N/A,FALSE,"Datasheet";"vol graph",#N/A,FALSE,"Volume";"price data",#N/A,FALSE,"Datasheet";"price graph",#N/A,FALSE,"Price";"dp data",#N/A,FALSE,"Datasheet";"dp graph",#N/A,FALSE,"DirectProfit"}</definedName>
    <definedName name="ol" hidden="1">{"vol data",#N/A,FALSE,"Datasheet";"vol graph",#N/A,FALSE,"Volume";"price data",#N/A,FALSE,"Datasheet";"price graph",#N/A,FALSE,"Price";"dp data",#N/A,FALSE,"Datasheet";"dp graph",#N/A,FALSE,"DirectProfit"}</definedName>
    <definedName name="ola" localSheetId="3" hidden="1">{#N/A,#N/A,TRUE,"ICMAN96 (1)"}</definedName>
    <definedName name="ola" localSheetId="7" hidden="1">{#N/A,#N/A,TRUE,"ICMAN96 (1)"}</definedName>
    <definedName name="ola" hidden="1">{#N/A,#N/A,TRUE,"ICMAN96 (1)"}</definedName>
    <definedName name="oliita" localSheetId="3" hidden="1">{#N/A,#N/A,TRUE,"ICMAN96 (1)"}</definedName>
    <definedName name="oliita" localSheetId="7" hidden="1">{#N/A,#N/A,TRUE,"ICMAN96 (1)"}</definedName>
    <definedName name="oliita" hidden="1">{#N/A,#N/A,TRUE,"ICMAN96 (1)"}</definedName>
    <definedName name="olita" localSheetId="3" hidden="1">{#N/A,#N/A,TRUE,"ICMAN96 (1)"}</definedName>
    <definedName name="olita" localSheetId="7" hidden="1">{#N/A,#N/A,TRUE,"ICMAN96 (1)"}</definedName>
    <definedName name="olita" hidden="1">{#N/A,#N/A,TRUE,"ICMAN96 (1)"}</definedName>
    <definedName name="on" localSheetId="3" hidden="1">{"overview",#N/A,FALSE,"summary";"net assets",#N/A,FALSE,"summary";"asset turnover",#N/A,FALSE,"summary";"orona",#N/A,FALSE,"summary"}</definedName>
    <definedName name="on" localSheetId="7" hidden="1">{"overview",#N/A,FALSE,"summary";"net assets",#N/A,FALSE,"summary";"asset turnover",#N/A,FALSE,"summary";"orona",#N/A,FALSE,"summary"}</definedName>
    <definedName name="on" hidden="1">{"overview",#N/A,FALSE,"summary";"net assets",#N/A,FALSE,"summary";"asset turnover",#N/A,FALSE,"summary";"orona",#N/A,FALSE,"summary"}</definedName>
    <definedName name="one" localSheetId="3" hidden="1">#REF!</definedName>
    <definedName name="one" hidden="1">#REF!</definedName>
    <definedName name="onj" localSheetId="3" hidden="1">{"Pa1",#N/A,FALSE,"OpExYTDvsPY";"Pa2",#N/A,FALSE,"OpExYTDvsPY"}</definedName>
    <definedName name="onj" localSheetId="7" hidden="1">{"Pa1",#N/A,FALSE,"OpExYTDvsPY";"Pa2",#N/A,FALSE,"OpExYTDvsPY"}</definedName>
    <definedName name="onj" hidden="1">{"Pa1",#N/A,FALSE,"OpExYTDvsPY";"Pa2",#N/A,FALSE,"OpExYTDvsPY"}</definedName>
    <definedName name="oo.ll" localSheetId="3" hidden="1">{#N/A,#N/A,FALSE,"Umsatz HM";#N/A,#N/A,FALSE,"ER HM";#N/A,#N/A,FALSE,"EA HM  (2)";#N/A,#N/A,FALSE,"EA HM ";#N/A,#N/A,FALSE,"EA HM  (4)";#N/A,#N/A,FALSE,"EA HM  (3)";#N/A,#N/A,FALSE,"KA HM  (2)";#N/A,#N/A,FALSE,"KA HM";#N/A,#N/A,FALSE,"KA HM  (3)";#N/A,#N/A,FALSE,"KA HM (4)"}</definedName>
    <definedName name="oo.ll" localSheetId="7" hidden="1">{#N/A,#N/A,FALSE,"Umsatz HM";#N/A,#N/A,FALSE,"ER HM";#N/A,#N/A,FALSE,"EA HM  (2)";#N/A,#N/A,FALSE,"EA HM ";#N/A,#N/A,FALSE,"EA HM  (4)";#N/A,#N/A,FALSE,"EA HM  (3)";#N/A,#N/A,FALSE,"KA HM  (2)";#N/A,#N/A,FALSE,"KA HM";#N/A,#N/A,FALSE,"KA HM  (3)";#N/A,#N/A,FALSE,"KA HM (4)"}</definedName>
    <definedName name="oo.ll" hidden="1">{#N/A,#N/A,FALSE,"Umsatz HM";#N/A,#N/A,FALSE,"ER HM";#N/A,#N/A,FALSE,"EA HM  (2)";#N/A,#N/A,FALSE,"EA HM ";#N/A,#N/A,FALSE,"EA HM  (4)";#N/A,#N/A,FALSE,"EA HM  (3)";#N/A,#N/A,FALSE,"KA HM  (2)";#N/A,#N/A,FALSE,"KA HM";#N/A,#N/A,FALSE,"KA HM  (3)";#N/A,#N/A,FALSE,"KA HM (4)"}</definedName>
    <definedName name="ööl" localSheetId="3" hidden="1">{#N/A,#N/A,FALSE,"KA CH  (2)"}</definedName>
    <definedName name="ööl" localSheetId="7" hidden="1">{#N/A,#N/A,FALSE,"KA CH  (2)"}</definedName>
    <definedName name="ööl" hidden="1">{#N/A,#N/A,FALSE,"KA CH  (2)"}</definedName>
    <definedName name="öölälkk" localSheetId="3" hidden="1">{#N/A,#N/A,FALSE,"Umsatz 99";#N/A,#N/A,FALSE,"ER 99 "}</definedName>
    <definedName name="öölälkk" localSheetId="7" hidden="1">{#N/A,#N/A,FALSE,"Umsatz 99";#N/A,#N/A,FALSE,"ER 99 "}</definedName>
    <definedName name="öölälkk" hidden="1">{#N/A,#N/A,FALSE,"Umsatz 99";#N/A,#N/A,FALSE,"ER 99 "}</definedName>
    <definedName name="öölkk" localSheetId="3" hidden="1">{#N/A,#N/A,FALSE,"Umsatz CH";#N/A,#N/A,FALSE,"ER CH";#N/A,#N/A,FALSE,"EA CH (2) ";#N/A,#N/A,FALSE,"EA CH";#N/A,#N/A,FALSE,"EA CH (3) ";#N/A,#N/A,FALSE,"EA CH (4)";#N/A,#N/A,FALSE,"KA CH";#N/A,#N/A,FALSE,"KA CH  (2)";#N/A,#N/A,FALSE,"KA CH  (3)";#N/A,#N/A,FALSE,"KA CH (4)"}</definedName>
    <definedName name="öölkk" localSheetId="7" hidden="1">{#N/A,#N/A,FALSE,"Umsatz CH";#N/A,#N/A,FALSE,"ER CH";#N/A,#N/A,FALSE,"EA CH (2) ";#N/A,#N/A,FALSE,"EA CH";#N/A,#N/A,FALSE,"EA CH (3) ";#N/A,#N/A,FALSE,"EA CH (4)";#N/A,#N/A,FALSE,"KA CH";#N/A,#N/A,FALSE,"KA CH  (2)";#N/A,#N/A,FALSE,"KA CH  (3)";#N/A,#N/A,FALSE,"KA CH (4)"}</definedName>
    <definedName name="öölkk" hidden="1">{#N/A,#N/A,FALSE,"Umsatz CH";#N/A,#N/A,FALSE,"ER CH";#N/A,#N/A,FALSE,"EA CH (2) ";#N/A,#N/A,FALSE,"EA CH";#N/A,#N/A,FALSE,"EA CH (3) ";#N/A,#N/A,FALSE,"EA CH (4)";#N/A,#N/A,FALSE,"KA CH";#N/A,#N/A,FALSE,"KA CH  (2)";#N/A,#N/A,FALSE,"KA CH  (3)";#N/A,#N/A,FALSE,"KA CH (4)"}</definedName>
    <definedName name="oolo.lll" localSheetId="3" hidden="1">{#N/A,#N/A,FALSE,"Umsatz 99";#N/A,#N/A,FALSE,"ER 99 "}</definedName>
    <definedName name="oolo.lll" localSheetId="7" hidden="1">{#N/A,#N/A,FALSE,"Umsatz 99";#N/A,#N/A,FALSE,"ER 99 "}</definedName>
    <definedName name="oolo.lll" hidden="1">{#N/A,#N/A,FALSE,"Umsatz 99";#N/A,#N/A,FALSE,"ER 99 "}</definedName>
    <definedName name="ooo" localSheetId="3" hidden="1">{#N/A,#N/A,FALSE,"REPORT"}</definedName>
    <definedName name="ooo" localSheetId="7" hidden="1">{#N/A,#N/A,FALSE,"REPORT"}</definedName>
    <definedName name="ooo" hidden="1">{#N/A,#N/A,FALSE,"REPORT"}</definedName>
    <definedName name="ööö" localSheetId="3" hidden="1">{#N/A,#N/A,FALSE,"Produkte Erw.";#N/A,#N/A,FALSE,"Produkte Plan";#N/A,#N/A,FALSE,"Leistungen Erw.";#N/A,#N/A,FALSE,"Leistungen Plan";#N/A,#N/A,FALSE,"KA Allg.Kosten (2)";#N/A,#N/A,FALSE,"KA All.Kosten"}</definedName>
    <definedName name="ööö" localSheetId="7" hidden="1">{#N/A,#N/A,FALSE,"Produkte Erw.";#N/A,#N/A,FALSE,"Produkte Plan";#N/A,#N/A,FALSE,"Leistungen Erw.";#N/A,#N/A,FALSE,"Leistungen Plan";#N/A,#N/A,FALSE,"KA Allg.Kosten (2)";#N/A,#N/A,FALSE,"KA All.Kosten"}</definedName>
    <definedName name="ööö" hidden="1">{#N/A,#N/A,FALSE,"Produkte Erw.";#N/A,#N/A,FALSE,"Produkte Plan";#N/A,#N/A,FALSE,"Leistungen Erw.";#N/A,#N/A,FALSE,"Leistungen Plan";#N/A,#N/A,FALSE,"KA Allg.Kosten (2)";#N/A,#N/A,FALSE,"KA All.Kosten"}</definedName>
    <definedName name="oooo" localSheetId="3" hidden="1">{#N/A,#N/A,FALSE,"Rohstoffnotierungen";#N/A,#N/A,FALSE,"ER HCST Erw. 99";#N/A,#N/A,FALSE,"ER HCST Plan 00";#N/A,#N/A,FALSE,"Umsatz KG";#N/A,#N/A,FALSE,"ER HCST";#N/A,#N/A,FALSE,"EA ST (2)";#N/A,#N/A,FALSE,"EA ST";#N/A,#N/A,FALSE,"EA ST (3)";#N/A,#N/A,FALSE,"EA ST (4)";#N/A,#N/A,FALSE,"KA ST  (2)";#N/A,#N/A,FALSE,"KA ST";#N/A,#N/A,FALSE,"KA ST  (3)";#N/A,#N/A,FALSE,"KA ST (4)"}</definedName>
    <definedName name="oooo" localSheetId="7" hidden="1">{#N/A,#N/A,FALSE,"Rohstoffnotierungen";#N/A,#N/A,FALSE,"ER HCST Erw. 99";#N/A,#N/A,FALSE,"ER HCST Plan 00";#N/A,#N/A,FALSE,"Umsatz KG";#N/A,#N/A,FALSE,"ER HCST";#N/A,#N/A,FALSE,"EA ST (2)";#N/A,#N/A,FALSE,"EA ST";#N/A,#N/A,FALSE,"EA ST (3)";#N/A,#N/A,FALSE,"EA ST (4)";#N/A,#N/A,FALSE,"KA ST  (2)";#N/A,#N/A,FALSE,"KA ST";#N/A,#N/A,FALSE,"KA ST  (3)";#N/A,#N/A,FALSE,"KA ST (4)"}</definedName>
    <definedName name="oooo" hidden="1">{#N/A,#N/A,FALSE,"Rohstoffnotierungen";#N/A,#N/A,FALSE,"ER HCST Erw. 99";#N/A,#N/A,FALSE,"ER HCST Plan 00";#N/A,#N/A,FALSE,"Umsatz KG";#N/A,#N/A,FALSE,"ER HCST";#N/A,#N/A,FALSE,"EA ST (2)";#N/A,#N/A,FALSE,"EA ST";#N/A,#N/A,FALSE,"EA ST (3)";#N/A,#N/A,FALSE,"EA ST (4)";#N/A,#N/A,FALSE,"KA ST  (2)";#N/A,#N/A,FALSE,"KA ST";#N/A,#N/A,FALSE,"KA ST  (3)";#N/A,#N/A,FALSE,"KA ST (4)"}</definedName>
    <definedName name="oooooooo" localSheetId="3" hidden="1">{#N/A,#N/A,FALSE,"Umsatz 99";#N/A,#N/A,FALSE,"ER 99 "}</definedName>
    <definedName name="oooooooo" localSheetId="7" hidden="1">{#N/A,#N/A,FALSE,"Umsatz 99";#N/A,#N/A,FALSE,"ER 99 "}</definedName>
    <definedName name="oooooooo" hidden="1">{#N/A,#N/A,FALSE,"Umsatz 99";#N/A,#N/A,FALSE,"ER 99 "}</definedName>
    <definedName name="opiu" localSheetId="3" hidden="1">{"Comp_of_Price_Effect",#N/A,FALSE,"QTRDPVAR"}</definedName>
    <definedName name="opiu" localSheetId="7" hidden="1">{"Comp_of_Price_Effect",#N/A,FALSE,"QTRDPVAR"}</definedName>
    <definedName name="opiu" hidden="1">{"Comp_of_Price_Effect",#N/A,FALSE,"QTRDPVAR"}</definedName>
    <definedName name="oplk" localSheetId="3" hidden="1">{"Page1",#N/A,FALSE,"OpExJanvsBud";"Page2",#N/A,FALSE,"OpExJanvsBud"}</definedName>
    <definedName name="oplk" localSheetId="7" hidden="1">{"Page1",#N/A,FALSE,"OpExJanvsBud";"Page2",#N/A,FALSE,"OpExJanvsBud"}</definedName>
    <definedName name="oplk" hidden="1">{"Page1",#N/A,FALSE,"OpExJanvsBud";"Page2",#N/A,FALSE,"OpExJanvsBud"}</definedName>
    <definedName name="opndixm" localSheetId="3" hidden="1">{"detail",#N/A,FALSE,"mfg";"summary",#N/A,FALSE,"mfg"}</definedName>
    <definedName name="opndixm" localSheetId="7" hidden="1">{"detail",#N/A,FALSE,"mfg";"summary",#N/A,FALSE,"mfg"}</definedName>
    <definedName name="opndixm" hidden="1">{"detail",#N/A,FALSE,"mfg";"summary",#N/A,FALSE,"mfg"}</definedName>
    <definedName name="oqi" hidden="1">#REF!</definedName>
    <definedName name="orig.incomestmt" localSheetId="3" hidden="1">{"IT",#N/A,FALSE,"GRAPHS";"Services",#N/A,FALSE,"GRAPHS";"Subsurface",#N/A,FALSE,"GRAPHS";"Production",#N/A,FALSE,"GRAPHS";"Facilities",#N/A,FALSE,"GRAPHS";"Pipeline &amp; Terminal",#N/A,FALSE,"GRAPHS";"Safety",#N/A,FALSE,"GRAPHS";"Commercial",#N/A,FALSE,"GRAPHS"}</definedName>
    <definedName name="orig.incomestmt" localSheetId="7" hidden="1">{"IT",#N/A,FALSE,"GRAPHS";"Services",#N/A,FALSE,"GRAPHS";"Subsurface",#N/A,FALSE,"GRAPHS";"Production",#N/A,FALSE,"GRAPHS";"Facilities",#N/A,FALSE,"GRAPHS";"Pipeline &amp; Terminal",#N/A,FALSE,"GRAPHS";"Safety",#N/A,FALSE,"GRAPHS";"Commercial",#N/A,FALSE,"GRAPHS"}</definedName>
    <definedName name="orig.incomestmt" hidden="1">{"IT",#N/A,FALSE,"GRAPHS";"Services",#N/A,FALSE,"GRAPHS";"Subsurface",#N/A,FALSE,"GRAPHS";"Production",#N/A,FALSE,"GRAPHS";"Facilities",#N/A,FALSE,"GRAPHS";"Pipeline &amp; Terminal",#N/A,FALSE,"GRAPHS";"Safety",#N/A,FALSE,"GRAPHS";"Commercial",#N/A,FALSE,"GRAPHS"}</definedName>
    <definedName name="os" localSheetId="3" hidden="1">{#N/A,#N/A,TRUE,"ICMAN96 (1)"}</definedName>
    <definedName name="os" localSheetId="7" hidden="1">{#N/A,#N/A,TRUE,"ICMAN96 (1)"}</definedName>
    <definedName name="os" hidden="1">{#N/A,#N/A,TRUE,"ICMAN96 (1)"}</definedName>
    <definedName name="osmar" localSheetId="3" hidden="1">{#N/A,#N/A,TRUE,"ICMAN96 (1)"}</definedName>
    <definedName name="osmar" localSheetId="7" hidden="1">{#N/A,#N/A,TRUE,"ICMAN96 (1)"}</definedName>
    <definedName name="osmar" hidden="1">{#N/A,#N/A,TRUE,"ICMAN96 (1)"}</definedName>
    <definedName name="other33" localSheetId="3" hidden="1">{#N/A,#N/A,FALSE,"Pharm";#N/A,#N/A,FALSE,"WWCM"}</definedName>
    <definedName name="other33" localSheetId="7" hidden="1">{#N/A,#N/A,FALSE,"Pharm";#N/A,#N/A,FALSE,"WWCM"}</definedName>
    <definedName name="other33" hidden="1">{#N/A,#N/A,FALSE,"Pharm";#N/A,#N/A,FALSE,"WWCM"}</definedName>
    <definedName name="othermar" localSheetId="3" hidden="1">{#N/A,#N/A,FALSE,"Pharm";#N/A,#N/A,FALSE,"WWCM"}</definedName>
    <definedName name="othermar" localSheetId="7" hidden="1">{#N/A,#N/A,FALSE,"Pharm";#N/A,#N/A,FALSE,"WWCM"}</definedName>
    <definedName name="othermar" hidden="1">{#N/A,#N/A,FALSE,"Pharm";#N/A,#N/A,FALSE,"WWCM"}</definedName>
    <definedName name="ou" localSheetId="3" hidden="1">{"QTR_ACT",#N/A,FALSE,"PROP_PBIT_DEV_Q3";"QTR_BUD",#N/A,FALSE,"PROP_PBIT_DEV_Q3";"YTD_BUD",#N/A,FALSE,"PROP_PBIT_DEV_Q3";"YTD_ACT",#N/A,FALSE,"PROP_PBIT_DEV_Q3";"FY95 SNAP3",#N/A,FALSE,"PROP_PBIT_DEV_Q3";"FY95_BUD",#N/A,FALSE,"PROP_PBIT_DEV_Q3";"FY96_BUD",#N/A,FALSE,"PROP_PBIT_DEV_Q3"}</definedName>
    <definedName name="ou" localSheetId="7" hidden="1">{"QTR_ACT",#N/A,FALSE,"PROP_PBIT_DEV_Q3";"QTR_BUD",#N/A,FALSE,"PROP_PBIT_DEV_Q3";"YTD_BUD",#N/A,FALSE,"PROP_PBIT_DEV_Q3";"YTD_ACT",#N/A,FALSE,"PROP_PBIT_DEV_Q3";"FY95 SNAP3",#N/A,FALSE,"PROP_PBIT_DEV_Q3";"FY95_BUD",#N/A,FALSE,"PROP_PBIT_DEV_Q3";"FY96_BUD",#N/A,FALSE,"PROP_PBIT_DEV_Q3"}</definedName>
    <definedName name="ou" hidden="1">{"QTR_ACT",#N/A,FALSE,"PROP_PBIT_DEV_Q3";"QTR_BUD",#N/A,FALSE,"PROP_PBIT_DEV_Q3";"YTD_BUD",#N/A,FALSE,"PROP_PBIT_DEV_Q3";"YTD_ACT",#N/A,FALSE,"PROP_PBIT_DEV_Q3";"FY95 SNAP3",#N/A,FALSE,"PROP_PBIT_DEV_Q3";"FY95_BUD",#N/A,FALSE,"PROP_PBIT_DEV_Q3";"FY96_BUD",#N/A,FALSE,"PROP_PBIT_DEV_Q3"}</definedName>
    <definedName name="ougy" localSheetId="3" hidden="1">{#N/A,#N/A,FALSE,"COMENTARIOS";#N/A,#N/A,FALSE,"BALANÇO";#N/A,#N/A,FALSE,"RESULTADO";#N/A,#N/A,FALSE," SALDOS ATIVOS";#N/A,#N/A,FALSE,"SALDOS PASSIVOS";#N/A,#N/A,FALSE,"RECEITA DE VENDAS";#N/A,#N/A,FALSE," CPV";#N/A,#N/A,FALSE,"DESP COMERCIAIS";#N/A,#N/A,FALSE,"DESP ADM";#N/A,#N/A,FALSE,"RES FIN ";#N/A,#N/A,FALSE,"OUTRAS  OP ";#N/A,#N/A,FALSE,"RES N OP ";#N/A,#N/A,FALSE,"INTERCIAS JAN";#N/A,#N/A,FALSE,"INTERCIAS FEV";#N/A,#N/A,FALSE,"INTERCIAS MAR";#N/A,#N/A,FALSE,"INTERCIAS ABR";#N/A,#N/A,FALSE,"INTERCIAS MAI";#N/A,#N/A,FALSE,"INTERCIAS JUN";#N/A,#N/A,FALSE,"INTERCIAS JUL";#N/A,#N/A,FALSE,"INRECIAS AGO";#N/A,#N/A,FALSE,"INTERCIAS SET";#N/A,#N/A,FALSE,"INTERCIAS OUT";#N/A,#N/A,FALSE,"INTERCIAS NOV";#N/A,#N/A,FALSE,"INTERCIAS DEZ"}</definedName>
    <definedName name="ougy" localSheetId="7" hidden="1">{#N/A,#N/A,FALSE,"COMENTARIOS";#N/A,#N/A,FALSE,"BALANÇO";#N/A,#N/A,FALSE,"RESULTADO";#N/A,#N/A,FALSE," SALDOS ATIVOS";#N/A,#N/A,FALSE,"SALDOS PASSIVOS";#N/A,#N/A,FALSE,"RECEITA DE VENDAS";#N/A,#N/A,FALSE," CPV";#N/A,#N/A,FALSE,"DESP COMERCIAIS";#N/A,#N/A,FALSE,"DESP ADM";#N/A,#N/A,FALSE,"RES FIN ";#N/A,#N/A,FALSE,"OUTRAS  OP ";#N/A,#N/A,FALSE,"RES N OP ";#N/A,#N/A,FALSE,"INTERCIAS JAN";#N/A,#N/A,FALSE,"INTERCIAS FEV";#N/A,#N/A,FALSE,"INTERCIAS MAR";#N/A,#N/A,FALSE,"INTERCIAS ABR";#N/A,#N/A,FALSE,"INTERCIAS MAI";#N/A,#N/A,FALSE,"INTERCIAS JUN";#N/A,#N/A,FALSE,"INTERCIAS JUL";#N/A,#N/A,FALSE,"INRECIAS AGO";#N/A,#N/A,FALSE,"INTERCIAS SET";#N/A,#N/A,FALSE,"INTERCIAS OUT";#N/A,#N/A,FALSE,"INTERCIAS NOV";#N/A,#N/A,FALSE,"INTERCIAS DEZ"}</definedName>
    <definedName name="ougy" hidden="1">{#N/A,#N/A,FALSE,"COMENTARIOS";#N/A,#N/A,FALSE,"BALANÇO";#N/A,#N/A,FALSE,"RESULTADO";#N/A,#N/A,FALSE," SALDOS ATIVOS";#N/A,#N/A,FALSE,"SALDOS PASSIVOS";#N/A,#N/A,FALSE,"RECEITA DE VENDAS";#N/A,#N/A,FALSE," CPV";#N/A,#N/A,FALSE,"DESP COMERCIAIS";#N/A,#N/A,FALSE,"DESP ADM";#N/A,#N/A,FALSE,"RES FIN ";#N/A,#N/A,FALSE,"OUTRAS  OP ";#N/A,#N/A,FALSE,"RES N OP ";#N/A,#N/A,FALSE,"INTERCIAS JAN";#N/A,#N/A,FALSE,"INTERCIAS FEV";#N/A,#N/A,FALSE,"INTERCIAS MAR";#N/A,#N/A,FALSE,"INTERCIAS ABR";#N/A,#N/A,FALSE,"INTERCIAS MAI";#N/A,#N/A,FALSE,"INTERCIAS JUN";#N/A,#N/A,FALSE,"INTERCIAS JUL";#N/A,#N/A,FALSE,"INRECIAS AGO";#N/A,#N/A,FALSE,"INTERCIAS SET";#N/A,#N/A,FALSE,"INTERCIAS OUT";#N/A,#N/A,FALSE,"INTERCIAS NOV";#N/A,#N/A,FALSE,"INTERCIAS DEZ"}</definedName>
    <definedName name="OUTRO" localSheetId="3" hidden="1">{"'PXR_6500'!$A$1:$I$124"}</definedName>
    <definedName name="OUTRO" localSheetId="7" hidden="1">{"'PXR_6500'!$A$1:$I$124"}</definedName>
    <definedName name="OUTRO" hidden="1">{"'PXR_6500'!$A$1:$I$124"}</definedName>
    <definedName name="owmkib" localSheetId="3" hidden="1">{"detail",#N/A,FALSE,"mfg";"summary",#N/A,FALSE,"mfg"}</definedName>
    <definedName name="owmkib" localSheetId="7" hidden="1">{"detail",#N/A,FALSE,"mfg";"summary",#N/A,FALSE,"mfg"}</definedName>
    <definedName name="owmkib" hidden="1">{"detail",#N/A,FALSE,"mfg";"summary",#N/A,FALSE,"mfg"}</definedName>
    <definedName name="p09i" localSheetId="3" hidden="1">{#N/A,"PURADD",FALSE,"Business Analysis";#N/A,"PURSPP",FALSE,"Business Analysis";#N/A,"CTGIND",FALSE,"Business Analysis";#N/A,"PURCHM",FALSE,"Business Analysis";#N/A,"SPADD",FALSE,"Business Analysis";#N/A,"EPOXY",FALSE,"Business Analysis";#N/A,"PURPER",FALSE,"Business Analysis"}</definedName>
    <definedName name="p09i" localSheetId="7" hidden="1">{#N/A,"PURADD",FALSE,"Business Analysis";#N/A,"PURSPP",FALSE,"Business Analysis";#N/A,"CTGIND",FALSE,"Business Analysis";#N/A,"PURCHM",FALSE,"Business Analysis";#N/A,"SPADD",FALSE,"Business Analysis";#N/A,"EPOXY",FALSE,"Business Analysis";#N/A,"PURPER",FALSE,"Business Analysis"}</definedName>
    <definedName name="p09i" hidden="1">{#N/A,"PURADD",FALSE,"Business Analysis";#N/A,"PURSPP",FALSE,"Business Analysis";#N/A,"CTGIND",FALSE,"Business Analysis";#N/A,"PURCHM",FALSE,"Business Analysis";#N/A,"SPADD",FALSE,"Business Analysis";#N/A,"EPOXY",FALSE,"Business Analysis";#N/A,"PURPER",FALSE,"Business Analysis"}</definedName>
    <definedName name="p0io" localSheetId="3" hidden="1">{#N/A,"PURCHM",FALSE,"Business Analysis";#N/A,"SPADD",FALSE,"Business Analysis"}</definedName>
    <definedName name="p0io" localSheetId="7" hidden="1">{#N/A,"PURCHM",FALSE,"Business Analysis";#N/A,"SPADD",FALSE,"Business Analysis"}</definedName>
    <definedName name="p0io" hidden="1">{#N/A,"PURCHM",FALSE,"Business Analysis";#N/A,"SPADD",FALSE,"Business Analysis"}</definedName>
    <definedName name="Parte1a." localSheetId="0" hidden="1">{"PARTE1",#N/A,FALSE,"Plan1"}</definedName>
    <definedName name="Parte1a." localSheetId="3" hidden="1">{"PARTE1",#N/A,FALSE,"Plan1"}</definedName>
    <definedName name="Parte1a." localSheetId="7" hidden="1">{"PARTE1",#N/A,FALSE,"Plan1"}</definedName>
    <definedName name="Parte1a." hidden="1">{"PARTE1",#N/A,FALSE,"Plan1"}</definedName>
    <definedName name="Parte2" localSheetId="0" hidden="1">{"PARTE1",#N/A,FALSE,"Plan1"}</definedName>
    <definedName name="Parte2" localSheetId="3" hidden="1">{"PARTE1",#N/A,FALSE,"Plan1"}</definedName>
    <definedName name="Parte2" localSheetId="7" hidden="1">{"PARTE1",#N/A,FALSE,"Plan1"}</definedName>
    <definedName name="Parte2" hidden="1">{"PARTE1",#N/A,FALSE,"Plan1"}</definedName>
    <definedName name="pb" localSheetId="3" hidden="1">{"net assets",#N/A,FALSE,"summary";"asset turnover",#N/A,FALSE,"summary";"orona",#N/A,FALSE,"summary"}</definedName>
    <definedName name="pb" localSheetId="7" hidden="1">{"net assets",#N/A,FALSE,"summary";"asset turnover",#N/A,FALSE,"summary";"orona",#N/A,FALSE,"summary"}</definedName>
    <definedName name="pb" hidden="1">{"net assets",#N/A,FALSE,"summary";"asset turnover",#N/A,FALSE,"summary";"orona",#N/A,FALSE,"summary"}</definedName>
    <definedName name="PCA" hidden="1">"BL7FKFTY6NDALOTZZF8PFRAS6"</definedName>
    <definedName name="pd" localSheetId="3" hidden="1">{"detail",#N/A,FALSE,"mfg";"summary",#N/A,FALSE,"mfg"}</definedName>
    <definedName name="pd" localSheetId="7" hidden="1">{"detail",#N/A,FALSE,"mfg";"summary",#N/A,FALSE,"mfg"}</definedName>
    <definedName name="pd" hidden="1">{"detail",#N/A,FALSE,"mfg";"summary",#N/A,FALSE,"mfg"}</definedName>
    <definedName name="Pecem" localSheetId="3" hidden="1">Main.SAPF4Help()</definedName>
    <definedName name="Pecem" localSheetId="7" hidden="1">Main.SAPF4Help()</definedName>
    <definedName name="Pecem" hidden="1">Main.SAPF4Help()</definedName>
    <definedName name="pedro" localSheetId="3" hidden="1">{#N/A,#N/A,FALSE,"Pedidos Abiertos"}</definedName>
    <definedName name="pedro" localSheetId="7" hidden="1">{#N/A,#N/A,FALSE,"Pedidos Abiertos"}</definedName>
    <definedName name="pedro" hidden="1">{#N/A,#N/A,FALSE,"Pedidos Abiertos"}</definedName>
    <definedName name="pepe" localSheetId="3" hidden="1">{#N/A,#N/A,FALSE,"Pharm";#N/A,#N/A,FALSE,"WWCM"}</definedName>
    <definedName name="pepe" localSheetId="7" hidden="1">{#N/A,#N/A,FALSE,"Pharm";#N/A,#N/A,FALSE,"WWCM"}</definedName>
    <definedName name="pepe" hidden="1">{#N/A,#N/A,FALSE,"Pharm";#N/A,#N/A,FALSE,"WWCM"}</definedName>
    <definedName name="PEPE4" localSheetId="3" hidden="1">{#N/A,#N/A,FALSE,"Pharm";#N/A,#N/A,FALSE,"WWCM"}</definedName>
    <definedName name="PEPE4" localSheetId="7" hidden="1">{#N/A,#N/A,FALSE,"Pharm";#N/A,#N/A,FALSE,"WWCM"}</definedName>
    <definedName name="PEPE4" hidden="1">{#N/A,#N/A,FALSE,"Pharm";#N/A,#N/A,FALSE,"WWCM"}</definedName>
    <definedName name="PEPE5" localSheetId="3" hidden="1">{#N/A,#N/A,FALSE,"Pharm";#N/A,#N/A,FALSE,"WWCM"}</definedName>
    <definedName name="PEPE5" localSheetId="7" hidden="1">{#N/A,#N/A,FALSE,"Pharm";#N/A,#N/A,FALSE,"WWCM"}</definedName>
    <definedName name="PEPE5" hidden="1">{#N/A,#N/A,FALSE,"Pharm";#N/A,#N/A,FALSE,"WWCM"}</definedName>
    <definedName name="pg" localSheetId="3" hidden="1">{"summary",#N/A,FALSE,"summary";"sales growth",#N/A,FALSE,"summary";"oper income",#N/A,FALSE,"summary";"oros rank",#N/A,FALSE,"summary";"net assets",#N/A,FALSE,"summary";"asset turnover",#N/A,FALSE,"summary";"orona",#N/A,FALSE,"summary";"total return",#N/A,FALSE,"summary";"overview",#N/A,FALSE,"summary"}</definedName>
    <definedName name="pg" localSheetId="7" hidden="1">{"summary",#N/A,FALSE,"summary";"sales growth",#N/A,FALSE,"summary";"oper income",#N/A,FALSE,"summary";"oros rank",#N/A,FALSE,"summary";"net assets",#N/A,FALSE,"summary";"asset turnover",#N/A,FALSE,"summary";"orona",#N/A,FALSE,"summary";"total return",#N/A,FALSE,"summary";"overview",#N/A,FALSE,"summary"}</definedName>
    <definedName name="pg" hidden="1">{"summary",#N/A,FALSE,"summary";"sales growth",#N/A,FALSE,"summary";"oper income",#N/A,FALSE,"summary";"oros rank",#N/A,FALSE,"summary";"net assets",#N/A,FALSE,"summary";"asset turnover",#N/A,FALSE,"summary";"orona",#N/A,FALSE,"summary";"total return",#N/A,FALSE,"summary";"overview",#N/A,FALSE,"summary"}</definedName>
    <definedName name="pharma" localSheetId="3" hidden="1">{#N/A,#N/A,FALSE,"Sales Graph";#N/A,#N/A,FALSE,"PSBM";#N/A,#N/A,FALSE,"BUC Graph";#N/A,#N/A,FALSE,"P&amp;L - YTD"}</definedName>
    <definedName name="pharma" localSheetId="7" hidden="1">{#N/A,#N/A,FALSE,"Sales Graph";#N/A,#N/A,FALSE,"PSBM";#N/A,#N/A,FALSE,"BUC Graph";#N/A,#N/A,FALSE,"P&amp;L - YTD"}</definedName>
    <definedName name="pharma" hidden="1">{#N/A,#N/A,FALSE,"Sales Graph";#N/A,#N/A,FALSE,"PSBM";#N/A,#N/A,FALSE,"BUC Graph";#N/A,#N/A,FALSE,"P&amp;L - YTD"}</definedName>
    <definedName name="pi" localSheetId="3" hidden="1">{"oct_res_comm",#N/A,FALSE,"VarToBud"}</definedName>
    <definedName name="pi" localSheetId="7" hidden="1">{"oct_res_comm",#N/A,FALSE,"VarToBud"}</definedName>
    <definedName name="pi" hidden="1">{"oct_res_comm",#N/A,FALSE,"VarToBud"}</definedName>
    <definedName name="PILAR" localSheetId="3" hidden="1">{"detail",#N/A,FALSE,"mfg";"summary",#N/A,FALSE,"mfg"}</definedName>
    <definedName name="PILAR" localSheetId="7" hidden="1">{"detail",#N/A,FALSE,"mfg";"summary",#N/A,FALSE,"mfg"}</definedName>
    <definedName name="PILAR" hidden="1">{"detail",#N/A,FALSE,"mfg";"summary",#N/A,FALSE,"mfg"}</definedName>
    <definedName name="pilk" localSheetId="3" hidden="1">{"YD LPH2",#N/A,FALSE,"YTD"}</definedName>
    <definedName name="pilk" localSheetId="7" hidden="1">{"YD LPH2",#N/A,FALSE,"YTD"}</definedName>
    <definedName name="pilk" hidden="1">{"YD LPH2",#N/A,FALSE,"YTD"}</definedName>
    <definedName name="pjçlk" localSheetId="3" hidden="1">{"'PXR_6500'!$A$1:$I$124"}</definedName>
    <definedName name="pjçlk" localSheetId="7" hidden="1">{"'PXR_6500'!$A$1:$I$124"}</definedName>
    <definedName name="pjçlk" hidden="1">{"'PXR_6500'!$A$1:$I$124"}</definedName>
    <definedName name="pk" localSheetId="3" hidden="1">{"vol data",#N/A,FALSE,"Datasheet";"vol graph",#N/A,FALSE,"Volume";"price data",#N/A,FALSE,"Datasheet";"price graph",#N/A,FALSE,"Price";"dp data",#N/A,FALSE,"Datasheet";"dp graph",#N/A,FALSE,"DirectProfit"}</definedName>
    <definedName name="pk" localSheetId="7" hidden="1">{"vol data",#N/A,FALSE,"Datasheet";"vol graph",#N/A,FALSE,"Volume";"price data",#N/A,FALSE,"Datasheet";"price graph",#N/A,FALSE,"Price";"dp data",#N/A,FALSE,"Datasheet";"dp graph",#N/A,FALSE,"DirectProfit"}</definedName>
    <definedName name="pk" hidden="1">{"vol data",#N/A,FALSE,"Datasheet";"vol graph",#N/A,FALSE,"Volume";"price data",#N/A,FALSE,"Datasheet";"price graph",#N/A,FALSE,"Price";"dp data",#N/A,FALSE,"Datasheet";"dp graph",#N/A,FALSE,"DirectProfit"}</definedName>
    <definedName name="pl" localSheetId="3" hidden="1">{#N/A,#N/A,FALSE,"REPORT"}</definedName>
    <definedName name="pl" localSheetId="7" hidden="1">{#N/A,#N/A,FALSE,"REPORT"}</definedName>
    <definedName name="pl" hidden="1">{#N/A,#N/A,FALSE,"REPORT"}</definedName>
    <definedName name="PLCepi" localSheetId="3" hidden="1">{#N/A,#N/A,FALSE,"REPORT"}</definedName>
    <definedName name="PLCepi" localSheetId="7" hidden="1">{#N/A,#N/A,FALSE,"REPORT"}</definedName>
    <definedName name="PLCepi" hidden="1">{#N/A,#N/A,FALSE,"REPORT"}</definedName>
    <definedName name="PLProcef" localSheetId="3" hidden="1">{#N/A,#N/A,FALSE,"REPORT"}</definedName>
    <definedName name="PLProcef" localSheetId="7" hidden="1">{#N/A,#N/A,FALSE,"REPORT"}</definedName>
    <definedName name="PLProcef" hidden="1">{#N/A,#N/A,FALSE,"REPORT"}</definedName>
    <definedName name="PLTaxol" localSheetId="3" hidden="1">{#N/A,#N/A,FALSE,"REPORT"}</definedName>
    <definedName name="PLTaxol" localSheetId="7" hidden="1">{#N/A,#N/A,FALSE,"REPORT"}</definedName>
    <definedName name="PLTaxol" hidden="1">{#N/A,#N/A,FALSE,"REPORT"}</definedName>
    <definedName name="Pnl" localSheetId="3" hidden="1">{#N/A,#N/A,FALSE,"Pharm";#N/A,#N/A,FALSE,"WWCM"}</definedName>
    <definedName name="Pnl" localSheetId="7" hidden="1">{#N/A,#N/A,FALSE,"Pharm";#N/A,#N/A,FALSE,"WWCM"}</definedName>
    <definedName name="Pnl" hidden="1">{#N/A,#N/A,FALSE,"Pharm";#N/A,#N/A,FALSE,"WWCM"}</definedName>
    <definedName name="pnsji5" localSheetId="3" hidden="1">{#N/A,"PURCHM",FALSE,"Business Analysis";#N/A,"SPADD",FALSE,"Business Analysis"}</definedName>
    <definedName name="pnsji5" localSheetId="7" hidden="1">{#N/A,"PURCHM",FALSE,"Business Analysis";#N/A,"SPADD",FALSE,"Business Analysis"}</definedName>
    <definedName name="pnsji5" hidden="1">{#N/A,"PURCHM",FALSE,"Business Analysis";#N/A,"SPADD",FALSE,"Business Analysis"}</definedName>
    <definedName name="po" localSheetId="3" hidden="1">{"detail",#N/A,FALSE,"mfg";"summary",#N/A,FALSE,"mfg"}</definedName>
    <definedName name="po" localSheetId="7" hidden="1">{"detail",#N/A,FALSE,"mfg";"summary",#N/A,FALSE,"mfg"}</definedName>
    <definedName name="po" hidden="1">{"detail",#N/A,FALSE,"mfg";"summary",#N/A,FALSE,"mfg"}</definedName>
    <definedName name="poc" localSheetId="3" hidden="1">{#N/A,"PURADD",FALSE,"Business Analysis";#N/A,"PURSPP",FALSE,"Business Analysis";#N/A,"CTGIND",FALSE,"Business Analysis";#N/A,"PURCHM",FALSE,"Business Analysis";#N/A,"SPADD",FALSE,"Business Analysis";#N/A,"EPOXY",FALSE,"Business Analysis";#N/A,"PURPER",FALSE,"Business Analysis"}</definedName>
    <definedName name="poc" localSheetId="7" hidden="1">{#N/A,"PURADD",FALSE,"Business Analysis";#N/A,"PURSPP",FALSE,"Business Analysis";#N/A,"CTGIND",FALSE,"Business Analysis";#N/A,"PURCHM",FALSE,"Business Analysis";#N/A,"SPADD",FALSE,"Business Analysis";#N/A,"EPOXY",FALSE,"Business Analysis";#N/A,"PURPER",FALSE,"Business Analysis"}</definedName>
    <definedName name="poc" hidden="1">{#N/A,"PURADD",FALSE,"Business Analysis";#N/A,"PURSPP",FALSE,"Business Analysis";#N/A,"CTGIND",FALSE,"Business Analysis";#N/A,"PURCHM",FALSE,"Business Analysis";#N/A,"SPADD",FALSE,"Business Analysis";#N/A,"EPOXY",FALSE,"Business Analysis";#N/A,"PURPER",FALSE,"Business Analysis"}</definedName>
    <definedName name="poi" localSheetId="3"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i"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i"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iu" localSheetId="3" hidden="1">{"Performance Details",#N/A,FALSE,"Current Yr";"Performance Details",#N/A,FALSE,"Budget";"Performance Details",#N/A,FALSE,"Prior Year"}</definedName>
    <definedName name="poiu" localSheetId="7" hidden="1">{"Performance Details",#N/A,FALSE,"Current Yr";"Performance Details",#N/A,FALSE,"Budget";"Performance Details",#N/A,FALSE,"Prior Year"}</definedName>
    <definedName name="poiu" hidden="1">{"Performance Details",#N/A,FALSE,"Current Yr";"Performance Details",#N/A,FALSE,"Budget";"Performance Details",#N/A,FALSE,"Prior Year"}</definedName>
    <definedName name="pokj" localSheetId="3" hidden="1">{"QTD_LOUISIANA",#N/A,FALSE,"QTD"}</definedName>
    <definedName name="pokj" localSheetId="7" hidden="1">{"QTD_LOUISIANA",#N/A,FALSE,"QTD"}</definedName>
    <definedName name="pokj" hidden="1">{"QTD_LOUISIANA",#N/A,FALSE,"QTD"}</definedName>
    <definedName name="poo" localSheetId="3"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rt29" localSheetId="3" hidden="1">{#N/A,#N/A,FALSE,"Pharm";#N/A,#N/A,FALSE,"WWCM"}</definedName>
    <definedName name="port29" localSheetId="7" hidden="1">{#N/A,#N/A,FALSE,"Pharm";#N/A,#N/A,FALSE,"WWCM"}</definedName>
    <definedName name="port29" hidden="1">{#N/A,#N/A,FALSE,"Pharm";#N/A,#N/A,FALSE,"WWCM"}</definedName>
    <definedName name="powq" localSheetId="3" hidden="1">{#N/A,"PURCHM",FALSE,"Business Analysis";#N/A,"SPADD",FALSE,"Business Analysis"}</definedName>
    <definedName name="powq" localSheetId="7" hidden="1">{#N/A,"PURCHM",FALSE,"Business Analysis";#N/A,"SPADD",FALSE,"Business Analysis"}</definedName>
    <definedName name="powq" hidden="1">{#N/A,"PURCHM",FALSE,"Business Analysis";#N/A,"SPADD",FALSE,"Business Analysis"}</definedName>
    <definedName name="pp" localSheetId="3" hidden="1">{"detail",#N/A,FALSE,"mfg";"summary",#N/A,FALSE,"mfg"}</definedName>
    <definedName name="pp" localSheetId="7" hidden="1">{"detail",#N/A,FALSE,"mfg";"summary",#N/A,FALSE,"mfg"}</definedName>
    <definedName name="pp" hidden="1">{"detail",#N/A,FALSE,"mfg";"summary",#N/A,FALSE,"mfg"}</definedName>
    <definedName name="ppo" localSheetId="3" hidden="1">{"YD LOUISIANA",#N/A,FALSE,"YTD"}</definedName>
    <definedName name="ppo" localSheetId="7" hidden="1">{"YD LOUISIANA",#N/A,FALSE,"YTD"}</definedName>
    <definedName name="ppo" hidden="1">{"YD LOUISIANA",#N/A,FALSE,"YTD"}</definedName>
    <definedName name="ppp" localSheetId="3" hidden="1">{#N/A,#N/A,FALSE,"Umsatz CH";#N/A,#N/A,FALSE,"ER CH";#N/A,#N/A,FALSE,"EA CH (2) ";#N/A,#N/A,FALSE,"EA CH";#N/A,#N/A,FALSE,"EA CH (3) ";#N/A,#N/A,FALSE,"EA CH (4)";#N/A,#N/A,FALSE,"KA CH";#N/A,#N/A,FALSE,"KA CH  (2)";#N/A,#N/A,FALSE,"KA CH  (3)";#N/A,#N/A,FALSE,"KA CH (4)"}</definedName>
    <definedName name="ppp" localSheetId="7" hidden="1">{#N/A,#N/A,FALSE,"Umsatz CH";#N/A,#N/A,FALSE,"ER CH";#N/A,#N/A,FALSE,"EA CH (2) ";#N/A,#N/A,FALSE,"EA CH";#N/A,#N/A,FALSE,"EA CH (3) ";#N/A,#N/A,FALSE,"EA CH (4)";#N/A,#N/A,FALSE,"KA CH";#N/A,#N/A,FALSE,"KA CH  (2)";#N/A,#N/A,FALSE,"KA CH  (3)";#N/A,#N/A,FALSE,"KA CH (4)"}</definedName>
    <definedName name="ppp" hidden="1">{#N/A,#N/A,FALSE,"Umsatz CH";#N/A,#N/A,FALSE,"ER CH";#N/A,#N/A,FALSE,"EA CH (2) ";#N/A,#N/A,FALSE,"EA CH";#N/A,#N/A,FALSE,"EA CH (3) ";#N/A,#N/A,FALSE,"EA CH (4)";#N/A,#N/A,FALSE,"KA CH";#N/A,#N/A,FALSE,"KA CH  (2)";#N/A,#N/A,FALSE,"KA CH  (3)";#N/A,#N/A,FALSE,"KA CH (4)"}</definedName>
    <definedName name="pppp" localSheetId="3"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 localSheetId="7"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P" localSheetId="3"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P" localSheetId="7"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qmjuz" localSheetId="3" hidden="1">{"detail",#N/A,FALSE,"mfg";"summary",#N/A,FALSE,"mfg"}</definedName>
    <definedName name="pqmjuz" localSheetId="7" hidden="1">{"detail",#N/A,FALSE,"mfg";"summary",#N/A,FALSE,"mfg"}</definedName>
    <definedName name="pqmjuz" hidden="1">{"detail",#N/A,FALSE,"mfg";"summary",#N/A,FALSE,"mfg"}</definedName>
    <definedName name="Premissas" localSheetId="3" hidden="1">{"summary1",#N/A,TRUE,"Comps";"summary2",#N/A,TRUE,"Comps";"summary3",#N/A,TRUE,"Comps"}</definedName>
    <definedName name="Premissas" localSheetId="7" hidden="1">{"summary1",#N/A,TRUE,"Comps";"summary2",#N/A,TRUE,"Comps";"summary3",#N/A,TRUE,"Comps"}</definedName>
    <definedName name="Premissas" hidden="1">{"summary1",#N/A,TRUE,"Comps";"summary2",#N/A,TRUE,"Comps";"summary3",#N/A,TRUE,"Comps"}</definedName>
    <definedName name="Prensa" localSheetId="3" hidden="1">{#N/A,#N/A,TRUE,"ICMAN96 (1)"}</definedName>
    <definedName name="Prensa" localSheetId="7" hidden="1">{#N/A,#N/A,TRUE,"ICMAN96 (1)"}</definedName>
    <definedName name="Prensa" hidden="1">{#N/A,#N/A,TRUE,"ICMAN96 (1)"}</definedName>
    <definedName name="PRENSA2" localSheetId="3" hidden="1">{#N/A,#N/A,TRUE,"ICMAN96 (1)"}</definedName>
    <definedName name="PRENSA2" localSheetId="7" hidden="1">{#N/A,#N/A,TRUE,"ICMAN96 (1)"}</definedName>
    <definedName name="PRENSA2" hidden="1">{#N/A,#N/A,TRUE,"ICMAN96 (1)"}</definedName>
    <definedName name="Procef" localSheetId="3" hidden="1">{#N/A,#N/A,FALSE,"Pharm";#N/A,#N/A,FALSE,"WWCM"}</definedName>
    <definedName name="Procef" localSheetId="7" hidden="1">{#N/A,#N/A,FALSE,"Pharm";#N/A,#N/A,FALSE,"WWCM"}</definedName>
    <definedName name="Procef" hidden="1">{#N/A,#N/A,FALSE,"Pharm";#N/A,#N/A,FALSE,"WWCM"}</definedName>
    <definedName name="prod" localSheetId="3" hidden="1">{#N/A,#N/A,FALSE,"Pharm";#N/A,#N/A,FALSE,"WWCM"}</definedName>
    <definedName name="prod" localSheetId="7" hidden="1">{#N/A,#N/A,FALSE,"Pharm";#N/A,#N/A,FALSE,"WWCM"}</definedName>
    <definedName name="prod" hidden="1">{#N/A,#N/A,FALSE,"Pharm";#N/A,#N/A,FALSE,"WWCM"}</definedName>
    <definedName name="pucspadd42" localSheetId="3" hidden="1">{#N/A,"PURCHM",FALSE,"Business Analysis";#N/A,"SPADD",FALSE,"Business Analysis"}</definedName>
    <definedName name="pucspadd42" localSheetId="7" hidden="1">{#N/A,"PURCHM",FALSE,"Business Analysis";#N/A,"SPADD",FALSE,"Business Analysis"}</definedName>
    <definedName name="pucspadd42" hidden="1">{#N/A,"PURCHM",FALSE,"Business Analysis";#N/A,"SPADD",FALSE,"Business Analysis"}</definedName>
    <definedName name="pupi" localSheetId="3" hidden="1">{"YD OTHER",#N/A,FALSE,"YTD"}</definedName>
    <definedName name="pupi" localSheetId="7" hidden="1">{"YD OTHER",#N/A,FALSE,"YTD"}</definedName>
    <definedName name="pupi" hidden="1">{"YD OTHER",#N/A,FALSE,"YTD"}</definedName>
    <definedName name="püpoüpoüpo" localSheetId="3" hidden="1">{#N/A,#N/A,FALSE,"PMW Gruppe 99_98";#N/A,#N/A,FALSE,"PMW KG 98_99";#N/A,#N/A,FALSE,"PMW Inc. 99_98";#N/A,#N/A,FALSE,"PMW VTECH 99_98";#N/A,#N/A,FALSE,"PMW Thail. 99_98";#N/A,#N/A,FALSE,"PMW Canada 99_98";#N/A,#N/A,FALSE,"Währungsabw. 99_98"}</definedName>
    <definedName name="püpoüpoüpo" localSheetId="7" hidden="1">{#N/A,#N/A,FALSE,"PMW Gruppe 99_98";#N/A,#N/A,FALSE,"PMW KG 98_99";#N/A,#N/A,FALSE,"PMW Inc. 99_98";#N/A,#N/A,FALSE,"PMW VTECH 99_98";#N/A,#N/A,FALSE,"PMW Thail. 99_98";#N/A,#N/A,FALSE,"PMW Canada 99_98";#N/A,#N/A,FALSE,"Währungsabw. 99_98"}</definedName>
    <definedName name="püpoüpoüpo" hidden="1">{#N/A,#N/A,FALSE,"PMW Gruppe 99_98";#N/A,#N/A,FALSE,"PMW KG 98_99";#N/A,#N/A,FALSE,"PMW Inc. 99_98";#N/A,#N/A,FALSE,"PMW VTECH 99_98";#N/A,#N/A,FALSE,"PMW Thail. 99_98";#N/A,#N/A,FALSE,"PMW Canada 99_98";#N/A,#N/A,FALSE,"Währungsabw. 99_98"}</definedName>
    <definedName name="püpü" localSheetId="3" hidden="1">{#N/A,#N/A,FALSE,"Umsatz 99";#N/A,#N/A,FALSE,"ER 99 "}</definedName>
    <definedName name="püpü" localSheetId="7" hidden="1">{#N/A,#N/A,FALSE,"Umsatz 99";#N/A,#N/A,FALSE,"ER 99 "}</definedName>
    <definedName name="püpü" hidden="1">{#N/A,#N/A,FALSE,"Umsatz 99";#N/A,#N/A,FALSE,"ER 99 "}</definedName>
    <definedName name="pz" localSheetId="3" hidden="1">{"Month Summary",#N/A,FALSE,"Summary";"Total Details",#N/A,FALSE,"Current Yr";"Polymers Details",#N/A,FALSE,"Current Yr";"Performance Details",#N/A,FALSE,"Current Yr";"ICD Details",#N/A,FALSE,"Current Yr"}</definedName>
    <definedName name="pz" localSheetId="7" hidden="1">{"Month Summary",#N/A,FALSE,"Summary";"Total Details",#N/A,FALSE,"Current Yr";"Polymers Details",#N/A,FALSE,"Current Yr";"Performance Details",#N/A,FALSE,"Current Yr";"ICD Details",#N/A,FALSE,"Current Yr"}</definedName>
    <definedName name="pz" hidden="1">{"Month Summary",#N/A,FALSE,"Summary";"Total Details",#N/A,FALSE,"Current Yr";"Polymers Details",#N/A,FALSE,"Current Yr";"Performance Details",#N/A,FALSE,"Current Yr";"ICD Details",#N/A,FALSE,"Current Yr"}</definedName>
    <definedName name="q" localSheetId="3" hidden="1">{#N/A,#N/A,FALSE,"Output";#N/A,#N/A,FALSE,"Cover Sheet";#N/A,#N/A,FALSE,"Current Mkt. Projections"}</definedName>
    <definedName name="q" localSheetId="7" hidden="1">{#N/A,#N/A,FALSE,"Output";#N/A,#N/A,FALSE,"Cover Sheet";#N/A,#N/A,FALSE,"Current Mkt. Projections"}</definedName>
    <definedName name="q" hidden="1">{#N/A,#N/A,FALSE,"Output";#N/A,#N/A,FALSE,"Cover Sheet";#N/A,#N/A,FALSE,"Current Mkt. Projections"}</definedName>
    <definedName name="qaaaa" localSheetId="3" hidden="1">{"detail",#N/A,FALSE,"mfg";"summary",#N/A,FALSE,"mfg"}</definedName>
    <definedName name="qaaaa" localSheetId="7" hidden="1">{"detail",#N/A,FALSE,"mfg";"summary",#N/A,FALSE,"mfg"}</definedName>
    <definedName name="qaaaa" hidden="1">{"detail",#N/A,FALSE,"mfg";"summary",#N/A,FALSE,"mfg"}</definedName>
    <definedName name="qaz" localSheetId="3" hidden="1">{#N/A,#N/A,FALSE,"Pharm";#N/A,#N/A,FALSE,"WWCM"}</definedName>
    <definedName name="qaz" localSheetId="7" hidden="1">{#N/A,#N/A,FALSE,"Pharm";#N/A,#N/A,FALSE,"WWCM"}</definedName>
    <definedName name="qaz" hidden="1">{#N/A,#N/A,FALSE,"Pharm";#N/A,#N/A,FALSE,"WWCM"}</definedName>
    <definedName name="qeqee" localSheetId="3" hidden="1">{#N/A,#N/A,FALSE,"Produkte Erw.";#N/A,#N/A,FALSE,"Produkte Plan";#N/A,#N/A,FALSE,"Leistungen Erw.";#N/A,#N/A,FALSE,"Leistungen Plan";#N/A,#N/A,FALSE,"KA Allg.Kosten (2)";#N/A,#N/A,FALSE,"KA All.Kosten"}</definedName>
    <definedName name="qeqee" localSheetId="7" hidden="1">{#N/A,#N/A,FALSE,"Produkte Erw.";#N/A,#N/A,FALSE,"Produkte Plan";#N/A,#N/A,FALSE,"Leistungen Erw.";#N/A,#N/A,FALSE,"Leistungen Plan";#N/A,#N/A,FALSE,"KA Allg.Kosten (2)";#N/A,#N/A,FALSE,"KA All.Kosten"}</definedName>
    <definedName name="qeqee" hidden="1">{#N/A,#N/A,FALSE,"Produkte Erw.";#N/A,#N/A,FALSE,"Produkte Plan";#N/A,#N/A,FALSE,"Leistungen Erw.";#N/A,#N/A,FALSE,"Leistungen Plan";#N/A,#N/A,FALSE,"KA Allg.Kosten (2)";#N/A,#N/A,FALSE,"KA All.Kosten"}</definedName>
    <definedName name="qertweyu" localSheetId="3" hidden="1">{#N/A,#N/A,FALSE,"REPORT"}</definedName>
    <definedName name="qertweyu" localSheetId="7" hidden="1">{#N/A,#N/A,FALSE,"REPORT"}</definedName>
    <definedName name="qertweyu" hidden="1">{#N/A,#N/A,FALSE,"REPORT"}</definedName>
    <definedName name="qesd" localSheetId="3" hidden="1">{"Page 1",#N/A,FALSE,"OpExJanVsPY";"Page 2",#N/A,FALSE,"OpExJanVsPY"}</definedName>
    <definedName name="qesd" localSheetId="7" hidden="1">{"Page 1",#N/A,FALSE,"OpExJanVsPY";"Page 2",#N/A,FALSE,"OpExJanVsPY"}</definedName>
    <definedName name="qesd" hidden="1">{"Page 1",#N/A,FALSE,"OpExJanVsPY";"Page 2",#N/A,FALSE,"OpExJanVsPY"}</definedName>
    <definedName name="qetryywt" localSheetId="3" hidden="1">{#N/A,#N/A,FALSE,"REPORT"}</definedName>
    <definedName name="qetryywt" localSheetId="7" hidden="1">{#N/A,#N/A,FALSE,"REPORT"}</definedName>
    <definedName name="qetryywt" hidden="1">{#N/A,#N/A,FALSE,"REPORT"}</definedName>
    <definedName name="qi" localSheetId="3" hidden="1">{#N/A,"PURADD",FALSE,"Business Analysis";#N/A,"PURSPP",FALSE,"Business Analysis";#N/A,"CTGIND",FALSE,"Business Analysis";#N/A,"PURCHM",FALSE,"Business Analysis";#N/A,"SPADD",FALSE,"Business Analysis";#N/A,"EPOXY",FALSE,"Business Analysis";#N/A,"PURPER",FALSE,"Business Analysis"}</definedName>
    <definedName name="qi" localSheetId="7" hidden="1">{#N/A,"PURADD",FALSE,"Business Analysis";#N/A,"PURSPP",FALSE,"Business Analysis";#N/A,"CTGIND",FALSE,"Business Analysis";#N/A,"PURCHM",FALSE,"Business Analysis";#N/A,"SPADD",FALSE,"Business Analysis";#N/A,"EPOXY",FALSE,"Business Analysis";#N/A,"PURPER",FALSE,"Business Analysis"}</definedName>
    <definedName name="qi" hidden="1">{#N/A,"PURADD",FALSE,"Business Analysis";#N/A,"PURSPP",FALSE,"Business Analysis";#N/A,"CTGIND",FALSE,"Business Analysis";#N/A,"PURCHM",FALSE,"Business Analysis";#N/A,"SPADD",FALSE,"Business Analysis";#N/A,"EPOXY",FALSE,"Business Analysis";#N/A,"PURPER",FALSE,"Business Analysis"}</definedName>
    <definedName name="qink" localSheetId="3" hidden="1">{#N/A,"PURCHM",FALSE,"Business Analysis";#N/A,"SPADD",FALSE,"Business Analysis"}</definedName>
    <definedName name="qink" localSheetId="7" hidden="1">{#N/A,"PURCHM",FALSE,"Business Analysis";#N/A,"SPADD",FALSE,"Business Analysis"}</definedName>
    <definedName name="qink" hidden="1">{#N/A,"PURCHM",FALSE,"Business Analysis";#N/A,"SPADD",FALSE,"Business Analysis"}</definedName>
    <definedName name="qp" localSheetId="3" hidden="1">{"overview",#N/A,FALSE,"summary";"net assets",#N/A,FALSE,"summary";"asset turnover",#N/A,FALSE,"summary";"orona",#N/A,FALSE,"summary"}</definedName>
    <definedName name="qp" localSheetId="7" hidden="1">{"overview",#N/A,FALSE,"summary";"net assets",#N/A,FALSE,"summary";"asset turnover",#N/A,FALSE,"summary";"orona",#N/A,FALSE,"summary"}</definedName>
    <definedName name="qp" hidden="1">{"overview",#N/A,FALSE,"summary";"net assets",#N/A,FALSE,"summary";"asset turnover",#N/A,FALSE,"summary";"orona",#N/A,FALSE,"summary"}</definedName>
    <definedName name="qq" localSheetId="3"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qq" localSheetId="7"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qq"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qqkkkkk" localSheetId="3" hidden="1">{#N/A,"PURCHM",FALSE,"Business Analysis";#N/A,"SPADD",FALSE,"Business Analysis"}</definedName>
    <definedName name="qqkkkkk" localSheetId="7" hidden="1">{#N/A,"PURCHM",FALSE,"Business Analysis";#N/A,"SPADD",FALSE,"Business Analysis"}</definedName>
    <definedName name="qqkkkkk" hidden="1">{#N/A,"PURCHM",FALSE,"Business Analysis";#N/A,"SPADD",FALSE,"Business Analysis"}</definedName>
    <definedName name="qqq" localSheetId="3" hidden="1">{#N/A,#N/A,FALSE,"Pharm";#N/A,#N/A,FALSE,"WWCM"}</definedName>
    <definedName name="qqq" localSheetId="7" hidden="1">{#N/A,#N/A,FALSE,"Pharm";#N/A,#N/A,FALSE,"WWCM"}</definedName>
    <definedName name="qqq" hidden="1">{#N/A,#N/A,FALSE,"Pharm";#N/A,#N/A,FALSE,"WWCM"}</definedName>
    <definedName name="qqqaa" localSheetId="3" hidden="1">{"detail",#N/A,FALSE,"mfg";"summary",#N/A,FALSE,"mfg"}</definedName>
    <definedName name="qqqaa" localSheetId="7" hidden="1">{"detail",#N/A,FALSE,"mfg";"summary",#N/A,FALSE,"mfg"}</definedName>
    <definedName name="qqqaa" hidden="1">{"detail",#N/A,FALSE,"mfg";"summary",#N/A,FALSE,"mfg"}</definedName>
    <definedName name="qqqq" localSheetId="3" hidden="1">{#N/A,#N/A,FALSE,"Umsatz EO BP";#N/A,#N/A,FALSE,"Umsatz EO OP";#N/A,#N/A,FALSE,"ER EO BP";#N/A,#N/A,FALSE,"ER EO OP";#N/A,#N/A,FALSE,"EA EO (2)";#N/A,#N/A,FALSE,"EA EO";#N/A,#N/A,FALSE,"EA EO (3)";#N/A,#N/A,FALSE,"EA EO (4)";#N/A,#N/A,FALSE,"KA EO  (2)";#N/A,#N/A,FALSE,"KA EO";#N/A,#N/A,FALSE,"KA EO  (3)";#N/A,#N/A,FALSE,"KA EO (4)"}</definedName>
    <definedName name="qqqq" localSheetId="7" hidden="1">{#N/A,#N/A,FALSE,"Umsatz EO BP";#N/A,#N/A,FALSE,"Umsatz EO OP";#N/A,#N/A,FALSE,"ER EO BP";#N/A,#N/A,FALSE,"ER EO OP";#N/A,#N/A,FALSE,"EA EO (2)";#N/A,#N/A,FALSE,"EA EO";#N/A,#N/A,FALSE,"EA EO (3)";#N/A,#N/A,FALSE,"EA EO (4)";#N/A,#N/A,FALSE,"KA EO  (2)";#N/A,#N/A,FALSE,"KA EO";#N/A,#N/A,FALSE,"KA EO  (3)";#N/A,#N/A,FALSE,"KA EO (4)"}</definedName>
    <definedName name="qqqq" hidden="1">{#N/A,#N/A,FALSE,"Umsatz EO BP";#N/A,#N/A,FALSE,"Umsatz EO OP";#N/A,#N/A,FALSE,"ER EO BP";#N/A,#N/A,FALSE,"ER EO OP";#N/A,#N/A,FALSE,"EA EO (2)";#N/A,#N/A,FALSE,"EA EO";#N/A,#N/A,FALSE,"EA EO (3)";#N/A,#N/A,FALSE,"EA EO (4)";#N/A,#N/A,FALSE,"KA EO  (2)";#N/A,#N/A,FALSE,"KA EO";#N/A,#N/A,FALSE,"KA EO  (3)";#N/A,#N/A,FALSE,"KA EO (4)"}</definedName>
    <definedName name="qqqqq" localSheetId="3" hidden="1">{#N/A,"PURCHM",FALSE,"Business Analysis";#N/A,"SPADD",FALSE,"Business Analysis"}</definedName>
    <definedName name="qqqqq" localSheetId="7" hidden="1">{#N/A,"PURCHM",FALSE,"Business Analysis";#N/A,"SPADD",FALSE,"Business Analysis"}</definedName>
    <definedName name="qqqqq" hidden="1">{#N/A,"PURCHM",FALSE,"Business Analysis";#N/A,"SPADD",FALSE,"Business Analysis"}</definedName>
    <definedName name="qqqqqq" localSheetId="3" hidden="1">{"QTD_PRS",#N/A,FALSE,"QTD"}</definedName>
    <definedName name="qqqqqq" localSheetId="7" hidden="1">{"QTD_PRS",#N/A,FALSE,"QTD"}</definedName>
    <definedName name="qqqqqq" hidden="1">{"QTD_PRS",#N/A,FALSE,"QTD"}</definedName>
    <definedName name="qqqqqqq" localSheetId="3" hidden="1">{"VENTAS1",#N/A,FALSE,"VENTAS";"VENTAS2",#N/A,FALSE,"VENTAS";"VENTAS3",#N/A,FALSE,"VENTAS";"VENTAS4",#N/A,FALSE,"VENTAS";"VENTAS5",#N/A,FALSE,"VENTAS";"VENTAS6",#N/A,FALSE,"VENTAS";"VENTAS7",#N/A,FALSE,"VENTAS";"VENTAS8",#N/A,FALSE,"VENTAS"}</definedName>
    <definedName name="qqqqqqq" localSheetId="7" hidden="1">{"VENTAS1",#N/A,FALSE,"VENTAS";"VENTAS2",#N/A,FALSE,"VENTAS";"VENTAS3",#N/A,FALSE,"VENTAS";"VENTAS4",#N/A,FALSE,"VENTAS";"VENTAS5",#N/A,FALSE,"VENTAS";"VENTAS6",#N/A,FALSE,"VENTAS";"VENTAS7",#N/A,FALSE,"VENTAS";"VENTAS8",#N/A,FALSE,"VENTAS"}</definedName>
    <definedName name="qqqqqqq" hidden="1">{"VENTAS1",#N/A,FALSE,"VENTAS";"VENTAS2",#N/A,FALSE,"VENTAS";"VENTAS3",#N/A,FALSE,"VENTAS";"VENTAS4",#N/A,FALSE,"VENTAS";"VENTAS5",#N/A,FALSE,"VENTAS";"VENTAS6",#N/A,FALSE,"VENTAS";"VENTAS7",#N/A,FALSE,"VENTAS";"VENTAS8",#N/A,FALSE,"VENTAS"}</definedName>
    <definedName name="qqqqqqqq" localSheetId="3" hidden="1">{TRUE,TRUE,-1.25,-15.5,484.5,276.75,FALSE,TRUE,TRUE,TRUE,0,1,1,300,1,1.96296296296296,1.15384615384615,4,TRUE,TRUE,3,TRUE,1,FALSE,75,"Swvu.Print_Todo.","ACwvu.Print_Todo.",#N/A,FALSE,FALSE,0,0,0,0,2,"","",FALSE,FALSE,TRUE,FALSE,1,#N/A,2,10,"=R1C1:R636C40",FALSE,#N/A,#N/A,FALSE,FALSE,FALSE,9,300,300,FALSE,TRUE,TRUE,TRUE,TRUE}</definedName>
    <definedName name="qqqqqqqq" localSheetId="7" hidden="1">{TRUE,TRUE,-1.25,-15.5,484.5,276.75,FALSE,TRUE,TRUE,TRUE,0,1,1,300,1,1.96296296296296,1.15384615384615,4,TRUE,TRUE,3,TRUE,1,FALSE,75,"Swvu.Print_Todo.","ACwvu.Print_Todo.",#N/A,FALSE,FALSE,0,0,0,0,2,"","",FALSE,FALSE,TRUE,FALSE,1,#N/A,2,10,"=R1C1:R636C40",FALSE,#N/A,#N/A,FALSE,FALSE,FALSE,9,300,300,FALSE,TRUE,TRUE,TRUE,TRUE}</definedName>
    <definedName name="qqqqqqqq" hidden="1">{TRUE,TRUE,-1.25,-15.5,484.5,276.75,FALSE,TRUE,TRUE,TRUE,0,1,1,300,1,1.96296296296296,1.15384615384615,4,TRUE,TRUE,3,TRUE,1,FALSE,75,"Swvu.Print_Todo.","ACwvu.Print_Todo.",#N/A,FALSE,FALSE,0,0,0,0,2,"","",FALSE,FALSE,TRUE,FALSE,1,#N/A,2,10,"=R1C1:R636C40",FALSE,#N/A,#N/A,FALSE,FALSE,FALSE,9,300,300,FALSE,TRUE,TRUE,TRUE,TRUE}</definedName>
    <definedName name="qqqqqqqqq" localSheetId="3" hidden="1">{TRUE,TRUE,-1.25,-15.5,484.5,276.75,FALSE,TRUE,TRUE,TRUE,0,1,#N/A,1,#N/A,6.625,18.0588235294118,1,FALSE,FALSE,3,TRUE,1,FALSE,100,"Swvu.Socios._.95.","ACwvu.Socios._.95.",#N/A,FALSE,FALSE,0.78740157480315,0.78740157480315,0.984251968503937,0.984251968503937,2,"","&amp;L&amp;F&amp;C&amp;A&amp;R&amp;D",TRUE,FALSE,FALSE,FALSE,1,#N/A,1,1,"=R1C1:R14C15",FALSE,#N/A,"Cwvu.Socios._.95.",FALSE,FALSE,FALSE,9,65532,65532,FALSE,FALSE,TRUE,TRUE,TRUE}</definedName>
    <definedName name="qqqqqqqqq" localSheetId="7" hidden="1">{TRUE,TRUE,-1.25,-15.5,484.5,276.75,FALSE,TRUE,TRUE,TRUE,0,1,#N/A,1,#N/A,6.625,18.0588235294118,1,FALSE,FALSE,3,TRUE,1,FALSE,100,"Swvu.Socios._.95.","ACwvu.Socios._.95.",#N/A,FALSE,FALSE,0.78740157480315,0.78740157480315,0.984251968503937,0.984251968503937,2,"","&amp;L&amp;F&amp;C&amp;A&amp;R&amp;D",TRUE,FALSE,FALSE,FALSE,1,#N/A,1,1,"=R1C1:R14C15",FALSE,#N/A,"Cwvu.Socios._.95.",FALSE,FALSE,FALSE,9,65532,65532,FALSE,FALSE,TRUE,TRUE,TRUE}</definedName>
    <definedName name="qqqqqqqqq" hidden="1">{TRUE,TRUE,-1.25,-15.5,484.5,276.75,FALSE,TRUE,TRUE,TRUE,0,1,#N/A,1,#N/A,6.625,18.0588235294118,1,FALSE,FALSE,3,TRUE,1,FALSE,100,"Swvu.Socios._.95.","ACwvu.Socios._.95.",#N/A,FALSE,FALSE,0.78740157480315,0.78740157480315,0.984251968503937,0.984251968503937,2,"","&amp;L&amp;F&amp;C&amp;A&amp;R&amp;D",TRUE,FALSE,FALSE,FALSE,1,#N/A,1,1,"=R1C1:R14C15",FALSE,#N/A,"Cwvu.Socios._.95.",FALSE,FALSE,FALSE,9,65532,65532,FALSE,FALSE,TRUE,TRUE,TRUE}</definedName>
    <definedName name="qqqqqqqqqq" localSheetId="3" hidden="1">{"pro_view",#N/A,FALSE,"EEFSNAP2";"rep_view",#N/A,FALSE,"EEFSNAP2"}</definedName>
    <definedName name="qqqqqqqqqq" localSheetId="7" hidden="1">{"pro_view",#N/A,FALSE,"EEFSNAP2";"rep_view",#N/A,FALSE,"EEFSNAP2"}</definedName>
    <definedName name="qqqqqqqqqq" hidden="1">{"pro_view",#N/A,FALSE,"EEFSNAP2";"rep_view",#N/A,FALSE,"EEFSNAP2"}</definedName>
    <definedName name="qqqqqqqqqqqqqq" localSheetId="3" hidden="1">{#N/A,#N/A,FALSE,"IS INPUT";#N/A,#N/A,FALSE,"BS INPUT";#N/A,#N/A,FALSE,"IS MTH";#N/A,#N/A,FALSE,"IS LOCAL";#N/A,#N/A,FALSE,"WON ADJ";#N/A,#N/A,FALSE,"USD ADJ";#N/A,#N/A,FALSE,"EQUITY";#N/A,#N/A,FALSE,"IS US ";#N/A,#N/A,FALSE,"BS US"}</definedName>
    <definedName name="qqqqqqqqqqqqqq" localSheetId="7" hidden="1">{#N/A,#N/A,FALSE,"IS INPUT";#N/A,#N/A,FALSE,"BS INPUT";#N/A,#N/A,FALSE,"IS MTH";#N/A,#N/A,FALSE,"IS LOCAL";#N/A,#N/A,FALSE,"WON ADJ";#N/A,#N/A,FALSE,"USD ADJ";#N/A,#N/A,FALSE,"EQUITY";#N/A,#N/A,FALSE,"IS US ";#N/A,#N/A,FALSE,"BS US"}</definedName>
    <definedName name="qqqqqqqqqqqqqq" hidden="1">{#N/A,#N/A,FALSE,"IS INPUT";#N/A,#N/A,FALSE,"BS INPUT";#N/A,#N/A,FALSE,"IS MTH";#N/A,#N/A,FALSE,"IS LOCAL";#N/A,#N/A,FALSE,"WON ADJ";#N/A,#N/A,FALSE,"USD ADJ";#N/A,#N/A,FALSE,"EQUITY";#N/A,#N/A,FALSE,"IS US ";#N/A,#N/A,FALSE,"BS US"}</definedName>
    <definedName name="qqqqqqqqqqqqqqqq" localSheetId="3" hidden="1">{#N/A,"PURADD",FALSE,"Business Analysis";#N/A,"PURSPP",FALSE,"Business Analysis";#N/A,"CTGIND",FALSE,"Business Analysis";#N/A,"PURCHM",FALSE,"Business Analysis";#N/A,"SPADD",FALSE,"Business Analysis";#N/A,"EPOXY",FALSE,"Business Analysis";#N/A,"PURPER",FALSE,"Business Analysis"}</definedName>
    <definedName name="qqqqqqqqqqqqqqqq" localSheetId="7" hidden="1">{#N/A,"PURADD",FALSE,"Business Analysis";#N/A,"PURSPP",FALSE,"Business Analysis";#N/A,"CTGIND",FALSE,"Business Analysis";#N/A,"PURCHM",FALSE,"Business Analysis";#N/A,"SPADD",FALSE,"Business Analysis";#N/A,"EPOXY",FALSE,"Business Analysis";#N/A,"PURPER",FALSE,"Business Analysis"}</definedName>
    <definedName name="qqqqqqqqqqqqqqqq" hidden="1">{#N/A,"PURADD",FALSE,"Business Analysis";#N/A,"PURSPP",FALSE,"Business Analysis";#N/A,"CTGIND",FALSE,"Business Analysis";#N/A,"PURCHM",FALSE,"Business Analysis";#N/A,"SPADD",FALSE,"Business Analysis";#N/A,"EPOXY",FALSE,"Business Analysis";#N/A,"PURPER",FALSE,"Business Analysis"}</definedName>
    <definedName name="qqqqqqqqqqqqqqqqqqq" localSheetId="3" hidden="1">{"detail",#N/A,FALSE,"mfg";"summary",#N/A,FALSE,"mfg"}</definedName>
    <definedName name="qqqqqqqqqqqqqqqqqqq" localSheetId="7" hidden="1">{"detail",#N/A,FALSE,"mfg";"summary",#N/A,FALSE,"mfg"}</definedName>
    <definedName name="qqqqqqqqqqqqqqqqqqq" hidden="1">{"detail",#N/A,FALSE,"mfg";"summary",#N/A,FALSE,"mfg"}</definedName>
    <definedName name="qqqqqqqqqqqqqqqqqqqqqqqqqqqqqqqqqqqqqqqqqqqqqqqqqqqqqq" localSheetId="3" hidden="1">{"TXO2N2_SLS",#N/A,FALSE,"MTHLYSLES";"TXH2_SLS",#N/A,FALSE,"MTHLYSLES";"LOUIS_SLS",#N/A,FALSE,"MTHLYSLES";"H2_SLS",#N/A,FALSE,"MTHLYSLES";"O2N2_SLS",#N/A,FALSE,"MTHLYSLES";"PACKAGE_SLS",#N/A,FALSE,"MTHLYSLES"}</definedName>
    <definedName name="qqqqqqqqqqqqqqqqqqqqqqqqqqqqqqqqqqqqqqqqqqqqqqqqqqqqqq" localSheetId="7" hidden="1">{"TXO2N2_SLS",#N/A,FALSE,"MTHLYSLES";"TXH2_SLS",#N/A,FALSE,"MTHLYSLES";"LOUIS_SLS",#N/A,FALSE,"MTHLYSLES";"H2_SLS",#N/A,FALSE,"MTHLYSLES";"O2N2_SLS",#N/A,FALSE,"MTHLYSLES";"PACKAGE_SLS",#N/A,FALSE,"MTHLYSLES"}</definedName>
    <definedName name="qqqqqqqqqqqqqqqqqqqqqqqqqqqqqqqqqqqqqqqqqqqqqqqqqqqqqq" hidden="1">{"TXO2N2_SLS",#N/A,FALSE,"MTHLYSLES";"TXH2_SLS",#N/A,FALSE,"MTHLYSLES";"LOUIS_SLS",#N/A,FALSE,"MTHLYSLES";"H2_SLS",#N/A,FALSE,"MTHLYSLES";"O2N2_SLS",#N/A,FALSE,"MTHLYSLES";"PACKAGE_SLS",#N/A,FALSE,"MTHLYSLES"}</definedName>
    <definedName name="qqwtweryey" localSheetId="3" hidden="1">{#N/A,#N/A,FALSE,"REPORT"}</definedName>
    <definedName name="qqwtweryey" localSheetId="7" hidden="1">{#N/A,#N/A,FALSE,"REPORT"}</definedName>
    <definedName name="qqwtweryey" hidden="1">{#N/A,#N/A,FALSE,"REPORT"}</definedName>
    <definedName name="qr" localSheetId="3" hidden="1">{"detail",#N/A,FALSE,"mfg";"summary",#N/A,FALSE,"mfg"}</definedName>
    <definedName name="qr" localSheetId="7" hidden="1">{"detail",#N/A,FALSE,"mfg";"summary",#N/A,FALSE,"mfg"}</definedName>
    <definedName name="qr" hidden="1">{"detail",#N/A,FALSE,"mfg";"summary",#N/A,FALSE,"mfg"}</definedName>
    <definedName name="qs" localSheetId="3" hidden="1">{#N/A,"PURADD",FALSE,"Business Analysis";#N/A,"PURSPP",FALSE,"Business Analysis";#N/A,"CTGIND",FALSE,"Business Analysis";#N/A,"PURCHM",FALSE,"Business Analysis";#N/A,"SPADD",FALSE,"Business Analysis";#N/A,"EPOXY",FALSE,"Business Analysis";#N/A,"PURPER",FALSE,"Business Analysis"}</definedName>
    <definedName name="qs" localSheetId="7" hidden="1">{#N/A,"PURADD",FALSE,"Business Analysis";#N/A,"PURSPP",FALSE,"Business Analysis";#N/A,"CTGIND",FALSE,"Business Analysis";#N/A,"PURCHM",FALSE,"Business Analysis";#N/A,"SPADD",FALSE,"Business Analysis";#N/A,"EPOXY",FALSE,"Business Analysis";#N/A,"PURPER",FALSE,"Business Analysis"}</definedName>
    <definedName name="qs" hidden="1">{#N/A,"PURADD",FALSE,"Business Analysis";#N/A,"PURSPP",FALSE,"Business Analysis";#N/A,"CTGIND",FALSE,"Business Analysis";#N/A,"PURCHM",FALSE,"Business Analysis";#N/A,"SPADD",FALSE,"Business Analysis";#N/A,"EPOXY",FALSE,"Business Analysis";#N/A,"PURPER",FALSE,"Business Analysis"}</definedName>
    <definedName name="qssss" localSheetId="3" hidden="1">{#N/A,"PURCHM",FALSE,"Business Analysis";#N/A,"SPADD",FALSE,"Business Analysis"}</definedName>
    <definedName name="qssss" localSheetId="7" hidden="1">{#N/A,"PURCHM",FALSE,"Business Analysis";#N/A,"SPADD",FALSE,"Business Analysis"}</definedName>
    <definedName name="qssss" hidden="1">{#N/A,"PURCHM",FALSE,"Business Analysis";#N/A,"SPADD",FALSE,"Business Analysis"}</definedName>
    <definedName name="qt" localSheetId="3" hidden="1">{"oct_res_comm",#N/A,FALSE,"VarToBud"}</definedName>
    <definedName name="qt" localSheetId="7" hidden="1">{"oct_res_comm",#N/A,FALSE,"VarToBud"}</definedName>
    <definedName name="qt" hidden="1">{"oct_res_comm",#N/A,FALSE,"VarToBud"}</definedName>
    <definedName name="qw" localSheetId="3" hidden="1">{#N/A,#N/A,FALSE,"REPORT"}</definedName>
    <definedName name="qw" localSheetId="7" hidden="1">{#N/A,#N/A,FALSE,"REPORT"}</definedName>
    <definedName name="qw" hidden="1">{#N/A,#N/A,FALSE,"REPORT"}</definedName>
    <definedName name="qwe" localSheetId="3" hidden="1">{#N/A,"PURADD",FALSE,"Business Analysis";#N/A,"PURSPP",FALSE,"Business Analysis";#N/A,"CTGIND",FALSE,"Business Analysis";#N/A,"PURCHM",FALSE,"Business Analysis";#N/A,"SPADD",FALSE,"Business Analysis";#N/A,"EPOXY",FALSE,"Business Analysis";#N/A,"PURPER",FALSE,"Business Analysis"}</definedName>
    <definedName name="qwe" localSheetId="7" hidden="1">{#N/A,"PURADD",FALSE,"Business Analysis";#N/A,"PURSPP",FALSE,"Business Analysis";#N/A,"CTGIND",FALSE,"Business Analysis";#N/A,"PURCHM",FALSE,"Business Analysis";#N/A,"SPADD",FALSE,"Business Analysis";#N/A,"EPOXY",FALSE,"Business Analysis";#N/A,"PURPER",FALSE,"Business Analysis"}</definedName>
    <definedName name="qwe" hidden="1">{#N/A,"PURADD",FALSE,"Business Analysis";#N/A,"PURSPP",FALSE,"Business Analysis";#N/A,"CTGIND",FALSE,"Business Analysis";#N/A,"PURCHM",FALSE,"Business Analysis";#N/A,"SPADD",FALSE,"Business Analysis";#N/A,"EPOXY",FALSE,"Business Analysis";#N/A,"PURPER",FALSE,"Business Analysis"}</definedName>
    <definedName name="qweqwesg" localSheetId="3" hidden="1">{#N/A,#N/A,FALSE,"Umsatz CH";#N/A,#N/A,FALSE,"ER CH";#N/A,#N/A,FALSE,"EA CH (2) ";#N/A,#N/A,FALSE,"EA CH";#N/A,#N/A,FALSE,"EA CH (3) ";#N/A,#N/A,FALSE,"EA CH (4)";#N/A,#N/A,FALSE,"KA CH";#N/A,#N/A,FALSE,"KA CH  (2)";#N/A,#N/A,FALSE,"KA CH  (3)";#N/A,#N/A,FALSE,"KA CH (4)"}</definedName>
    <definedName name="qweqwesg" localSheetId="7" hidden="1">{#N/A,#N/A,FALSE,"Umsatz CH";#N/A,#N/A,FALSE,"ER CH";#N/A,#N/A,FALSE,"EA CH (2) ";#N/A,#N/A,FALSE,"EA CH";#N/A,#N/A,FALSE,"EA CH (3) ";#N/A,#N/A,FALSE,"EA CH (4)";#N/A,#N/A,FALSE,"KA CH";#N/A,#N/A,FALSE,"KA CH  (2)";#N/A,#N/A,FALSE,"KA CH  (3)";#N/A,#N/A,FALSE,"KA CH (4)"}</definedName>
    <definedName name="qweqwesg" hidden="1">{#N/A,#N/A,FALSE,"Umsatz CH";#N/A,#N/A,FALSE,"ER CH";#N/A,#N/A,FALSE,"EA CH (2) ";#N/A,#N/A,FALSE,"EA CH";#N/A,#N/A,FALSE,"EA CH (3) ";#N/A,#N/A,FALSE,"EA CH (4)";#N/A,#N/A,FALSE,"KA CH";#N/A,#N/A,FALSE,"KA CH  (2)";#N/A,#N/A,FALSE,"KA CH  (3)";#N/A,#N/A,FALSE,"KA CH (4)"}</definedName>
    <definedName name="qwer" localSheetId="3" hidden="1">{"pro_view",#N/A,FALSE,"EEFSNAP2";"rep_view",#N/A,FALSE,"EEFSNAP2"}</definedName>
    <definedName name="qwer" localSheetId="7" hidden="1">{"pro_view",#N/A,FALSE,"EEFSNAP2";"rep_view",#N/A,FALSE,"EEFSNAP2"}</definedName>
    <definedName name="qwer" hidden="1">{"pro_view",#N/A,FALSE,"EEFSNAP2";"rep_view",#N/A,FALSE,"EEFSNAP2"}</definedName>
    <definedName name="qwertqry" localSheetId="3" hidden="1">{#N/A,#N/A,FALSE,"REPORT"}</definedName>
    <definedName name="qwertqry" localSheetId="7" hidden="1">{#N/A,#N/A,FALSE,"REPORT"}</definedName>
    <definedName name="qwertqry" hidden="1">{#N/A,#N/A,FALSE,"REPORT"}</definedName>
    <definedName name="qwetqryetytu" localSheetId="3" hidden="1">{#N/A,#N/A,FALSE,"Pharm";#N/A,#N/A,FALSE,"WWCM"}</definedName>
    <definedName name="qwetqryetytu" localSheetId="7" hidden="1">{#N/A,#N/A,FALSE,"Pharm";#N/A,#N/A,FALSE,"WWCM"}</definedName>
    <definedName name="qwetqryetytu" hidden="1">{#N/A,#N/A,FALSE,"Pharm";#N/A,#N/A,FALSE,"WWCM"}</definedName>
    <definedName name="qwrd" localSheetId="3" hidden="1">{"ACT",#N/A,FALSE,"Q3Elec P&amp;L fy 99  ";"BUD",#N/A,FALSE,"Q3Elec P&amp;L fy 99  ";"PRIOR",#N/A,FALSE,"Q3Elec P&amp;L fy 99  "}</definedName>
    <definedName name="qwrd" localSheetId="7" hidden="1">{"ACT",#N/A,FALSE,"Q3Elec P&amp;L fy 99  ";"BUD",#N/A,FALSE,"Q3Elec P&amp;L fy 99  ";"PRIOR",#N/A,FALSE,"Q3Elec P&amp;L fy 99  "}</definedName>
    <definedName name="qwrd" hidden="1">{"ACT",#N/A,FALSE,"Q3Elec P&amp;L fy 99  ";"BUD",#N/A,FALSE,"Q3Elec P&amp;L fy 99  ";"PRIOR",#N/A,FALSE,"Q3Elec P&amp;L fy 99  "}</definedName>
    <definedName name="qws" localSheetId="3" hidden="1">{"QTD_OTHER",#N/A,FALSE,"QTD"}</definedName>
    <definedName name="qws" localSheetId="7" hidden="1">{"QTD_OTHER",#N/A,FALSE,"QTD"}</definedName>
    <definedName name="qws" hidden="1">{"QTD_OTHER",#N/A,FALSE,"QTD"}</definedName>
    <definedName name="qwsa" localSheetId="3"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a" localSheetId="7"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a"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d" localSheetId="3"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sd"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sd"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z" localSheetId="3" hidden="1">{"QTD_HYCO",#N/A,FALSE,"QTD"}</definedName>
    <definedName name="qwz" localSheetId="7" hidden="1">{"QTD_HYCO",#N/A,FALSE,"QTD"}</definedName>
    <definedName name="qwz" hidden="1">{"QTD_HYCO",#N/A,FALSE,"QTD"}</definedName>
    <definedName name="rad" localSheetId="3" hidden="1">{"PACKAGE",#N/A,FALSE,"CM"}</definedName>
    <definedName name="rad" localSheetId="7" hidden="1">{"PACKAGE",#N/A,FALSE,"CM"}</definedName>
    <definedName name="rad" hidden="1">{"PACKAGE",#N/A,FALSE,"CM"}</definedName>
    <definedName name="Ratios_2" localSheetId="3" hidden="1">{"'TG'!$A$1:$L$37"}</definedName>
    <definedName name="Ratios_2" localSheetId="7" hidden="1">{"'TG'!$A$1:$L$37"}</definedName>
    <definedName name="Ratios_2" hidden="1">{"'TG'!$A$1:$L$37"}</definedName>
    <definedName name="RAZA02" localSheetId="3" hidden="1">{TRUE,TRUE,1.75,1,480,274.5,FALSE,FALSE,TRUE,TRUE,0,4,#N/A,104,#N/A,27.7350427350427,17.8823529411765,1,FALSE,FALSE,1,TRUE,1,FALSE,100,"Swvu.RAZA03.","ACwvu.RAZA03.",#N/A,FALSE,FALSE,0.31496062992126,0.275590551181102,0.65,0.64,1,"&amp;R&amp;D
&amp;T","&amp;LC:\JL\EEFF\1996\RESUL03.XLS&amp;R&amp;P
&amp;N",FALSE,FALSE,FALSE,FALSE,1,#N/A,1,1,"=R181C2:R232C30",FALSE,"Rwvu.RAZA03.",#N/A,TRUE,FALSE,FALSE,1,120,72,FALSE,FALSE,TRUE,TRUE,TRUE}</definedName>
    <definedName name="RAZA02" localSheetId="7" hidden="1">{TRUE,TRUE,1.75,1,480,274.5,FALSE,FALSE,TRUE,TRUE,0,4,#N/A,104,#N/A,27.7350427350427,17.8823529411765,1,FALSE,FALSE,1,TRUE,1,FALSE,100,"Swvu.RAZA03.","ACwvu.RAZA03.",#N/A,FALSE,FALSE,0.31496062992126,0.275590551181102,0.65,0.64,1,"&amp;R&amp;D
&amp;T","&amp;LC:\JL\EEFF\1996\RESUL03.XLS&amp;R&amp;P
&amp;N",FALSE,FALSE,FALSE,FALSE,1,#N/A,1,1,"=R181C2:R232C30",FALSE,"Rwvu.RAZA03.",#N/A,TRUE,FALSE,FALSE,1,120,72,FALSE,FALSE,TRUE,TRUE,TRUE}</definedName>
    <definedName name="RAZA02" hidden="1">{TRUE,TRUE,1.75,1,480,274.5,FALSE,FALSE,TRUE,TRUE,0,4,#N/A,104,#N/A,27.7350427350427,17.8823529411765,1,FALSE,FALSE,1,TRUE,1,FALSE,100,"Swvu.RAZA03.","ACwvu.RAZA03.",#N/A,FALSE,FALSE,0.31496062992126,0.275590551181102,0.65,0.64,1,"&amp;R&amp;D
&amp;T","&amp;LC:\JL\EEFF\1996\RESUL03.XLS&amp;R&amp;P
&amp;N",FALSE,FALSE,FALSE,FALSE,1,#N/A,1,1,"=R181C2:R232C30",FALSE,"Rwvu.RAZA03.",#N/A,TRUE,FALSE,FALSE,1,120,72,FALSE,FALSE,TRUE,TRUE,TRUE}</definedName>
    <definedName name="rd" localSheetId="3" hidden="1">{"oct_res_comm",#N/A,FALSE,"VarToBud"}</definedName>
    <definedName name="rd" localSheetId="7" hidden="1">{"oct_res_comm",#N/A,FALSE,"VarToBud"}</definedName>
    <definedName name="rd" hidden="1">{"oct_res_comm",#N/A,FALSE,"VarToBud"}</definedName>
    <definedName name="RDFGXGMF" localSheetId="3" hidden="1">{#N/A,#N/A,FALSE,"Pag.01"}</definedName>
    <definedName name="RDFGXGMF" localSheetId="7" hidden="1">{#N/A,#N/A,FALSE,"Pag.01"}</definedName>
    <definedName name="RDFGXGMF" hidden="1">{#N/A,#N/A,FALSE,"Pag.01"}</definedName>
    <definedName name="rdx" localSheetId="3" hidden="1">{"oct_res_comm",#N/A,FALSE,"VarToBud"}</definedName>
    <definedName name="rdx" localSheetId="7" hidden="1">{"oct_res_comm",#N/A,FALSE,"VarToBud"}</definedName>
    <definedName name="rdx" hidden="1">{"oct_res_comm",#N/A,FALSE,"VarToBud"}</definedName>
    <definedName name="rea" localSheetId="3"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a" localSheetId="7"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a"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cenue" localSheetId="3" hidden="1">{#N/A,#N/A,FALSE,"Earn'gs &amp; Val'n";#N/A,#N/A,FALSE,"Interim"}</definedName>
    <definedName name="recenue" localSheetId="7" hidden="1">{#N/A,#N/A,FALSE,"Earn'gs &amp; Val'n";#N/A,#N/A,FALSE,"Interim"}</definedName>
    <definedName name="recenue" hidden="1">{#N/A,#N/A,FALSE,"Earn'gs &amp; Val'n";#N/A,#N/A,FALSE,"Interim"}</definedName>
    <definedName name="reggie" localSheetId="3" hidden="1">{#N/A,#N/A,FALSE,"Pharm";#N/A,#N/A,FALSE,"WWCM"}</definedName>
    <definedName name="reggie" localSheetId="7" hidden="1">{#N/A,#N/A,FALSE,"Pharm";#N/A,#N/A,FALSE,"WWCM"}</definedName>
    <definedName name="reggie" hidden="1">{#N/A,#N/A,FALSE,"Pharm";#N/A,#N/A,FALSE,"WWCM"}</definedName>
    <definedName name="Regiane" localSheetId="3" hidden="1">{#N/A,#N/A,FALSE,"Acum Julio - 00"}</definedName>
    <definedName name="Regiane" localSheetId="7" hidden="1">{#N/A,#N/A,FALSE,"Acum Julio - 00"}</definedName>
    <definedName name="Regiane" hidden="1">{#N/A,#N/A,FALSE,"Acum Julio - 00"}</definedName>
    <definedName name="rep" localSheetId="3" hidden="1">{#N/A,#N/A,FALSE,"COVER";#N/A,#N/A,FALSE,"VALUATION";#N/A,#N/A,FALSE,"FORECAST";#N/A,#N/A,FALSE,"FY ANALYSIS ";#N/A,#N/A,FALSE," HY ANALYSIS"}</definedName>
    <definedName name="rep" localSheetId="7" hidden="1">{#N/A,#N/A,FALSE,"COVER";#N/A,#N/A,FALSE,"VALUATION";#N/A,#N/A,FALSE,"FORECAST";#N/A,#N/A,FALSE,"FY ANALYSIS ";#N/A,#N/A,FALSE," HY ANALYSIS"}</definedName>
    <definedName name="rep" hidden="1">{#N/A,#N/A,FALSE,"COVER";#N/A,#N/A,FALSE,"VALUATION";#N/A,#N/A,FALSE,"FORECAST";#N/A,#N/A,FALSE,"FY ANALYSIS ";#N/A,#N/A,FALSE," HY ANALYSIS"}</definedName>
    <definedName name="resp." localSheetId="3" hidden="1">{#N/A,#N/A,FALSE,"Pharm";#N/A,#N/A,FALSE,"WWCM"}</definedName>
    <definedName name="resp." localSheetId="7" hidden="1">{#N/A,#N/A,FALSE,"Pharm";#N/A,#N/A,FALSE,"WWCM"}</definedName>
    <definedName name="resp." hidden="1">{#N/A,#N/A,FALSE,"Pharm";#N/A,#N/A,FALSE,"WWCM"}</definedName>
    <definedName name="reuy" localSheetId="3" hidden="1">{#N/A,#N/A,FALSE,"Pedidos Abiertos"}</definedName>
    <definedName name="reuy" localSheetId="7" hidden="1">{#N/A,#N/A,FALSE,"Pedidos Abiertos"}</definedName>
    <definedName name="reuy" hidden="1">{#N/A,#N/A,FALSE,"Pedidos Abiertos"}</definedName>
    <definedName name="REW" localSheetId="3" hidden="1">{#N/A,#N/A,FALSE,"Pag.01"}</definedName>
    <definedName name="REW" localSheetId="7" hidden="1">{#N/A,#N/A,FALSE,"Pag.01"}</definedName>
    <definedName name="REW" hidden="1">{#N/A,#N/A,FALSE,"Pag.01"}</definedName>
    <definedName name="rewq" localSheetId="3" hidden="1">{"sales growth",#N/A,FALSE,"summary";"oper income",#N/A,FALSE,"summary";"oros rank",#N/A,FALSE,"summary";"net assets",#N/A,FALSE,"summary";"asset turnover",#N/A,FALSE,"summary";"orona",#N/A,FALSE,"summary"}</definedName>
    <definedName name="rewq" localSheetId="7" hidden="1">{"sales growth",#N/A,FALSE,"summary";"oper income",#N/A,FALSE,"summary";"oros rank",#N/A,FALSE,"summary";"net assets",#N/A,FALSE,"summary";"asset turnover",#N/A,FALSE,"summary";"orona",#N/A,FALSE,"summary"}</definedName>
    <definedName name="rewq" hidden="1">{"sales growth",#N/A,FALSE,"summary";"oper income",#N/A,FALSE,"summary";"oros rank",#N/A,FALSE,"summary";"net assets",#N/A,FALSE,"summary";"asset turnover",#N/A,FALSE,"summary";"orona",#N/A,FALSE,"summary"}</definedName>
    <definedName name="rewtet" localSheetId="3" hidden="1">{#N/A,#N/A,FALSE,"Umsatz 99";#N/A,#N/A,FALSE,"ER 99 "}</definedName>
    <definedName name="rewtet" localSheetId="7" hidden="1">{#N/A,#N/A,FALSE,"Umsatz 99";#N/A,#N/A,FALSE,"ER 99 "}</definedName>
    <definedName name="rewtet" hidden="1">{#N/A,#N/A,FALSE,"Umsatz 99";#N/A,#N/A,FALSE,"ER 99 "}</definedName>
    <definedName name="rf2e" localSheetId="3" hidden="1">{#N/A,#N/A,FALSE,"Pharm";#N/A,#N/A,FALSE,"WWCM"}</definedName>
    <definedName name="rf2e" localSheetId="7" hidden="1">{#N/A,#N/A,FALSE,"Pharm";#N/A,#N/A,FALSE,"WWCM"}</definedName>
    <definedName name="rf2e" hidden="1">{#N/A,#N/A,FALSE,"Pharm";#N/A,#N/A,FALSE,"WWCM"}</definedName>
    <definedName name="rixi" localSheetId="3" hidden="1">{"oct_res_comm",#N/A,FALSE,"VarToBud"}</definedName>
    <definedName name="rixi" localSheetId="7" hidden="1">{"oct_res_comm",#N/A,FALSE,"VarToBud"}</definedName>
    <definedName name="rixi" hidden="1">{"oct_res_comm",#N/A,FALSE,"VarToBud"}</definedName>
    <definedName name="rjod" localSheetId="3" hidden="1">{"detail",#N/A,FALSE,"mfg";"summary",#N/A,FALSE,"mfg"}</definedName>
    <definedName name="rjod" localSheetId="7" hidden="1">{"detail",#N/A,FALSE,"mfg";"summary",#N/A,FALSE,"mfg"}</definedName>
    <definedName name="rjod" hidden="1">{"detail",#N/A,FALSE,"mfg";"summary",#N/A,FALSE,"mfg"}</definedName>
    <definedName name="rkods" localSheetId="3" hidden="1">{"detail",#N/A,FALSE,"mfg";"summary",#N/A,FALSE,"mfg"}</definedName>
    <definedName name="rkods" localSheetId="7" hidden="1">{"detail",#N/A,FALSE,"mfg";"summary",#N/A,FALSE,"mfg"}</definedName>
    <definedName name="rkods" hidden="1">{"detail",#N/A,FALSE,"mfg";"summary",#N/A,FALSE,"mfg"}</definedName>
    <definedName name="roro" localSheetId="3" hidden="1">{#N/A,#N/A,FALSE,"Pedidos Abiertos"}</definedName>
    <definedName name="roro" localSheetId="7" hidden="1">{#N/A,#N/A,FALSE,"Pedidos Abiertos"}</definedName>
    <definedName name="roro" hidden="1">{#N/A,#N/A,FALSE,"Pedidos Abiertos"}</definedName>
    <definedName name="rr" localSheetId="3" hidden="1">{"detail",#N/A,FALSE,"mfg";"summary",#N/A,FALSE,"mfg"}</definedName>
    <definedName name="rr" localSheetId="7" hidden="1">{"detail",#N/A,FALSE,"mfg";"summary",#N/A,FALSE,"mfg"}</definedName>
    <definedName name="rr" hidden="1">{"detail",#N/A,FALSE,"mfg";"summary",#N/A,FALSE,"mfg"}</definedName>
    <definedName name="rr.kk" localSheetId="3" hidden="1">{#N/A,#N/A,FALSE,"Umsatz CH";#N/A,#N/A,FALSE,"ER CH";#N/A,#N/A,FALSE,"EA CH (2) ";#N/A,#N/A,FALSE,"EA CH";#N/A,#N/A,FALSE,"EA CH (3) ";#N/A,#N/A,FALSE,"EA CH (4)";#N/A,#N/A,FALSE,"KA CH";#N/A,#N/A,FALSE,"KA CH  (2)";#N/A,#N/A,FALSE,"KA CH  (3)";#N/A,#N/A,FALSE,"KA CH (4)"}</definedName>
    <definedName name="rr.kk" localSheetId="7" hidden="1">{#N/A,#N/A,FALSE,"Umsatz CH";#N/A,#N/A,FALSE,"ER CH";#N/A,#N/A,FALSE,"EA CH (2) ";#N/A,#N/A,FALSE,"EA CH";#N/A,#N/A,FALSE,"EA CH (3) ";#N/A,#N/A,FALSE,"EA CH (4)";#N/A,#N/A,FALSE,"KA CH";#N/A,#N/A,FALSE,"KA CH  (2)";#N/A,#N/A,FALSE,"KA CH  (3)";#N/A,#N/A,FALSE,"KA CH (4)"}</definedName>
    <definedName name="rr.kk" hidden="1">{#N/A,#N/A,FALSE,"Umsatz CH";#N/A,#N/A,FALSE,"ER CH";#N/A,#N/A,FALSE,"EA CH (2) ";#N/A,#N/A,FALSE,"EA CH";#N/A,#N/A,FALSE,"EA CH (3) ";#N/A,#N/A,FALSE,"EA CH (4)";#N/A,#N/A,FALSE,"KA CH";#N/A,#N/A,FALSE,"KA CH  (2)";#N/A,#N/A,FALSE,"KA CH  (3)";#N/A,#N/A,FALSE,"KA CH (4)"}</definedName>
    <definedName name="rrr" localSheetId="3" hidden="1">{#N/A,"PURCHM",FALSE,"Business Analysis";#N/A,"SPADD",FALSE,"Business Analysis"}</definedName>
    <definedName name="rrr" localSheetId="7" hidden="1">{#N/A,"PURCHM",FALSE,"Business Analysis";#N/A,"SPADD",FALSE,"Business Analysis"}</definedName>
    <definedName name="rrr" hidden="1">{#N/A,"PURCHM",FALSE,"Business Analysis";#N/A,"SPADD",FALSE,"Business Analysis"}</definedName>
    <definedName name="rrrr" localSheetId="3" hidden="1">{"vol data",#N/A,FALSE,"Datasheet";"vol graph",#N/A,FALSE,"Volume";"price data",#N/A,FALSE,"Datasheet";"price graph",#N/A,FALSE,"Price";"dp data",#N/A,FALSE,"Datasheet";"dp graph",#N/A,FALSE,"DirectProfit"}</definedName>
    <definedName name="rrrr" localSheetId="7" hidden="1">{"vol data",#N/A,FALSE,"Datasheet";"vol graph",#N/A,FALSE,"Volume";"price data",#N/A,FALSE,"Datasheet";"price graph",#N/A,FALSE,"Price";"dp data",#N/A,FALSE,"Datasheet";"dp graph",#N/A,FALSE,"DirectProfit"}</definedName>
    <definedName name="rrrr" hidden="1">{"vol data",#N/A,FALSE,"Datasheet";"vol graph",#N/A,FALSE,"Volume";"price data",#N/A,FALSE,"Datasheet";"price graph",#N/A,FALSE,"Price";"dp data",#N/A,FALSE,"Datasheet";"dp graph",#N/A,FALSE,"DirectProfit"}</definedName>
    <definedName name="rrrrr" localSheetId="3" hidden="1">{#N/A,#N/A,FALSE,"Pharm";#N/A,#N/A,FALSE,"WWCM"}</definedName>
    <definedName name="rrrrr" localSheetId="7" hidden="1">{#N/A,#N/A,FALSE,"Pharm";#N/A,#N/A,FALSE,"WWCM"}</definedName>
    <definedName name="rrrrr" hidden="1">{#N/A,#N/A,FALSE,"Pharm";#N/A,#N/A,FALSE,"WWCM"}</definedName>
    <definedName name="rsac" localSheetId="3" hidden="1">{"PAGE 1",#N/A,FALSE,"COS Excluding Geismar";"PAGE 2",#N/A,FALSE,"COS Excluding Geismar";"PAGE 3",#N/A,FALSE,"COS Excluding Geismar"}</definedName>
    <definedName name="rsac" localSheetId="7" hidden="1">{"PAGE 1",#N/A,FALSE,"COS Excluding Geismar";"PAGE 2",#N/A,FALSE,"COS Excluding Geismar";"PAGE 3",#N/A,FALSE,"COS Excluding Geismar"}</definedName>
    <definedName name="rsac" hidden="1">{"PAGE 1",#N/A,FALSE,"COS Excluding Geismar";"PAGE 2",#N/A,FALSE,"COS Excluding Geismar";"PAGE 3",#N/A,FALSE,"COS Excluding Geismar"}</definedName>
    <definedName name="rt" localSheetId="3" hidden="1">{"detail",#N/A,FALSE,"mfg";"summary",#N/A,FALSE,"mfg"}</definedName>
    <definedName name="rt" localSheetId="7" hidden="1">{"detail",#N/A,FALSE,"mfg";"summary",#N/A,FALSE,"mfg"}</definedName>
    <definedName name="rt" hidden="1">{"detail",#N/A,FALSE,"mfg";"summary",#N/A,FALSE,"mfg"}</definedName>
    <definedName name="rtds" localSheetId="3" hidden="1">{"ICD Details",#N/A,FALSE,"Current Yr";"ICD Details",#N/A,FALSE,"Budget";"ICD Details",#N/A,FALSE,"Prior Year"}</definedName>
    <definedName name="rtds" localSheetId="7" hidden="1">{"ICD Details",#N/A,FALSE,"Current Yr";"ICD Details",#N/A,FALSE,"Budget";"ICD Details",#N/A,FALSE,"Prior Year"}</definedName>
    <definedName name="rtds" hidden="1">{"ICD Details",#N/A,FALSE,"Current Yr";"ICD Details",#N/A,FALSE,"Budget";"ICD Details",#N/A,FALSE,"Prior Year"}</definedName>
    <definedName name="rtfg" localSheetId="3" hidden="1">{"LAPO2N2",#N/A,FALSE,"CM";"TOTTEXAS",#N/A,FALSE,"CM";"LOUISIANA",#N/A,FALSE,"CM";"GENERALH2",#N/A,FALSE,"CM";"PRS",#N/A,FALSE,"CM";"PACKAGE",#N/A,FALSE,"CM";"OTHER",#N/A,FALSE,"CM"}</definedName>
    <definedName name="rtfg" localSheetId="7" hidden="1">{"LAPO2N2",#N/A,FALSE,"CM";"TOTTEXAS",#N/A,FALSE,"CM";"LOUISIANA",#N/A,FALSE,"CM";"GENERALH2",#N/A,FALSE,"CM";"PRS",#N/A,FALSE,"CM";"PACKAGE",#N/A,FALSE,"CM";"OTHER",#N/A,FALSE,"CM"}</definedName>
    <definedName name="rtfg" hidden="1">{"LAPO2N2",#N/A,FALSE,"CM";"TOTTEXAS",#N/A,FALSE,"CM";"LOUISIANA",#N/A,FALSE,"CM";"GENERALH2",#N/A,FALSE,"CM";"PRS",#N/A,FALSE,"CM";"PACKAGE",#N/A,FALSE,"CM";"OTHER",#N/A,FALSE,"CM"}</definedName>
    <definedName name="rtgh" localSheetId="3" hidden="1">{#N/A,#N/A,TRUE,"Sheet1";#N/A,#N/A,TRUE,"Sheet2";#N/A,#N/A,TRUE,"Sheet3";#N/A,#N/A,TRUE,"Sheet4";#N/A,#N/A,TRUE,"Sheet5";#N/A,#N/A,TRUE,"Sheet6";#N/A,#N/A,TRUE,"Sheet7"}</definedName>
    <definedName name="rtgh" localSheetId="7" hidden="1">{#N/A,#N/A,TRUE,"Sheet1";#N/A,#N/A,TRUE,"Sheet2";#N/A,#N/A,TRUE,"Sheet3";#N/A,#N/A,TRUE,"Sheet4";#N/A,#N/A,TRUE,"Sheet5";#N/A,#N/A,TRUE,"Sheet6";#N/A,#N/A,TRUE,"Sheet7"}</definedName>
    <definedName name="rtgh" hidden="1">{#N/A,#N/A,TRUE,"Sheet1";#N/A,#N/A,TRUE,"Sheet2";#N/A,#N/A,TRUE,"Sheet3";#N/A,#N/A,TRUE,"Sheet4";#N/A,#N/A,TRUE,"Sheet5";#N/A,#N/A,TRUE,"Sheet6";#N/A,#N/A,TRUE,"Sheet7"}</definedName>
    <definedName name="rtnb" localSheetId="3" hidden="1">{"vol data",#N/A,FALSE,"Datasheet";"vol graph",#N/A,FALSE,"Volume";"price data",#N/A,FALSE,"Datasheet";"price graph",#N/A,FALSE,"Price";"dp data",#N/A,FALSE,"Datasheet";"dp graph",#N/A,FALSE,"DirectProfit"}</definedName>
    <definedName name="rtnb" localSheetId="7" hidden="1">{"vol data",#N/A,FALSE,"Datasheet";"vol graph",#N/A,FALSE,"Volume";"price data",#N/A,FALSE,"Datasheet";"price graph",#N/A,FALSE,"Price";"dp data",#N/A,FALSE,"Datasheet";"dp graph",#N/A,FALSE,"DirectProfit"}</definedName>
    <definedName name="rtnb" hidden="1">{"vol data",#N/A,FALSE,"Datasheet";"vol graph",#N/A,FALSE,"Volume";"price data",#N/A,FALSE,"Datasheet";"price graph",#N/A,FALSE,"Price";"dp data",#N/A,FALSE,"Datasheet";"dp graph",#N/A,FALSE,"DirectProfit"}</definedName>
    <definedName name="rtre" localSheetId="3" hidden="1">{#N/A,#N/A,FALSE,"Umsatz CH";#N/A,#N/A,FALSE,"ER CH";#N/A,#N/A,FALSE,"EA CH (2) ";#N/A,#N/A,FALSE,"EA CH";#N/A,#N/A,FALSE,"EA CH (3) ";#N/A,#N/A,FALSE,"EA CH (4)";#N/A,#N/A,FALSE,"KA CH";#N/A,#N/A,FALSE,"KA CH  (2)";#N/A,#N/A,FALSE,"KA CH  (3)";#N/A,#N/A,FALSE,"KA CH (4)"}</definedName>
    <definedName name="rtre" localSheetId="7" hidden="1">{#N/A,#N/A,FALSE,"Umsatz CH";#N/A,#N/A,FALSE,"ER CH";#N/A,#N/A,FALSE,"EA CH (2) ";#N/A,#N/A,FALSE,"EA CH";#N/A,#N/A,FALSE,"EA CH (3) ";#N/A,#N/A,FALSE,"EA CH (4)";#N/A,#N/A,FALSE,"KA CH";#N/A,#N/A,FALSE,"KA CH  (2)";#N/A,#N/A,FALSE,"KA CH  (3)";#N/A,#N/A,FALSE,"KA CH (4)"}</definedName>
    <definedName name="rtre" hidden="1">{#N/A,#N/A,FALSE,"Umsatz CH";#N/A,#N/A,FALSE,"ER CH";#N/A,#N/A,FALSE,"EA CH (2) ";#N/A,#N/A,FALSE,"EA CH";#N/A,#N/A,FALSE,"EA CH (3) ";#N/A,#N/A,FALSE,"EA CH (4)";#N/A,#N/A,FALSE,"KA CH";#N/A,#N/A,FALSE,"KA CH  (2)";#N/A,#N/A,FALSE,"KA CH  (3)";#N/A,#N/A,FALSE,"KA CH (4)"}</definedName>
    <definedName name="rty" localSheetId="3" hidden="1">{"ICD Details",#N/A,FALSE,"Current Yr";"ICD Details",#N/A,FALSE,"Budget";"ICD Details",#N/A,FALSE,"Prior Year"}</definedName>
    <definedName name="rty" localSheetId="7" hidden="1">{"ICD Details",#N/A,FALSE,"Current Yr";"ICD Details",#N/A,FALSE,"Budget";"ICD Details",#N/A,FALSE,"Prior Year"}</definedName>
    <definedName name="rty" hidden="1">{"ICD Details",#N/A,FALSE,"Current Yr";"ICD Details",#N/A,FALSE,"Budget";"ICD Details",#N/A,FALSE,"Prior Year"}</definedName>
    <definedName name="rtyu" localSheetId="3" hidden="1">{"BA detail",#N/A,FALSE,"Q3YTD "}</definedName>
    <definedName name="rtyu" localSheetId="7" hidden="1">{"BA detail",#N/A,FALSE,"Q3YTD "}</definedName>
    <definedName name="rtyu" hidden="1">{"BA detail",#N/A,FALSE,"Q3YTD "}</definedName>
    <definedName name="ruufo" localSheetId="3" hidden="1">{"detail",#N/A,FALSE,"mfg";"summary",#N/A,FALSE,"mfg"}</definedName>
    <definedName name="ruufo" localSheetId="7" hidden="1">{"detail",#N/A,FALSE,"mfg";"summary",#N/A,FALSE,"mfg"}</definedName>
    <definedName name="ruufo" hidden="1">{"detail",#N/A,FALSE,"mfg";"summary",#N/A,FALSE,"mfg"}</definedName>
    <definedName name="rv" localSheetId="3" hidden="1">{"apci",#N/A,FALSE,"Chem_CY";"eastman",#N/A,FALSE,"Eastman";"betz",#N/A,FALSE,"Betz";"great lakes",#N/A,FALSE,"Great_Lakes";"hercules",#N/A,FALSE,"Hercules Chem Seg Data";"rohm",#N/A,FALSE,"Rohm";"union carbide",#N/A,FALSE,"Union";"witco",#N/A,FALSE,"Witco"}</definedName>
    <definedName name="rv" localSheetId="7" hidden="1">{"apci",#N/A,FALSE,"Chem_CY";"eastman",#N/A,FALSE,"Eastman";"betz",#N/A,FALSE,"Betz";"great lakes",#N/A,FALSE,"Great_Lakes";"hercules",#N/A,FALSE,"Hercules Chem Seg Data";"rohm",#N/A,FALSE,"Rohm";"union carbide",#N/A,FALSE,"Union";"witco",#N/A,FALSE,"Witco"}</definedName>
    <definedName name="rv" hidden="1">{"apci",#N/A,FALSE,"Chem_CY";"eastman",#N/A,FALSE,"Eastman";"betz",#N/A,FALSE,"Betz";"great lakes",#N/A,FALSE,"Great_Lakes";"hercules",#N/A,FALSE,"Hercules Chem Seg Data";"rohm",#N/A,FALSE,"Rohm";"union carbide",#N/A,FALSE,"Union";"witco",#N/A,FALSE,"Witco"}</definedName>
    <definedName name="rw" localSheetId="3" hidden="1">{#N/A,"PURADD",FALSE,"Business Analysis";#N/A,"PURSPP",FALSE,"Business Analysis";#N/A,"CTGIND",FALSE,"Business Analysis";#N/A,"PURCHM",FALSE,"Business Analysis";#N/A,"SPADD",FALSE,"Business Analysis";#N/A,"EPOXY",FALSE,"Business Analysis";#N/A,"PURPER",FALSE,"Business Analysis"}</definedName>
    <definedName name="rw" localSheetId="7" hidden="1">{#N/A,"PURADD",FALSE,"Business Analysis";#N/A,"PURSPP",FALSE,"Business Analysis";#N/A,"CTGIND",FALSE,"Business Analysis";#N/A,"PURCHM",FALSE,"Business Analysis";#N/A,"SPADD",FALSE,"Business Analysis";#N/A,"EPOXY",FALSE,"Business Analysis";#N/A,"PURPER",FALSE,"Business Analysis"}</definedName>
    <definedName name="rw" hidden="1">{#N/A,"PURADD",FALSE,"Business Analysis";#N/A,"PURSPP",FALSE,"Business Analysis";#N/A,"CTGIND",FALSE,"Business Analysis";#N/A,"PURCHM",FALSE,"Business Analysis";#N/A,"SPADD",FALSE,"Business Analysis";#N/A,"EPOXY",FALSE,"Business Analysis";#N/A,"PURPER",FALSE,"Business Analysis"}</definedName>
    <definedName name="rweq" localSheetId="3" hidden="1">{"TEXO2N2_VOL",#N/A,FALSE,"MTHLYVOL";"TEXH2_VOL",#N/A,FALSE,"MTHLYVOL";"LOUIS_VOL",#N/A,FALSE,"MTHLYVOL";"H2_VOL",#N/A,FALSE,"MTHLYVOL";"O2N2_VOL",#N/A,FALSE,"MTHLYVOL";"PACKAGE_VOL",#N/A,FALSE,"MTHLYVOL"}</definedName>
    <definedName name="rweq" localSheetId="7" hidden="1">{"TEXO2N2_VOL",#N/A,FALSE,"MTHLYVOL";"TEXH2_VOL",#N/A,FALSE,"MTHLYVOL";"LOUIS_VOL",#N/A,FALSE,"MTHLYVOL";"H2_VOL",#N/A,FALSE,"MTHLYVOL";"O2N2_VOL",#N/A,FALSE,"MTHLYVOL";"PACKAGE_VOL",#N/A,FALSE,"MTHLYVOL"}</definedName>
    <definedName name="rweq" hidden="1">{"TEXO2N2_VOL",#N/A,FALSE,"MTHLYVOL";"TEXH2_VOL",#N/A,FALSE,"MTHLYVOL";"LOUIS_VOL",#N/A,FALSE,"MTHLYVOL";"H2_VOL",#N/A,FALSE,"MTHLYVOL";"O2N2_VOL",#N/A,FALSE,"MTHLYVOL";"PACKAGE_VOL",#N/A,FALSE,"MTHLYVOL"}</definedName>
    <definedName name="rwert" localSheetId="3" hidden="1">{#N/A,#N/A,FALSE,"Pharm";#N/A,#N/A,FALSE,"WWCM"}</definedName>
    <definedName name="rwert" localSheetId="7" hidden="1">{#N/A,#N/A,FALSE,"Pharm";#N/A,#N/A,FALSE,"WWCM"}</definedName>
    <definedName name="rwert" hidden="1">{#N/A,#N/A,FALSE,"Pharm";#N/A,#N/A,FALSE,"WWCM"}</definedName>
    <definedName name="rwew" localSheetId="3" hidden="1">{"summary",#N/A,FALSE,"summary";"sales growth",#N/A,FALSE,"summary";"oper income",#N/A,FALSE,"summary";"oros rank",#N/A,FALSE,"summary";"net assets",#N/A,FALSE,"summary";"asset turnover",#N/A,FALSE,"summary";"orona",#N/A,FALSE,"summary";"total return",#N/A,FALSE,"summary";"overview",#N/A,FALSE,"summary"}</definedName>
    <definedName name="rwew" localSheetId="7" hidden="1">{"summary",#N/A,FALSE,"summary";"sales growth",#N/A,FALSE,"summary";"oper income",#N/A,FALSE,"summary";"oros rank",#N/A,FALSE,"summary";"net assets",#N/A,FALSE,"summary";"asset turnover",#N/A,FALSE,"summary";"orona",#N/A,FALSE,"summary";"total return",#N/A,FALSE,"summary";"overview",#N/A,FALSE,"summary"}</definedName>
    <definedName name="rwew" hidden="1">{"summary",#N/A,FALSE,"summary";"sales growth",#N/A,FALSE,"summary";"oper income",#N/A,FALSE,"summary";"oros rank",#N/A,FALSE,"summary";"net assets",#N/A,FALSE,"summary";"asset turnover",#N/A,FALSE,"summary";"orona",#N/A,FALSE,"summary";"total return",#N/A,FALSE,"summary";"overview",#N/A,FALSE,"summary"}</definedName>
    <definedName name="rwsz" localSheetId="3" hidden="1">{"Commentary",#N/A,FALSE,"May"}</definedName>
    <definedName name="rwsz" localSheetId="7" hidden="1">{"Commentary",#N/A,FALSE,"May"}</definedName>
    <definedName name="rwsz" hidden="1">{"Commentary",#N/A,FALSE,"May"}</definedName>
    <definedName name="Rwvu.RAZA03." hidden="1">#REF!</definedName>
    <definedName name="rwxz" localSheetId="3" hidden="1">{"TXO2N2_SLS",#N/A,FALSE,"MTHLYSLES";"TXH2_SLS",#N/A,FALSE,"MTHLYSLES";"LOUIS_SLS",#N/A,FALSE,"MTHLYSLES";"H2_SLS",#N/A,FALSE,"MTHLYSLES";"O2N2_SLS",#N/A,FALSE,"MTHLYSLES";"PACKAGE_SLS",#N/A,FALSE,"MTHLYSLES"}</definedName>
    <definedName name="rwxz" localSheetId="7" hidden="1">{"TXO2N2_SLS",#N/A,FALSE,"MTHLYSLES";"TXH2_SLS",#N/A,FALSE,"MTHLYSLES";"LOUIS_SLS",#N/A,FALSE,"MTHLYSLES";"H2_SLS",#N/A,FALSE,"MTHLYSLES";"O2N2_SLS",#N/A,FALSE,"MTHLYSLES";"PACKAGE_SLS",#N/A,FALSE,"MTHLYSLES"}</definedName>
    <definedName name="rwxz" hidden="1">{"TXO2N2_SLS",#N/A,FALSE,"MTHLYSLES";"TXH2_SLS",#N/A,FALSE,"MTHLYSLES";"LOUIS_SLS",#N/A,FALSE,"MTHLYSLES";"H2_SLS",#N/A,FALSE,"MTHLYSLES";"O2N2_SLS",#N/A,FALSE,"MTHLYSLES";"PACKAGE_SLS",#N/A,FALSE,"MTHLYSLES"}</definedName>
    <definedName name="rxs" localSheetId="3" hidden="1">{"Month Summary",#N/A,FALSE,"Summary";"Total Details",#N/A,FALSE,"Current Yr";"Polymers Details",#N/A,FALSE,"Current Yr";"Performance Details",#N/A,FALSE,"Current Yr";"ICD Details",#N/A,FALSE,"Current Yr"}</definedName>
    <definedName name="rxs" localSheetId="7" hidden="1">{"Month Summary",#N/A,FALSE,"Summary";"Total Details",#N/A,FALSE,"Current Yr";"Polymers Details",#N/A,FALSE,"Current Yr";"Performance Details",#N/A,FALSE,"Current Yr";"ICD Details",#N/A,FALSE,"Current Yr"}</definedName>
    <definedName name="rxs" hidden="1">{"Month Summary",#N/A,FALSE,"Summary";"Total Details",#N/A,FALSE,"Current Yr";"Polymers Details",#N/A,FALSE,"Current Yr";"Performance Details",#N/A,FALSE,"Current Yr";"ICD Details",#N/A,FALSE,"Current Yr"}</definedName>
    <definedName name="s" hidden="1">#N/A</definedName>
    <definedName name="sadfsdf" localSheetId="0" hidden="1">#REF!</definedName>
    <definedName name="sadfsdf" localSheetId="3" hidden="1">#REF!</definedName>
    <definedName name="sadfsdf" hidden="1">#REF!</definedName>
    <definedName name="safd" localSheetId="3" hidden="1">{#N/A,"PURADD",FALSE,"Business Analysis";#N/A,"PURSPP",FALSE,"Business Analysis";#N/A,"CTGIND",FALSE,"Business Analysis";#N/A,"PURCHM",FALSE,"Business Analysis";#N/A,"SPADD",FALSE,"Business Analysis";#N/A,"EPOXY",FALSE,"Business Analysis";#N/A,"PURPER",FALSE,"Business Analysis"}</definedName>
    <definedName name="safd" localSheetId="7" hidden="1">{#N/A,"PURADD",FALSE,"Business Analysis";#N/A,"PURSPP",FALSE,"Business Analysis";#N/A,"CTGIND",FALSE,"Business Analysis";#N/A,"PURCHM",FALSE,"Business Analysis";#N/A,"SPADD",FALSE,"Business Analysis";#N/A,"EPOXY",FALSE,"Business Analysis";#N/A,"PURPER",FALSE,"Business Analysis"}</definedName>
    <definedName name="safd" hidden="1">{#N/A,"PURADD",FALSE,"Business Analysis";#N/A,"PURSPP",FALSE,"Business Analysis";#N/A,"CTGIND",FALSE,"Business Analysis";#N/A,"PURCHM",FALSE,"Business Analysis";#N/A,"SPADD",FALSE,"Business Analysis";#N/A,"EPOXY",FALSE,"Business Analysis";#N/A,"PURPER",FALSE,"Business Analysis"}</definedName>
    <definedName name="Salespp" localSheetId="3" hidden="1">{"detail",#N/A,FALSE,"mfg";"summary",#N/A,FALSE,"mfg"}</definedName>
    <definedName name="Salespp" localSheetId="7" hidden="1">{"detail",#N/A,FALSE,"mfg";"summary",#N/A,FALSE,"mfg"}</definedName>
    <definedName name="Salespp" hidden="1">{"detail",#N/A,FALSE,"mfg";"summary",#N/A,FALSE,"mfg"}</definedName>
    <definedName name="sally" localSheetId="3" hidden="1">{#N/A,#N/A,FALSE,"Pharm";#N/A,#N/A,FALSE,"WWCM"}</definedName>
    <definedName name="sally" localSheetId="7" hidden="1">{#N/A,#N/A,FALSE,"Pharm";#N/A,#N/A,FALSE,"WWCM"}</definedName>
    <definedName name="sally" hidden="1">{#N/A,#N/A,FALSE,"Pharm";#N/A,#N/A,FALSE,"WWCM"}</definedName>
    <definedName name="SAPBEXdnldView" hidden="1">"6JNNNO36IJ5KPD8H648THM6R5"</definedName>
    <definedName name="SAPBEXrevision" hidden="1">1</definedName>
    <definedName name="SAPBEXsysID" hidden="1">"BP1"</definedName>
    <definedName name="SAPBEXwbID" hidden="1">"41B4BP4K3LS4CP46AGMMP6TF8"</definedName>
    <definedName name="SAPFuncF4Help" localSheetId="0" hidden="1">Main.SAPF4Help()</definedName>
    <definedName name="SAPFuncF4Help" localSheetId="3" hidden="1">Main.SAPF4Help()</definedName>
    <definedName name="SAPFuncF4Help" localSheetId="7" hidden="1">Main.SAPF4Help()</definedName>
    <definedName name="SAPFuncF4Help" hidden="1">Main.SAPF4Help()</definedName>
    <definedName name="sas" localSheetId="3" hidden="1">{"detail",#N/A,FALSE,"mfg";"summary",#N/A,FALSE,"mfg"}</definedName>
    <definedName name="sas" localSheetId="7" hidden="1">{"detail",#N/A,FALSE,"mfg";"summary",#N/A,FALSE,"mfg"}</definedName>
    <definedName name="sas" hidden="1">{"detail",#N/A,FALSE,"mfg";"summary",#N/A,FALSE,"mfg"}</definedName>
    <definedName name="score" localSheetId="3" hidden="1">{"detail",#N/A,FALSE,"mfg";"summary",#N/A,FALSE,"mfg"}</definedName>
    <definedName name="score" localSheetId="7" hidden="1">{"detail",#N/A,FALSE,"mfg";"summary",#N/A,FALSE,"mfg"}</definedName>
    <definedName name="score" hidden="1">{"detail",#N/A,FALSE,"mfg";"summary",#N/A,FALSE,"mfg"}</definedName>
    <definedName name="scorecardfy00" localSheetId="3" hidden="1">{"Comp_of_Price_Effect",#N/A,FALSE,"QTRDPVAR"}</definedName>
    <definedName name="scorecardfy00" localSheetId="7" hidden="1">{"Comp_of_Price_Effect",#N/A,FALSE,"QTRDPVAR"}</definedName>
    <definedName name="scorecardfy00" hidden="1">{"Comp_of_Price_Effect",#N/A,FALSE,"QTRDPVAR"}</definedName>
    <definedName name="SD" localSheetId="3" hidden="1">{#N/A,#N/A,FALSE,"Pharm";#N/A,#N/A,FALSE,"WWCM"}</definedName>
    <definedName name="SD" localSheetId="7" hidden="1">{#N/A,#N/A,FALSE,"Pharm";#N/A,#N/A,FALSE,"WWCM"}</definedName>
    <definedName name="SD" hidden="1">{#N/A,#N/A,FALSE,"Pharm";#N/A,#N/A,FALSE,"WWCM"}</definedName>
    <definedName name="sdafgs" localSheetId="3" hidden="1">{#N/A,#N/A,FALSE,"Pharm";#N/A,#N/A,FALSE,"WWCM"}</definedName>
    <definedName name="sdafgs" localSheetId="7" hidden="1">{#N/A,#N/A,FALSE,"Pharm";#N/A,#N/A,FALSE,"WWCM"}</definedName>
    <definedName name="sdafgs" hidden="1">{#N/A,#N/A,FALSE,"Pharm";#N/A,#N/A,FALSE,"WWCM"}</definedName>
    <definedName name="sdes" localSheetId="3" hidden="1">{"PACKAGE",#N/A,FALSE,"CM"}</definedName>
    <definedName name="sdes" localSheetId="7" hidden="1">{"PACKAGE",#N/A,FALSE,"CM"}</definedName>
    <definedName name="sdes" hidden="1">{"PACKAGE",#N/A,FALSE,"CM"}</definedName>
    <definedName name="sdf" localSheetId="3" hidden="1">{#N/A,#N/A,FALSE,"COVER";#N/A,#N/A,FALSE,"VALUATION";#N/A,#N/A,FALSE,"FORECAST";#N/A,#N/A,FALSE,"FY ANALYSIS ";#N/A,#N/A,FALSE," HY ANALYSIS"}</definedName>
    <definedName name="sdf" localSheetId="7" hidden="1">{#N/A,#N/A,FALSE,"COVER";#N/A,#N/A,FALSE,"VALUATION";#N/A,#N/A,FALSE,"FORECAST";#N/A,#N/A,FALSE,"FY ANALYSIS ";#N/A,#N/A,FALSE," HY ANALYSIS"}</definedName>
    <definedName name="sdf" hidden="1">{#N/A,#N/A,FALSE,"COVER";#N/A,#N/A,FALSE,"VALUATION";#N/A,#N/A,FALSE,"FORECAST";#N/A,#N/A,FALSE,"FY ANALYSIS ";#N/A,#N/A,FALSE," HY ANALYSIS"}</definedName>
    <definedName name="sdfdsf" localSheetId="3" hidden="1">{#N/A,#N/A,FALSE,"KA CH  (2)"}</definedName>
    <definedName name="sdfdsf" localSheetId="7" hidden="1">{#N/A,#N/A,FALSE,"KA CH  (2)"}</definedName>
    <definedName name="sdfdsf" hidden="1">{#N/A,#N/A,FALSE,"KA CH  (2)"}</definedName>
    <definedName name="sdfh" localSheetId="3" hidden="1">{#N/A,#N/A,FALSE,"Pharm";#N/A,#N/A,FALSE,"WWCM"}</definedName>
    <definedName name="sdfh" localSheetId="7" hidden="1">{#N/A,#N/A,FALSE,"Pharm";#N/A,#N/A,FALSE,"WWCM"}</definedName>
    <definedName name="sdfh" hidden="1">{#N/A,#N/A,FALSE,"Pharm";#N/A,#N/A,FALSE,"WWCM"}</definedName>
    <definedName name="sdgagf" localSheetId="3" hidden="1">{#N/A,#N/A,FALSE,"Pharm";#N/A,#N/A,FALSE,"WWCM"}</definedName>
    <definedName name="sdgagf" localSheetId="7" hidden="1">{#N/A,#N/A,FALSE,"Pharm";#N/A,#N/A,FALSE,"WWCM"}</definedName>
    <definedName name="sdgagf" hidden="1">{#N/A,#N/A,FALSE,"Pharm";#N/A,#N/A,FALSE,"WWCM"}</definedName>
    <definedName name="sdgh" localSheetId="3" hidden="1">{"qty and inventory value",#N/A,FALSE,"MPartners";"general ledger entries",#N/A,FALSE,"MPartners"}</definedName>
    <definedName name="sdgh" localSheetId="7" hidden="1">{"qty and inventory value",#N/A,FALSE,"MPartners";"general ledger entries",#N/A,FALSE,"MPartners"}</definedName>
    <definedName name="sdgh" hidden="1">{"qty and inventory value",#N/A,FALSE,"MPartners";"general ledger entries",#N/A,FALSE,"MPartners"}</definedName>
    <definedName name="sdsadasd" localSheetId="3" hidden="1">{#N/A,#N/A,FALSE,"Pharm";#N/A,#N/A,FALSE,"WWCM"}</definedName>
    <definedName name="sdsadasd" localSheetId="7" hidden="1">{#N/A,#N/A,FALSE,"Pharm";#N/A,#N/A,FALSE,"WWCM"}</definedName>
    <definedName name="sdsadasd" hidden="1">{#N/A,#N/A,FALSE,"Pharm";#N/A,#N/A,FALSE,"WWCM"}</definedName>
    <definedName name="sdsd" localSheetId="3" hidden="1">{#N/A,#N/A,FALSE,"REPORT"}</definedName>
    <definedName name="sdsd" localSheetId="7" hidden="1">{#N/A,#N/A,FALSE,"REPORT"}</definedName>
    <definedName name="sdsd" hidden="1">{#N/A,#N/A,FALSE,"REPORT"}</definedName>
    <definedName name="SDSDSDSDSDSDS" localSheetId="3" hidden="1">{#N/A,#N/A,FALSE,"Pag.01"}</definedName>
    <definedName name="SDSDSDSDSDSDS" localSheetId="7" hidden="1">{#N/A,#N/A,FALSE,"Pag.01"}</definedName>
    <definedName name="SDSDSDSDSDSDS" hidden="1">{#N/A,#N/A,FALSE,"Pag.01"}</definedName>
    <definedName name="sea" localSheetId="3" hidden="1">{"oct_res_comm",#N/A,FALSE,"VarToBud"}</definedName>
    <definedName name="sea" localSheetId="7" hidden="1">{"oct_res_comm",#N/A,FALSE,"VarToBud"}</definedName>
    <definedName name="sea" hidden="1">{"oct_res_comm",#N/A,FALSE,"VarToBud"}</definedName>
    <definedName name="SegmentBudget" localSheetId="3" hidden="1">{"oct_res_comm",#N/A,FALSE,"VarToBud"}</definedName>
    <definedName name="SegmentBudget" localSheetId="7" hidden="1">{"oct_res_comm",#N/A,FALSE,"VarToBud"}</definedName>
    <definedName name="SegmentBudget" hidden="1">{"oct_res_comm",#N/A,FALSE,"VarToBud"}</definedName>
    <definedName name="sencount" hidden="1">1</definedName>
    <definedName name="Ser" localSheetId="3" hidden="1">Main.SAPF4Help()</definedName>
    <definedName name="Ser" localSheetId="7" hidden="1">Main.SAPF4Help()</definedName>
    <definedName name="Ser" hidden="1">Main.SAPF4Help()</definedName>
    <definedName name="sety" localSheetId="3" hidden="1">{"LAPO2N2",#N/A,FALSE,"CM"}</definedName>
    <definedName name="sety" localSheetId="7" hidden="1">{"LAPO2N2",#N/A,FALSE,"CM"}</definedName>
    <definedName name="sety" hidden="1">{"LAPO2N2",#N/A,FALSE,"CM"}</definedName>
    <definedName name="sf" localSheetId="3" hidden="1">{#N/A,#N/A,FALSE,"Sales Graph";#N/A,#N/A,FALSE,"BUC Graph";#N/A,#N/A,FALSE,"P&amp;L - YTD"}</definedName>
    <definedName name="sf" localSheetId="7" hidden="1">{#N/A,#N/A,FALSE,"Sales Graph";#N/A,#N/A,FALSE,"BUC Graph";#N/A,#N/A,FALSE,"P&amp;L - YTD"}</definedName>
    <definedName name="sf" hidden="1">{#N/A,#N/A,FALSE,"Sales Graph";#N/A,#N/A,FALSE,"BUC Graph";#N/A,#N/A,FALSE,"P&amp;L - YTD"}</definedName>
    <definedName name="sfdgfgg" localSheetId="3" hidden="1">{#N/A,#N/A,FALSE,"Umsatz OK";#N/A,#N/A,FALSE,"ER OK ";#N/A,#N/A,FALSE,"EA OK (2)";#N/A,#N/A,FALSE,"EA OK";#N/A,#N/A,FALSE,"EA OK (3)";#N/A,#N/A,FALSE,"EA OK (4)";#N/A,#N/A,FALSE,"KA OK  (2)";#N/A,#N/A,FALSE,"KA OK";#N/A,#N/A,FALSE,"KA OK  (3)";#N/A,#N/A,FALSE,"KA OK (4)"}</definedName>
    <definedName name="sfdgfgg" localSheetId="7" hidden="1">{#N/A,#N/A,FALSE,"Umsatz OK";#N/A,#N/A,FALSE,"ER OK ";#N/A,#N/A,FALSE,"EA OK (2)";#N/A,#N/A,FALSE,"EA OK";#N/A,#N/A,FALSE,"EA OK (3)";#N/A,#N/A,FALSE,"EA OK (4)";#N/A,#N/A,FALSE,"KA OK  (2)";#N/A,#N/A,FALSE,"KA OK";#N/A,#N/A,FALSE,"KA OK  (3)";#N/A,#N/A,FALSE,"KA OK (4)"}</definedName>
    <definedName name="sfdgfgg" hidden="1">{#N/A,#N/A,FALSE,"Umsatz OK";#N/A,#N/A,FALSE,"ER OK ";#N/A,#N/A,FALSE,"EA OK (2)";#N/A,#N/A,FALSE,"EA OK";#N/A,#N/A,FALSE,"EA OK (3)";#N/A,#N/A,FALSE,"EA OK (4)";#N/A,#N/A,FALSE,"KA OK  (2)";#N/A,#N/A,FALSE,"KA OK";#N/A,#N/A,FALSE,"KA OK  (3)";#N/A,#N/A,FALSE,"KA OK (4)"}</definedName>
    <definedName name="sfdirect" localSheetId="3" hidden="1">{#N/A,#N/A,FALSE,"REPORT"}</definedName>
    <definedName name="sfdirect" localSheetId="7" hidden="1">{#N/A,#N/A,FALSE,"REPORT"}</definedName>
    <definedName name="sfdirect" hidden="1">{#N/A,#N/A,FALSE,"REPORT"}</definedName>
    <definedName name="sfgf" localSheetId="3" hidden="1">{#N/A,#N/A,FALSE,"Umsatz CH";#N/A,#N/A,FALSE,"ER CH";#N/A,#N/A,FALSE,"EA CH (2) ";#N/A,#N/A,FALSE,"EA CH";#N/A,#N/A,FALSE,"EA CH (3) ";#N/A,#N/A,FALSE,"EA CH (4)";#N/A,#N/A,FALSE,"KA CH";#N/A,#N/A,FALSE,"KA CH  (2)";#N/A,#N/A,FALSE,"KA CH  (3)";#N/A,#N/A,FALSE,"KA CH (4)"}</definedName>
    <definedName name="sfgf" localSheetId="7" hidden="1">{#N/A,#N/A,FALSE,"Umsatz CH";#N/A,#N/A,FALSE,"ER CH";#N/A,#N/A,FALSE,"EA CH (2) ";#N/A,#N/A,FALSE,"EA CH";#N/A,#N/A,FALSE,"EA CH (3) ";#N/A,#N/A,FALSE,"EA CH (4)";#N/A,#N/A,FALSE,"KA CH";#N/A,#N/A,FALSE,"KA CH  (2)";#N/A,#N/A,FALSE,"KA CH  (3)";#N/A,#N/A,FALSE,"KA CH (4)"}</definedName>
    <definedName name="sfgf" hidden="1">{#N/A,#N/A,FALSE,"Umsatz CH";#N/A,#N/A,FALSE,"ER CH";#N/A,#N/A,FALSE,"EA CH (2) ";#N/A,#N/A,FALSE,"EA CH";#N/A,#N/A,FALSE,"EA CH (3) ";#N/A,#N/A,FALSE,"EA CH (4)";#N/A,#N/A,FALSE,"KA CH";#N/A,#N/A,FALSE,"KA CH  (2)";#N/A,#N/A,FALSE,"KA CH  (3)";#N/A,#N/A,FALSE,"KA CH (4)"}</definedName>
    <definedName name="sg" localSheetId="3" hidden="1">{#N/A,#N/A,FALSE,"Umsatz CH";#N/A,#N/A,FALSE,"ER CH";#N/A,#N/A,FALSE,"EA CH (2) ";#N/A,#N/A,FALSE,"EA CH";#N/A,#N/A,FALSE,"EA CH (3) ";#N/A,#N/A,FALSE,"EA CH (4)";#N/A,#N/A,FALSE,"KA CH";#N/A,#N/A,FALSE,"KA CH  (2)";#N/A,#N/A,FALSE,"KA CH  (3)";#N/A,#N/A,FALSE,"KA CH (4)"}</definedName>
    <definedName name="sg" localSheetId="7" hidden="1">{#N/A,#N/A,FALSE,"Umsatz CH";#N/A,#N/A,FALSE,"ER CH";#N/A,#N/A,FALSE,"EA CH (2) ";#N/A,#N/A,FALSE,"EA CH";#N/A,#N/A,FALSE,"EA CH (3) ";#N/A,#N/A,FALSE,"EA CH (4)";#N/A,#N/A,FALSE,"KA CH";#N/A,#N/A,FALSE,"KA CH  (2)";#N/A,#N/A,FALSE,"KA CH  (3)";#N/A,#N/A,FALSE,"KA CH (4)"}</definedName>
    <definedName name="sg" hidden="1">{#N/A,#N/A,FALSE,"Umsatz CH";#N/A,#N/A,FALSE,"ER CH";#N/A,#N/A,FALSE,"EA CH (2) ";#N/A,#N/A,FALSE,"EA CH";#N/A,#N/A,FALSE,"EA CH (3) ";#N/A,#N/A,FALSE,"EA CH (4)";#N/A,#N/A,FALSE,"KA CH";#N/A,#N/A,FALSE,"KA CH  (2)";#N/A,#N/A,FALSE,"KA CH  (3)";#N/A,#N/A,FALSE,"KA CH (4)"}</definedName>
    <definedName name="shit" localSheetId="3" hidden="1">{#N/A,"Base",FALSE,"Dividend";#N/A,"Conservative",FALSE,"Dividend";#N/A,"Downside",FALSE,"Dividend"}</definedName>
    <definedName name="shit" localSheetId="7" hidden="1">{#N/A,"Base",FALSE,"Dividend";#N/A,"Conservative",FALSE,"Dividend";#N/A,"Downside",FALSE,"Dividend"}</definedName>
    <definedName name="shit" hidden="1">{#N/A,"Base",FALSE,"Dividend";#N/A,"Conservative",FALSE,"Dividend";#N/A,"Downside",FALSE,"Dividend"}</definedName>
    <definedName name="skato" localSheetId="3" hidden="1">{#N/A,"70% Success",FALSE,"Sales Forecast";#N/A,#N/A,FALSE,"Sheet2"}</definedName>
    <definedName name="skato" localSheetId="7" hidden="1">{#N/A,"70% Success",FALSE,"Sales Forecast";#N/A,#N/A,FALSE,"Sheet2"}</definedName>
    <definedName name="skato" hidden="1">{#N/A,"70% Success",FALSE,"Sales Forecast";#N/A,#N/A,FALSE,"Sheet2"}</definedName>
    <definedName name="SLEVI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mk" localSheetId="3" hidden="1">{"QTD_GENERALH2",#N/A,FALSE,"QTD"}</definedName>
    <definedName name="smk" localSheetId="7" hidden="1">{"QTD_GENERALH2",#N/A,FALSE,"QTD"}</definedName>
    <definedName name="smk" hidden="1">{"QTD_GENERALH2",#N/A,FALSE,"QTD"}</definedName>
    <definedName name="sogsafra" localSheetId="3" hidden="1">#REF!</definedName>
    <definedName name="sogsafra" hidden="1">#REF!</definedName>
    <definedName name="solver_cvg" hidden="1">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19.66</definedName>
    <definedName name="sre" localSheetId="3" hidden="1">{"vol data",#N/A,FALSE,"Datasheet";"vol graph",#N/A,FALSE,"Volume";"price data",#N/A,FALSE,"Datasheet";"price graph",#N/A,FALSE,"Price";"dp data",#N/A,FALSE,"Datasheet";"dp graph",#N/A,FALSE,"DirectProfit"}</definedName>
    <definedName name="sre" localSheetId="7" hidden="1">{"vol data",#N/A,FALSE,"Datasheet";"vol graph",#N/A,FALSE,"Volume";"price data",#N/A,FALSE,"Datasheet";"price graph",#N/A,FALSE,"Price";"dp data",#N/A,FALSE,"Datasheet";"dp graph",#N/A,FALSE,"DirectProfit"}</definedName>
    <definedName name="sre" hidden="1">{"vol data",#N/A,FALSE,"Datasheet";"vol graph",#N/A,FALSE,"Volume";"price data",#N/A,FALSE,"Datasheet";"price graph",#N/A,FALSE,"Price";"dp data",#N/A,FALSE,"Datasheet";"dp graph",#N/A,FALSE,"DirectProfit"}</definedName>
    <definedName name="ss" localSheetId="3" hidden="1">{"detail",#N/A,FALSE,"mfg";"summary",#N/A,FALSE,"mfg"}</definedName>
    <definedName name="ss" localSheetId="7" hidden="1">{"detail",#N/A,FALSE,"mfg";"summary",#N/A,FALSE,"mfg"}</definedName>
    <definedName name="ss" hidden="1">{"detail",#N/A,FALSE,"mfg";"summary",#N/A,FALSE,"mfg"}</definedName>
    <definedName name="ssadsad" localSheetId="3" hidden="1">{#N/A,"PURADD",FALSE,"Business Analysis";#N/A,"PURSPP",FALSE,"Business Analysis";#N/A,"CTGIND",FALSE,"Business Analysis";#N/A,"PURCHM",FALSE,"Business Analysis";#N/A,"SPADD",FALSE,"Business Analysis";#N/A,"EPOXY",FALSE,"Business Analysis";#N/A,"PURPER",FALSE,"Business Analysis"}</definedName>
    <definedName name="ssadsad" localSheetId="7" hidden="1">{#N/A,"PURADD",FALSE,"Business Analysis";#N/A,"PURSPP",FALSE,"Business Analysis";#N/A,"CTGIND",FALSE,"Business Analysis";#N/A,"PURCHM",FALSE,"Business Analysis";#N/A,"SPADD",FALSE,"Business Analysis";#N/A,"EPOXY",FALSE,"Business Analysis";#N/A,"PURPER",FALSE,"Business Analysis"}</definedName>
    <definedName name="ssadsad" hidden="1">{#N/A,"PURADD",FALSE,"Business Analysis";#N/A,"PURSPP",FALSE,"Business Analysis";#N/A,"CTGIND",FALSE,"Business Analysis";#N/A,"PURCHM",FALSE,"Business Analysis";#N/A,"SPADD",FALSE,"Business Analysis";#N/A,"EPOXY",FALSE,"Business Analysis";#N/A,"PURPER",FALSE,"Business Analysis"}</definedName>
    <definedName name="SSD" localSheetId="3" hidden="1">{#N/A,#N/A,FALSE,"REPORT"}</definedName>
    <definedName name="SSD" localSheetId="7" hidden="1">{#N/A,#N/A,FALSE,"REPORT"}</definedName>
    <definedName name="SSD" hidden="1">{#N/A,#N/A,FALSE,"REPORT"}</definedName>
    <definedName name="sse" localSheetId="3" hidden="1">{"YD GENERALH2",#N/A,FALSE,"YTD"}</definedName>
    <definedName name="sse" localSheetId="7" hidden="1">{"YD GENERALH2",#N/A,FALSE,"YTD"}</definedName>
    <definedName name="sse" hidden="1">{"YD GENERALH2",#N/A,FALSE,"YTD"}</definedName>
    <definedName name="sss" localSheetId="3" hidden="1">{#N/A,#N/A,FALSE,"Pharm";#N/A,#N/A,FALSE,"WWCM"}</definedName>
    <definedName name="sss" localSheetId="7" hidden="1">{#N/A,#N/A,FALSE,"Pharm";#N/A,#N/A,FALSE,"WWCM"}</definedName>
    <definedName name="sss" hidden="1">{#N/A,#N/A,FALSE,"Pharm";#N/A,#N/A,FALSE,"WWCM"}</definedName>
    <definedName name="ssss" localSheetId="3" hidden="1">{"Qtr Op Mgd Q2",#N/A,FALSE,"Qtr-Op (Mng)";"Qtr Op Rpt Q2",#N/A,FALSE,"Qtr-Op (Rpt)";"Operating Vs Reported",#N/A,FALSE,"Rpt-Op Inc"}</definedName>
    <definedName name="ssss" localSheetId="7" hidden="1">{"Qtr Op Mgd Q2",#N/A,FALSE,"Qtr-Op (Mng)";"Qtr Op Rpt Q2",#N/A,FALSE,"Qtr-Op (Rpt)";"Operating Vs Reported",#N/A,FALSE,"Rpt-Op Inc"}</definedName>
    <definedName name="ssss" hidden="1">{"Qtr Op Mgd Q2",#N/A,FALSE,"Qtr-Op (Mng)";"Qtr Op Rpt Q2",#N/A,FALSE,"Qtr-Op (Rpt)";"Operating Vs Reported",#N/A,FALSE,"Rpt-Op Inc"}</definedName>
    <definedName name="sssss" localSheetId="0" hidden="1">{"PARTE1",#N/A,FALSE,"Plan1"}</definedName>
    <definedName name="sssss" localSheetId="3" hidden="1">{"PARTE1",#N/A,FALSE,"Plan1"}</definedName>
    <definedName name="sssss" localSheetId="7" hidden="1">{"PARTE1",#N/A,FALSE,"Plan1"}</definedName>
    <definedName name="sssss" hidden="1">{"PARTE1",#N/A,FALSE,"Plan1"}</definedName>
    <definedName name="sssssssssssssssss" localSheetId="3" hidden="1">{"detail",#N/A,FALSE,"mfg";"summary",#N/A,FALSE,"mfg"}</definedName>
    <definedName name="sssssssssssssssss" localSheetId="7" hidden="1">{"detail",#N/A,FALSE,"mfg";"summary",#N/A,FALSE,"mfg"}</definedName>
    <definedName name="sssssssssssssssss" hidden="1">{"detail",#N/A,FALSE,"mfg";"summary",#N/A,FALSE,"mfg"}</definedName>
    <definedName name="sssswwww" localSheetId="3" hidden="1">{#N/A,"PURCHM",FALSE,"Business Analysis";#N/A,"SPADD",FALSE,"Business Analysis"}</definedName>
    <definedName name="sssswwww" localSheetId="7" hidden="1">{#N/A,"PURCHM",FALSE,"Business Analysis";#N/A,"SPADD",FALSE,"Business Analysis"}</definedName>
    <definedName name="sssswwww" hidden="1">{#N/A,"PURCHM",FALSE,"Business Analysis";#N/A,"SPADD",FALSE,"Business Analysis"}</definedName>
    <definedName name="Staril" localSheetId="3" hidden="1">{#N/A,#N/A,FALSE,"REPORT"}</definedName>
    <definedName name="Staril" localSheetId="7" hidden="1">{#N/A,#N/A,FALSE,"REPORT"}</definedName>
    <definedName name="Staril" hidden="1">{#N/A,#N/A,FALSE,"REPORT"}</definedName>
    <definedName name="StratPlanAP" localSheetId="3" hidden="1">{#N/A,#N/A,FALSE,"Pharm";#N/A,#N/A,FALSE,"WWCM"}</definedName>
    <definedName name="StratPlanAP" localSheetId="7" hidden="1">{#N/A,#N/A,FALSE,"Pharm";#N/A,#N/A,FALSE,"WWCM"}</definedName>
    <definedName name="StratPlanAP" hidden="1">{#N/A,#N/A,FALSE,"Pharm";#N/A,#N/A,FALSE,"WWCM"}</definedName>
    <definedName name="STWBD_StatToolsConfidenceInterval_AnalysisType" hidden="1">" 0"</definedName>
    <definedName name="STWBD_StatToolsConfidenceInterval_CalculateMeanInterval" hidden="1">"TRUE"</definedName>
    <definedName name="STWBD_StatToolsConfidenceInterval_CalculateStdDevInterval" hidden="1">"TRUE"</definedName>
    <definedName name="STWBD_StatToolsConfidenceInterval_DefaultDataFormat" hidden="1">" 0"</definedName>
    <definedName name="STWBD_StatToolsConfidenceInterval_HasDefaultInfo" hidden="1">"TRUE"</definedName>
    <definedName name="STWBD_StatToolsConfidenceInterval_MeanConfidenceLevel" hidden="1">" .95"</definedName>
    <definedName name="STWBD_StatToolsConfidenceInterval_StdDevConfidenceLevel" hidden="1">" .95"</definedName>
    <definedName name="STWBD_StatToolsConfidenceInterval_VariableList" hidden="1">1</definedName>
    <definedName name="STWBD_StatToolsConfidenceInterval_VariableList_1" hidden="1">"U_x0001_VG18C68F7C_x0001_"</definedName>
    <definedName name="STWBD_StatToolsConfidenceInterval_VarSelectorDefaultDataSet" hidden="1">"DG1557C622"</definedName>
    <definedName name="STWBD_StatToolsOneVarSummary_Count" hidden="1">"TRUE"</definedName>
    <definedName name="STWBD_StatToolsOneVarSummary_DefaultDataFormat" hidden="1">" 0"</definedName>
    <definedName name="STWBD_StatToolsOneVarSummary_FirstQuartile" hidden="1">"TRUE"</definedName>
    <definedName name="STWBD_StatToolsOneVarSummary_HasDefaultInfo" hidden="1">"TRUE"</definedName>
    <definedName name="STWBD_StatToolsOneVarSummary_InterQuartileRange" hidden="1">"TRUE"</definedName>
    <definedName name="STWBD_StatToolsOneVarSummary_Kurtosis" hidden="1">"TRUE"</definedName>
    <definedName name="STWBD_StatToolsOneVarSummary_Maximum" hidden="1">"TRUE"</definedName>
    <definedName name="STWBD_StatToolsOneVarSummary_Mean" hidden="1">"TRUE"</definedName>
    <definedName name="STWBD_StatToolsOneVarSummary_MeanAbsDeviation" hidden="1">"TRUE"</definedName>
    <definedName name="STWBD_StatToolsOneVarSummary_Median" hidden="1">"TRUE"</definedName>
    <definedName name="STWBD_StatToolsOneVarSummary_Minimum" hidden="1">"TRUE"</definedName>
    <definedName name="STWBD_StatToolsOneVarSummary_OtherPercentiles" hidden="1">"TRUE"</definedName>
    <definedName name="STWBD_StatToolsOneVarSummary_PercentileList" hidden="1">" .01, .025, .05, .1, .2, .8, .9, .95, .975, .99"</definedName>
    <definedName name="STWBD_StatToolsOneVarSummary_Range" hidden="1">"TRUE"</definedName>
    <definedName name="STWBD_StatToolsOneVarSummary_Skewness" hidden="1">"TRUE"</definedName>
    <definedName name="STWBD_StatToolsOneVarSummary_StandardDeviation" hidden="1">"TRUE"</definedName>
    <definedName name="STWBD_StatToolsOneVarSummary_Sum" hidden="1">"TRUE"</definedName>
    <definedName name="STWBD_StatToolsOneVarSummary_ThirdQuartile" hidden="1">"TRUE"</definedName>
    <definedName name="STWBD_StatToolsOneVarSummary_VariableList" hidden="1">4</definedName>
    <definedName name="STWBD_StatToolsOneVarSummary_VariableList_1" hidden="1">"U_x0001_VG2D1B584C_x0001_"</definedName>
    <definedName name="STWBD_StatToolsOneVarSummary_VariableList_2" hidden="1">"U_x0001_VG421EEB3_x0001_"</definedName>
    <definedName name="STWBD_StatToolsOneVarSummary_VariableList_3" hidden="1">"U_x0001_VG2000A935_x0001_"</definedName>
    <definedName name="STWBD_StatToolsOneVarSummary_VariableList_4" hidden="1">"U_x0001_VG330F36D6_x0001_"</definedName>
    <definedName name="STWBD_StatToolsOneVarSummary_Variance" hidden="1">"TRUE"</definedName>
    <definedName name="STWBD_StatToolsOneVarSummary_VarSelectorDefaultDataSet" hidden="1">"ALL DATA SETS"</definedName>
    <definedName name="STWBD_StatToolsRegression_blockList" hidden="1">"-1"</definedName>
    <definedName name="STWBD_StatToolsRegression_FValueToEnter" hidden="1">" 2.2"</definedName>
    <definedName name="STWBD_StatToolsRegression_FValueToLeave" hidden="1">" 1.1"</definedName>
    <definedName name="STWBD_StatToolsRegression_GraphFittedValueVsActualYValue" hidden="1">"TRUE"</definedName>
    <definedName name="STWBD_StatToolsRegression_GraphFittedValueVsXValue" hidden="1">"FALSE"</definedName>
    <definedName name="STWBD_StatToolsRegression_GraphResidualVsFittedValue" hidden="1">"TRUE"</definedName>
    <definedName name="STWBD_StatToolsRegression_GraphResidualVsXValue" hidden="1">"FALSE"</definedName>
    <definedName name="STWBD_StatToolsRegression_HasDefaultInfo" hidden="1">"TRUE"</definedName>
    <definedName name="STWBD_StatToolsRegression_IncludePrediction" hidden="1">"FALSE"</definedName>
    <definedName name="STWBD_StatToolsRegression_IncludeSteps" hidden="1">"FALSE"</definedName>
    <definedName name="STWBD_StatToolsRegression_NumberOfBlocks" hidden="1">" 0"</definedName>
    <definedName name="STWBD_StatToolsRegression_pValueToEnter" hidden="1">" .05"</definedName>
    <definedName name="STWBD_StatToolsRegression_pValueToLeave" hidden="1">" .1"</definedName>
    <definedName name="STWBD_StatToolsRegression_RegressionType" hidden="1">" 0"</definedName>
    <definedName name="STWBD_StatToolsRegression_useFValue" hidden="1">"FALSE"</definedName>
    <definedName name="STWBD_StatToolsRegression_usePValue" hidden="1">"TRUE"</definedName>
    <definedName name="STWBD_StatToolsRegression_VariableDependent" hidden="1">"U_x0001_VG2D35B001_x0001_"</definedName>
    <definedName name="STWBD_StatToolsRegression_VariableListIndependent" hidden="1">1</definedName>
    <definedName name="STWBD_StatToolsRegression_VariableListIndependent_1" hidden="1">"U_x0001_VG18C68F7C_x0001_"</definedName>
    <definedName name="STWBD_StatToolsRegression_VarSelectorDefaultDataSet" hidden="1">"ALL DATA SETS"</definedName>
    <definedName name="super" localSheetId="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er"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er"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san" localSheetId="3" hidden="1">{#N/A,#N/A,FALSE,"Revised cover";#N/A,#N/A,FALSE,"Trends";"main view",#N/A,FALSE,"As Reported";#N/A,#N/A,FALSE,"delegations";#N/A,#N/A,FALSE,"(un) Commited"}</definedName>
    <definedName name="Susan" localSheetId="7" hidden="1">{#N/A,#N/A,FALSE,"Revised cover";#N/A,#N/A,FALSE,"Trends";"main view",#N/A,FALSE,"As Reported";#N/A,#N/A,FALSE,"delegations";#N/A,#N/A,FALSE,"(un) Commited"}</definedName>
    <definedName name="Susan" hidden="1">{#N/A,#N/A,FALSE,"Revised cover";#N/A,#N/A,FALSE,"Trends";"main view",#N/A,FALSE,"As Reported";#N/A,#N/A,FALSE,"delegations";#N/A,#N/A,FALSE,"(un) Commited"}</definedName>
    <definedName name="sw" localSheetId="3" hidden="1">{#N/A,"PURCHM",FALSE,"Business Analysis";#N/A,"SPADD",FALSE,"Business Analysis"}</definedName>
    <definedName name="sw" localSheetId="7" hidden="1">{#N/A,"PURCHM",FALSE,"Business Analysis";#N/A,"SPADD",FALSE,"Business Analysis"}</definedName>
    <definedName name="sw" hidden="1">{#N/A,"PURCHM",FALSE,"Business Analysis";#N/A,"SPADD",FALSE,"Business Analysis"}</definedName>
    <definedName name="swaw" localSheetId="3" hidden="1">{"TEXO2N2_VOL",#N/A,FALSE,"MTHLYVOL";"TEXH2_VOL",#N/A,FALSE,"MTHLYVOL";"LOUIS_VOL",#N/A,FALSE,"MTHLYVOL";"H2_VOL",#N/A,FALSE,"MTHLYVOL";"O2N2_VOL",#N/A,FALSE,"MTHLYVOL";"PACKAGE_VOL",#N/A,FALSE,"MTHLYVOL"}</definedName>
    <definedName name="swaw" localSheetId="7" hidden="1">{"TEXO2N2_VOL",#N/A,FALSE,"MTHLYVOL";"TEXH2_VOL",#N/A,FALSE,"MTHLYVOL";"LOUIS_VOL",#N/A,FALSE,"MTHLYVOL";"H2_VOL",#N/A,FALSE,"MTHLYVOL";"O2N2_VOL",#N/A,FALSE,"MTHLYVOL";"PACKAGE_VOL",#N/A,FALSE,"MTHLYVOL"}</definedName>
    <definedName name="swaw" hidden="1">{"TEXO2N2_VOL",#N/A,FALSE,"MTHLYVOL";"TEXH2_VOL",#N/A,FALSE,"MTHLYVOL";"LOUIS_VOL",#N/A,FALSE,"MTHLYVOL";"H2_VOL",#N/A,FALSE,"MTHLYVOL";"O2N2_VOL",#N/A,FALSE,"MTHLYVOL";"PACKAGE_VOL",#N/A,FALSE,"MTHLYVOL"}</definedName>
    <definedName name="swq" localSheetId="3" hidden="1">{#N/A,"PURCHM",FALSE,"Business Analysis";#N/A,"SPADD",FALSE,"Business Analysis"}</definedName>
    <definedName name="swq" localSheetId="7" hidden="1">{#N/A,"PURCHM",FALSE,"Business Analysis";#N/A,"SPADD",FALSE,"Business Analysis"}</definedName>
    <definedName name="swq" hidden="1">{#N/A,"PURCHM",FALSE,"Business Analysis";#N/A,"SPADD",FALSE,"Business Analysis"}</definedName>
    <definedName name="swr" localSheetId="3" hidden="1">{"Polymers Details",#N/A,FALSE,"Current Yr";"Polymer Details",#N/A,FALSE,"Budget";"Polymer Details",#N/A,FALSE,"Prior Year"}</definedName>
    <definedName name="swr" localSheetId="7" hidden="1">{"Polymers Details",#N/A,FALSE,"Current Yr";"Polymer Details",#N/A,FALSE,"Budget";"Polymer Details",#N/A,FALSE,"Prior Year"}</definedName>
    <definedName name="swr" hidden="1">{"Polymers Details",#N/A,FALSE,"Current Yr";"Polymer Details",#N/A,FALSE,"Budget";"Polymer Details",#N/A,FALSE,"Prior Year"}</definedName>
    <definedName name="Swvu.inputs._.raw._.data." hidden="1">#REF!</definedName>
    <definedName name="Swvu.RAZA03." hidden="1">#REF!</definedName>
    <definedName name="Swvu.summary1." hidden="1">#REF!</definedName>
    <definedName name="Swvu.summary2." hidden="1">#REF!</definedName>
    <definedName name="Swvu.summary3." hidden="1">#REF!</definedName>
    <definedName name="SX" localSheetId="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 localSheetId="7"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z" localSheetId="3"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sz"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sz"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szx" localSheetId="3" hidden="1">{"LAPO2N2",#N/A,FALSE,"CM"}</definedName>
    <definedName name="szx" localSheetId="7" hidden="1">{"LAPO2N2",#N/A,FALSE,"CM"}</definedName>
    <definedName name="szx" hidden="1">{"LAPO2N2",#N/A,FALSE,"CM"}</definedName>
    <definedName name="t" localSheetId="3" hidden="1">{"'TG'!$A$1:$L$37"}</definedName>
    <definedName name="t" localSheetId="7" hidden="1">{"'TG'!$A$1:$L$37"}</definedName>
    <definedName name="t" hidden="1">{"'TG'!$A$1:$L$37"}</definedName>
    <definedName name="t.2" localSheetId="3" hidden="1">{#N/A,#N/A,FALSE,"Umsatz EO BP";#N/A,#N/A,FALSE,"Umsatz EO OP";#N/A,#N/A,FALSE,"ER EO BP";#N/A,#N/A,FALSE,"ER EO OP";#N/A,#N/A,FALSE,"EA EO (2)";#N/A,#N/A,FALSE,"EA EO";#N/A,#N/A,FALSE,"EA EO (3)";#N/A,#N/A,FALSE,"EA EO (4)";#N/A,#N/A,FALSE,"KA EO  (2)";#N/A,#N/A,FALSE,"KA EO";#N/A,#N/A,FALSE,"KA EO  (3)";#N/A,#N/A,FALSE,"KA EO (4)"}</definedName>
    <definedName name="t.2" localSheetId="7" hidden="1">{#N/A,#N/A,FALSE,"Umsatz EO BP";#N/A,#N/A,FALSE,"Umsatz EO OP";#N/A,#N/A,FALSE,"ER EO BP";#N/A,#N/A,FALSE,"ER EO OP";#N/A,#N/A,FALSE,"EA EO (2)";#N/A,#N/A,FALSE,"EA EO";#N/A,#N/A,FALSE,"EA EO (3)";#N/A,#N/A,FALSE,"EA EO (4)";#N/A,#N/A,FALSE,"KA EO  (2)";#N/A,#N/A,FALSE,"KA EO";#N/A,#N/A,FALSE,"KA EO  (3)";#N/A,#N/A,FALSE,"KA EO (4)"}</definedName>
    <definedName name="t.2" hidden="1">{#N/A,#N/A,FALSE,"Umsatz EO BP";#N/A,#N/A,FALSE,"Umsatz EO OP";#N/A,#N/A,FALSE,"ER EO BP";#N/A,#N/A,FALSE,"ER EO OP";#N/A,#N/A,FALSE,"EA EO (2)";#N/A,#N/A,FALSE,"EA EO";#N/A,#N/A,FALSE,"EA EO (3)";#N/A,#N/A,FALSE,"EA EO (4)";#N/A,#N/A,FALSE,"KA EO  (2)";#N/A,#N/A,FALSE,"KA EO";#N/A,#N/A,FALSE,"KA EO  (3)";#N/A,#N/A,FALSE,"KA EO (4)"}</definedName>
    <definedName name="t.5" localSheetId="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5"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a" localSheetId="3" hidden="1">{"BA detail",#N/A,FALSE,"Q3YTD "}</definedName>
    <definedName name="ta" localSheetId="7" hidden="1">{"BA detail",#N/A,FALSE,"Q3YTD "}</definedName>
    <definedName name="ta" hidden="1">{"BA detail",#N/A,FALSE,"Q3YTD "}</definedName>
    <definedName name="tai.v4" localSheetId="3" hidden="1">{#N/A,#N/A,FALSE,"Umsatz EO BP";#N/A,#N/A,FALSE,"Umsatz EO OP";#N/A,#N/A,FALSE,"ER EO BP";#N/A,#N/A,FALSE,"ER EO OP";#N/A,#N/A,FALSE,"EA EO (2)";#N/A,#N/A,FALSE,"EA EO";#N/A,#N/A,FALSE,"EA EO (3)";#N/A,#N/A,FALSE,"EA EO (4)";#N/A,#N/A,FALSE,"KA EO  (2)";#N/A,#N/A,FALSE,"KA EO";#N/A,#N/A,FALSE,"KA EO  (3)";#N/A,#N/A,FALSE,"KA EO (4)"}</definedName>
    <definedName name="tai.v4" localSheetId="7" hidden="1">{#N/A,#N/A,FALSE,"Umsatz EO BP";#N/A,#N/A,FALSE,"Umsatz EO OP";#N/A,#N/A,FALSE,"ER EO BP";#N/A,#N/A,FALSE,"ER EO OP";#N/A,#N/A,FALSE,"EA EO (2)";#N/A,#N/A,FALSE,"EA EO";#N/A,#N/A,FALSE,"EA EO (3)";#N/A,#N/A,FALSE,"EA EO (4)";#N/A,#N/A,FALSE,"KA EO  (2)";#N/A,#N/A,FALSE,"KA EO";#N/A,#N/A,FALSE,"KA EO  (3)";#N/A,#N/A,FALSE,"KA EO (4)"}</definedName>
    <definedName name="tai.v4" hidden="1">{#N/A,#N/A,FALSE,"Umsatz EO BP";#N/A,#N/A,FALSE,"Umsatz EO OP";#N/A,#N/A,FALSE,"ER EO BP";#N/A,#N/A,FALSE,"ER EO OP";#N/A,#N/A,FALSE,"EA EO (2)";#N/A,#N/A,FALSE,"EA EO";#N/A,#N/A,FALSE,"EA EO (3)";#N/A,#N/A,FALSE,"EA EO (4)";#N/A,#N/A,FALSE,"KA EO  (2)";#N/A,#N/A,FALSE,"KA EO";#N/A,#N/A,FALSE,"KA EO  (3)";#N/A,#N/A,FALSE,"KA EO (4)"}</definedName>
    <definedName name="Tail.2" localSheetId="3" hidden="1">{#N/A,#N/A,FALSE,"KA CH  (2)"}</definedName>
    <definedName name="Tail.2" localSheetId="7" hidden="1">{#N/A,#N/A,FALSE,"KA CH  (2)"}</definedName>
    <definedName name="Tail.2" hidden="1">{#N/A,#N/A,FALSE,"KA CH  (2)"}</definedName>
    <definedName name="tasa" localSheetId="3" hidden="1">{#N/A,#N/A,TRUE,"ICMAN96 (1)"}</definedName>
    <definedName name="tasa" localSheetId="7" hidden="1">{#N/A,#N/A,TRUE,"ICMAN96 (1)"}</definedName>
    <definedName name="tasa" hidden="1">{#N/A,#N/A,TRUE,"ICMAN96 (1)"}</definedName>
    <definedName name="taxol" localSheetId="3" hidden="1">{#N/A,#N/A,FALSE,"Pharm";#N/A,#N/A,FALSE,"WWCM"}</definedName>
    <definedName name="taxol" localSheetId="7" hidden="1">{#N/A,#N/A,FALSE,"Pharm";#N/A,#N/A,FALSE,"WWCM"}</definedName>
    <definedName name="taxol" hidden="1">{#N/A,#N/A,FALSE,"Pharm";#N/A,#N/A,FALSE,"WWCM"}</definedName>
    <definedName name="tb" localSheetId="3"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tb" localSheetId="7"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tb"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TCVB" localSheetId="3" hidden="1">{#N/A,#N/A,FALSE,"Pag.01"}</definedName>
    <definedName name="TCVB" localSheetId="7" hidden="1">{#N/A,#N/A,FALSE,"Pag.01"}</definedName>
    <definedName name="TCVB" hidden="1">{#N/A,#N/A,FALSE,"Pag.01"}</definedName>
    <definedName name="td" localSheetId="3" hidden="1">{"QTR_ACT",#N/A,FALSE,"PROP_PBIT_DEV_Q3";"QTR_BUD",#N/A,FALSE,"PROP_PBIT_DEV_Q3";"YTD_BUD",#N/A,FALSE,"PROP_PBIT_DEV_Q3";"YTD_ACT",#N/A,FALSE,"PROP_PBIT_DEV_Q3";"FY95 SNAP3",#N/A,FALSE,"PROP_PBIT_DEV_Q3";"FY95_BUD",#N/A,FALSE,"PROP_PBIT_DEV_Q3";"FY96_BUD",#N/A,FALSE,"PROP_PBIT_DEV_Q3"}</definedName>
    <definedName name="td" localSheetId="7" hidden="1">{"QTR_ACT",#N/A,FALSE,"PROP_PBIT_DEV_Q3";"QTR_BUD",#N/A,FALSE,"PROP_PBIT_DEV_Q3";"YTD_BUD",#N/A,FALSE,"PROP_PBIT_DEV_Q3";"YTD_ACT",#N/A,FALSE,"PROP_PBIT_DEV_Q3";"FY95 SNAP3",#N/A,FALSE,"PROP_PBIT_DEV_Q3";"FY95_BUD",#N/A,FALSE,"PROP_PBIT_DEV_Q3";"FY96_BUD",#N/A,FALSE,"PROP_PBIT_DEV_Q3"}</definedName>
    <definedName name="td" hidden="1">{"QTR_ACT",#N/A,FALSE,"PROP_PBIT_DEV_Q3";"QTR_BUD",#N/A,FALSE,"PROP_PBIT_DEV_Q3";"YTD_BUD",#N/A,FALSE,"PROP_PBIT_DEV_Q3";"YTD_ACT",#N/A,FALSE,"PROP_PBIT_DEV_Q3";"FY95 SNAP3",#N/A,FALSE,"PROP_PBIT_DEV_Q3";"FY95_BUD",#N/A,FALSE,"PROP_PBIT_DEV_Q3";"FY96_BUD",#N/A,FALSE,"PROP_PBIT_DEV_Q3"}</definedName>
    <definedName name="te" localSheetId="3" hidden="1">{"pro_view",#N/A,FALSE,"EEFSNAP2";"rep_view",#N/A,FALSE,"EEFSNAP2"}</definedName>
    <definedName name="te" localSheetId="7" hidden="1">{"pro_view",#N/A,FALSE,"EEFSNAP2";"rep_view",#N/A,FALSE,"EEFSNAP2"}</definedName>
    <definedName name="te" hidden="1">{"pro_view",#N/A,FALSE,"EEFSNAP2";"rep_view",#N/A,FALSE,"EEFSNAP2"}</definedName>
    <definedName name="TECNOFIBRAS" localSheetId="3" hidden="1">{"'PXR_6500'!$A$1:$I$124"}</definedName>
    <definedName name="TECNOFIBRAS" localSheetId="7" hidden="1">{"'PXR_6500'!$A$1:$I$124"}</definedName>
    <definedName name="TECNOFIBRAS" hidden="1">{"'PXR_6500'!$A$1:$I$124"}</definedName>
    <definedName name="TECNOFIBRAS2" localSheetId="3" hidden="1">{"'PXR_6500'!$A$1:$I$124"}</definedName>
    <definedName name="TECNOFIBRAS2" localSheetId="7" hidden="1">{"'PXR_6500'!$A$1:$I$124"}</definedName>
    <definedName name="TECNOFIBRAS2" hidden="1">{"'PXR_6500'!$A$1:$I$124"}</definedName>
    <definedName name="tejfsdfsd" localSheetId="3" hidden="1">{#N/A,#N/A,FALSE,"Acum Julio - 00"}</definedName>
    <definedName name="tejfsdfsd" localSheetId="7" hidden="1">{#N/A,#N/A,FALSE,"Acum Julio - 00"}</definedName>
    <definedName name="tejfsdfsd" hidden="1">{#N/A,#N/A,FALSE,"Acum Julio - 00"}</definedName>
    <definedName name="Tem" localSheetId="3" hidden="1">{#N/A,#N/A,FALSE,"Pharm";#N/A,#N/A,FALSE,"WWCM"}</definedName>
    <definedName name="Tem" localSheetId="7" hidden="1">{#N/A,#N/A,FALSE,"Pharm";#N/A,#N/A,FALSE,"WWCM"}</definedName>
    <definedName name="Tem" hidden="1">{#N/A,#N/A,FALSE,"Pharm";#N/A,#N/A,FALSE,"WWCM"}</definedName>
    <definedName name="TEN" localSheetId="3" hidden="1">{#N/A,#N/A,FALSE,"Pag.01"}</definedName>
    <definedName name="TEN" localSheetId="7" hidden="1">{#N/A,#N/A,FALSE,"Pag.01"}</definedName>
    <definedName name="TEN" hidden="1">{#N/A,#N/A,FALSE,"Pag.01"}</definedName>
    <definedName name="teq" localSheetId="3" hidden="1">{#N/A,#N/A,FALSE,"Pharm";#N/A,#N/A,FALSE,"WWCM"}</definedName>
    <definedName name="teq" localSheetId="7" hidden="1">{#N/A,#N/A,FALSE,"Pharm";#N/A,#N/A,FALSE,"WWCM"}</definedName>
    <definedName name="teq" hidden="1">{#N/A,#N/A,FALSE,"Pharm";#N/A,#N/A,FALSE,"WWCM"}</definedName>
    <definedName name="Tequin" localSheetId="3" hidden="1">{#N/A,#N/A,FALSE,"Pharm";#N/A,#N/A,FALSE,"WWCM"}</definedName>
    <definedName name="Tequin" localSheetId="7" hidden="1">{#N/A,#N/A,FALSE,"Pharm";#N/A,#N/A,FALSE,"WWCM"}</definedName>
    <definedName name="Tequin" hidden="1">{#N/A,#N/A,FALSE,"Pharm";#N/A,#N/A,FALSE,"WWCM"}</definedName>
    <definedName name="tequinol" localSheetId="3" hidden="1">{#N/A,#N/A,FALSE,"REPORT"}</definedName>
    <definedName name="tequinol" localSheetId="7" hidden="1">{#N/A,#N/A,FALSE,"REPORT"}</definedName>
    <definedName name="tequinol" hidden="1">{#N/A,#N/A,FALSE,"REPORT"}</definedName>
    <definedName name="ter" localSheetId="3"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er" localSheetId="7"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er"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erc" localSheetId="3" hidden="1">{"YD GENERALH2",#N/A,FALSE,"YTD"}</definedName>
    <definedName name="terc" localSheetId="7" hidden="1">{"YD GENERALH2",#N/A,FALSE,"YTD"}</definedName>
    <definedName name="terc" hidden="1">{"YD GENERALH2",#N/A,FALSE,"YTD"}</definedName>
    <definedName name="test" localSheetId="3" hidden="1">{"cap_structure",#N/A,FALSE,"Graph-Mkt Cap";"price",#N/A,FALSE,"Graph-Price";"ebit",#N/A,FALSE,"Graph-EBITDA";"ebitda",#N/A,FALSE,"Graph-EBITDA"}</definedName>
    <definedName name="test" localSheetId="7" hidden="1">{"cap_structure",#N/A,FALSE,"Graph-Mkt Cap";"price",#N/A,FALSE,"Graph-Price";"ebit",#N/A,FALSE,"Graph-EBITDA";"ebitda",#N/A,FALSE,"Graph-EBITDA"}</definedName>
    <definedName name="test" hidden="1">{"cap_structure",#N/A,FALSE,"Graph-Mkt Cap";"price",#N/A,FALSE,"Graph-Price";"ebit",#N/A,FALSE,"Graph-EBITDA";"ebitda",#N/A,FALSE,"Graph-EBITDA"}</definedName>
    <definedName name="testcapital" localSheetId="3" hidden="1">{"IT",#N/A,FALSE,"GRAPHS";"Services",#N/A,FALSE,"GRAPHS";"Subsurface",#N/A,FALSE,"GRAPHS";"Production",#N/A,FALSE,"GRAPHS";"Facilities",#N/A,FALSE,"GRAPHS";"Pipeline &amp; Terminal",#N/A,FALSE,"GRAPHS";"Safety",#N/A,FALSE,"GRAPHS";"Commercial",#N/A,FALSE,"GRAPHS"}</definedName>
    <definedName name="testcapital" localSheetId="7" hidden="1">{"IT",#N/A,FALSE,"GRAPHS";"Services",#N/A,FALSE,"GRAPHS";"Subsurface",#N/A,FALSE,"GRAPHS";"Production",#N/A,FALSE,"GRAPHS";"Facilities",#N/A,FALSE,"GRAPHS";"Pipeline &amp; Terminal",#N/A,FALSE,"GRAPHS";"Safety",#N/A,FALSE,"GRAPHS";"Commercial",#N/A,FALSE,"GRAPHS"}</definedName>
    <definedName name="testcapital" hidden="1">{"IT",#N/A,FALSE,"GRAPHS";"Services",#N/A,FALSE,"GRAPHS";"Subsurface",#N/A,FALSE,"GRAPHS";"Production",#N/A,FALSE,"GRAPHS";"Facilities",#N/A,FALSE,"GRAPHS";"Pipeline &amp; Terminal",#N/A,FALSE,"GRAPHS";"Safety",#N/A,FALSE,"GRAPHS";"Commercial",#N/A,FALSE,"GRAPHS"}</definedName>
    <definedName name="TESTE" localSheetId="3" hidden="1">{"CONSOLIDADO",#N/A,FALSE,"COMENTARIOS"}</definedName>
    <definedName name="TESTE" localSheetId="7" hidden="1">{"CONSOLIDADO",#N/A,FALSE,"COMENTARIOS"}</definedName>
    <definedName name="TESTE" hidden="1">{"CONSOLIDADO",#N/A,FALSE,"COMENTARIOS"}</definedName>
    <definedName name="TET" localSheetId="3" hidden="1">{#N/A,#N/A,FALSE,"Pag.01"}</definedName>
    <definedName name="TET" localSheetId="7" hidden="1">{#N/A,#N/A,FALSE,"Pag.01"}</definedName>
    <definedName name="TET" hidden="1">{#N/A,#N/A,FALSE,"Pag.01"}</definedName>
    <definedName name="TextRefCopyRangeCount" hidden="1">4</definedName>
    <definedName name="tf" localSheetId="3" hidden="1">{"Performance Details",#N/A,FALSE,"Current Yr";"Performance Details",#N/A,FALSE,"Budget";"Performance Details",#N/A,FALSE,"Prior Year"}</definedName>
    <definedName name="tf" localSheetId="7" hidden="1">{"Performance Details",#N/A,FALSE,"Current Yr";"Performance Details",#N/A,FALSE,"Budget";"Performance Details",#N/A,FALSE,"Prior Year"}</definedName>
    <definedName name="tf" hidden="1">{"Performance Details",#N/A,FALSE,"Current Yr";"Performance Details",#N/A,FALSE,"Budget";"Performance Details",#N/A,FALSE,"Prior Year"}</definedName>
    <definedName name="tha.2" localSheetId="3" hidden="1">{#N/A,#N/A,FALSE,"Produkte Erw.";#N/A,#N/A,FALSE,"Produkte Plan";#N/A,#N/A,FALSE,"Leistungen Erw.";#N/A,#N/A,FALSE,"Leistungen Plan";#N/A,#N/A,FALSE,"KA Allg.Kosten (2)";#N/A,#N/A,FALSE,"KA All.Kosten"}</definedName>
    <definedName name="tha.2" localSheetId="7" hidden="1">{#N/A,#N/A,FALSE,"Produkte Erw.";#N/A,#N/A,FALSE,"Produkte Plan";#N/A,#N/A,FALSE,"Leistungen Erw.";#N/A,#N/A,FALSE,"Leistungen Plan";#N/A,#N/A,FALSE,"KA Allg.Kosten (2)";#N/A,#N/A,FALSE,"KA All.Kosten"}</definedName>
    <definedName name="tha.2" hidden="1">{#N/A,#N/A,FALSE,"Produkte Erw.";#N/A,#N/A,FALSE,"Produkte Plan";#N/A,#N/A,FALSE,"Leistungen Erw.";#N/A,#N/A,FALSE,"Leistungen Plan";#N/A,#N/A,FALSE,"KA Allg.Kosten (2)";#N/A,#N/A,FALSE,"KA All.Kosten"}</definedName>
    <definedName name="tha.3" localSheetId="3" hidden="1">{#N/A,#N/A,FALSE,"KA CH  (2)"}</definedName>
    <definedName name="tha.3" localSheetId="7" hidden="1">{#N/A,#N/A,FALSE,"KA CH  (2)"}</definedName>
    <definedName name="tha.3" hidden="1">{#N/A,#N/A,FALSE,"KA CH  (2)"}</definedName>
    <definedName name="tha.4" localSheetId="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_99" localSheetId="3" hidden="1">{#N/A,#N/A,FALSE,"Umsatz 99";#N/A,#N/A,FALSE,"ER 99 "}</definedName>
    <definedName name="tha.4._99" localSheetId="7" hidden="1">{#N/A,#N/A,FALSE,"Umsatz 99";#N/A,#N/A,FALSE,"ER 99 "}</definedName>
    <definedName name="tha.4._99" hidden="1">{#N/A,#N/A,FALSE,"Umsatz 99";#N/A,#N/A,FALSE,"ER 99 "}</definedName>
    <definedName name="Thail.2" localSheetId="3" hidden="1">{#N/A,#N/A,FALSE,"Umsatz 99";#N/A,#N/A,FALSE,"ER 99 "}</definedName>
    <definedName name="Thail.2" localSheetId="7" hidden="1">{#N/A,#N/A,FALSE,"Umsatz 99";#N/A,#N/A,FALSE,"ER 99 "}</definedName>
    <definedName name="Thail.2" hidden="1">{#N/A,#N/A,FALSE,"Umsatz 99";#N/A,#N/A,FALSE,"ER 99 "}</definedName>
    <definedName name="ThomasEliot" localSheetId="3" hidden="1">{"cap_structure",#N/A,FALSE,"Graph-Mkt Cap";"price",#N/A,FALSE,"Graph-Price";"ebit",#N/A,FALSE,"Graph-EBITDA";"ebitda",#N/A,FALSE,"Graph-EBITDA"}</definedName>
    <definedName name="ThomasEliot" localSheetId="7" hidden="1">{"cap_structure",#N/A,FALSE,"Graph-Mkt Cap";"price",#N/A,FALSE,"Graph-Price";"ebit",#N/A,FALSE,"Graph-EBITDA";"ebitda",#N/A,FALSE,"Graph-EBITDA"}</definedName>
    <definedName name="ThomasEliot" hidden="1">{"cap_structure",#N/A,FALSE,"Graph-Mkt Cap";"price",#N/A,FALSE,"Graph-Price";"ebit",#N/A,FALSE,"Graph-EBITDA";"ebitda",#N/A,FALSE,"Graph-EBITDA"}</definedName>
    <definedName name="three" localSheetId="3" hidden="1">#REF!</definedName>
    <definedName name="three" hidden="1">#REF!</definedName>
    <definedName name="Tigr_Exhibit35241aa7_2f29_45ea_b6fb_4ac76187f354" localSheetId="3" hidden="1">#REF!</definedName>
    <definedName name="Tigr_Exhibit35241aa7_2f29_45ea_b6fb_4ac76187f354" hidden="1">#REF!</definedName>
    <definedName name="Tigr_Exhibit74c689c1_b460_4ddd_aed4_1c01da4d22ef" localSheetId="3" hidden="1">#REF!</definedName>
    <definedName name="Tigr_Exhibit74c689c1_b460_4ddd_aed4_1c01da4d22ef" hidden="1">#REF!</definedName>
    <definedName name="Tigr_Exhibit7cd781d9_23f9_4a6b_920b_87533b5094bf" localSheetId="3" hidden="1">#REF!</definedName>
    <definedName name="Tigr_Exhibit7cd781d9_23f9_4a6b_920b_87533b5094bf" hidden="1">#REF!</definedName>
    <definedName name="Tigr_Exhibit9a4f2348_4b11_4a16_ac1a_644c70927989" localSheetId="3" hidden="1">#REF!</definedName>
    <definedName name="Tigr_Exhibit9a4f2348_4b11_4a16_ac1a_644c70927989" hidden="1">#REF!</definedName>
    <definedName name="Tigr_Exhibitcc53ec1a_fccf_4a4a_8d06_88a75779a60e" localSheetId="3" hidden="1">#REF!</definedName>
    <definedName name="Tigr_Exhibitcc53ec1a_fccf_4a4a_8d06_88a75779a60e" hidden="1">#REF!</definedName>
    <definedName name="Tigr_Exhibite83e7afd_9df4_425c_bc48_a4cfa66264e0" localSheetId="3" hidden="1">#REF!</definedName>
    <definedName name="Tigr_Exhibite83e7afd_9df4_425c_bc48_a4cfa66264e0" hidden="1">#REF!</definedName>
    <definedName name="Tigr_Exhibitef671227_f1cf_4381_b662_a92774ad940a" localSheetId="3" hidden="1">#REF!</definedName>
    <definedName name="Tigr_Exhibitef671227_f1cf_4381_b662_a92774ad940a" hidden="1">#REF!</definedName>
    <definedName name="Tigr_Exhibitf6f5f87e_240b_45b9_82ae_566c196d699a" localSheetId="3" hidden="1">#REF!</definedName>
    <definedName name="Tigr_Exhibitf6f5f87e_240b_45b9_82ae_566c196d699a" hidden="1">#REF!</definedName>
    <definedName name="_xlnm.Print_Titles" localSheetId="8">UNITS!$1:$3</definedName>
    <definedName name="tl" localSheetId="3" hidden="1">{"Commentary",#N/A,FALSE,"May"}</definedName>
    <definedName name="tl" localSheetId="7" hidden="1">{"Commentary",#N/A,FALSE,"May"}</definedName>
    <definedName name="tl" hidden="1">{"Commentary",#N/A,FALSE,"May"}</definedName>
    <definedName name="tm" localSheetId="3" hidden="1">{"ICD Details",#N/A,FALSE,"Current Yr";"ICD Details",#N/A,FALSE,"Budget";"ICD Details",#N/A,FALSE,"Prior Year"}</definedName>
    <definedName name="tm" localSheetId="7" hidden="1">{"ICD Details",#N/A,FALSE,"Current Yr";"ICD Details",#N/A,FALSE,"Budget";"ICD Details",#N/A,FALSE,"Prior Year"}</definedName>
    <definedName name="tm" hidden="1">{"ICD Details",#N/A,FALSE,"Current Yr";"ICD Details",#N/A,FALSE,"Budget";"ICD Details",#N/A,FALSE,"Prior Year"}</definedName>
    <definedName name="tmto" localSheetId="3" hidden="1">{"detail",#N/A,FALSE,"mfg";"summary",#N/A,FALSE,"mfg"}</definedName>
    <definedName name="tmto" localSheetId="7" hidden="1">{"detail",#N/A,FALSE,"mfg";"summary",#N/A,FALSE,"mfg"}</definedName>
    <definedName name="tmto" hidden="1">{"detail",#N/A,FALSE,"mfg";"summary",#N/A,FALSE,"mfg"}</definedName>
    <definedName name="tn" localSheetId="3"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n" localSheetId="7"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n"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otal" localSheetId="3" hidden="1">{"detail",#N/A,FALSE,"mfg";"summary",#N/A,FALSE,"mfg"}</definedName>
    <definedName name="total" localSheetId="7" hidden="1">{"detail",#N/A,FALSE,"mfg";"summary",#N/A,FALSE,"mfg"}</definedName>
    <definedName name="total" hidden="1">{"detail",#N/A,FALSE,"mfg";"summary",#N/A,FALSE,"mfg"}</definedName>
    <definedName name="trcde" localSheetId="3"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cde" localSheetId="7"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cde"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e" localSheetId="3" hidden="1">{"pro_view",#N/A,FALSE,"EEFSNAP2";"rep_view",#N/A,FALSE,"EEFSNAP2"}</definedName>
    <definedName name="tre" localSheetId="7" hidden="1">{"pro_view",#N/A,FALSE,"EEFSNAP2";"rep_view",#N/A,FALSE,"EEFSNAP2"}</definedName>
    <definedName name="tre" hidden="1">{"pro_view",#N/A,FALSE,"EEFSNAP2";"rep_view",#N/A,FALSE,"EEFSNAP2"}</definedName>
    <definedName name="tryeuyit" localSheetId="3" hidden="1">{#N/A,#N/A,FALSE,"Pharm";#N/A,#N/A,FALSE,"WWCM"}</definedName>
    <definedName name="tryeuyit" localSheetId="7" hidden="1">{#N/A,#N/A,FALSE,"Pharm";#N/A,#N/A,FALSE,"WWCM"}</definedName>
    <definedName name="tryeuyit" hidden="1">{#N/A,#N/A,FALSE,"Pharm";#N/A,#N/A,FALSE,"WWCM"}</definedName>
    <definedName name="ts" localSheetId="3" hidden="1">{"oct_res_comm",#N/A,FALSE,"VarToBud"}</definedName>
    <definedName name="ts" localSheetId="7" hidden="1">{"oct_res_comm",#N/A,FALSE,"VarToBud"}</definedName>
    <definedName name="ts" hidden="1">{"oct_res_comm",#N/A,FALSE,"VarToBud"}</definedName>
    <definedName name="tt" localSheetId="3" hidden="1">{#N/A,#N/A,FALSE,"Umsatz EO BP";#N/A,#N/A,FALSE,"Umsatz EO OP";#N/A,#N/A,FALSE,"ER EO BP";#N/A,#N/A,FALSE,"ER EO OP";#N/A,#N/A,FALSE,"EA EO (2)";#N/A,#N/A,FALSE,"EA EO";#N/A,#N/A,FALSE,"EA EO (3)";#N/A,#N/A,FALSE,"EA EO (4)";#N/A,#N/A,FALSE,"KA EO  (2)";#N/A,#N/A,FALSE,"KA EO";#N/A,#N/A,FALSE,"KA EO  (3)";#N/A,#N/A,FALSE,"KA EO (4)"}</definedName>
    <definedName name="tt" localSheetId="7" hidden="1">{#N/A,#N/A,FALSE,"Umsatz EO BP";#N/A,#N/A,FALSE,"Umsatz EO OP";#N/A,#N/A,FALSE,"ER EO BP";#N/A,#N/A,FALSE,"ER EO OP";#N/A,#N/A,FALSE,"EA EO (2)";#N/A,#N/A,FALSE,"EA EO";#N/A,#N/A,FALSE,"EA EO (3)";#N/A,#N/A,FALSE,"EA EO (4)";#N/A,#N/A,FALSE,"KA EO  (2)";#N/A,#N/A,FALSE,"KA EO";#N/A,#N/A,FALSE,"KA EO  (3)";#N/A,#N/A,FALSE,"KA EO (4)"}</definedName>
    <definedName name="tt" hidden="1">{#N/A,#N/A,FALSE,"Umsatz EO BP";#N/A,#N/A,FALSE,"Umsatz EO OP";#N/A,#N/A,FALSE,"ER EO BP";#N/A,#N/A,FALSE,"ER EO OP";#N/A,#N/A,FALSE,"EA EO (2)";#N/A,#N/A,FALSE,"EA EO";#N/A,#N/A,FALSE,"EA EO (3)";#N/A,#N/A,FALSE,"EA EO (4)";#N/A,#N/A,FALSE,"KA EO  (2)";#N/A,#N/A,FALSE,"KA EO";#N/A,#N/A,FALSE,"KA EO  (3)";#N/A,#N/A,FALSE,"KA EO (4)"}</definedName>
    <definedName name="tt.8" localSheetId="3" hidden="1">{#N/A,#N/A,FALSE,"PMW Gruppe 99_98";#N/A,#N/A,FALSE,"PMW KG 98_99";#N/A,#N/A,FALSE,"PMW Inc. 99_98";#N/A,#N/A,FALSE,"PMW VTECH 99_98";#N/A,#N/A,FALSE,"PMW Thail. 99_98";#N/A,#N/A,FALSE,"PMW Canada 99_98";#N/A,#N/A,FALSE,"Währungsabw. 99_98"}</definedName>
    <definedName name="tt.8" localSheetId="7" hidden="1">{#N/A,#N/A,FALSE,"PMW Gruppe 99_98";#N/A,#N/A,FALSE,"PMW KG 98_99";#N/A,#N/A,FALSE,"PMW Inc. 99_98";#N/A,#N/A,FALSE,"PMW VTECH 99_98";#N/A,#N/A,FALSE,"PMW Thail. 99_98";#N/A,#N/A,FALSE,"PMW Canada 99_98";#N/A,#N/A,FALSE,"Währungsabw. 99_98"}</definedName>
    <definedName name="tt.8" hidden="1">{#N/A,#N/A,FALSE,"PMW Gruppe 99_98";#N/A,#N/A,FALSE,"PMW KG 98_99";#N/A,#N/A,FALSE,"PMW Inc. 99_98";#N/A,#N/A,FALSE,"PMW VTECH 99_98";#N/A,#N/A,FALSE,"PMW Thail. 99_98";#N/A,#N/A,FALSE,"PMW Canada 99_98";#N/A,#N/A,FALSE,"Währungsabw. 99_98"}</definedName>
    <definedName name="ttt" localSheetId="3" hidden="1">{#N/A,"PURCHM",FALSE,"Business Analysis";#N/A,"SPADD",FALSE,"Business Analysis"}</definedName>
    <definedName name="ttt" localSheetId="7" hidden="1">{#N/A,"PURCHM",FALSE,"Business Analysis";#N/A,"SPADD",FALSE,"Business Analysis"}</definedName>
    <definedName name="ttt" hidden="1">{#N/A,"PURCHM",FALSE,"Business Analysis";#N/A,"SPADD",FALSE,"Business Analysis"}</definedName>
    <definedName name="tttt" localSheetId="3" hidden="1">{#N/A,#N/A,FALSE,"Produkte Erw.";#N/A,#N/A,FALSE,"Produkte Plan";#N/A,#N/A,FALSE,"Leistungen Erw.";#N/A,#N/A,FALSE,"Leistungen Plan";#N/A,#N/A,FALSE,"KA Allg.Kosten (2)";#N/A,#N/A,FALSE,"KA All.Kosten"}</definedName>
    <definedName name="tttt" localSheetId="7" hidden="1">{#N/A,#N/A,FALSE,"Produkte Erw.";#N/A,#N/A,FALSE,"Produkte Plan";#N/A,#N/A,FALSE,"Leistungen Erw.";#N/A,#N/A,FALSE,"Leistungen Plan";#N/A,#N/A,FALSE,"KA Allg.Kosten (2)";#N/A,#N/A,FALSE,"KA All.Kosten"}</definedName>
    <definedName name="tttt" hidden="1">{#N/A,#N/A,FALSE,"Produkte Erw.";#N/A,#N/A,FALSE,"Produkte Plan";#N/A,#N/A,FALSE,"Leistungen Erw.";#N/A,#N/A,FALSE,"Leistungen Plan";#N/A,#N/A,FALSE,"KA Allg.Kosten (2)";#N/A,#N/A,FALSE,"KA All.Kosten"}</definedName>
    <definedName name="ttzz" localSheetId="3" hidden="1">{#N/A,#N/A,FALSE,"Umsatz CH";#N/A,#N/A,FALSE,"ER CH";#N/A,#N/A,FALSE,"EA CH (2) ";#N/A,#N/A,FALSE,"EA CH";#N/A,#N/A,FALSE,"EA CH (3) ";#N/A,#N/A,FALSE,"EA CH (4)";#N/A,#N/A,FALSE,"KA CH";#N/A,#N/A,FALSE,"KA CH  (2)";#N/A,#N/A,FALSE,"KA CH  (3)";#N/A,#N/A,FALSE,"KA CH (4)"}</definedName>
    <definedName name="ttzz" localSheetId="7" hidden="1">{#N/A,#N/A,FALSE,"Umsatz CH";#N/A,#N/A,FALSE,"ER CH";#N/A,#N/A,FALSE,"EA CH (2) ";#N/A,#N/A,FALSE,"EA CH";#N/A,#N/A,FALSE,"EA CH (3) ";#N/A,#N/A,FALSE,"EA CH (4)";#N/A,#N/A,FALSE,"KA CH";#N/A,#N/A,FALSE,"KA CH  (2)";#N/A,#N/A,FALSE,"KA CH  (3)";#N/A,#N/A,FALSE,"KA CH (4)"}</definedName>
    <definedName name="ttzz" hidden="1">{#N/A,#N/A,FALSE,"Umsatz CH";#N/A,#N/A,FALSE,"ER CH";#N/A,#N/A,FALSE,"EA CH (2) ";#N/A,#N/A,FALSE,"EA CH";#N/A,#N/A,FALSE,"EA CH (3) ";#N/A,#N/A,FALSE,"EA CH (4)";#N/A,#N/A,FALSE,"KA CH";#N/A,#N/A,FALSE,"KA CH  (2)";#N/A,#N/A,FALSE,"KA CH  (3)";#N/A,#N/A,FALSE,"KA CH (4)"}</definedName>
    <definedName name="turd" localSheetId="3" hidden="1">{"detail",#N/A,FALSE,"mfg";"summary",#N/A,FALSE,"mfg"}</definedName>
    <definedName name="turd" localSheetId="7" hidden="1">{"detail",#N/A,FALSE,"mfg";"summary",#N/A,FALSE,"mfg"}</definedName>
    <definedName name="turd" hidden="1">{"detail",#N/A,FALSE,"mfg";"summary",#N/A,FALSE,"mfg"}</definedName>
    <definedName name="tuyiotuio" localSheetId="0" hidden="1">{"short1",#N/A,FALSE,"masmode";"short2",#N/A,FALSE,"masmode";"qtrres",#N/A,FALSE,"QTR. RES.";"sales",#N/A,FALSE,"Sales &amp; Market Share"}</definedName>
    <definedName name="tuyiotuio" localSheetId="3" hidden="1">{"short1",#N/A,FALSE,"masmode";"short2",#N/A,FALSE,"masmode";"qtrres",#N/A,FALSE,"QTR. RES.";"sales",#N/A,FALSE,"Sales &amp; Market Share"}</definedName>
    <definedName name="tuyiotuio" localSheetId="7" hidden="1">{"short1",#N/A,FALSE,"masmode";"short2",#N/A,FALSE,"masmode";"qtrres",#N/A,FALSE,"QTR. RES.";"sales",#N/A,FALSE,"Sales &amp; Market Share"}</definedName>
    <definedName name="tuyiotuio" hidden="1">{"short1",#N/A,FALSE,"masmode";"short2",#N/A,FALSE,"masmode";"qtrres",#N/A,FALSE,"QTR. RES.";"sales",#N/A,FALSE,"Sales &amp; Market Share"}</definedName>
    <definedName name="tv" localSheetId="3"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tv"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tv"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two" localSheetId="3" hidden="1">#REF!</definedName>
    <definedName name="two" hidden="1">#REF!</definedName>
    <definedName name="tyler"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 localSheetId="7"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1"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ler1" localSheetId="7"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ler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nm" localSheetId="3" hidden="1">{"apci",#N/A,FALSE,"Chem_CY";"eastman",#N/A,FALSE,"Eastman";"betz",#N/A,FALSE,"Betz";"great lakes",#N/A,FALSE,"Great_Lakes";"hercules",#N/A,FALSE,"Hercules Chem Seg Data";"rohm",#N/A,FALSE,"Rohm";"union carbide",#N/A,FALSE,"Union";"witco",#N/A,FALSE,"Witco"}</definedName>
    <definedName name="tynm" localSheetId="7" hidden="1">{"apci",#N/A,FALSE,"Chem_CY";"eastman",#N/A,FALSE,"Eastman";"betz",#N/A,FALSE,"Betz";"great lakes",#N/A,FALSE,"Great_Lakes";"hercules",#N/A,FALSE,"Hercules Chem Seg Data";"rohm",#N/A,FALSE,"Rohm";"union carbide",#N/A,FALSE,"Union";"witco",#N/A,FALSE,"Witco"}</definedName>
    <definedName name="tynm" hidden="1">{"apci",#N/A,FALSE,"Chem_CY";"eastman",#N/A,FALSE,"Eastman";"betz",#N/A,FALSE,"Betz";"great lakes",#N/A,FALSE,"Great_Lakes";"hercules",#N/A,FALSE,"Hercules Chem Seg Data";"rohm",#N/A,FALSE,"Rohm";"union carbide",#N/A,FALSE,"Union";"witco",#N/A,FALSE,"Witco"}</definedName>
    <definedName name="tyu" localSheetId="3" hidden="1">{"oct_res_comm",#N/A,FALSE,"VarToBud"}</definedName>
    <definedName name="tyu" localSheetId="7" hidden="1">{"oct_res_comm",#N/A,FALSE,"VarToBud"}</definedName>
    <definedName name="tyu" hidden="1">{"oct_res_comm",#N/A,FALSE,"VarToBud"}</definedName>
    <definedName name="tyui" localSheetId="3" hidden="1">{"ICD Details",#N/A,FALSE,"Current Yr";"ICD Details",#N/A,FALSE,"Budget";"ICD Details",#N/A,FALSE,"Prior Year"}</definedName>
    <definedName name="tyui" localSheetId="7" hidden="1">{"ICD Details",#N/A,FALSE,"Current Yr";"ICD Details",#N/A,FALSE,"Budget";"ICD Details",#N/A,FALSE,"Prior Year"}</definedName>
    <definedName name="tyui" hidden="1">{"ICD Details",#N/A,FALSE,"Current Yr";"ICD Details",#N/A,FALSE,"Budget";"ICD Details",#N/A,FALSE,"Prior Year"}</definedName>
    <definedName name="tyutytyi" localSheetId="3" hidden="1">{#N/A,#N/A,FALSE,"Pharm";#N/A,#N/A,FALSE,"WWCM"}</definedName>
    <definedName name="tyutytyi" localSheetId="7" hidden="1">{#N/A,#N/A,FALSE,"Pharm";#N/A,#N/A,FALSE,"WWCM"}</definedName>
    <definedName name="tyutytyi" hidden="1">{#N/A,#N/A,FALSE,"Pharm";#N/A,#N/A,FALSE,"WWCM"}</definedName>
    <definedName name="tyyufkjkhjd" localSheetId="3" hidden="1">{#N/A,#N/A,FALSE,"Pharm";#N/A,#N/A,FALSE,"WWCM"}</definedName>
    <definedName name="tyyufkjkhjd" localSheetId="7" hidden="1">{#N/A,#N/A,FALSE,"Pharm";#N/A,#N/A,FALSE,"WWCM"}</definedName>
    <definedName name="tyyufkjkhjd" hidden="1">{#N/A,#N/A,FALSE,"Pharm";#N/A,#N/A,FALSE,"WWCM"}</definedName>
    <definedName name="tzt" localSheetId="3" hidden="1">{#N/A,#N/A,FALSE,"Umsatz HM";#N/A,#N/A,FALSE,"ER HM";#N/A,#N/A,FALSE,"EA HM  (2)";#N/A,#N/A,FALSE,"EA HM ";#N/A,#N/A,FALSE,"EA HM  (4)";#N/A,#N/A,FALSE,"EA HM  (3)";#N/A,#N/A,FALSE,"KA HM  (2)";#N/A,#N/A,FALSE,"KA HM";#N/A,#N/A,FALSE,"KA HM  (3)";#N/A,#N/A,FALSE,"KA HM (4)"}</definedName>
    <definedName name="tzt" localSheetId="7" hidden="1">{#N/A,#N/A,FALSE,"Umsatz HM";#N/A,#N/A,FALSE,"ER HM";#N/A,#N/A,FALSE,"EA HM  (2)";#N/A,#N/A,FALSE,"EA HM ";#N/A,#N/A,FALSE,"EA HM  (4)";#N/A,#N/A,FALSE,"EA HM  (3)";#N/A,#N/A,FALSE,"KA HM  (2)";#N/A,#N/A,FALSE,"KA HM";#N/A,#N/A,FALSE,"KA HM  (3)";#N/A,#N/A,FALSE,"KA HM (4)"}</definedName>
    <definedName name="tzt" hidden="1">{#N/A,#N/A,FALSE,"Umsatz HM";#N/A,#N/A,FALSE,"ER HM";#N/A,#N/A,FALSE,"EA HM  (2)";#N/A,#N/A,FALSE,"EA HM ";#N/A,#N/A,FALSE,"EA HM  (4)";#N/A,#N/A,FALSE,"EA HM  (3)";#N/A,#N/A,FALSE,"KA HM  (2)";#N/A,#N/A,FALSE,"KA HM";#N/A,#N/A,FALSE,"KA HM  (3)";#N/A,#N/A,FALSE,"KA HM (4)"}</definedName>
    <definedName name="tzutz.lkjkljk" localSheetId="3" hidden="1">{#N/A,#N/A,FALSE,"Umsatz CH";#N/A,#N/A,FALSE,"ER CH";#N/A,#N/A,FALSE,"EA CH (2) ";#N/A,#N/A,FALSE,"EA CH";#N/A,#N/A,FALSE,"EA CH (3) ";#N/A,#N/A,FALSE,"EA CH (4)";#N/A,#N/A,FALSE,"KA CH";#N/A,#N/A,FALSE,"KA CH  (2)";#N/A,#N/A,FALSE,"KA CH  (3)";#N/A,#N/A,FALSE,"KA CH (4)"}</definedName>
    <definedName name="tzutz.lkjkljk" localSheetId="7" hidden="1">{#N/A,#N/A,FALSE,"Umsatz CH";#N/A,#N/A,FALSE,"ER CH";#N/A,#N/A,FALSE,"EA CH (2) ";#N/A,#N/A,FALSE,"EA CH";#N/A,#N/A,FALSE,"EA CH (3) ";#N/A,#N/A,FALSE,"EA CH (4)";#N/A,#N/A,FALSE,"KA CH";#N/A,#N/A,FALSE,"KA CH  (2)";#N/A,#N/A,FALSE,"KA CH  (3)";#N/A,#N/A,FALSE,"KA CH (4)"}</definedName>
    <definedName name="tzutz.lkjkljk" hidden="1">{#N/A,#N/A,FALSE,"Umsatz CH";#N/A,#N/A,FALSE,"ER CH";#N/A,#N/A,FALSE,"EA CH (2) ";#N/A,#N/A,FALSE,"EA CH";#N/A,#N/A,FALSE,"EA CH (3) ";#N/A,#N/A,FALSE,"EA CH (4)";#N/A,#N/A,FALSE,"KA CH";#N/A,#N/A,FALSE,"KA CH  (2)";#N/A,#N/A,FALSE,"KA CH  (3)";#N/A,#N/A,FALSE,"KA CH (4)"}</definedName>
    <definedName name="U" localSheetId="3" hidden="1">{#N/A,#N/A,FALSE,"COMENTARIOS";#N/A,#N/A,FALSE,"BALANÇO";#N/A,#N/A,FALSE,"RESULTADO";#N/A,#N/A,FALSE," SALDOS ATIVOS";#N/A,#N/A,FALSE,"SALDOS PASSIVOS";#N/A,#N/A,FALSE,"RECEITA DE VENDAS";#N/A,#N/A,FALSE," CPV";#N/A,#N/A,FALSE,"DESP COMERCIAIS";#N/A,#N/A,FALSE,"DESP ADM";#N/A,#N/A,FALSE,"RES FIN ";#N/A,#N/A,FALSE,"OUTRAS  OP ";#N/A,#N/A,FALSE,"RES N OP ";#N/A,#N/A,FALSE,"INTERCIAS JAN";#N/A,#N/A,FALSE,"INTERCIAS FEV";#N/A,#N/A,FALSE,"INTERCIAS MAR";#N/A,#N/A,FALSE,"INTERCIAS ABR";#N/A,#N/A,FALSE,"INTERCIAS MAI";#N/A,#N/A,FALSE,"INTERCIAS JUN";#N/A,#N/A,FALSE,"INTERCIAS JUL";#N/A,#N/A,FALSE,"INRECIAS AGO";#N/A,#N/A,FALSE,"INTERCIAS SET";#N/A,#N/A,FALSE,"INTERCIAS OUT";#N/A,#N/A,FALSE,"INTERCIAS NOV";#N/A,#N/A,FALSE,"INTERCIAS DEZ"}</definedName>
    <definedName name="U" localSheetId="7" hidden="1">{#N/A,#N/A,FALSE,"COMENTARIOS";#N/A,#N/A,FALSE,"BALANÇO";#N/A,#N/A,FALSE,"RESULTADO";#N/A,#N/A,FALSE," SALDOS ATIVOS";#N/A,#N/A,FALSE,"SALDOS PASSIVOS";#N/A,#N/A,FALSE,"RECEITA DE VENDAS";#N/A,#N/A,FALSE," CPV";#N/A,#N/A,FALSE,"DESP COMERCIAIS";#N/A,#N/A,FALSE,"DESP ADM";#N/A,#N/A,FALSE,"RES FIN ";#N/A,#N/A,FALSE,"OUTRAS  OP ";#N/A,#N/A,FALSE,"RES N OP ";#N/A,#N/A,FALSE,"INTERCIAS JAN";#N/A,#N/A,FALSE,"INTERCIAS FEV";#N/A,#N/A,FALSE,"INTERCIAS MAR";#N/A,#N/A,FALSE,"INTERCIAS ABR";#N/A,#N/A,FALSE,"INTERCIAS MAI";#N/A,#N/A,FALSE,"INTERCIAS JUN";#N/A,#N/A,FALSE,"INTERCIAS JUL";#N/A,#N/A,FALSE,"INRECIAS AGO";#N/A,#N/A,FALSE,"INTERCIAS SET";#N/A,#N/A,FALSE,"INTERCIAS OUT";#N/A,#N/A,FALSE,"INTERCIAS NOV";#N/A,#N/A,FALSE,"INTERCIAS DEZ"}</definedName>
    <definedName name="U" hidden="1">{#N/A,#N/A,FALSE,"COMENTARIOS";#N/A,#N/A,FALSE,"BALANÇO";#N/A,#N/A,FALSE,"RESULTADO";#N/A,#N/A,FALSE," SALDOS ATIVOS";#N/A,#N/A,FALSE,"SALDOS PASSIVOS";#N/A,#N/A,FALSE,"RECEITA DE VENDAS";#N/A,#N/A,FALSE," CPV";#N/A,#N/A,FALSE,"DESP COMERCIAIS";#N/A,#N/A,FALSE,"DESP ADM";#N/A,#N/A,FALSE,"RES FIN ";#N/A,#N/A,FALSE,"OUTRAS  OP ";#N/A,#N/A,FALSE,"RES N OP ";#N/A,#N/A,FALSE,"INTERCIAS JAN";#N/A,#N/A,FALSE,"INTERCIAS FEV";#N/A,#N/A,FALSE,"INTERCIAS MAR";#N/A,#N/A,FALSE,"INTERCIAS ABR";#N/A,#N/A,FALSE,"INTERCIAS MAI";#N/A,#N/A,FALSE,"INTERCIAS JUN";#N/A,#N/A,FALSE,"INTERCIAS JUL";#N/A,#N/A,FALSE,"INRECIAS AGO";#N/A,#N/A,FALSE,"INTERCIAS SET";#N/A,#N/A,FALSE,"INTERCIAS OUT";#N/A,#N/A,FALSE,"INTERCIAS NOV";#N/A,#N/A,FALSE,"INTERCIAS DEZ"}</definedName>
    <definedName name="ucm" localSheetId="3" hidden="1">{"FS`s",#N/A,TRUE,"FS's";"Icome St",#N/A,TRUE,"Income St.";"Balance Sh",#N/A,TRUE,"Balance Sh.";"Gross Margin",#N/A,TRUE,"Gross Margin"}</definedName>
    <definedName name="ucm" localSheetId="7" hidden="1">{"FS`s",#N/A,TRUE,"FS's";"Icome St",#N/A,TRUE,"Income St.";"Balance Sh",#N/A,TRUE,"Balance Sh.";"Gross Margin",#N/A,TRUE,"Gross Margin"}</definedName>
    <definedName name="ucm" hidden="1">{"FS`s",#N/A,TRUE,"FS's";"Icome St",#N/A,TRUE,"Income St.";"Balance Sh",#N/A,TRUE,"Balance Sh.";"Gross Margin",#N/A,TRUE,"Gross Margin"}</definedName>
    <definedName name="UCM_9" localSheetId="3" hidden="1">{"FS`s",#N/A,TRUE,"FS's";"Icome St",#N/A,TRUE,"Income St.";"Balance Sh",#N/A,TRUE,"Balance Sh.";"Gross Margin",#N/A,TRUE,"Gross Margin"}</definedName>
    <definedName name="UCM_9" localSheetId="7" hidden="1">{"FS`s",#N/A,TRUE,"FS's";"Icome St",#N/A,TRUE,"Income St.";"Balance Sh",#N/A,TRUE,"Balance Sh.";"Gross Margin",#N/A,TRUE,"Gross Margin"}</definedName>
    <definedName name="UCM_9" hidden="1">{"FS`s",#N/A,TRUE,"FS's";"Icome St",#N/A,TRUE,"Income St.";"Balance Sh",#N/A,TRUE,"Balance Sh.";"Gross Margin",#N/A,TRUE,"Gross Margin"}</definedName>
    <definedName name="uh" localSheetId="3" hidden="1">{"detail",#N/A,FALSE,"mfg";"summary",#N/A,FALSE,"mfg"}</definedName>
    <definedName name="uh" localSheetId="7" hidden="1">{"detail",#N/A,FALSE,"mfg";"summary",#N/A,FALSE,"mfg"}</definedName>
    <definedName name="uh" hidden="1">{"detail",#N/A,FALSE,"mfg";"summary",#N/A,FALSE,"mfg"}</definedName>
    <definedName name="uiim" localSheetId="3" hidden="1">{"Pg1",#N/A,FALSE,"OpExYTDvsBud";"Pg2",#N/A,FALSE,"OpExYTDvsBud"}</definedName>
    <definedName name="uiim" localSheetId="7" hidden="1">{"Pg1",#N/A,FALSE,"OpExYTDvsBud";"Pg2",#N/A,FALSE,"OpExYTDvsBud"}</definedName>
    <definedName name="uiim" hidden="1">{"Pg1",#N/A,FALSE,"OpExYTDvsBud";"Pg2",#N/A,FALSE,"OpExYTDvsBud"}</definedName>
    <definedName name="uiui" localSheetId="3" hidden="1">{#N/A,#N/A,FALSE,"Umsatz HM";#N/A,#N/A,FALSE,"ER HM";#N/A,#N/A,FALSE,"EA HM  (2)";#N/A,#N/A,FALSE,"EA HM ";#N/A,#N/A,FALSE,"EA HM  (4)";#N/A,#N/A,FALSE,"EA HM  (3)";#N/A,#N/A,FALSE,"KA HM  (2)";#N/A,#N/A,FALSE,"KA HM";#N/A,#N/A,FALSE,"KA HM  (3)";#N/A,#N/A,FALSE,"KA HM (4)"}</definedName>
    <definedName name="uiui" localSheetId="7" hidden="1">{#N/A,#N/A,FALSE,"Umsatz HM";#N/A,#N/A,FALSE,"ER HM";#N/A,#N/A,FALSE,"EA HM  (2)";#N/A,#N/A,FALSE,"EA HM ";#N/A,#N/A,FALSE,"EA HM  (4)";#N/A,#N/A,FALSE,"EA HM  (3)";#N/A,#N/A,FALSE,"KA HM  (2)";#N/A,#N/A,FALSE,"KA HM";#N/A,#N/A,FALSE,"KA HM  (3)";#N/A,#N/A,FALSE,"KA HM (4)"}</definedName>
    <definedName name="uiui" hidden="1">{#N/A,#N/A,FALSE,"Umsatz HM";#N/A,#N/A,FALSE,"ER HM";#N/A,#N/A,FALSE,"EA HM  (2)";#N/A,#N/A,FALSE,"EA HM ";#N/A,#N/A,FALSE,"EA HM  (4)";#N/A,#N/A,FALSE,"EA HM  (3)";#N/A,#N/A,FALSE,"KA HM  (2)";#N/A,#N/A,FALSE,"KA HM";#N/A,#N/A,FALSE,"KA HM  (3)";#N/A,#N/A,FALSE,"KA HM (4)"}</definedName>
    <definedName name="Unit" localSheetId="3" hidden="1">{#N/A,#N/A,FALSE,"Pharm";#N/A,#N/A,FALSE,"WWCM"}</definedName>
    <definedName name="Unit" localSheetId="7" hidden="1">{#N/A,#N/A,FALSE,"Pharm";#N/A,#N/A,FALSE,"WWCM"}</definedName>
    <definedName name="Unit" hidden="1">{#N/A,#N/A,FALSE,"Pharm";#N/A,#N/A,FALSE,"WWCM"}</definedName>
    <definedName name="uo" localSheetId="3"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uo" localSheetId="7"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uo"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uog" localSheetId="3" hidden="1">{#N/A,#N/A,FALSE,"CARATULA GENERAL";#N/A,#N/A,FALSE,"GSxDIRECCION";#N/A,#N/A,FALSE,"Caratula";#N/A,#N/A,FALSE,"GSxCTRO";#N/A,#N/A,FALSE,"GsAdm.Centr";#N/A,#N/A,FALSE,"Dir.Gral";#N/A,#N/A,FALSE,"AdmyFzas";#N/A,#N/A,FALSE,"Sistemas";#N/A,#N/A,FALSE,"RRHH"}</definedName>
    <definedName name="uog" localSheetId="7" hidden="1">{#N/A,#N/A,FALSE,"CARATULA GENERAL";#N/A,#N/A,FALSE,"GSxDIRECCION";#N/A,#N/A,FALSE,"Caratula";#N/A,#N/A,FALSE,"GSxCTRO";#N/A,#N/A,FALSE,"GsAdm.Centr";#N/A,#N/A,FALSE,"Dir.Gral";#N/A,#N/A,FALSE,"AdmyFzas";#N/A,#N/A,FALSE,"Sistemas";#N/A,#N/A,FALSE,"RRHH"}</definedName>
    <definedName name="uog" hidden="1">{#N/A,#N/A,FALSE,"CARATULA GENERAL";#N/A,#N/A,FALSE,"GSxDIRECCION";#N/A,#N/A,FALSE,"Caratula";#N/A,#N/A,FALSE,"GSxCTRO";#N/A,#N/A,FALSE,"GsAdm.Centr";#N/A,#N/A,FALSE,"Dir.Gral";#N/A,#N/A,FALSE,"AdmyFzas";#N/A,#N/A,FALSE,"Sistemas";#N/A,#N/A,FALSE,"RRHH"}</definedName>
    <definedName name="uq" localSheetId="3" hidden="1">{"detail",#N/A,FALSE,"mfg";"summary",#N/A,FALSE,"mfg"}</definedName>
    <definedName name="uq" localSheetId="7" hidden="1">{"detail",#N/A,FALSE,"mfg";"summary",#N/A,FALSE,"mfg"}</definedName>
    <definedName name="uq" hidden="1">{"detail",#N/A,FALSE,"mfg";"summary",#N/A,FALSE,"mfg"}</definedName>
    <definedName name="ut" localSheetId="3" hidden="1">{#N/A,"PURCHM",FALSE,"Business Analysis";#N/A,"SPADD",FALSE,"Business Analysis"}</definedName>
    <definedName name="ut" localSheetId="7" hidden="1">{#N/A,"PURCHM",FALSE,"Business Analysis";#N/A,"SPADD",FALSE,"Business Analysis"}</definedName>
    <definedName name="ut" hidden="1">{#N/A,"PURCHM",FALSE,"Business Analysis";#N/A,"SPADD",FALSE,"Business Analysis"}</definedName>
    <definedName name="uu.kk" localSheetId="3" hidden="1">{#N/A,#N/A,FALSE,"KA CH  (2)"}</definedName>
    <definedName name="uu.kk" localSheetId="7" hidden="1">{#N/A,#N/A,FALSE,"KA CH  (2)"}</definedName>
    <definedName name="uu.kk" hidden="1">{#N/A,#N/A,FALSE,"KA CH  (2)"}</definedName>
    <definedName name="üü.l" localSheetId="3" hidden="1">{#N/A,#N/A,FALSE,"Umsatz EO BP";#N/A,#N/A,FALSE,"Umsatz EO OP";#N/A,#N/A,FALSE,"ER EO BP";#N/A,#N/A,FALSE,"ER EO OP";#N/A,#N/A,FALSE,"EA EO (2)";#N/A,#N/A,FALSE,"EA EO";#N/A,#N/A,FALSE,"EA EO (3)";#N/A,#N/A,FALSE,"EA EO (4)";#N/A,#N/A,FALSE,"KA EO  (2)";#N/A,#N/A,FALSE,"KA EO";#N/A,#N/A,FALSE,"KA EO  (3)";#N/A,#N/A,FALSE,"KA EO (4)"}</definedName>
    <definedName name="üü.l" localSheetId="7" hidden="1">{#N/A,#N/A,FALSE,"Umsatz EO BP";#N/A,#N/A,FALSE,"Umsatz EO OP";#N/A,#N/A,FALSE,"ER EO BP";#N/A,#N/A,FALSE,"ER EO OP";#N/A,#N/A,FALSE,"EA EO (2)";#N/A,#N/A,FALSE,"EA EO";#N/A,#N/A,FALSE,"EA EO (3)";#N/A,#N/A,FALSE,"EA EO (4)";#N/A,#N/A,FALSE,"KA EO  (2)";#N/A,#N/A,FALSE,"KA EO";#N/A,#N/A,FALSE,"KA EO  (3)";#N/A,#N/A,FALSE,"KA EO (4)"}</definedName>
    <definedName name="üü.l" hidden="1">{#N/A,#N/A,FALSE,"Umsatz EO BP";#N/A,#N/A,FALSE,"Umsatz EO OP";#N/A,#N/A,FALSE,"ER EO BP";#N/A,#N/A,FALSE,"ER EO OP";#N/A,#N/A,FALSE,"EA EO (2)";#N/A,#N/A,FALSE,"EA EO";#N/A,#N/A,FALSE,"EA EO (3)";#N/A,#N/A,FALSE,"EA EO (4)";#N/A,#N/A,FALSE,"KA EO  (2)";#N/A,#N/A,FALSE,"KA EO";#N/A,#N/A,FALSE,"KA EO  (3)";#N/A,#N/A,FALSE,"KA EO (4)"}</definedName>
    <definedName name="uuu" hidden="1">#REF!</definedName>
    <definedName name="üüü" localSheetId="3" hidden="1">{#N/A,#N/A,FALSE,"Umsatz HM";#N/A,#N/A,FALSE,"ER HM";#N/A,#N/A,FALSE,"EA HM  (2)";#N/A,#N/A,FALSE,"EA HM ";#N/A,#N/A,FALSE,"EA HM  (4)";#N/A,#N/A,FALSE,"EA HM  (3)";#N/A,#N/A,FALSE,"KA HM  (2)";#N/A,#N/A,FALSE,"KA HM";#N/A,#N/A,FALSE,"KA HM  (3)";#N/A,#N/A,FALSE,"KA HM (4)"}</definedName>
    <definedName name="üüü" localSheetId="7" hidden="1">{#N/A,#N/A,FALSE,"Umsatz HM";#N/A,#N/A,FALSE,"ER HM";#N/A,#N/A,FALSE,"EA HM  (2)";#N/A,#N/A,FALSE,"EA HM ";#N/A,#N/A,FALSE,"EA HM  (4)";#N/A,#N/A,FALSE,"EA HM  (3)";#N/A,#N/A,FALSE,"KA HM  (2)";#N/A,#N/A,FALSE,"KA HM";#N/A,#N/A,FALSE,"KA HM  (3)";#N/A,#N/A,FALSE,"KA HM (4)"}</definedName>
    <definedName name="üüü" hidden="1">{#N/A,#N/A,FALSE,"Umsatz HM";#N/A,#N/A,FALSE,"ER HM";#N/A,#N/A,FALSE,"EA HM  (2)";#N/A,#N/A,FALSE,"EA HM ";#N/A,#N/A,FALSE,"EA HM  (4)";#N/A,#N/A,FALSE,"EA HM  (3)";#N/A,#N/A,FALSE,"KA HM  (2)";#N/A,#N/A,FALSE,"KA HM";#N/A,#N/A,FALSE,"KA HM  (3)";#N/A,#N/A,FALSE,"KA HM (4)"}</definedName>
    <definedName name="üüüü" localSheetId="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üüüü"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üüüü"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UY" localSheetId="3" hidden="1">{#N/A,#N/A,FALSE,"Pag.01"}</definedName>
    <definedName name="UY" localSheetId="7" hidden="1">{#N/A,#N/A,FALSE,"Pag.01"}</definedName>
    <definedName name="UY" hidden="1">{#N/A,#N/A,FALSE,"Pag.01"}</definedName>
    <definedName name="uyt" localSheetId="3" hidden="1">{#N/A,"PURADD",FALSE,"Business Analysis";#N/A,"PURSPP",FALSE,"Business Analysis";#N/A,"CTGIND",FALSE,"Business Analysis";#N/A,"PURCHM",FALSE,"Business Analysis";#N/A,"SPADD",FALSE,"Business Analysis";#N/A,"EPOXY",FALSE,"Business Analysis";#N/A,"PURPER",FALSE,"Business Analysis"}</definedName>
    <definedName name="uyt" localSheetId="7" hidden="1">{#N/A,"PURADD",FALSE,"Business Analysis";#N/A,"PURSPP",FALSE,"Business Analysis";#N/A,"CTGIND",FALSE,"Business Analysis";#N/A,"PURCHM",FALSE,"Business Analysis";#N/A,"SPADD",FALSE,"Business Analysis";#N/A,"EPOXY",FALSE,"Business Analysis";#N/A,"PURPER",FALSE,"Business Analysis"}</definedName>
    <definedName name="uyt" hidden="1">{#N/A,"PURADD",FALSE,"Business Analysis";#N/A,"PURSPP",FALSE,"Business Analysis";#N/A,"CTGIND",FALSE,"Business Analysis";#N/A,"PURCHM",FALSE,"Business Analysis";#N/A,"SPADD",FALSE,"Business Analysis";#N/A,"EPOXY",FALSE,"Business Analysis";#N/A,"PURPER",FALSE,"Business Analysis"}</definedName>
    <definedName name="uytr" localSheetId="3" hidden="1">{#N/A,"PURCHM",FALSE,"Business Analysis";#N/A,"SPADD",FALSE,"Business Analysis"}</definedName>
    <definedName name="uytr" localSheetId="7" hidden="1">{#N/A,"PURCHM",FALSE,"Business Analysis";#N/A,"SPADD",FALSE,"Business Analysis"}</definedName>
    <definedName name="uytr" hidden="1">{#N/A,"PURCHM",FALSE,"Business Analysis";#N/A,"SPADD",FALSE,"Business Analysis"}</definedName>
    <definedName name="uztuz" localSheetId="3" hidden="1">{#N/A,#N/A,FALSE,"Umsatz OK";#N/A,#N/A,FALSE,"ER OK ";#N/A,#N/A,FALSE,"EA OK (2)";#N/A,#N/A,FALSE,"EA OK";#N/A,#N/A,FALSE,"EA OK (3)";#N/A,#N/A,FALSE,"EA OK (4)";#N/A,#N/A,FALSE,"KA OK  (2)";#N/A,#N/A,FALSE,"KA OK";#N/A,#N/A,FALSE,"KA OK  (3)";#N/A,#N/A,FALSE,"KA OK (4)"}</definedName>
    <definedName name="uztuz" localSheetId="7" hidden="1">{#N/A,#N/A,FALSE,"Umsatz OK";#N/A,#N/A,FALSE,"ER OK ";#N/A,#N/A,FALSE,"EA OK (2)";#N/A,#N/A,FALSE,"EA OK";#N/A,#N/A,FALSE,"EA OK (3)";#N/A,#N/A,FALSE,"EA OK (4)";#N/A,#N/A,FALSE,"KA OK  (2)";#N/A,#N/A,FALSE,"KA OK";#N/A,#N/A,FALSE,"KA OK  (3)";#N/A,#N/A,FALSE,"KA OK (4)"}</definedName>
    <definedName name="uztuz" hidden="1">{#N/A,#N/A,FALSE,"Umsatz OK";#N/A,#N/A,FALSE,"ER OK ";#N/A,#N/A,FALSE,"EA OK (2)";#N/A,#N/A,FALSE,"EA OK";#N/A,#N/A,FALSE,"EA OK (3)";#N/A,#N/A,FALSE,"EA OK (4)";#N/A,#N/A,FALSE,"KA OK  (2)";#N/A,#N/A,FALSE,"KA OK";#N/A,#N/A,FALSE,"KA OK  (3)";#N/A,#N/A,FALSE,"KA OK (4)"}</definedName>
    <definedName name="uzuztt" localSheetId="3" hidden="1">{#N/A,#N/A,FALSE,"Umsatz HM";#N/A,#N/A,FALSE,"ER HM";#N/A,#N/A,FALSE,"EA HM  (2)";#N/A,#N/A,FALSE,"EA HM ";#N/A,#N/A,FALSE,"EA HM  (4)";#N/A,#N/A,FALSE,"EA HM  (3)";#N/A,#N/A,FALSE,"KA HM  (2)";#N/A,#N/A,FALSE,"KA HM";#N/A,#N/A,FALSE,"KA HM  (3)";#N/A,#N/A,FALSE,"KA HM (4)"}</definedName>
    <definedName name="uzuztt" localSheetId="7" hidden="1">{#N/A,#N/A,FALSE,"Umsatz HM";#N/A,#N/A,FALSE,"ER HM";#N/A,#N/A,FALSE,"EA HM  (2)";#N/A,#N/A,FALSE,"EA HM ";#N/A,#N/A,FALSE,"EA HM  (4)";#N/A,#N/A,FALSE,"EA HM  (3)";#N/A,#N/A,FALSE,"KA HM  (2)";#N/A,#N/A,FALSE,"KA HM";#N/A,#N/A,FALSE,"KA HM  (3)";#N/A,#N/A,FALSE,"KA HM (4)"}</definedName>
    <definedName name="uzuztt" hidden="1">{#N/A,#N/A,FALSE,"Umsatz HM";#N/A,#N/A,FALSE,"ER HM";#N/A,#N/A,FALSE,"EA HM  (2)";#N/A,#N/A,FALSE,"EA HM ";#N/A,#N/A,FALSE,"EA HM  (4)";#N/A,#N/A,FALSE,"EA HM  (3)";#N/A,#N/A,FALSE,"KA HM  (2)";#N/A,#N/A,FALSE,"KA HM";#N/A,#N/A,FALSE,"KA HM  (3)";#N/A,#N/A,FALSE,"KA HM (4)"}</definedName>
    <definedName name="v" localSheetId="0" hidden="1">#REF!</definedName>
    <definedName name="v" localSheetId="3" hidden="1">#REF!</definedName>
    <definedName name="v" localSheetId="7" hidden="1">{#N/A,#N/A,FALSE,"Output";#N/A,#N/A,FALSE,"Cover Sheet";#N/A,#N/A,FALSE,"Current Mkt. Projections"}</definedName>
    <definedName name="v" hidden="1">{#N/A,#N/A,FALSE,"Output";#N/A,#N/A,FALSE,"Cover Sheet";#N/A,#N/A,FALSE,"Current Mkt. Projections"}</definedName>
    <definedName name="v.1" localSheetId="3" hidden="1">{#N/A,#N/A,FALSE,"Umsatz HM";#N/A,#N/A,FALSE,"ER HM";#N/A,#N/A,FALSE,"EA HM  (2)";#N/A,#N/A,FALSE,"EA HM ";#N/A,#N/A,FALSE,"EA HM  (4)";#N/A,#N/A,FALSE,"EA HM  (3)";#N/A,#N/A,FALSE,"KA HM  (2)";#N/A,#N/A,FALSE,"KA HM";#N/A,#N/A,FALSE,"KA HM  (3)";#N/A,#N/A,FALSE,"KA HM (4)"}</definedName>
    <definedName name="v.1" localSheetId="7" hidden="1">{#N/A,#N/A,FALSE,"Umsatz HM";#N/A,#N/A,FALSE,"ER HM";#N/A,#N/A,FALSE,"EA HM  (2)";#N/A,#N/A,FALSE,"EA HM ";#N/A,#N/A,FALSE,"EA HM  (4)";#N/A,#N/A,FALSE,"EA HM  (3)";#N/A,#N/A,FALSE,"KA HM  (2)";#N/A,#N/A,FALSE,"KA HM";#N/A,#N/A,FALSE,"KA HM  (3)";#N/A,#N/A,FALSE,"KA HM (4)"}</definedName>
    <definedName name="v.1" hidden="1">{#N/A,#N/A,FALSE,"Umsatz HM";#N/A,#N/A,FALSE,"ER HM";#N/A,#N/A,FALSE,"EA HM  (2)";#N/A,#N/A,FALSE,"EA HM ";#N/A,#N/A,FALSE,"EA HM  (4)";#N/A,#N/A,FALSE,"EA HM  (3)";#N/A,#N/A,FALSE,"KA HM  (2)";#N/A,#N/A,FALSE,"KA HM";#N/A,#N/A,FALSE,"KA HM  (3)";#N/A,#N/A,FALSE,"KA HM (4)"}</definedName>
    <definedName name="v.10" localSheetId="3" hidden="1">{#N/A,#N/A,FALSE,"Produkte Erw.";#N/A,#N/A,FALSE,"Produkte Plan";#N/A,#N/A,FALSE,"Leistungen Erw.";#N/A,#N/A,FALSE,"Leistungen Plan";#N/A,#N/A,FALSE,"KA Allg.Kosten (2)";#N/A,#N/A,FALSE,"KA All.Kosten"}</definedName>
    <definedName name="v.10" localSheetId="7" hidden="1">{#N/A,#N/A,FALSE,"Produkte Erw.";#N/A,#N/A,FALSE,"Produkte Plan";#N/A,#N/A,FALSE,"Leistungen Erw.";#N/A,#N/A,FALSE,"Leistungen Plan";#N/A,#N/A,FALSE,"KA Allg.Kosten (2)";#N/A,#N/A,FALSE,"KA All.Kosten"}</definedName>
    <definedName name="v.10" hidden="1">{#N/A,#N/A,FALSE,"Produkte Erw.";#N/A,#N/A,FALSE,"Produkte Plan";#N/A,#N/A,FALSE,"Leistungen Erw.";#N/A,#N/A,FALSE,"Leistungen Plan";#N/A,#N/A,FALSE,"KA Allg.Kosten (2)";#N/A,#N/A,FALSE,"KA All.Kosten"}</definedName>
    <definedName name="V.2" localSheetId="3" hidden="1">{#N/A,#N/A,FALSE,"Produkte Erw.";#N/A,#N/A,FALSE,"Produkte Plan";#N/A,#N/A,FALSE,"Leistungen Erw.";#N/A,#N/A,FALSE,"Leistungen Plan";#N/A,#N/A,FALSE,"KA Allg.Kosten (2)";#N/A,#N/A,FALSE,"KA All.Kosten"}</definedName>
    <definedName name="V.2" localSheetId="7" hidden="1">{#N/A,#N/A,FALSE,"Produkte Erw.";#N/A,#N/A,FALSE,"Produkte Plan";#N/A,#N/A,FALSE,"Leistungen Erw.";#N/A,#N/A,FALSE,"Leistungen Plan";#N/A,#N/A,FALSE,"KA Allg.Kosten (2)";#N/A,#N/A,FALSE,"KA All.Kosten"}</definedName>
    <definedName name="V.2" hidden="1">{#N/A,#N/A,FALSE,"Produkte Erw.";#N/A,#N/A,FALSE,"Produkte Plan";#N/A,#N/A,FALSE,"Leistungen Erw.";#N/A,#N/A,FALSE,"Leistungen Plan";#N/A,#N/A,FALSE,"KA Allg.Kosten (2)";#N/A,#N/A,FALSE,"KA All.Kosten"}</definedName>
    <definedName name="V.3" localSheetId="3" hidden="1">{#N/A,#N/A,FALSE,"Produkte Erw.";#N/A,#N/A,FALSE,"Produkte Plan";#N/A,#N/A,FALSE,"Leistungen Erw.";#N/A,#N/A,FALSE,"Leistungen Plan";#N/A,#N/A,FALSE,"KA Allg.Kosten (2)";#N/A,#N/A,FALSE,"KA All.Kosten"}</definedName>
    <definedName name="V.3" localSheetId="7" hidden="1">{#N/A,#N/A,FALSE,"Produkte Erw.";#N/A,#N/A,FALSE,"Produkte Plan";#N/A,#N/A,FALSE,"Leistungen Erw.";#N/A,#N/A,FALSE,"Leistungen Plan";#N/A,#N/A,FALSE,"KA Allg.Kosten (2)";#N/A,#N/A,FALSE,"KA All.Kosten"}</definedName>
    <definedName name="V.3" hidden="1">{#N/A,#N/A,FALSE,"Produkte Erw.";#N/A,#N/A,FALSE,"Produkte Plan";#N/A,#N/A,FALSE,"Leistungen Erw.";#N/A,#N/A,FALSE,"Leistungen Plan";#N/A,#N/A,FALSE,"KA Allg.Kosten (2)";#N/A,#N/A,FALSE,"KA All.Kosten"}</definedName>
    <definedName name="v.6" localSheetId="3" hidden="1">{#N/A,#N/A,FALSE,"Umsatz CH";#N/A,#N/A,FALSE,"ER CH";#N/A,#N/A,FALSE,"EA CH (2) ";#N/A,#N/A,FALSE,"EA CH";#N/A,#N/A,FALSE,"EA CH (3) ";#N/A,#N/A,FALSE,"EA CH (4)";#N/A,#N/A,FALSE,"KA CH";#N/A,#N/A,FALSE,"KA CH  (2)";#N/A,#N/A,FALSE,"KA CH  (3)";#N/A,#N/A,FALSE,"KA CH (4)"}</definedName>
    <definedName name="v.6" localSheetId="7" hidden="1">{#N/A,#N/A,FALSE,"Umsatz CH";#N/A,#N/A,FALSE,"ER CH";#N/A,#N/A,FALSE,"EA CH (2) ";#N/A,#N/A,FALSE,"EA CH";#N/A,#N/A,FALSE,"EA CH (3) ";#N/A,#N/A,FALSE,"EA CH (4)";#N/A,#N/A,FALSE,"KA CH";#N/A,#N/A,FALSE,"KA CH  (2)";#N/A,#N/A,FALSE,"KA CH  (3)";#N/A,#N/A,FALSE,"KA CH (4)"}</definedName>
    <definedName name="v.6" hidden="1">{#N/A,#N/A,FALSE,"Umsatz CH";#N/A,#N/A,FALSE,"ER CH";#N/A,#N/A,FALSE,"EA CH (2) ";#N/A,#N/A,FALSE,"EA CH";#N/A,#N/A,FALSE,"EA CH (3) ";#N/A,#N/A,FALSE,"EA CH (4)";#N/A,#N/A,FALSE,"KA CH";#N/A,#N/A,FALSE,"KA CH  (2)";#N/A,#N/A,FALSE,"KA CH  (3)";#N/A,#N/A,FALSE,"KA CH (4)"}</definedName>
    <definedName name="v.7" localSheetId="3" hidden="1">{#N/A,#N/A,FALSE,"Umsatz CH";#N/A,#N/A,FALSE,"ER CH";#N/A,#N/A,FALSE,"EA CH (2) ";#N/A,#N/A,FALSE,"EA CH";#N/A,#N/A,FALSE,"EA CH (3) ";#N/A,#N/A,FALSE,"EA CH (4)";#N/A,#N/A,FALSE,"KA CH";#N/A,#N/A,FALSE,"KA CH  (2)";#N/A,#N/A,FALSE,"KA CH  (3)";#N/A,#N/A,FALSE,"KA CH (4)"}</definedName>
    <definedName name="v.7" localSheetId="7" hidden="1">{#N/A,#N/A,FALSE,"Umsatz CH";#N/A,#N/A,FALSE,"ER CH";#N/A,#N/A,FALSE,"EA CH (2) ";#N/A,#N/A,FALSE,"EA CH";#N/A,#N/A,FALSE,"EA CH (3) ";#N/A,#N/A,FALSE,"EA CH (4)";#N/A,#N/A,FALSE,"KA CH";#N/A,#N/A,FALSE,"KA CH  (2)";#N/A,#N/A,FALSE,"KA CH  (3)";#N/A,#N/A,FALSE,"KA CH (4)"}</definedName>
    <definedName name="v.7" hidden="1">{#N/A,#N/A,FALSE,"Umsatz CH";#N/A,#N/A,FALSE,"ER CH";#N/A,#N/A,FALSE,"EA CH (2) ";#N/A,#N/A,FALSE,"EA CH";#N/A,#N/A,FALSE,"EA CH (3) ";#N/A,#N/A,FALSE,"EA CH (4)";#N/A,#N/A,FALSE,"KA CH";#N/A,#N/A,FALSE,"KA CH  (2)";#N/A,#N/A,FALSE,"KA CH  (3)";#N/A,#N/A,FALSE,"KA CH (4)"}</definedName>
    <definedName name="v.8" localSheetId="3" hidden="1">{#N/A,#N/A,FALSE,"Produkte Erw.";#N/A,#N/A,FALSE,"Produkte Plan";#N/A,#N/A,FALSE,"Leistungen Erw.";#N/A,#N/A,FALSE,"Leistungen Plan";#N/A,#N/A,FALSE,"KA Allg.Kosten (2)";#N/A,#N/A,FALSE,"KA All.Kosten"}</definedName>
    <definedName name="v.8" localSheetId="7" hidden="1">{#N/A,#N/A,FALSE,"Produkte Erw.";#N/A,#N/A,FALSE,"Produkte Plan";#N/A,#N/A,FALSE,"Leistungen Erw.";#N/A,#N/A,FALSE,"Leistungen Plan";#N/A,#N/A,FALSE,"KA Allg.Kosten (2)";#N/A,#N/A,FALSE,"KA All.Kosten"}</definedName>
    <definedName name="v.8" hidden="1">{#N/A,#N/A,FALSE,"Produkte Erw.";#N/A,#N/A,FALSE,"Produkte Plan";#N/A,#N/A,FALSE,"Leistungen Erw.";#N/A,#N/A,FALSE,"Leistungen Plan";#N/A,#N/A,FALSE,"KA Allg.Kosten (2)";#N/A,#N/A,FALSE,"KA All.Kosten"}</definedName>
    <definedName name="Vail" localSheetId="3" hidden="1">{"PVGraph2",#N/A,FALSE,"PV Data"}</definedName>
    <definedName name="Vail" localSheetId="7" hidden="1">{"PVGraph2",#N/A,FALSE,"PV Data"}</definedName>
    <definedName name="Vail" hidden="1">{"PVGraph2",#N/A,FALSE,"PV Data"}</definedName>
    <definedName name="vall" localSheetId="3" hidden="1">{"defnitiva1",#N/A,FALSE,"RESUMO DA DÍVIDA";"defitiva2",#N/A,FALSE,"RESUMO DA DÍVIDA";"defitiva3",#N/A,FALSE,"RESUMO DA DÍVIDA"}</definedName>
    <definedName name="vall" localSheetId="7" hidden="1">{"defnitiva1",#N/A,FALSE,"RESUMO DA DÍVIDA";"defitiva2",#N/A,FALSE,"RESUMO DA DÍVIDA";"defitiva3",#N/A,FALSE,"RESUMO DA DÍVIDA"}</definedName>
    <definedName name="vall" hidden="1">{"defnitiva1",#N/A,FALSE,"RESUMO DA DÍVIDA";"defitiva2",#N/A,FALSE,"RESUMO DA DÍVIDA";"defitiva3",#N/A,FALSE,"RESUMO DA DÍVIDA"}</definedName>
    <definedName name="VB" localSheetId="3" hidden="1">Main.SAPF4Help()</definedName>
    <definedName name="VB" localSheetId="7" hidden="1">Main.SAPF4Help()</definedName>
    <definedName name="VB" hidden="1">Main.SAPF4Help()</definedName>
    <definedName name="vbhj" localSheetId="3" hidden="1">{#N/A,"PURCHM",FALSE,"Business Analysis";#N/A,"SPADD",FALSE,"Business Analysis"}</definedName>
    <definedName name="vbhj" localSheetId="7" hidden="1">{#N/A,"PURCHM",FALSE,"Business Analysis";#N/A,"SPADD",FALSE,"Business Analysis"}</definedName>
    <definedName name="vbhj" hidden="1">{#N/A,"PURCHM",FALSE,"Business Analysis";#N/A,"SPADD",FALSE,"Business Analysis"}</definedName>
    <definedName name="vbnm" localSheetId="3" hidden="1">{"net assets",#N/A,FALSE,"summary";"asset turnover",#N/A,FALSE,"summary";"orona",#N/A,FALSE,"summary"}</definedName>
    <definedName name="vbnm" localSheetId="7" hidden="1">{"net assets",#N/A,FALSE,"summary";"asset turnover",#N/A,FALSE,"summary";"orona",#N/A,FALSE,"summary"}</definedName>
    <definedName name="vbnm" hidden="1">{"net assets",#N/A,FALSE,"summary";"asset turnover",#N/A,FALSE,"summary";"orona",#N/A,FALSE,"summary"}</definedName>
    <definedName name="VBV" localSheetId="3" hidden="1">Main.SAPF4Help()</definedName>
    <definedName name="VBV" localSheetId="7" hidden="1">Main.SAPF4Help()</definedName>
    <definedName name="VBV" hidden="1">Main.SAPF4Help()</definedName>
    <definedName name="VBVB" localSheetId="3" hidden="1">Main.SAPF4Help()</definedName>
    <definedName name="VBVB" localSheetId="7" hidden="1">Main.SAPF4Help()</definedName>
    <definedName name="VBVB" hidden="1">Main.SAPF4Help()</definedName>
    <definedName name="vbvbvbv" localSheetId="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bvbvbv"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bvbvbv"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cfd" localSheetId="3"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fd" localSheetId="7"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fd"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vc" localSheetId="3" hidden="1">{"Polymers Details",#N/A,FALSE,"Current Yr";"Polymer Details",#N/A,FALSE,"Budget";"Polymer Details",#N/A,FALSE,"Prior Year"}</definedName>
    <definedName name="vcvc" localSheetId="7" hidden="1">{"Polymers Details",#N/A,FALSE,"Current Yr";"Polymer Details",#N/A,FALSE,"Budget";"Polymer Details",#N/A,FALSE,"Prior Year"}</definedName>
    <definedName name="vcvc" hidden="1">{"Polymers Details",#N/A,FALSE,"Current Yr";"Polymer Details",#N/A,FALSE,"Budget";"Polymer Details",#N/A,FALSE,"Prior Year"}</definedName>
    <definedName name="vcvcv" localSheetId="3" hidden="1">{#N/A,#N/A,FALSE,"Umsatz EO BP";#N/A,#N/A,FALSE,"Umsatz EO OP";#N/A,#N/A,FALSE,"ER EO BP";#N/A,#N/A,FALSE,"ER EO OP";#N/A,#N/A,FALSE,"EA EO (2)";#N/A,#N/A,FALSE,"EA EO";#N/A,#N/A,FALSE,"EA EO (3)";#N/A,#N/A,FALSE,"EA EO (4)";#N/A,#N/A,FALSE,"KA EO  (2)";#N/A,#N/A,FALSE,"KA EO";#N/A,#N/A,FALSE,"KA EO  (3)";#N/A,#N/A,FALSE,"KA EO (4)"}</definedName>
    <definedName name="vcvcv" localSheetId="7" hidden="1">{#N/A,#N/A,FALSE,"Umsatz EO BP";#N/A,#N/A,FALSE,"Umsatz EO OP";#N/A,#N/A,FALSE,"ER EO BP";#N/A,#N/A,FALSE,"ER EO OP";#N/A,#N/A,FALSE,"EA EO (2)";#N/A,#N/A,FALSE,"EA EO";#N/A,#N/A,FALSE,"EA EO (3)";#N/A,#N/A,FALSE,"EA EO (4)";#N/A,#N/A,FALSE,"KA EO  (2)";#N/A,#N/A,FALSE,"KA EO";#N/A,#N/A,FALSE,"KA EO  (3)";#N/A,#N/A,FALSE,"KA EO (4)"}</definedName>
    <definedName name="vcvcv" hidden="1">{#N/A,#N/A,FALSE,"Umsatz EO BP";#N/A,#N/A,FALSE,"Umsatz EO OP";#N/A,#N/A,FALSE,"ER EO BP";#N/A,#N/A,FALSE,"ER EO OP";#N/A,#N/A,FALSE,"EA EO (2)";#N/A,#N/A,FALSE,"EA EO";#N/A,#N/A,FALSE,"EA EO (3)";#N/A,#N/A,FALSE,"EA EO (4)";#N/A,#N/A,FALSE,"KA EO  (2)";#N/A,#N/A,FALSE,"KA EO";#N/A,#N/A,FALSE,"KA EO  (3)";#N/A,#N/A,FALSE,"KA EO (4)"}</definedName>
    <definedName name="vcx" localSheetId="3" hidden="1">{"YD PACKAGE",#N/A,FALSE,"YTD"}</definedName>
    <definedName name="vcx" localSheetId="7" hidden="1">{"YD PACKAGE",#N/A,FALSE,"YTD"}</definedName>
    <definedName name="vcx" hidden="1">{"YD PACKAGE",#N/A,FALSE,"YTD"}</definedName>
    <definedName name="vcxz" localSheetId="3"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cxz"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cxz"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davdvfsvfaerbrqewb" localSheetId="3" hidden="1">{"fdsup://directions/FAT Viewer?action=UPDATE&amp;creator=factset&amp;DYN_ARGS=TRUE&amp;DOC_NAME=FAT:FQL_AUDITING_CLIENT_TEMPLATE.FAT&amp;display_string=Audit&amp;VAR:KEY=KVWJIXKPUX&amp;VAR:QUERY=UkdGX1RBWF9SQVRFKEFOTiwwLCwsLCwsTk9BVURJVCk=&amp;WINDOW=FIRST_POPUP&amp;HEIGHT=450&amp;WIDTH=450&amp;","START_MAXIMIZED=FALSE&amp;VAR:CALENDAR=US&amp;VAR:SYMBOL=GOOG&amp;VAR:INDEX=0"}</definedName>
    <definedName name="vdavdvfsvfaerbrqewb" localSheetId="7" hidden="1">{"fdsup://directions/FAT Viewer?action=UPDATE&amp;creator=factset&amp;DYN_ARGS=TRUE&amp;DOC_NAME=FAT:FQL_AUDITING_CLIENT_TEMPLATE.FAT&amp;display_string=Audit&amp;VAR:KEY=KVWJIXKPUX&amp;VAR:QUERY=UkdGX1RBWF9SQVRFKEFOTiwwLCwsLCwsTk9BVURJVCk=&amp;WINDOW=FIRST_POPUP&amp;HEIGHT=450&amp;WIDTH=450&amp;","START_MAXIMIZED=FALSE&amp;VAR:CALENDAR=US&amp;VAR:SYMBOL=GOOG&amp;VAR:INDEX=0"}</definedName>
    <definedName name="vdavdvfsvfaerbrqewb" hidden="1">{"fdsup://directions/FAT Viewer?action=UPDATE&amp;creator=factset&amp;DYN_ARGS=TRUE&amp;DOC_NAME=FAT:FQL_AUDITING_CLIENT_TEMPLATE.FAT&amp;display_string=Audit&amp;VAR:KEY=KVWJIXKPUX&amp;VAR:QUERY=UkdGX1RBWF9SQVRFKEFOTiwwLCwsLCwsTk9BVURJVCk=&amp;WINDOW=FIRST_POPUP&amp;HEIGHT=450&amp;WIDTH=450&amp;","START_MAXIMIZED=FALSE&amp;VAR:CALENDAR=US&amp;VAR:SYMBOL=GOOG&amp;VAR:INDEX=0"}</definedName>
    <definedName name="vf" localSheetId="3" hidden="1">{#N/A,"PURADD",FALSE,"Business Analysis";#N/A,"PURSPP",FALSE,"Business Analysis";#N/A,"CTGIND",FALSE,"Business Analysis";#N/A,"PURCHM",FALSE,"Business Analysis";#N/A,"SPADD",FALSE,"Business Analysis";#N/A,"EPOXY",FALSE,"Business Analysis";#N/A,"PURPER",FALSE,"Business Analysis"}</definedName>
    <definedName name="vf" localSheetId="7" hidden="1">{#N/A,"PURADD",FALSE,"Business Analysis";#N/A,"PURSPP",FALSE,"Business Analysis";#N/A,"CTGIND",FALSE,"Business Analysis";#N/A,"PURCHM",FALSE,"Business Analysis";#N/A,"SPADD",FALSE,"Business Analysis";#N/A,"EPOXY",FALSE,"Business Analysis";#N/A,"PURPER",FALSE,"Business Analysis"}</definedName>
    <definedName name="vf" hidden="1">{#N/A,"PURADD",FALSE,"Business Analysis";#N/A,"PURSPP",FALSE,"Business Analysis";#N/A,"CTGIND",FALSE,"Business Analysis";#N/A,"PURCHM",FALSE,"Business Analysis";#N/A,"SPADD",FALSE,"Business Analysis";#N/A,"EPOXY",FALSE,"Business Analysis";#N/A,"PURPER",FALSE,"Business Analysis"}</definedName>
    <definedName name="vfcd" localSheetId="3" hidden="1">{"QTD",#N/A,FALSE,"SUM"}</definedName>
    <definedName name="vfcd" localSheetId="7" hidden="1">{"QTD",#N/A,FALSE,"SUM"}</definedName>
    <definedName name="vfcd" hidden="1">{"QTD",#N/A,FALSE,"SUM"}</definedName>
    <definedName name="vfhy" localSheetId="3" hidden="1">{"GENERALH2",#N/A,FALSE,"CM"}</definedName>
    <definedName name="vfhy" localSheetId="7" hidden="1">{"GENERALH2",#N/A,FALSE,"CM"}</definedName>
    <definedName name="vfhy" hidden="1">{"GENERALH2",#N/A,FALSE,"CM"}</definedName>
    <definedName name="vgf" localSheetId="3" hidden="1">{"GENERALH2",#N/A,FALSE,"CM"}</definedName>
    <definedName name="vgf" localSheetId="7" hidden="1">{"GENERALH2",#N/A,FALSE,"CM"}</definedName>
    <definedName name="vgf" hidden="1">{"GENERALH2",#N/A,FALSE,"CM"}</definedName>
    <definedName name="vn.2" localSheetId="3" hidden="1">{#N/A,#N/A,FALSE,"KA CH  (2)"}</definedName>
    <definedName name="vn.2" localSheetId="7" hidden="1">{#N/A,#N/A,FALSE,"KA CH  (2)"}</definedName>
    <definedName name="vn.2" hidden="1">{#N/A,#N/A,FALSE,"KA CH  (2)"}</definedName>
    <definedName name="vn.9" localSheetId="3" hidden="1">{#N/A,#N/A,FALSE,"Umsatz CH";#N/A,#N/A,FALSE,"ER CH";#N/A,#N/A,FALSE,"EA CH (2) ";#N/A,#N/A,FALSE,"EA CH";#N/A,#N/A,FALSE,"EA CH (3) ";#N/A,#N/A,FALSE,"EA CH (4)";#N/A,#N/A,FALSE,"KA CH";#N/A,#N/A,FALSE,"KA CH  (2)";#N/A,#N/A,FALSE,"KA CH  (3)";#N/A,#N/A,FALSE,"KA CH (4)"}</definedName>
    <definedName name="vn.9" localSheetId="7" hidden="1">{#N/A,#N/A,FALSE,"Umsatz CH";#N/A,#N/A,FALSE,"ER CH";#N/A,#N/A,FALSE,"EA CH (2) ";#N/A,#N/A,FALSE,"EA CH";#N/A,#N/A,FALSE,"EA CH (3) ";#N/A,#N/A,FALSE,"EA CH (4)";#N/A,#N/A,FALSE,"KA CH";#N/A,#N/A,FALSE,"KA CH  (2)";#N/A,#N/A,FALSE,"KA CH  (3)";#N/A,#N/A,FALSE,"KA CH (4)"}</definedName>
    <definedName name="vn.9" hidden="1">{#N/A,#N/A,FALSE,"Umsatz CH";#N/A,#N/A,FALSE,"ER CH";#N/A,#N/A,FALSE,"EA CH (2) ";#N/A,#N/A,FALSE,"EA CH";#N/A,#N/A,FALSE,"EA CH (3) ";#N/A,#N/A,FALSE,"EA CH (4)";#N/A,#N/A,FALSE,"KA CH";#N/A,#N/A,FALSE,"KA CH  (2)";#N/A,#N/A,FALSE,"KA CH  (3)";#N/A,#N/A,FALSE,"KA CH (4)"}</definedName>
    <definedName name="vv" localSheetId="3" hidden="1">{#N/A,#N/A,FALSE,"IS US";#N/A,#N/A,FALSE,"BS US";#N/A,#N/A,FALSE,"IS LOCAL";#N/A,#N/A,FALSE,"BS INPUT";#N/A,#N/A,FALSE,"EQUITY";#N/A,#N/A,FALSE,"LOCAL ADJ";#N/A,#N/A,FALSE,"GAAP ADJ"}</definedName>
    <definedName name="vv" localSheetId="7" hidden="1">{#N/A,#N/A,FALSE,"IS US";#N/A,#N/A,FALSE,"BS US";#N/A,#N/A,FALSE,"IS LOCAL";#N/A,#N/A,FALSE,"BS INPUT";#N/A,#N/A,FALSE,"EQUITY";#N/A,#N/A,FALSE,"LOCAL ADJ";#N/A,#N/A,FALSE,"GAAP ADJ"}</definedName>
    <definedName name="vv" hidden="1">{#N/A,#N/A,FALSE,"IS US";#N/A,#N/A,FALSE,"BS US";#N/A,#N/A,FALSE,"IS LOCAL";#N/A,#N/A,FALSE,"BS INPUT";#N/A,#N/A,FALSE,"EQUITY";#N/A,#N/A,FALSE,"LOCAL ADJ";#N/A,#N/A,FALSE,"GAAP ADJ"}</definedName>
    <definedName name="vvv" localSheetId="3" hidden="1">{"2004",#N/A,FALSE,"DEFINITIVA CASH";"2005",#N/A,FALSE,"DEFINITIVA CASH";"2006",#N/A,FALSE,"DEFINITIVA CASH"}</definedName>
    <definedName name="vvv" localSheetId="7" hidden="1">{"2004",#N/A,FALSE,"DEFINITIVA CASH";"2005",#N/A,FALSE,"DEFINITIVA CASH";"2006",#N/A,FALSE,"DEFINITIVA CASH"}</definedName>
    <definedName name="vvv" hidden="1">{"2004",#N/A,FALSE,"DEFINITIVA CASH";"2005",#N/A,FALSE,"DEFINITIVA CASH";"2006",#N/A,FALSE,"DEFINITIVA CASH"}</definedName>
    <definedName name="vvvv" localSheetId="3" hidden="1">{"2004",#N/A,FALSE,"DEFINITIVA CASH";"2005",#N/A,FALSE,"DEFINITIVA CASH";"2006",#N/A,FALSE,"DEFINITIVA CASH"}</definedName>
    <definedName name="vvvv" localSheetId="7" hidden="1">{"2004",#N/A,FALSE,"DEFINITIVA CASH";"2005",#N/A,FALSE,"DEFINITIVA CASH";"2006",#N/A,FALSE,"DEFINITIVA CASH"}</definedName>
    <definedName name="vvvv" hidden="1">{"2004",#N/A,FALSE,"DEFINITIVA CASH";"2005",#N/A,FALSE,"DEFINITIVA CASH";"2006",#N/A,FALSE,"DEFINITIVA CASH"}</definedName>
    <definedName name="vvvvvvvvvv" localSheetId="3" hidden="1">{"net assets",#N/A,FALSE,"summary";"asset turnover",#N/A,FALSE,"summary";"orona",#N/A,FALSE,"summary"}</definedName>
    <definedName name="vvvvvvvvvv" localSheetId="7" hidden="1">{"net assets",#N/A,FALSE,"summary";"asset turnover",#N/A,FALSE,"summary";"orona",#N/A,FALSE,"summary"}</definedName>
    <definedName name="vvvvvvvvvv" hidden="1">{"net assets",#N/A,FALSE,"summary";"asset turnover",#N/A,FALSE,"summary";"orona",#N/A,FALSE,"summary"}</definedName>
    <definedName name="vz" localSheetId="3" hidden="1">{"detail",#N/A,FALSE,"mfg";"summary",#N/A,FALSE,"mfg"}</definedName>
    <definedName name="vz" localSheetId="7" hidden="1">{"detail",#N/A,FALSE,"mfg";"summary",#N/A,FALSE,"mfg"}</definedName>
    <definedName name="vz" hidden="1">{"detail",#N/A,FALSE,"mfg";"summary",#N/A,FALSE,"mfg"}</definedName>
    <definedName name="w" localSheetId="3" hidden="1">#REF!</definedName>
    <definedName name="w" hidden="1">#REF!</definedName>
    <definedName name="w.l" localSheetId="3" hidden="1">{#N/A,#N/A,FALSE,"Umsatz HM";#N/A,#N/A,FALSE,"ER HM";#N/A,#N/A,FALSE,"EA HM  (2)";#N/A,#N/A,FALSE,"EA HM ";#N/A,#N/A,FALSE,"EA HM  (4)";#N/A,#N/A,FALSE,"EA HM  (3)";#N/A,#N/A,FALSE,"KA HM  (2)";#N/A,#N/A,FALSE,"KA HM";#N/A,#N/A,FALSE,"KA HM  (3)";#N/A,#N/A,FALSE,"KA HM (4)"}</definedName>
    <definedName name="w.l" localSheetId="7" hidden="1">{#N/A,#N/A,FALSE,"Umsatz HM";#N/A,#N/A,FALSE,"ER HM";#N/A,#N/A,FALSE,"EA HM  (2)";#N/A,#N/A,FALSE,"EA HM ";#N/A,#N/A,FALSE,"EA HM  (4)";#N/A,#N/A,FALSE,"EA HM  (3)";#N/A,#N/A,FALSE,"KA HM  (2)";#N/A,#N/A,FALSE,"KA HM";#N/A,#N/A,FALSE,"KA HM  (3)";#N/A,#N/A,FALSE,"KA HM (4)"}</definedName>
    <definedName name="w.l" hidden="1">{#N/A,#N/A,FALSE,"Umsatz HM";#N/A,#N/A,FALSE,"ER HM";#N/A,#N/A,FALSE,"EA HM  (2)";#N/A,#N/A,FALSE,"EA HM ";#N/A,#N/A,FALSE,"EA HM  (4)";#N/A,#N/A,FALSE,"EA HM  (3)";#N/A,#N/A,FALSE,"KA HM  (2)";#N/A,#N/A,FALSE,"KA HM";#N/A,#N/A,FALSE,"KA HM  (3)";#N/A,#N/A,FALSE,"KA HM (4)"}</definedName>
    <definedName name="w2f" localSheetId="3" hidden="1">{"QTD_LPO2N2",#N/A,FALSE,"QTD";"QTD_HYCO",#N/A,FALSE,"QTD";"QTD_LOUISIANA",#N/A,FALSE,"QTD";"QTD_GENERALH2",#N/A,FALSE,"QTD";"QTD_PACKAGE",#N/A,FALSE,"QTD";"QTD_PRS",#N/A,FALSE,"QTD";"QTD_OTHER",#N/A,FALSE,"QTD"}</definedName>
    <definedName name="w2f" localSheetId="7" hidden="1">{"QTD_LPO2N2",#N/A,FALSE,"QTD";"QTD_HYCO",#N/A,FALSE,"QTD";"QTD_LOUISIANA",#N/A,FALSE,"QTD";"QTD_GENERALH2",#N/A,FALSE,"QTD";"QTD_PACKAGE",#N/A,FALSE,"QTD";"QTD_PRS",#N/A,FALSE,"QTD";"QTD_OTHER",#N/A,FALSE,"QTD"}</definedName>
    <definedName name="w2f" hidden="1">{"QTD_LPO2N2",#N/A,FALSE,"QTD";"QTD_HYCO",#N/A,FALSE,"QTD";"QTD_LOUISIANA",#N/A,FALSE,"QTD";"QTD_GENERALH2",#N/A,FALSE,"QTD";"QTD_PACKAGE",#N/A,FALSE,"QTD";"QTD_PRS",#N/A,FALSE,"QTD";"QTD_OTHER",#N/A,FALSE,"QTD"}</definedName>
    <definedName name="w2r5" localSheetId="3" hidden="1">{"QTD_OTHER",#N/A,FALSE,"QTD"}</definedName>
    <definedName name="w2r5" localSheetId="7" hidden="1">{"QTD_OTHER",#N/A,FALSE,"QTD"}</definedName>
    <definedName name="w2r5" hidden="1">{"QTD_OTHER",#N/A,FALSE,"QTD"}</definedName>
    <definedName name="wa" localSheetId="3" hidden="1">{"apci",#N/A,FALSE,"Chem_CY";"eastman",#N/A,FALSE,"Eastman";"betz",#N/A,FALSE,"Betz";"great lakes",#N/A,FALSE,"Great_Lakes";"hercules",#N/A,FALSE,"Hercules Chem Seg Data";"rohm",#N/A,FALSE,"Rohm";"union carbide",#N/A,FALSE,"Union";"witco",#N/A,FALSE,"Witco"}</definedName>
    <definedName name="wa" localSheetId="7" hidden="1">{"apci",#N/A,FALSE,"Chem_CY";"eastman",#N/A,FALSE,"Eastman";"betz",#N/A,FALSE,"Betz";"great lakes",#N/A,FALSE,"Great_Lakes";"hercules",#N/A,FALSE,"Hercules Chem Seg Data";"rohm",#N/A,FALSE,"Rohm";"union carbide",#N/A,FALSE,"Union";"witco",#N/A,FALSE,"Witco"}</definedName>
    <definedName name="wa" hidden="1">{"apci",#N/A,FALSE,"Chem_CY";"eastman",#N/A,FALSE,"Eastman";"betz",#N/A,FALSE,"Betz";"great lakes",#N/A,FALSE,"Great_Lakes";"hercules",#N/A,FALSE,"Hercules Chem Seg Data";"rohm",#N/A,FALSE,"Rohm";"union carbide",#N/A,FALSE,"Union";"witco",#N/A,FALSE,"Witco"}</definedName>
    <definedName name="wacc">'[1]Discounted Cash Flow (DCF)'!$D$9</definedName>
    <definedName name="wae.2" localSheetId="3" hidden="1">{#N/A,#N/A,FALSE,"Umsatz CH";#N/A,#N/A,FALSE,"ER CH";#N/A,#N/A,FALSE,"EA CH (2) ";#N/A,#N/A,FALSE,"EA CH";#N/A,#N/A,FALSE,"EA CH (3) ";#N/A,#N/A,FALSE,"EA CH (4)";#N/A,#N/A,FALSE,"KA CH";#N/A,#N/A,FALSE,"KA CH  (2)";#N/A,#N/A,FALSE,"KA CH  (3)";#N/A,#N/A,FALSE,"KA CH (4)"}</definedName>
    <definedName name="wae.2" localSheetId="7" hidden="1">{#N/A,#N/A,FALSE,"Umsatz CH";#N/A,#N/A,FALSE,"ER CH";#N/A,#N/A,FALSE,"EA CH (2) ";#N/A,#N/A,FALSE,"EA CH";#N/A,#N/A,FALSE,"EA CH (3) ";#N/A,#N/A,FALSE,"EA CH (4)";#N/A,#N/A,FALSE,"KA CH";#N/A,#N/A,FALSE,"KA CH  (2)";#N/A,#N/A,FALSE,"KA CH  (3)";#N/A,#N/A,FALSE,"KA CH (4)"}</definedName>
    <definedName name="wae.2" hidden="1">{#N/A,#N/A,FALSE,"Umsatz CH";#N/A,#N/A,FALSE,"ER CH";#N/A,#N/A,FALSE,"EA CH (2) ";#N/A,#N/A,FALSE,"EA CH";#N/A,#N/A,FALSE,"EA CH (3) ";#N/A,#N/A,FALSE,"EA CH (4)";#N/A,#N/A,FALSE,"KA CH";#N/A,#N/A,FALSE,"KA CH  (2)";#N/A,#N/A,FALSE,"KA CH  (3)";#N/A,#N/A,FALSE,"KA CH (4)"}</definedName>
    <definedName name="wae.er_er." localSheetId="3" hidden="1">{#N/A,#N/A,FALSE,"Umsatz EO BP";#N/A,#N/A,FALSE,"Umsatz EO OP";#N/A,#N/A,FALSE,"ER EO BP";#N/A,#N/A,FALSE,"ER EO OP";#N/A,#N/A,FALSE,"EA EO (2)";#N/A,#N/A,FALSE,"EA EO";#N/A,#N/A,FALSE,"EA EO (3)";#N/A,#N/A,FALSE,"EA EO (4)";#N/A,#N/A,FALSE,"KA EO  (2)";#N/A,#N/A,FALSE,"KA EO";#N/A,#N/A,FALSE,"KA EO  (3)";#N/A,#N/A,FALSE,"KA EO (4)"}</definedName>
    <definedName name="wae.er_er." localSheetId="7" hidden="1">{#N/A,#N/A,FALSE,"Umsatz EO BP";#N/A,#N/A,FALSE,"Umsatz EO OP";#N/A,#N/A,FALSE,"ER EO BP";#N/A,#N/A,FALSE,"ER EO OP";#N/A,#N/A,FALSE,"EA EO (2)";#N/A,#N/A,FALSE,"EA EO";#N/A,#N/A,FALSE,"EA EO (3)";#N/A,#N/A,FALSE,"EA EO (4)";#N/A,#N/A,FALSE,"KA EO  (2)";#N/A,#N/A,FALSE,"KA EO";#N/A,#N/A,FALSE,"KA EO  (3)";#N/A,#N/A,FALSE,"KA EO (4)"}</definedName>
    <definedName name="wae.er_er." hidden="1">{#N/A,#N/A,FALSE,"Umsatz EO BP";#N/A,#N/A,FALSE,"Umsatz EO OP";#N/A,#N/A,FALSE,"ER EO BP";#N/A,#N/A,FALSE,"ER EO OP";#N/A,#N/A,FALSE,"EA EO (2)";#N/A,#N/A,FALSE,"EA EO";#N/A,#N/A,FALSE,"EA EO (3)";#N/A,#N/A,FALSE,"EA EO (4)";#N/A,#N/A,FALSE,"KA EO  (2)";#N/A,#N/A,FALSE,"KA EO";#N/A,#N/A,FALSE,"KA EO  (3)";#N/A,#N/A,FALSE,"KA EO (4)"}</definedName>
    <definedName name="was" localSheetId="3" hidden="1">{#N/A,#N/A,FALSE,"Sales Graph";#N/A,#N/A,FALSE,"BUC Graph";#N/A,#N/A,FALSE,"P&amp;L - YTD"}</definedName>
    <definedName name="was" localSheetId="7" hidden="1">{#N/A,#N/A,FALSE,"Sales Graph";#N/A,#N/A,FALSE,"BUC Graph";#N/A,#N/A,FALSE,"P&amp;L - YTD"}</definedName>
    <definedName name="was" hidden="1">{#N/A,#N/A,FALSE,"Sales Graph";#N/A,#N/A,FALSE,"BUC Graph";#N/A,#N/A,FALSE,"P&amp;L - YTD"}</definedName>
    <definedName name="wb" localSheetId="3" hidden="1">{#N/A,#N/A,FALSE,"Pharm";#N/A,#N/A,FALSE,"WWCM"}</definedName>
    <definedName name="wb" localSheetId="7" hidden="1">{#N/A,#N/A,FALSE,"Pharm";#N/A,#N/A,FALSE,"WWCM"}</definedName>
    <definedName name="wb" hidden="1">{#N/A,#N/A,FALSE,"Pharm";#N/A,#N/A,FALSE,"WWCM"}</definedName>
    <definedName name="wc" localSheetId="3" hidden="1">{#N/A,#N/A,FALSE,"Pharm";#N/A,#N/A,FALSE,"WWCM"}</definedName>
    <definedName name="wc" localSheetId="7" hidden="1">{#N/A,#N/A,FALSE,"Pharm";#N/A,#N/A,FALSE,"WWCM"}</definedName>
    <definedName name="wc" hidden="1">{#N/A,#N/A,FALSE,"Pharm";#N/A,#N/A,FALSE,"WWCM"}</definedName>
    <definedName name="wcy" localSheetId="3" hidden="1">{"YD PRS",#N/A,FALSE,"YTD"}</definedName>
    <definedName name="wcy" localSheetId="7" hidden="1">{"YD PRS",#N/A,FALSE,"YTD"}</definedName>
    <definedName name="wcy" hidden="1">{"YD PRS",#N/A,FALSE,"YTD"}</definedName>
    <definedName name="wdjhdhdjhd" localSheetId="3" hidden="1">{#N/A,#N/A,FALSE,"Pag.01"}</definedName>
    <definedName name="wdjhdhdjhd" localSheetId="7" hidden="1">{#N/A,#N/A,FALSE,"Pag.01"}</definedName>
    <definedName name="wdjhdhdjhd" hidden="1">{#N/A,#N/A,FALSE,"Pag.01"}</definedName>
    <definedName name="we" localSheetId="3" hidden="1">{"AQUIRORDCF",#N/A,FALSE,"Merger consequences";"Acquirorassns",#N/A,FALSE,"Merger consequences"}</definedName>
    <definedName name="we" localSheetId="7" hidden="1">{"AQUIRORDCF",#N/A,FALSE,"Merger consequences";"Acquirorassns",#N/A,FALSE,"Merger consequences"}</definedName>
    <definedName name="we" hidden="1">{"AQUIRORDCF",#N/A,FALSE,"Merger consequences";"Acquirorassns",#N/A,FALSE,"Merger consequences"}</definedName>
    <definedName name="we.3" localSheetId="3" hidden="1">{#N/A,#N/A,FALSE,"PMW Gruppe 99_98";#N/A,#N/A,FALSE,"PMW KG 98_99";#N/A,#N/A,FALSE,"PMW Inc. 99_98";#N/A,#N/A,FALSE,"PMW VTECH 99_98";#N/A,#N/A,FALSE,"PMW Thail. 99_98";#N/A,#N/A,FALSE,"PMW Canada 99_98";#N/A,#N/A,FALSE,"Währungsabw. 99_98"}</definedName>
    <definedName name="we.3" localSheetId="7" hidden="1">{#N/A,#N/A,FALSE,"PMW Gruppe 99_98";#N/A,#N/A,FALSE,"PMW KG 98_99";#N/A,#N/A,FALSE,"PMW Inc. 99_98";#N/A,#N/A,FALSE,"PMW VTECH 99_98";#N/A,#N/A,FALSE,"PMW Thail. 99_98";#N/A,#N/A,FALSE,"PMW Canada 99_98";#N/A,#N/A,FALSE,"Währungsabw. 99_98"}</definedName>
    <definedName name="we.3" hidden="1">{#N/A,#N/A,FALSE,"PMW Gruppe 99_98";#N/A,#N/A,FALSE,"PMW KG 98_99";#N/A,#N/A,FALSE,"PMW Inc. 99_98";#N/A,#N/A,FALSE,"PMW VTECH 99_98";#N/A,#N/A,FALSE,"PMW Thail. 99_98";#N/A,#N/A,FALSE,"PMW Canada 99_98";#N/A,#N/A,FALSE,"Währungsabw. 99_98"}</definedName>
    <definedName name="we.gb.gg" localSheetId="3" hidden="1">{#N/A,#N/A,FALSE,"Umsatz HM";#N/A,#N/A,FALSE,"ER HM";#N/A,#N/A,FALSE,"EA HM  (2)";#N/A,#N/A,FALSE,"EA HM ";#N/A,#N/A,FALSE,"EA HM  (4)";#N/A,#N/A,FALSE,"EA HM  (3)";#N/A,#N/A,FALSE,"KA HM  (2)";#N/A,#N/A,FALSE,"KA HM";#N/A,#N/A,FALSE,"KA HM  (3)";#N/A,#N/A,FALSE,"KA HM (4)"}</definedName>
    <definedName name="we.gb.gg" localSheetId="7" hidden="1">{#N/A,#N/A,FALSE,"Umsatz HM";#N/A,#N/A,FALSE,"ER HM";#N/A,#N/A,FALSE,"EA HM  (2)";#N/A,#N/A,FALSE,"EA HM ";#N/A,#N/A,FALSE,"EA HM  (4)";#N/A,#N/A,FALSE,"EA HM  (3)";#N/A,#N/A,FALSE,"KA HM  (2)";#N/A,#N/A,FALSE,"KA HM";#N/A,#N/A,FALSE,"KA HM  (3)";#N/A,#N/A,FALSE,"KA HM (4)"}</definedName>
    <definedName name="we.gb.gg" hidden="1">{#N/A,#N/A,FALSE,"Umsatz HM";#N/A,#N/A,FALSE,"ER HM";#N/A,#N/A,FALSE,"EA HM  (2)";#N/A,#N/A,FALSE,"EA HM ";#N/A,#N/A,FALSE,"EA HM  (4)";#N/A,#N/A,FALSE,"EA HM  (3)";#N/A,#N/A,FALSE,"KA HM  (2)";#N/A,#N/A,FALSE,"KA HM";#N/A,#N/A,FALSE,"KA HM  (3)";#N/A,#N/A,FALSE,"KA HM (4)"}</definedName>
    <definedName name="we3x" localSheetId="3" hidden="1">{"QTD_LPO2N2",#N/A,FALSE,"QTD"}</definedName>
    <definedName name="we3x" localSheetId="7" hidden="1">{"QTD_LPO2N2",#N/A,FALSE,"QTD"}</definedName>
    <definedName name="we3x" hidden="1">{"QTD_LPO2N2",#N/A,FALSE,"QTD"}</definedName>
    <definedName name="weaw" localSheetId="3" hidden="1">{"YTD",#N/A,FALSE,"SUM"}</definedName>
    <definedName name="weaw" localSheetId="7" hidden="1">{"YTD",#N/A,FALSE,"SUM"}</definedName>
    <definedName name="weaw" hidden="1">{"YTD",#N/A,FALSE,"SUM"}</definedName>
    <definedName name="weawe" localSheetId="3" hidden="1">{"QTD_HYCO",#N/A,FALSE,"QTD"}</definedName>
    <definedName name="weawe" localSheetId="7" hidden="1">{"QTD_HYCO",#N/A,FALSE,"QTD"}</definedName>
    <definedName name="weawe" hidden="1">{"QTD_HYCO",#N/A,FALSE,"QTD"}</definedName>
    <definedName name="wec" localSheetId="3"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s" localSheetId="3" hidden="1">{"QTD_PRS",#N/A,FALSE,"QTD"}</definedName>
    <definedName name="wecs" localSheetId="7" hidden="1">{"QTD_PRS",#N/A,FALSE,"QTD"}</definedName>
    <definedName name="wecs" hidden="1">{"QTD_PRS",#N/A,FALSE,"QTD"}</definedName>
    <definedName name="wecsd" localSheetId="3" hidden="1">{"sales growth",#N/A,FALSE,"summary";"oper income",#N/A,FALSE,"summary";"oros rank",#N/A,FALSE,"summary";"net assets",#N/A,FALSE,"summary";"asset turnover",#N/A,FALSE,"summary";"orona",#N/A,FALSE,"summary"}</definedName>
    <definedName name="wecsd" localSheetId="7" hidden="1">{"sales growth",#N/A,FALSE,"summary";"oper income",#N/A,FALSE,"summary";"oros rank",#N/A,FALSE,"summary";"net assets",#N/A,FALSE,"summary";"asset turnover",#N/A,FALSE,"summary";"orona",#N/A,FALSE,"summary"}</definedName>
    <definedName name="wecsd" hidden="1">{"sales growth",#N/A,FALSE,"summary";"oper income",#N/A,FALSE,"summary";"oros rank",#N/A,FALSE,"summary";"net assets",#N/A,FALSE,"summary";"asset turnover",#N/A,FALSE,"summary";"orona",#N/A,FALSE,"summary"}</definedName>
    <definedName name="wed.2" localSheetId="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2"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localSheetId="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localSheetId="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s" localSheetId="3" hidden="1">{"overview",#N/A,FALSE,"summary";"net assets",#N/A,FALSE,"summary";"asset turnover",#N/A,FALSE,"summary";"orona",#N/A,FALSE,"summary"}</definedName>
    <definedName name="weds" localSheetId="7" hidden="1">{"overview",#N/A,FALSE,"summary";"net assets",#N/A,FALSE,"summary";"asset turnover",#N/A,FALSE,"summary";"orona",#N/A,FALSE,"summary"}</definedName>
    <definedName name="weds" hidden="1">{"overview",#N/A,FALSE,"summary";"net assets",#N/A,FALSE,"summary";"asset turnover",#N/A,FALSE,"summary";"orona",#N/A,FALSE,"summary"}</definedName>
    <definedName name="wee" localSheetId="3" hidden="1">{#N/A,#N/A,FALSE,"KA CH  (2)"}</definedName>
    <definedName name="wee" localSheetId="7" hidden="1">{#N/A,#N/A,FALSE,"KA CH  (2)"}</definedName>
    <definedName name="wee" hidden="1">{#N/A,#N/A,FALSE,"KA CH  (2)"}</definedName>
    <definedName name="wefaff" localSheetId="3" hidden="1">{#N/A,#N/A,FALSE,"Assum";#N/A,#N/A,FALSE,"IS";#N/A,#N/A,FALSE,"Op-BS";#N/A,#N/A,FALSE,"BSCF";#N/A,#N/A,FALSE,"Brad_IS";#N/A,#N/A,FALSE,"Brad_BSCF";#N/A,#N/A,FALSE,"Nick_IS";#N/A,#N/A,FALSE,"Nick_BSCF";#N/A,#N/A,FALSE,"Mobile_IS";#N/A,#N/A,FALSE,"Mobile_BSCF";#N/A,#N/A,FALSE,"Syn+Elim";#N/A,#N/A,FALSE,"Ratings"}</definedName>
    <definedName name="wefaff" localSheetId="7" hidden="1">{#N/A,#N/A,FALSE,"Assum";#N/A,#N/A,FALSE,"IS";#N/A,#N/A,FALSE,"Op-BS";#N/A,#N/A,FALSE,"BSCF";#N/A,#N/A,FALSE,"Brad_IS";#N/A,#N/A,FALSE,"Brad_BSCF";#N/A,#N/A,FALSE,"Nick_IS";#N/A,#N/A,FALSE,"Nick_BSCF";#N/A,#N/A,FALSE,"Mobile_IS";#N/A,#N/A,FALSE,"Mobile_BSCF";#N/A,#N/A,FALSE,"Syn+Elim";#N/A,#N/A,FALSE,"Ratings"}</definedName>
    <definedName name="wefaff" hidden="1">{#N/A,#N/A,FALSE,"Assum";#N/A,#N/A,FALSE,"IS";#N/A,#N/A,FALSE,"Op-BS";#N/A,#N/A,FALSE,"BSCF";#N/A,#N/A,FALSE,"Brad_IS";#N/A,#N/A,FALSE,"Brad_BSCF";#N/A,#N/A,FALSE,"Nick_IS";#N/A,#N/A,FALSE,"Nick_BSCF";#N/A,#N/A,FALSE,"Mobile_IS";#N/A,#N/A,FALSE,"Mobile_BSCF";#N/A,#N/A,FALSE,"Syn+Elim";#N/A,#N/A,FALSE,"Ratings"}</definedName>
    <definedName name="weix" localSheetId="3" hidden="1">{"Comp_of_Price_Effect",#N/A,FALSE,"QTRDPVAR"}</definedName>
    <definedName name="weix" localSheetId="7" hidden="1">{"Comp_of_Price_Effect",#N/A,FALSE,"QTRDPVAR"}</definedName>
    <definedName name="weix" hidden="1">{"Comp_of_Price_Effect",#N/A,FALSE,"QTRDPVAR"}</definedName>
    <definedName name="wen.gb._hm." localSheetId="3" hidden="1">{#N/A,#N/A,FALSE,"Umsatz HM";#N/A,#N/A,FALSE,"ER HM";#N/A,#N/A,FALSE,"EA HM  (2)";#N/A,#N/A,FALSE,"EA HM ";#N/A,#N/A,FALSE,"EA HM  (4)";#N/A,#N/A,FALSE,"EA HM  (3)";#N/A,#N/A,FALSE,"KA HM  (2)";#N/A,#N/A,FALSE,"KA HM";#N/A,#N/A,FALSE,"KA HM  (3)";#N/A,#N/A,FALSE,"KA HM (4)"}</definedName>
    <definedName name="wen.gb._hm." localSheetId="7" hidden="1">{#N/A,#N/A,FALSE,"Umsatz HM";#N/A,#N/A,FALSE,"ER HM";#N/A,#N/A,FALSE,"EA HM  (2)";#N/A,#N/A,FALSE,"EA HM ";#N/A,#N/A,FALSE,"EA HM  (4)";#N/A,#N/A,FALSE,"EA HM  (3)";#N/A,#N/A,FALSE,"KA HM  (2)";#N/A,#N/A,FALSE,"KA HM";#N/A,#N/A,FALSE,"KA HM  (3)";#N/A,#N/A,FALSE,"KA HM (4)"}</definedName>
    <definedName name="wen.gb._hm." hidden="1">{#N/A,#N/A,FALSE,"Umsatz HM";#N/A,#N/A,FALSE,"ER HM";#N/A,#N/A,FALSE,"EA HM  (2)";#N/A,#N/A,FALSE,"EA HM ";#N/A,#N/A,FALSE,"EA HM  (4)";#N/A,#N/A,FALSE,"EA HM  (3)";#N/A,#N/A,FALSE,"KA HM  (2)";#N/A,#N/A,FALSE,"KA HM";#N/A,#N/A,FALSE,"KA HM  (3)";#N/A,#N/A,FALSE,"KA HM (4)"}</definedName>
    <definedName name="weop" localSheetId="3" hidden="1">{"oct_res_comm",#N/A,FALSE,"VarToBud"}</definedName>
    <definedName name="weop" localSheetId="7" hidden="1">{"oct_res_comm",#N/A,FALSE,"VarToBud"}</definedName>
    <definedName name="weop" hidden="1">{"oct_res_comm",#N/A,FALSE,"VarToBud"}</definedName>
    <definedName name="wer.g" localSheetId="3" hidden="1">{#N/A,#N/A,FALSE,"KA CH  (2)"}</definedName>
    <definedName name="wer.g" localSheetId="7" hidden="1">{#N/A,#N/A,FALSE,"KA CH  (2)"}</definedName>
    <definedName name="wer.g" hidden="1">{#N/A,#N/A,FALSE,"KA CH  (2)"}</definedName>
    <definedName name="werrr" localSheetId="3" hidden="1">{#N/A,#N/A,FALSE,"Pharm";#N/A,#N/A,FALSE,"WWCM"}</definedName>
    <definedName name="werrr" localSheetId="7" hidden="1">{#N/A,#N/A,FALSE,"Pharm";#N/A,#N/A,FALSE,"WWCM"}</definedName>
    <definedName name="werrr" hidden="1">{#N/A,#N/A,FALSE,"Pharm";#N/A,#N/A,FALSE,"WWCM"}</definedName>
    <definedName name="WERSDFRTYDFG" localSheetId="3" hidden="1">{#N/A,#N/A,FALSE,"Pag.01"}</definedName>
    <definedName name="WERSDFRTYDFG" localSheetId="7" hidden="1">{#N/A,#N/A,FALSE,"Pag.01"}</definedName>
    <definedName name="WERSDFRTYDFG" hidden="1">{#N/A,#N/A,FALSE,"Pag.01"}</definedName>
    <definedName name="wert" localSheetId="3" hidden="1">{#N/A,"PURADD",FALSE,"Business Analysis";#N/A,"PURSPP",FALSE,"Business Analysis";#N/A,"CTGIND",FALSE,"Business Analysis";#N/A,"PURCHM",FALSE,"Business Analysis";#N/A,"SPADD",FALSE,"Business Analysis";#N/A,"EPOXY",FALSE,"Business Analysis";#N/A,"PURPER",FALSE,"Business Analysis"}</definedName>
    <definedName name="wert" localSheetId="7" hidden="1">{#N/A,"PURADD",FALSE,"Business Analysis";#N/A,"PURSPP",FALSE,"Business Analysis";#N/A,"CTGIND",FALSE,"Business Analysis";#N/A,"PURCHM",FALSE,"Business Analysis";#N/A,"SPADD",FALSE,"Business Analysis";#N/A,"EPOXY",FALSE,"Business Analysis";#N/A,"PURPER",FALSE,"Business Analysis"}</definedName>
    <definedName name="wert" hidden="1">{#N/A,"PURADD",FALSE,"Business Analysis";#N/A,"PURSPP",FALSE,"Business Analysis";#N/A,"CTGIND",FALSE,"Business Analysis";#N/A,"PURCHM",FALSE,"Business Analysis";#N/A,"SPADD",FALSE,"Business Analysis";#N/A,"EPOXY",FALSE,"Business Analysis";#N/A,"PURPER",FALSE,"Business Analysis"}</definedName>
    <definedName name="wew" localSheetId="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w"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w"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we" localSheetId="3" hidden="1">{"LOUISIANA",#N/A,FALSE,"CM"}</definedName>
    <definedName name="wewe" localSheetId="7" hidden="1">{"LOUISIANA",#N/A,FALSE,"CM"}</definedName>
    <definedName name="wewe" hidden="1">{"LOUISIANA",#N/A,FALSE,"CM"}</definedName>
    <definedName name="wews" localSheetId="3" hidden="1">{"pro_view",#N/A,FALSE,"EEFSNAP2";"rep_view",#N/A,FALSE,"EEFSNAP2"}</definedName>
    <definedName name="wews" localSheetId="7" hidden="1">{"pro_view",#N/A,FALSE,"EEFSNAP2";"rep_view",#N/A,FALSE,"EEFSNAP2"}</definedName>
    <definedName name="wews" hidden="1">{"pro_view",#N/A,FALSE,"EEFSNAP2";"rep_view",#N/A,FALSE,"EEFSNAP2"}</definedName>
    <definedName name="weza" localSheetId="3" hidden="1">{"QTD_PACKAGE",#N/A,FALSE,"QTD"}</definedName>
    <definedName name="weza" localSheetId="7" hidden="1">{"QTD_PACKAGE",#N/A,FALSE,"QTD"}</definedName>
    <definedName name="weza" hidden="1">{"QTD_PACKAGE",#N/A,FALSE,"QTD"}</definedName>
    <definedName name="weze" localSheetId="3" hidden="1">{#N/A,"PURADD",FALSE,"Business Analysis";#N/A,"PURSPP",FALSE,"Business Analysis";#N/A,"CTGIND",FALSE,"Business Analysis";#N/A,"PURCHM",FALSE,"Business Analysis";#N/A,"SPADD",FALSE,"Business Analysis";#N/A,"EPOXY",FALSE,"Business Analysis";#N/A,"PURPER",FALSE,"Business Analysis"}</definedName>
    <definedName name="weze" localSheetId="7" hidden="1">{#N/A,"PURADD",FALSE,"Business Analysis";#N/A,"PURSPP",FALSE,"Business Analysis";#N/A,"CTGIND",FALSE,"Business Analysis";#N/A,"PURCHM",FALSE,"Business Analysis";#N/A,"SPADD",FALSE,"Business Analysis";#N/A,"EPOXY",FALSE,"Business Analysis";#N/A,"PURPER",FALSE,"Business Analysis"}</definedName>
    <definedName name="weze" hidden="1">{#N/A,"PURADD",FALSE,"Business Analysis";#N/A,"PURSPP",FALSE,"Business Analysis";#N/A,"CTGIND",FALSE,"Business Analysis";#N/A,"PURCHM",FALSE,"Business Analysis";#N/A,"SPADD",FALSE,"Business Analysis";#N/A,"EPOXY",FALSE,"Business Analysis";#N/A,"PURPER",FALSE,"Business Analysis"}</definedName>
    <definedName name="wezf" localSheetId="3" hidden="1">{"YD PACKAGE",#N/A,FALSE,"YTD"}</definedName>
    <definedName name="wezf" localSheetId="7" hidden="1">{"YD PACKAGE",#N/A,FALSE,"YTD"}</definedName>
    <definedName name="wezf" hidden="1">{"YD PACKAGE",#N/A,FALSE,"YTD"}</definedName>
    <definedName name="woi" localSheetId="3" hidden="1">{"detail",#N/A,FALSE,"mfg";"summary",#N/A,FALSE,"mfg"}</definedName>
    <definedName name="woi" localSheetId="7" hidden="1">{"detail",#N/A,FALSE,"mfg";"summary",#N/A,FALSE,"mfg"}</definedName>
    <definedName name="woi" hidden="1">{"detail",#N/A,FALSE,"mfg";"summary",#N/A,FALSE,"mfg"}</definedName>
    <definedName name="womxien" localSheetId="3" hidden="1">{"detail",#N/A,FALSE,"mfg";"summary",#N/A,FALSE,"mfg"}</definedName>
    <definedName name="womxien" localSheetId="7" hidden="1">{"detail",#N/A,FALSE,"mfg";"summary",#N/A,FALSE,"mfg"}</definedName>
    <definedName name="womxien" hidden="1">{"detail",#N/A,FALSE,"mfg";"summary",#N/A,FALSE,"mfg"}</definedName>
    <definedName name="working" localSheetId="3" hidden="1">{#N/A,#N/A,FALSE,"REPORT"}</definedName>
    <definedName name="working" localSheetId="7" hidden="1">{#N/A,#N/A,FALSE,"REPORT"}</definedName>
    <definedName name="working" hidden="1">{#N/A,#N/A,FALSE,"REPORT"}</definedName>
    <definedName name="wq" localSheetId="3" hidden="1">{"PRS",#N/A,FALSE,"CM"}</definedName>
    <definedName name="wq" localSheetId="7" hidden="1">{"PRS",#N/A,FALSE,"CM"}</definedName>
    <definedName name="wq" hidden="1">{"PRS",#N/A,FALSE,"CM"}</definedName>
    <definedName name="wqa" localSheetId="3" hidden="1">{#N/A,"PURCHM",FALSE,"Business Analysis";#N/A,"SPADD",FALSE,"Business Analysis"}</definedName>
    <definedName name="wqa" localSheetId="7" hidden="1">{#N/A,"PURCHM",FALSE,"Business Analysis";#N/A,"SPADD",FALSE,"Business Analysis"}</definedName>
    <definedName name="wqa" hidden="1">{#N/A,"PURCHM",FALSE,"Business Analysis";#N/A,"SPADD",FALSE,"Business Analysis"}</definedName>
    <definedName name="wqc" localSheetId="3" hidden="1">{"ACT",#N/A,FALSE,"Q3Elec P&amp;L fy 99  ";"BUD",#N/A,FALSE,"Q3Elec P&amp;L fy 99  ";"PRIOR",#N/A,FALSE,"Q3Elec P&amp;L fy 99  "}</definedName>
    <definedName name="wqc" localSheetId="7" hidden="1">{"ACT",#N/A,FALSE,"Q3Elec P&amp;L fy 99  ";"BUD",#N/A,FALSE,"Q3Elec P&amp;L fy 99  ";"PRIOR",#N/A,FALSE,"Q3Elec P&amp;L fy 99  "}</definedName>
    <definedName name="wqc" hidden="1">{"ACT",#N/A,FALSE,"Q3Elec P&amp;L fy 99  ";"BUD",#N/A,FALSE,"Q3Elec P&amp;L fy 99  ";"PRIOR",#N/A,FALSE,"Q3Elec P&amp;L fy 99  "}</definedName>
    <definedName name="wqd" localSheetId="3" hidden="1">{"OTHER",#N/A,FALSE,"CM"}</definedName>
    <definedName name="wqd" localSheetId="7" hidden="1">{"OTHER",#N/A,FALSE,"CM"}</definedName>
    <definedName name="wqd" hidden="1">{"OTHER",#N/A,FALSE,"CM"}</definedName>
    <definedName name="wqeq" localSheetId="3" hidden="1">{"Commentary",#N/A,FALSE,"May"}</definedName>
    <definedName name="wqeq" localSheetId="7" hidden="1">{"Commentary",#N/A,FALSE,"May"}</definedName>
    <definedName name="wqeq" hidden="1">{"Commentary",#N/A,FALSE,"May"}</definedName>
    <definedName name="wqer" localSheetId="3" hidden="1">{"TXO2N2_SLS",#N/A,FALSE,"MTHLYSLES";"TXH2_SLS",#N/A,FALSE,"MTHLYSLES";"LOUIS_SLS",#N/A,FALSE,"MTHLYSLES";"H2_SLS",#N/A,FALSE,"MTHLYSLES";"O2N2_SLS",#N/A,FALSE,"MTHLYSLES";"PACKAGE_SLS",#N/A,FALSE,"MTHLYSLES"}</definedName>
    <definedName name="wqer" localSheetId="7" hidden="1">{"TXO2N2_SLS",#N/A,FALSE,"MTHLYSLES";"TXH2_SLS",#N/A,FALSE,"MTHLYSLES";"LOUIS_SLS",#N/A,FALSE,"MTHLYSLES";"H2_SLS",#N/A,FALSE,"MTHLYSLES";"O2N2_SLS",#N/A,FALSE,"MTHLYSLES";"PACKAGE_SLS",#N/A,FALSE,"MTHLYSLES"}</definedName>
    <definedName name="wqer" hidden="1">{"TXO2N2_SLS",#N/A,FALSE,"MTHLYSLES";"TXH2_SLS",#N/A,FALSE,"MTHLYSLES";"LOUIS_SLS",#N/A,FALSE,"MTHLYSLES";"H2_SLS",#N/A,FALSE,"MTHLYSLES";"O2N2_SLS",#N/A,FALSE,"MTHLYSLES";"PACKAGE_SLS",#N/A,FALSE,"MTHLYSLES"}</definedName>
    <definedName name="wqwq" localSheetId="3" hidden="1">{"BA detail",#N/A,FALSE,"Q3YTD "}</definedName>
    <definedName name="wqwq" localSheetId="7" hidden="1">{"BA detail",#N/A,FALSE,"Q3YTD "}</definedName>
    <definedName name="wqwq" hidden="1">{"BA detail",#N/A,FALSE,"Q3YTD "}</definedName>
    <definedName name="wqx" localSheetId="3" hidden="1">{"Comp_of_Price_Effect",#N/A,FALSE,"QTRDPVAR"}</definedName>
    <definedName name="wqx" localSheetId="7" hidden="1">{"Comp_of_Price_Effect",#N/A,FALSE,"QTRDPVAR"}</definedName>
    <definedName name="wqx" hidden="1">{"Comp_of_Price_Effect",#N/A,FALSE,"QTRDPVAR"}</definedName>
    <definedName name="wr34ar" localSheetId="3" hidden="1">{"QTD_LOUISIANA",#N/A,FALSE,"QTD"}</definedName>
    <definedName name="wr34ar" localSheetId="7" hidden="1">{"QTD_LOUISIANA",#N/A,FALSE,"QTD"}</definedName>
    <definedName name="wr34ar" hidden="1">{"QTD_LOUISIANA",#N/A,FALSE,"QTD"}</definedName>
    <definedName name="wradw" localSheetId="3" hidden="1">{"YD LAPO2",#N/A,FALSE,"YTD";"YD LPH2",#N/A,FALSE,"YTD";"YD LOUISIANA",#N/A,FALSE,"YTD";"YD GENERALH2",#N/A,FALSE,"YTD";"YD PRS",#N/A,FALSE,"YTD";"YD PACKAGE",#N/A,FALSE,"YTD";"YD OTHER",#N/A,FALSE,"YTD"}</definedName>
    <definedName name="wradw" localSheetId="7" hidden="1">{"YD LAPO2",#N/A,FALSE,"YTD";"YD LPH2",#N/A,FALSE,"YTD";"YD LOUISIANA",#N/A,FALSE,"YTD";"YD GENERALH2",#N/A,FALSE,"YTD";"YD PRS",#N/A,FALSE,"YTD";"YD PACKAGE",#N/A,FALSE,"YTD";"YD OTHER",#N/A,FALSE,"YTD"}</definedName>
    <definedName name="wradw" hidden="1">{"YD LAPO2",#N/A,FALSE,"YTD";"YD LPH2",#N/A,FALSE,"YTD";"YD LOUISIANA",#N/A,FALSE,"YTD";"YD GENERALH2",#N/A,FALSE,"YTD";"YD PRS",#N/A,FALSE,"YTD";"YD PACKAGE",#N/A,FALSE,"YTD";"YD OTHER",#N/A,FALSE,"YTD"}</definedName>
    <definedName name="wrc" localSheetId="3" hidden="1">{#N/A,#N/A,FALSE,"TECH CENTRE RXDU66";#N/A,#N/A,FALSE,"ASU VAAX66";#N/A,#N/A,FALSE,"TCM VAKX66"}</definedName>
    <definedName name="wrc" localSheetId="7" hidden="1">{#N/A,#N/A,FALSE,"TECH CENTRE RXDU66";#N/A,#N/A,FALSE,"ASU VAAX66";#N/A,#N/A,FALSE,"TCM VAKX66"}</definedName>
    <definedName name="wrc" hidden="1">{#N/A,#N/A,FALSE,"TECH CENTRE RXDU66";#N/A,#N/A,FALSE,"ASU VAAX66";#N/A,#N/A,FALSE,"TCM VAKX66"}</definedName>
    <definedName name="wrewrw" localSheetId="3" hidden="1">{"QTR_ACT",#N/A,FALSE,"PROP_PBIT_DEV_Q3";"QTR_BUD",#N/A,FALSE,"PROP_PBIT_DEV_Q3";"YTD_BUD",#N/A,FALSE,"PROP_PBIT_DEV_Q3";"YTD_ACT",#N/A,FALSE,"PROP_PBIT_DEV_Q3";"FY95 SNAP3",#N/A,FALSE,"PROP_PBIT_DEV_Q3";"FY95_BUD",#N/A,FALSE,"PROP_PBIT_DEV_Q3";"FY96_BUD",#N/A,FALSE,"PROP_PBIT_DEV_Q3"}</definedName>
    <definedName name="wrewrw" localSheetId="7" hidden="1">{"QTR_ACT",#N/A,FALSE,"PROP_PBIT_DEV_Q3";"QTR_BUD",#N/A,FALSE,"PROP_PBIT_DEV_Q3";"YTD_BUD",#N/A,FALSE,"PROP_PBIT_DEV_Q3";"YTD_ACT",#N/A,FALSE,"PROP_PBIT_DEV_Q3";"FY95 SNAP3",#N/A,FALSE,"PROP_PBIT_DEV_Q3";"FY95_BUD",#N/A,FALSE,"PROP_PBIT_DEV_Q3";"FY96_BUD",#N/A,FALSE,"PROP_PBIT_DEV_Q3"}</definedName>
    <definedName name="wrewrw" hidden="1">{"QTR_ACT",#N/A,FALSE,"PROP_PBIT_DEV_Q3";"QTR_BUD",#N/A,FALSE,"PROP_PBIT_DEV_Q3";"YTD_BUD",#N/A,FALSE,"PROP_PBIT_DEV_Q3";"YTD_ACT",#N/A,FALSE,"PROP_PBIT_DEV_Q3";"FY95 SNAP3",#N/A,FALSE,"PROP_PBIT_DEV_Q3";"FY95_BUD",#N/A,FALSE,"PROP_PBIT_DEV_Q3";"FY96_BUD",#N/A,FALSE,"PROP_PBIT_DEV_Q3"}</definedName>
    <definedName name="wrf" localSheetId="3" hidden="1">{#N/A,"PURCHM",FALSE,"Business Analysis";#N/A,"SPADD",FALSE,"Business Analysis"}</definedName>
    <definedName name="wrf" localSheetId="7" hidden="1">{#N/A,"PURCHM",FALSE,"Business Analysis";#N/A,"SPADD",FALSE,"Business Analysis"}</definedName>
    <definedName name="wrf" hidden="1">{#N/A,"PURCHM",FALSE,"Business Analysis";#N/A,"SPADD",FALSE,"Business Analysis"}</definedName>
    <definedName name="wrm.pucspaddq2" localSheetId="3" hidden="1">{#N/A,"PURCHM",FALSE,"Business Analysis";#N/A,"SPADD",FALSE,"Business Analysis"}</definedName>
    <definedName name="wrm.pucspaddq2" localSheetId="7" hidden="1">{#N/A,"PURCHM",FALSE,"Business Analysis";#N/A,"SPADD",FALSE,"Business Analysis"}</definedName>
    <definedName name="wrm.pucspaddq2" hidden="1">{#N/A,"PURCHM",FALSE,"Business Analysis";#N/A,"SPADD",FALSE,"Business Analysis"}</definedName>
    <definedName name="wrn" localSheetId="3" hidden="1">{"FCB_ALL",#N/A,FALSE,"FCB"}</definedName>
    <definedName name="wrn" localSheetId="7" hidden="1">{"FCB_ALL",#N/A,FALSE,"FCB"}</definedName>
    <definedName name="wrn" hidden="1">{"FCB_ALL",#N/A,FALSE,"FCB"}</definedName>
    <definedName name="wrn.1." localSheetId="3" hidden="1">{"cover",#N/A,TRUE,"Cover";"toc1",#N/A,TRUE,"TOC";"ts1",#N/A,TRUE,"Transaction Summary";"ei",#N/A,TRUE,"Earnings Impact";"ad",#N/A,TRUE,"accretion dilution"}</definedName>
    <definedName name="wrn.1." localSheetId="7" hidden="1">{"cover",#N/A,TRUE,"Cover";"toc1",#N/A,TRUE,"TOC";"ts1",#N/A,TRUE,"Transaction Summary";"ei",#N/A,TRUE,"Earnings Impact";"ad",#N/A,TRUE,"accretion dilution"}</definedName>
    <definedName name="wrn.1." hidden="1">{"cover",#N/A,TRUE,"Cover";"toc1",#N/A,TRUE,"TOC";"ts1",#N/A,TRUE,"Transaction Summary";"ei",#N/A,TRUE,"Earnings Impact";"ad",#N/A,TRUE,"accretion dilution"}</definedName>
    <definedName name="wrn.10." localSheetId="3" hidden="1">{"cover",#N/A,TRUE,"Cover";"toc3",#N/A,TRUE,"TOC";"over",#N/A,TRUE,"Overview";"ts2",#N/A,TRUE,"Det_Trans_Sum";"ei1c",#N/A,TRUE,"Earnings Impact";"ad1",#N/A,TRUE,"accretion dilution";"pfis1",#N/A,TRUE,"Pro Forma Income Statement";"acq1c",#N/A,TRUE,"Acquirer";"tar1c",#N/A,TRUE,"Target"}</definedName>
    <definedName name="wrn.10." localSheetId="7" hidden="1">{"cover",#N/A,TRUE,"Cover";"toc3",#N/A,TRUE,"TOC";"over",#N/A,TRUE,"Overview";"ts2",#N/A,TRUE,"Det_Trans_Sum";"ei1c",#N/A,TRUE,"Earnings Impact";"ad1",#N/A,TRUE,"accretion dilution";"pfis1",#N/A,TRUE,"Pro Forma Income Statement";"acq1c",#N/A,TRUE,"Acquirer";"tar1c",#N/A,TRUE,"Target"}</definedName>
    <definedName name="wrn.10." hidden="1">{"cover",#N/A,TRUE,"Cover";"toc3",#N/A,TRUE,"TOC";"over",#N/A,TRUE,"Overview";"ts2",#N/A,TRUE,"Det_Trans_Sum";"ei1c",#N/A,TRUE,"Earnings Impact";"ad1",#N/A,TRUE,"accretion dilution";"pfis1",#N/A,TRUE,"Pro Forma Income Statement";"acq1c",#N/A,TRUE,"Acquirer";"tar1c",#N/A,TRUE,"Target"}</definedName>
    <definedName name="wrn.10._.Per._.Cent._.Success." localSheetId="3" hidden="1">{#N/A,"10% Success",FALSE,"Sales Forecast";#N/A,#N/A,FALSE,"Sheet2"}</definedName>
    <definedName name="wrn.10._.Per._.Cent._.Success." localSheetId="7" hidden="1">{#N/A,"10% Success",FALSE,"Sales Forecast";#N/A,#N/A,FALSE,"Sheet2"}</definedName>
    <definedName name="wrn.10._.Per._.Cent._.Success." hidden="1">{#N/A,"10% Success",FALSE,"Sales Forecast";#N/A,#N/A,FALSE,"Sheet2"}</definedName>
    <definedName name="wrn.100._.Per._.Cent._.Success." localSheetId="3" hidden="1">{#N/A,"100% Success",TRUE,"Sales Forecast";#N/A,#N/A,TRUE,"Sheet2"}</definedName>
    <definedName name="wrn.100._.Per._.Cent._.Success." localSheetId="7" hidden="1">{#N/A,"100% Success",TRUE,"Sales Forecast";#N/A,#N/A,TRUE,"Sheet2"}</definedName>
    <definedName name="wrn.100._.Per._.Cent._.Success." hidden="1">{#N/A,"100% Success",TRUE,"Sales Forecast";#N/A,#N/A,TRUE,"Sheet2"}</definedName>
    <definedName name="wrn.11." localSheetId="3" hidden="1">{"cover",#N/A,TRUE,"Cover";"toc3",#N/A,TRUE,"TOC";"over",#N/A,TRUE,"Overview";"ts2",#N/A,TRUE,"Det_Trans_Sum";"ei2c",#N/A,TRUE,"Earnings Impact";"ad2",#N/A,TRUE,"accretion dilution";"pfis2",#N/A,TRUE,"Pro Forma Income Statement";"acq2c",#N/A,TRUE,"Acquirer";"tar2c",#N/A,TRUE,"Target"}</definedName>
    <definedName name="wrn.11." localSheetId="7" hidden="1">{"cover",#N/A,TRUE,"Cover";"toc3",#N/A,TRUE,"TOC";"over",#N/A,TRUE,"Overview";"ts2",#N/A,TRUE,"Det_Trans_Sum";"ei2c",#N/A,TRUE,"Earnings Impact";"ad2",#N/A,TRUE,"accretion dilution";"pfis2",#N/A,TRUE,"Pro Forma Income Statement";"acq2c",#N/A,TRUE,"Acquirer";"tar2c",#N/A,TRUE,"Target"}</definedName>
    <definedName name="wrn.11." hidden="1">{"cover",#N/A,TRUE,"Cover";"toc3",#N/A,TRUE,"TOC";"over",#N/A,TRUE,"Overview";"ts2",#N/A,TRUE,"Det_Trans_Sum";"ei2c",#N/A,TRUE,"Earnings Impact";"ad2",#N/A,TRUE,"accretion dilution";"pfis2",#N/A,TRUE,"Pro Forma Income Statement";"acq2c",#N/A,TRUE,"Acquirer";"tar2c",#N/A,TRUE,"Target"}</definedName>
    <definedName name="wrn.111111" localSheetId="3" hidden="1">{#N/A,#N/A,FALSE,"Pharm";#N/A,#N/A,FALSE,"WWCM"}</definedName>
    <definedName name="wrn.111111" localSheetId="7" hidden="1">{#N/A,#N/A,FALSE,"Pharm";#N/A,#N/A,FALSE,"WWCM"}</definedName>
    <definedName name="wrn.111111" hidden="1">{#N/A,#N/A,FALSE,"Pharm";#N/A,#N/A,FALSE,"WWCM"}</definedName>
    <definedName name="wrn.12." localSheetId="3" hidden="1">{"cover",#N/A,TRUE,"Cover";"toc3",#N/A,TRUE,"TOC";"over",#N/A,TRUE,"Overview";"ts2",#N/A,TRUE,"Det_Trans_Sum";"ei3c",#N/A,TRUE,"Earnings Impact";"ad3",#N/A,TRUE,"accretion dilution";"pfis3",#N/A,TRUE,"Pro Forma Income Statement";"acq3c",#N/A,TRUE,"Acquirer";"tar3c",#N/A,TRUE,"Target"}</definedName>
    <definedName name="wrn.12." localSheetId="7" hidden="1">{"cover",#N/A,TRUE,"Cover";"toc3",#N/A,TRUE,"TOC";"over",#N/A,TRUE,"Overview";"ts2",#N/A,TRUE,"Det_Trans_Sum";"ei3c",#N/A,TRUE,"Earnings Impact";"ad3",#N/A,TRUE,"accretion dilution";"pfis3",#N/A,TRUE,"Pro Forma Income Statement";"acq3c",#N/A,TRUE,"Acquirer";"tar3c",#N/A,TRUE,"Target"}</definedName>
    <definedName name="wrn.12." hidden="1">{"cover",#N/A,TRUE,"Cover";"toc3",#N/A,TRUE,"TOC";"over",#N/A,TRUE,"Overview";"ts2",#N/A,TRUE,"Det_Trans_Sum";"ei3c",#N/A,TRUE,"Earnings Impact";"ad3",#N/A,TRUE,"accretion dilution";"pfis3",#N/A,TRUE,"Pro Forma Income Statement";"acq3c",#N/A,TRUE,"Acquirer";"tar3c",#N/A,TRUE,"Target"}</definedName>
    <definedName name="wrn.13." localSheetId="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localSheetId="7"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localSheetId="3"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localSheetId="7"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localSheetId="3"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localSheetId="7"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localSheetId="3"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localSheetId="7"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localSheetId="3" hidden="1">{"cover",#N/A,TRUE,"Cover";"toc5",#N/A,TRUE,"TOC";"over",#N/A,TRUE,"Overview";"ts2",#N/A,TRUE,"Det_Trans_Sum";"eic",#N/A,TRUE,"Earnings Impact";"ad",#N/A,TRUE,"accretion dilution";"pfis",#N/A,TRUE,"Pro Forma Income Statement";"ca",#N/A,TRUE,"Contribution_Analysis";"acqc",#N/A,TRUE,"Acquirer";"tarc",#N/A,TRUE,"Target"}</definedName>
    <definedName name="wrn.17." localSheetId="7" hidden="1">{"cover",#N/A,TRUE,"Cover";"toc5",#N/A,TRUE,"TOC";"over",#N/A,TRUE,"Overview";"ts2",#N/A,TRUE,"Det_Trans_Sum";"eic",#N/A,TRUE,"Earnings Impact";"ad",#N/A,TRUE,"accretion dilution";"pfis",#N/A,TRUE,"Pro Forma Income Statement";"ca",#N/A,TRUE,"Contribution_Analysis";"acqc",#N/A,TRUE,"Acquirer";"tarc",#N/A,TRUE,"Target"}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8." localSheetId="3" hidden="1">{"cover",#N/A,TRUE,"Cover";"toc5",#N/A,TRUE,"TOC";"over",#N/A,TRUE,"Overview";"ts2",#N/A,TRUE,"Det_Trans_Sum";"ei1c",#N/A,TRUE,"Earnings Impact";"ad1",#N/A,TRUE,"accretion dilution";"pfis1",#N/A,TRUE,"Pro Forma Income Statement";"ca1",#N/A,TRUE,"Contribution_Analysis";"acq1c",#N/A,TRUE,"Acquirer";"tar1c",#N/A,TRUE,"Target"}</definedName>
    <definedName name="wrn.18." localSheetId="7" hidden="1">{"cover",#N/A,TRUE,"Cover";"toc5",#N/A,TRUE,"TOC";"over",#N/A,TRUE,"Overview";"ts2",#N/A,TRUE,"Det_Trans_Sum";"ei1c",#N/A,TRUE,"Earnings Impact";"ad1",#N/A,TRUE,"accretion dilution";"pfis1",#N/A,TRUE,"Pro Forma Income Statement";"ca1",#N/A,TRUE,"Contribution_Analysis";"acq1c",#N/A,TRUE,"Acquirer";"tar1c",#N/A,TRUE,"Target"}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9." localSheetId="3" hidden="1">{"cover",#N/A,TRUE,"Cover";"toc5",#N/A,TRUE,"TOC";"ts2",#N/A,TRUE,"Det_Trans_Sum";"over",#N/A,TRUE,"Overview";"ei2c",#N/A,TRUE,"Earnings Impact";"ad2",#N/A,TRUE,"accretion dilution";"pfis2",#N/A,TRUE,"Pro Forma Income Statement";"ca2",#N/A,TRUE,"Contribution_Analysis";"acq2c",#N/A,TRUE,"Acquirer";"tar2c",#N/A,TRUE,"Target"}</definedName>
    <definedName name="wrn.19." localSheetId="7" hidden="1">{"cover",#N/A,TRUE,"Cover";"toc5",#N/A,TRUE,"TOC";"ts2",#N/A,TRUE,"Det_Trans_Sum";"over",#N/A,TRUE,"Overview";"ei2c",#N/A,TRUE,"Earnings Impact";"ad2",#N/A,TRUE,"accretion dilution";"pfis2",#N/A,TRUE,"Pro Forma Income Statement";"ca2",#N/A,TRUE,"Contribution_Analysis";"acq2c",#N/A,TRUE,"Acquirer";"tar2c",#N/A,TRUE,"Target"}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2." localSheetId="3" hidden="1">{"cover",#N/A,TRUE,"Cover";"toc1",#N/A,TRUE,"TOC";"ts1",#N/A,TRUE,"Transaction Summary";"ei1",#N/A,TRUE,"Earnings Impact";"ad1",#N/A,TRUE,"accretion dilution"}</definedName>
    <definedName name="wrn.2." localSheetId="7" hidden="1">{"cover",#N/A,TRUE,"Cover";"toc1",#N/A,TRUE,"TOC";"ts1",#N/A,TRUE,"Transaction Summary";"ei1",#N/A,TRUE,"Earnings Impact";"ad1",#N/A,TRUE,"accretion dilution"}</definedName>
    <definedName name="wrn.2." hidden="1">{"cover",#N/A,TRUE,"Cover";"toc1",#N/A,TRUE,"TOC";"ts1",#N/A,TRUE,"Transaction Summary";"ei1",#N/A,TRUE,"Earnings Impact";"ad1",#N/A,TRUE,"accretion dilution"}</definedName>
    <definedName name="wrn.2._.pagers." localSheetId="3" hidden="1">{"Cover",#N/A,FALSE,"Cover";"Summary",#N/A,FALSE,"Summarpage"}</definedName>
    <definedName name="wrn.2._.pagers." localSheetId="7" hidden="1">{"Cover",#N/A,FALSE,"Cover";"Summary",#N/A,FALSE,"Summarpage"}</definedName>
    <definedName name="wrn.2._.pagers." hidden="1">{"Cover",#N/A,FALSE,"Cover";"Summary",#N/A,FALSE,"Summarpage"}</definedName>
    <definedName name="wrn.2_5_99._.Scenarios." localSheetId="3" hidden="1">{#N/A,"Scenario 4; Book Value",FALSE,"Stream INPUTS";#N/A,"Scenario 4; Market Value",FALSE,"Stream INPUTS";#N/A,"Scenario 5; Book Value",FALSE,"Stream INPUTS";#N/A,"Scenario 5; Market Value",FALSE,"Stream INPUTS"}</definedName>
    <definedName name="wrn.2_5_99._.Scenarios." localSheetId="7" hidden="1">{#N/A,"Scenario 4; Book Value",FALSE,"Stream INPUTS";#N/A,"Scenario 4; Market Value",FALSE,"Stream INPUTS";#N/A,"Scenario 5; Book Value",FALSE,"Stream INPUTS";#N/A,"Scenario 5; Market Value",FALSE,"Stream INPUTS"}</definedName>
    <definedName name="wrn.2_5_99._.Scenarios." hidden="1">{#N/A,"Scenario 4; Book Value",FALSE,"Stream INPUTS";#N/A,"Scenario 4; Market Value",FALSE,"Stream INPUTS";#N/A,"Scenario 5; Book Value",FALSE,"Stream INPUTS";#N/A,"Scenario 5; Market Value",FALSE,"Stream INPUTS"}</definedName>
    <definedName name="wrn.20." localSheetId="3" hidden="1">{"cover",#N/A,TRUE,"Cover";"toc5",#N/A,TRUE,"TOC";"over",#N/A,TRUE,"Overview";"ts2",#N/A,TRUE,"Det_Trans_Sum";"ei3c",#N/A,TRUE,"Earnings Impact";"ad3",#N/A,TRUE,"accretion dilution";"pfis3",#N/A,TRUE,"Pro Forma Income Statement";"ca3",#N/A,TRUE,"Contribution_Analysis";"acq3c",#N/A,TRUE,"Acquirer";"tar3c",#N/A,TRUE,"Target"}</definedName>
    <definedName name="wrn.20." localSheetId="7" hidden="1">{"cover",#N/A,TRUE,"Cover";"toc5",#N/A,TRUE,"TOC";"over",#N/A,TRUE,"Overview";"ts2",#N/A,TRUE,"Det_Trans_Sum";"ei3c",#N/A,TRUE,"Earnings Impact";"ad3",#N/A,TRUE,"accretion dilution";"pfis3",#N/A,TRUE,"Pro Forma Income Statement";"ca3",#N/A,TRUE,"Contribution_Analysis";"acq3c",#N/A,TRUE,"Acquirer";"tar3c",#N/A,TRUE,"Target"}</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1." localSheetId="3" hidden="1">{"cover",#N/A,TRUE,"Cover";"toc6",#N/A,TRUE,"TOC";"over",#N/A,TRUE,"Overview";"ts2",#N/A,TRUE,"Det_Trans_Sum";"eic",#N/A,TRUE,"Earnings Impact";"ad",#N/A,TRUE,"accretion dilution";"hg",#N/A,TRUE,"Has-Gets";"pfis",#N/A,TRUE,"Pro Forma Income Statement";"ca",#N/A,TRUE,"Contribution_Analysis";"acqc",#N/A,TRUE,"Acquirer";"tarc",#N/A,TRUE,"Target"}</definedName>
    <definedName name="wrn.21." localSheetId="7" hidden="1">{"cover",#N/A,TRUE,"Cover";"toc6",#N/A,TRUE,"TOC";"over",#N/A,TRUE,"Overview";"ts2",#N/A,TRUE,"Det_Trans_Sum";"eic",#N/A,TRUE,"Earnings Impact";"ad",#N/A,TRUE,"accretion dilution";"hg",#N/A,TRUE,"Has-Gets";"pfis",#N/A,TRUE,"Pro Forma Income Statement";"ca",#N/A,TRUE,"Contribution_Analysis";"acqc",#N/A,TRUE,"Acquirer";"tarc",#N/A,TRUE,"Target"}</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2." localSheetId="3"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localSheetId="7"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localSheetId="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localSheetId="7"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localSheetId="3"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localSheetId="7"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localSheetId="3" hidden="1">{"cover",#N/A,TRUE,"Cover";"toc3",#N/A,TRUE,"TOC";"over",#N/A,TRUE,"Overview";"ts2",#N/A,TRUE,"Det_Trans_Sum";"ei",#N/A,TRUE,"Earnings Impact";"ad",#N/A,TRUE,"accretion dilution";"pfis",#N/A,TRUE,"Pro Forma Income Statement";"acq",#N/A,TRUE,"Acquirer";"tar",#N/A,TRUE,"Target"}</definedName>
    <definedName name="wrn.25." localSheetId="7" hidden="1">{"cover",#N/A,TRUE,"Cover";"toc3",#N/A,TRUE,"TOC";"over",#N/A,TRUE,"Overview";"ts2",#N/A,TRUE,"Det_Trans_Sum";"ei",#N/A,TRUE,"Earnings Impact";"ad",#N/A,TRUE,"accretion dilution";"pfis",#N/A,TRUE,"Pro Forma Income Statement";"acq",#N/A,TRUE,"Acquirer";"tar",#N/A,TRUE,"Target"}</definedName>
    <definedName name="wrn.25." hidden="1">{"cover",#N/A,TRUE,"Cover";"toc3",#N/A,TRUE,"TOC";"over",#N/A,TRUE,"Overview";"ts2",#N/A,TRUE,"Det_Trans_Sum";"ei",#N/A,TRUE,"Earnings Impact";"ad",#N/A,TRUE,"accretion dilution";"pfis",#N/A,TRUE,"Pro Forma Income Statement";"acq",#N/A,TRUE,"Acquirer";"tar",#N/A,TRUE,"Target"}</definedName>
    <definedName name="wrn.26." localSheetId="3" hidden="1">{"cover",#N/A,TRUE,"Cover";"toc3",#N/A,TRUE,"TOC";"over",#N/A,TRUE,"Overview";"ts2",#N/A,TRUE,"Det_Trans_Sum";"ei1",#N/A,TRUE,"Earnings Impact";"ad1",#N/A,TRUE,"accretion dilution";"pfis1",#N/A,TRUE,"Pro Forma Income Statement";"acq1",#N/A,TRUE,"Acquirer";"tar1",#N/A,TRUE,"Target"}</definedName>
    <definedName name="wrn.26." localSheetId="7" hidden="1">{"cover",#N/A,TRUE,"Cover";"toc3",#N/A,TRUE,"TOC";"over",#N/A,TRUE,"Overview";"ts2",#N/A,TRUE,"Det_Trans_Sum";"ei1",#N/A,TRUE,"Earnings Impact";"ad1",#N/A,TRUE,"accretion dilution";"pfis1",#N/A,TRUE,"Pro Forma Income Statement";"acq1",#N/A,TRUE,"Acquirer";"tar1",#N/A,TRUE,"Target"}</definedName>
    <definedName name="wrn.26." hidden="1">{"cover",#N/A,TRUE,"Cover";"toc3",#N/A,TRUE,"TOC";"over",#N/A,TRUE,"Overview";"ts2",#N/A,TRUE,"Det_Trans_Sum";"ei1",#N/A,TRUE,"Earnings Impact";"ad1",#N/A,TRUE,"accretion dilution";"pfis1",#N/A,TRUE,"Pro Forma Income Statement";"acq1",#N/A,TRUE,"Acquirer";"tar1",#N/A,TRUE,"Target"}</definedName>
    <definedName name="wrn.27." localSheetId="3" hidden="1">{"cover",#N/A,TRUE,"Cover";"toc3",#N/A,TRUE,"TOC";"over",#N/A,TRUE,"Overview";"ts2",#N/A,TRUE,"Det_Trans_Sum";"ei2",#N/A,TRUE,"Earnings Impact";"ad2",#N/A,TRUE,"accretion dilution";"pfis2",#N/A,TRUE,"Pro Forma Income Statement";"acq2",#N/A,TRUE,"Acquirer";"tar2",#N/A,TRUE,"Target"}</definedName>
    <definedName name="wrn.27." localSheetId="7" hidden="1">{"cover",#N/A,TRUE,"Cover";"toc3",#N/A,TRUE,"TOC";"over",#N/A,TRUE,"Overview";"ts2",#N/A,TRUE,"Det_Trans_Sum";"ei2",#N/A,TRUE,"Earnings Impact";"ad2",#N/A,TRUE,"accretion dilution";"pfis2",#N/A,TRUE,"Pro Forma Income Statement";"acq2",#N/A,TRUE,"Acquirer";"tar2",#N/A,TRUE,"Target"}</definedName>
    <definedName name="wrn.27." hidden="1">{"cover",#N/A,TRUE,"Cover";"toc3",#N/A,TRUE,"TOC";"over",#N/A,TRUE,"Overview";"ts2",#N/A,TRUE,"Det_Trans_Sum";"ei2",#N/A,TRUE,"Earnings Impact";"ad2",#N/A,TRUE,"accretion dilution";"pfis2",#N/A,TRUE,"Pro Forma Income Statement";"acq2",#N/A,TRUE,"Acquirer";"tar2",#N/A,TRUE,"Target"}</definedName>
    <definedName name="wrn.28." localSheetId="3" hidden="1">{"cover",#N/A,TRUE,"Cover";"toc3",#N/A,TRUE,"TOC";"over",#N/A,TRUE,"Overview";"ts2",#N/A,TRUE,"Det_Trans_Sum";"ei3",#N/A,TRUE,"Earnings Impact";"ad3",#N/A,TRUE,"accretion dilution";"pfis3",#N/A,TRUE,"Pro Forma Income Statement";"acq3",#N/A,TRUE,"Acquirer";"tar3",#N/A,TRUE,"Target"}</definedName>
    <definedName name="wrn.28." localSheetId="7" hidden="1">{"cover",#N/A,TRUE,"Cover";"toc3",#N/A,TRUE,"TOC";"over",#N/A,TRUE,"Overview";"ts2",#N/A,TRUE,"Det_Trans_Sum";"ei3",#N/A,TRUE,"Earnings Impact";"ad3",#N/A,TRUE,"accretion dilution";"pfis3",#N/A,TRUE,"Pro Forma Income Statement";"acq3",#N/A,TRUE,"Acquirer";"tar3",#N/A,TRUE,"Target"}</definedName>
    <definedName name="wrn.28." hidden="1">{"cover",#N/A,TRUE,"Cover";"toc3",#N/A,TRUE,"TOC";"over",#N/A,TRUE,"Overview";"ts2",#N/A,TRUE,"Det_Trans_Sum";"ei3",#N/A,TRUE,"Earnings Impact";"ad3",#N/A,TRUE,"accretion dilution";"pfis3",#N/A,TRUE,"Pro Forma Income Statement";"acq3",#N/A,TRUE,"Acquirer";"tar3",#N/A,TRUE,"Target"}</definedName>
    <definedName name="wrn.29." localSheetId="3"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localSheetId="7"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3." localSheetId="3" hidden="1">{"cover",#N/A,TRUE,"Cover";"toc1",#N/A,TRUE,"TOC";"ts1",#N/A,TRUE,"Transaction Summary";"ei2",#N/A,TRUE,"Earnings Impact";"ad2",#N/A,TRUE,"accretion dilution"}</definedName>
    <definedName name="wrn.3." localSheetId="7" hidden="1">{"cover",#N/A,TRUE,"Cover";"toc1",#N/A,TRUE,"TOC";"ts1",#N/A,TRUE,"Transaction Summary";"ei2",#N/A,TRUE,"Earnings Impact";"ad2",#N/A,TRUE,"accretion dilution"}</definedName>
    <definedName name="wrn.3." hidden="1">{"cover",#N/A,TRUE,"Cover";"toc1",#N/A,TRUE,"TOC";"ts1",#N/A,TRUE,"Transaction Summary";"ei2",#N/A,TRUE,"Earnings Impact";"ad2",#N/A,TRUE,"accretion dilution"}</definedName>
    <definedName name="wrn.30." localSheetId="3"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localSheetId="7"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Per._.Cent." localSheetId="3" hidden="1">{#N/A,"30% Success",TRUE,"Sales Forecast";#N/A,#N/A,TRUE,"Sheet2"}</definedName>
    <definedName name="wrn.30._.Per._.Cent." localSheetId="7" hidden="1">{#N/A,"30% Success",TRUE,"Sales Forecast";#N/A,#N/A,TRUE,"Sheet2"}</definedName>
    <definedName name="wrn.30._.Per._.Cent." hidden="1">{#N/A,"30% Success",TRUE,"Sales Forecast";#N/A,#N/A,TRUE,"Sheet2"}</definedName>
    <definedName name="wrn.31." localSheetId="3"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localSheetId="7"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localSheetId="3"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localSheetId="7"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localSheetId="3" hidden="1">{"cover",#N/A,TRUE,"Cover";"toc5",#N/A,TRUE,"TOC";"over",#N/A,TRUE,"Overview";"ts2",#N/A,TRUE,"Det_Trans_Sum";"ei",#N/A,TRUE,"Earnings Impact";"ad",#N/A,TRUE,"accretion dilution";"pfis",#N/A,TRUE,"Pro Forma Income Statement";"ca",#N/A,TRUE,"Contribution_Analysis";"acq",#N/A,TRUE,"Acquirer";"tar",#N/A,TRUE,"Target"}</definedName>
    <definedName name="wrn.33." localSheetId="7" hidden="1">{"cover",#N/A,TRUE,"Cover";"toc5",#N/A,TRUE,"TOC";"over",#N/A,TRUE,"Overview";"ts2",#N/A,TRUE,"Det_Trans_Sum";"ei",#N/A,TRUE,"Earnings Impact";"ad",#N/A,TRUE,"accretion dilution";"pfis",#N/A,TRUE,"Pro Forma Income Statement";"ca",#N/A,TRUE,"Contribution_Analysis";"acq",#N/A,TRUE,"Acquirer";"tar",#N/A,TRUE,"Target"}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4." localSheetId="3" hidden="1">{"cover",#N/A,TRUE,"Cover";"toc5",#N/A,TRUE,"TOC";"over",#N/A,TRUE,"Overview";"ts2",#N/A,TRUE,"Det_Trans_Sum";"ei1",#N/A,TRUE,"Earnings Impact";"ad1",#N/A,TRUE,"accretion dilution";"pfis1",#N/A,TRUE,"Pro Forma Income Statement";"ca1",#N/A,TRUE,"Contribution_Analysis";"acq1",#N/A,TRUE,"Acquirer";"tar1",#N/A,TRUE,"Target"}</definedName>
    <definedName name="wrn.34." localSheetId="7" hidden="1">{"cover",#N/A,TRUE,"Cover";"toc5",#N/A,TRUE,"TOC";"over",#N/A,TRUE,"Overview";"ts2",#N/A,TRUE,"Det_Trans_Sum";"ei1",#N/A,TRUE,"Earnings Impact";"ad1",#N/A,TRUE,"accretion dilution";"pfis1",#N/A,TRUE,"Pro Forma Income Statement";"ca1",#N/A,TRUE,"Contribution_Analysis";"acq1",#N/A,TRUE,"Acquirer";"tar1",#N/A,TRUE,"Target"}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5." localSheetId="3" hidden="1">{"cover",#N/A,TRUE,"Cover";"toc5",#N/A,TRUE,"TOC";"over",#N/A,TRUE,"Overview";"ts2",#N/A,TRUE,"Det_Trans_Sum";"ei2",#N/A,TRUE,"Earnings Impact";"ad2",#N/A,TRUE,"accretion dilution";"pfis2",#N/A,TRUE,"Pro Forma Income Statement";"ca2",#N/A,TRUE,"Contribution_Analysis";"acq2",#N/A,TRUE,"Acquirer";"tar2",#N/A,TRUE,"Target"}</definedName>
    <definedName name="wrn.35." localSheetId="7" hidden="1">{"cover",#N/A,TRUE,"Cover";"toc5",#N/A,TRUE,"TOC";"over",#N/A,TRUE,"Overview";"ts2",#N/A,TRUE,"Det_Trans_Sum";"ei2",#N/A,TRUE,"Earnings Impact";"ad2",#N/A,TRUE,"accretion dilution";"pfis2",#N/A,TRUE,"Pro Forma Income Statement";"ca2",#N/A,TRUE,"Contribution_Analysis";"acq2",#N/A,TRUE,"Acquirer";"tar2",#N/A,TRUE,"Target"}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6." localSheetId="3" hidden="1">{"cover",#N/A,TRUE,"Cover";"toc5",#N/A,TRUE,"TOC";"over",#N/A,TRUE,"Overview";"ts2",#N/A,TRUE,"Det_Trans_Sum";"ei3",#N/A,TRUE,"Earnings Impact";"ad3",#N/A,TRUE,"accretion dilution";"pfis3",#N/A,TRUE,"Pro Forma Income Statement";"ca3",#N/A,TRUE,"Contribution_Analysis";"acq3",#N/A,TRUE,"Acquirer";"tar3",#N/A,TRUE,"Target"}</definedName>
    <definedName name="wrn.36." localSheetId="7" hidden="1">{"cover",#N/A,TRUE,"Cover";"toc5",#N/A,TRUE,"TOC";"over",#N/A,TRUE,"Overview";"ts2",#N/A,TRUE,"Det_Trans_Sum";"ei3",#N/A,TRUE,"Earnings Impact";"ad3",#N/A,TRUE,"accretion dilution";"pfis3",#N/A,TRUE,"Pro Forma Income Statement";"ca3",#N/A,TRUE,"Contribution_Analysis";"acq3",#N/A,TRUE,"Acquirer";"tar3",#N/A,TRUE,"Target"}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7." localSheetId="3" hidden="1">{"cover",#N/A,TRUE,"Cover";"toc6",#N/A,TRUE,"TOC";"over",#N/A,TRUE,"Overview";"ts2",#N/A,TRUE,"Det_Trans_Sum";"ei",#N/A,TRUE,"Earnings Impact";"ad",#N/A,TRUE,"accretion dilution";"hg",#N/A,TRUE,"Has-Gets";"pfis",#N/A,TRUE,"Pro Forma Income Statement";"ca",#N/A,TRUE,"Contribution_Analysis";"acq",#N/A,TRUE,"Acquirer";"tar",#N/A,TRUE,"Target"}</definedName>
    <definedName name="wrn.37." localSheetId="7" hidden="1">{"cover",#N/A,TRUE,"Cover";"toc6",#N/A,TRUE,"TOC";"over",#N/A,TRUE,"Overview";"ts2",#N/A,TRUE,"Det_Trans_Sum";"ei",#N/A,TRUE,"Earnings Impact";"ad",#N/A,TRUE,"accretion dilution";"hg",#N/A,TRUE,"Has-Gets";"pfis",#N/A,TRUE,"Pro Forma Income Statement";"ca",#N/A,TRUE,"Contribution_Analysis";"acq",#N/A,TRUE,"Acquirer";"tar",#N/A,TRUE,"Target"}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8." localSheetId="3" hidden="1">{"cover",#N/A,TRUE,"Cover";"toc6",#N/A,TRUE,"TOC";"over",#N/A,TRUE,"Overview";"ts2",#N/A,TRUE,"Det_Trans_Sum";"ei1",#N/A,TRUE,"Earnings Impact";"ad1",#N/A,TRUE,"accretion dilution";"hg1",#N/A,TRUE,"Has-Gets";"pfis1",#N/A,TRUE,"Pro Forma Income Statement";"ca1",#N/A,TRUE,"Contribution_Analysis";"acq1",#N/A,TRUE,"Acquirer";"tar1",#N/A,TRUE,"Target"}</definedName>
    <definedName name="wrn.38." localSheetId="7" hidden="1">{"cover",#N/A,TRUE,"Cover";"toc6",#N/A,TRUE,"TOC";"over",#N/A,TRUE,"Overview";"ts2",#N/A,TRUE,"Det_Trans_Sum";"ei1",#N/A,TRUE,"Earnings Impact";"ad1",#N/A,TRUE,"accretion dilution";"hg1",#N/A,TRUE,"Has-Gets";"pfis1",#N/A,TRUE,"Pro Forma Income Statement";"ca1",#N/A,TRUE,"Contribution_Analysis";"acq1",#N/A,TRUE,"Acquirer";"tar1",#N/A,TRUE,"Target"}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9." localSheetId="3" hidden="1">{"cover",#N/A,TRUE,"Cover";"toc6",#N/A,TRUE,"TOC";"over",#N/A,TRUE,"Overview";"ts2",#N/A,TRUE,"Det_Trans_Sum";"ei2",#N/A,TRUE,"Earnings Impact";"ad2",#N/A,TRUE,"accretion dilution";"hg2",#N/A,TRUE,"Has-Gets";"pfis2",#N/A,TRUE,"Pro Forma Income Statement";"ca2",#N/A,TRUE,"Contribution_Analysis";"acq2",#N/A,TRUE,"Acquirer";"tar2",#N/A,TRUE,"Target"}</definedName>
    <definedName name="wrn.39." localSheetId="7" hidden="1">{"cover",#N/A,TRUE,"Cover";"toc6",#N/A,TRUE,"TOC";"over",#N/A,TRUE,"Overview";"ts2",#N/A,TRUE,"Det_Trans_Sum";"ei2",#N/A,TRUE,"Earnings Impact";"ad2",#N/A,TRUE,"accretion dilution";"hg2",#N/A,TRUE,"Has-Gets";"pfis2",#N/A,TRUE,"Pro Forma Income Statement";"ca2",#N/A,TRUE,"Contribution_Analysis";"acq2",#N/A,TRUE,"Acquirer";"tar2",#N/A,TRUE,"Target"}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3cases." localSheetId="3" hidden="1">{#N/A,"Base",FALSE,"Dividend";#N/A,"Conservative",FALSE,"Dividend";#N/A,"Downside",FALSE,"Dividend"}</definedName>
    <definedName name="wrn.3cases." localSheetId="7" hidden="1">{#N/A,"Base",FALSE,"Dividend";#N/A,"Conservative",FALSE,"Dividend";#N/A,"Downside",FALSE,"Dividend"}</definedName>
    <definedName name="wrn.3cases." hidden="1">{#N/A,"Base",FALSE,"Dividend";#N/A,"Conservative",FALSE,"Dividend";#N/A,"Downside",FALSE,"Dividend"}</definedName>
    <definedName name="wrn.4." localSheetId="3" hidden="1">{"toc1",#N/A,FALSE,"TOC";"cover",#N/A,FALSE,"Cover";"ts1",#N/A,FALSE,"Transaction Summary";"ei3",#N/A,FALSE,"Earnings Impact";"ad3",#N/A,FALSE,"accretion dilution"}</definedName>
    <definedName name="wrn.4." localSheetId="7" hidden="1">{"toc1",#N/A,FALSE,"TOC";"cover",#N/A,FALSE,"Cover";"ts1",#N/A,FALSE,"Transaction Summary";"ei3",#N/A,FALSE,"Earnings Impact";"ad3",#N/A,FALSE,"accretion dilution"}</definedName>
    <definedName name="wrn.4." hidden="1">{"toc1",#N/A,FALSE,"TOC";"cover",#N/A,FALSE,"Cover";"ts1",#N/A,FALSE,"Transaction Summary";"ei3",#N/A,FALSE,"Earnings Impact";"ad3",#N/A,FALSE,"accretion dilution"}</definedName>
    <definedName name="wrn.40." localSheetId="3" hidden="1">{"cover",#N/A,TRUE,"Cover";"toc6",#N/A,TRUE,"TOC";"over",#N/A,TRUE,"Overview";"ts2",#N/A,TRUE,"Det_Trans_Sum";"ei3",#N/A,TRUE,"Earnings Impact";"ad3",#N/A,TRUE,"accretion dilution";"hg3",#N/A,TRUE,"Has-Gets";"pfis3",#N/A,TRUE,"Pro Forma Income Statement";"ca3",#N/A,TRUE,"Contribution_Analysis";"acq3",#N/A,TRUE,"Acquirer";"tar3",#N/A,TRUE,"Target"}</definedName>
    <definedName name="wrn.40." localSheetId="7" hidden="1">{"cover",#N/A,TRUE,"Cover";"toc6",#N/A,TRUE,"TOC";"over",#N/A,TRUE,"Overview";"ts2",#N/A,TRUE,"Det_Trans_Sum";"ei3",#N/A,TRUE,"Earnings Impact";"ad3",#N/A,TRUE,"accretion dilution";"hg3",#N/A,TRUE,"Has-Gets";"pfis3",#N/A,TRUE,"Pro Forma Income Statement";"ca3",#N/A,TRUE,"Contribution_Analysis";"acq3",#N/A,TRUE,"Acquirer";"tar3",#N/A,TRUE,"Target"}</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1." localSheetId="3" hidden="1">{"cover",#N/A,TRUE,"Cover";"toc7",#N/A,TRUE,"TOC";"over",#N/A,TRUE,"Overview";"ts2",#N/A,TRUE,"Det_Trans_Sum";"eic",#N/A,TRUE,"Earnings Impact";"ad",#N/A,TRUE,"accretion dilution";"pfis",#N/A,TRUE,"Pro Forma Income Statement";"profba",#N/A,TRUE,"Pro Forma Balance Sheet";"acqc",#N/A,TRUE,"Acquirer";"tarc",#N/A,TRUE,"Target"}</definedName>
    <definedName name="wrn.41." localSheetId="7" hidden="1">{"cover",#N/A,TRUE,"Cover";"toc7",#N/A,TRUE,"TOC";"over",#N/A,TRUE,"Overview";"ts2",#N/A,TRUE,"Det_Trans_Sum";"eic",#N/A,TRUE,"Earnings Impact";"ad",#N/A,TRUE,"accretion dilution";"pfis",#N/A,TRUE,"Pro Forma Income Statement";"profba",#N/A,TRUE,"Pro Forma Balance Sheet";"acqc",#N/A,TRUE,"Acquirer";"tarc",#N/A,TRUE,"Target"}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2." localSheetId="3" hidden="1">{"cover",#N/A,TRUE,"Cover";"toc7",#N/A,TRUE,"TOC";"over",#N/A,TRUE,"Overview";"ts2",#N/A,TRUE,"Det_Trans_Sum";"ei1c",#N/A,TRUE,"Earnings Impact";"ad1",#N/A,TRUE,"accretion dilution";"pfis1",#N/A,TRUE,"Pro Forma Income Statement";"profba",#N/A,TRUE,"Pro Forma Balance Sheet";"acq1c",#N/A,TRUE,"Acquirer";"tar1c",#N/A,TRUE,"Target"}</definedName>
    <definedName name="wrn.42." localSheetId="7" hidden="1">{"cover",#N/A,TRUE,"Cover";"toc7",#N/A,TRUE,"TOC";"over",#N/A,TRUE,"Overview";"ts2",#N/A,TRUE,"Det_Trans_Sum";"ei1c",#N/A,TRUE,"Earnings Impact";"ad1",#N/A,TRUE,"accretion dilution";"pfis1",#N/A,TRUE,"Pro Forma Income Statement";"profba",#N/A,TRUE,"Pro Forma Balance Sheet";"acq1c",#N/A,TRUE,"Acquirer";"tar1c",#N/A,TRUE,"Target"}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3." localSheetId="3" hidden="1">{"cover",#N/A,TRUE,"Cover";"toc7",#N/A,TRUE,"TOC";"over",#N/A,TRUE,"Overview";"ts2",#N/A,TRUE,"Det_Trans_Sum";"ei2c",#N/A,TRUE,"Earnings Impact";"ad2",#N/A,TRUE,"accretion dilution";"pfis2",#N/A,TRUE,"Pro Forma Income Statement";"profba",#N/A,TRUE,"Pro Forma Balance Sheet";"acq2c",#N/A,TRUE,"Acquirer";"tar2c",#N/A,TRUE,"Target"}</definedName>
    <definedName name="wrn.43." localSheetId="7" hidden="1">{"cover",#N/A,TRUE,"Cover";"toc7",#N/A,TRUE,"TOC";"over",#N/A,TRUE,"Overview";"ts2",#N/A,TRUE,"Det_Trans_Sum";"ei2c",#N/A,TRUE,"Earnings Impact";"ad2",#N/A,TRUE,"accretion dilution";"pfis2",#N/A,TRUE,"Pro Forma Income Statement";"profba",#N/A,TRUE,"Pro Forma Balance Sheet";"acq2c",#N/A,TRUE,"Acquirer";"tar2c",#N/A,TRUE,"Target"}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4." localSheetId="3" hidden="1">{"cover",#N/A,TRUE,"Cover";"toc7",#N/A,TRUE,"TOC";"over",#N/A,TRUE,"Overview";"ts2",#N/A,TRUE,"Det_Trans_Sum";"ei3c",#N/A,TRUE,"Earnings Impact";"ad3",#N/A,TRUE,"accretion dilution";"pfis3",#N/A,TRUE,"Pro Forma Income Statement";"profba",#N/A,TRUE,"Pro Forma Balance Sheet";"acq3c",#N/A,TRUE,"Acquirer";"tar3c",#N/A,TRUE,"Target"}</definedName>
    <definedName name="wrn.44." localSheetId="7" hidden="1">{"cover",#N/A,TRUE,"Cover";"toc7",#N/A,TRUE,"TOC";"over",#N/A,TRUE,"Overview";"ts2",#N/A,TRUE,"Det_Trans_Sum";"ei3c",#N/A,TRUE,"Earnings Impact";"ad3",#N/A,TRUE,"accretion dilution";"pfis3",#N/A,TRUE,"Pro Forma Income Statement";"profba",#N/A,TRUE,"Pro Forma Balance Sheet";"acq3c",#N/A,TRUE,"Acquirer";"tar3c",#N/A,TRUE,"Target"}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5." localSheetId="3"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localSheetId="7"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localSheetId="3"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localSheetId="7"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localSheetId="3"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localSheetId="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localSheetId="3"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localSheetId="7"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localSheetId="3"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localSheetId="7"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5." localSheetId="3" hidden="1">{"cover",#N/A,TRUE,"Cover";"toc2",#N/A,TRUE,"TOC";"ts1",#N/A,TRUE,"Transaction Summary";"ei",#N/A,TRUE,"Earnings Impact";"ad",#N/A,TRUE,"accretion dilution";"hg",#N/A,TRUE,"Has-Gets"}</definedName>
    <definedName name="wrn.5." localSheetId="7" hidden="1">{"cover",#N/A,TRUE,"Cover";"toc2",#N/A,TRUE,"TOC";"ts1",#N/A,TRUE,"Transaction Summary";"ei",#N/A,TRUE,"Earnings Impact";"ad",#N/A,TRUE,"accretion dilution";"hg",#N/A,TRUE,"Has-Gets"}</definedName>
    <definedName name="wrn.5." hidden="1">{"cover",#N/A,TRUE,"Cover";"toc2",#N/A,TRUE,"TOC";"ts1",#N/A,TRUE,"Transaction Summary";"ei",#N/A,TRUE,"Earnings Impact";"ad",#N/A,TRUE,"accretion dilution";"hg",#N/A,TRUE,"Has-Gets"}</definedName>
    <definedName name="wrn.50." localSheetId="3"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localSheetId="7"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1." localSheetId="3"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localSheetId="7"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localSheetId="3"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localSheetId="7"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localSheetId="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localSheetId="7"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localSheetId="3"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localSheetId="7"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localSheetId="3"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localSheetId="7"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localSheetId="3"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localSheetId="7"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localSheetId="3" hidden="1">{"cover",#N/A,TRUE,"Cover";"toc7",#N/A,TRUE,"TOC";"over",#N/A,TRUE,"Overview";"ts2",#N/A,TRUE,"Det_Trans_Sum";"ei",#N/A,TRUE,"Earnings Impact";"ad",#N/A,TRUE,"accretion dilution";"pfis",#N/A,TRUE,"Pro Forma Income Statement";"profba",#N/A,TRUE,"Pro Forma Balance Sheet";"acq",#N/A,TRUE,"Acquirer";"tar",#N/A,TRUE,"Target"}</definedName>
    <definedName name="wrn.57." localSheetId="7" hidden="1">{"cover",#N/A,TRUE,"Cover";"toc7",#N/A,TRUE,"TOC";"over",#N/A,TRUE,"Overview";"ts2",#N/A,TRUE,"Det_Trans_Sum";"ei",#N/A,TRUE,"Earnings Impact";"ad",#N/A,TRUE,"accretion dilution";"pfis",#N/A,TRUE,"Pro Forma Income Statement";"profba",#N/A,TRUE,"Pro Forma Balance Sheet";"acq",#N/A,TRUE,"Acquirer";"tar",#N/A,TRUE,"Target"}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8." localSheetId="3" hidden="1">{"cover",#N/A,TRUE,"Cover";"toc7",#N/A,TRUE,"TOC";"over",#N/A,TRUE,"Overview";"ts2",#N/A,TRUE,"Det_Trans_Sum";"ei1",#N/A,TRUE,"Earnings Impact";"ad1",#N/A,TRUE,"accretion dilution";"pfis1",#N/A,TRUE,"Pro Forma Income Statement";"profba",#N/A,TRUE,"Pro Forma Balance Sheet";"acq1",#N/A,TRUE,"Acquirer";"tar1",#N/A,TRUE,"Target"}</definedName>
    <definedName name="wrn.58." localSheetId="7" hidden="1">{"cover",#N/A,TRUE,"Cover";"toc7",#N/A,TRUE,"TOC";"over",#N/A,TRUE,"Overview";"ts2",#N/A,TRUE,"Det_Trans_Sum";"ei1",#N/A,TRUE,"Earnings Impact";"ad1",#N/A,TRUE,"accretion dilution";"pfis1",#N/A,TRUE,"Pro Forma Income Statement";"profba",#N/A,TRUE,"Pro Forma Balance Sheet";"acq1",#N/A,TRUE,"Acquirer";"tar1",#N/A,TRUE,"Target"}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9." localSheetId="3" hidden="1">{"cover",#N/A,TRUE,"Cover";"toc7",#N/A,TRUE,"TOC";"over",#N/A,TRUE,"Overview";"ts2",#N/A,TRUE,"Det_Trans_Sum";"ei2",#N/A,TRUE,"Earnings Impact";"ad2",#N/A,TRUE,"accretion dilution";"pfis2",#N/A,TRUE,"Pro Forma Income Statement";"profba",#N/A,TRUE,"Pro Forma Balance Sheet";"acq2",#N/A,TRUE,"Acquirer";"tar2",#N/A,TRUE,"Target"}</definedName>
    <definedName name="wrn.59." localSheetId="7" hidden="1">{"cover",#N/A,TRUE,"Cover";"toc7",#N/A,TRUE,"TOC";"over",#N/A,TRUE,"Overview";"ts2",#N/A,TRUE,"Det_Trans_Sum";"ei2",#N/A,TRUE,"Earnings Impact";"ad2",#N/A,TRUE,"accretion dilution";"pfis2",#N/A,TRUE,"Pro Forma Income Statement";"profba",#N/A,TRUE,"Pro Forma Balance Sheet";"acq2",#N/A,TRUE,"Acquirer";"tar2",#N/A,TRUE,"Target"}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6." localSheetId="3" hidden="1">{"cover",#N/A,TRUE,"Cover";"toc2",#N/A,TRUE,"TOC";"ts1",#N/A,TRUE,"Transaction Summary";"ei1",#N/A,TRUE,"Earnings Impact";"ad1",#N/A,TRUE,"accretion dilution";"hg1",#N/A,TRUE,"Has-Gets"}</definedName>
    <definedName name="wrn.6." localSheetId="7" hidden="1">{"cover",#N/A,TRUE,"Cover";"toc2",#N/A,TRUE,"TOC";"ts1",#N/A,TRUE,"Transaction Summary";"ei1",#N/A,TRUE,"Earnings Impact";"ad1",#N/A,TRUE,"accretion dilution";"hg1",#N/A,TRUE,"Has-Gets"}</definedName>
    <definedName name="wrn.6." hidden="1">{"cover",#N/A,TRUE,"Cover";"toc2",#N/A,TRUE,"TOC";"ts1",#N/A,TRUE,"Transaction Summary";"ei1",#N/A,TRUE,"Earnings Impact";"ad1",#N/A,TRUE,"accretion dilution";"hg1",#N/A,TRUE,"Has-Gets"}</definedName>
    <definedName name="wrn.60." localSheetId="3" hidden="1">{"cover",#N/A,TRUE,"Cover";"toc7",#N/A,TRUE,"TOC";"over",#N/A,TRUE,"Overview";"ts2",#N/A,TRUE,"Det_Trans_Sum";"ei3",#N/A,TRUE,"Earnings Impact";"ad3",#N/A,TRUE,"accretion dilution";"pfis3",#N/A,TRUE,"Pro Forma Income Statement";"profba",#N/A,TRUE,"Pro Forma Balance Sheet";"acq3",#N/A,TRUE,"Acquirer";"tar3",#N/A,TRUE,"Target"}</definedName>
    <definedName name="wrn.60." localSheetId="7" hidden="1">{"cover",#N/A,TRUE,"Cover";"toc7",#N/A,TRUE,"TOC";"over",#N/A,TRUE,"Overview";"ts2",#N/A,TRUE,"Det_Trans_Sum";"ei3",#N/A,TRUE,"Earnings Impact";"ad3",#N/A,TRUE,"accretion dilution";"pfis3",#N/A,TRUE,"Pro Forma Income Statement";"profba",#N/A,TRUE,"Pro Forma Balance Sheet";"acq3",#N/A,TRUE,"Acquirer";"tar3",#N/A,TRUE,"Target"}</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1." localSheetId="3"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localSheetId="7"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localSheetId="3"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localSheetId="7"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localSheetId="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localSheetId="7"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localSheetId="3"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localSheetId="7"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localSheetId="3"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localSheetId="7"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localSheetId="3"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localSheetId="7"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localSheetId="3"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localSheetId="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localSheetId="3"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localSheetId="7"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localSheetId="3"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localSheetId="7"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localSheetId="3" hidden="1">{"cover",#N/A,TRUE,"Cover";"toc2",#N/A,TRUE,"TOC";"ts1",#N/A,TRUE,"Transaction Summary";"ei2c",#N/A,TRUE,"Earnings Impact";"ad2",#N/A,TRUE,"accretion dilution";"hg2",#N/A,TRUE,"Has-Gets"}</definedName>
    <definedName name="wrn.7." localSheetId="7" hidden="1">{"cover",#N/A,TRUE,"Cover";"toc2",#N/A,TRUE,"TOC";"ts1",#N/A,TRUE,"Transaction Summary";"ei2c",#N/A,TRUE,"Earnings Impact";"ad2",#N/A,TRUE,"accretion dilution";"hg2",#N/A,TRUE,"Has-Gets"}</definedName>
    <definedName name="wrn.7." hidden="1">{"cover",#N/A,TRUE,"Cover";"toc2",#N/A,TRUE,"TOC";"ts1",#N/A,TRUE,"Transaction Summary";"ei2c",#N/A,TRUE,"Earnings Impact";"ad2",#N/A,TRUE,"accretion dilution";"hg2",#N/A,TRUE,"Has-Gets"}</definedName>
    <definedName name="wrn.70." localSheetId="3"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localSheetId="7"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Per._.Cent._.Success." localSheetId="3" hidden="1">{#N/A,"70% Success",FALSE,"Sales Forecast";#N/A,#N/A,FALSE,"Sheet2"}</definedName>
    <definedName name="wrn.70._.Per._.Cent._.Success." localSheetId="7" hidden="1">{#N/A,"70% Success",FALSE,"Sales Forecast";#N/A,#N/A,FALSE,"Sheet2"}</definedName>
    <definedName name="wrn.70._.Per._.Cent._.Success." hidden="1">{#N/A,"70% Success",FALSE,"Sales Forecast";#N/A,#N/A,FALSE,"Sheet2"}</definedName>
    <definedName name="wrn.71." localSheetId="3"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localSheetId="7"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localSheetId="3"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localSheetId="7"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30." localSheetId="3" hidden="1">{#N/A,#N/A,FALSE,"REPORT"}</definedName>
    <definedName name="wrn.730." localSheetId="7" hidden="1">{#N/A,#N/A,FALSE,"REPORT"}</definedName>
    <definedName name="wrn.730." hidden="1">{#N/A,#N/A,FALSE,"REPORT"}</definedName>
    <definedName name="wrn.731" localSheetId="3" hidden="1">{#N/A,#N/A,FALSE,"REPORT"}</definedName>
    <definedName name="wrn.731" localSheetId="7" hidden="1">{#N/A,#N/A,FALSE,"REPORT"}</definedName>
    <definedName name="wrn.731" hidden="1">{#N/A,#N/A,FALSE,"REPORT"}</definedName>
    <definedName name="wrn.750." localSheetId="3" hidden="1">{#N/A,#N/A,FALSE,"REPORT"}</definedName>
    <definedName name="wrn.750." localSheetId="7" hidden="1">{#N/A,#N/A,FALSE,"REPORT"}</definedName>
    <definedName name="wrn.750." hidden="1">{#N/A,#N/A,FALSE,"REPORT"}</definedName>
    <definedName name="wrn.7501" localSheetId="3" hidden="1">{#N/A,#N/A,FALSE,"REPORT"}</definedName>
    <definedName name="wrn.7501" localSheetId="7" hidden="1">{#N/A,#N/A,FALSE,"REPORT"}</definedName>
    <definedName name="wrn.7501" hidden="1">{#N/A,#N/A,FALSE,"REPORT"}</definedName>
    <definedName name="wrn.760.16." localSheetId="3" hidden="1">{#N/A,#N/A,FALSE,"REPORT"}</definedName>
    <definedName name="wrn.760.16." localSheetId="7" hidden="1">{#N/A,#N/A,FALSE,"REPORT"}</definedName>
    <definedName name="wrn.760.16." hidden="1">{#N/A,#N/A,FALSE,"REPORT"}</definedName>
    <definedName name="wrn.7900" localSheetId="3" hidden="1">{#N/A,#N/A,FALSE,"REPORT"}</definedName>
    <definedName name="wrn.7900" localSheetId="7" hidden="1">{#N/A,#N/A,FALSE,"REPORT"}</definedName>
    <definedName name="wrn.7900" hidden="1">{#N/A,#N/A,FALSE,"REPORT"}</definedName>
    <definedName name="wrn.8." localSheetId="3" hidden="1">{"cover",#N/A,TRUE,"Cover";"toc2",#N/A,TRUE,"TOC";"ts1",#N/A,TRUE,"Transaction Summary";"ei3",#N/A,TRUE,"Earnings Impact";"ad3",#N/A,TRUE,"accretion dilution";"hg3",#N/A,TRUE,"Has-Gets"}</definedName>
    <definedName name="wrn.8." localSheetId="7" hidden="1">{"cover",#N/A,TRUE,"Cover";"toc2",#N/A,TRUE,"TOC";"ts1",#N/A,TRUE,"Transaction Summary";"ei3",#N/A,TRUE,"Earnings Impact";"ad3",#N/A,TRUE,"accretion dilution";"hg3",#N/A,TRUE,"Has-Gets"}</definedName>
    <definedName name="wrn.8." hidden="1">{"cover",#N/A,TRUE,"Cover";"toc2",#N/A,TRUE,"TOC";"ts1",#N/A,TRUE,"Transaction Summary";"ei3",#N/A,TRUE,"Earnings Impact";"ad3",#N/A,TRUE,"accretion dilution";"hg3",#N/A,TRUE,"Has-Gets"}</definedName>
    <definedName name="wrn.9." localSheetId="3" hidden="1">{"cover",#N/A,TRUE,"Cover";"toc3",#N/A,TRUE,"TOC";"over",#N/A,TRUE,"Overview";"ts2",#N/A,TRUE,"Det_Trans_Sum";"eic",#N/A,TRUE,"Earnings Impact";"ad",#N/A,TRUE,"accretion dilution";"pfis",#N/A,TRUE,"Pro Forma Income Statement";"acqc",#N/A,TRUE,"Acquirer";"tarc",#N/A,TRUE,"Target"}</definedName>
    <definedName name="wrn.9." localSheetId="7" hidden="1">{"cover",#N/A,TRUE,"Cover";"toc3",#N/A,TRUE,"TOC";"over",#N/A,TRUE,"Overview";"ts2",#N/A,TRUE,"Det_Trans_Sum";"eic",#N/A,TRUE,"Earnings Impact";"ad",#N/A,TRUE,"accretion dilution";"pfis",#N/A,TRUE,"Pro Forma Income Statement";"acqc",#N/A,TRUE,"Acquirer";"tarc",#N/A,TRUE,"Target"}</definedName>
    <definedName name="wrn.9." hidden="1">{"cover",#N/A,TRUE,"Cover";"toc3",#N/A,TRUE,"TOC";"over",#N/A,TRUE,"Overview";"ts2",#N/A,TRUE,"Det_Trans_Sum";"eic",#N/A,TRUE,"Earnings Impact";"ad",#N/A,TRUE,"accretion dilution";"pfis",#N/A,TRUE,"Pro Forma Income Statement";"acqc",#N/A,TRUE,"Acquirer";"tarc",#N/A,TRUE,"Target"}</definedName>
    <definedName name="wrn.905" localSheetId="3" hidden="1">{#N/A,#N/A,FALSE,"REPORT"}</definedName>
    <definedName name="wrn.905" localSheetId="7" hidden="1">{#N/A,#N/A,FALSE,"REPORT"}</definedName>
    <definedName name="wrn.905" hidden="1">{#N/A,#N/A,FALSE,"REPORT"}</definedName>
    <definedName name="wrn.99999" localSheetId="3" hidden="1">{#N/A,#N/A,FALSE,"REPORT"}</definedName>
    <definedName name="wrn.99999" localSheetId="7" hidden="1">{#N/A,#N/A,FALSE,"REPORT"}</definedName>
    <definedName name="wrn.99999" hidden="1">{#N/A,#N/A,FALSE,"REPORT"}</definedName>
    <definedName name="wrn.aaa" localSheetId="3" hidden="1">{#N/A,#N/A,FALSE,"Pharm";#N/A,#N/A,FALSE,"WWCM"}</definedName>
    <definedName name="wrn.aaa" localSheetId="7" hidden="1">{#N/A,#N/A,FALSE,"Pharm";#N/A,#N/A,FALSE,"WWCM"}</definedName>
    <definedName name="wrn.aaa" hidden="1">{#N/A,#N/A,FALSE,"Pharm";#N/A,#N/A,FALSE,"WWCM"}</definedName>
    <definedName name="wrn.aaaaaaa" localSheetId="3" hidden="1">{#N/A,#N/A,FALSE,"Pharm";#N/A,#N/A,FALSE,"WWCM"}</definedName>
    <definedName name="wrn.aaaaaaa" localSheetId="7" hidden="1">{#N/A,#N/A,FALSE,"Pharm";#N/A,#N/A,FALSE,"WWCM"}</definedName>
    <definedName name="wrn.aaaaaaa" hidden="1">{#N/A,#N/A,FALSE,"Pharm";#N/A,#N/A,FALSE,"WWCM"}</definedName>
    <definedName name="wrn.Accretion." localSheetId="3" hidden="1">{"Accretion",#N/A,FALSE,"Assum"}</definedName>
    <definedName name="wrn.Accretion." localSheetId="7" hidden="1">{"Accretion",#N/A,FALSE,"Assum"}</definedName>
    <definedName name="wrn.Accretion." hidden="1">{"Accretion",#N/A,FALSE,"Assum"}</definedName>
    <definedName name="wrn.ACIARIA." localSheetId="3" hidden="1">{#N/A,#N/A,FALSE,"DIPVE"}</definedName>
    <definedName name="wrn.ACIARIA." localSheetId="7" hidden="1">{#N/A,#N/A,FALSE,"DIPVE"}</definedName>
    <definedName name="wrn.ACIARIA." hidden="1">{#N/A,#N/A,FALSE,"DIPVE"}</definedName>
    <definedName name="wrn.Acquisition_matrix." localSheetId="3" hidden="1">{"Acq_matrix",#N/A,FALSE,"Acquisition Matrix"}</definedName>
    <definedName name="wrn.Acquisition_matrix." localSheetId="7" hidden="1">{"Acq_matrix",#N/A,FALSE,"Acquisition Matrix"}</definedName>
    <definedName name="wrn.Acquisition_matrix." hidden="1">{"Acq_matrix",#N/A,FALSE,"Acquisition Matrix"}</definedName>
    <definedName name="wrn.administracion." localSheetId="3" hidden="1">{#N/A,#N/A,FALSE,"CARATULA GENERAL";#N/A,#N/A,FALSE,"GSxDIRECCION";#N/A,#N/A,FALSE,"Caratula";#N/A,#N/A,FALSE,"GSxCTRO";#N/A,#N/A,FALSE,"GsAdm.Centr";#N/A,#N/A,FALSE,"Dir.Gral";#N/A,#N/A,FALSE,"AdmyFzas";#N/A,#N/A,FALSE,"Sistemas";#N/A,#N/A,FALSE,"RRHH"}</definedName>
    <definedName name="wrn.administracion." localSheetId="7" hidden="1">{#N/A,#N/A,FALSE,"CARATULA GENERAL";#N/A,#N/A,FALSE,"GSxDIRECCION";#N/A,#N/A,FALSE,"Caratula";#N/A,#N/A,FALSE,"GSxCTRO";#N/A,#N/A,FALSE,"GsAdm.Centr";#N/A,#N/A,FALSE,"Dir.Gral";#N/A,#N/A,FALSE,"AdmyFzas";#N/A,#N/A,FALSE,"Sistemas";#N/A,#N/A,FALSE,"RRHH"}</definedName>
    <definedName name="wrn.administracion." hidden="1">{#N/A,#N/A,FALSE,"CARATULA GENERAL";#N/A,#N/A,FALSE,"GSxDIRECCION";#N/A,#N/A,FALSE,"Caratula";#N/A,#N/A,FALSE,"GSxCTRO";#N/A,#N/A,FALSE,"GsAdm.Centr";#N/A,#N/A,FALSE,"Dir.Gral";#N/A,#N/A,FALSE,"AdmyFzas";#N/A,#N/A,FALSE,"Sistemas";#N/A,#N/A,FALSE,"RRHH"}</definedName>
    <definedName name="wrn.Advertising._.Acum._.Julio._.00." localSheetId="3" hidden="1">{#N/A,#N/A,FALSE,"Acum Julio - 00"}</definedName>
    <definedName name="wrn.Advertising._.Acum._.Julio._.00." localSheetId="7" hidden="1">{#N/A,#N/A,FALSE,"Acum Julio - 00"}</definedName>
    <definedName name="wrn.Advertising._.Acum._.Julio._.00." hidden="1">{#N/A,#N/A,FALSE,"Acum Julio - 00"}</definedName>
    <definedName name="wrn.Aging._.and._.Trend._.Analysis." localSheetId="0" hidden="1">{#N/A,#N/A,FALSE,"Aging Summary";#N/A,#N/A,FALSE,"Ratio Analysis";#N/A,#N/A,FALSE,"Test 120 Day Accts";#N/A,#N/A,FALSE,"Tickmarks"}</definedName>
    <definedName name="wrn.Aging._.and._.Trend._.Analysis." localSheetId="3" hidden="1">{#N/A,#N/A,FALSE,"Aging Summary";#N/A,#N/A,FALSE,"Ratio Analysis";#N/A,#N/A,FALSE,"Test 120 Day Accts";#N/A,#N/A,FALSE,"Tickmarks"}</definedName>
    <definedName name="wrn.Aging._.and._.Trend._.Analysis." localSheetId="7"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AN." localSheetId="3" hidden="1">{"CREDIT STATISTICS",#N/A,FALSE,"STATS";"CF_AND_IS",#N/A,FALSE,"PLAN";"DEBT SCHEDULE",#N/A,FALSE,"PLAN";"SUBSCRIBERS",#N/A,FALSE,"PLAN";"DETAIL_REV",#N/A,FALSE,"PLAN";"DETAIL_EXPENSE",#N/A,FALSE,"PLAN";"SALES_AND EXP_DRIVERS",#N/A,FALSE,"PLAN";"FIXED ASSETS",#N/A,FALSE,"PLAN";"DEPRECIATION SCHEDULE",#N/A,FALSE,"PLAN"}</definedName>
    <definedName name="wrn.ALAN." localSheetId="7" hidden="1">{"CREDIT STATISTICS",#N/A,FALSE,"STATS";"CF_AND_IS",#N/A,FALSE,"PLAN";"DEBT SCHEDULE",#N/A,FALSE,"PLAN";"SUBSCRIBERS",#N/A,FALSE,"PLAN";"DETAIL_REV",#N/A,FALSE,"PLAN";"DETAIL_EXPENSE",#N/A,FALSE,"PLAN";"SALES_AND EXP_DRIVERS",#N/A,FALSE,"PLAN";"FIXED ASSETS",#N/A,FALSE,"PLAN";"DEPRECIATION SCHEDULE",#N/A,FALSE,"PLAN"}</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l." localSheetId="0" hidden="1">{#N/A,#N/A,FALSE,"cpt"}</definedName>
    <definedName name="wrn.all." localSheetId="3" hidden="1">{#N/A,#N/A,FALSE,"cpt"}</definedName>
    <definedName name="wrn.all." localSheetId="7" hidden="1">{#N/A,#N/A,FALSE,"Brad BANM_S";#N/A,#N/A,FALSE,"Brad SAM_BANM";#N/A,#N/A,FALSE,"Brad_LD";#N/A,#N/A,FALSE,"BANM-&gt;S";#N/A,#N/A,FALSE,"BANM_S";#N/A,#N/A,FALSE,"S-&gt;BANM";#N/A,#N/A,FALSE,"SAM_BANM";#N/A,#N/A,FALSE,"BANM";#N/A,#N/A,FALSE,"Sam"}</definedName>
    <definedName name="wrn.all." hidden="1">{#N/A,#N/A,FALSE,"Brad BANM_S";#N/A,#N/A,FALSE,"Brad SAM_BANM";#N/A,#N/A,FALSE,"Brad_LD";#N/A,#N/A,FALSE,"BANM-&gt;S";#N/A,#N/A,FALSE,"BANM_S";#N/A,#N/A,FALSE,"S-&gt;BANM";#N/A,#N/A,FALSE,"SAM_BANM";#N/A,#N/A,FALSE,"BANM";#N/A,#N/A,FALSE,"Sam"}</definedName>
    <definedName name="wrn.all._.3._.years." localSheetId="3" hidden="1">{#N/A,#N/A,FALSE,"Worldwide FY00";#N/A,#N/A,FALSE,"Worldwide FY01";#N/A,#N/A,FALSE,"Worldwide FY02"}</definedName>
    <definedName name="wrn.all._.3._.years." localSheetId="7" hidden="1">{#N/A,#N/A,FALSE,"Worldwide FY00";#N/A,#N/A,FALSE,"Worldwide FY01";#N/A,#N/A,FALSE,"Worldwide FY02"}</definedName>
    <definedName name="wrn.all._.3._.years." hidden="1">{#N/A,#N/A,FALSE,"Worldwide FY00";#N/A,#N/A,FALSE,"Worldwide FY01";#N/A,#N/A,FALSE,"Worldwide FY02"}</definedName>
    <definedName name="wrn.ALL._.GRAPHS." localSheetId="3" hidden="1">{"IT",#N/A,FALSE,"GRAPHS";"Services",#N/A,FALSE,"GRAPHS";"Subsurface",#N/A,FALSE,"GRAPHS";"Production",#N/A,FALSE,"GRAPHS";"Facilities",#N/A,FALSE,"GRAPHS";"Pipeline &amp; Terminal",#N/A,FALSE,"GRAPHS";"Safety",#N/A,FALSE,"GRAPHS";"Commercial",#N/A,FALSE,"GRAPHS"}</definedName>
    <definedName name="wrn.ALL._.GRAPHS." localSheetId="7" hidden="1">{"IT",#N/A,FALSE,"GRAPHS";"Services",#N/A,FALSE,"GRAPHS";"Subsurface",#N/A,FALSE,"GRAPHS";"Production",#N/A,FALSE,"GRAPHS";"Facilities",#N/A,FALSE,"GRAPHS";"Pipeline &amp; Terminal",#N/A,FALSE,"GRAPHS";"Safety",#N/A,FALSE,"GRAPHS";"Commercial",#N/A,FALSE,"GRAPHS"}</definedName>
    <definedName name="wrn.ALL._.GRAPHS." hidden="1">{"IT",#N/A,FALSE,"GRAPHS";"Services",#N/A,FALSE,"GRAPHS";"Subsurface",#N/A,FALSE,"GRAPHS";"Production",#N/A,FALSE,"GRAPHS";"Facilities",#N/A,FALSE,"GRAPHS";"Pipeline &amp; Terminal",#N/A,FALSE,"GRAPHS";"Safety",#N/A,FALSE,"GRAPHS";"Commercial",#N/A,FALSE,"GRAPHS"}</definedName>
    <definedName name="wrn.All._.PnLs." localSheetId="3" hidden="1">{"Sep 98 Segment PnL",#N/A,FALSE,"Full Income Statements";"Sep 99 Segment PnL",#N/A,FALSE,"Full Income Statements";"Sep 98 PnL",#N/A,FALSE,"Full Income Statements";"Sep 99 PnL",#N/A,FALSE,"Full Income Statements"}</definedName>
    <definedName name="wrn.All._.PnLs." localSheetId="7" hidden="1">{"Sep 98 Segment PnL",#N/A,FALSE,"Full Income Statements";"Sep 99 Segment PnL",#N/A,FALSE,"Full Income Statements";"Sep 98 PnL",#N/A,FALSE,"Full Income Statements";"Sep 99 PnL",#N/A,FALSE,"Full Income Statements"}</definedName>
    <definedName name="wrn.All._.PnLs." hidden="1">{"Sep 98 Segment PnL",#N/A,FALSE,"Full Income Statements";"Sep 99 Segment PnL",#N/A,FALSE,"Full Income Statements";"Sep 98 PnL",#N/A,FALSE,"Full Income Statements";"Sep 99 PnL",#N/A,FALSE,"Full Income Statements"}</definedName>
    <definedName name="wrn.all._.reports." localSheetId="3" hidden="1">{"qty and inventory value",#N/A,FALSE,"MPartners";"general ledger entries",#N/A,FALSE,"MPartners"}</definedName>
    <definedName name="wrn.all._.reports." localSheetId="7" hidden="1">{"qty and inventory value",#N/A,FALSE,"MPartners";"general ledger entries",#N/A,FALSE,"MPartners"}</definedName>
    <definedName name="wrn.all._.reports." hidden="1">{"qty and inventory value",#N/A,FALSE,"MPartners";"general ledger entries",#N/A,FALSE,"MPartners"}</definedName>
    <definedName name="wrn.All._.Scenarios." localSheetId="3" hidden="1">{#N/A,"Mine Allocated; Keep AC",FALSE,"Transaction Summary";#N/A,"Mine Allocated; Sell AC",FALSE,"Transaction Summary";#N/A,"Commodity; Keep AC",FALSE,"Transaction Summary";#N/A,"Commodity; Sell AC",FALSE,"Transaction Summary";#N/A,"Step-Up; Keep AC",FALSE,"Transaction Summary";#N/A,"Step-Up; Sell AC",FALSE,"Transaction Summary"}</definedName>
    <definedName name="wrn.All._.Scenarios." localSheetId="7" hidden="1">{#N/A,"Mine Allocated; Keep AC",FALSE,"Transaction Summary";#N/A,"Mine Allocated; Sell AC",FALSE,"Transaction Summary";#N/A,"Commodity; Keep AC",FALSE,"Transaction Summary";#N/A,"Commodity; Sell AC",FALSE,"Transaction Summary";#N/A,"Step-Up; Keep AC",FALSE,"Transaction Summary";#N/A,"Step-Up; Sell AC",FALSE,"Transaction Summary"}</definedName>
    <definedName name="wrn.All._.Scenarios." hidden="1">{#N/A,"Mine Allocated; Keep AC",FALSE,"Transaction Summary";#N/A,"Mine Allocated; Sell AC",FALSE,"Transaction Summary";#N/A,"Commodity; Keep AC",FALSE,"Transaction Summary";#N/A,"Commodity; Sell AC",FALSE,"Transaction Summary";#N/A,"Step-Up; Keep AC",FALSE,"Transaction Summary";#N/A,"Step-Up; Sell AC",FALSE,"Transaction Summary"}</definedName>
    <definedName name="wrn.All._.sheets." localSheetId="3" hidden="1">{#N/A,"TCHEM",FALSE,"BSHIST.XLS";#N/A,"NONDV",FALSE,"BSHIST.XLS";#N/A,"POLY",FALSE,"BSHIST.XLS";#N/A,"PVOH",FALSE,"BSHIST.XLS";#N/A,"ACET",FALSE,"BSHIST.XLS";#N/A,"EMUL",FALSE,"BSHIST.XLS";#N/A,"ICD",FALSE,"BSHIST.XLS";#N/A,"DMU",FALSE,"BSHIST.XLS";#N/A,"METHYL",FALSE,"BSHIST.XLS";#N/A,"HIGHER",FALSE,"BSHIST.XLS";#N/A,"AMM",FALSE,"BSHIST.XLS";#N/A,"CVT",FALSE,"BSHIST.XLS";#N/A,"MEOH",FALSE,"BSHIST.XLS";#N/A,"SPEC",FALSE,"BSHIST.XLS";#N/A,"DERIV",FALSE,"BSHIST.XLS";#N/A,"PINTER",FALSE,"BSHIST.XLS";#N/A,"NEWVEN",FALSE,"BSHIST.XLS";#N/A,"PURPER",FALSE,"BSHIST.XLS";#N/A,"PURADD",FALSE,"BSHIST.XLS";#N/A,"PURSPP",FALSE,"BSHIST.XLS";#N/A,"CTGIND",FALSE,"BSHIST.XLS";#N/A,"ANCHOR",FALSE,"BSHIST.XLS";#N/A,"SPADD",FALSE,"BSHIST.XLS"}</definedName>
    <definedName name="wrn.All._.sheets." localSheetId="7" hidden="1">{#N/A,"TCHEM",FALSE,"BSHIST.XLS";#N/A,"NONDV",FALSE,"BSHIST.XLS";#N/A,"POLY",FALSE,"BSHIST.XLS";#N/A,"PVOH",FALSE,"BSHIST.XLS";#N/A,"ACET",FALSE,"BSHIST.XLS";#N/A,"EMUL",FALSE,"BSHIST.XLS";#N/A,"ICD",FALSE,"BSHIST.XLS";#N/A,"DMU",FALSE,"BSHIST.XLS";#N/A,"METHYL",FALSE,"BSHIST.XLS";#N/A,"HIGHER",FALSE,"BSHIST.XLS";#N/A,"AMM",FALSE,"BSHIST.XLS";#N/A,"CVT",FALSE,"BSHIST.XLS";#N/A,"MEOH",FALSE,"BSHIST.XLS";#N/A,"SPEC",FALSE,"BSHIST.XLS";#N/A,"DERIV",FALSE,"BSHIST.XLS";#N/A,"PINTER",FALSE,"BSHIST.XLS";#N/A,"NEWVEN",FALSE,"BSHIST.XLS";#N/A,"PURPER",FALSE,"BSHIST.XLS";#N/A,"PURADD",FALSE,"BSHIST.XLS";#N/A,"PURSPP",FALSE,"BSHIST.XLS";#N/A,"CTGIND",FALSE,"BSHIST.XLS";#N/A,"ANCHOR",FALSE,"BSHIST.XLS";#N/A,"SPADD",FALSE,"BSHIST.XLS"}</definedName>
    <definedName name="wrn.All._.sheets." hidden="1">{#N/A,"TCHEM",FALSE,"BSHIST.XLS";#N/A,"NONDV",FALSE,"BSHIST.XLS";#N/A,"POLY",FALSE,"BSHIST.XLS";#N/A,"PVOH",FALSE,"BSHIST.XLS";#N/A,"ACET",FALSE,"BSHIST.XLS";#N/A,"EMUL",FALSE,"BSHIST.XLS";#N/A,"ICD",FALSE,"BSHIST.XLS";#N/A,"DMU",FALSE,"BSHIST.XLS";#N/A,"METHYL",FALSE,"BSHIST.XLS";#N/A,"HIGHER",FALSE,"BSHIST.XLS";#N/A,"AMM",FALSE,"BSHIST.XLS";#N/A,"CVT",FALSE,"BSHIST.XLS";#N/A,"MEOH",FALSE,"BSHIST.XLS";#N/A,"SPEC",FALSE,"BSHIST.XLS";#N/A,"DERIV",FALSE,"BSHIST.XLS";#N/A,"PINTER",FALSE,"BSHIST.XLS";#N/A,"NEWVEN",FALSE,"BSHIST.XLS";#N/A,"PURPER",FALSE,"BSHIST.XLS";#N/A,"PURADD",FALSE,"BSHIST.XLS";#N/A,"PURSPP",FALSE,"BSHIST.XLS";#N/A,"CTGIND",FALSE,"BSHIST.XLS";#N/A,"ANCHOR",FALSE,"BSHIST.XLS";#N/A,"SPADD",FALSE,"BSHIST.XLS"}</definedName>
    <definedName name="wrn.all._.slides." localSheetId="3" hidden="1">{#N/A,#N/A,FALSE,"Trends";#N/A,#N/A,FALSE,"As Reported";#N/A,#N/A,FALSE,"(un) Commited"}</definedName>
    <definedName name="wrn.all._.slides." localSheetId="7" hidden="1">{#N/A,#N/A,FALSE,"Trends";#N/A,#N/A,FALSE,"As Reported";#N/A,#N/A,FALSE,"(un) Commited"}</definedName>
    <definedName name="wrn.all._.slides." hidden="1">{#N/A,#N/A,FALSE,"Trends";#N/A,#N/A,FALSE,"As Reported";#N/A,#N/A,FALSE,"(un) Commited"}</definedName>
    <definedName name="wrn.All._.Stock_10_12_14." localSheetId="3"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 localSheetId="7"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views." localSheetId="3" hidden="1">{"vol data",#N/A,FALSE,"Datasheet";"vol graph",#N/A,FALSE,"Volume";"price data",#N/A,FALSE,"Datasheet";"price graph",#N/A,FALSE,"Price";"dp data",#N/A,FALSE,"Datasheet";"dp graph",#N/A,FALSE,"DirectProfit"}</definedName>
    <definedName name="wrn.all._.views." localSheetId="7" hidden="1">{"vol data",#N/A,FALSE,"Datasheet";"vol graph",#N/A,FALSE,"Volume";"price data",#N/A,FALSE,"Datasheet";"price graph",#N/A,FALSE,"Price";"dp data",#N/A,FALSE,"Datasheet";"dp graph",#N/A,FALSE,"DirectProfit"}</definedName>
    <definedName name="wrn.all._.views." hidden="1">{"vol data",#N/A,FALSE,"Datasheet";"vol graph",#N/A,FALSE,"Volume";"price data",#N/A,FALSE,"Datasheet";"price graph",#N/A,FALSE,"Price";"dp data",#N/A,FALSE,"Datasheet";"dp graph",#N/A,FALSE,"DirectProfit"}</definedName>
    <definedName name="wrn.Alligator." localSheetId="3" hidden="1">{#N/A,#N/A,FALSE,"Cover";#N/A,#N/A,FALSE,"Summary-Alligator";#N/A,#N/A,FALSE,"Proforma-Alligator";#N/A,#N/A,FALSE,"Cougar (12-31)";#N/A,#N/A,FALSE,"Cougar (3-31)";#N/A,#N/A,FALSE,"Alligator (12-31)";#N/A,#N/A,FALSE,"Alligator (3-31)"}</definedName>
    <definedName name="wrn.Alligator." localSheetId="7" hidden="1">{#N/A,#N/A,FALSE,"Cover";#N/A,#N/A,FALSE,"Summary-Alligator";#N/A,#N/A,FALSE,"Proforma-Alligator";#N/A,#N/A,FALSE,"Cougar (12-31)";#N/A,#N/A,FALSE,"Cougar (3-31)";#N/A,#N/A,FALSE,"Alligator (12-31)";#N/A,#N/A,FALSE,"Alligator (3-31)"}</definedName>
    <definedName name="wrn.Alligator." hidden="1">{#N/A,#N/A,FALSE,"Cover";#N/A,#N/A,FALSE,"Summary-Alligator";#N/A,#N/A,FALSE,"Proforma-Alligator";#N/A,#N/A,FALSE,"Cougar (12-31)";#N/A,#N/A,FALSE,"Cougar (3-31)";#N/A,#N/A,FALSE,"Alligator (12-31)";#N/A,#N/A,FALSE,"Alligator (3-31)"}</definedName>
    <definedName name="wrn.allpages." localSheetId="3" hidden="1">{#N/A,#N/A,TRUE,"Historicals";#N/A,#N/A,TRUE,"Charts";#N/A,#N/A,TRUE,"Forecasts"}</definedName>
    <definedName name="wrn.allpages." localSheetId="7" hidden="1">{#N/A,#N/A,TRUE,"Historicals";#N/A,#N/A,TRUE,"Charts";#N/A,#N/A,TRUE,"Forecasts"}</definedName>
    <definedName name="wrn.allpages." hidden="1">{#N/A,#N/A,TRUE,"Historicals";#N/A,#N/A,TRUE,"Charts";#N/A,#N/A,TRUE,"Forecasts"}</definedName>
    <definedName name="wrn.ANALISIS._.SENSIBILIDAD." localSheetId="3" hidden="1">{#N/A,#N/A,FALSE,"BALANCE";#N/A,#N/A,FALSE,"CUENTA DE PYG";#N/A,#N/A,FALSE,"RATIOS"}</definedName>
    <definedName name="wrn.ANALISIS._.SENSIBILIDAD." localSheetId="7" hidden="1">{#N/A,#N/A,FALSE,"BALANCE";#N/A,#N/A,FALSE,"CUENTA DE PYG";#N/A,#N/A,FALSE,"RATIOS"}</definedName>
    <definedName name="wrn.ANALISIS._.SENSIBILIDAD." hidden="1">{#N/A,#N/A,FALSE,"BALANCE";#N/A,#N/A,FALSE,"CUENTA DE PYG";#N/A,#N/A,FALSE,"RATIOS"}</definedName>
    <definedName name="wrn.APCI._.Tab." localSheetId="3" hidden="1">{#N/A,#N/A,FALSE,"P and L ";#N/A,#N/A,FALSE,"Sales";#N/A,#N/A,FALSE,"Overheads";#N/A,#N/A,FALSE,"R and D";#N/A,#N/A,FALSE,"Operating Income";#N/A,#N/A,FALSE,"Equity Affiliate Income";"M Factors Print",#N/A,FALSE,"Major Factors"}</definedName>
    <definedName name="wrn.APCI._.Tab." localSheetId="7" hidden="1">{#N/A,#N/A,FALSE,"P and L ";#N/A,#N/A,FALSE,"Sales";#N/A,#N/A,FALSE,"Overheads";#N/A,#N/A,FALSE,"R and D";#N/A,#N/A,FALSE,"Operating Income";#N/A,#N/A,FALSE,"Equity Affiliate Income";"M Factors Print",#N/A,FALSE,"Major Factors"}</definedName>
    <definedName name="wrn.APCI._.Tab." hidden="1">{#N/A,#N/A,FALSE,"P and L ";#N/A,#N/A,FALSE,"Sales";#N/A,#N/A,FALSE,"Overheads";#N/A,#N/A,FALSE,"R and D";#N/A,#N/A,FALSE,"Operating Income";#N/A,#N/A,FALSE,"Equity Affiliate Income";"M Factors Print",#N/A,FALSE,"Major Factors"}</definedName>
    <definedName name="wrn.APCT." localSheetId="3" hidden="1">{"Page1",#N/A,FALSE,"APCT";"Page2",#N/A,FALSE,"APCT"}</definedName>
    <definedName name="wrn.APCT." localSheetId="7" hidden="1">{"Page1",#N/A,FALSE,"APCT";"Page2",#N/A,FALSE,"APCT"}</definedName>
    <definedName name="wrn.APCT." hidden="1">{"Page1",#N/A,FALSE,"APCT";"Page2",#N/A,FALSE,"APCT"}</definedName>
    <definedName name="wrn.APL." localSheetId="3" hidden="1">{"Page1",#N/A,FALSE,"APL";"Page2",#N/A,FALSE,"APL"}</definedName>
    <definedName name="wrn.APL." localSheetId="7" hidden="1">{"Page1",#N/A,FALSE,"APL";"Page2",#N/A,FALSE,"APL"}</definedName>
    <definedName name="wrn.APL." hidden="1">{"Page1",#N/A,FALSE,"APL";"Page2",#N/A,FALSE,"APL"}</definedName>
    <definedName name="wrn.AQUIROR._.DCF." localSheetId="3" hidden="1">{"AQUIRORDCF",#N/A,FALSE,"Merger consequences";"Acquirorassns",#N/A,FALSE,"Merger consequences"}</definedName>
    <definedName name="wrn.AQUIROR._.DCF." localSheetId="7" hidden="1">{"AQUIRORDCF",#N/A,FALSE,"Merger consequences";"Acquirorassns",#N/A,FALSE,"Merger consequences"}</definedName>
    <definedName name="wrn.AQUIROR._.DCF." hidden="1">{"AQUIRORDCF",#N/A,FALSE,"Merger consequences";"Acquirorassns",#N/A,FALSE,"Merger consequences"}</definedName>
    <definedName name="wrn.ARGON._.PRICING." localSheetId="3" hidden="1">{"ARGON PRICING",#N/A,FALSE,"ARGON"}</definedName>
    <definedName name="wrn.ARGON._.PRICING." localSheetId="7" hidden="1">{"ARGON PRICING",#N/A,FALSE,"ARGON"}</definedName>
    <definedName name="wrn.ARGON._.PRICING." hidden="1">{"ARGON PRICING",#N/A,FALSE,"ARGON"}</definedName>
    <definedName name="wrn.ARGON._.REVENUE." localSheetId="3" hidden="1">{"ARGON REVENUE",#N/A,FALSE,"ARGON"}</definedName>
    <definedName name="wrn.ARGON._.REVENUE." localSheetId="7" hidden="1">{"ARGON REVENUE",#N/A,FALSE,"ARGON"}</definedName>
    <definedName name="wrn.ARGON._.REVENUE." hidden="1">{"ARGON REVENUE",#N/A,FALSE,"ARGON"}</definedName>
    <definedName name="wrn.ARGON._.VOLUME." localSheetId="3" hidden="1">{"ARGON VOLUME",#N/A,FALSE,"ARGON"}</definedName>
    <definedName name="wrn.ARGON._.VOLUME." localSheetId="7" hidden="1">{"ARGON VOLUME",#N/A,FALSE,"ARGON"}</definedName>
    <definedName name="wrn.ARGON._.VOLUME." hidden="1">{"ARGON VOLUME",#N/A,FALSE,"ARGON"}</definedName>
    <definedName name="wrn.ARGON_VOL" localSheetId="3" hidden="1">{"ARGON VOLUME",#N/A,FALSE,"ARGON"}</definedName>
    <definedName name="wrn.ARGON_VOL" localSheetId="7" hidden="1">{"ARGON VOLUME",#N/A,FALSE,"ARGON"}</definedName>
    <definedName name="wrn.ARGON_VOL" hidden="1">{"ARGON VOLUME",#N/A,FALSE,"ARGON"}</definedName>
    <definedName name="wrn.Asia." localSheetId="3" hidden="1">{"PnL",#N/A,FALSE,"Gas Asia P&amp;L";"Responsibility",#N/A,FALSE,"Gas Asia P&amp;L";"Cost Control",#N/A,FALSE,"Gas Asia P&amp;L"}</definedName>
    <definedName name="wrn.Asia." localSheetId="7" hidden="1">{"PnL",#N/A,FALSE,"Gas Asia P&amp;L";"Responsibility",#N/A,FALSE,"Gas Asia P&amp;L";"Cost Control",#N/A,FALSE,"Gas Asia P&amp;L"}</definedName>
    <definedName name="wrn.Asia." hidden="1">{"PnL",#N/A,FALSE,"Gas Asia P&amp;L";"Responsibility",#N/A,FALSE,"Gas Asia P&amp;L";"Cost Control",#N/A,FALSE,"Gas Asia P&amp;L"}</definedName>
    <definedName name="wrn.Assumptions." localSheetId="3" hidden="1">{"Assumptions",#N/A,FALSE,"Assum"}</definedName>
    <definedName name="wrn.Assumptions." localSheetId="7" hidden="1">{"Assumptions",#N/A,FALSE,"Assum"}</definedName>
    <definedName name="wrn.Assumptions." hidden="1">{"Assumptions",#N/A,FALSE,"Assum"}</definedName>
    <definedName name="wrn.balanco._.patrimonial." localSheetId="3" hidden="1">{#N/A,#N/A,FALSE,"base"}</definedName>
    <definedName name="wrn.balanco._.patrimonial." localSheetId="7" hidden="1">{#N/A,#N/A,FALSE,"base"}</definedName>
    <definedName name="wrn.balanco._.patrimonial." hidden="1">{#N/A,#N/A,FALSE,"base"}</definedName>
    <definedName name="wrn.balsheet." localSheetId="3" hidden="1">{"ICDANDNONDIV",#N/A,FALSE,"BSALLNOW.XLS";"polyandpurperf",#N/A,FALSE,"BSALLNOW.XLS"}</definedName>
    <definedName name="wrn.balsheet." localSheetId="7" hidden="1">{"ICDANDNONDIV",#N/A,FALSE,"BSALLNOW.XLS";"polyandpurperf",#N/A,FALSE,"BSALLNOW.XLS"}</definedName>
    <definedName name="wrn.balsheet." hidden="1">{"ICDANDNONDIV",#N/A,FALSE,"BSALLNOW.XLS";"polyandpurperf",#N/A,FALSE,"BSALLNOW.XLS"}</definedName>
    <definedName name="wrn.BasicModel." localSheetId="0" hidden="1">{"MacroCo",#N/A,FALSE,"masmode";"IncomeS",#N/A,FALSE,"masmode";"BalanceS",#N/A,FALSE,"masmode";"CashF",#N/A,FALSE,"masmode";"Ratios",#N/A,FALSE,"masmode";"DebtFC",#N/A,FALSE,"masmode"}</definedName>
    <definedName name="wrn.BasicModel." localSheetId="3" hidden="1">{"MacroCo",#N/A,FALSE,"masmode";"IncomeS",#N/A,FALSE,"masmode";"BalanceS",#N/A,FALSE,"masmode";"CashF",#N/A,FALSE,"masmode";"Ratios",#N/A,FALSE,"masmode";"DebtFC",#N/A,FALSE,"masmode"}</definedName>
    <definedName name="wrn.BasicModel." localSheetId="7" hidden="1">{"MacroCo",#N/A,FALSE,"masmode";"IncomeS",#N/A,FALSE,"masmode";"BalanceS",#N/A,FALSE,"masmode";"CashF",#N/A,FALSE,"masmode";"Ratios",#N/A,FALSE,"masmode";"DebtFC",#N/A,FALSE,"masmode"}</definedName>
    <definedName name="wrn.BasicModel." hidden="1">{"MacroCo",#N/A,FALSE,"masmode";"IncomeS",#N/A,FALSE,"masmode";"BalanceS",#N/A,FALSE,"masmode";"CashF",#N/A,FALSE,"masmode";"Ratios",#N/A,FALSE,"masmode";"DebtFC",#N/A,FALSE,"masmode"}</definedName>
    <definedName name="wrn.betz." localSheetId="3" hidden="1">{"net assets",#N/A,FALSE,"summary";"asset turnover",#N/A,FALSE,"summary";"orona",#N/A,FALSE,"summary"}</definedName>
    <definedName name="wrn.betz." localSheetId="7" hidden="1">{"net assets",#N/A,FALSE,"summary";"asset turnover",#N/A,FALSE,"summary";"orona",#N/A,FALSE,"summary"}</definedName>
    <definedName name="wrn.betz." hidden="1">{"net assets",#N/A,FALSE,"summary";"asset turnover",#N/A,FALSE,"summary";"orona",#N/A,FALSE,"summary"}</definedName>
    <definedName name="wrn.bm" localSheetId="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 localSheetId="7"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th." localSheetId="3" hidden="1">{"detail",#N/A,FALSE,"mfg";"summary",#N/A,FALSE,"mfg"}</definedName>
    <definedName name="wrn.Both." localSheetId="7" hidden="1">{"detail",#N/A,FALSE,"mfg";"summary",#N/A,FALSE,"mfg"}</definedName>
    <definedName name="wrn.Both." hidden="1">{"detail",#N/A,FALSE,"mfg";"summary",#N/A,FALSE,"mfg"}</definedName>
    <definedName name="wrn.Both.2" localSheetId="3" hidden="1">{"detail",#N/A,FALSE,"mfg";"summary",#N/A,FALSE,"mfg"}</definedName>
    <definedName name="wrn.Both.2" localSheetId="7" hidden="1">{"detail",#N/A,FALSE,"mfg";"summary",#N/A,FALSE,"mfg"}</definedName>
    <definedName name="wrn.Both.2" hidden="1">{"detail",#N/A,FALSE,"mfg";"summary",#N/A,FALSE,"mfg"}</definedName>
    <definedName name="wrn.both1" localSheetId="3" hidden="1">{"detail",#N/A,FALSE,"mfg";"summary",#N/A,FALSE,"mfg"}</definedName>
    <definedName name="wrn.both1" localSheetId="7" hidden="1">{"detail",#N/A,FALSE,"mfg";"summary",#N/A,FALSE,"mfg"}</definedName>
    <definedName name="wrn.both1" hidden="1">{"detail",#N/A,FALSE,"mfg";"summary",#N/A,FALSE,"mfg"}</definedName>
    <definedName name="wrn.both10" localSheetId="3" hidden="1">{"detail",#N/A,FALSE,"mfg";"summary",#N/A,FALSE,"mfg"}</definedName>
    <definedName name="wrn.both10" localSheetId="7" hidden="1">{"detail",#N/A,FALSE,"mfg";"summary",#N/A,FALSE,"mfg"}</definedName>
    <definedName name="wrn.both10" hidden="1">{"detail",#N/A,FALSE,"mfg";"summary",#N/A,FALSE,"mfg"}</definedName>
    <definedName name="wrn.both102" localSheetId="3" hidden="1">{"detail",#N/A,FALSE,"mfg";"summary",#N/A,FALSE,"mfg"}</definedName>
    <definedName name="wrn.both102" localSheetId="7" hidden="1">{"detail",#N/A,FALSE,"mfg";"summary",#N/A,FALSE,"mfg"}</definedName>
    <definedName name="wrn.both102" hidden="1">{"detail",#N/A,FALSE,"mfg";"summary",#N/A,FALSE,"mfg"}</definedName>
    <definedName name="wrn.both11" localSheetId="3" hidden="1">{"detail",#N/A,FALSE,"mfg";"summary",#N/A,FALSE,"mfg"}</definedName>
    <definedName name="wrn.both11" localSheetId="7" hidden="1">{"detail",#N/A,FALSE,"mfg";"summary",#N/A,FALSE,"mfg"}</definedName>
    <definedName name="wrn.both11" hidden="1">{"detail",#N/A,FALSE,"mfg";"summary",#N/A,FALSE,"mfg"}</definedName>
    <definedName name="wrn.both12" localSheetId="3" hidden="1">{"detail",#N/A,FALSE,"mfg";"summary",#N/A,FALSE,"mfg"}</definedName>
    <definedName name="wrn.both12" localSheetId="7" hidden="1">{"detail",#N/A,FALSE,"mfg";"summary",#N/A,FALSE,"mfg"}</definedName>
    <definedName name="wrn.both12" hidden="1">{"detail",#N/A,FALSE,"mfg";"summary",#N/A,FALSE,"mfg"}</definedName>
    <definedName name="wrn.Both31" localSheetId="3" hidden="1">{"detail",#N/A,FALSE,"mfg";"summary",#N/A,FALSE,"mfg"}</definedName>
    <definedName name="wrn.Both31" localSheetId="7" hidden="1">{"detail",#N/A,FALSE,"mfg";"summary",#N/A,FALSE,"mfg"}</definedName>
    <definedName name="wrn.Both31" hidden="1">{"detail",#N/A,FALSE,"mfg";"summary",#N/A,FALSE,"mfg"}</definedName>
    <definedName name="wrn.Both32" localSheetId="3" hidden="1">{"detail",#N/A,FALSE,"mfg";"summary",#N/A,FALSE,"mfg"}</definedName>
    <definedName name="wrn.Both32" localSheetId="7" hidden="1">{"detail",#N/A,FALSE,"mfg";"summary",#N/A,FALSE,"mfg"}</definedName>
    <definedName name="wrn.Both32" hidden="1">{"detail",#N/A,FALSE,"mfg";"summary",#N/A,FALSE,"mfg"}</definedName>
    <definedName name="wrn.Both34" localSheetId="3" hidden="1">{"detail",#N/A,FALSE,"mfg";"summary",#N/A,FALSE,"mfg"}</definedName>
    <definedName name="wrn.Both34" localSheetId="7" hidden="1">{"detail",#N/A,FALSE,"mfg";"summary",#N/A,FALSE,"mfg"}</definedName>
    <definedName name="wrn.Both34" hidden="1">{"detail",#N/A,FALSE,"mfg";"summary",#N/A,FALSE,"mfg"}</definedName>
    <definedName name="wrn.Both35" localSheetId="3" hidden="1">{"detail",#N/A,FALSE,"mfg";"summary",#N/A,FALSE,"mfg"}</definedName>
    <definedName name="wrn.Both35" localSheetId="7" hidden="1">{"detail",#N/A,FALSE,"mfg";"summary",#N/A,FALSE,"mfg"}</definedName>
    <definedName name="wrn.Both35" hidden="1">{"detail",#N/A,FALSE,"mfg";"summary",#N/A,FALSE,"mfg"}</definedName>
    <definedName name="wrn.Both42" localSheetId="3" hidden="1">{"detail",#N/A,FALSE,"mfg";"summary",#N/A,FALSE,"mfg"}</definedName>
    <definedName name="wrn.Both42" localSheetId="7" hidden="1">{"detail",#N/A,FALSE,"mfg";"summary",#N/A,FALSE,"mfg"}</definedName>
    <definedName name="wrn.Both42" hidden="1">{"detail",#N/A,FALSE,"mfg";"summary",#N/A,FALSE,"mfg"}</definedName>
    <definedName name="wrn.both71" localSheetId="3" hidden="1">{"detail",#N/A,FALSE,"mfg";"summary",#N/A,FALSE,"mfg"}</definedName>
    <definedName name="wrn.both71" localSheetId="7" hidden="1">{"detail",#N/A,FALSE,"mfg";"summary",#N/A,FALSE,"mfg"}</definedName>
    <definedName name="wrn.both71" hidden="1">{"detail",#N/A,FALSE,"mfg";"summary",#N/A,FALSE,"mfg"}</definedName>
    <definedName name="wrn.botha11" localSheetId="3" hidden="1">{"detail",#N/A,FALSE,"mfg";"summary",#N/A,FALSE,"mfg"}</definedName>
    <definedName name="wrn.botha11" localSheetId="7" hidden="1">{"detail",#N/A,FALSE,"mfg";"summary",#N/A,FALSE,"mfg"}</definedName>
    <definedName name="wrn.botha11" hidden="1">{"detail",#N/A,FALSE,"mfg";"summary",#N/A,FALSE,"mfg"}</definedName>
    <definedName name="wrn.botha2" localSheetId="3" hidden="1">{"detail",#N/A,FALSE,"mfg";"summary",#N/A,FALSE,"mfg"}</definedName>
    <definedName name="wrn.botha2" localSheetId="7" hidden="1">{"detail",#N/A,FALSE,"mfg";"summary",#N/A,FALSE,"mfg"}</definedName>
    <definedName name="wrn.botha2" hidden="1">{"detail",#N/A,FALSE,"mfg";"summary",#N/A,FALSE,"mfg"}</definedName>
    <definedName name="wrn.bothab2" localSheetId="3" hidden="1">{"detail",#N/A,FALSE,"mfg";"summary",#N/A,FALSE,"mfg"}</definedName>
    <definedName name="wrn.bothab2" localSheetId="7" hidden="1">{"detail",#N/A,FALSE,"mfg";"summary",#N/A,FALSE,"mfg"}</definedName>
    <definedName name="wrn.bothab2" hidden="1">{"detail",#N/A,FALSE,"mfg";"summary",#N/A,FALSE,"mfg"}</definedName>
    <definedName name="wrn.BROCHURE." localSheetId="3" hidden="1">{"ACT",#N/A,FALSE,"Q3Elec P&amp;L fy 99  ";"BUD",#N/A,FALSE,"Q3Elec P&amp;L fy 99  ";"PRIOR",#N/A,FALSE,"Q3Elec P&amp;L fy 99  "}</definedName>
    <definedName name="wrn.BROCHURE." localSheetId="7" hidden="1">{"ACT",#N/A,FALSE,"Q3Elec P&amp;L fy 99  ";"BUD",#N/A,FALSE,"Q3Elec P&amp;L fy 99  ";"PRIOR",#N/A,FALSE,"Q3Elec P&amp;L fy 99  "}</definedName>
    <definedName name="wrn.BROCHURE." hidden="1">{"ACT",#N/A,FALSE,"Q3Elec P&amp;L fy 99  ";"BUD",#N/A,FALSE,"Q3Elec P&amp;L fy 99  ";"PRIOR",#N/A,FALSE,"Q3Elec P&amp;L fy 99  "}</definedName>
    <definedName name="wrn.BROCHYTD." localSheetId="3" hidden="1">{"YTDACT",#N/A,FALSE,"YTD Cum";"YTDBUD",#N/A,FALSE,"YTD Cum";"YTDPRIOR",#N/A,FALSE,"YTD Cum"}</definedName>
    <definedName name="wrn.BROCHYTD." localSheetId="7" hidden="1">{"YTDACT",#N/A,FALSE,"YTD Cum";"YTDBUD",#N/A,FALSE,"YTD Cum";"YTDPRIOR",#N/A,FALSE,"YTD Cum"}</definedName>
    <definedName name="wrn.BROCHYTD." hidden="1">{"YTDACT",#N/A,FALSE,"YTD Cum";"YTDBUD",#N/A,FALSE,"YTD Cum";"YTDPRIOR",#N/A,FALSE,"YTD Cum"}</definedName>
    <definedName name="wrn.BS._.Print." localSheetId="3" hidden="1">{"BalanceSheets1",#N/A,FALSE,"input"}</definedName>
    <definedName name="wrn.BS._.Print." localSheetId="7" hidden="1">{"BalanceSheets1",#N/A,FALSE,"input"}</definedName>
    <definedName name="wrn.BS._.Print." hidden="1">{"BalanceSheets1",#N/A,FALSE,"input"}</definedName>
    <definedName name="wrn.bsall." localSheetId="3" hidden="1">{"pg1",#N/A,FALSE,"BSALLNOW.XLS";"pg2",#N/A,FALSE,"BSALLNOW.XLS";"pg3",#N/A,FALSE,"BSALLNOW.XLS"}</definedName>
    <definedName name="wrn.bsall." localSheetId="7" hidden="1">{"pg1",#N/A,FALSE,"BSALLNOW.XLS";"pg2",#N/A,FALSE,"BSALLNOW.XLS";"pg3",#N/A,FALSE,"BSALLNOW.XLS"}</definedName>
    <definedName name="wrn.bsall." hidden="1">{"pg1",#N/A,FALSE,"BSALLNOW.XLS";"pg2",#N/A,FALSE,"BSALLNOW.XLS";"pg3",#N/A,FALSE,"BSALLNOW.XLS"}</definedName>
    <definedName name="wrn.Buildups." localSheetId="3" hidden="1">{"ACQ",#N/A,FALSE,"ACQUISITIONS";"ACQF",#N/A,FALSE,"ACQUISITIONS";"PF",#N/A,FALSE,"PROYECTOVILA";"PV",#N/A,FALSE,"PROYECTOVILA";"Fee Dev",#N/A,FALSE,"DEVELOPMENT GROWTH";"gd",#N/A,FALSE,"DEVELOPMENT GROWTH"}</definedName>
    <definedName name="wrn.Buildups." localSheetId="7" hidden="1">{"ACQ",#N/A,FALSE,"ACQUISITIONS";"ACQF",#N/A,FALSE,"ACQUISITIONS";"PF",#N/A,FALSE,"PROYECTOVILA";"PV",#N/A,FALSE,"PROYECTOVILA";"Fee Dev",#N/A,FALSE,"DEVELOPMENT GROWTH";"gd",#N/A,FALSE,"DEVELOPMENT GROWTH"}</definedName>
    <definedName name="wrn.Buildups." hidden="1">{"ACQ",#N/A,FALSE,"ACQUISITIONS";"ACQF",#N/A,FALSE,"ACQUISITIONS";"PF",#N/A,FALSE,"PROYECTOVILA";"PV",#N/A,FALSE,"PROYECTOVILA";"Fee Dev",#N/A,FALSE,"DEVELOPMENT GROWTH";"gd",#N/A,FALSE,"DEVELOPMENT GROWTH"}</definedName>
    <definedName name="wrn.Cardiovasculars." localSheetId="3" hidden="1">{#N/A,#N/A,FALSE,"Card";#N/A,#N/A,FALSE,"Prav";#N/A,#N/A,FALSE,"Irbe";#N/A,#N/A,FALSE,"Plavix";#N/A,#N/A,FALSE,"Capt";#N/A,#N/A,FALSE,"Fosi"}</definedName>
    <definedName name="wrn.Cardiovasculars." localSheetId="7" hidden="1">{#N/A,#N/A,FALSE,"Card";#N/A,#N/A,FALSE,"Prav";#N/A,#N/A,FALSE,"Irbe";#N/A,#N/A,FALSE,"Plavix";#N/A,#N/A,FALSE,"Capt";#N/A,#N/A,FALSE,"Fosi"}</definedName>
    <definedName name="wrn.Cardiovasculars." hidden="1">{#N/A,#N/A,FALSE,"Card";#N/A,#N/A,FALSE,"Prav";#N/A,#N/A,FALSE,"Irbe";#N/A,#N/A,FALSE,"Plavix";#N/A,#N/A,FALSE,"Capt";#N/A,#N/A,FALSE,"Fosi"}</definedName>
    <definedName name="wrn.Cash._.Flow._.LE." localSheetId="3" hidden="1">{#N/A,#N/A,FALSE,"Income Statement LE";#N/A,#N/A,FALSE,"Cash Flow LE";#N/A,#N/A,FALSE,"Balance Sheet"}</definedName>
    <definedName name="wrn.Cash._.Flow._.LE." localSheetId="7" hidden="1">{#N/A,#N/A,FALSE,"Income Statement LE";#N/A,#N/A,FALSE,"Cash Flow LE";#N/A,#N/A,FALSE,"Balance Sheet"}</definedName>
    <definedName name="wrn.Cash._.Flow._.LE." hidden="1">{#N/A,#N/A,FALSE,"Income Statement LE";#N/A,#N/A,FALSE,"Cash Flow LE";#N/A,#N/A,FALSE,"Balance Sheet"}</definedName>
    <definedName name="wrn.CEA._.FY97." localSheetId="3" hidden="1">{"CEA FY97",#N/A,FALSE,"C.E.A. FY97"}</definedName>
    <definedName name="wrn.CEA._.FY97." localSheetId="7" hidden="1">{"CEA FY97",#N/A,FALSE,"C.E.A. FY97"}</definedName>
    <definedName name="wrn.CEA._.FY97." hidden="1">{"CEA FY97",#N/A,FALSE,"C.E.A. FY97"}</definedName>
    <definedName name="wrn.CEC._.slides." localSheetId="3"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C._.slides." localSheetId="7"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C._.slides."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ntral._.Nervous._.System." localSheetId="3" hidden="1">{#N/A,#N/A,FALSE,"CNS";#N/A,#N/A,FALSE,"Serz";#N/A,#N/A,FALSE,"Ace"}</definedName>
    <definedName name="wrn.Central._.Nervous._.System." localSheetId="7" hidden="1">{#N/A,#N/A,FALSE,"CNS";#N/A,#N/A,FALSE,"Serz";#N/A,#N/A,FALSE,"Ace"}</definedName>
    <definedName name="wrn.Central._.Nervous._.System." hidden="1">{#N/A,#N/A,FALSE,"CNS";#N/A,#N/A,FALSE,"Serz";#N/A,#N/A,FALSE,"Ace"}</definedName>
    <definedName name="wrn.Chemicals." localSheetId="3" hidden="1">{"PnL",#N/A,FALSE,"Chem P&amp;L";"Responsibility",#N/A,FALSE,"Chem P&amp;L";"Cost Control",#N/A,FALSE,"Chem P&amp;L"}</definedName>
    <definedName name="wrn.Chemicals." localSheetId="7" hidden="1">{"PnL",#N/A,FALSE,"Chem P&amp;L";"Responsibility",#N/A,FALSE,"Chem P&amp;L";"Cost Control",#N/A,FALSE,"Chem P&amp;L"}</definedName>
    <definedName name="wrn.Chemicals." hidden="1">{"PnL",#N/A,FALSE,"Chem P&amp;L";"Responsibility",#N/A,FALSE,"Chem P&amp;L";"Cost Control",#N/A,FALSE,"Chem P&amp;L"}</definedName>
    <definedName name="wrn.CM_ALL." localSheetId="3" hidden="1">{"LAPO2N2",#N/A,FALSE,"CM";"TOTTEXAS",#N/A,FALSE,"CM";"LOUISIANA",#N/A,FALSE,"CM";"GENERALH2",#N/A,FALSE,"CM";"PRS",#N/A,FALSE,"CM";"PACKAGE",#N/A,FALSE,"CM";"OTHER",#N/A,FALSE,"CM"}</definedName>
    <definedName name="wrn.CM_ALL." localSheetId="7" hidden="1">{"LAPO2N2",#N/A,FALSE,"CM";"TOTTEXAS",#N/A,FALSE,"CM";"LOUISIANA",#N/A,FALSE,"CM";"GENERALH2",#N/A,FALSE,"CM";"PRS",#N/A,FALSE,"CM";"PACKAGE",#N/A,FALSE,"CM";"OTHER",#N/A,FALSE,"CM"}</definedName>
    <definedName name="wrn.CM_ALL." hidden="1">{"LAPO2N2",#N/A,FALSE,"CM";"TOTTEXAS",#N/A,FALSE,"CM";"LOUISIANA",#N/A,FALSE,"CM";"GENERALH2",#N/A,FALSE,"CM";"PRS",#N/A,FALSE,"CM";"PACKAGE",#N/A,FALSE,"CM";"OTHER",#N/A,FALSE,"CM"}</definedName>
    <definedName name="wrn.CM_GENERALH2." localSheetId="3" hidden="1">{"GENERALH2",#N/A,FALSE,"CM"}</definedName>
    <definedName name="wrn.CM_GENERALH2." localSheetId="7" hidden="1">{"GENERALH2",#N/A,FALSE,"CM"}</definedName>
    <definedName name="wrn.CM_GENERALH2." hidden="1">{"GENERALH2",#N/A,FALSE,"CM"}</definedName>
    <definedName name="wrn.CM_LAPORTE_O2N2." localSheetId="3" hidden="1">{"LAPO2N2",#N/A,FALSE,"CM"}</definedName>
    <definedName name="wrn.CM_LAPORTE_O2N2." localSheetId="7" hidden="1">{"LAPO2N2",#N/A,FALSE,"CM"}</definedName>
    <definedName name="wrn.CM_LAPORTE_O2N2." hidden="1">{"LAPO2N2",#N/A,FALSE,"CM"}</definedName>
    <definedName name="wrn.CM_LOUISIANA." localSheetId="3" hidden="1">{"LOUISIANA",#N/A,FALSE,"CM"}</definedName>
    <definedName name="wrn.CM_LOUISIANA." localSheetId="7" hidden="1">{"LOUISIANA",#N/A,FALSE,"CM"}</definedName>
    <definedName name="wrn.CM_LOUISIANA." hidden="1">{"LOUISIANA",#N/A,FALSE,"CM"}</definedName>
    <definedName name="wrn.CM_OTHER." localSheetId="3" hidden="1">{"OTHER",#N/A,FALSE,"CM"}</definedName>
    <definedName name="wrn.CM_OTHER." localSheetId="7" hidden="1">{"OTHER",#N/A,FALSE,"CM"}</definedName>
    <definedName name="wrn.CM_OTHER." hidden="1">{"OTHER",#N/A,FALSE,"CM"}</definedName>
    <definedName name="wrn.CM_PACKAGE." localSheetId="3" hidden="1">{"PACKAGE",#N/A,FALSE,"CM"}</definedName>
    <definedName name="wrn.CM_PACKAGE." localSheetId="7" hidden="1">{"PACKAGE",#N/A,FALSE,"CM"}</definedName>
    <definedName name="wrn.CM_PACKAGE." hidden="1">{"PACKAGE",#N/A,FALSE,"CM"}</definedName>
    <definedName name="wrn.CM_PRS." localSheetId="3" hidden="1">{"PRS",#N/A,FALSE,"CM"}</definedName>
    <definedName name="wrn.CM_PRS." localSheetId="7" hidden="1">{"PRS",#N/A,FALSE,"CM"}</definedName>
    <definedName name="wrn.CM_PRS." hidden="1">{"PRS",#N/A,FALSE,"CM"}</definedName>
    <definedName name="wrn.CM_TEXAS._.HYCO." localSheetId="3" hidden="1">{"TOTTEXAS",#N/A,FALSE,"CM"}</definedName>
    <definedName name="wrn.CM_TEXAS._.HYCO." localSheetId="7" hidden="1">{"TOTTEXAS",#N/A,FALSE,"CM"}</definedName>
    <definedName name="wrn.CM_TEXAS._.HYCO." hidden="1">{"TOTTEXAS",#N/A,FALSE,"CM"}</definedName>
    <definedName name="wrn.CMVsBud." localSheetId="3" hidden="1">{"Page1",#N/A,FALSE,"OpExJanvsBud";"Page2",#N/A,FALSE,"OpExJanvsBud"}</definedName>
    <definedName name="wrn.CMVsBud." localSheetId="7" hidden="1">{"Page1",#N/A,FALSE,"OpExJanvsBud";"Page2",#N/A,FALSE,"OpExJanvsBud"}</definedName>
    <definedName name="wrn.CMVsBud." hidden="1">{"Page1",#N/A,FALSE,"OpExJanvsBud";"Page2",#N/A,FALSE,"OpExJanvsBud"}</definedName>
    <definedName name="wrn.CMVsPY." localSheetId="3" hidden="1">{"Page 1",#N/A,FALSE,"OpExJanVsPY";"Page 2",#N/A,FALSE,"OpExJanVsPY"}</definedName>
    <definedName name="wrn.CMVsPY." localSheetId="7" hidden="1">{"Page 1",#N/A,FALSE,"OpExJanVsPY";"Page 2",#N/A,FALSE,"OpExJanVsPY"}</definedName>
    <definedName name="wrn.CMVsPY." hidden="1">{"Page 1",#N/A,FALSE,"OpExJanVsPY";"Page 2",#N/A,FALSE,"OpExJanVsPY"}</definedName>
    <definedName name="wrn.COMPCO." localSheetId="3" hidden="1">{"Page1",#N/A,FALSE,"CompCo";"Page2",#N/A,FALSE,"CompCo"}</definedName>
    <definedName name="wrn.COMPCO." localSheetId="7" hidden="1">{"Page1",#N/A,FALSE,"CompCo";"Page2",#N/A,FALSE,"CompCo"}</definedName>
    <definedName name="wrn.COMPCO." hidden="1">{"Page1",#N/A,FALSE,"CompCo";"Page2",#N/A,FALSE,"CompCo"}</definedName>
    <definedName name="wrn.competitor._.analysis." localSheetId="3" hidden="1">{"summary",#N/A,FALSE,"summary";"sales growth",#N/A,FALSE,"summary";"oper income",#N/A,FALSE,"summary";"oros rank",#N/A,FALSE,"summary";"net assets",#N/A,FALSE,"summary";"asset turnover",#N/A,FALSE,"summary";"orona",#N/A,FALSE,"summary";"total return",#N/A,FALSE,"summary";"overview",#N/A,FALSE,"summary"}</definedName>
    <definedName name="wrn.competitor._.analysis." localSheetId="7" hidden="1">{"summary",#N/A,FALSE,"summary";"sales growth",#N/A,FALSE,"summary";"oper income",#N/A,FALSE,"summary";"oros rank",#N/A,FALSE,"summary";"net assets",#N/A,FALSE,"summary";"asset turnover",#N/A,FALSE,"summary";"orona",#N/A,FALSE,"summary";"total return",#N/A,FALSE,"summary";"overview",#N/A,FALSE,"summary"}</definedName>
    <definedName name="wrn.competitor._.analysis." hidden="1">{"summary",#N/A,FALSE,"summary";"sales growth",#N/A,FALSE,"summary";"oper income",#N/A,FALSE,"summary";"oros rank",#N/A,FALSE,"summary";"net assets",#N/A,FALSE,"summary";"asset turnover",#N/A,FALSE,"summary";"orona",#N/A,FALSE,"summary";"total return",#N/A,FALSE,"summary";"overview",#N/A,FALSE,"summary"}</definedName>
    <definedName name="wrn.Complete."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localSheetId="7" hidden="1">{#N/A,#N/A,TRUE,"DCF Summary";#N/A,#N/A,TRUE,"Casema";#N/A,#N/A,TRUE,"UK";#N/A,#N/A,TRUE,"RCF";#N/A,#N/A,TRUE,"Intercable CZ";#N/A,#N/A,TRUE,"Interkabel P";#N/A,#N/A,TRUE,"LBO-Total";#N/A,#N/A,TRUE,"LBO-Casema"}</definedName>
    <definedName name="wrn.Complete." hidden="1">{#N/A,#N/A,TRUE,"DCF Summary";#N/A,#N/A,TRUE,"Casema";#N/A,#N/A,TRUE,"UK";#N/A,#N/A,TRUE,"RCF";#N/A,#N/A,TRUE,"Intercable CZ";#N/A,#N/A,TRUE,"Interkabel P";#N/A,#N/A,TRUE,"LBO-Total";#N/A,#N/A,TRUE,"LBO-Casema"}</definedName>
    <definedName name="wrn.Conciliação." localSheetId="0" hidden="1">{"printConciliação",#N/A,FALSE,"Database"}</definedName>
    <definedName name="wrn.Conciliação." localSheetId="3" hidden="1">{"printConciliação",#N/A,FALSE,"Database"}</definedName>
    <definedName name="wrn.Conciliação." localSheetId="7" hidden="1">{"printConciliação",#N/A,FALSE,"Database"}</definedName>
    <definedName name="wrn.Conciliação." hidden="1">{"printConciliação",#N/A,FALSE,"Database"}</definedName>
    <definedName name="wrn.Consolidated." localSheetId="3" hidden="1">{"PnL",#N/A,FALSE,"Total P&amp;L";"Cost Control",#N/A,FALSE,"Total P&amp;L"}</definedName>
    <definedName name="wrn.Consolidated." localSheetId="7" hidden="1">{"PnL",#N/A,FALSE,"Total P&amp;L";"Cost Control",#N/A,FALSE,"Total P&amp;L"}</definedName>
    <definedName name="wrn.Consolidated." hidden="1">{"PnL",#N/A,FALSE,"Total P&amp;L";"Cost Control",#N/A,FALSE,"Total P&amp;L"}</definedName>
    <definedName name="wrn.Consolidated._.Latest._.Estimates." localSheetId="3" hidden="1">{#N/A,#N/A,TRUE,"NAI Consolidated w Volumes";#N/A,#N/A,TRUE,"Consolidated Samedan &amp; Subs";#N/A,#N/A,TRUE,"Onshore Consolidated";#N/A,#N/A,TRUE,"Offshore Consolidated";#N/A,#N/A,TRUE,"Int'l - Consolidated";#N/A,#N/A,TRUE,"Ardmore";#N/A,#N/A,TRUE,"NGM Consolidated";#N/A,#N/A,TRUE,"NTI";#N/A,#N/A,TRUE,"NPM Inc"}</definedName>
    <definedName name="wrn.Consolidated._.Latest._.Estimates." localSheetId="7" hidden="1">{#N/A,#N/A,TRUE,"NAI Consolidated w Volumes";#N/A,#N/A,TRUE,"Consolidated Samedan &amp; Subs";#N/A,#N/A,TRUE,"Onshore Consolidated";#N/A,#N/A,TRUE,"Offshore Consolidated";#N/A,#N/A,TRUE,"Int'l - Consolidated";#N/A,#N/A,TRUE,"Ardmore";#N/A,#N/A,TRUE,"NGM Consolidated";#N/A,#N/A,TRUE,"NTI";#N/A,#N/A,TRUE,"NPM Inc"}</definedName>
    <definedName name="wrn.Consolidated._.Latest._.Estimates." hidden="1">{#N/A,#N/A,TRUE,"NAI Consolidated w Volumes";#N/A,#N/A,TRUE,"Consolidated Samedan &amp; Subs";#N/A,#N/A,TRUE,"Onshore Consolidated";#N/A,#N/A,TRUE,"Offshore Consolidated";#N/A,#N/A,TRUE,"Int'l - Consolidated";#N/A,#N/A,TRUE,"Ardmore";#N/A,#N/A,TRUE,"NGM Consolidated";#N/A,#N/A,TRUE,"NTI";#N/A,#N/A,TRUE,"NPM Inc"}</definedName>
    <definedName name="wrn.Consumer._.Medicines." localSheetId="3" hidden="1">{#N/A,#N/A,FALSE,"OTC";#N/A,#N/A,FALSE,"Ther";#N/A,#N/A,FALSE,"Temp";#N/A,#N/A,FALSE,"Exce";#N/A,#N/A,FALSE,"Buff";#N/A,#N/A,FALSE,"Picot";#N/A,#N/A,FALSE,"Luftal";#N/A,#N/A,FALSE,"Comt"}</definedName>
    <definedName name="wrn.Consumer._.Medicines." localSheetId="7" hidden="1">{#N/A,#N/A,FALSE,"OTC";#N/A,#N/A,FALSE,"Ther";#N/A,#N/A,FALSE,"Temp";#N/A,#N/A,FALSE,"Exce";#N/A,#N/A,FALSE,"Buff";#N/A,#N/A,FALSE,"Picot";#N/A,#N/A,FALSE,"Luftal";#N/A,#N/A,FALSE,"Comt"}</definedName>
    <definedName name="wrn.Consumer._.Medicines." hidden="1">{#N/A,#N/A,FALSE,"OTC";#N/A,#N/A,FALSE,"Ther";#N/A,#N/A,FALSE,"Temp";#N/A,#N/A,FALSE,"Exce";#N/A,#N/A,FALSE,"Buff";#N/A,#N/A,FALSE,"Picot";#N/A,#N/A,FALSE,"Luftal";#N/A,#N/A,FALSE,"Comt"}</definedName>
    <definedName name="wrn.COS." localSheetId="3" hidden="1">{"PAGE 1",#N/A,FALSE,"COS";"PAGE 2",#N/A,FALSE,"COS";"PAGE 3",#N/A,FALSE,"COS"}</definedName>
    <definedName name="wrn.COS." localSheetId="7" hidden="1">{"PAGE 1",#N/A,FALSE,"COS";"PAGE 2",#N/A,FALSE,"COS";"PAGE 3",#N/A,FALSE,"COS"}</definedName>
    <definedName name="wrn.COS." hidden="1">{"PAGE 1",#N/A,FALSE,"COS";"PAGE 2",#N/A,FALSE,"COS";"PAGE 3",#N/A,FALSE,"COS"}</definedName>
    <definedName name="wrn.COS._.EX._.GEISMAR." localSheetId="3" hidden="1">{"PAGE 1",#N/A,FALSE,"COS Excluding Geismar";"PAGE 2",#N/A,FALSE,"COS Excluding Geismar";"PAGE 3",#N/A,FALSE,"COS Excluding Geismar"}</definedName>
    <definedName name="wrn.COS._.EX._.GEISMAR." localSheetId="7" hidden="1">{"PAGE 1",#N/A,FALSE,"COS Excluding Geismar";"PAGE 2",#N/A,FALSE,"COS Excluding Geismar";"PAGE 3",#N/A,FALSE,"COS Excluding Geismar"}</definedName>
    <definedName name="wrn.COS._.EX._.GEISMAR." hidden="1">{"PAGE 1",#N/A,FALSE,"COS Excluding Geismar";"PAGE 2",#N/A,FALSE,"COS Excluding Geismar";"PAGE 3",#N/A,FALSE,"COS Excluding Geismar"}</definedName>
    <definedName name="wrn.COST._.OF._.SALES." localSheetId="3" hidden="1">{"COST OF SALES",#N/A,FALSE,"C.O.SALES"}</definedName>
    <definedName name="wrn.COST._.OF._.SALES." localSheetId="7" hidden="1">{"COST OF SALES",#N/A,FALSE,"C.O.SALES"}</definedName>
    <definedName name="wrn.COST._.OF._.SALES." hidden="1">{"COST OF SALES",#N/A,FALSE,"C.O.SALES"}</definedName>
    <definedName name="wrn.Current._.Month._.Current._.Yr._.Only." localSheetId="3" hidden="1">{"Month Summary",#N/A,FALSE,"Summary";"Total Details",#N/A,FALSE,"Current Yr";"Polymers Details",#N/A,FALSE,"Current Yr";"Performance Details",#N/A,FALSE,"Current Yr";"ICD Details",#N/A,FALSE,"Current Yr"}</definedName>
    <definedName name="wrn.Current._.Month._.Current._.Yr._.Only." localSheetId="7" hidden="1">{"Month Summary",#N/A,FALSE,"Summary";"Total Details",#N/A,FALSE,"Current Yr";"Polymers Details",#N/A,FALSE,"Current Yr";"Performance Details",#N/A,FALSE,"Current Yr";"ICD Details",#N/A,FALSE,"Current Yr"}</definedName>
    <definedName name="wrn.Current._.Month._.Current._.Yr._.Only." hidden="1">{"Month Summary",#N/A,FALSE,"Summary";"Total Details",#N/A,FALSE,"Current Yr";"Polymers Details",#N/A,FALSE,"Current Yr";"Performance Details",#N/A,FALSE,"Current Yr";"ICD Details",#N/A,FALSE,"Current Yr"}</definedName>
    <definedName name="wrn.Current._.Month._.Everything." localSheetId="3"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Current._.Month._.Everything."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Current._.Month._.Everything."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cxdia." localSheetId="3" hidden="1">{#N/A,#N/A,FALSE,"FFCXOUT3"}</definedName>
    <definedName name="wrn.cxdia." localSheetId="7" hidden="1">{#N/A,#N/A,FALSE,"FFCXOUT3"}</definedName>
    <definedName name="wrn.cxdia." hidden="1">{#N/A,#N/A,FALSE,"FFCXOUT3"}</definedName>
    <definedName name="wrn.cxdiager." localSheetId="3" hidden="1">{#N/A,#N/A,FALSE,"FFCXOUT3"}</definedName>
    <definedName name="wrn.cxdiager." localSheetId="7" hidden="1">{#N/A,#N/A,FALSE,"FFCXOUT3"}</definedName>
    <definedName name="wrn.cxdiager." hidden="1">{#N/A,#N/A,FALSE,"FFCXOUT3"}</definedName>
    <definedName name="wrn.d" localSheetId="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ata." localSheetId="3" hidden="1">{"apci",#N/A,FALSE,"Chem_CY";"eastman",#N/A,FALSE,"Eastman";"betz",#N/A,FALSE,"Betz";"great lakes",#N/A,FALSE,"Great_Lakes";"hercules",#N/A,FALSE,"Hercules Chem Seg Data";"rohm",#N/A,FALSE,"Rohm";"union carbide",#N/A,FALSE,"Union";"witco",#N/A,FALSE,"Witco"}</definedName>
    <definedName name="wrn.data." localSheetId="7" hidden="1">{"apci",#N/A,FALSE,"Chem_CY";"eastman",#N/A,FALSE,"Eastman";"betz",#N/A,FALSE,"Betz";"great lakes",#N/A,FALSE,"Great_Lakes";"hercules",#N/A,FALSE,"Hercules Chem Seg Data";"rohm",#N/A,FALSE,"Rohm";"union carbide",#N/A,FALSE,"Union";"witco",#N/A,FALSE,"Witco"}</definedName>
    <definedName name="wrn.data." hidden="1">{"apci",#N/A,FALSE,"Chem_CY";"eastman",#N/A,FALSE,"Eastman";"betz",#N/A,FALSE,"Betz";"great lakes",#N/A,FALSE,"Great_Lakes";"hercules",#N/A,FALSE,"Hercules Chem Seg Data";"rohm",#N/A,FALSE,"Rohm";"union carbide",#N/A,FALSE,"Union";"witco",#N/A,FALSE,"Witco"}</definedName>
    <definedName name="wrn.DCF." localSheetId="3" hidden="1">{#N/A,#N/A,FALSE,"Brad_DCFM";#N/A,#N/A,FALSE,"Nick_DCFM";#N/A,#N/A,FALSE,"Mobile_DCFM"}</definedName>
    <definedName name="wrn.DCF." localSheetId="7" hidden="1">{#N/A,#N/A,FALSE,"Brad_DCFM";#N/A,#N/A,FALSE,"Nick_DCFM";#N/A,#N/A,FALSE,"Mobile_DCFM"}</definedName>
    <definedName name="wrn.DCF." hidden="1">{#N/A,#N/A,FALSE,"Brad_DCFM";#N/A,#N/A,FALSE,"Nick_DCFM";#N/A,#N/A,FALSE,"Mobile_DCFM"}</definedName>
    <definedName name="wrn.DCF._.Only." localSheetId="3" hidden="1">{#N/A,#N/A,FALSE,"DCF Summary";#N/A,#N/A,FALSE,"Casema";#N/A,#N/A,FALSE,"Casema NoTel";#N/A,#N/A,FALSE,"UK";#N/A,#N/A,FALSE,"RCF";#N/A,#N/A,FALSE,"Intercable CZ";#N/A,#N/A,FALSE,"Interkabel P"}</definedName>
    <definedName name="wrn.DCF._.Only." localSheetId="7" hidden="1">{#N/A,#N/A,FALSE,"DCF Summary";#N/A,#N/A,FALSE,"Casema";#N/A,#N/A,FALSE,"Casema NoTel";#N/A,#N/A,FALSE,"UK";#N/A,#N/A,FALSE,"RCF";#N/A,#N/A,FALSE,"Intercable CZ";#N/A,#N/A,FALSE,"Interkabel P"}</definedName>
    <definedName name="wrn.DCF._.Only." hidden="1">{#N/A,#N/A,FALSE,"DCF Summary";#N/A,#N/A,FALSE,"Casema";#N/A,#N/A,FALSE,"Casema NoTel";#N/A,#N/A,FALSE,"UK";#N/A,#N/A,FALSE,"RCF";#N/A,#N/A,FALSE,"Intercable CZ";#N/A,#N/A,FALSE,"Interkabel P"}</definedName>
    <definedName name="wrn.DCF_Terminal_Value_qchm." localSheetId="3" hidden="1">{"qchm_dcf",#N/A,FALSE,"QCHMDCF2";"qchm_terminal",#N/A,FALSE,"QCHMDCF2"}</definedName>
    <definedName name="wrn.DCF_Terminal_Value_qchm." localSheetId="7" hidden="1">{"qchm_dcf",#N/A,FALSE,"QCHMDCF2";"qchm_terminal",#N/A,FALSE,"QCHMDCF2"}</definedName>
    <definedName name="wrn.DCF_Terminal_Value_qchm." hidden="1">{"qchm_dcf",#N/A,FALSE,"QCHMDCF2";"qchm_terminal",#N/A,FALSE,"QCHMDCF2"}</definedName>
    <definedName name="wrn.Decision._.Memo." localSheetId="3"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 localSheetId="7"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tail._.Balance._.Sheet." localSheetId="3" hidden="1">{#N/A,#N/A,FALSE,"Detail"}</definedName>
    <definedName name="wrn.Detail._.Balance._.Sheet." localSheetId="7" hidden="1">{#N/A,#N/A,FALSE,"Detail"}</definedName>
    <definedName name="wrn.Detail._.Balance._.Sheet." hidden="1">{#N/A,#N/A,FALSE,"Detail"}</definedName>
    <definedName name="wrn.Detail_Projection." localSheetId="3" hidden="1">{#N/A,#N/A,FALSE,"Detail YTD"}</definedName>
    <definedName name="wrn.Detail_Projection." localSheetId="7" hidden="1">{#N/A,#N/A,FALSE,"Detail YTD"}</definedName>
    <definedName name="wrn.Detail_Projection." hidden="1">{#N/A,#N/A,FALSE,"Detail YTD"}</definedName>
    <definedName name="wrn.djall." localSheetId="3" hidden="1">{"djcash",#N/A,FALSE,"DJann";"djinc",#N/A,FALSE,"DJann";"djtaxes",#N/A,FALSE,"DJann";"djbuspub",#N/A,FALSE,"DJann";"djwall",#N/A,FALSE,"DJann";"djcompprs",#N/A,FALSE,"DJann";"djteler",#N/A,FALSE,"DJann"}</definedName>
    <definedName name="wrn.djall." localSheetId="7" hidden="1">{"djcash",#N/A,FALSE,"DJann";"djinc",#N/A,FALSE,"DJann";"djtaxes",#N/A,FALSE,"DJann";"djbuspub",#N/A,FALSE,"DJann";"djwall",#N/A,FALSE,"DJann";"djcompprs",#N/A,FALSE,"DJann";"djteler",#N/A,FALSE,"DJann"}</definedName>
    <definedName name="wrn.djall." hidden="1">{"djcash",#N/A,FALSE,"DJann";"djinc",#N/A,FALSE,"DJann";"djtaxes",#N/A,FALSE,"DJann";"djbuspub",#N/A,FALSE,"DJann";"djwall",#N/A,FALSE,"DJann";"djcompprs",#N/A,FALSE,"DJann";"djteler",#N/A,FALSE,"DJann"}</definedName>
    <definedName name="wrn.DOLARES." localSheetId="3" hidden="1">{"P&amp;L US$",#N/A,FALSE,"PL REPROG";"MONTH U$",#N/A,FALSE,"MONTH";"YTD U$",#N/A,FALSE,"YTD";"FULL YEAR U$",#N/A,FALSE,"FULL YEAR";"FORECAST U$",#N/A,FALSE,"FULL YEAR";"REMAINING MONTHS U$",#N/A,FALSE,"2DO SEMESTRE";"OPERATING INCOME ANALISYS DOLARES",#N/A,FALSE,"OPER INC VAR ANALISYS";"NET INCOME ANALISYS DOLARES",#N/A,FALSE,"OPER INC VAR ANALISYS";"FCF YTD U$",#N/A,FALSE,"FREE CASH FLOW";"FCF FULL YEAR U$",#N/A,FALSE,"FREE CASH FLOW";"NET FCF U$",#N/A,FALSE,"FREE CASH FLOW (2)"}</definedName>
    <definedName name="wrn.DOLARES." localSheetId="7" hidden="1">{"P&amp;L US$",#N/A,FALSE,"PL REPROG";"MONTH U$",#N/A,FALSE,"MONTH";"YTD U$",#N/A,FALSE,"YTD";"FULL YEAR U$",#N/A,FALSE,"FULL YEAR";"FORECAST U$",#N/A,FALSE,"FULL YEAR";"REMAINING MONTHS U$",#N/A,FALSE,"2DO SEMESTRE";"OPERATING INCOME ANALISYS DOLARES",#N/A,FALSE,"OPER INC VAR ANALISYS";"NET INCOME ANALISYS DOLARES",#N/A,FALSE,"OPER INC VAR ANALISYS";"FCF YTD U$",#N/A,FALSE,"FREE CASH FLOW";"FCF FULL YEAR U$",#N/A,FALSE,"FREE CASH FLOW";"NET FCF U$",#N/A,FALSE,"FREE CASH FLOW (2)"}</definedName>
    <definedName name="wrn.DOLARES." hidden="1">{"P&amp;L US$",#N/A,FALSE,"PL REPROG";"MONTH U$",#N/A,FALSE,"MONTH";"YTD U$",#N/A,FALSE,"YTD";"FULL YEAR U$",#N/A,FALSE,"FULL YEAR";"FORECAST U$",#N/A,FALSE,"FULL YEAR";"REMAINING MONTHS U$",#N/A,FALSE,"2DO SEMESTRE";"OPERATING INCOME ANALISYS DOLARES",#N/A,FALSE,"OPER INC VAR ANALISYS";"NET INCOME ANALISYS DOLARES",#N/A,FALSE,"OPER INC VAR ANALISYS";"FCF YTD U$",#N/A,FALSE,"FREE CASH FLOW";"FCF FULL YEAR U$",#N/A,FALSE,"FREE CASH FLOW";"NET FCF U$",#N/A,FALSE,"FREE CASH FLOW (2)"}</definedName>
    <definedName name="wrn.Drucken._.H.C.._.Starck." localSheetId="3" hidden="1">{#N/A,#N/A,FALSE,"Rohstoffnotierungen";#N/A,#N/A,FALSE,"ER HCST Erw. 99";#N/A,#N/A,FALSE,"ER HCST Plan 00";#N/A,#N/A,FALSE,"Umsatz KG";#N/A,#N/A,FALSE,"ER HCST";#N/A,#N/A,FALSE,"EA ST (2)";#N/A,#N/A,FALSE,"EA ST";#N/A,#N/A,FALSE,"EA ST (3)";#N/A,#N/A,FALSE,"EA ST (4)";#N/A,#N/A,FALSE,"KA ST  (2)";#N/A,#N/A,FALSE,"KA ST";#N/A,#N/A,FALSE,"KA ST  (3)";#N/A,#N/A,FALSE,"KA ST (4)"}</definedName>
    <definedName name="wrn.Drucken._.H.C.._.Starck." localSheetId="7" hidden="1">{#N/A,#N/A,FALSE,"Rohstoffnotierungen";#N/A,#N/A,FALSE,"ER HCST Erw. 99";#N/A,#N/A,FALSE,"ER HCST Plan 00";#N/A,#N/A,FALSE,"Umsatz KG";#N/A,#N/A,FALSE,"ER HCST";#N/A,#N/A,FALSE,"EA ST (2)";#N/A,#N/A,FALSE,"EA ST";#N/A,#N/A,FALSE,"EA ST (3)";#N/A,#N/A,FALSE,"EA ST (4)";#N/A,#N/A,FALSE,"KA ST  (2)";#N/A,#N/A,FALSE,"KA ST";#N/A,#N/A,FALSE,"KA ST  (3)";#N/A,#N/A,FALSE,"KA ST (4)"}</definedName>
    <definedName name="wrn.Drucken._.H.C.._.Starck." hidden="1">{#N/A,#N/A,FALSE,"Rohstoffnotierungen";#N/A,#N/A,FALSE,"ER HCST Erw. 99";#N/A,#N/A,FALSE,"ER HCST Plan 00";#N/A,#N/A,FALSE,"Umsatz KG";#N/A,#N/A,FALSE,"ER HCST";#N/A,#N/A,FALSE,"EA ST (2)";#N/A,#N/A,FALSE,"EA ST";#N/A,#N/A,FALSE,"EA ST (3)";#N/A,#N/A,FALSE,"EA ST (4)";#N/A,#N/A,FALSE,"KA ST  (2)";#N/A,#N/A,FALSE,"KA ST";#N/A,#N/A,FALSE,"KA ST  (3)";#N/A,#N/A,FALSE,"KA ST (4)"}</definedName>
    <definedName name="wrn.Earnings._.Model." localSheetId="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cpall." localSheetId="3" hidden="1">{"ecpcash",#N/A,FALSE,"ECPann";"ecpinc",#N/A,FALSE,"ECPann";"ecpindia",#N/A,FALSE,"ECPann";"ecpmun",#N/A,FALSE,"ECPann";"ecpphoenix",#N/A,FALSE,"ECPann";"ecpothe",#N/A,FALSE,"ECPann";"ecpbalsht",#N/A,FALSE,"ECPann"}</definedName>
    <definedName name="wrn.ecpall." localSheetId="7" hidden="1">{"ecpcash",#N/A,FALSE,"ECPann";"ecpinc",#N/A,FALSE,"ECPann";"ecpindia",#N/A,FALSE,"ECPann";"ecpmun",#N/A,FALSE,"ECPann";"ecpphoenix",#N/A,FALSE,"ECPann";"ecpothe",#N/A,FALSE,"ECPann";"ecpbalsht",#N/A,FALSE,"ECPann"}</definedName>
    <definedName name="wrn.ecpall." hidden="1">{"ecpcash",#N/A,FALSE,"ECPann";"ecpinc",#N/A,FALSE,"ECPann";"ecpindia",#N/A,FALSE,"ECPann";"ecpmun",#N/A,FALSE,"ECPann";"ecpphoenix",#N/A,FALSE,"ECPann";"ecpothe",#N/A,FALSE,"ECPann";"ecpbalsht",#N/A,FALSE,"ECPann"}</definedName>
    <definedName name="wrn.EES_BUD_ACT_PY." localSheetId="3"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ACT_PY."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ACT_PY."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SNAP_ACT_PY." localSheetId="3"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BUD_SNAP_ACT_PY." localSheetId="7"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BUD_SNAP_ACT_PY."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CHECK." localSheetId="3"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ES_CHECK." localSheetId="7"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ES_CHECK."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ntire._.Model." localSheetId="3"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 localSheetId="7"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tiesWithReclasses." localSheetId="3" hidden="1">{"page1",#N/A,FALSE,"EntitiesWithReclasses";"page2",#N/A,FALSE,"EntitiesWithReclasses";"page3",#N/A,FALSE,"EntitiesWithReclasses";"page4",#N/A,FALSE,"EntitiesWithReclasses";"page5",#N/A,FALSE,"EntitiesWithReclasses";"page6",#N/A,FALSE,"EntitiesWithReclasses"}</definedName>
    <definedName name="wrn.EntitiesWithReclasses." localSheetId="7" hidden="1">{"page1",#N/A,FALSE,"EntitiesWithReclasses";"page2",#N/A,FALSE,"EntitiesWithReclasses";"page3",#N/A,FALSE,"EntitiesWithReclasses";"page4",#N/A,FALSE,"EntitiesWithReclasses";"page5",#N/A,FALSE,"EntitiesWithReclasses";"page6",#N/A,FALSE,"EntitiesWithReclasses"}</definedName>
    <definedName name="wrn.EntitiesWithReclasses." hidden="1">{"page1",#N/A,FALSE,"EntitiesWithReclasses";"page2",#N/A,FALSE,"EntitiesWithReclasses";"page3",#N/A,FALSE,"EntitiesWithReclasses";"page4",#N/A,FALSE,"EntitiesWithReclasses";"page5",#N/A,FALSE,"EntitiesWithReclasses";"page6",#N/A,FALSE,"EntitiesWithReclasses"}</definedName>
    <definedName name="wrn.EPS._.print." localSheetId="3" hidden="1">{"EPS1",#N/A,FALSE,"merger"}</definedName>
    <definedName name="wrn.EPS._.print." localSheetId="7" hidden="1">{"EPS1",#N/A,FALSE,"merger"}</definedName>
    <definedName name="wrn.EPS._.print." hidden="1">{"EPS1",#N/A,FALSE,"merger"}</definedName>
    <definedName name="wrn.Equipment." localSheetId="3" hidden="1">{"PnL",#N/A,FALSE,"Equip P&amp;L";"Responsibility",#N/A,FALSE,"Equip P&amp;L";"Cost Control",#N/A,FALSE,"Equip P&amp;L"}</definedName>
    <definedName name="wrn.Equipment." localSheetId="7" hidden="1">{"PnL",#N/A,FALSE,"Equip P&amp;L";"Responsibility",#N/A,FALSE,"Equip P&amp;L";"Cost Control",#N/A,FALSE,"Equip P&amp;L"}</definedName>
    <definedName name="wrn.Equipment." hidden="1">{"PnL",#N/A,FALSE,"Equip P&amp;L";"Responsibility",#N/A,FALSE,"Equip P&amp;L";"Cost Control",#N/A,FALSE,"Equip P&amp;L"}</definedName>
    <definedName name="wrn.Europe." localSheetId="3" hidden="1">{"PnL",#N/A,FALSE,"Gas Eur P&amp;L";"Responsibility",#N/A,FALSE,"Gas Eur P&amp;L";"Cost Control",#N/A,FALSE,"Gas Eur P&amp;L";"Program List",#N/A,FALSE,"Gas Eur P&amp;L"}</definedName>
    <definedName name="wrn.Europe." localSheetId="7" hidden="1">{"PnL",#N/A,FALSE,"Gas Eur P&amp;L";"Responsibility",#N/A,FALSE,"Gas Eur P&amp;L";"Cost Control",#N/A,FALSE,"Gas Eur P&amp;L";"Program List",#N/A,FALSE,"Gas Eur P&amp;L"}</definedName>
    <definedName name="wrn.Europe." hidden="1">{"PnL",#N/A,FALSE,"Gas Eur P&amp;L";"Responsibility",#N/A,FALSE,"Gas Eur P&amp;L";"Cost Control",#N/A,FALSE,"Gas Eur P&amp;L";"Program List",#N/A,FALSE,"Gas Eur P&amp;L"}</definedName>
    <definedName name="wrn.Everything." localSheetId="3" hidden="1">{#N/A,#N/A,FALSE,"Cover";#N/A,#N/A,FALSE,"Rilke Stand Alone";#N/A,#N/A,FALSE,"Poe Stand Alone";#N/A,#N/A,FALSE,"Poe (Calenderised, EUR)";#N/A,#N/A,FALSE,"Acq Veh (Poe)";#N/A,#N/A,FALSE,"Combined (Rilke_Poe)";#N/A,#N/A,FALSE,"Combined (Rilke_Poe)";#N/A,#N/A,FALSE,"Lincoln Stand Alone";#N/A,#N/A,FALSE,"Lincoln (Calenderised, EUR)";#N/A,#N/A,FALSE,"Combined (Poe_Lincoln)";#N/A,#N/A,FALSE,"Acq Veh (Rilke_Poe_Lincoln)";#N/A,#N/A,FALSE,"Combined (Rilke_Poe_Lincoln)";#N/A,#N/A,FALSE,"Thomas Standalone March";#N/A,#N/A,FALSE,"Thomas (Calenderised, EUR)";#N/A,#N/A,FALSE,"Acq Veh (Thomas)";#N/A,#N/A,FALSE,"Combined (Rilke_Thomas)"}</definedName>
    <definedName name="wrn.Everything." localSheetId="7" hidden="1">{#N/A,#N/A,FALSE,"Cover";#N/A,#N/A,FALSE,"Rilke Stand Alone";#N/A,#N/A,FALSE,"Poe Stand Alone";#N/A,#N/A,FALSE,"Poe (Calenderised, EUR)";#N/A,#N/A,FALSE,"Acq Veh (Poe)";#N/A,#N/A,FALSE,"Combined (Rilke_Poe)";#N/A,#N/A,FALSE,"Combined (Rilke_Poe)";#N/A,#N/A,FALSE,"Lincoln Stand Alone";#N/A,#N/A,FALSE,"Lincoln (Calenderised, EUR)";#N/A,#N/A,FALSE,"Combined (Poe_Lincoln)";#N/A,#N/A,FALSE,"Acq Veh (Rilke_Poe_Lincoln)";#N/A,#N/A,FALSE,"Combined (Rilke_Poe_Lincoln)";#N/A,#N/A,FALSE,"Thomas Standalone March";#N/A,#N/A,FALSE,"Thomas (Calenderised, EUR)";#N/A,#N/A,FALSE,"Acq Veh (Thomas)";#N/A,#N/A,FALSE,"Combined (Rilke_Thomas)"}</definedName>
    <definedName name="wrn.Everything." hidden="1">{#N/A,#N/A,FALSE,"Cover";#N/A,#N/A,FALSE,"Rilke Stand Alone";#N/A,#N/A,FALSE,"Poe Stand Alone";#N/A,#N/A,FALSE,"Poe (Calenderised, EUR)";#N/A,#N/A,FALSE,"Acq Veh (Poe)";#N/A,#N/A,FALSE,"Combined (Rilke_Poe)";#N/A,#N/A,FALSE,"Combined (Rilke_Poe)";#N/A,#N/A,FALSE,"Lincoln Stand Alone";#N/A,#N/A,FALSE,"Lincoln (Calenderised, EUR)";#N/A,#N/A,FALSE,"Combined (Poe_Lincoln)";#N/A,#N/A,FALSE,"Acq Veh (Rilke_Poe_Lincoln)";#N/A,#N/A,FALSE,"Combined (Rilke_Poe_Lincoln)";#N/A,#N/A,FALSE,"Thomas Standalone March";#N/A,#N/A,FALSE,"Thomas (Calenderised, EUR)";#N/A,#N/A,FALSE,"Acq Veh (Thomas)";#N/A,#N/A,FALSE,"Combined (Rilke_Thomas)"}</definedName>
    <definedName name="wrn.EXPENSES._.98._.US." localSheetId="0" hidden="1">{"Expenses 98 MKT",#N/A,TRUE,"MKT";"Expenses 98 BUSS",#N/A,TRUE,"BusOper";"Expenses 98 TECH",#N/A,TRUE,"Tech";"Expenses 98 LOCAL",#N/A,TRUE,"LocalProg";"Expenses 98 GA",#N/A,TRUE,"G&amp;A";"Expenses 98 CONSOL",#N/A,TRUE,"Consolidate"}</definedName>
    <definedName name="wrn.EXPENSES._.98._.US." localSheetId="3" hidden="1">{"Expenses 98 MKT",#N/A,TRUE,"MKT";"Expenses 98 BUSS",#N/A,TRUE,"BusOper";"Expenses 98 TECH",#N/A,TRUE,"Tech";"Expenses 98 LOCAL",#N/A,TRUE,"LocalProg";"Expenses 98 GA",#N/A,TRUE,"G&amp;A";"Expenses 98 CONSOL",#N/A,TRUE,"Consolidate"}</definedName>
    <definedName name="wrn.EXPENSES._.98._.US." localSheetId="7" hidden="1">{"Expenses 98 MKT",#N/A,TRUE,"MKT";"Expenses 98 BUSS",#N/A,TRUE,"BusOper";"Expenses 98 TECH",#N/A,TRUE,"Tech";"Expenses 98 LOCAL",#N/A,TRUE,"LocalProg";"Expenses 98 GA",#N/A,TRUE,"G&amp;A";"Expenses 98 CONSOL",#N/A,TRUE,"Consolidate"}</definedName>
    <definedName name="wrn.EXPENSES._.98._.US." hidden="1">{"Expenses 98 MKT",#N/A,TRUE,"MKT";"Expenses 98 BUSS",#N/A,TRUE,"BusOper";"Expenses 98 TECH",#N/A,TRUE,"Tech";"Expenses 98 LOCAL",#N/A,TRUE,"LocalProg";"Expenses 98 GA",#N/A,TRUE,"G&amp;A";"Expenses 98 CONSOL",#N/A,TRUE,"Consolidate"}</definedName>
    <definedName name="wrn.EXPENSES._.99._.REAL." localSheetId="0" hidden="1">{"Reais 99 MKT",#N/A,TRUE,"MKT";"Reais 99 BUSS",#N/A,TRUE,"BusOper";"Reais 99 TECH",#N/A,TRUE,"Tech";"Reais 99 LOCAL",#N/A,TRUE,"LocalProg";"Reais 99 GA",#N/A,TRUE,"G&amp;A";"Reais 99 CONSOL",#N/A,TRUE,"Consolidate"}</definedName>
    <definedName name="wrn.EXPENSES._.99._.REAL." localSheetId="3" hidden="1">{"Reais 99 MKT",#N/A,TRUE,"MKT";"Reais 99 BUSS",#N/A,TRUE,"BusOper";"Reais 99 TECH",#N/A,TRUE,"Tech";"Reais 99 LOCAL",#N/A,TRUE,"LocalProg";"Reais 99 GA",#N/A,TRUE,"G&amp;A";"Reais 99 CONSOL",#N/A,TRUE,"Consolidate"}</definedName>
    <definedName name="wrn.EXPENSES._.99._.REAL." localSheetId="7" hidden="1">{"Reais 99 MKT",#N/A,TRUE,"MKT";"Reais 99 BUSS",#N/A,TRUE,"BusOper";"Reais 99 TECH",#N/A,TRUE,"Tech";"Reais 99 LOCAL",#N/A,TRUE,"LocalProg";"Reais 99 GA",#N/A,TRUE,"G&amp;A";"Reais 99 CONSOL",#N/A,TRUE,"Consolidate"}</definedName>
    <definedName name="wrn.EXPENSES._.99._.REAL." hidden="1">{"Reais 99 MKT",#N/A,TRUE,"MKT";"Reais 99 BUSS",#N/A,TRUE,"BusOper";"Reais 99 TECH",#N/A,TRUE,"Tech";"Reais 99 LOCAL",#N/A,TRUE,"LocalProg";"Reais 99 GA",#N/A,TRUE,"G&amp;A";"Reais 99 CONSOL",#N/A,TRUE,"Consolidate"}</definedName>
    <definedName name="wrn.External." localSheetId="3" hidden="1">{"External_Annual_Income",#N/A,FALSE,"External";"External_Quarterly_Income",#N/A,FALSE,"External"}</definedName>
    <definedName name="wrn.External." localSheetId="7" hidden="1">{"External_Annual_Income",#N/A,FALSE,"External";"External_Quarterly_Income",#N/A,FALSE,"External"}</definedName>
    <definedName name="wrn.External." hidden="1">{"External_Annual_Income",#N/A,FALSE,"External";"External_Quarterly_Income",#N/A,FALSE,"External"}</definedName>
    <definedName name="wrn.fcb" localSheetId="3" hidden="1">{"FCB_ALL",#N/A,FALSE,"FCB"}</definedName>
    <definedName name="wrn.fcb" localSheetId="7" hidden="1">{"FCB_ALL",#N/A,FALSE,"FCB"}</definedName>
    <definedName name="wrn.fcb" hidden="1">{"FCB_ALL",#N/A,FALSE,"FCB"}</definedName>
    <definedName name="wrn.FCB." localSheetId="3" hidden="1">{"FCB_ALL",#N/A,FALSE,"FCB"}</definedName>
    <definedName name="wrn.FCB." localSheetId="7" hidden="1">{"FCB_ALL",#N/A,FALSE,"FCB"}</definedName>
    <definedName name="wrn.FCB." hidden="1">{"FCB_ALL",#N/A,FALSE,"FCB"}</definedName>
    <definedName name="wrn.fcb._dcf" localSheetId="3" hidden="1">{"FCB_ALL",#N/A,FALSE,"FCB"}</definedName>
    <definedName name="wrn.fcb._dcf" localSheetId="7" hidden="1">{"FCB_ALL",#N/A,FALSE,"FCB"}</definedName>
    <definedName name="wrn.fcb._dcf" hidden="1">{"FCB_ALL",#N/A,FALSE,"FCB"}</definedName>
    <definedName name="wrn.fcb2" localSheetId="3" hidden="1">{"FCB_ALL",#N/A,FALSE,"FCB"}</definedName>
    <definedName name="wrn.fcb2" localSheetId="7" hidden="1">{"FCB_ALL",#N/A,FALSE,"FCB"}</definedName>
    <definedName name="wrn.fcb2" hidden="1">{"FCB_ALL",#N/A,FALSE,"FCB"}</definedName>
    <definedName name="wrn.fcb2_dcf" localSheetId="3" hidden="1">{"FCB_ALL",#N/A,FALSE,"FCB"}</definedName>
    <definedName name="wrn.fcb2_dcf" localSheetId="7" hidden="1">{"FCB_ALL",#N/A,FALSE,"FCB"}</definedName>
    <definedName name="wrn.fcb2_dcf" hidden="1">{"FCB_ALL",#N/A,FALSE,"FCB"}</definedName>
    <definedName name="wrn.FINANCIAL._.MONTH." localSheetId="0" hidden="1">{"Expense Analysis MKT",#N/A,TRUE,"MKT";"Expense Analysis BUSS",#N/A,TRUE,"BusOper";"Expense Analysis TECH",#N/A,TRUE,"Tech";"Expense Analysis LOCAL",#N/A,TRUE,"LocalProg";"Expense Analysis GA",#N/A,TRUE,"G&amp;A";"Expense Analysis CONSOL",#N/A,TRUE,"Consolidate"}</definedName>
    <definedName name="wrn.FINANCIAL._.MONTH." localSheetId="3" hidden="1">{"Expense Analysis MKT",#N/A,TRUE,"MKT";"Expense Analysis BUSS",#N/A,TRUE,"BusOper";"Expense Analysis TECH",#N/A,TRUE,"Tech";"Expense Analysis LOCAL",#N/A,TRUE,"LocalProg";"Expense Analysis GA",#N/A,TRUE,"G&amp;A";"Expense Analysis CONSOL",#N/A,TRUE,"Consolidate"}</definedName>
    <definedName name="wrn.FINANCIAL._.MONTH." localSheetId="7" hidden="1">{"Expense Analysis MKT",#N/A,TRUE,"MKT";"Expense Analysis BUSS",#N/A,TRUE,"BusOper";"Expense Analysis TECH",#N/A,TRUE,"Tech";"Expense Analysis LOCAL",#N/A,TRUE,"LocalProg";"Expense Analysis GA",#N/A,TRUE,"G&amp;A";"Expense Analysis CONSOL",#N/A,TRUE,"Consolidate"}</definedName>
    <definedName name="wrn.FINANCIAL._.MONTH." hidden="1">{"Expense Analysis MKT",#N/A,TRUE,"MKT";"Expense Analysis BUSS",#N/A,TRUE,"BusOper";"Expense Analysis TECH",#N/A,TRUE,"Tech";"Expense Analysis LOCAL",#N/A,TRUE,"LocalProg";"Expense Analysis GA",#N/A,TRUE,"G&amp;A";"Expense Analysis CONSOL",#N/A,TRUE,"Consolidate"}</definedName>
    <definedName name="wrn.FINANCIAL._.MONTHS." localSheetId="0" hidden="1">{"Expenses Amalysis Months MKT",#N/A,TRUE,"MKT";"Expenses Analysis Months BUSS",#N/A,TRUE,"BusOper";"Expenses Analysis Months TECH",#N/A,TRUE,"Tech";"Expenses Analysis Months LOCAL",#N/A,TRUE,"LocalProg";"Expenses Analysis Months GA",#N/A,TRUE,"G&amp;A";"Expenses Analysis Months CONSOL",#N/A,TRUE,"Consolidate"}</definedName>
    <definedName name="wrn.FINANCIAL._.MONTHS." localSheetId="3" hidden="1">{"Expenses Amalysis Months MKT",#N/A,TRUE,"MKT";"Expenses Analysis Months BUSS",#N/A,TRUE,"BusOper";"Expenses Analysis Months TECH",#N/A,TRUE,"Tech";"Expenses Analysis Months LOCAL",#N/A,TRUE,"LocalProg";"Expenses Analysis Months GA",#N/A,TRUE,"G&amp;A";"Expenses Analysis Months CONSOL",#N/A,TRUE,"Consolidate"}</definedName>
    <definedName name="wrn.FINANCIAL._.MONTHS." localSheetId="7" hidden="1">{"Expenses Amalysis Months MKT",#N/A,TRUE,"MKT";"Expenses Analysis Months BUSS",#N/A,TRUE,"BusOper";"Expenses Analysis Months TECH",#N/A,TRUE,"Tech";"Expenses Analysis Months LOCAL",#N/A,TRUE,"LocalProg";"Expenses Analysis Months GA",#N/A,TRUE,"G&amp;A";"Expenses Analysis Months CONSOL",#N/A,TRUE,"Consolidate"}</definedName>
    <definedName name="wrn.FINANCIAL._.MONTHS." hidden="1">{"Expenses Amalysis Months MKT",#N/A,TRUE,"MKT";"Expenses Analysis Months BUSS",#N/A,TRUE,"BusOper";"Expenses Analysis Months TECH",#N/A,TRUE,"Tech";"Expenses Analysis Months LOCAL",#N/A,TRUE,"LocalProg";"Expenses Analysis Months GA",#N/A,TRUE,"G&amp;A";"Expenses Analysis Months CONSOL",#N/A,TRUE,"Consolidate"}</definedName>
    <definedName name="wrn.FINANCIAL._.US._.MONTH." localSheetId="0" hidden="1">{"Expenses us MKT",#N/A,TRUE,"MKT";"Expenses us BUSS",#N/A,TRUE,"BusOper";"Expenses us TECH",#N/A,TRUE,"Tech";"Expenses us LOCAL",#N/A,TRUE,"LocalProg";"Expenses us GA",#N/A,TRUE,"G&amp;A";"Expenses us CONSOL",#N/A,TRUE,"Consolidate"}</definedName>
    <definedName name="wrn.FINANCIAL._.US._.MONTH." localSheetId="3" hidden="1">{"Expenses us MKT",#N/A,TRUE,"MKT";"Expenses us BUSS",#N/A,TRUE,"BusOper";"Expenses us TECH",#N/A,TRUE,"Tech";"Expenses us LOCAL",#N/A,TRUE,"LocalProg";"Expenses us GA",#N/A,TRUE,"G&amp;A";"Expenses us CONSOL",#N/A,TRUE,"Consolidate"}</definedName>
    <definedName name="wrn.FINANCIAL._.US._.MONTH." localSheetId="7" hidden="1">{"Expenses us MKT",#N/A,TRUE,"MKT";"Expenses us BUSS",#N/A,TRUE,"BusOper";"Expenses us TECH",#N/A,TRUE,"Tech";"Expenses us LOCAL",#N/A,TRUE,"LocalProg";"Expenses us GA",#N/A,TRUE,"G&amp;A";"Expenses us CONSOL",#N/A,TRUE,"Consolidate"}</definedName>
    <definedName name="wrn.FINANCIAL._.US._.MONTH." hidden="1">{"Expenses us MKT",#N/A,TRUE,"MKT";"Expenses us BUSS",#N/A,TRUE,"BusOper";"Expenses us TECH",#N/A,TRUE,"Tech";"Expenses us LOCAL",#N/A,TRUE,"LocalProg";"Expenses us GA",#N/A,TRUE,"G&amp;A";"Expenses us CONSOL",#N/A,TRUE,"Consolidate"}</definedName>
    <definedName name="wrn.FINANCIAL._.US._.MONTHS." localSheetId="0" hidden="1">{"Expenses Months us MKT",#N/A,TRUE,"MKT";"Expenses Months us BUSS",#N/A,TRUE,"BusOper";"Expenses Months us TECH",#N/A,TRUE,"Tech";"Expenses Months us LOCAL",#N/A,TRUE,"LocalProg";"Expenses Months us GA",#N/A,TRUE,"G&amp;A";"Expenses Months us CONSOL",#N/A,TRUE,"Consolidate"}</definedName>
    <definedName name="wrn.FINANCIAL._.US._.MONTHS." localSheetId="3" hidden="1">{"Expenses Months us MKT",#N/A,TRUE,"MKT";"Expenses Months us BUSS",#N/A,TRUE,"BusOper";"Expenses Months us TECH",#N/A,TRUE,"Tech";"Expenses Months us LOCAL",#N/A,TRUE,"LocalProg";"Expenses Months us GA",#N/A,TRUE,"G&amp;A";"Expenses Months us CONSOL",#N/A,TRUE,"Consolidate"}</definedName>
    <definedName name="wrn.FINANCIAL._.US._.MONTHS." localSheetId="7" hidden="1">{"Expenses Months us MKT",#N/A,TRUE,"MKT";"Expenses Months us BUSS",#N/A,TRUE,"BusOper";"Expenses Months us TECH",#N/A,TRUE,"Tech";"Expenses Months us LOCAL",#N/A,TRUE,"LocalProg";"Expenses Months us GA",#N/A,TRUE,"G&amp;A";"Expenses Months us CONSOL",#N/A,TRUE,"Consolidate"}</definedName>
    <definedName name="wrn.FINANCIAL._.US._.MONTHS." hidden="1">{"Expenses Months us MKT",#N/A,TRUE,"MKT";"Expenses Months us BUSS",#N/A,TRUE,"BusOper";"Expenses Months us TECH",#N/A,TRUE,"Tech";"Expenses Months us LOCAL",#N/A,TRUE,"LocalProg";"Expenses Months us GA",#N/A,TRUE,"G&amp;A";"Expenses Months us CONSOL",#N/A,TRUE,"Consolidate"}</definedName>
    <definedName name="wrn.Financials_long." localSheetId="3" hidden="1">{"IS",#N/A,FALSE,"Financials2 (Expanded)";"bsa",#N/A,FALSE,"Financials2 (Expanded)";"BS",#N/A,FALSE,"Financials2 (Expanded)";"CF",#N/A,FALSE,"Financials2 (Expanded)"}</definedName>
    <definedName name="wrn.Financials_long." localSheetId="7" hidden="1">{"IS",#N/A,FALSE,"Financials2 (Expanded)";"bsa",#N/A,FALSE,"Financials2 (Expanded)";"BS",#N/A,FALSE,"Financials2 (Expanded)";"CF",#N/A,FALSE,"Financials2 (Expanded)"}</definedName>
    <definedName name="wrn.Financials_long." hidden="1">{"IS",#N/A,FALSE,"Financials2 (Expanded)";"bsa",#N/A,FALSE,"Financials2 (Expanded)";"BS",#N/A,FALSE,"Financials2 (Expanded)";"CF",#N/A,FALSE,"Financials2 (Expanded)"}</definedName>
    <definedName name="wrn.finstat." localSheetId="3" hidden="1">{"ass",#N/A,FALSE,"finstat";"inc",#N/A,FALSE,"finstat";"bs",#N/A,FALSE,"finstat";"cf",#N/A,FALSE,"finstat";"ratios",#N/A,FALSE,"finstat"}</definedName>
    <definedName name="wrn.finstat." localSheetId="7" hidden="1">{"ass",#N/A,FALSE,"finstat";"inc",#N/A,FALSE,"finstat";"bs",#N/A,FALSE,"finstat";"cf",#N/A,FALSE,"finstat";"ratios",#N/A,FALSE,"finstat"}</definedName>
    <definedName name="wrn.finstat." hidden="1">{"ass",#N/A,FALSE,"finstat";"inc",#N/A,FALSE,"finstat";"bs",#N/A,FALSE,"finstat";"cf",#N/A,FALSE,"finstat";"ratios",#N/A,FALSE,"finstat"}</definedName>
    <definedName name="wrn.forecast." localSheetId="3" hidden="1">{#N/A,#N/A,FALSE,"model"}</definedName>
    <definedName name="wrn.forecast." localSheetId="7" hidden="1">{#N/A,#N/A,FALSE,"model"}</definedName>
    <definedName name="wrn.forecast." hidden="1">{#N/A,#N/A,FALSE,"model"}</definedName>
    <definedName name="wrn.forecast2" localSheetId="3" hidden="1">{#N/A,#N/A,FALSE,"model"}</definedName>
    <definedName name="wrn.forecast2" localSheetId="7" hidden="1">{#N/A,#N/A,FALSE,"model"}</definedName>
    <definedName name="wrn.forecast2" hidden="1">{#N/A,#N/A,FALSE,"model"}</definedName>
    <definedName name="wrn.forecastassumptions." localSheetId="3" hidden="1">{#N/A,#N/A,FALSE,"model"}</definedName>
    <definedName name="wrn.forecastassumptions." localSheetId="7" hidden="1">{#N/A,#N/A,FALSE,"model"}</definedName>
    <definedName name="wrn.forecastassumptions." hidden="1">{#N/A,#N/A,FALSE,"model"}</definedName>
    <definedName name="wrn.forecastassumptions2" localSheetId="3" hidden="1">{#N/A,#N/A,FALSE,"model"}</definedName>
    <definedName name="wrn.forecastassumptions2" localSheetId="7" hidden="1">{#N/A,#N/A,FALSE,"model"}</definedName>
    <definedName name="wrn.forecastassumptions2" hidden="1">{#N/A,#N/A,FALSE,"model"}</definedName>
    <definedName name="wrn.forecastROIC." localSheetId="3" hidden="1">{#N/A,#N/A,FALSE,"model"}</definedName>
    <definedName name="wrn.forecastROIC." localSheetId="7" hidden="1">{#N/A,#N/A,FALSE,"model"}</definedName>
    <definedName name="wrn.forecastROIC." hidden="1">{#N/A,#N/A,FALSE,"model"}</definedName>
    <definedName name="wrn.forecastROIC2" localSheetId="3" hidden="1">{#N/A,#N/A,FALSE,"model"}</definedName>
    <definedName name="wrn.forecastROIC2" localSheetId="7" hidden="1">{#N/A,#N/A,FALSE,"model"}</definedName>
    <definedName name="wrn.forecastROIC2" hidden="1">{#N/A,#N/A,FALSE,"model"}</definedName>
    <definedName name="wrn.Full._.Monty." localSheetId="3"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localSheetId="7"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report." localSheetId="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7"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Y00._.Summary." localSheetId="3" hidden="1">{"FY00",#N/A,FALSE,"Sheet1"}</definedName>
    <definedName name="wrn.FY00._.Summary." localSheetId="7" hidden="1">{"FY00",#N/A,FALSE,"Sheet1"}</definedName>
    <definedName name="wrn.FY00._.Summary." hidden="1">{"FY00",#N/A,FALSE,"Sheet1"}</definedName>
    <definedName name="wrn.FY01._.Target." localSheetId="3" hidden="1">{"FY01 TARGET",#N/A,FALSE,"Sheet1"}</definedName>
    <definedName name="wrn.FY01._.Target." localSheetId="7" hidden="1">{"FY01 TARGET",#N/A,FALSE,"Sheet1"}</definedName>
    <definedName name="wrn.FY01._.Target." hidden="1">{"FY01 TARGET",#N/A,FALSE,"Sheet1"}</definedName>
    <definedName name="wrn.GB._.99." localSheetId="3" hidden="1">{#N/A,#N/A,FALSE,"Umsatz 99";#N/A,#N/A,FALSE,"ER 99 "}</definedName>
    <definedName name="wrn.GB._.99." localSheetId="7" hidden="1">{#N/A,#N/A,FALSE,"Umsatz 99";#N/A,#N/A,FALSE,"ER 99 "}</definedName>
    <definedName name="wrn.GB._.99." hidden="1">{#N/A,#N/A,FALSE,"Umsatz 99";#N/A,#N/A,FALSE,"ER 99 "}</definedName>
    <definedName name="wrn.GB._.CH." localSheetId="3" hidden="1">{#N/A,#N/A,FALSE,"Umsatz CH";#N/A,#N/A,FALSE,"ER CH";#N/A,#N/A,FALSE,"EA CH (2) ";#N/A,#N/A,FALSE,"EA CH";#N/A,#N/A,FALSE,"EA CH (3) ";#N/A,#N/A,FALSE,"EA CH (4)";#N/A,#N/A,FALSE,"KA CH";#N/A,#N/A,FALSE,"KA CH  (2)";#N/A,#N/A,FALSE,"KA CH  (3)";#N/A,#N/A,FALSE,"KA CH (4)"}</definedName>
    <definedName name="wrn.GB._.CH." localSheetId="7" hidden="1">{#N/A,#N/A,FALSE,"Umsatz CH";#N/A,#N/A,FALSE,"ER CH";#N/A,#N/A,FALSE,"EA CH (2) ";#N/A,#N/A,FALSE,"EA CH";#N/A,#N/A,FALSE,"EA CH (3) ";#N/A,#N/A,FALSE,"EA CH (4)";#N/A,#N/A,FALSE,"KA CH";#N/A,#N/A,FALSE,"KA CH  (2)";#N/A,#N/A,FALSE,"KA CH  (3)";#N/A,#N/A,FALSE,"KA CH (4)"}</definedName>
    <definedName name="wrn.GB._.CH." hidden="1">{#N/A,#N/A,FALSE,"Umsatz CH";#N/A,#N/A,FALSE,"ER CH";#N/A,#N/A,FALSE,"EA CH (2) ";#N/A,#N/A,FALSE,"EA CH";#N/A,#N/A,FALSE,"EA CH (3) ";#N/A,#N/A,FALSE,"EA CH (4)";#N/A,#N/A,FALSE,"KA CH";#N/A,#N/A,FALSE,"KA CH  (2)";#N/A,#N/A,FALSE,"KA CH  (3)";#N/A,#N/A,FALSE,"KA CH (4)"}</definedName>
    <definedName name="wrn.GB._.EO." localSheetId="3" hidden="1">{#N/A,#N/A,FALSE,"Umsatz EO BP";#N/A,#N/A,FALSE,"Umsatz EO OP";#N/A,#N/A,FALSE,"ER EO BP";#N/A,#N/A,FALSE,"ER EO OP";#N/A,#N/A,FALSE,"EA EO (2)";#N/A,#N/A,FALSE,"EA EO";#N/A,#N/A,FALSE,"EA EO (3)";#N/A,#N/A,FALSE,"EA EO (4)";#N/A,#N/A,FALSE,"KA EO  (2)";#N/A,#N/A,FALSE,"KA EO";#N/A,#N/A,FALSE,"KA EO  (3)";#N/A,#N/A,FALSE,"KA EO (4)"}</definedName>
    <definedName name="wrn.GB._.EO." localSheetId="7" hidden="1">{#N/A,#N/A,FALSE,"Umsatz EO BP";#N/A,#N/A,FALSE,"Umsatz EO OP";#N/A,#N/A,FALSE,"ER EO BP";#N/A,#N/A,FALSE,"ER EO OP";#N/A,#N/A,FALSE,"EA EO (2)";#N/A,#N/A,FALSE,"EA EO";#N/A,#N/A,FALSE,"EA EO (3)";#N/A,#N/A,FALSE,"EA EO (4)";#N/A,#N/A,FALSE,"KA EO  (2)";#N/A,#N/A,FALSE,"KA EO";#N/A,#N/A,FALSE,"KA EO  (3)";#N/A,#N/A,FALSE,"KA EO (4)"}</definedName>
    <definedName name="wrn.GB._.EO." hidden="1">{#N/A,#N/A,FALSE,"Umsatz EO BP";#N/A,#N/A,FALSE,"Umsatz EO OP";#N/A,#N/A,FALSE,"ER EO BP";#N/A,#N/A,FALSE,"ER EO OP";#N/A,#N/A,FALSE,"EA EO (2)";#N/A,#N/A,FALSE,"EA EO";#N/A,#N/A,FALSE,"EA EO (3)";#N/A,#N/A,FALSE,"EA EO (4)";#N/A,#N/A,FALSE,"KA EO  (2)";#N/A,#N/A,FALSE,"KA EO";#N/A,#N/A,FALSE,"KA EO  (3)";#N/A,#N/A,FALSE,"KA EO (4)"}</definedName>
    <definedName name="wrn.GB._.HM." localSheetId="3" hidden="1">{#N/A,#N/A,FALSE,"Umsatz HM";#N/A,#N/A,FALSE,"ER HM";#N/A,#N/A,FALSE,"EA HM  (2)";#N/A,#N/A,FALSE,"EA HM ";#N/A,#N/A,FALSE,"EA HM  (4)";#N/A,#N/A,FALSE,"EA HM  (3)";#N/A,#N/A,FALSE,"KA HM  (2)";#N/A,#N/A,FALSE,"KA HM";#N/A,#N/A,FALSE,"KA HM  (3)";#N/A,#N/A,FALSE,"KA HM (4)"}</definedName>
    <definedName name="wrn.GB._.HM." localSheetId="7" hidden="1">{#N/A,#N/A,FALSE,"Umsatz HM";#N/A,#N/A,FALSE,"ER HM";#N/A,#N/A,FALSE,"EA HM  (2)";#N/A,#N/A,FALSE,"EA HM ";#N/A,#N/A,FALSE,"EA HM  (4)";#N/A,#N/A,FALSE,"EA HM  (3)";#N/A,#N/A,FALSE,"KA HM  (2)";#N/A,#N/A,FALSE,"KA HM";#N/A,#N/A,FALSE,"KA HM  (3)";#N/A,#N/A,FALSE,"KA HM (4)"}</definedName>
    <definedName name="wrn.GB._.HM." hidden="1">{#N/A,#N/A,FALSE,"Umsatz HM";#N/A,#N/A,FALSE,"ER HM";#N/A,#N/A,FALSE,"EA HM  (2)";#N/A,#N/A,FALSE,"EA HM ";#N/A,#N/A,FALSE,"EA HM  (4)";#N/A,#N/A,FALSE,"EA HM  (3)";#N/A,#N/A,FALSE,"KA HM  (2)";#N/A,#N/A,FALSE,"KA HM";#N/A,#N/A,FALSE,"KA HM  (3)";#N/A,#N/A,FALSE,"KA HM (4)"}</definedName>
    <definedName name="wrn.GB._.OK." localSheetId="3" hidden="1">{#N/A,#N/A,FALSE,"Umsatz OK";#N/A,#N/A,FALSE,"ER OK ";#N/A,#N/A,FALSE,"EA OK (2)";#N/A,#N/A,FALSE,"EA OK";#N/A,#N/A,FALSE,"EA OK (3)";#N/A,#N/A,FALSE,"EA OK (4)";#N/A,#N/A,FALSE,"KA OK  (2)";#N/A,#N/A,FALSE,"KA OK";#N/A,#N/A,FALSE,"KA OK  (3)";#N/A,#N/A,FALSE,"KA OK (4)"}</definedName>
    <definedName name="wrn.GB._.OK." localSheetId="7" hidden="1">{#N/A,#N/A,FALSE,"Umsatz OK";#N/A,#N/A,FALSE,"ER OK ";#N/A,#N/A,FALSE,"EA OK (2)";#N/A,#N/A,FALSE,"EA OK";#N/A,#N/A,FALSE,"EA OK (3)";#N/A,#N/A,FALSE,"EA OK (4)";#N/A,#N/A,FALSE,"KA OK  (2)";#N/A,#N/A,FALSE,"KA OK";#N/A,#N/A,FALSE,"KA OK  (3)";#N/A,#N/A,FALSE,"KA OK (4)"}</definedName>
    <definedName name="wrn.GB._.OK." hidden="1">{#N/A,#N/A,FALSE,"Umsatz OK";#N/A,#N/A,FALSE,"ER OK ";#N/A,#N/A,FALSE,"EA OK (2)";#N/A,#N/A,FALSE,"EA OK";#N/A,#N/A,FALSE,"EA OK (3)";#N/A,#N/A,FALSE,"EA OK (4)";#N/A,#N/A,FALSE,"KA OK  (2)";#N/A,#N/A,FALSE,"KA OK";#N/A,#N/A,FALSE,"KA OK  (3)";#N/A,#N/A,FALSE,"KA OK (4)"}</definedName>
    <definedName name="wrn.gb._hm." localSheetId="3" hidden="1">{#N/A,#N/A,FALSE,"Umsatz CH";#N/A,#N/A,FALSE,"ER CH";#N/A,#N/A,FALSE,"EA CH (2) ";#N/A,#N/A,FALSE,"EA CH";#N/A,#N/A,FALSE,"EA CH (3) ";#N/A,#N/A,FALSE,"EA CH (4)";#N/A,#N/A,FALSE,"KA CH";#N/A,#N/A,FALSE,"KA CH  (2)";#N/A,#N/A,FALSE,"KA CH  (3)";#N/A,#N/A,FALSE,"KA CH (4)"}</definedName>
    <definedName name="wrn.gb._hm." localSheetId="7" hidden="1">{#N/A,#N/A,FALSE,"Umsatz CH";#N/A,#N/A,FALSE,"ER CH";#N/A,#N/A,FALSE,"EA CH (2) ";#N/A,#N/A,FALSE,"EA CH";#N/A,#N/A,FALSE,"EA CH (3) ";#N/A,#N/A,FALSE,"EA CH (4)";#N/A,#N/A,FALSE,"KA CH";#N/A,#N/A,FALSE,"KA CH  (2)";#N/A,#N/A,FALSE,"KA CH  (3)";#N/A,#N/A,FALSE,"KA CH (4)"}</definedName>
    <definedName name="wrn.gb._hm." hidden="1">{#N/A,#N/A,FALSE,"Umsatz CH";#N/A,#N/A,FALSE,"ER CH";#N/A,#N/A,FALSE,"EA CH (2) ";#N/A,#N/A,FALSE,"EA CH";#N/A,#N/A,FALSE,"EA CH (3) ";#N/A,#N/A,FALSE,"EA CH (4)";#N/A,#N/A,FALSE,"KA CH";#N/A,#N/A,FALSE,"KA CH  (2)";#N/A,#N/A,FALSE,"KA CH  (3)";#N/A,#N/A,FALSE,"KA CH (4)"}</definedName>
    <definedName name="wrn.gb_lll" localSheetId="3" hidden="1">{#N/A,#N/A,FALSE,"Umsatz CH";#N/A,#N/A,FALSE,"ER CH";#N/A,#N/A,FALSE,"EA CH (2) ";#N/A,#N/A,FALSE,"EA CH";#N/A,#N/A,FALSE,"EA CH (3) ";#N/A,#N/A,FALSE,"EA CH (4)";#N/A,#N/A,FALSE,"KA CH";#N/A,#N/A,FALSE,"KA CH  (2)";#N/A,#N/A,FALSE,"KA CH  (3)";#N/A,#N/A,FALSE,"KA CH (4)"}</definedName>
    <definedName name="wrn.gb_lll" localSheetId="7" hidden="1">{#N/A,#N/A,FALSE,"Umsatz CH";#N/A,#N/A,FALSE,"ER CH";#N/A,#N/A,FALSE,"EA CH (2) ";#N/A,#N/A,FALSE,"EA CH";#N/A,#N/A,FALSE,"EA CH (3) ";#N/A,#N/A,FALSE,"EA CH (4)";#N/A,#N/A,FALSE,"KA CH";#N/A,#N/A,FALSE,"KA CH  (2)";#N/A,#N/A,FALSE,"KA CH  (3)";#N/A,#N/A,FALSE,"KA CH (4)"}</definedName>
    <definedName name="wrn.gb_lll" hidden="1">{#N/A,#N/A,FALSE,"Umsatz CH";#N/A,#N/A,FALSE,"ER CH";#N/A,#N/A,FALSE,"EA CH (2) ";#N/A,#N/A,FALSE,"EA CH";#N/A,#N/A,FALSE,"EA CH (3) ";#N/A,#N/A,FALSE,"EA CH (4)";#N/A,#N/A,FALSE,"KA CH";#N/A,#N/A,FALSE,"KA CH  (2)";#N/A,#N/A,FALSE,"KA CH  (3)";#N/A,#N/A,FALSE,"KA CH (4)"}</definedName>
    <definedName name="wrn.GCIall." localSheetId="3" hidden="1">{"gcicash",#N/A,FALSE,"GCIINC";"gciinc",#N/A,FALSE,"GCIINC";"gciexclusa",#N/A,FALSE,"GCIINC";"usatdy",#N/A,FALSE,"GCIINC"}</definedName>
    <definedName name="wrn.GCIall." localSheetId="7" hidden="1">{"gcicash",#N/A,FALSE,"GCIINC";"gciinc",#N/A,FALSE,"GCIINC";"gciexclusa",#N/A,FALSE,"GCIINC";"usatdy",#N/A,FALSE,"GCIINC"}</definedName>
    <definedName name="wrn.GCIall." hidden="1">{"gcicash",#N/A,FALSE,"GCIINC";"gciinc",#N/A,FALSE,"GCIINC";"gciexclusa",#N/A,FALSE,"GCIINC";"usatdy",#N/A,FALSE,"GCIINC"}</definedName>
    <definedName name="wrn.General._.OTC." localSheetId="3" hidden="1">{#N/A,#N/A,FALSE,"Title Page (3)";#N/A,#N/A,FALSE,"YTD - OTC";#N/A,#N/A,FALSE,"MTH - OTC"}</definedName>
    <definedName name="wrn.General._.OTC." localSheetId="7" hidden="1">{#N/A,#N/A,FALSE,"Title Page (3)";#N/A,#N/A,FALSE,"YTD - OTC";#N/A,#N/A,FALSE,"MTH - OTC"}</definedName>
    <definedName name="wrn.General._.OTC." hidden="1">{#N/A,#N/A,FALSE,"Title Page (3)";#N/A,#N/A,FALSE,"YTD - OTC";#N/A,#N/A,FALSE,"MTH - OTC"}</definedName>
    <definedName name="wrn.General._.Pharm." localSheetId="3" hidden="1">{#N/A,#N/A,FALSE,"Title Page (2)";#N/A,#N/A,FALSE,"YTD - Pharm";#N/A,#N/A,FALSE,"MTH - Pharm"}</definedName>
    <definedName name="wrn.General._.Pharm." localSheetId="7" hidden="1">{#N/A,#N/A,FALSE,"Title Page (2)";#N/A,#N/A,FALSE,"YTD - Pharm";#N/A,#N/A,FALSE,"MTH - Pharm"}</definedName>
    <definedName name="wrn.General._.Pharm." hidden="1">{#N/A,#N/A,FALSE,"Title Page (2)";#N/A,#N/A,FALSE,"YTD - Pharm";#N/A,#N/A,FALSE,"MTH - Pharm"}</definedName>
    <definedName name="wrn.General._.Total." localSheetId="3" hidden="1">{#N/A,#N/A,FALSE,"Title Page (4)";#N/A,#N/A,FALSE,"YTD - Total";#N/A,#N/A,FALSE,"MTH - Total"}</definedName>
    <definedName name="wrn.General._.Total." localSheetId="7" hidden="1">{#N/A,#N/A,FALSE,"Title Page (4)";#N/A,#N/A,FALSE,"YTD - Total";#N/A,#N/A,FALSE,"MTH - Total"}</definedName>
    <definedName name="wrn.General._.Total." hidden="1">{#N/A,#N/A,FALSE,"Title Page (4)";#N/A,#N/A,FALSE,"YTD - Total";#N/A,#N/A,FALSE,"MTH - Total"}</definedName>
    <definedName name="wrn.Geral." localSheetId="3" hidden="1">{#N/A,#N/A,FALSE,"Relatórios";"Vendas e Custos",#N/A,FALSE,"Vendas e Custos";"Premissas",#N/A,FALSE,"Premissas";"Projeções",#N/A,FALSE,"Projeções";"Dolar",#N/A,FALSE,"Dolar";"Original",#N/A,FALSE,"Original e UFIR"}</definedName>
    <definedName name="wrn.Geral." localSheetId="7" hidden="1">{#N/A,#N/A,FALSE,"Relatórios";"Vendas e Custos",#N/A,FALSE,"Vendas e Custos";"Premissas",#N/A,FALSE,"Premissas";"Projeções",#N/A,FALSE,"Projeções";"Dolar",#N/A,FALSE,"Dolar";"Original",#N/A,FALSE,"Original e UFIR"}</definedName>
    <definedName name="wrn.Geral." hidden="1">{#N/A,#N/A,FALSE,"Relatórios";"Vendas e Custos",#N/A,FALSE,"Vendas e Custos";"Premissas",#N/A,FALSE,"Premissas";"Projeções",#N/A,FALSE,"Projeções";"Dolar",#N/A,FALSE,"Dolar";"Original",#N/A,FALSE,"Original e UFIR"}</definedName>
    <definedName name="wrn.HANDOUT." localSheetId="3" hidden="1">{#N/A,#N/A,FALSE,"COVER PAGE";#N/A,#N/A,FALSE,"Page 2";#N/A,#N/A,FALSE,"Page 2";#N/A,#N/A,FALSE,"Page 4";#N/A,#N/A,FALSE,"Page5";#N/A,#N/A,FALSE,"Page 6";#N/A,#N/A,FALSE,"Page 7";#N/A,#N/A,FALSE,"Page 8";#N/A,#N/A,FALSE,"Page 10";#N/A,#N/A,FALSE,"Long-Term OCF Mult.";#N/A,#N/A,FALSE,"PCS Comp";#N/A,#N/A,FALSE,"OCS-CAPEX";#N/A,#N/A,FALSE,"Blank"}</definedName>
    <definedName name="wrn.HANDOUT." localSheetId="7" hidden="1">{#N/A,#N/A,FALSE,"COVER PAGE";#N/A,#N/A,FALSE,"Page 2";#N/A,#N/A,FALSE,"Page 2";#N/A,#N/A,FALSE,"Page 4";#N/A,#N/A,FALSE,"Page5";#N/A,#N/A,FALSE,"Page 6";#N/A,#N/A,FALSE,"Page 7";#N/A,#N/A,FALSE,"Page 8";#N/A,#N/A,FALSE,"Page 10";#N/A,#N/A,FALSE,"Long-Term OCF Mult.";#N/A,#N/A,FALSE,"PCS Comp";#N/A,#N/A,FALSE,"OCS-CAPEX";#N/A,#N/A,FALSE,"Blank"}</definedName>
    <definedName name="wrn.HANDOUT." hidden="1">{#N/A,#N/A,FALSE,"COVER PAGE";#N/A,#N/A,FALSE,"Page 2";#N/A,#N/A,FALSE,"Page 2";#N/A,#N/A,FALSE,"Page 4";#N/A,#N/A,FALSE,"Page5";#N/A,#N/A,FALSE,"Page 6";#N/A,#N/A,FALSE,"Page 7";#N/A,#N/A,FALSE,"Page 8";#N/A,#N/A,FALSE,"Page 10";#N/A,#N/A,FALSE,"Long-Term OCF Mult.";#N/A,#N/A,FALSE,"PCS Comp";#N/A,#N/A,FALSE,"OCS-CAPEX";#N/A,#N/A,FALSE,"Blank"}</definedName>
    <definedName name="wrn.HELIUM._.PRICING." localSheetId="3" hidden="1">{"HELIUM PRICING",#N/A,FALSE,"HELIUM"}</definedName>
    <definedName name="wrn.HELIUM._.PRICING." localSheetId="7" hidden="1">{"HELIUM PRICING",#N/A,FALSE,"HELIUM"}</definedName>
    <definedName name="wrn.HELIUM._.PRICING." hidden="1">{"HELIUM PRICING",#N/A,FALSE,"HELIUM"}</definedName>
    <definedName name="wrn.HELIUM._.REVENUE." localSheetId="3" hidden="1">{"HELIUM REVENUE",#N/A,FALSE,"HELIUM"}</definedName>
    <definedName name="wrn.HELIUM._.REVENUE." localSheetId="7" hidden="1">{"HELIUM REVENUE",#N/A,FALSE,"HELIUM"}</definedName>
    <definedName name="wrn.HELIUM._.REVENUE." hidden="1">{"HELIUM REVENUE",#N/A,FALSE,"HELIUM"}</definedName>
    <definedName name="wrn.HELIUM._.VOLUME." localSheetId="3" hidden="1">{"HELIUM VOLUME",#N/A,FALSE,"HELIUM"}</definedName>
    <definedName name="wrn.HELIUM._.VOLUME." localSheetId="7" hidden="1">{"HELIUM VOLUME",#N/A,FALSE,"HELIUM"}</definedName>
    <definedName name="wrn.HELIUM._.VOLUME." hidden="1">{"HELIUM VOLUME",#N/A,FALSE,"HELIUM"}</definedName>
    <definedName name="wrn.history." localSheetId="3" hidden="1">{#N/A,#N/A,FALSE,"model"}</definedName>
    <definedName name="wrn.history." localSheetId="7" hidden="1">{#N/A,#N/A,FALSE,"model"}</definedName>
    <definedName name="wrn.history." hidden="1">{#N/A,#N/A,FALSE,"model"}</definedName>
    <definedName name="wrn.history2" localSheetId="3" hidden="1">{#N/A,#N/A,FALSE,"model"}</definedName>
    <definedName name="wrn.history2" localSheetId="7" hidden="1">{#N/A,#N/A,FALSE,"model"}</definedName>
    <definedName name="wrn.history2" hidden="1">{#N/A,#N/A,FALSE,"model"}</definedName>
    <definedName name="wrn.histROIC." localSheetId="3" hidden="1">{#N/A,#N/A,FALSE,"model"}</definedName>
    <definedName name="wrn.histROIC." localSheetId="7" hidden="1">{#N/A,#N/A,FALSE,"model"}</definedName>
    <definedName name="wrn.histROIC." hidden="1">{#N/A,#N/A,FALSE,"model"}</definedName>
    <definedName name="wrn.histROIC2" localSheetId="3" hidden="1">{#N/A,#N/A,FALSE,"model"}</definedName>
    <definedName name="wrn.histROIC2" localSheetId="7" hidden="1">{#N/A,#N/A,FALSE,"model"}</definedName>
    <definedName name="wrn.histROIC2" hidden="1">{#N/A,#N/A,FALSE,"model"}</definedName>
    <definedName name="wrn.ICD." localSheetId="3" hidden="1">{"ICD Details",#N/A,FALSE,"Current Yr";"ICD Details",#N/A,FALSE,"Budget";"ICD Details",#N/A,FALSE,"Prior Year"}</definedName>
    <definedName name="wrn.ICD." localSheetId="7" hidden="1">{"ICD Details",#N/A,FALSE,"Current Yr";"ICD Details",#N/A,FALSE,"Budget";"ICD Details",#N/A,FALSE,"Prior Year"}</definedName>
    <definedName name="wrn.ICD." hidden="1">{"ICD Details",#N/A,FALSE,"Current Yr";"ICD Details",#N/A,FALSE,"Budget";"ICD Details",#N/A,FALSE,"Prior Year"}</definedName>
    <definedName name="wrn.ICD._.Balance._.Sheet." localSheetId="3" hidden="1">{#N/A,"ICD",FALSE,"BSHIST.XLS";#N/A,"DMU",FALSE,"BSHIST.XLS";#N/A,"METHYL",FALSE,"BSHIST.XLS";#N/A,"HIGHER",FALSE,"BSHIST.XLS";#N/A,"SPEC",FALSE,"BSHIST.XLS";#N/A,"DERIV",FALSE,"BSHIST.XLS";#N/A,"AMM",FALSE,"BSHIST.XLS";#N/A,"CVT",FALSE,"BSHIST.XLS";#N/A,"MEOH",FALSE,"BSHIST.XLS";#N/A,"PINTER",FALSE,"BSHIST.XLS";#N/A,"NEWVEN",FALSE,"BSHIST.XLS"}</definedName>
    <definedName name="wrn.ICD._.Balance._.Sheet." localSheetId="7" hidden="1">{#N/A,"ICD",FALSE,"BSHIST.XLS";#N/A,"DMU",FALSE,"BSHIST.XLS";#N/A,"METHYL",FALSE,"BSHIST.XLS";#N/A,"HIGHER",FALSE,"BSHIST.XLS";#N/A,"SPEC",FALSE,"BSHIST.XLS";#N/A,"DERIV",FALSE,"BSHIST.XLS";#N/A,"AMM",FALSE,"BSHIST.XLS";#N/A,"CVT",FALSE,"BSHIST.XLS";#N/A,"MEOH",FALSE,"BSHIST.XLS";#N/A,"PINTER",FALSE,"BSHIST.XLS";#N/A,"NEWVEN",FALSE,"BSHIST.XLS"}</definedName>
    <definedName name="wrn.ICD._.Balance._.Sheet." hidden="1">{#N/A,"ICD",FALSE,"BSHIST.XLS";#N/A,"DMU",FALSE,"BSHIST.XLS";#N/A,"METHYL",FALSE,"BSHIST.XLS";#N/A,"HIGHER",FALSE,"BSHIST.XLS";#N/A,"SPEC",FALSE,"BSHIST.XLS";#N/A,"DERIV",FALSE,"BSHIST.XLS";#N/A,"AMM",FALSE,"BSHIST.XLS";#N/A,"CVT",FALSE,"BSHIST.XLS";#N/A,"MEOH",FALSE,"BSHIST.XLS";#N/A,"PINTER",FALSE,"BSHIST.XLS";#N/A,"NEWVEN",FALSE,"BSHIST.XLS"}</definedName>
    <definedName name="wrn.ICMAN96." localSheetId="3" hidden="1">{#N/A,#N/A,TRUE,"ICMAN96 (1)"}</definedName>
    <definedName name="wrn.ICMAN96." localSheetId="7" hidden="1">{#N/A,#N/A,TRUE,"ICMAN96 (1)"}</definedName>
    <definedName name="wrn.ICMAN96." hidden="1">{#N/A,#N/A,TRUE,"ICMAN96 (1)"}</definedName>
    <definedName name="wrn.impresión." localSheetId="3"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wrn.impresión." localSheetId="7"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wrn.impresión."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wrn.impresión.1" localSheetId="3"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wrn.impresión.1" localSheetId="7"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wrn.impresión.1" hidden="1">{"page21",#N/A,FALSE,"TranSideco";"page20",#N/A,FALSE,"Coven.";"page19",#N/A,FALSE,"Comparac.";"page18",#N/A,FALSE,"Comparac.";"page17",#N/A,FALSE,"EvolDotac.";"page16",#N/A,FALSE,"Eco-Fin";"page15",#N/A,FALSE,"Eco-Fin";"page14",#N/A,FALSE,"Inversiones";"page13",#N/A,FALSE,"Inversiones";"page12",#N/A,FALSE,"Eco-Fin";"page11",#N/A,FALSE,"Eco-Fin";"page10",#N/A,FALSE,"Eco-Fin";"page9",#N/A,FALSE,"Eco-Fin";"page8",#N/A,FALSE,"Eco-Fin";"page7",#N/A,FALSE,"Eco-Fin";"page6",#N/A,FALSE,"Eco-Fin";"pageventas4",#N/A,FALSE,"Eco-Fin";"pageventas3",#N/A,FALSE,"Eco-Fin";"page5",#N/A,FALSE,"Eco-Fin";"page4",#N/A,FALSE,"Eco-Fin";"page3",#N/A,FALSE,"Eco-Fin";"page2",#N/A,FALSE,"Eco-Fin";"page1",#N/A,FALSE,"Eco-Fin";"cara1",#N/A,FALSE,"Carátula"}</definedName>
    <definedName name="wrn.impressao." localSheetId="3" hidden="1">{#N/A,#N/A,FALSE,"FPVA_CMVMC";#N/A,#N/A,FALSE,"FPVA_FSE";#N/A,#N/A,FALSE,"FPVA_Pessoal";#N/A,#N/A,FALSE,"FPVA_Plano_Invest.";#N/A,#N/A,FALSE,"FPVA_Mapa FM";#N/A,#N/A,FALSE,"FPVA_DR";#N/A,#N/A,FALSE,"FPVA_Balanço";#N/A,#N/A,FALSE,"FPVA_Valor"}</definedName>
    <definedName name="wrn.impressao." localSheetId="7" hidden="1">{#N/A,#N/A,FALSE,"FPVA_CMVMC";#N/A,#N/A,FALSE,"FPVA_FSE";#N/A,#N/A,FALSE,"FPVA_Pessoal";#N/A,#N/A,FALSE,"FPVA_Plano_Invest.";#N/A,#N/A,FALSE,"FPVA_Mapa FM";#N/A,#N/A,FALSE,"FPVA_DR";#N/A,#N/A,FALSE,"FPVA_Balanço";#N/A,#N/A,FALSE,"FPVA_Valor"}</definedName>
    <definedName name="wrn.impressao." hidden="1">{#N/A,#N/A,FALSE,"FPVA_CMVMC";#N/A,#N/A,FALSE,"FPVA_FSE";#N/A,#N/A,FALSE,"FPVA_Pessoal";#N/A,#N/A,FALSE,"FPVA_Plano_Invest.";#N/A,#N/A,FALSE,"FPVA_Mapa FM";#N/A,#N/A,FALSE,"FPVA_DR";#N/A,#N/A,FALSE,"FPVA_Balanço";#N/A,#N/A,FALSE,"FPVA_Valor"}</definedName>
    <definedName name="wrn.impressão." localSheetId="3" hidden="1">{#N/A,#N/A,FALSE,"CA_FSE";#N/A,#N/A,FALSE,"CA_Pessoal";#N/A,#N/A,FALSE,"CA_Plano_Invest.";#N/A,#N/A,FALSE,"CA_Mapa FM";#N/A,#N/A,FALSE,"CA_DR";#N/A,#N/A,FALSE,"CA_Balanço";#N/A,#N/A,FALSE,"CA_Valor"}</definedName>
    <definedName name="wrn.impressão." localSheetId="7" hidden="1">{#N/A,#N/A,FALSE,"CA_FSE";#N/A,#N/A,FALSE,"CA_Pessoal";#N/A,#N/A,FALSE,"CA_Plano_Invest.";#N/A,#N/A,FALSE,"CA_Mapa FM";#N/A,#N/A,FALSE,"CA_DR";#N/A,#N/A,FALSE,"CA_Balanço";#N/A,#N/A,FALSE,"CA_Valor"}</definedName>
    <definedName name="wrn.impressão." hidden="1">{#N/A,#N/A,FALSE,"CA_FSE";#N/A,#N/A,FALSE,"CA_Pessoal";#N/A,#N/A,FALSE,"CA_Plano_Invest.";#N/A,#N/A,FALSE,"CA_Mapa FM";#N/A,#N/A,FALSE,"CA_DR";#N/A,#N/A,FALSE,"CA_Balanço";#N/A,#N/A,FALSE,"CA_Valor"}</definedName>
    <definedName name="wrn.inc." localSheetId="3" hidden="1">{"inc",#N/A,FALSE,"finstat"}</definedName>
    <definedName name="wrn.inc." localSheetId="7" hidden="1">{"inc",#N/A,FALSE,"finstat"}</definedName>
    <definedName name="wrn.inc." hidden="1">{"inc",#N/A,FALSE,"finstat"}</definedName>
    <definedName name="wrn.Income._.Statement." localSheetId="3" hidden="1">{#N/A,#N/A,FALSE,"Report Print"}</definedName>
    <definedName name="wrn.Income._.Statement." localSheetId="7" hidden="1">{#N/A,#N/A,FALSE,"Report Print"}</definedName>
    <definedName name="wrn.Income._.Statement." hidden="1">{#N/A,#N/A,FALSE,"Report Print"}</definedName>
    <definedName name="wrn.incomestmt." localSheetId="3"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comestmt." localSheetId="7"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comestmt."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DICADORES." localSheetId="0" hidden="1">{"PARTE1",#N/A,FALSE,"Plan1"}</definedName>
    <definedName name="wrn.INDICADORES." localSheetId="3" hidden="1">{"PARTE1",#N/A,FALSE,"Plan1"}</definedName>
    <definedName name="wrn.INDICADORES." localSheetId="7" hidden="1">{"PARTE1",#N/A,FALSE,"Plan1"}</definedName>
    <definedName name="wrn.INDICADORES." hidden="1">{"PARTE1",#N/A,FALSE,"Plan1"}</definedName>
    <definedName name="wrn.Industry.xls." localSheetId="3" hidden="1">{#N/A,#N/A,FALSE,"Earnings";#N/A,#N/A,FALSE,"Overview";#N/A,#N/A,FALSE,"Summary";#N/A,#N/A,FALSE,"Summary II";#N/A,#N/A,FALSE,"R&amp;D";#N/A,#N/A,FALSE,"R&amp;D Forecast";#N/A,#N/A,FALSE,"Tax Adj";#N/A,#N/A,FALSE,"Goodwill";#N/A,#N/A,FALSE,"FX ";#N/A,#N/A,FALSE,"Consolidation";#N/A,#N/A,FALSE,"Provisions"}</definedName>
    <definedName name="wrn.Industry.xls." localSheetId="7" hidden="1">{#N/A,#N/A,FALSE,"Earnings";#N/A,#N/A,FALSE,"Overview";#N/A,#N/A,FALSE,"Summary";#N/A,#N/A,FALSE,"Summary II";#N/A,#N/A,FALSE,"R&amp;D";#N/A,#N/A,FALSE,"R&amp;D Forecast";#N/A,#N/A,FALSE,"Tax Adj";#N/A,#N/A,FALSE,"Goodwill";#N/A,#N/A,FALSE,"FX ";#N/A,#N/A,FALSE,"Consolidation";#N/A,#N/A,FALSE,"Provisions"}</definedName>
    <definedName name="wrn.Industry.xls." hidden="1">{#N/A,#N/A,FALSE,"Earnings";#N/A,#N/A,FALSE,"Overview";#N/A,#N/A,FALSE,"Summary";#N/A,#N/A,FALSE,"Summary II";#N/A,#N/A,FALSE,"R&amp;D";#N/A,#N/A,FALSE,"R&amp;D Forecast";#N/A,#N/A,FALSE,"Tax Adj";#N/A,#N/A,FALSE,"Goodwill";#N/A,#N/A,FALSE,"FX ";#N/A,#N/A,FALSE,"Consolidation";#N/A,#N/A,FALSE,"Provisions"}</definedName>
    <definedName name="wrn.Infectious._.Diseases." localSheetId="3" hidden="1">{#N/A,#N/A,FALSE,"Anti";#N/A,#N/A,FALSE,"Cefa";#N/A,#N/A,FALSE,"Ceph";#N/A,#N/A,FALSE,"Cefp";#N/A,#N/A,FALSE,"Cefe";#N/A,#N/A,FALSE,"Pens";#N/A,#N/A,FALSE,"Ampi";#N/A,#N/A,FALSE,"Amox";#N/A,#N/A,FALSE,"Isox";#N/A,#N/A,FALSE,"Aztr";#N/A,#N/A,FALSE,"Videx";#N/A,#N/A,FALSE,"Zerit"}</definedName>
    <definedName name="wrn.Infectious._.Diseases." localSheetId="7" hidden="1">{#N/A,#N/A,FALSE,"Anti";#N/A,#N/A,FALSE,"Cefa";#N/A,#N/A,FALSE,"Ceph";#N/A,#N/A,FALSE,"Cefp";#N/A,#N/A,FALSE,"Cefe";#N/A,#N/A,FALSE,"Pens";#N/A,#N/A,FALSE,"Ampi";#N/A,#N/A,FALSE,"Amox";#N/A,#N/A,FALSE,"Isox";#N/A,#N/A,FALSE,"Aztr";#N/A,#N/A,FALSE,"Videx";#N/A,#N/A,FALSE,"Zerit"}</definedName>
    <definedName name="wrn.Infectious._.Diseases." hidden="1">{#N/A,#N/A,FALSE,"Anti";#N/A,#N/A,FALSE,"Cefa";#N/A,#N/A,FALSE,"Ceph";#N/A,#N/A,FALSE,"Cefp";#N/A,#N/A,FALSE,"Cefe";#N/A,#N/A,FALSE,"Pens";#N/A,#N/A,FALSE,"Ampi";#N/A,#N/A,FALSE,"Amox";#N/A,#N/A,FALSE,"Isox";#N/A,#N/A,FALSE,"Aztr";#N/A,#N/A,FALSE,"Videx";#N/A,#N/A,FALSE,"Zerit"}</definedName>
    <definedName name="wrn.Informe._.Mensual." localSheetId="3"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Mensual." localSheetId="7"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Mensual."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NOVIEMBRE." localSheetId="3"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FORME._.NOVIEMBRE." localSheetId="7"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FORME._.NOVIEMBRE."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put._.Print._.Area." localSheetId="3" hidden="1">{#N/A,#N/A,FALSE,"inputs";#N/A,#N/A,FALSE,"inputs"}</definedName>
    <definedName name="wrn.Input._.Print._.Area." localSheetId="7" hidden="1">{#N/A,#N/A,FALSE,"inputs";#N/A,#N/A,FALSE,"inputs"}</definedName>
    <definedName name="wrn.Input._.Print._.Area." hidden="1">{#N/A,#N/A,FALSE,"inputs";#N/A,#N/A,FALSE,"inputs"}</definedName>
    <definedName name="wrn.IQRCGMES." localSheetId="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 localSheetId="7"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SRAEL." localSheetId="3" hidden="1">{#N/A,#N/A,FALSE,"TECH CENTRE RXDU66";#N/A,#N/A,FALSE,"ASU VAAX66";#N/A,#N/A,FALSE,"TCM VAKX66"}</definedName>
    <definedName name="wrn.ISRAEL." localSheetId="7" hidden="1">{#N/A,#N/A,FALSE,"TECH CENTRE RXDU66";#N/A,#N/A,FALSE,"ASU VAAX66";#N/A,#N/A,FALSE,"TCM VAKX66"}</definedName>
    <definedName name="wrn.ISRAEL." hidden="1">{#N/A,#N/A,FALSE,"TECH CENTRE RXDU66";#N/A,#N/A,FALSE,"ASU VAAX66";#N/A,#N/A,FALSE,"TCM VAKX66"}</definedName>
    <definedName name="wrn.K3._.Annual." localSheetId="3" hidden="1">{"K3Cash",#N/A,FALSE,"Ann";"K3Income",#N/A,FALSE,"Ann";"K3Educ",#N/A,FALSE,"Ann";"K3media",#N/A,FALSE,"Ann";"K3Info",#N/A,FALSE,"Ann";"K3Valuation",#N/A,FALSE,"Ann"}</definedName>
    <definedName name="wrn.K3._.Annual." localSheetId="7" hidden="1">{"K3Cash",#N/A,FALSE,"Ann";"K3Income",#N/A,FALSE,"Ann";"K3Educ",#N/A,FALSE,"Ann";"K3media",#N/A,FALSE,"Ann";"K3Info",#N/A,FALSE,"Ann";"K3Valuation",#N/A,FALSE,"Ann"}</definedName>
    <definedName name="wrn.K3._.Annual." hidden="1">{"K3Cash",#N/A,FALSE,"Ann";"K3Income",#N/A,FALSE,"Ann";"K3Educ",#N/A,FALSE,"Ann";"K3media",#N/A,FALSE,"Ann";"K3Info",#N/A,FALSE,"Ann";"K3Valuation",#N/A,FALSE,"Ann"}</definedName>
    <definedName name="wrn.K3._.Quarterly." localSheetId="3" hidden="1">{"K3 first",#N/A,FALSE,"Qtr.";"K3 second",#N/A,FALSE,"Qtr.";"K3 Third",#N/A,FALSE,"Qtr.";"K3 Fourth",#N/A,FALSE,"Qtr.";"K3 Full",#N/A,FALSE,"Qtr."}</definedName>
    <definedName name="wrn.K3._.Quarterly." localSheetId="7" hidden="1">{"K3 first",#N/A,FALSE,"Qtr.";"K3 second",#N/A,FALSE,"Qtr.";"K3 Third",#N/A,FALSE,"Qtr.";"K3 Fourth",#N/A,FALSE,"Qtr.";"K3 Full",#N/A,FALSE,"Qtr."}</definedName>
    <definedName name="wrn.K3._.Quarterly." hidden="1">{"K3 first",#N/A,FALSE,"Qtr.";"K3 second",#N/A,FALSE,"Qtr.";"K3 Third",#N/A,FALSE,"Qtr.";"K3 Fourth",#N/A,FALSE,"Qtr.";"K3 Full",#N/A,FALSE,"Qtr."}</definedName>
    <definedName name="wrn.kleyner." localSheetId="3"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 localSheetId="7"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riall." localSheetId="3" hidden="1">{"kricash",#N/A,FALSE,"INC";"kriinc",#N/A,FALSE,"INC";"krimiami",#N/A,FALSE,"INC";"kriother",#N/A,FALSE,"INC";"kripapers",#N/A,FALSE,"INC"}</definedName>
    <definedName name="wrn.kriall." localSheetId="7" hidden="1">{"kricash",#N/A,FALSE,"INC";"kriinc",#N/A,FALSE,"INC";"krimiami",#N/A,FALSE,"INC";"kriother",#N/A,FALSE,"INC";"kripapers",#N/A,FALSE,"INC"}</definedName>
    <definedName name="wrn.kriall." hidden="1">{"kricash",#N/A,FALSE,"INC";"kriinc",#N/A,FALSE,"INC";"krimiami",#N/A,FALSE,"INC";"kriother",#N/A,FALSE,"INC";"kripapers",#N/A,FALSE,"INC"}</definedName>
    <definedName name="wrn.LA._.SA." localSheetId="3" hidden="1">{"PnL",#N/A,FALSE,"Gas LA SA P&amp;L";"Responsibility",#N/A,FALSE,"Gas LA SA P&amp;L";"Cost Control",#N/A,FALSE,"Gas LA SA P&amp;L";"Program List",#N/A,FALSE,"Gas LA SA P&amp;L"}</definedName>
    <definedName name="wrn.LA._.SA." localSheetId="7" hidden="1">{"PnL",#N/A,FALSE,"Gas LA SA P&amp;L";"Responsibility",#N/A,FALSE,"Gas LA SA P&amp;L";"Cost Control",#N/A,FALSE,"Gas LA SA P&amp;L";"Program List",#N/A,FALSE,"Gas LA SA P&amp;L"}</definedName>
    <definedName name="wrn.LA._.SA." hidden="1">{"PnL",#N/A,FALSE,"Gas LA SA P&amp;L";"Responsibility",#N/A,FALSE,"Gas LA SA P&amp;L";"Cost Control",#N/A,FALSE,"Gas LA SA P&amp;L";"Program List",#N/A,FALSE,"Gas LA SA P&amp;L"}</definedName>
    <definedName name="wrn.LJD._.Review._.1." localSheetId="3" hidden="1">{"LJD 1",#N/A,FALSE,"Master";"LJD 2",#N/A,FALSE,"Sheet2";"LJD 3",#N/A,FALSE,"Sheet1";"LJD 4",#N/A,FALSE,"Sheet3";"LJD 5",#N/A,FALSE,"Sheet4"}</definedName>
    <definedName name="wrn.LJD._.Review._.1." localSheetId="7" hidden="1">{"LJD 1",#N/A,FALSE,"Master";"LJD 2",#N/A,FALSE,"Sheet2";"LJD 3",#N/A,FALSE,"Sheet1";"LJD 4",#N/A,FALSE,"Sheet3";"LJD 5",#N/A,FALSE,"Sheet4"}</definedName>
    <definedName name="wrn.LJD._.Review._.1." hidden="1">{"LJD 1",#N/A,FALSE,"Master";"LJD 2",#N/A,FALSE,"Sheet2";"LJD 3",#N/A,FALSE,"Sheet1";"LJD 4",#N/A,FALSE,"Sheet3";"LJD 5",#N/A,FALSE,"Sheet4"}</definedName>
    <definedName name="wrn.LPNL." localSheetId="3" hidden="1">{"LPNL1",#N/A,FALSE,"EntitiesWithReclasses";"LPNL2",#N/A,FALSE,"EntitiesWithReclasses";"LPNL3",#N/A,FALSE,"EntitiesWithReclasses"}</definedName>
    <definedName name="wrn.LPNL." localSheetId="7" hidden="1">{"LPNL1",#N/A,FALSE,"EntitiesWithReclasses";"LPNL2",#N/A,FALSE,"EntitiesWithReclasses";"LPNL3",#N/A,FALSE,"EntitiesWithReclasses"}</definedName>
    <definedName name="wrn.LPNL." hidden="1">{"LPNL1",#N/A,FALSE,"EntitiesWithReclasses";"LPNL2",#N/A,FALSE,"EntitiesWithReclasses";"LPNL3",#N/A,FALSE,"EntitiesWithReclasses"}</definedName>
    <definedName name="wrn.MANAGEMENT._.COSTS." localSheetId="3" hidden="1">{"MANAGEMENT COSTS",#N/A,FALSE,"C.CENTRE"}</definedName>
    <definedName name="wrn.MANAGEMENT._.COSTS." localSheetId="7" hidden="1">{"MANAGEMENT COSTS",#N/A,FALSE,"C.CENTRE"}</definedName>
    <definedName name="wrn.MANAGEMENT._.COSTS." hidden="1">{"MANAGEMENT COSTS",#N/A,FALSE,"C.CENTRE"}</definedName>
    <definedName name="wrn.Master_Income." localSheetId="3" hidden="1">{"Annual_Income",#N/A,FALSE,"Master Model";"Quarterly_Income",#N/A,FALSE,"Master Model"}</definedName>
    <definedName name="wrn.Master_Income." localSheetId="7" hidden="1">{"Annual_Income",#N/A,FALSE,"Master Model";"Quarterly_Income",#N/A,FALSE,"Master Model"}</definedName>
    <definedName name="wrn.Master_Income." hidden="1">{"Annual_Income",#N/A,FALSE,"Master Model";"Quarterly_Income",#N/A,FALSE,"Master Model"}</definedName>
    <definedName name="wrn.Memoria97." localSheetId="3"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ria97." localSheetId="7"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ria97."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TESA." localSheetId="3"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EMOTESA." localSheetId="7"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EMOTESA."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ergerModel." localSheetId="3" hidden="1">{"Deal",#N/A,FALSE,"Deal";"acquiror",#N/A,FALSE,"Acquiror";"Target",#N/A,FALSE,"Target"}</definedName>
    <definedName name="wrn.MergerModel." localSheetId="7" hidden="1">{"Deal",#N/A,FALSE,"Deal";"acquiror",#N/A,FALSE,"Acquiror";"Target",#N/A,FALSE,"Target"}</definedName>
    <definedName name="wrn.MergerModel." hidden="1">{"Deal",#N/A,FALSE,"Deal";"acquiror",#N/A,FALSE,"Acquiror";"Target",#N/A,FALSE,"Target"}</definedName>
    <definedName name="wrn.MF._.commentary._.on._.variance." localSheetId="3" hidden="1">{"Commentary",#N/A,FALSE,"May"}</definedName>
    <definedName name="wrn.MF._.commentary._.on._.variance." localSheetId="7" hidden="1">{"Commentary",#N/A,FALSE,"May"}</definedName>
    <definedName name="wrn.MF._.commentary._.on._.variance." hidden="1">{"Commentary",#N/A,FALSE,"May"}</definedName>
    <definedName name="wrn.MF._.with._.BA._.detail." localSheetId="3" hidden="1">{"BA detail",#N/A,FALSE,"Q3YTD "}</definedName>
    <definedName name="wrn.MF._.with._.BA._.detail." localSheetId="7" hidden="1">{"BA detail",#N/A,FALSE,"Q3YTD "}</definedName>
    <definedName name="wrn.MF._.with._.BA._.detail." hidden="1">{"BA detail",#N/A,FALSE,"Q3YTD "}</definedName>
    <definedName name="wrn.mhpall." localSheetId="3" hidden="1">{"mhpcash",#N/A,FALSE,"MHPNEWX";"mhpinc",#N/A,FALSE,"MHPNEWX";"mhptax",#N/A,FALSE,"MHPNEWX";"mhpbroad",#N/A,FALSE,"MHPNEWX";"mhpeduc",#N/A,FALSE,"MHPNEWX";"mhpfin",#N/A,FALSE,"MHPNEWX";"mhpinfo",#N/A,FALSE,"MHPNEWX"}</definedName>
    <definedName name="wrn.mhpall." localSheetId="7" hidden="1">{"mhpcash",#N/A,FALSE,"MHPNEWX";"mhpinc",#N/A,FALSE,"MHPNEWX";"mhptax",#N/A,FALSE,"MHPNEWX";"mhpbroad",#N/A,FALSE,"MHPNEWX";"mhpeduc",#N/A,FALSE,"MHPNEWX";"mhpfin",#N/A,FALSE,"MHPNEWX";"mhpinfo",#N/A,FALSE,"MHPNEWX"}</definedName>
    <definedName name="wrn.mhpall." hidden="1">{"mhpcash",#N/A,FALSE,"MHPNEWX";"mhpinc",#N/A,FALSE,"MHPNEWX";"mhptax",#N/A,FALSE,"MHPNEWX";"mhpbroad",#N/A,FALSE,"MHPNEWX";"mhpeduc",#N/A,FALSE,"MHPNEWX";"mhpfin",#N/A,FALSE,"MHPNEWX";"mhpinfo",#N/A,FALSE,"MHPNEWX"}</definedName>
    <definedName name="wrn.MOBIL." localSheetId="3" hidden="1">{"quarter",#N/A,FALSE,"MOB"}</definedName>
    <definedName name="wrn.MOBIL." localSheetId="7" hidden="1">{"quarter",#N/A,FALSE,"MOB"}</definedName>
    <definedName name="wrn.MOBIL." hidden="1">{"quarter",#N/A,FALSE,"MOB"}</definedName>
    <definedName name="wrn.monthlyunits." localSheetId="3" hidden="1">{"monthlyunits",#N/A,FALSE,"openings"}</definedName>
    <definedName name="wrn.monthlyunits." localSheetId="7" hidden="1">{"monthlyunits",#N/A,FALSE,"openings"}</definedName>
    <definedName name="wrn.monthlyunits." hidden="1">{"monthlyunits",#N/A,FALSE,"openings"}</definedName>
    <definedName name="wrn.Most._.Likely._.Scenarios." localSheetId="3" hidden="1">{#N/A,"Mine Allocated, Keep AC",FALSE,"Stream INPUTS";#N/A,"All Preferred, Sell AC",FALSE,"Stream INPUTS";#N/A,"Step Up, Sell AC",FALSE,"Stream INPUTS";#N/A,"All Preferred, BRONCO buys AC",FALSE,"Stream INPUTS"}</definedName>
    <definedName name="wrn.Most._.Likely._.Scenarios." localSheetId="7" hidden="1">{#N/A,"Mine Allocated, Keep AC",FALSE,"Stream INPUTS";#N/A,"All Preferred, Sell AC",FALSE,"Stream INPUTS";#N/A,"Step Up, Sell AC",FALSE,"Stream INPUTS";#N/A,"All Preferred, BRONCO buys AC",FALSE,"Stream INPUTS"}</definedName>
    <definedName name="wrn.Most._.Likely._.Scenarios." hidden="1">{#N/A,"Mine Allocated, Keep AC",FALSE,"Stream INPUTS";#N/A,"All Preferred, Sell AC",FALSE,"Stream INPUTS";#N/A,"Step Up, Sell AC",FALSE,"Stream INPUTS";#N/A,"All Preferred, BRONCO buys AC",FALSE,"Stream INPUTS"}</definedName>
    <definedName name="wrn.MTHLYGP." localSheetId="3" hidden="1">{"TXO2N2_GP",#N/A,FALSE,"MTHLYGP";"TXH2_GP",#N/A,FALSE,"MTHLYGP";"LOUIS_GP",#N/A,FALSE,"MTHLYGP";"H2_GP",#N/A,FALSE,"MTHLYGP";"O2N2_GP",#N/A,FALSE,"MTHLYGP";"PACKAGE_GP",#N/A,FALSE,"MTHLYGP";"OTHER_GP",#N/A,FALSE,"MTHLYGP"}</definedName>
    <definedName name="wrn.MTHLYGP." localSheetId="7" hidden="1">{"TXO2N2_GP",#N/A,FALSE,"MTHLYGP";"TXH2_GP",#N/A,FALSE,"MTHLYGP";"LOUIS_GP",#N/A,FALSE,"MTHLYGP";"H2_GP",#N/A,FALSE,"MTHLYGP";"O2N2_GP",#N/A,FALSE,"MTHLYGP";"PACKAGE_GP",#N/A,FALSE,"MTHLYGP";"OTHER_GP",#N/A,FALSE,"MTHLYGP"}</definedName>
    <definedName name="wrn.MTHLYGP." hidden="1">{"TXO2N2_GP",#N/A,FALSE,"MTHLYGP";"TXH2_GP",#N/A,FALSE,"MTHLYGP";"LOUIS_GP",#N/A,FALSE,"MTHLYGP";"H2_GP",#N/A,FALSE,"MTHLYGP";"O2N2_GP",#N/A,FALSE,"MTHLYGP";"PACKAGE_GP",#N/A,FALSE,"MTHLYGP";"OTHER_GP",#N/A,FALSE,"MTHLYGP"}</definedName>
    <definedName name="wrn.MTHLYSLES." localSheetId="3" hidden="1">{"TXO2N2_SLS",#N/A,FALSE,"MTHLYSLES";"TXH2_SLS",#N/A,FALSE,"MTHLYSLES";"LOUIS_SLS",#N/A,FALSE,"MTHLYSLES";"H2_SLS",#N/A,FALSE,"MTHLYSLES";"O2N2_SLS",#N/A,FALSE,"MTHLYSLES";"PACKAGE_SLS",#N/A,FALSE,"MTHLYSLES"}</definedName>
    <definedName name="wrn.MTHLYSLES." localSheetId="7" hidden="1">{"TXO2N2_SLS",#N/A,FALSE,"MTHLYSLES";"TXH2_SLS",#N/A,FALSE,"MTHLYSLES";"LOUIS_SLS",#N/A,FALSE,"MTHLYSLES";"H2_SLS",#N/A,FALSE,"MTHLYSLES";"O2N2_SLS",#N/A,FALSE,"MTHLYSLES";"PACKAGE_SLS",#N/A,FALSE,"MTHLYSLES"}</definedName>
    <definedName name="wrn.MTHLYSLES." hidden="1">{"TXO2N2_SLS",#N/A,FALSE,"MTHLYSLES";"TXH2_SLS",#N/A,FALSE,"MTHLYSLES";"LOUIS_SLS",#N/A,FALSE,"MTHLYSLES";"H2_SLS",#N/A,FALSE,"MTHLYSLES";"O2N2_SLS",#N/A,FALSE,"MTHLYSLES";"PACKAGE_SLS",#N/A,FALSE,"MTHLYSLES"}</definedName>
    <definedName name="wrn.MTHYLYVOL." localSheetId="3" hidden="1">{"TEXO2N2_VOL",#N/A,FALSE,"MTHLYVOL";"TEXH2_VOL",#N/A,FALSE,"MTHLYVOL";"LOUIS_VOL",#N/A,FALSE,"MTHLYVOL";"H2_VOL",#N/A,FALSE,"MTHLYVOL";"O2N2_VOL",#N/A,FALSE,"MTHLYVOL";"PACKAGE_VOL",#N/A,FALSE,"MTHLYVOL"}</definedName>
    <definedName name="wrn.MTHYLYVOL." localSheetId="7" hidden="1">{"TEXO2N2_VOL",#N/A,FALSE,"MTHLYVOL";"TEXH2_VOL",#N/A,FALSE,"MTHLYVOL";"LOUIS_VOL",#N/A,FALSE,"MTHLYVOL";"H2_VOL",#N/A,FALSE,"MTHLYVOL";"O2N2_VOL",#N/A,FALSE,"MTHLYVOL";"PACKAGE_VOL",#N/A,FALSE,"MTHLYVOL"}</definedName>
    <definedName name="wrn.MTHYLYVOL." hidden="1">{"TEXO2N2_VOL",#N/A,FALSE,"MTHLYVOL";"TEXH2_VOL",#N/A,FALSE,"MTHLYVOL";"LOUIS_VOL",#N/A,FALSE,"MTHLYVOL";"H2_VOL",#N/A,FALSE,"MTHLYVOL";"O2N2_VOL",#N/A,FALSE,"MTHLYVOL";"PACKAGE_VOL",#N/A,FALSE,"MTHLYVOL"}</definedName>
    <definedName name="wrn.new." localSheetId="3" hidden="1">{#N/A,#N/A,FALSE,"Impl";#N/A,#N/A,FALSE,"sum";#N/A,#N/A,FALSE,"cat";#N/A,#N/A,FALSE,"cum";#N/A,#N/A,FALSE,"varity";#N/A,#N/A,FALSE,"ddc";#N/A,#N/A,FALSE,"man";#N/A,#N/A,FALSE,"metra";#N/A,#N/A,FALSE,"volvo"}</definedName>
    <definedName name="wrn.new." localSheetId="7" hidden="1">{#N/A,#N/A,FALSE,"Impl";#N/A,#N/A,FALSE,"sum";#N/A,#N/A,FALSE,"cat";#N/A,#N/A,FALSE,"cum";#N/A,#N/A,FALSE,"varity";#N/A,#N/A,FALSE,"ddc";#N/A,#N/A,FALSE,"man";#N/A,#N/A,FALSE,"metra";#N/A,#N/A,FALSE,"volvo"}</definedName>
    <definedName name="wrn.new." hidden="1">{#N/A,#N/A,FALSE,"Impl";#N/A,#N/A,FALSE,"sum";#N/A,#N/A,FALSE,"cat";#N/A,#N/A,FALSE,"cum";#N/A,#N/A,FALSE,"varity";#N/A,#N/A,FALSE,"ddc";#N/A,#N/A,FALSE,"man";#N/A,#N/A,FALSE,"metra";#N/A,#N/A,FALSE,"volvo"}</definedName>
    <definedName name="wrn.NewRept.xls." localSheetId="3" hidden="1">{#N/A,#N/A,TRUE,"Sheet1";#N/A,#N/A,TRUE,"Sheet2";#N/A,#N/A,TRUE,"Sheet3";#N/A,#N/A,TRUE,"Sheet4";#N/A,#N/A,TRUE,"Sheet5";#N/A,#N/A,TRUE,"Sheet6";#N/A,#N/A,TRUE,"Sheet7"}</definedName>
    <definedName name="wrn.NewRept.xls." localSheetId="7" hidden="1">{#N/A,#N/A,TRUE,"Sheet1";#N/A,#N/A,TRUE,"Sheet2";#N/A,#N/A,TRUE,"Sheet3";#N/A,#N/A,TRUE,"Sheet4";#N/A,#N/A,TRUE,"Sheet5";#N/A,#N/A,TRUE,"Sheet6";#N/A,#N/A,TRUE,"Sheet7"}</definedName>
    <definedName name="wrn.NewRept.xls." hidden="1">{#N/A,#N/A,TRUE,"Sheet1";#N/A,#N/A,TRUE,"Sheet2";#N/A,#N/A,TRUE,"Sheet3";#N/A,#N/A,TRUE,"Sheet4";#N/A,#N/A,TRUE,"Sheet5";#N/A,#N/A,TRUE,"Sheet6";#N/A,#N/A,TRUE,"Sheet7"}</definedName>
    <definedName name="wrn.Nico." localSheetId="3" hidden="1">{#N/A,#N/A,TRUE,"Cover";#N/A,#N/A,TRUE,"Transaction Summary";#N/A,#N/A,TRUE,"Earnings Impact";#N/A,#N/A,TRUE,"accretion dilution"}</definedName>
    <definedName name="wrn.Nico." localSheetId="7" hidden="1">{#N/A,#N/A,TRUE,"Cover";#N/A,#N/A,TRUE,"Transaction Summary";#N/A,#N/A,TRUE,"Earnings Impact";#N/A,#N/A,TRUE,"accretion dilution"}</definedName>
    <definedName name="wrn.Nico." hidden="1">{#N/A,#N/A,TRUE,"Cover";#N/A,#N/A,TRUE,"Transaction Summary";#N/A,#N/A,TRUE,"Earnings Impact";#N/A,#N/A,TRUE,"accretion dilution"}</definedName>
    <definedName name="wrn.Non._.Div._.Balance._.Sheet." localSheetId="3" hidden="1">{#N/A,"NONDV",FALSE,"BSHIST.XLS"}</definedName>
    <definedName name="wrn.Non._.Div._.Balance._.Sheet." localSheetId="7" hidden="1">{#N/A,"NONDV",FALSE,"BSHIST.XLS"}</definedName>
    <definedName name="wrn.Non._.Div._.Balance._.Sheet." hidden="1">{#N/A,"NONDV",FALSE,"BSHIST.XLS"}</definedName>
    <definedName name="wrn.North._.America." localSheetId="3" hidden="1">{"PnL",#N/A,FALSE,"Gas NA P&amp;L";"Responsibility",#N/A,FALSE,"Gas NA P&amp;L";"Cost Control",#N/A,FALSE,"Gas NA P&amp;L";"Program List",#N/A,FALSE,"Gas NA P&amp;L"}</definedName>
    <definedName name="wrn.North._.America." localSheetId="7" hidden="1">{"PnL",#N/A,FALSE,"Gas NA P&amp;L";"Responsibility",#N/A,FALSE,"Gas NA P&amp;L";"Cost Control",#N/A,FALSE,"Gas NA P&amp;L";"Program List",#N/A,FALSE,"Gas NA P&amp;L"}</definedName>
    <definedName name="wrn.North._.America." hidden="1">{"PnL",#N/A,FALSE,"Gas NA P&amp;L";"Responsibility",#N/A,FALSE,"Gas NA P&amp;L";"Cost Control",#N/A,FALSE,"Gas NA P&amp;L";"Program List",#N/A,FALSE,"Gas NA P&amp;L"}</definedName>
    <definedName name="wrn.nytaann." localSheetId="3" hidden="1">{"nytacash",#N/A,FALSE,"GLOBEINC";"nytainc",#N/A,FALSE,"GLOBEINC";"nytanyt",#N/A,FALSE,"GLOBEINC";"nytareg",#N/A,FALSE,"GLOBEINC";"nytaglobe",#N/A,FALSE,"GLOBEINC";"nytapprttl",#N/A,FALSE,"GLOBEINC"}</definedName>
    <definedName name="wrn.nytaann." localSheetId="7" hidden="1">{"nytacash",#N/A,FALSE,"GLOBEINC";"nytainc",#N/A,FALSE,"GLOBEINC";"nytanyt",#N/A,FALSE,"GLOBEINC";"nytareg",#N/A,FALSE,"GLOBEINC";"nytaglobe",#N/A,FALSE,"GLOBEINC";"nytapprttl",#N/A,FALSE,"GLOBEINC"}</definedName>
    <definedName name="wrn.nytaann." hidden="1">{"nytacash",#N/A,FALSE,"GLOBEINC";"nytainc",#N/A,FALSE,"GLOBEINC";"nytanyt",#N/A,FALSE,"GLOBEINC";"nytareg",#N/A,FALSE,"GLOBEINC";"nytaglobe",#N/A,FALSE,"GLOBEINC";"nytapprttl",#N/A,FALSE,"GLOBEINC"}</definedName>
    <definedName name="wrn.oct_res_comm." localSheetId="3" hidden="1">{"oct_res_comm",#N/A,FALSE,"VarToBud"}</definedName>
    <definedName name="wrn.oct_res_comm." localSheetId="7" hidden="1">{"oct_res_comm",#N/A,FALSE,"VarToBud"}</definedName>
    <definedName name="wrn.oct_res_comm." hidden="1">{"oct_res_comm",#N/A,FALSE,"VarToBud"}</definedName>
    <definedName name="wrn.Oncology." localSheetId="3" hidden="1">{#N/A,#N/A,FALSE,"Onco";#N/A,#N/A,FALSE,"Taxol";#N/A,#N/A,FALSE,"UFT";#N/A,#N/A,FALSE,"Carb"}</definedName>
    <definedName name="wrn.Oncology." localSheetId="7" hidden="1">{#N/A,#N/A,FALSE,"Onco";#N/A,#N/A,FALSE,"Taxol";#N/A,#N/A,FALSE,"UFT";#N/A,#N/A,FALSE,"Carb"}</definedName>
    <definedName name="wrn.Oncology." hidden="1">{#N/A,#N/A,FALSE,"Onco";#N/A,#N/A,FALSE,"Taxol";#N/A,#N/A,FALSE,"UFT";#N/A,#N/A,FALSE,"Carb"}</definedName>
    <definedName name="wrn.one." localSheetId="3" hidden="1">{"page1",#N/A,FALSE,"A";"page2",#N/A,FALSE,"A"}</definedName>
    <definedName name="wrn.one." localSheetId="7" hidden="1">{"page1",#N/A,FALSE,"A";"page2",#N/A,FALSE,"A"}</definedName>
    <definedName name="wrn.one." hidden="1">{"page1",#N/A,FALSE,"A";"page2",#N/A,FALSE,"A"}</definedName>
    <definedName name="wrn.Ordered._.packet." localSheetId="3"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rdered._.packet." localSheetId="7"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rdered._.packet."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TC._.Market._.Report." localSheetId="3" hidden="1">{#N/A,#N/A,FALSE,"Sales Graph";#N/A,#N/A,FALSE,"BUC Graph";#N/A,#N/A,FALSE,"P&amp;L - YTD"}</definedName>
    <definedName name="wrn.OTC._.Market._.Report." localSheetId="7" hidden="1">{#N/A,#N/A,FALSE,"Sales Graph";#N/A,#N/A,FALSE,"BUC Graph";#N/A,#N/A,FALSE,"P&amp;L - YTD"}</definedName>
    <definedName name="wrn.OTC._.Market._.Report." hidden="1">{#N/A,#N/A,FALSE,"Sales Graph";#N/A,#N/A,FALSE,"BUC Graph";#N/A,#N/A,FALSE,"P&amp;L - YTD"}</definedName>
    <definedName name="wrn.OTHER._.ADMIN._.COSTS." localSheetId="3" hidden="1">{"OTHER ADMIN COSTS",#N/A,FALSE,"C.CENTRE"}</definedName>
    <definedName name="wrn.OTHER._.ADMIN._.COSTS." localSheetId="7" hidden="1">{"OTHER ADMIN COSTS",#N/A,FALSE,"C.CENTRE"}</definedName>
    <definedName name="wrn.OTHER._.ADMIN._.COSTS." hidden="1">{"OTHER ADMIN COSTS",#N/A,FALSE,"C.CENTRE"}</definedName>
    <definedName name="wrn.Other._.Pharm." localSheetId="3" hidden="1">{#N/A,#N/A,FALSE,"Other";#N/A,#N/A,FALSE,"Ace";#N/A,#N/A,FALSE,"Derm"}</definedName>
    <definedName name="wrn.Other._.Pharm." localSheetId="7" hidden="1">{#N/A,#N/A,FALSE,"Other";#N/A,#N/A,FALSE,"Ace";#N/A,#N/A,FALSE,"Derm"}</definedName>
    <definedName name="wrn.Other._.Pharm." hidden="1">{#N/A,#N/A,FALSE,"Other";#N/A,#N/A,FALSE,"Ace";#N/A,#N/A,FALSE,"Derm"}</definedName>
    <definedName name="wrn.OTHER._.REVENUE." localSheetId="3" hidden="1">{"OTHER REVENUE",#N/A,FALSE,"OTHERS"}</definedName>
    <definedName name="wrn.OTHER._.REVENUE." localSheetId="7" hidden="1">{"OTHER REVENUE",#N/A,FALSE,"OTHERS"}</definedName>
    <definedName name="wrn.OTHER._.REVENUE." hidden="1">{"OTHER REVENUE",#N/A,FALSE,"OTHERS"}</definedName>
    <definedName name="wrn.p" localSheetId="3" hidden="1">{#N/A,#N/A,FALSE,"1";#N/A,#N/A,FALSE,"2";#N/A,#N/A,FALSE,"16 - 17";#N/A,#N/A,FALSE,"18 - 19";#N/A,#N/A,FALSE,"26";#N/A,#N/A,FALSE,"27";#N/A,#N/A,FALSE,"28"}</definedName>
    <definedName name="wrn.p" localSheetId="7" hidden="1">{#N/A,#N/A,FALSE,"1";#N/A,#N/A,FALSE,"2";#N/A,#N/A,FALSE,"16 - 17";#N/A,#N/A,FALSE,"18 - 19";#N/A,#N/A,FALSE,"26";#N/A,#N/A,FALSE,"27";#N/A,#N/A,FALSE,"28"}</definedName>
    <definedName name="wrn.p" hidden="1">{#N/A,#N/A,FALSE,"1";#N/A,#N/A,FALSE,"2";#N/A,#N/A,FALSE,"16 - 17";#N/A,#N/A,FALSE,"18 - 19";#N/A,#N/A,FALSE,"26";#N/A,#N/A,FALSE,"27";#N/A,#N/A,FALSE,"28"}</definedName>
    <definedName name="wrn.pag.00" localSheetId="3" hidden="1">{#N/A,#N/A,FALSE,"Pag.01"}</definedName>
    <definedName name="wrn.pag.00" localSheetId="7" hidden="1">{#N/A,#N/A,FALSE,"Pag.01"}</definedName>
    <definedName name="wrn.pag.00" hidden="1">{#N/A,#N/A,FALSE,"Pag.01"}</definedName>
    <definedName name="wrn.pag.000" localSheetId="3" hidden="1">{#N/A,#N/A,FALSE,"Pag.01"}</definedName>
    <definedName name="wrn.pag.000" localSheetId="7" hidden="1">{#N/A,#N/A,FALSE,"Pag.01"}</definedName>
    <definedName name="wrn.pag.000" hidden="1">{#N/A,#N/A,FALSE,"Pag.01"}</definedName>
    <definedName name="wrn.pag.0000" localSheetId="3" hidden="1">{#N/A,#N/A,FALSE,"Pag.01"}</definedName>
    <definedName name="wrn.pag.0000" localSheetId="7" hidden="1">{#N/A,#N/A,FALSE,"Pag.01"}</definedName>
    <definedName name="wrn.pag.0000" hidden="1">{#N/A,#N/A,FALSE,"Pag.01"}</definedName>
    <definedName name="wrn.pag.00000" localSheetId="3" hidden="1">{#N/A,#N/A,FALSE,"Pag.01"}</definedName>
    <definedName name="wrn.pag.00000" localSheetId="7" hidden="1">{#N/A,#N/A,FALSE,"Pag.01"}</definedName>
    <definedName name="wrn.pag.00000" hidden="1">{#N/A,#N/A,FALSE,"Pag.01"}</definedName>
    <definedName name="wrn.pag.00001" localSheetId="3" hidden="1">{#N/A,#N/A,FALSE,"Pag.01"}</definedName>
    <definedName name="wrn.pag.00001" localSheetId="7" hidden="1">{#N/A,#N/A,FALSE,"Pag.01"}</definedName>
    <definedName name="wrn.pag.00001" hidden="1">{#N/A,#N/A,FALSE,"Pag.01"}</definedName>
    <definedName name="wrn.pag.000012" localSheetId="3" hidden="1">{#N/A,#N/A,FALSE,"Pag.01"}</definedName>
    <definedName name="wrn.pag.000012" localSheetId="7" hidden="1">{#N/A,#N/A,FALSE,"Pag.01"}</definedName>
    <definedName name="wrn.pag.000012" hidden="1">{#N/A,#N/A,FALSE,"Pag.01"}</definedName>
    <definedName name="WRN.PAG.01" localSheetId="3" hidden="1">{#N/A,#N/A,FALSE,"Pag.01"}</definedName>
    <definedName name="WRN.PAG.01" localSheetId="7" hidden="1">{#N/A,#N/A,FALSE,"Pag.01"}</definedName>
    <definedName name="WRN.PAG.01" hidden="1">{#N/A,#N/A,FALSE,"Pag.01"}</definedName>
    <definedName name="wrn.pag.01." localSheetId="3" hidden="1">{#N/A,#N/A,FALSE,"Pag.01"}</definedName>
    <definedName name="wrn.pag.01." localSheetId="7" hidden="1">{#N/A,#N/A,FALSE,"Pag.01"}</definedName>
    <definedName name="wrn.pag.01." hidden="1">{#N/A,#N/A,FALSE,"Pag.01"}</definedName>
    <definedName name="wrn.pag.010" localSheetId="3" hidden="1">{#N/A,#N/A,FALSE,"Pag.01"}</definedName>
    <definedName name="wrn.pag.010" localSheetId="7" hidden="1">{#N/A,#N/A,FALSE,"Pag.01"}</definedName>
    <definedName name="wrn.pag.010" hidden="1">{#N/A,#N/A,FALSE,"Pag.01"}</definedName>
    <definedName name="wrn.pag.01000" localSheetId="3" hidden="1">{#N/A,#N/A,FALSE,"Pag.01"}</definedName>
    <definedName name="wrn.pag.01000" localSheetId="7" hidden="1">{#N/A,#N/A,FALSE,"Pag.01"}</definedName>
    <definedName name="wrn.pag.01000" hidden="1">{#N/A,#N/A,FALSE,"Pag.01"}</definedName>
    <definedName name="wrn.pag.010000" localSheetId="3" hidden="1">{#N/A,#N/A,FALSE,"Pag.01"}</definedName>
    <definedName name="wrn.pag.010000" localSheetId="7" hidden="1">{#N/A,#N/A,FALSE,"Pag.01"}</definedName>
    <definedName name="wrn.pag.010000" hidden="1">{#N/A,#N/A,FALSE,"Pag.01"}</definedName>
    <definedName name="wrn.pag.0100000" localSheetId="3" hidden="1">{#N/A,#N/A,FALSE,"Pag.01"}</definedName>
    <definedName name="wrn.pag.0100000" localSheetId="7" hidden="1">{#N/A,#N/A,FALSE,"Pag.01"}</definedName>
    <definedName name="wrn.pag.0100000" hidden="1">{#N/A,#N/A,FALSE,"Pag.01"}</definedName>
    <definedName name="wrn.pag.011" localSheetId="3" hidden="1">{#N/A,#N/A,FALSE,"Pag.01"}</definedName>
    <definedName name="wrn.pag.011" localSheetId="7" hidden="1">{#N/A,#N/A,FALSE,"Pag.01"}</definedName>
    <definedName name="wrn.pag.011" hidden="1">{#N/A,#N/A,FALSE,"Pag.01"}</definedName>
    <definedName name="wrn.pag.0110" localSheetId="3" hidden="1">{#N/A,#N/A,FALSE,"Pag.01"}</definedName>
    <definedName name="wrn.pag.0110" localSheetId="7" hidden="1">{#N/A,#N/A,FALSE,"Pag.01"}</definedName>
    <definedName name="wrn.pag.0110" hidden="1">{#N/A,#N/A,FALSE,"Pag.01"}</definedName>
    <definedName name="wrn.pag.0110000" localSheetId="3" hidden="1">{#N/A,#N/A,FALSE,"Pag.01"}</definedName>
    <definedName name="wrn.pag.0110000" localSheetId="7" hidden="1">{#N/A,#N/A,FALSE,"Pag.01"}</definedName>
    <definedName name="wrn.pag.0110000" hidden="1">{#N/A,#N/A,FALSE,"Pag.01"}</definedName>
    <definedName name="wrn.pag.01200" localSheetId="3" hidden="1">{#N/A,#N/A,FALSE,"Pag.01"}</definedName>
    <definedName name="wrn.pag.01200" localSheetId="7" hidden="1">{#N/A,#N/A,FALSE,"Pag.01"}</definedName>
    <definedName name="wrn.pag.01200" hidden="1">{#N/A,#N/A,FALSE,"Pag.01"}</definedName>
    <definedName name="wrn.pag.012547" localSheetId="3" hidden="1">{#N/A,#N/A,FALSE,"Pag.01"}</definedName>
    <definedName name="wrn.pag.012547" localSheetId="7" hidden="1">{#N/A,#N/A,FALSE,"Pag.01"}</definedName>
    <definedName name="wrn.pag.012547" hidden="1">{#N/A,#N/A,FALSE,"Pag.01"}</definedName>
    <definedName name="wrn.pag.013" localSheetId="3" hidden="1">{#N/A,#N/A,FALSE,"Pag.01"}</definedName>
    <definedName name="wrn.pag.013" localSheetId="7" hidden="1">{#N/A,#N/A,FALSE,"Pag.01"}</definedName>
    <definedName name="wrn.pag.013" hidden="1">{#N/A,#N/A,FALSE,"Pag.01"}</definedName>
    <definedName name="wrn.pag.0130" localSheetId="3" hidden="1">{#N/A,#N/A,FALSE,"Pag.01"}</definedName>
    <definedName name="wrn.pag.0130" localSheetId="7" hidden="1">{#N/A,#N/A,FALSE,"Pag.01"}</definedName>
    <definedName name="wrn.pag.0130" hidden="1">{#N/A,#N/A,FALSE,"Pag.01"}</definedName>
    <definedName name="wrn.pag.0130000" localSheetId="3" hidden="1">{#N/A,#N/A,FALSE,"Pag.01"}</definedName>
    <definedName name="wrn.pag.0130000" localSheetId="7" hidden="1">{#N/A,#N/A,FALSE,"Pag.01"}</definedName>
    <definedName name="wrn.pag.0130000" hidden="1">{#N/A,#N/A,FALSE,"Pag.01"}</definedName>
    <definedName name="wrn.pag.014" localSheetId="3" hidden="1">{#N/A,#N/A,FALSE,"Pag.01"}</definedName>
    <definedName name="wrn.pag.014" localSheetId="7" hidden="1">{#N/A,#N/A,FALSE,"Pag.01"}</definedName>
    <definedName name="wrn.pag.014" hidden="1">{#N/A,#N/A,FALSE,"Pag.01"}</definedName>
    <definedName name="wrn.pag.0140" localSheetId="3" hidden="1">{#N/A,#N/A,FALSE,"Pag.01"}</definedName>
    <definedName name="wrn.pag.0140" localSheetId="7" hidden="1">{#N/A,#N/A,FALSE,"Pag.01"}</definedName>
    <definedName name="wrn.pag.0140" hidden="1">{#N/A,#N/A,FALSE,"Pag.01"}</definedName>
    <definedName name="wrn.pag.0140000" localSheetId="3" hidden="1">{#N/A,#N/A,FALSE,"Pag.01"}</definedName>
    <definedName name="wrn.pag.0140000" localSheetId="7" hidden="1">{#N/A,#N/A,FALSE,"Pag.01"}</definedName>
    <definedName name="wrn.pag.0140000" hidden="1">{#N/A,#N/A,FALSE,"Pag.01"}</definedName>
    <definedName name="wrn.pag.0140563" localSheetId="3" hidden="1">{#N/A,#N/A,FALSE,"Pag.01"}</definedName>
    <definedName name="wrn.pag.0140563" localSheetId="7" hidden="1">{#N/A,#N/A,FALSE,"Pag.01"}</definedName>
    <definedName name="wrn.pag.0140563" hidden="1">{#N/A,#N/A,FALSE,"Pag.01"}</definedName>
    <definedName name="wrn.pag.0147456" localSheetId="3" hidden="1">{#N/A,#N/A,FALSE,"Pag.01"}</definedName>
    <definedName name="wrn.pag.0147456" localSheetId="7" hidden="1">{#N/A,#N/A,FALSE,"Pag.01"}</definedName>
    <definedName name="wrn.pag.0147456" hidden="1">{#N/A,#N/A,FALSE,"Pag.01"}</definedName>
    <definedName name="wrn.pag.015" localSheetId="3" hidden="1">{#N/A,#N/A,FALSE,"Pag.01"}</definedName>
    <definedName name="wrn.pag.015" localSheetId="7" hidden="1">{#N/A,#N/A,FALSE,"Pag.01"}</definedName>
    <definedName name="wrn.pag.015" hidden="1">{#N/A,#N/A,FALSE,"Pag.01"}</definedName>
    <definedName name="wrn.pag.0150" localSheetId="3" hidden="1">{#N/A,#N/A,FALSE,"Pag.01"}</definedName>
    <definedName name="wrn.pag.0150" localSheetId="7" hidden="1">{#N/A,#N/A,FALSE,"Pag.01"}</definedName>
    <definedName name="wrn.pag.0150" hidden="1">{#N/A,#N/A,FALSE,"Pag.01"}</definedName>
    <definedName name="wrn.pag.01500000" localSheetId="3" hidden="1">{#N/A,#N/A,FALSE,"Pag.01"}</definedName>
    <definedName name="wrn.pag.01500000" localSheetId="7" hidden="1">{#N/A,#N/A,FALSE,"Pag.01"}</definedName>
    <definedName name="wrn.pag.01500000" hidden="1">{#N/A,#N/A,FALSE,"Pag.01"}</definedName>
    <definedName name="wrn.pag.015320" localSheetId="3" hidden="1">{#N/A,#N/A,FALSE,"Pag.01"}</definedName>
    <definedName name="wrn.pag.015320" localSheetId="7" hidden="1">{#N/A,#N/A,FALSE,"Pag.01"}</definedName>
    <definedName name="wrn.pag.015320" hidden="1">{#N/A,#N/A,FALSE,"Pag.01"}</definedName>
    <definedName name="wrn.pag.015468" localSheetId="3" hidden="1">{#N/A,#N/A,FALSE,"Pag.01"}</definedName>
    <definedName name="wrn.pag.015468" localSheetId="7" hidden="1">{#N/A,#N/A,FALSE,"Pag.01"}</definedName>
    <definedName name="wrn.pag.015468" hidden="1">{#N/A,#N/A,FALSE,"Pag.01"}</definedName>
    <definedName name="wrn.pag.016" localSheetId="3" hidden="1">{#N/A,#N/A,FALSE,"Pag.01"}</definedName>
    <definedName name="wrn.pag.016" localSheetId="7" hidden="1">{#N/A,#N/A,FALSE,"Pag.01"}</definedName>
    <definedName name="wrn.pag.016" hidden="1">{#N/A,#N/A,FALSE,"Pag.01"}</definedName>
    <definedName name="wrn.pag.0160" localSheetId="3" hidden="1">{#N/A,#N/A,FALSE,"Pag.01"}</definedName>
    <definedName name="wrn.pag.0160" localSheetId="7" hidden="1">{#N/A,#N/A,FALSE,"Pag.01"}</definedName>
    <definedName name="wrn.pag.0160" hidden="1">{#N/A,#N/A,FALSE,"Pag.01"}</definedName>
    <definedName name="wrn.pag.016000" localSheetId="3" hidden="1">{#N/A,#N/A,FALSE,"Pag.01"}</definedName>
    <definedName name="wrn.pag.016000" localSheetId="7" hidden="1">{#N/A,#N/A,FALSE,"Pag.01"}</definedName>
    <definedName name="wrn.pag.016000" hidden="1">{#N/A,#N/A,FALSE,"Pag.01"}</definedName>
    <definedName name="wrn.pag.01603254" localSheetId="3" hidden="1">{#N/A,#N/A,FALSE,"Pag.01"}</definedName>
    <definedName name="wrn.pag.01603254" localSheetId="7" hidden="1">{#N/A,#N/A,FALSE,"Pag.01"}</definedName>
    <definedName name="wrn.pag.01603254" hidden="1">{#N/A,#N/A,FALSE,"Pag.01"}</definedName>
    <definedName name="wrn.pag.0165487" localSheetId="3" hidden="1">{#N/A,#N/A,FALSE,"Pag.01"}</definedName>
    <definedName name="wrn.pag.0165487" localSheetId="7" hidden="1">{#N/A,#N/A,FALSE,"Pag.01"}</definedName>
    <definedName name="wrn.pag.0165487" hidden="1">{#N/A,#N/A,FALSE,"Pag.01"}</definedName>
    <definedName name="wrn.pag.017" localSheetId="3" hidden="1">{#N/A,#N/A,FALSE,"Pag.01"}</definedName>
    <definedName name="wrn.pag.017" localSheetId="7" hidden="1">{#N/A,#N/A,FALSE,"Pag.01"}</definedName>
    <definedName name="wrn.pag.017" hidden="1">{#N/A,#N/A,FALSE,"Pag.01"}</definedName>
    <definedName name="wrn.pag.0170" localSheetId="3" hidden="1">{#N/A,#N/A,FALSE,"Pag.01"}</definedName>
    <definedName name="wrn.pag.0170" localSheetId="7" hidden="1">{#N/A,#N/A,FALSE,"Pag.01"}</definedName>
    <definedName name="wrn.pag.0170" hidden="1">{#N/A,#N/A,FALSE,"Pag.01"}</definedName>
    <definedName name="wrn.pag.017000" localSheetId="3" hidden="1">{#N/A,#N/A,FALSE,"Pag.01"}</definedName>
    <definedName name="wrn.pag.017000" localSheetId="7" hidden="1">{#N/A,#N/A,FALSE,"Pag.01"}</definedName>
    <definedName name="wrn.pag.017000" hidden="1">{#N/A,#N/A,FALSE,"Pag.01"}</definedName>
    <definedName name="wrn.pag.018" localSheetId="3" hidden="1">{#N/A,#N/A,FALSE,"Pag.01"}</definedName>
    <definedName name="wrn.pag.018" localSheetId="7" hidden="1">{#N/A,#N/A,FALSE,"Pag.01"}</definedName>
    <definedName name="wrn.pag.018" hidden="1">{#N/A,#N/A,FALSE,"Pag.01"}</definedName>
    <definedName name="wrn.pag.018000" localSheetId="3" hidden="1">{#N/A,#N/A,FALSE,"Pag.01"}</definedName>
    <definedName name="wrn.pag.018000" localSheetId="7" hidden="1">{#N/A,#N/A,FALSE,"Pag.01"}</definedName>
    <definedName name="wrn.pag.018000" hidden="1">{#N/A,#N/A,FALSE,"Pag.01"}</definedName>
    <definedName name="wrn.pag.02" localSheetId="3" hidden="1">{#N/A,#N/A,FALSE,"Pag.01"}</definedName>
    <definedName name="wrn.pag.02" localSheetId="7" hidden="1">{#N/A,#N/A,FALSE,"Pag.01"}</definedName>
    <definedName name="wrn.pag.02" hidden="1">{#N/A,#N/A,FALSE,"Pag.01"}</definedName>
    <definedName name="wrn.pag.020" localSheetId="3" hidden="1">{#N/A,#N/A,FALSE,"Pag.01"}</definedName>
    <definedName name="wrn.pag.020" localSheetId="7" hidden="1">{#N/A,#N/A,FALSE,"Pag.01"}</definedName>
    <definedName name="wrn.pag.020" hidden="1">{#N/A,#N/A,FALSE,"Pag.01"}</definedName>
    <definedName name="wrn.pag.020000" localSheetId="3" hidden="1">{#N/A,#N/A,FALSE,"Pag.01"}</definedName>
    <definedName name="wrn.pag.020000" localSheetId="7" hidden="1">{#N/A,#N/A,FALSE,"Pag.01"}</definedName>
    <definedName name="wrn.pag.020000" hidden="1">{#N/A,#N/A,FALSE,"Pag.01"}</definedName>
    <definedName name="wrn.pag.02145" localSheetId="3" hidden="1">{#N/A,#N/A,FALSE,"Pag.01"}</definedName>
    <definedName name="wrn.pag.02145" localSheetId="7" hidden="1">{#N/A,#N/A,FALSE,"Pag.01"}</definedName>
    <definedName name="wrn.pag.02145" hidden="1">{#N/A,#N/A,FALSE,"Pag.01"}</definedName>
    <definedName name="wrn.pag.0214567" localSheetId="3" hidden="1">{#N/A,#N/A,FALSE,"Pag.01"}</definedName>
    <definedName name="wrn.pag.0214567" localSheetId="7" hidden="1">{#N/A,#N/A,FALSE,"Pag.01"}</definedName>
    <definedName name="wrn.pag.0214567" hidden="1">{#N/A,#N/A,FALSE,"Pag.01"}</definedName>
    <definedName name="wrn.pag.02145879" localSheetId="3" hidden="1">{#N/A,#N/A,FALSE,"Pag.01"}</definedName>
    <definedName name="wrn.pag.02145879" localSheetId="7" hidden="1">{#N/A,#N/A,FALSE,"Pag.01"}</definedName>
    <definedName name="wrn.pag.02145879" hidden="1">{#N/A,#N/A,FALSE,"Pag.01"}</definedName>
    <definedName name="wrn.pag.02325478" localSheetId="3" hidden="1">{#N/A,#N/A,FALSE,"Pag.01"}</definedName>
    <definedName name="wrn.pag.02325478" localSheetId="7" hidden="1">{#N/A,#N/A,FALSE,"Pag.01"}</definedName>
    <definedName name="wrn.pag.02325478" hidden="1">{#N/A,#N/A,FALSE,"Pag.01"}</definedName>
    <definedName name="wrn.pag.025" localSheetId="3" hidden="1">{#N/A,#N/A,FALSE,"Pag.01"}</definedName>
    <definedName name="wrn.pag.025" localSheetId="7" hidden="1">{#N/A,#N/A,FALSE,"Pag.01"}</definedName>
    <definedName name="wrn.pag.025" hidden="1">{#N/A,#N/A,FALSE,"Pag.01"}</definedName>
    <definedName name="wrn.pag.025000" localSheetId="3" hidden="1">{#N/A,#N/A,FALSE,"Pag.01"}</definedName>
    <definedName name="wrn.pag.025000" localSheetId="7" hidden="1">{#N/A,#N/A,FALSE,"Pag.01"}</definedName>
    <definedName name="wrn.pag.025000" hidden="1">{#N/A,#N/A,FALSE,"Pag.01"}</definedName>
    <definedName name="wrn.pag.025476" localSheetId="3" hidden="1">{#N/A,#N/A,FALSE,"Pag.01"}</definedName>
    <definedName name="wrn.pag.025476" localSheetId="7" hidden="1">{#N/A,#N/A,FALSE,"Pag.01"}</definedName>
    <definedName name="wrn.pag.025476" hidden="1">{#N/A,#N/A,FALSE,"Pag.01"}</definedName>
    <definedName name="wrn.pag.02564789" localSheetId="3" hidden="1">{#N/A,#N/A,FALSE,"Pag.01"}</definedName>
    <definedName name="wrn.pag.02564789" localSheetId="7" hidden="1">{#N/A,#N/A,FALSE,"Pag.01"}</definedName>
    <definedName name="wrn.pag.02564789" hidden="1">{#N/A,#N/A,FALSE,"Pag.01"}</definedName>
    <definedName name="wrn.pag.03" localSheetId="3" hidden="1">{#N/A,#N/A,FALSE,"Pag.01"}</definedName>
    <definedName name="wrn.pag.03" localSheetId="7" hidden="1">{#N/A,#N/A,FALSE,"Pag.01"}</definedName>
    <definedName name="wrn.pag.03" hidden="1">{#N/A,#N/A,FALSE,"Pag.01"}</definedName>
    <definedName name="wrn.pag.030" localSheetId="3" hidden="1">{#N/A,#N/A,FALSE,"Pag.01"}</definedName>
    <definedName name="wrn.pag.030" localSheetId="7" hidden="1">{#N/A,#N/A,FALSE,"Pag.01"}</definedName>
    <definedName name="wrn.pag.030" hidden="1">{#N/A,#N/A,FALSE,"Pag.01"}</definedName>
    <definedName name="wrn.pag.0300" localSheetId="3" hidden="1">{#N/A,#N/A,FALSE,"Pag.01"}</definedName>
    <definedName name="wrn.pag.0300" localSheetId="7" hidden="1">{#N/A,#N/A,FALSE,"Pag.01"}</definedName>
    <definedName name="wrn.pag.0300" hidden="1">{#N/A,#N/A,FALSE,"Pag.01"}</definedName>
    <definedName name="wrn.pag.03000000" localSheetId="3" hidden="1">{#N/A,#N/A,FALSE,"Pag.01"}</definedName>
    <definedName name="wrn.pag.03000000" localSheetId="7" hidden="1">{#N/A,#N/A,FALSE,"Pag.01"}</definedName>
    <definedName name="wrn.pag.03000000" hidden="1">{#N/A,#N/A,FALSE,"Pag.01"}</definedName>
    <definedName name="wrn.pag.030000000" localSheetId="3" hidden="1">{#N/A,#N/A,FALSE,"Pag.01"}</definedName>
    <definedName name="wrn.pag.030000000" localSheetId="7" hidden="1">{#N/A,#N/A,FALSE,"Pag.01"}</definedName>
    <definedName name="wrn.pag.030000000" hidden="1">{#N/A,#N/A,FALSE,"Pag.01"}</definedName>
    <definedName name="wrn.pag.0321475" localSheetId="3" hidden="1">{#N/A,#N/A,FALSE,"Pag.01"}</definedName>
    <definedName name="wrn.pag.0321475" localSheetId="7" hidden="1">{#N/A,#N/A,FALSE,"Pag.01"}</definedName>
    <definedName name="wrn.pag.0321475" hidden="1">{#N/A,#N/A,FALSE,"Pag.01"}</definedName>
    <definedName name="wrn.pag.032548" localSheetId="3" hidden="1">{#N/A,#N/A,FALSE,"Pag.01"}</definedName>
    <definedName name="wrn.pag.032548" localSheetId="7" hidden="1">{#N/A,#N/A,FALSE,"Pag.01"}</definedName>
    <definedName name="wrn.pag.032548" hidden="1">{#N/A,#N/A,FALSE,"Pag.01"}</definedName>
    <definedName name="wrn.pag.0345778" localSheetId="3" hidden="1">{#N/A,#N/A,FALSE,"Pag.01"}</definedName>
    <definedName name="wrn.pag.0345778" localSheetId="7" hidden="1">{#N/A,#N/A,FALSE,"Pag.01"}</definedName>
    <definedName name="wrn.pag.0345778" hidden="1">{#N/A,#N/A,FALSE,"Pag.01"}</definedName>
    <definedName name="wrn.pag.04" localSheetId="3" hidden="1">{#N/A,#N/A,FALSE,"Pag.01"}</definedName>
    <definedName name="wrn.pag.04" localSheetId="7" hidden="1">{#N/A,#N/A,FALSE,"Pag.01"}</definedName>
    <definedName name="wrn.pag.04" hidden="1">{#N/A,#N/A,FALSE,"Pag.01"}</definedName>
    <definedName name="wrn.pag.040" localSheetId="3" hidden="1">{#N/A,#N/A,FALSE,"Pag.01"}</definedName>
    <definedName name="wrn.pag.040" localSheetId="7" hidden="1">{#N/A,#N/A,FALSE,"Pag.01"}</definedName>
    <definedName name="wrn.pag.040" hidden="1">{#N/A,#N/A,FALSE,"Pag.01"}</definedName>
    <definedName name="wrn.pag.0400" localSheetId="3" hidden="1">{#N/A,#N/A,FALSE,"Pag.01"}</definedName>
    <definedName name="wrn.pag.0400" localSheetId="7" hidden="1">{#N/A,#N/A,FALSE,"Pag.01"}</definedName>
    <definedName name="wrn.pag.0400" hidden="1">{#N/A,#N/A,FALSE,"Pag.01"}</definedName>
    <definedName name="wrn.pag.040000000" localSheetId="3" hidden="1">{#N/A,#N/A,FALSE,"Pag.01"}</definedName>
    <definedName name="wrn.pag.040000000" localSheetId="7" hidden="1">{#N/A,#N/A,FALSE,"Pag.01"}</definedName>
    <definedName name="wrn.pag.040000000" hidden="1">{#N/A,#N/A,FALSE,"Pag.01"}</definedName>
    <definedName name="wrn.pag.040000000000" localSheetId="3" hidden="1">{#N/A,#N/A,FALSE,"Pag.01"}</definedName>
    <definedName name="wrn.pag.040000000000" localSheetId="7" hidden="1">{#N/A,#N/A,FALSE,"Pag.01"}</definedName>
    <definedName name="wrn.pag.040000000000" hidden="1">{#N/A,#N/A,FALSE,"Pag.01"}</definedName>
    <definedName name="wrn.pag.04254789" localSheetId="3" hidden="1">{#N/A,#N/A,FALSE,"Pag.01"}</definedName>
    <definedName name="wrn.pag.04254789" localSheetId="7" hidden="1">{#N/A,#N/A,FALSE,"Pag.01"}</definedName>
    <definedName name="wrn.pag.04254789" hidden="1">{#N/A,#N/A,FALSE,"Pag.01"}</definedName>
    <definedName name="wrn.pag.04875323" localSheetId="3" hidden="1">{#N/A,#N/A,FALSE,"Pag.01"}</definedName>
    <definedName name="wrn.pag.04875323" localSheetId="7" hidden="1">{#N/A,#N/A,FALSE,"Pag.01"}</definedName>
    <definedName name="wrn.pag.04875323" hidden="1">{#N/A,#N/A,FALSE,"Pag.01"}</definedName>
    <definedName name="wrn.pag.05" localSheetId="3" hidden="1">{#N/A,#N/A,FALSE,"Pag.01"}</definedName>
    <definedName name="wrn.pag.05" localSheetId="7" hidden="1">{#N/A,#N/A,FALSE,"Pag.01"}</definedName>
    <definedName name="wrn.pag.05" hidden="1">{#N/A,#N/A,FALSE,"Pag.01"}</definedName>
    <definedName name="wrn.pag.050" localSheetId="3" hidden="1">{#N/A,#N/A,FALSE,"Pag.01"}</definedName>
    <definedName name="wrn.pag.050" localSheetId="7" hidden="1">{#N/A,#N/A,FALSE,"Pag.01"}</definedName>
    <definedName name="wrn.pag.050" hidden="1">{#N/A,#N/A,FALSE,"Pag.01"}</definedName>
    <definedName name="wrn.pag.0500" localSheetId="3" hidden="1">{#N/A,#N/A,FALSE,"Pag.01"}</definedName>
    <definedName name="wrn.pag.0500" localSheetId="7" hidden="1">{#N/A,#N/A,FALSE,"Pag.01"}</definedName>
    <definedName name="wrn.pag.0500" hidden="1">{#N/A,#N/A,FALSE,"Pag.01"}</definedName>
    <definedName name="wrn.pag.0500000000" localSheetId="3" hidden="1">{#N/A,#N/A,FALSE,"Pag.01"}</definedName>
    <definedName name="wrn.pag.0500000000" localSheetId="7" hidden="1">{#N/A,#N/A,FALSE,"Pag.01"}</definedName>
    <definedName name="wrn.pag.0500000000" hidden="1">{#N/A,#N/A,FALSE,"Pag.01"}</definedName>
    <definedName name="wrn.pag.05000000000" localSheetId="3" hidden="1">{#N/A,#N/A,FALSE,"Pag.01"}</definedName>
    <definedName name="wrn.pag.05000000000" localSheetId="7" hidden="1">{#N/A,#N/A,FALSE,"Pag.01"}</definedName>
    <definedName name="wrn.pag.05000000000" hidden="1">{#N/A,#N/A,FALSE,"Pag.01"}</definedName>
    <definedName name="wrn.pag.05428" localSheetId="3" hidden="1">{#N/A,#N/A,FALSE,"Pag.01"}</definedName>
    <definedName name="wrn.pag.05428" localSheetId="7" hidden="1">{#N/A,#N/A,FALSE,"Pag.01"}</definedName>
    <definedName name="wrn.pag.05428" hidden="1">{#N/A,#N/A,FALSE,"Pag.01"}</definedName>
    <definedName name="wrn.pag.056874" localSheetId="3" hidden="1">{#N/A,#N/A,FALSE,"Pag.01"}</definedName>
    <definedName name="wrn.pag.056874" localSheetId="7" hidden="1">{#N/A,#N/A,FALSE,"Pag.01"}</definedName>
    <definedName name="wrn.pag.056874" hidden="1">{#N/A,#N/A,FALSE,"Pag.01"}</definedName>
    <definedName name="wrn.pag.06" localSheetId="3" hidden="1">{#N/A,#N/A,FALSE,"Pag.01"}</definedName>
    <definedName name="wrn.pag.06" localSheetId="7" hidden="1">{#N/A,#N/A,FALSE,"Pag.01"}</definedName>
    <definedName name="wrn.pag.06" hidden="1">{#N/A,#N/A,FALSE,"Pag.01"}</definedName>
    <definedName name="wrn.pag.060" localSheetId="3" hidden="1">{#N/A,#N/A,FALSE,"Pag.01"}</definedName>
    <definedName name="wrn.pag.060" localSheetId="7" hidden="1">{#N/A,#N/A,FALSE,"Pag.01"}</definedName>
    <definedName name="wrn.pag.060" hidden="1">{#N/A,#N/A,FALSE,"Pag.01"}</definedName>
    <definedName name="wrn.pag.0600" localSheetId="3" hidden="1">{#N/A,#N/A,FALSE,"Pag.01"}</definedName>
    <definedName name="wrn.pag.0600" localSheetId="7" hidden="1">{#N/A,#N/A,FALSE,"Pag.01"}</definedName>
    <definedName name="wrn.pag.0600" hidden="1">{#N/A,#N/A,FALSE,"Pag.01"}</definedName>
    <definedName name="wrn.pag.0600000000" localSheetId="3" hidden="1">{#N/A,#N/A,FALSE,"Pag.01"}</definedName>
    <definedName name="wrn.pag.0600000000" localSheetId="7" hidden="1">{#N/A,#N/A,FALSE,"Pag.01"}</definedName>
    <definedName name="wrn.pag.0600000000" hidden="1">{#N/A,#N/A,FALSE,"Pag.01"}</definedName>
    <definedName name="wrn.pag.06000000000000000" localSheetId="3" hidden="1">{#N/A,#N/A,FALSE,"Pag.01"}</definedName>
    <definedName name="wrn.pag.06000000000000000" localSheetId="7" hidden="1">{#N/A,#N/A,FALSE,"Pag.01"}</definedName>
    <definedName name="wrn.pag.06000000000000000" hidden="1">{#N/A,#N/A,FALSE,"Pag.01"}</definedName>
    <definedName name="wrn.pag.07" localSheetId="3" hidden="1">{#N/A,#N/A,FALSE,"Pag.01"}</definedName>
    <definedName name="wrn.pag.07" localSheetId="7" hidden="1">{#N/A,#N/A,FALSE,"Pag.01"}</definedName>
    <definedName name="wrn.pag.07" hidden="1">{#N/A,#N/A,FALSE,"Pag.01"}</definedName>
    <definedName name="wrn.pag.070" localSheetId="3" hidden="1">{#N/A,#N/A,FALSE,"Pag.01"}</definedName>
    <definedName name="wrn.pag.070" localSheetId="7" hidden="1">{#N/A,#N/A,FALSE,"Pag.01"}</definedName>
    <definedName name="wrn.pag.070" hidden="1">{#N/A,#N/A,FALSE,"Pag.01"}</definedName>
    <definedName name="wrn.pag.0700" localSheetId="3" hidden="1">{#N/A,#N/A,FALSE,"Pag.01"}</definedName>
    <definedName name="wrn.pag.0700" localSheetId="7" hidden="1">{#N/A,#N/A,FALSE,"Pag.01"}</definedName>
    <definedName name="wrn.pag.0700" hidden="1">{#N/A,#N/A,FALSE,"Pag.01"}</definedName>
    <definedName name="wrn.pag.070000000000" localSheetId="3" hidden="1">{#N/A,#N/A,FALSE,"Pag.01"}</definedName>
    <definedName name="wrn.pag.070000000000" localSheetId="7" hidden="1">{#N/A,#N/A,FALSE,"Pag.01"}</definedName>
    <definedName name="wrn.pag.070000000000" hidden="1">{#N/A,#N/A,FALSE,"Pag.01"}</definedName>
    <definedName name="wrn.pag.07000000000000" localSheetId="3" hidden="1">{#N/A,#N/A,FALSE,"Pag.01"}</definedName>
    <definedName name="wrn.pag.07000000000000" localSheetId="7" hidden="1">{#N/A,#N/A,FALSE,"Pag.01"}</definedName>
    <definedName name="wrn.pag.07000000000000" hidden="1">{#N/A,#N/A,FALSE,"Pag.01"}</definedName>
    <definedName name="wrn.pag.09" localSheetId="3" hidden="1">{#N/A,#N/A,FALSE,"Pag.01"}</definedName>
    <definedName name="wrn.pag.09" localSheetId="7" hidden="1">{#N/A,#N/A,FALSE,"Pag.01"}</definedName>
    <definedName name="wrn.pag.09" hidden="1">{#N/A,#N/A,FALSE,"Pag.01"}</definedName>
    <definedName name="wrn.pag.090" localSheetId="3" hidden="1">{#N/A,#N/A,FALSE,"Pag.01"}</definedName>
    <definedName name="wrn.pag.090" localSheetId="7" hidden="1">{#N/A,#N/A,FALSE,"Pag.01"}</definedName>
    <definedName name="wrn.pag.090" hidden="1">{#N/A,#N/A,FALSE,"Pag.01"}</definedName>
    <definedName name="wrn.pag.0900" localSheetId="3" hidden="1">{#N/A,#N/A,FALSE,"Pag.01"}</definedName>
    <definedName name="wrn.pag.0900" localSheetId="7" hidden="1">{#N/A,#N/A,FALSE,"Pag.01"}</definedName>
    <definedName name="wrn.pag.0900" hidden="1">{#N/A,#N/A,FALSE,"Pag.01"}</definedName>
    <definedName name="wrn.pag.090000000000" localSheetId="3" hidden="1">{#N/A,#N/A,FALSE,"Pag.01"}</definedName>
    <definedName name="wrn.pag.090000000000" localSheetId="7" hidden="1">{#N/A,#N/A,FALSE,"Pag.01"}</definedName>
    <definedName name="wrn.pag.090000000000" hidden="1">{#N/A,#N/A,FALSE,"Pag.01"}</definedName>
    <definedName name="wrn.pag.09000000000000000000" localSheetId="3" hidden="1">{#N/A,#N/A,FALSE,"Pag.01"}</definedName>
    <definedName name="wrn.pag.09000000000000000000" localSheetId="7" hidden="1">{#N/A,#N/A,FALSE,"Pag.01"}</definedName>
    <definedName name="wrn.pag.09000000000000000000" hidden="1">{#N/A,#N/A,FALSE,"Pag.01"}</definedName>
    <definedName name="wrn.pag.100" localSheetId="3" hidden="1">{#N/A,#N/A,FALSE,"Pag.01"}</definedName>
    <definedName name="wrn.pag.100" localSheetId="7" hidden="1">{#N/A,#N/A,FALSE,"Pag.01"}</definedName>
    <definedName name="wrn.pag.100" hidden="1">{#N/A,#N/A,FALSE,"Pag.01"}</definedName>
    <definedName name="wrn.pag.102145" localSheetId="3" hidden="1">{#N/A,#N/A,FALSE,"Pag.01"}</definedName>
    <definedName name="wrn.pag.102145" localSheetId="7" hidden="1">{#N/A,#N/A,FALSE,"Pag.01"}</definedName>
    <definedName name="wrn.pag.102145" hidden="1">{#N/A,#N/A,FALSE,"Pag.01"}</definedName>
    <definedName name="wrn.pag.12" localSheetId="3" hidden="1">{#N/A,#N/A,FALSE,"Pag.01"}</definedName>
    <definedName name="wrn.pag.12" localSheetId="7" hidden="1">{#N/A,#N/A,FALSE,"Pag.01"}</definedName>
    <definedName name="wrn.pag.12" hidden="1">{#N/A,#N/A,FALSE,"Pag.01"}</definedName>
    <definedName name="wrn.pag.120" localSheetId="3" hidden="1">{#N/A,#N/A,FALSE,"Pag.01"}</definedName>
    <definedName name="wrn.pag.120" localSheetId="7" hidden="1">{#N/A,#N/A,FALSE,"Pag.01"}</definedName>
    <definedName name="wrn.pag.120" hidden="1">{#N/A,#N/A,FALSE,"Pag.01"}</definedName>
    <definedName name="wrn.pag.12000000000" localSheetId="3" hidden="1">{#N/A,#N/A,FALSE,"Pag.01"}</definedName>
    <definedName name="wrn.pag.12000000000" localSheetId="7" hidden="1">{#N/A,#N/A,FALSE,"Pag.01"}</definedName>
    <definedName name="wrn.pag.12000000000" hidden="1">{#N/A,#N/A,FALSE,"Pag.01"}</definedName>
    <definedName name="wrn.pag.1200000000000000" localSheetId="3" hidden="1">{#N/A,#N/A,FALSE,"Pag.01"}</definedName>
    <definedName name="wrn.pag.1200000000000000" localSheetId="7" hidden="1">{#N/A,#N/A,FALSE,"Pag.01"}</definedName>
    <definedName name="wrn.pag.1200000000000000" hidden="1">{#N/A,#N/A,FALSE,"Pag.01"}</definedName>
    <definedName name="wrn.pag.1254789" localSheetId="3" hidden="1">{#N/A,#N/A,FALSE,"Pag.01"}</definedName>
    <definedName name="wrn.pag.1254789" localSheetId="7" hidden="1">{#N/A,#N/A,FALSE,"Pag.01"}</definedName>
    <definedName name="wrn.pag.1254789" hidden="1">{#N/A,#N/A,FALSE,"Pag.01"}</definedName>
    <definedName name="wrn.pag.214578" localSheetId="3" hidden="1">{#N/A,#N/A,FALSE,"Pag.01"}</definedName>
    <definedName name="wrn.pag.214578" localSheetId="7" hidden="1">{#N/A,#N/A,FALSE,"Pag.01"}</definedName>
    <definedName name="wrn.pag.214578" hidden="1">{#N/A,#N/A,FALSE,"Pag.01"}</definedName>
    <definedName name="wrn.pag.214789" localSheetId="3" hidden="1">{#N/A,#N/A,FALSE,"Pag.01"}</definedName>
    <definedName name="wrn.pag.214789" localSheetId="7" hidden="1">{#N/A,#N/A,FALSE,"Pag.01"}</definedName>
    <definedName name="wrn.pag.214789" hidden="1">{#N/A,#N/A,FALSE,"Pag.01"}</definedName>
    <definedName name="wrn.pag.23654789" localSheetId="3" hidden="1">{#N/A,#N/A,FALSE,"Pag.01"}</definedName>
    <definedName name="wrn.pag.23654789" localSheetId="7" hidden="1">{#N/A,#N/A,FALSE,"Pag.01"}</definedName>
    <definedName name="wrn.pag.23654789" hidden="1">{#N/A,#N/A,FALSE,"Pag.01"}</definedName>
    <definedName name="wrn.pag.2547257" localSheetId="3" hidden="1">{#N/A,#N/A,FALSE,"Pag.01"}</definedName>
    <definedName name="wrn.pag.2547257" localSheetId="7" hidden="1">{#N/A,#N/A,FALSE,"Pag.01"}</definedName>
    <definedName name="wrn.pag.2547257" hidden="1">{#N/A,#N/A,FALSE,"Pag.01"}</definedName>
    <definedName name="wrn.pag.254789" localSheetId="3" hidden="1">{#N/A,#N/A,FALSE,"Pag.01"}</definedName>
    <definedName name="wrn.pag.254789" localSheetId="7" hidden="1">{#N/A,#N/A,FALSE,"Pag.01"}</definedName>
    <definedName name="wrn.pag.254789" hidden="1">{#N/A,#N/A,FALSE,"Pag.01"}</definedName>
    <definedName name="wrn.pag.2564789" localSheetId="3" hidden="1">{#N/A,#N/A,FALSE,"Pag.01"}</definedName>
    <definedName name="wrn.pag.2564789" localSheetId="7" hidden="1">{#N/A,#N/A,FALSE,"Pag.01"}</definedName>
    <definedName name="wrn.pag.2564789" hidden="1">{#N/A,#N/A,FALSE,"Pag.01"}</definedName>
    <definedName name="wrn.pag.458796" localSheetId="3" hidden="1">{#N/A,#N/A,FALSE,"Pag.01"}</definedName>
    <definedName name="wrn.pag.458796" localSheetId="7" hidden="1">{#N/A,#N/A,FALSE,"Pag.01"}</definedName>
    <definedName name="wrn.pag.458796" hidden="1">{#N/A,#N/A,FALSE,"Pag.01"}</definedName>
    <definedName name="wrn.pag.500" localSheetId="3" hidden="1">{#N/A,#N/A,FALSE,"Pag.01"}</definedName>
    <definedName name="wrn.pag.500" localSheetId="7" hidden="1">{#N/A,#N/A,FALSE,"Pag.01"}</definedName>
    <definedName name="wrn.pag.500" hidden="1">{#N/A,#N/A,FALSE,"Pag.01"}</definedName>
    <definedName name="wrn.pag.5000" localSheetId="3" hidden="1">{#N/A,#N/A,FALSE,"Pag.01"}</definedName>
    <definedName name="wrn.pag.5000" localSheetId="7" hidden="1">{#N/A,#N/A,FALSE,"Pag.01"}</definedName>
    <definedName name="wrn.pag.5000" hidden="1">{#N/A,#N/A,FALSE,"Pag.01"}</definedName>
    <definedName name="wrn.pag.501000" localSheetId="3" hidden="1">{#N/A,#N/A,FALSE,"Pag.01"}</definedName>
    <definedName name="wrn.pag.501000" localSheetId="7" hidden="1">{#N/A,#N/A,FALSE,"Pag.01"}</definedName>
    <definedName name="wrn.pag.501000" hidden="1">{#N/A,#N/A,FALSE,"Pag.01"}</definedName>
    <definedName name="wrn.pag.5010000" localSheetId="3" hidden="1">{#N/A,#N/A,FALSE,"Pag.01"}</definedName>
    <definedName name="wrn.pag.5010000" localSheetId="7" hidden="1">{#N/A,#N/A,FALSE,"Pag.01"}</definedName>
    <definedName name="wrn.pag.5010000" hidden="1">{#N/A,#N/A,FALSE,"Pag.01"}</definedName>
    <definedName name="wrn.pag.50100000000000" localSheetId="3" hidden="1">{#N/A,#N/A,FALSE,"Pag.01"}</definedName>
    <definedName name="wrn.pag.50100000000000" localSheetId="7" hidden="1">{#N/A,#N/A,FALSE,"Pag.01"}</definedName>
    <definedName name="wrn.pag.50100000000000" hidden="1">{#N/A,#N/A,FALSE,"Pag.01"}</definedName>
    <definedName name="wrn.pag.5011" localSheetId="3" hidden="1">{#N/A,#N/A,FALSE,"Pag.01"}</definedName>
    <definedName name="wrn.pag.5011" localSheetId="7" hidden="1">{#N/A,#N/A,FALSE,"Pag.01"}</definedName>
    <definedName name="wrn.pag.5011" hidden="1">{#N/A,#N/A,FALSE,"Pag.01"}</definedName>
    <definedName name="wrn.pag.501110" localSheetId="3" hidden="1">{#N/A,#N/A,FALSE,"Pag.01"}</definedName>
    <definedName name="wrn.pag.501110" localSheetId="7" hidden="1">{#N/A,#N/A,FALSE,"Pag.01"}</definedName>
    <definedName name="wrn.pag.501110" hidden="1">{#N/A,#N/A,FALSE,"Pag.01"}</definedName>
    <definedName name="wrn.pag.5012000" localSheetId="3" hidden="1">{#N/A,#N/A,FALSE,"Pag.01"}</definedName>
    <definedName name="wrn.pag.5012000" localSheetId="7" hidden="1">{#N/A,#N/A,FALSE,"Pag.01"}</definedName>
    <definedName name="wrn.pag.5012000" hidden="1">{#N/A,#N/A,FALSE,"Pag.01"}</definedName>
    <definedName name="wrn.pag.50123" localSheetId="3" hidden="1">{#N/A,#N/A,FALSE,"Pag.01"}</definedName>
    <definedName name="wrn.pag.50123" localSheetId="7" hidden="1">{#N/A,#N/A,FALSE,"Pag.01"}</definedName>
    <definedName name="wrn.pag.50123" hidden="1">{#N/A,#N/A,FALSE,"Pag.01"}</definedName>
    <definedName name="wrn.pag.5013000" localSheetId="3" hidden="1">{#N/A,#N/A,FALSE,"Pag.01"}</definedName>
    <definedName name="wrn.pag.5013000" localSheetId="7" hidden="1">{#N/A,#N/A,FALSE,"Pag.01"}</definedName>
    <definedName name="wrn.pag.5013000" hidden="1">{#N/A,#N/A,FALSE,"Pag.01"}</definedName>
    <definedName name="wrn.pag.5017" localSheetId="3" hidden="1">{#N/A,#N/A,FALSE,"Pag.01"}</definedName>
    <definedName name="wrn.pag.5017" localSheetId="7" hidden="1">{#N/A,#N/A,FALSE,"Pag.01"}</definedName>
    <definedName name="wrn.pag.5017" hidden="1">{#N/A,#N/A,FALSE,"Pag.01"}</definedName>
    <definedName name="wrn.pag.5018" localSheetId="3" hidden="1">{#N/A,#N/A,FALSE,"Pag.01"}</definedName>
    <definedName name="wrn.pag.5018" localSheetId="7" hidden="1">{#N/A,#N/A,FALSE,"Pag.01"}</definedName>
    <definedName name="wrn.pag.5018" hidden="1">{#N/A,#N/A,FALSE,"Pag.01"}</definedName>
    <definedName name="wrn.pag.514000" localSheetId="3" hidden="1">{#N/A,#N/A,FALSE,"Pag.01"}</definedName>
    <definedName name="wrn.pag.514000" localSheetId="7" hidden="1">{#N/A,#N/A,FALSE,"Pag.01"}</definedName>
    <definedName name="wrn.pag.514000" hidden="1">{#N/A,#N/A,FALSE,"Pag.01"}</definedName>
    <definedName name="wrn.pag.658742" localSheetId="3" hidden="1">{#N/A,#N/A,FALSE,"Pag.01"}</definedName>
    <definedName name="wrn.pag.658742" localSheetId="7" hidden="1">{#N/A,#N/A,FALSE,"Pag.01"}</definedName>
    <definedName name="wrn.pag.658742" hidden="1">{#N/A,#N/A,FALSE,"Pag.01"}</definedName>
    <definedName name="wrn.PandLs." localSheetId="3"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ndLs." localSheetId="7"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ndLs."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BIT_DEV." localSheetId="3" hidden="1">{"QTR_ACT",#N/A,FALSE,"PROP_PBIT_DEV_Q3";"QTR_BUD",#N/A,FALSE,"PROP_PBIT_DEV_Q3";"YTD_BUD",#N/A,FALSE,"PROP_PBIT_DEV_Q3";"YTD_ACT",#N/A,FALSE,"PROP_PBIT_DEV_Q3";"FY95 SNAP3",#N/A,FALSE,"PROP_PBIT_DEV_Q3";"FY95_BUD",#N/A,FALSE,"PROP_PBIT_DEV_Q3";"FY96_BUD",#N/A,FALSE,"PROP_PBIT_DEV_Q3"}</definedName>
    <definedName name="wrn.PBIT_DEV." localSheetId="7" hidden="1">{"QTR_ACT",#N/A,FALSE,"PROP_PBIT_DEV_Q3";"QTR_BUD",#N/A,FALSE,"PROP_PBIT_DEV_Q3";"YTD_BUD",#N/A,FALSE,"PROP_PBIT_DEV_Q3";"YTD_ACT",#N/A,FALSE,"PROP_PBIT_DEV_Q3";"FY95 SNAP3",#N/A,FALSE,"PROP_PBIT_DEV_Q3";"FY95_BUD",#N/A,FALSE,"PROP_PBIT_DEV_Q3";"FY96_BUD",#N/A,FALSE,"PROP_PBIT_DEV_Q3"}</definedName>
    <definedName name="wrn.PBIT_DEV." hidden="1">{"QTR_ACT",#N/A,FALSE,"PROP_PBIT_DEV_Q3";"QTR_BUD",#N/A,FALSE,"PROP_PBIT_DEV_Q3";"YTD_BUD",#N/A,FALSE,"PROP_PBIT_DEV_Q3";"YTD_ACT",#N/A,FALSE,"PROP_PBIT_DEV_Q3";"FY95 SNAP3",#N/A,FALSE,"PROP_PBIT_DEV_Q3";"FY95_BUD",#N/A,FALSE,"PROP_PBIT_DEV_Q3";"FY96_BUD",#N/A,FALSE,"PROP_PBIT_DEV_Q3"}</definedName>
    <definedName name="wrn.Performance." localSheetId="3" hidden="1">{"Performance Details",#N/A,FALSE,"Current Yr";"Performance Details",#N/A,FALSE,"Budget";"Performance Details",#N/A,FALSE,"Prior Year"}</definedName>
    <definedName name="wrn.Performance." localSheetId="7" hidden="1">{"Performance Details",#N/A,FALSE,"Current Yr";"Performance Details",#N/A,FALSE,"Budget";"Performance Details",#N/A,FALSE,"Prior Year"}</definedName>
    <definedName name="wrn.Performance." hidden="1">{"Performance Details",#N/A,FALSE,"Current Yr";"Performance Details",#N/A,FALSE,"Budget";"Performance Details",#N/A,FALSE,"Prior Year"}</definedName>
    <definedName name="wrn.PFDBalance._.Sheet." localSheetId="3" hidden="1">{#N/A,"PURPER",FALSE,"BSHIST.XLS";#N/A,"PURADD",FALSE,"BSHIST.XLS";#N/A,"PURSPP",FALSE,"BSHIST.XLS";#N/A,"CTGIND",FALSE,"BSHIST.XLS";#N/A,"ANCHOR",FALSE,"BSHIST.XLS";#N/A,"SPADD",FALSE,"BSHIST.XLS"}</definedName>
    <definedName name="wrn.PFDBalance._.Sheet." localSheetId="7" hidden="1">{#N/A,"PURPER",FALSE,"BSHIST.XLS";#N/A,"PURADD",FALSE,"BSHIST.XLS";#N/A,"PURSPP",FALSE,"BSHIST.XLS";#N/A,"CTGIND",FALSE,"BSHIST.XLS";#N/A,"ANCHOR",FALSE,"BSHIST.XLS";#N/A,"SPADD",FALSE,"BSHIST.XLS"}</definedName>
    <definedName name="wrn.PFDBalance._.Sheet." hidden="1">{#N/A,"PURPER",FALSE,"BSHIST.XLS";#N/A,"PURADD",FALSE,"BSHIST.XLS";#N/A,"PURSPP",FALSE,"BSHIST.XLS";#N/A,"CTGIND",FALSE,"BSHIST.XLS";#N/A,"ANCHOR",FALSE,"BSHIST.XLS";#N/A,"SPADD",FALSE,"BSHIST.XLS"}</definedName>
    <definedName name="wrn.Pharm._.Market._.Report." localSheetId="3" hidden="1">{#N/A,#N/A,FALSE,"Sales Graph";#N/A,#N/A,FALSE,"PSBM";#N/A,#N/A,FALSE,"BUC Graph";#N/A,#N/A,FALSE,"P&amp;L - YTD"}</definedName>
    <definedName name="wrn.Pharm._.Market._.Report." localSheetId="7" hidden="1">{#N/A,#N/A,FALSE,"Sales Graph";#N/A,#N/A,FALSE,"PSBM";#N/A,#N/A,FALSE,"BUC Graph";#N/A,#N/A,FALSE,"P&amp;L - YTD"}</definedName>
    <definedName name="wrn.Pharm._.Market._.Report." hidden="1">{#N/A,#N/A,FALSE,"Sales Graph";#N/A,#N/A,FALSE,"PSBM";#N/A,#N/A,FALSE,"BUC Graph";#N/A,#N/A,FALSE,"P&amp;L - YTD"}</definedName>
    <definedName name="wrn.Pharmaceuticals." localSheetId="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 localSheetId="7"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MW._.Gruppe._.00_99." localSheetId="3" hidden="1">{#N/A,#N/A,FALSE,"PMW Gruppe 00_99";#N/A,#N/A,FALSE,"PMW KG 00_99";#N/A,#N/A,FALSE,"PMW Inc. 00_99";#N/A,#N/A,FALSE,"PMW VTECH 00_99";#N/A,#N/A,FALSE,"PMW Thail. 00_99";#N/A,#N/A,FALSE,"PMW Canada 00_99";#N/A,#N/A,FALSE,"Währungsabw. 00_99"}</definedName>
    <definedName name="wrn.PMW._.Gruppe._.00_99." localSheetId="7" hidden="1">{#N/A,#N/A,FALSE,"PMW Gruppe 00_99";#N/A,#N/A,FALSE,"PMW KG 00_99";#N/A,#N/A,FALSE,"PMW Inc. 00_99";#N/A,#N/A,FALSE,"PMW VTECH 00_99";#N/A,#N/A,FALSE,"PMW Thail. 00_99";#N/A,#N/A,FALSE,"PMW Canada 00_99";#N/A,#N/A,FALSE,"Währungsabw. 00_99"}</definedName>
    <definedName name="wrn.PMW._.Gruppe._.00_99." hidden="1">{#N/A,#N/A,FALSE,"PMW Gruppe 00_99";#N/A,#N/A,FALSE,"PMW KG 00_99";#N/A,#N/A,FALSE,"PMW Inc. 00_99";#N/A,#N/A,FALSE,"PMW VTECH 00_99";#N/A,#N/A,FALSE,"PMW Thail. 00_99";#N/A,#N/A,FALSE,"PMW Canada 00_99";#N/A,#N/A,FALSE,"Währungsabw. 00_99"}</definedName>
    <definedName name="wrn.PMW._.Gruppe._.99_98n." localSheetId="3" hidden="1">{#N/A,#N/A,FALSE,"PMW Gruppe 99_98";#N/A,#N/A,FALSE,"PMW KG 98_99";#N/A,#N/A,FALSE,"PMW Inc. 99_98";#N/A,#N/A,FALSE,"PMW VTECH 99_98";#N/A,#N/A,FALSE,"PMW Thail. 99_98";#N/A,#N/A,FALSE,"PMW Canada 99_98";#N/A,#N/A,FALSE,"Währungsabw. 99_98"}</definedName>
    <definedName name="wrn.PMW._.Gruppe._.99_98n." localSheetId="7" hidden="1">{#N/A,#N/A,FALSE,"PMW Gruppe 99_98";#N/A,#N/A,FALSE,"PMW KG 98_99";#N/A,#N/A,FALSE,"PMW Inc. 99_98";#N/A,#N/A,FALSE,"PMW VTECH 99_98";#N/A,#N/A,FALSE,"PMW Thail. 99_98";#N/A,#N/A,FALSE,"PMW Canada 99_98";#N/A,#N/A,FALSE,"Währungsabw. 99_98"}</definedName>
    <definedName name="wrn.PMW._.Gruppe._.99_98n." hidden="1">{#N/A,#N/A,FALSE,"PMW Gruppe 99_98";#N/A,#N/A,FALSE,"PMW KG 98_99";#N/A,#N/A,FALSE,"PMW Inc. 99_98";#N/A,#N/A,FALSE,"PMW VTECH 99_98";#N/A,#N/A,FALSE,"PMW Thail. 99_98";#N/A,#N/A,FALSE,"PMW Canada 99_98";#N/A,#N/A,FALSE,"Währungsabw. 99_98"}</definedName>
    <definedName name="wrn.Poe." localSheetId="3" hidden="1">{#N/A,#N/A,FALSE,"Poe Stand Alone";#N/A,#N/A,FALSE,"Poe (Calenderised, EUR)"}</definedName>
    <definedName name="wrn.Poe." localSheetId="7" hidden="1">{#N/A,#N/A,FALSE,"Poe Stand Alone";#N/A,#N/A,FALSE,"Poe (Calenderised, EUR)"}</definedName>
    <definedName name="wrn.Poe." hidden="1">{#N/A,#N/A,FALSE,"Poe Stand Alone";#N/A,#N/A,FALSE,"Poe (Calenderised, EUR)"}</definedName>
    <definedName name="wrn.Polymers." localSheetId="3" hidden="1">{"Polymers Details",#N/A,FALSE,"Current Yr";"Polymer Details",#N/A,FALSE,"Budget";"Polymer Details",#N/A,FALSE,"Prior Year"}</definedName>
    <definedName name="wrn.Polymers." localSheetId="7" hidden="1">{"Polymers Details",#N/A,FALSE,"Current Yr";"Polymer Details",#N/A,FALSE,"Budget";"Polymer Details",#N/A,FALSE,"Prior Year"}</definedName>
    <definedName name="wrn.Polymers." hidden="1">{"Polymers Details",#N/A,FALSE,"Current Yr";"Polymer Details",#N/A,FALSE,"Budget";"Polymer Details",#N/A,FALSE,"Prior Year"}</definedName>
    <definedName name="wrn.Polymers._.Balance._.Sheet." localSheetId="3" hidden="1">{#N/A,"POLY",FALSE,"BSHIST.XLS";#N/A,"EMUL",FALSE,"BSHIST.XLS";#N/A,"PVOH",FALSE,"BSHIST.XLS";#N/A,"ACET",FALSE,"BSHIST.XLS"}</definedName>
    <definedName name="wrn.Polymers._.Balance._.Sheet." localSheetId="7" hidden="1">{#N/A,"POLY",FALSE,"BSHIST.XLS";#N/A,"EMUL",FALSE,"BSHIST.XLS";#N/A,"PVOH",FALSE,"BSHIST.XLS";#N/A,"ACET",FALSE,"BSHIST.XLS"}</definedName>
    <definedName name="wrn.Polymers._.Balance._.Sheet." hidden="1">{#N/A,"POLY",FALSE,"BSHIST.XLS";#N/A,"EMUL",FALSE,"BSHIST.XLS";#N/A,"PVOH",FALSE,"BSHIST.XLS";#N/A,"ACET",FALSE,"BSHIST.XLS"}</definedName>
    <definedName name="wrn.ppp" localSheetId="3" hidden="1">{#N/A,#N/A,FALSE,"1";#N/A,#N/A,FALSE,"2";#N/A,#N/A,FALSE,"16 - 17";#N/A,#N/A,FALSE,"18 - 19";#N/A,#N/A,FALSE,"26";#N/A,#N/A,FALSE,"27";#N/A,#N/A,FALSE,"28"}</definedName>
    <definedName name="wrn.ppp" localSheetId="7" hidden="1">{#N/A,#N/A,FALSE,"1";#N/A,#N/A,FALSE,"2";#N/A,#N/A,FALSE,"16 - 17";#N/A,#N/A,FALSE,"18 - 19";#N/A,#N/A,FALSE,"26";#N/A,#N/A,FALSE,"27";#N/A,#N/A,FALSE,"28"}</definedName>
    <definedName name="wrn.ppp" hidden="1">{#N/A,#N/A,FALSE,"1";#N/A,#N/A,FALSE,"2";#N/A,#N/A,FALSE,"16 - 17";#N/A,#N/A,FALSE,"18 - 19";#N/A,#N/A,FALSE,"26";#N/A,#N/A,FALSE,"27";#N/A,#N/A,FALSE,"28"}</definedName>
    <definedName name="wrn.Presentation." localSheetId="3"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 localSheetId="7"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1" localSheetId="3"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1" localSheetId="7"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ice_Effect." localSheetId="3" hidden="1">{"Comp_of_Price_Effect",#N/A,FALSE,"QTRDPVAR"}</definedName>
    <definedName name="wrn.Price_Effect." localSheetId="7" hidden="1">{"Comp_of_Price_Effect",#N/A,FALSE,"QTRDPVAR"}</definedName>
    <definedName name="wrn.Price_Effect." hidden="1">{"Comp_of_Price_Effect",#N/A,FALSE,"QTRDPVAR"}</definedName>
    <definedName name="wrn.prin2._.all." localSheetId="3" hidden="1">{#N/A,#N/A,FALSE,"Pharm";#N/A,#N/A,FALSE,"WWCM"}</definedName>
    <definedName name="wrn.prin2._.all." localSheetId="7" hidden="1">{#N/A,#N/A,FALSE,"Pharm";#N/A,#N/A,FALSE,"WWCM"}</definedName>
    <definedName name="wrn.prin2._.all." hidden="1">{#N/A,#N/A,FALSE,"Pharm";#N/A,#N/A,FALSE,"WWCM"}</definedName>
    <definedName name="wrn.prin3" localSheetId="3" hidden="1">{#N/A,#N/A,FALSE,"Pharm";#N/A,#N/A,FALSE,"WWCM"}</definedName>
    <definedName name="wrn.prin3" localSheetId="7" hidden="1">{#N/A,#N/A,FALSE,"Pharm";#N/A,#N/A,FALSE,"WWCM"}</definedName>
    <definedName name="wrn.prin3" hidden="1">{#N/A,#N/A,FALSE,"Pharm";#N/A,#N/A,FALSE,"WWCM"}</definedName>
    <definedName name="wrn.print" localSheetId="3" hidden="1">{#N/A,#N/A,FALSE,"Pharm";#N/A,#N/A,FALSE,"WWCM"}</definedName>
    <definedName name="wrn.print" localSheetId="7" hidden="1">{#N/A,#N/A,FALSE,"Pharm";#N/A,#N/A,FALSE,"WWCM"}</definedName>
    <definedName name="wrn.print" hidden="1">{#N/A,#N/A,FALSE,"Pharm";#N/A,#N/A,FALSE,"WWCM"}</definedName>
    <definedName name="wrn.PRINT." localSheetId="3" hidden="1">{#N/A,#N/A,FALSE,"Assum";#N/A,#N/A,FALSE,"IS";#N/A,#N/A,FALSE,"Op-BS";#N/A,#N/A,FALSE,"BSCF";#N/A,#N/A,FALSE,"Brad_IS";#N/A,#N/A,FALSE,"Brad_BSCF";#N/A,#N/A,FALSE,"Nick_IS";#N/A,#N/A,FALSE,"Nick_BSCF";#N/A,#N/A,FALSE,"Mobile_IS";#N/A,#N/A,FALSE,"Mobile_BSCF";#N/A,#N/A,FALSE,"Syn+Elim";#N/A,#N/A,FALSE,"Ratings"}</definedName>
    <definedName name="wrn.PRINT." localSheetId="7" hidden="1">{#N/A,#N/A,FALSE,"Assum";#N/A,#N/A,FALSE,"IS";#N/A,#N/A,FALSE,"Op-BS";#N/A,#N/A,FALSE,"BSCF";#N/A,#N/A,FALSE,"Brad_IS";#N/A,#N/A,FALSE,"Brad_BSCF";#N/A,#N/A,FALSE,"Nick_IS";#N/A,#N/A,FALSE,"Nick_BSCF";#N/A,#N/A,FALSE,"Mobile_IS";#N/A,#N/A,FALSE,"Mobile_BSCF";#N/A,#N/A,FALSE,"Syn+Elim";#N/A,#N/A,FALSE,"Ratings"}</definedName>
    <definedName name="wrn.PRINT." hidden="1">{#N/A,#N/A,FALSE,"Assum";#N/A,#N/A,FALSE,"IS";#N/A,#N/A,FALSE,"Op-BS";#N/A,#N/A,FALSE,"BSCF";#N/A,#N/A,FALSE,"Brad_IS";#N/A,#N/A,FALSE,"Brad_BSCF";#N/A,#N/A,FALSE,"Nick_IS";#N/A,#N/A,FALSE,"Nick_BSCF";#N/A,#N/A,FALSE,"Mobile_IS";#N/A,#N/A,FALSE,"Mobile_BSCF";#N/A,#N/A,FALSE,"Syn+Elim";#N/A,#N/A,FALSE,"Ratings"}</definedName>
    <definedName name="wrn.PRINT._.ALL." localSheetId="3" hidden="1">{#N/A,#N/A,FALSE,"Pharm";#N/A,#N/A,FALSE,"WWCM"}</definedName>
    <definedName name="wrn.PRINT._.ALL." localSheetId="7" hidden="1">{#N/A,#N/A,FALSE,"Pharm";#N/A,#N/A,FALSE,"WWCM"}</definedName>
    <definedName name="wrn.PRINT._.ALL." hidden="1">{#N/A,#N/A,FALSE,"Pharm";#N/A,#N/A,FALSE,"WWCM"}</definedName>
    <definedName name="wrn.Print._.All._.Output." localSheetId="3" hidden="1">{"Public Market Overview",#N/A,TRUE,"PMO";"Transaction assumptions",#N/A,TRUE,"Transaction Inputs";"Pro forma I/S and S/CF",#N/A,TRUE,"IS and CF";"Goodwill calculations",#N/A,TRUE,"Asset Write-up";"Pro forma acc-dil",#N/A,TRUE,"ACC-DIL";"Public Market Overview",#N/A,TRUE,"PMO";"Trading comparables",#N/A,TRUE,"Public Market Stats";"Pro forma Credit Statistics",#N/A,TRUE,"Credit Stats";"At Various Prices (AVP)",#N/A,TRUE,"AVP";"Contribution Analysis",#N/A,TRUE,"Contribution";"Value creation",#N/A,TRUE,"Value Creation";"Trading comparables",#N/A,TRUE,"Peer Comparables Analysis"}</definedName>
    <definedName name="wrn.Print._.All._.Output." localSheetId="7" hidden="1">{"Public Market Overview",#N/A,TRUE,"PMO";"Transaction assumptions",#N/A,TRUE,"Transaction Inputs";"Pro forma I/S and S/CF",#N/A,TRUE,"IS and CF";"Goodwill calculations",#N/A,TRUE,"Asset Write-up";"Pro forma acc-dil",#N/A,TRUE,"ACC-DIL";"Public Market Overview",#N/A,TRUE,"PMO";"Trading comparables",#N/A,TRUE,"Public Market Stats";"Pro forma Credit Statistics",#N/A,TRUE,"Credit Stats";"At Various Prices (AVP)",#N/A,TRUE,"AVP";"Contribution Analysis",#N/A,TRUE,"Contribution";"Value creation",#N/A,TRUE,"Value Creation";"Trading comparables",#N/A,TRUE,"Peer Comparables Analysis"}</definedName>
    <definedName name="wrn.Print._.All._.Output." hidden="1">{"Public Market Overview",#N/A,TRUE,"PMO";"Transaction assumptions",#N/A,TRUE,"Transaction Inputs";"Pro forma I/S and S/CF",#N/A,TRUE,"IS and CF";"Goodwill calculations",#N/A,TRUE,"Asset Write-up";"Pro forma acc-dil",#N/A,TRUE,"ACC-DIL";"Public Market Overview",#N/A,TRUE,"PMO";"Trading comparables",#N/A,TRUE,"Public Market Stats";"Pro forma Credit Statistics",#N/A,TRUE,"Credit Stats";"At Various Prices (AVP)",#N/A,TRUE,"AVP";"Contribution Analysis",#N/A,TRUE,"Contribution";"Value creation",#N/A,TRUE,"Value Creation";"Trading comparables",#N/A,TRUE,"Peer Comparables Analysis"}</definedName>
    <definedName name="wrn.PRINT._.ALL.2" localSheetId="3" hidden="1">{#N/A,#N/A,FALSE,"Pharm";#N/A,#N/A,FALSE,"WWCM"}</definedName>
    <definedName name="wrn.PRINT._.ALL.2" localSheetId="7" hidden="1">{#N/A,#N/A,FALSE,"Pharm";#N/A,#N/A,FALSE,"WWCM"}</definedName>
    <definedName name="wrn.PRINT._.ALL.2" hidden="1">{#N/A,#N/A,FALSE,"Pharm";#N/A,#N/A,FALSE,"WWCM"}</definedName>
    <definedName name="wrn.print._.all2" localSheetId="3" hidden="1">{#N/A,#N/A,FALSE,"Pharm";#N/A,#N/A,FALSE,"WWCM"}</definedName>
    <definedName name="wrn.print._.all2" localSheetId="7" hidden="1">{#N/A,#N/A,FALSE,"Pharm";#N/A,#N/A,FALSE,"WWCM"}</definedName>
    <definedName name="wrn.print._.all2" hidden="1">{#N/A,#N/A,FALSE,"Pharm";#N/A,#N/A,FALSE,"WWCM"}</definedName>
    <definedName name="wrn.print._.graphs." localSheetId="3" hidden="1">{"cap_structure",#N/A,FALSE,"Graph-Mkt Cap";"price",#N/A,FALSE,"Graph-Price";"ebit",#N/A,FALSE,"Graph-EBITDA";"ebitda",#N/A,FALSE,"Graph-EBITDA"}</definedName>
    <definedName name="wrn.print._.graphs." localSheetId="7"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3" hidden="1">{"inputs raw data",#N/A,TRUE,"INPUT"}</definedName>
    <definedName name="wrn.print._.raw._.data._.entry." localSheetId="7" hidden="1">{"inputs raw data",#N/A,TRUE,"INPUT"}</definedName>
    <definedName name="wrn.print._.raw._.data._.entry." hidden="1">{"inputs raw data",#N/A,TRUE,"INPUT"}</definedName>
    <definedName name="wrn.print._.raw._data._.entry2." localSheetId="3" hidden="1">{"inputs raw data",#N/A,TRUE,"INPUT"}</definedName>
    <definedName name="wrn.print._.raw._data._.entry2." localSheetId="7" hidden="1">{"inputs raw data",#N/A,TRUE,"INPUT"}</definedName>
    <definedName name="wrn.print._.raw._data._.entry2." hidden="1">{"inputs raw data",#N/A,TRUE,"INPUT"}</definedName>
    <definedName name="wrn.Print._.Report." localSheetId="3"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 localSheetId="7"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summary._.sheets." localSheetId="3" hidden="1">{"summary1",#N/A,TRUE,"Comps";"summary2",#N/A,TRUE,"Comps";"summary3",#N/A,TRUE,"Comps"}</definedName>
    <definedName name="wrn.print._.summary._.sheets." localSheetId="7" hidden="1">{"summary1",#N/A,TRUE,"Comps";"summary2",#N/A,TRUE,"Comps";"summary3",#N/A,TRUE,"Comps"}</definedName>
    <definedName name="wrn.print._.summary._.sheets." hidden="1">{"summary1",#N/A,TRUE,"Comps";"summary2",#N/A,TRUE,"Comps";"summary3",#N/A,TRUE,"Comps"}</definedName>
    <definedName name="wrn.print._.summary._.sheets.2" localSheetId="3" hidden="1">{"summary1",#N/A,TRUE,"Comps";"summary2",#N/A,TRUE,"Comps";"summary3",#N/A,TRUE,"Comps"}</definedName>
    <definedName name="wrn.print._.summary._.sheets.2" localSheetId="7" hidden="1">{"summary1",#N/A,TRUE,"Comps";"summary2",#N/A,TRUE,"Comps";"summary3",#N/A,TRUE,"Comps"}</definedName>
    <definedName name="wrn.print._.summary._.sheets.2" hidden="1">{"summary1",#N/A,TRUE,"Comps";"summary2",#N/A,TRUE,"Comps";"summary3",#N/A,TRUE,"Comps"}</definedName>
    <definedName name="wrn.print._all1." localSheetId="3" hidden="1">{#N/A,#N/A,FALSE,"Pharm";#N/A,#N/A,FALSE,"WWCM"}</definedName>
    <definedName name="wrn.print._all1." localSheetId="7" hidden="1">{#N/A,#N/A,FALSE,"Pharm";#N/A,#N/A,FALSE,"WWCM"}</definedName>
    <definedName name="wrn.print._all1." hidden="1">{#N/A,#N/A,FALSE,"Pharm";#N/A,#N/A,FALSE,"WWCM"}</definedName>
    <definedName name="wrn.Print_all." localSheetId="3" hidden="1">{"APF",#N/A,FALSE,"Bfc98-1";"APG",#N/A,FALSE,"Bfc98-1";"APND",#N/A,FALSE,"Bfc98-1";"APSA",#N/A,FALSE,"Bfc98-1";"lhy",#N/A,FALSE,"Bfc98-1";"PEC",#N/A,FALSE,"Bfc98-1"}</definedName>
    <definedName name="wrn.Print_all." localSheetId="7" hidden="1">{"APF",#N/A,FALSE,"Bfc98-1";"APG",#N/A,FALSE,"Bfc98-1";"APND",#N/A,FALSE,"Bfc98-1";"APSA",#N/A,FALSE,"Bfc98-1";"lhy",#N/A,FALSE,"Bfc98-1";"PEC",#N/A,FALSE,"Bfc98-1"}</definedName>
    <definedName name="wrn.Print_all." hidden="1">{"APF",#N/A,FALSE,"Bfc98-1";"APG",#N/A,FALSE,"Bfc98-1";"APND",#N/A,FALSE,"Bfc98-1";"APSA",#N/A,FALSE,"Bfc98-1";"lhy",#N/A,FALSE,"Bfc98-1";"PEC",#N/A,FALSE,"Bfc98-1"}</definedName>
    <definedName name="wrn.Print_Buyer." localSheetId="3" hidden="1">{#N/A,"DR",FALSE,"increm pf";#N/A,"MAMSI",FALSE,"increm pf";#N/A,"MAXI",FALSE,"increm pf";#N/A,"PCAM",FALSE,"increm pf";#N/A,"PHSV",FALSE,"increm pf";#N/A,"SIE",FALSE,"increm pf"}</definedName>
    <definedName name="wrn.Print_Buyer." localSheetId="7"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maxitel." localSheetId="3" hidden="1">{#N/A,#N/A,TRUE,"Summary ($R)";#N/A,#N/A,TRUE,"Summary (US$)";#N/A,#N/A,TRUE,"Drivers - Area 4";#N/A,#N/A,TRUE,"Drivers - Area 9";#N/A,#N/A,TRUE,"I S";#N/A,#N/A,TRUE,"B S";#N/A,#N/A,TRUE,"C F";#N/A,#N/A,TRUE,"Debt_Repayment";#N/A,#N/A,TRUE,"Ratio_Analysis";#N/A,#N/A,TRUE,"Sensitivities"}</definedName>
    <definedName name="wrn.print_maxitel." localSheetId="7" hidden="1">{#N/A,#N/A,TRUE,"Summary ($R)";#N/A,#N/A,TRUE,"Summary (US$)";#N/A,#N/A,TRUE,"Drivers - Area 4";#N/A,#N/A,TRUE,"Drivers - Area 9";#N/A,#N/A,TRUE,"I S";#N/A,#N/A,TRUE,"B S";#N/A,#N/A,TRUE,"C F";#N/A,#N/A,TRUE,"Debt_Repayment";#N/A,#N/A,TRUE,"Ratio_Analysis";#N/A,#N/A,TRUE,"Sensitivities"}</definedName>
    <definedName name="wrn.print_maxitel." hidden="1">{#N/A,#N/A,TRUE,"Summary ($R)";#N/A,#N/A,TRUE,"Summary (US$)";#N/A,#N/A,TRUE,"Drivers - Area 4";#N/A,#N/A,TRUE,"Drivers - Area 9";#N/A,#N/A,TRUE,"I S";#N/A,#N/A,TRUE,"B S";#N/A,#N/A,TRUE,"C F";#N/A,#N/A,TRUE,"Debt_Repayment";#N/A,#N/A,TRUE,"Ratio_Analysis";#N/A,#N/A,TRUE,"Sensitivities"}</definedName>
    <definedName name="wrn.Print_Target." localSheetId="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7"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2" localSheetId="3" hidden="1">{#N/A,#N/A,FALSE,"Pharm";#N/A,#N/A,FALSE,"WWCM"}</definedName>
    <definedName name="wrn.print2" localSheetId="7" hidden="1">{#N/A,#N/A,FALSE,"Pharm";#N/A,#N/A,FALSE,"WWCM"}</definedName>
    <definedName name="wrn.print2" hidden="1">{#N/A,#N/A,FALSE,"Pharm";#N/A,#N/A,FALSE,"WWCM"}</definedName>
    <definedName name="wrn.Printall." localSheetId="3"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wrn.Printall." localSheetId="7"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wrn.Printall."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wrn.printqtr." localSheetId="3" hidden="1">{"nytasecond",#N/A,FALSE,"NYTQTRS";"nytafirst",#N/A,FALSE,"NYTQTRS";"nytathird",#N/A,FALSE,"NYTQTRS";"nytafourth",#N/A,FALSE,"NYTQTRS";"nytafull",#N/A,FALSE,"NYTQTRS"}</definedName>
    <definedName name="wrn.printqtr." localSheetId="7" hidden="1">{"nytasecond",#N/A,FALSE,"NYTQTRS";"nytafirst",#N/A,FALSE,"NYTQTRS";"nytathird",#N/A,FALSE,"NYTQTRS";"nytafourth",#N/A,FALSE,"NYTQTRS";"nytafull",#N/A,FALSE,"NYTQTRS"}</definedName>
    <definedName name="wrn.printqtr." hidden="1">{"nytasecond",#N/A,FALSE,"NYTQTRS";"nytafirst",#N/A,FALSE,"NYTQTRS";"nytathird",#N/A,FALSE,"NYTQTRS";"nytafourth",#N/A,FALSE,"NYTQTRS";"nytafull",#N/A,FALSE,"NYTQTRS"}</definedName>
    <definedName name="wrn.PRODUCTION._.COSTS." localSheetId="3" hidden="1">{"PRODUCTION COSTS",#N/A,FALSE,"C.CENTRE"}</definedName>
    <definedName name="wrn.PRODUCTION._.COSTS." localSheetId="7" hidden="1">{"PRODUCTION COSTS",#N/A,FALSE,"C.CENTRE"}</definedName>
    <definedName name="wrn.PRODUCTION._.COSTS." hidden="1">{"PRODUCTION COSTS",#N/A,FALSE,"C.CENTRE"}</definedName>
    <definedName name="wrn.products" localSheetId="3" hidden="1">{#N/A,#N/A,FALSE,"1";#N/A,#N/A,FALSE,"2";#N/A,#N/A,FALSE,"16 - 17";#N/A,#N/A,FALSE,"18 - 19";#N/A,#N/A,FALSE,"26";#N/A,#N/A,FALSE,"27";#N/A,#N/A,FALSE,"28"}</definedName>
    <definedName name="wrn.products" localSheetId="7" hidden="1">{#N/A,#N/A,FALSE,"1";#N/A,#N/A,FALSE,"2";#N/A,#N/A,FALSE,"16 - 17";#N/A,#N/A,FALSE,"18 - 19";#N/A,#N/A,FALSE,"26";#N/A,#N/A,FALSE,"27";#N/A,#N/A,FALSE,"28"}</definedName>
    <definedName name="wrn.products" hidden="1">{#N/A,#N/A,FALSE,"1";#N/A,#N/A,FALSE,"2";#N/A,#N/A,FALSE,"16 - 17";#N/A,#N/A,FALSE,"18 - 19";#N/A,#N/A,FALSE,"26";#N/A,#N/A,FALSE,"27";#N/A,#N/A,FALSE,"28"}</definedName>
    <definedName name="wrn.Products." localSheetId="3" hidden="1">{#N/A,#N/A,FALSE,"1";#N/A,#N/A,FALSE,"2";#N/A,#N/A,FALSE,"16 - 17";#N/A,#N/A,FALSE,"18 - 19";#N/A,#N/A,FALSE,"26";#N/A,#N/A,FALSE,"27";#N/A,#N/A,FALSE,"28"}</definedName>
    <definedName name="wrn.Products." localSheetId="7" hidden="1">{#N/A,#N/A,FALSE,"1";#N/A,#N/A,FALSE,"2";#N/A,#N/A,FALSE,"16 - 17";#N/A,#N/A,FALSE,"18 - 19";#N/A,#N/A,FALSE,"26";#N/A,#N/A,FALSE,"27";#N/A,#N/A,FALSE,"28"}</definedName>
    <definedName name="wrn.Products." hidden="1">{#N/A,#N/A,FALSE,"1";#N/A,#N/A,FALSE,"2";#N/A,#N/A,FALSE,"16 - 17";#N/A,#N/A,FALSE,"18 - 19";#N/A,#N/A,FALSE,"26";#N/A,#N/A,FALSE,"27";#N/A,#N/A,FALSE,"28"}</definedName>
    <definedName name="wrn.Profile." localSheetId="3" hidden="1">{"Profile",#N/A,FALSE,"BXS"}</definedName>
    <definedName name="wrn.Profile." localSheetId="7" hidden="1">{"Profile",#N/A,FALSE,"BXS"}</definedName>
    <definedName name="wrn.Profile." hidden="1">{"Profile",#N/A,FALSE,"BXS"}</definedName>
    <definedName name="wrn.PROFIT._.LOSS._.AC." localSheetId="3" hidden="1">{"PROFIT LOSS AC",#N/A,FALSE,"P&amp;L FY97"}</definedName>
    <definedName name="wrn.PROFIT._.LOSS._.AC." localSheetId="7" hidden="1">{"PROFIT LOSS AC",#N/A,FALSE,"P&amp;L FY97"}</definedName>
    <definedName name="wrn.PROFIT._.LOSS._.AC." hidden="1">{"PROFIT LOSS AC",#N/A,FALSE,"P&amp;L FY97"}</definedName>
    <definedName name="wrn.Proforma." localSheetId="3" hidden="1">{"icd","icd",FALSE,"PROFORMA.XLS";"poly","poly",FALSE,"PROFORMA.XLS";"purper","purper",FALSE,"PROFORMA.XLS";"tchem","tchem",FALSE,"PROFORMA.XLS"}</definedName>
    <definedName name="wrn.Proforma." localSheetId="7" hidden="1">{"icd","icd",FALSE,"PROFORMA.XLS";"poly","poly",FALSE,"PROFORMA.XLS";"purper","purper",FALSE,"PROFORMA.XLS";"tchem","tchem",FALSE,"PROFORMA.XLS"}</definedName>
    <definedName name="wrn.Proforma." hidden="1">{"icd","icd",FALSE,"PROFORMA.XLS";"poly","poly",FALSE,"PROFORMA.XLS";"purper","purper",FALSE,"PROFORMA.XLS";"tchem","tchem",FALSE,"PROFORMA.XLS"}</definedName>
    <definedName name="wrn.PROFORMA._.CHECK._.BY._.DIVISION." localSheetId="3" hidden="1">{"PROFORMA CHECK BY DIVISION",#N/A,FALSE,"BSALLNOW.XLS"}</definedName>
    <definedName name="wrn.PROFORMA._.CHECK._.BY._.DIVISION." localSheetId="7" hidden="1">{"PROFORMA CHECK BY DIVISION",#N/A,FALSE,"BSALLNOW.XLS"}</definedName>
    <definedName name="wrn.PROFORMA._.CHECK._.BY._.DIVISION." hidden="1">{"PROFORMA CHECK BY DIVISION",#N/A,FALSE,"BSALLNOW.XLS"}</definedName>
    <definedName name="wrn.Project._.Summary." localSheetId="3" hidden="1">{"Summary",#N/A,FALSE,"MICMULT";"Income Statement",#N/A,FALSE,"MICMULT";"Cash Flows",#N/A,FALSE,"MICMULT"}</definedName>
    <definedName name="wrn.Project._.Summary." localSheetId="7" hidden="1">{"Summary",#N/A,FALSE,"MICMULT";"Income Statement",#N/A,FALSE,"MICMULT";"Cash Flows",#N/A,FALSE,"MICMULT"}</definedName>
    <definedName name="wrn.Project._.Summary." hidden="1">{"Summary",#N/A,FALSE,"MICMULT";"Income Statement",#N/A,FALSE,"MICMULT";"Cash Flows",#N/A,FALSE,"MICMULT"}</definedName>
    <definedName name="wrn.pror" localSheetId="3" hidden="1">{#N/A,#N/A,FALSE,"Pharm";#N/A,#N/A,FALSE,"WWCM"}</definedName>
    <definedName name="wrn.pror" localSheetId="7" hidden="1">{#N/A,#N/A,FALSE,"Pharm";#N/A,#N/A,FALSE,"WWCM"}</definedName>
    <definedName name="wrn.pror" hidden="1">{#N/A,#N/A,FALSE,"Pharm";#N/A,#N/A,FALSE,"WWCM"}</definedName>
    <definedName name="wrn.PUCSPADD." localSheetId="3" hidden="1">{#N/A,"PURCHM",FALSE,"Business Analysis";#N/A,"SPADD",FALSE,"Business Analysis"}</definedName>
    <definedName name="wrn.PUCSPADD." localSheetId="7" hidden="1">{#N/A,"PURCHM",FALSE,"Business Analysis";#N/A,"SPADD",FALSE,"Business Analysis"}</definedName>
    <definedName name="wrn.PUCSPADD." hidden="1">{#N/A,"PURCHM",FALSE,"Business Analysis";#N/A,"SPADD",FALSE,"Business Analysis"}</definedName>
    <definedName name="wrn.PUCSPADD.2" localSheetId="3" hidden="1">{#N/A,"PURCHM",FALSE,"Business Analysis";#N/A,"SPADD",FALSE,"Business Analysis"}</definedName>
    <definedName name="wrn.PUCSPADD.2" localSheetId="7" hidden="1">{#N/A,"PURCHM",FALSE,"Business Analysis";#N/A,"SPADD",FALSE,"Business Analysis"}</definedName>
    <definedName name="wrn.PUCSPADD.2" hidden="1">{#N/A,"PURCHM",FALSE,"Business Analysis";#N/A,"SPADD",FALSE,"Business Analysis"}</definedName>
    <definedName name="wrn.pucspadd1" localSheetId="3" hidden="1">{#N/A,"PURCHM",FALSE,"Business Analysis";#N/A,"SPADD",FALSE,"Business Analysis"}</definedName>
    <definedName name="wrn.pucspadd1" localSheetId="7" hidden="1">{#N/A,"PURCHM",FALSE,"Business Analysis";#N/A,"SPADD",FALSE,"Business Analysis"}</definedName>
    <definedName name="wrn.pucspadd1" hidden="1">{#N/A,"PURCHM",FALSE,"Business Analysis";#N/A,"SPADD",FALSE,"Business Analysis"}</definedName>
    <definedName name="wrn.pucspadd10" localSheetId="3" hidden="1">{#N/A,"PURCHM",FALSE,"Business Analysis";#N/A,"SPADD",FALSE,"Business Analysis"}</definedName>
    <definedName name="wrn.pucspadd10" localSheetId="7" hidden="1">{#N/A,"PURCHM",FALSE,"Business Analysis";#N/A,"SPADD",FALSE,"Business Analysis"}</definedName>
    <definedName name="wrn.pucspadd10" hidden="1">{#N/A,"PURCHM",FALSE,"Business Analysis";#N/A,"SPADD",FALSE,"Business Analysis"}</definedName>
    <definedName name="wrn.pucspadd102" localSheetId="3" hidden="1">{#N/A,"PURCHM",FALSE,"Business Analysis";#N/A,"SPADD",FALSE,"Business Analysis"}</definedName>
    <definedName name="wrn.pucspadd102" localSheetId="7" hidden="1">{#N/A,"PURCHM",FALSE,"Business Analysis";#N/A,"SPADD",FALSE,"Business Analysis"}</definedName>
    <definedName name="wrn.pucspadd102" hidden="1">{#N/A,"PURCHM",FALSE,"Business Analysis";#N/A,"SPADD",FALSE,"Business Analysis"}</definedName>
    <definedName name="wrn.pucspadd11" localSheetId="3" hidden="1">{#N/A,"PURCHM",FALSE,"Business Analysis";#N/A,"SPADD",FALSE,"Business Analysis"}</definedName>
    <definedName name="wrn.pucspadd11" localSheetId="7" hidden="1">{#N/A,"PURCHM",FALSE,"Business Analysis";#N/A,"SPADD",FALSE,"Business Analysis"}</definedName>
    <definedName name="wrn.pucspadd11" hidden="1">{#N/A,"PURCHM",FALSE,"Business Analysis";#N/A,"SPADD",FALSE,"Business Analysis"}</definedName>
    <definedName name="wrn.pucspadd12" localSheetId="3" hidden="1">{#N/A,"PURCHM",FALSE,"Business Analysis";#N/A,"SPADD",FALSE,"Business Analysis"}</definedName>
    <definedName name="wrn.pucspadd12" localSheetId="7" hidden="1">{#N/A,"PURCHM",FALSE,"Business Analysis";#N/A,"SPADD",FALSE,"Business Analysis"}</definedName>
    <definedName name="wrn.pucspadd12" hidden="1">{#N/A,"PURCHM",FALSE,"Business Analysis";#N/A,"SPADD",FALSE,"Business Analysis"}</definedName>
    <definedName name="wrn.pucspadd31" localSheetId="3" hidden="1">{#N/A,"PURCHM",FALSE,"Business Analysis";#N/A,"SPADD",FALSE,"Business Analysis"}</definedName>
    <definedName name="wrn.pucspadd31" localSheetId="7" hidden="1">{#N/A,"PURCHM",FALSE,"Business Analysis";#N/A,"SPADD",FALSE,"Business Analysis"}</definedName>
    <definedName name="wrn.pucspadd31" hidden="1">{#N/A,"PURCHM",FALSE,"Business Analysis";#N/A,"SPADD",FALSE,"Business Analysis"}</definedName>
    <definedName name="wrn.Pucspadd34" localSheetId="3" hidden="1">{#N/A,"PURCHM",FALSE,"Business Analysis";#N/A,"SPADD",FALSE,"Business Analysis"}</definedName>
    <definedName name="wrn.Pucspadd34" localSheetId="7" hidden="1">{#N/A,"PURCHM",FALSE,"Business Analysis";#N/A,"SPADD",FALSE,"Business Analysis"}</definedName>
    <definedName name="wrn.Pucspadd34" hidden="1">{#N/A,"PURCHM",FALSE,"Business Analysis";#N/A,"SPADD",FALSE,"Business Analysis"}</definedName>
    <definedName name="wrn.PUCSPADD35" localSheetId="3" hidden="1">{#N/A,"PURCHM",FALSE,"Business Analysis";#N/A,"SPADD",FALSE,"Business Analysis"}</definedName>
    <definedName name="wrn.PUCSPADD35" localSheetId="7" hidden="1">{#N/A,"PURCHM",FALSE,"Business Analysis";#N/A,"SPADD",FALSE,"Business Analysis"}</definedName>
    <definedName name="wrn.PUCSPADD35" hidden="1">{#N/A,"PURCHM",FALSE,"Business Analysis";#N/A,"SPADD",FALSE,"Business Analysis"}</definedName>
    <definedName name="wrn.Pulp." localSheetId="3" hidden="1">{"Pulp Production",#N/A,FALSE,"Pulp";"Pulp Earnings",#N/A,FALSE,"Pulp"}</definedName>
    <definedName name="wrn.Pulp." localSheetId="7" hidden="1">{"Pulp Production",#N/A,FALSE,"Pulp";"Pulp Earnings",#N/A,FALSE,"Pulp"}</definedName>
    <definedName name="wrn.Pulp." hidden="1">{"Pulp Production",#N/A,FALSE,"Pulp";"Pulp Earnings",#N/A,FALSE,"Pulp"}</definedName>
    <definedName name="wrn.QTD." localSheetId="3" hidden="1">{"QTD",#N/A,FALSE,"SUM"}</definedName>
    <definedName name="wrn.QTD." localSheetId="7" hidden="1">{"QTD",#N/A,FALSE,"SUM"}</definedName>
    <definedName name="wrn.QTD." hidden="1">{"QTD",#N/A,FALSE,"SUM"}</definedName>
    <definedName name="wrn.QTD_ALL." localSheetId="3" hidden="1">{"QTD_LPO2N2",#N/A,FALSE,"QTD";"QTD_HYCO",#N/A,FALSE,"QTD";"QTD_LOUISIANA",#N/A,FALSE,"QTD";"QTD_GENERALH2",#N/A,FALSE,"QTD";"QTD_PACKAGE",#N/A,FALSE,"QTD";"QTD_PRS",#N/A,FALSE,"QTD";"QTD_OTHER",#N/A,FALSE,"QTD"}</definedName>
    <definedName name="wrn.QTD_ALL." localSheetId="7" hidden="1">{"QTD_LPO2N2",#N/A,FALSE,"QTD";"QTD_HYCO",#N/A,FALSE,"QTD";"QTD_LOUISIANA",#N/A,FALSE,"QTD";"QTD_GENERALH2",#N/A,FALSE,"QTD";"QTD_PACKAGE",#N/A,FALSE,"QTD";"QTD_PRS",#N/A,FALSE,"QTD";"QTD_OTHER",#N/A,FALSE,"QTD"}</definedName>
    <definedName name="wrn.QTD_ALL." hidden="1">{"QTD_LPO2N2",#N/A,FALSE,"QTD";"QTD_HYCO",#N/A,FALSE,"QTD";"QTD_LOUISIANA",#N/A,FALSE,"QTD";"QTD_GENERALH2",#N/A,FALSE,"QTD";"QTD_PACKAGE",#N/A,FALSE,"QTD";"QTD_PRS",#N/A,FALSE,"QTD";"QTD_OTHER",#N/A,FALSE,"QTD"}</definedName>
    <definedName name="wrn.QTD_GENERAL._.H2." localSheetId="3" hidden="1">{"QTD_GENERALH2",#N/A,FALSE,"QTD"}</definedName>
    <definedName name="wrn.QTD_GENERAL._.H2." localSheetId="7" hidden="1">{"QTD_GENERALH2",#N/A,FALSE,"QTD"}</definedName>
    <definedName name="wrn.QTD_GENERAL._.H2." hidden="1">{"QTD_GENERALH2",#N/A,FALSE,"QTD"}</definedName>
    <definedName name="wrn.QTD_HYCO." localSheetId="3" hidden="1">{"QTD_HYCO",#N/A,FALSE,"QTD"}</definedName>
    <definedName name="wrn.QTD_HYCO." localSheetId="7" hidden="1">{"QTD_HYCO",#N/A,FALSE,"QTD"}</definedName>
    <definedName name="wrn.QTD_HYCO." hidden="1">{"QTD_HYCO",#N/A,FALSE,"QTD"}</definedName>
    <definedName name="wrn.QTD_LOUISIANA." localSheetId="3" hidden="1">{"QTD_LOUISIANA",#N/A,FALSE,"QTD"}</definedName>
    <definedName name="wrn.QTD_LOUISIANA." localSheetId="7" hidden="1">{"QTD_LOUISIANA",#N/A,FALSE,"QTD"}</definedName>
    <definedName name="wrn.QTD_LOUISIANA." hidden="1">{"QTD_LOUISIANA",#N/A,FALSE,"QTD"}</definedName>
    <definedName name="wrn.QTD_LPTEO2N2." localSheetId="3" hidden="1">{"QTD_LPO2N2",#N/A,FALSE,"QTD"}</definedName>
    <definedName name="wrn.QTD_LPTEO2N2." localSheetId="7" hidden="1">{"QTD_LPO2N2",#N/A,FALSE,"QTD"}</definedName>
    <definedName name="wrn.QTD_LPTEO2N2." hidden="1">{"QTD_LPO2N2",#N/A,FALSE,"QTD"}</definedName>
    <definedName name="wrn.QTD_OTHER." localSheetId="3" hidden="1">{"QTD_OTHER",#N/A,FALSE,"QTD"}</definedName>
    <definedName name="wrn.QTD_OTHER." localSheetId="7" hidden="1">{"QTD_OTHER",#N/A,FALSE,"QTD"}</definedName>
    <definedName name="wrn.QTD_OTHER." hidden="1">{"QTD_OTHER",#N/A,FALSE,"QTD"}</definedName>
    <definedName name="wrn.QTD_PACKAGE." localSheetId="3" hidden="1">{"QTD_PACKAGE",#N/A,FALSE,"QTD"}</definedName>
    <definedName name="wrn.QTD_PACKAGE." localSheetId="7" hidden="1">{"QTD_PACKAGE",#N/A,FALSE,"QTD"}</definedName>
    <definedName name="wrn.QTD_PACKAGE." hidden="1">{"QTD_PACKAGE",#N/A,FALSE,"QTD"}</definedName>
    <definedName name="wrn.QTD_PRS." localSheetId="3" hidden="1">{"QTD_PRS",#N/A,FALSE,"QTD"}</definedName>
    <definedName name="wrn.QTD_PRS." localSheetId="7" hidden="1">{"QTD_PRS",#N/A,FALSE,"QTD"}</definedName>
    <definedName name="wrn.QTD_PRS." hidden="1">{"QTD_PRS",#N/A,FALSE,"QTD"}</definedName>
    <definedName name="wrn.quart." localSheetId="3" hidden="1">{"quart",#N/A,FALSE,"quartfin"}</definedName>
    <definedName name="wrn.quart." localSheetId="7" hidden="1">{"quart",#N/A,FALSE,"quartfin"}</definedName>
    <definedName name="wrn.quart." hidden="1">{"quart",#N/A,FALSE,"quartfin"}</definedName>
    <definedName name="wrn.quartfin." localSheetId="3" hidden="1">{"quartfin",#N/A,FALSE,"quartfin"}</definedName>
    <definedName name="wrn.quartfin." localSheetId="7" hidden="1">{"quartfin",#N/A,FALSE,"quartfin"}</definedName>
    <definedName name="wrn.quartfin." hidden="1">{"quartfin",#N/A,FALSE,"quartfin"}</definedName>
    <definedName name="wrn.Quick._.Summary." localSheetId="3" hidden="1">{"Decision Memo",#N/A,TRUE,"Ratios";"IRR",#N/A,TRUE,"IRR";"Decision Memo",#N/A,TRUE,"Fin. Stat.";"Summary",#N/A,TRUE,"Debt"}</definedName>
    <definedName name="wrn.Quick._.Summary." localSheetId="7" hidden="1">{"Decision Memo",#N/A,TRUE,"Ratios";"IRR",#N/A,TRUE,"IRR";"Decision Memo",#N/A,TRUE,"Fin. Stat.";"Summary",#N/A,TRUE,"Debt"}</definedName>
    <definedName name="wrn.Quick._.Summary." hidden="1">{"Decision Memo",#N/A,TRUE,"Ratios";"IRR",#N/A,TRUE,"IRR";"Decision Memo",#N/A,TRUE,"Fin. Stat.";"Summary",#N/A,TRUE,"Debt"}</definedName>
    <definedName name="wrn.Range._.Values." localSheetId="3" hidden="1">{"page1",#N/A,FALSE,"Range Value - Incl Reclasses";"page2",#N/A,FALSE,"Range Value - Incl Reclasses";"page3",#N/A,FALSE,"Range Value - Incl Reclasses"}</definedName>
    <definedName name="wrn.Range._.Values." localSheetId="7" hidden="1">{"page1",#N/A,FALSE,"Range Value - Incl Reclasses";"page2",#N/A,FALSE,"Range Value - Incl Reclasses";"page3",#N/A,FALSE,"Range Value - Incl Reclasses"}</definedName>
    <definedName name="wrn.Range._.Values." hidden="1">{"page1",#N/A,FALSE,"Range Value - Incl Reclasses";"page2",#N/A,FALSE,"Range Value - Incl Reclasses";"page3",#N/A,FALSE,"Range Value - Incl Reclasses"}</definedName>
    <definedName name="wrn.Receivables." localSheetId="3"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wrn.Receivables." localSheetId="7"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wrn.Receivables."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wrn.redo." localSheetId="3" hidden="1">{"overview",#N/A,FALSE,"summary";"net assets",#N/A,FALSE,"summary";"asset turnover",#N/A,FALSE,"summary";"orona",#N/A,FALSE,"summary"}</definedName>
    <definedName name="wrn.redo." localSheetId="7" hidden="1">{"overview",#N/A,FALSE,"summary";"net assets",#N/A,FALSE,"summary";"asset turnover",#N/A,FALSE,"summary";"orona",#N/A,FALSE,"summary"}</definedName>
    <definedName name="wrn.redo." hidden="1">{"overview",#N/A,FALSE,"summary";"net assets",#N/A,FALSE,"summary";"asset turnover",#N/A,FALSE,"summary";"orona",#N/A,FALSE,"summary"}</definedName>
    <definedName name="wrn.redo._.2." localSheetId="3" hidden="1">{"sales growth",#N/A,FALSE,"summary";"oper income",#N/A,FALSE,"summary";"oros rank",#N/A,FALSE,"summary";"net assets",#N/A,FALSE,"summary";"asset turnover",#N/A,FALSE,"summary";"orona",#N/A,FALSE,"summary"}</definedName>
    <definedName name="wrn.redo._.2." localSheetId="7" hidden="1">{"sales growth",#N/A,FALSE,"summary";"oper income",#N/A,FALSE,"summary";"oros rank",#N/A,FALSE,"summary";"net assets",#N/A,FALSE,"summary";"asset turnover",#N/A,FALSE,"summary";"orona",#N/A,FALSE,"summary"}</definedName>
    <definedName name="wrn.redo._.2." hidden="1">{"sales growth",#N/A,FALSE,"summary";"oper income",#N/A,FALSE,"summary";"oros rank",#N/A,FALSE,"summary";"net assets",#N/A,FALSE,"summary";"asset turnover",#N/A,FALSE,"summary";"orona",#N/A,FALSE,"summary"}</definedName>
    <definedName name="wrn.Relatório._.1." localSheetId="3" hidden="1">{"FS`s",#N/A,TRUE,"FS's";"Icome St",#N/A,TRUE,"Income St.";"Balance Sh",#N/A,TRUE,"Balance Sh.";"Gross Margin",#N/A,TRUE,"Gross Margin"}</definedName>
    <definedName name="wrn.Relatório._.1." localSheetId="7" hidden="1">{"FS`s",#N/A,TRUE,"FS's";"Icome St",#N/A,TRUE,"Income St.";"Balance Sh",#N/A,TRUE,"Balance Sh.";"Gross Margin",#N/A,TRUE,"Gross Margin"}</definedName>
    <definedName name="wrn.Relatório._.1." hidden="1">{"FS`s",#N/A,TRUE,"FS's";"Icome St",#N/A,TRUE,"Income St.";"Balance Sh",#N/A,TRUE,"Balance Sh.";"Gross Margin",#N/A,TRUE,"Gross Margin"}</definedName>
    <definedName name="wrn.RELATÓRIO._.CONTÁBIL." localSheetId="3" hidden="1">{#N/A,#N/A,FALSE,"COMENTARIOS";#N/A,#N/A,FALSE,"BALANÇO";#N/A,#N/A,FALSE,"RESULTADO";#N/A,#N/A,FALSE," SALDOS ATIVOS";#N/A,#N/A,FALSE,"SALDOS PASSIVOS";#N/A,#N/A,FALSE,"RECEITA DE VENDAS";#N/A,#N/A,FALSE," CPV";#N/A,#N/A,FALSE,"DESP COMERCIAIS";#N/A,#N/A,FALSE,"DESP ADM";#N/A,#N/A,FALSE,"RES FIN ";#N/A,#N/A,FALSE,"OUTRAS  OP ";#N/A,#N/A,FALSE,"RES N OP ";#N/A,#N/A,FALSE,"INTERCIAS JAN";#N/A,#N/A,FALSE,"INTERCIAS FEV";#N/A,#N/A,FALSE,"INTERCIAS MAR";#N/A,#N/A,FALSE,"INTERCIAS ABR";#N/A,#N/A,FALSE,"INTERCIAS MAI";#N/A,#N/A,FALSE,"INTERCIAS JUN";#N/A,#N/A,FALSE,"INTERCIAS JUL";#N/A,#N/A,FALSE,"INRECIAS AGO";#N/A,#N/A,FALSE,"INTERCIAS SET";#N/A,#N/A,FALSE,"INTERCIAS OUT";#N/A,#N/A,FALSE,"INTERCIAS NOV";#N/A,#N/A,FALSE,"INTERCIAS DEZ"}</definedName>
    <definedName name="wrn.RELATÓRIO._.CONTÁBIL." localSheetId="7" hidden="1">{#N/A,#N/A,FALSE,"COMENTARIOS";#N/A,#N/A,FALSE,"BALANÇO";#N/A,#N/A,FALSE,"RESULTADO";#N/A,#N/A,FALSE," SALDOS ATIVOS";#N/A,#N/A,FALSE,"SALDOS PASSIVOS";#N/A,#N/A,FALSE,"RECEITA DE VENDAS";#N/A,#N/A,FALSE," CPV";#N/A,#N/A,FALSE,"DESP COMERCIAIS";#N/A,#N/A,FALSE,"DESP ADM";#N/A,#N/A,FALSE,"RES FIN ";#N/A,#N/A,FALSE,"OUTRAS  OP ";#N/A,#N/A,FALSE,"RES N OP ";#N/A,#N/A,FALSE,"INTERCIAS JAN";#N/A,#N/A,FALSE,"INTERCIAS FEV";#N/A,#N/A,FALSE,"INTERCIAS MAR";#N/A,#N/A,FALSE,"INTERCIAS ABR";#N/A,#N/A,FALSE,"INTERCIAS MAI";#N/A,#N/A,FALSE,"INTERCIAS JUN";#N/A,#N/A,FALSE,"INTERCIAS JUL";#N/A,#N/A,FALSE,"INRECIAS AGO";#N/A,#N/A,FALSE,"INTERCIAS SET";#N/A,#N/A,FALSE,"INTERCIAS OUT";#N/A,#N/A,FALSE,"INTERCIAS NOV";#N/A,#N/A,FALSE,"INTERCIAS DEZ"}</definedName>
    <definedName name="wrn.RELATÓRIO._.CONTÁBIL." hidden="1">{#N/A,#N/A,FALSE,"COMENTARIOS";#N/A,#N/A,FALSE,"BALANÇO";#N/A,#N/A,FALSE,"RESULTADO";#N/A,#N/A,FALSE," SALDOS ATIVOS";#N/A,#N/A,FALSE,"SALDOS PASSIVOS";#N/A,#N/A,FALSE,"RECEITA DE VENDAS";#N/A,#N/A,FALSE," CPV";#N/A,#N/A,FALSE,"DESP COMERCIAIS";#N/A,#N/A,FALSE,"DESP ADM";#N/A,#N/A,FALSE,"RES FIN ";#N/A,#N/A,FALSE,"OUTRAS  OP ";#N/A,#N/A,FALSE,"RES N OP ";#N/A,#N/A,FALSE,"INTERCIAS JAN";#N/A,#N/A,FALSE,"INTERCIAS FEV";#N/A,#N/A,FALSE,"INTERCIAS MAR";#N/A,#N/A,FALSE,"INTERCIAS ABR";#N/A,#N/A,FALSE,"INTERCIAS MAI";#N/A,#N/A,FALSE,"INTERCIAS JUN";#N/A,#N/A,FALSE,"INTERCIAS JUL";#N/A,#N/A,FALSE,"INRECIAS AGO";#N/A,#N/A,FALSE,"INTERCIAS SET";#N/A,#N/A,FALSE,"INTERCIAS OUT";#N/A,#N/A,FALSE,"INTERCIAS NOV";#N/A,#N/A,FALSE,"INTERCIAS DEZ"}</definedName>
    <definedName name="wrn.repassefinal" localSheetId="0" hidden="1">{#N/A,#N/A,FALSE,"DR";#N/A,#N/A,FALSE,"DR (2)";#N/A,#N/A,FALSE,"Rateio";#N/A,#N/A,FALSE,"IRRF";#N/A,#N/A,FALSE,"Check Sum";#N/A,#N/A,FALSE,"LPD correções"}</definedName>
    <definedName name="wrn.repassefinal" localSheetId="3" hidden="1">{#N/A,#N/A,FALSE,"DR";#N/A,#N/A,FALSE,"DR (2)";#N/A,#N/A,FALSE,"Rateio";#N/A,#N/A,FALSE,"IRRF";#N/A,#N/A,FALSE,"Check Sum";#N/A,#N/A,FALSE,"LPD correções"}</definedName>
    <definedName name="wrn.repassefinal" localSheetId="7" hidden="1">{#N/A,#N/A,FALSE,"DR";#N/A,#N/A,FALSE,"DR (2)";#N/A,#N/A,FALSE,"Rateio";#N/A,#N/A,FALSE,"IRRF";#N/A,#N/A,FALSE,"Check Sum";#N/A,#N/A,FALSE,"LPD correções"}</definedName>
    <definedName name="wrn.repassefinal" hidden="1">{#N/A,#N/A,FALSE,"DR";#N/A,#N/A,FALSE,"DR (2)";#N/A,#N/A,FALSE,"Rateio";#N/A,#N/A,FALSE,"IRRF";#N/A,#N/A,FALSE,"Check Sum";#N/A,#N/A,FALSE,"LPD correções"}</definedName>
    <definedName name="wrn.RepasseFinal." localSheetId="0" hidden="1">{#N/A,#N/A,FALSE,"DR";#N/A,#N/A,FALSE,"DR (2)";#N/A,#N/A,FALSE,"Rateio";#N/A,#N/A,FALSE,"IRRF";#N/A,#N/A,FALSE,"Check Sum";#N/A,#N/A,FALSE,"LPD correções"}</definedName>
    <definedName name="wrn.RepasseFinal." localSheetId="3" hidden="1">{#N/A,#N/A,FALSE,"DR";#N/A,#N/A,FALSE,"DR (2)";#N/A,#N/A,FALSE,"Rateio";#N/A,#N/A,FALSE,"IRRF";#N/A,#N/A,FALSE,"Check Sum";#N/A,#N/A,FALSE,"LPD correções"}</definedName>
    <definedName name="wrn.RepasseFinal." localSheetId="7" hidden="1">{#N/A,#N/A,FALSE,"DR";#N/A,#N/A,FALSE,"DR (2)";#N/A,#N/A,FALSE,"Rateio";#N/A,#N/A,FALSE,"IRRF";#N/A,#N/A,FALSE,"Check Sum";#N/A,#N/A,FALSE,"LPD correções"}</definedName>
    <definedName name="wrn.RepasseFinal." hidden="1">{#N/A,#N/A,FALSE,"DR";#N/A,#N/A,FALSE,"DR (2)";#N/A,#N/A,FALSE,"Rateio";#N/A,#N/A,FALSE,"IRRF";#N/A,#N/A,FALSE,"Check Sum";#N/A,#N/A,FALSE,"LPD correções"}</definedName>
    <definedName name="wrn.Report." localSheetId="3" hidden="1">{"ReportDetail",#N/A,FALSE,"Months";"ReportSummary",#N/A,FALSE,"Avg Qtr CC - Final";"ReportDetail",#N/A,FALSE,"Avg Qtr CC - Final"}</definedName>
    <definedName name="wrn.Report." localSheetId="7" hidden="1">{"ReportDetail",#N/A,FALSE,"Months";"ReportSummary",#N/A,FALSE,"Avg Qtr CC - Final";"ReportDetail",#N/A,FALSE,"Avg Qtr CC - Final"}</definedName>
    <definedName name="wrn.Report." hidden="1">{"ReportDetail",#N/A,FALSE,"Months";"ReportSummary",#N/A,FALSE,"Avg Qtr CC - Final";"ReportDetail",#N/A,FALSE,"Avg Qtr CC - Final"}</definedName>
    <definedName name="wrn.Report_Page." localSheetId="3" hidden="1">{"Annual_Income",#N/A,FALSE,"Report Page";"Balance_Cash_Flow",#N/A,FALSE,"Report Page";"Quarterly_Income",#N/A,FALSE,"Report Page"}</definedName>
    <definedName name="wrn.Report_Page." localSheetId="7" hidden="1">{"Annual_Income",#N/A,FALSE,"Report Page";"Balance_Cash_Flow",#N/A,FALSE,"Report Page";"Quarterly_Income",#N/A,FALSE,"Report Page"}</definedName>
    <definedName name="wrn.Report_Page." hidden="1">{"Annual_Income",#N/A,FALSE,"Report Page";"Balance_Cash_Flow",#N/A,FALSE,"Report Page";"Quarterly_Income",#N/A,FALSE,"Report Page"}</definedName>
    <definedName name="wrn.report1." localSheetId="3" hidden="1">{"pro_view",#N/A,FALSE,"EEFSNAP2";"rep_view",#N/A,FALSE,"EEFSNAP2"}</definedName>
    <definedName name="wrn.report1." localSheetId="7" hidden="1">{"pro_view",#N/A,FALSE,"EEFSNAP2";"rep_view",#N/A,FALSE,"EEFSNAP2"}</definedName>
    <definedName name="wrn.report1." hidden="1">{"pro_view",#N/A,FALSE,"EEFSNAP2";"rep_view",#N/A,FALSE,"EEFSNAP2"}</definedName>
    <definedName name="wrn.RESULTADO." localSheetId="3" hidden="1">{#N/A,#N/A,FALSE,"DRE-2";#N/A,#N/A,FALSE,"DRE";#N/A,#N/A,FALSE,"ANEX-07";#N/A,#N/A,FALSE,"ANEX-08";#N/A,#N/A,FALSE,"ANEX-09";#N/A,#N/A,FALSE,"ANEX-10";#N/A,#N/A,FALSE,"ANEX-11";#N/A,#N/A,FALSE,"ANEX-12";#N/A,#N/A,FALSE,"ANEX-13";#N/A,#N/A,FALSE,"ANEX-14";#N/A,#N/A,FALSE,"BALPTR"}</definedName>
    <definedName name="wrn.RESULTADO." localSheetId="7" hidden="1">{#N/A,#N/A,FALSE,"DRE-2";#N/A,#N/A,FALSE,"DRE";#N/A,#N/A,FALSE,"ANEX-07";#N/A,#N/A,FALSE,"ANEX-08";#N/A,#N/A,FALSE,"ANEX-09";#N/A,#N/A,FALSE,"ANEX-10";#N/A,#N/A,FALSE,"ANEX-11";#N/A,#N/A,FALSE,"ANEX-12";#N/A,#N/A,FALSE,"ANEX-13";#N/A,#N/A,FALSE,"ANEX-14";#N/A,#N/A,FALSE,"BALPTR"}</definedName>
    <definedName name="wrn.RESULTADO." hidden="1">{#N/A,#N/A,FALSE,"DRE-2";#N/A,#N/A,FALSE,"DRE";#N/A,#N/A,FALSE,"ANEX-07";#N/A,#N/A,FALSE,"ANEX-08";#N/A,#N/A,FALSE,"ANEX-09";#N/A,#N/A,FALSE,"ANEX-10";#N/A,#N/A,FALSE,"ANEX-11";#N/A,#N/A,FALSE,"ANEX-12";#N/A,#N/A,FALSE,"ANEX-13";#N/A,#N/A,FALSE,"ANEX-14";#N/A,#N/A,FALSE,"BALPTR"}</definedName>
    <definedName name="wrn.Resumo." localSheetId="3" hidden="1">{"2004",#N/A,FALSE,"DEFINITIVA CASH";"2005",#N/A,FALSE,"DEFINITIVA CASH";"2006",#N/A,FALSE,"DEFINITIVA CASH"}</definedName>
    <definedName name="wrn.Resumo." localSheetId="7" hidden="1">{"2004",#N/A,FALSE,"DEFINITIVA CASH";"2005",#N/A,FALSE,"DEFINITIVA CASH";"2006",#N/A,FALSE,"DEFINITIVA CASH"}</definedName>
    <definedName name="wrn.Resumo." hidden="1">{"2004",#N/A,FALSE,"DEFINITIVA CASH";"2005",#N/A,FALSE,"DEFINITIVA CASH";"2006",#N/A,FALSE,"DEFINITIVA CASH"}</definedName>
    <definedName name="wrn.Resumo._.Divida." localSheetId="3" hidden="1">{"defnitiva1",#N/A,FALSE,"RESUMO DA DÍVIDA";"defitiva2",#N/A,FALSE,"RESUMO DA DÍVIDA";"defitiva3",#N/A,FALSE,"RESUMO DA DÍVIDA"}</definedName>
    <definedName name="wrn.Resumo._.Divida." localSheetId="7" hidden="1">{"defnitiva1",#N/A,FALSE,"RESUMO DA DÍVIDA";"defitiva2",#N/A,FALSE,"RESUMO DA DÍVIDA";"defitiva3",#N/A,FALSE,"RESUMO DA DÍVIDA"}</definedName>
    <definedName name="wrn.Resumo._.Divida." hidden="1">{"defnitiva1",#N/A,FALSE,"RESUMO DA DÍVIDA";"defitiva2",#N/A,FALSE,"RESUMO DA DÍVIDA";"defitiva3",#N/A,FALSE,"RESUMO DA DÍVIDA"}</definedName>
    <definedName name="wrn.revised._.CEC._.slides." localSheetId="3" hidden="1">{#N/A,#N/A,FALSE,"Revised cover";#N/A,#N/A,FALSE,"Trends";"main view",#N/A,FALSE,"As Reported";#N/A,#N/A,FALSE,"delegations";#N/A,#N/A,FALSE,"(un) Commited"}</definedName>
    <definedName name="wrn.revised._.CEC._.slides." localSheetId="7" hidden="1">{#N/A,#N/A,FALSE,"Revised cover";#N/A,#N/A,FALSE,"Trends";"main view",#N/A,FALSE,"As Reported";#N/A,#N/A,FALSE,"delegations";#N/A,#N/A,FALSE,"(un) Commited"}</definedName>
    <definedName name="wrn.revised._.CEC._.slides." hidden="1">{#N/A,#N/A,FALSE,"Revised cover";#N/A,#N/A,FALSE,"Trends";"main view",#N/A,FALSE,"As Reported";#N/A,#N/A,FALSE,"delegations";#N/A,#N/A,FALSE,"(un) Commited"}</definedName>
    <definedName name="wrn.sales." localSheetId="3" hidden="1">{"sales",#N/A,FALSE,"Sales";"sales existing",#N/A,FALSE,"Sales";"sales rd1",#N/A,FALSE,"Sales";"sales rd2",#N/A,FALSE,"Sales"}</definedName>
    <definedName name="wrn.sales." localSheetId="7" hidden="1">{"sales",#N/A,FALSE,"Sales";"sales existing",#N/A,FALSE,"Sales";"sales rd1",#N/A,FALSE,"Sales";"sales rd2",#N/A,FALSE,"Sales"}</definedName>
    <definedName name="wrn.sales." hidden="1">{"sales",#N/A,FALSE,"Sales";"sales existing",#N/A,FALSE,"Sales";"sales rd1",#N/A,FALSE,"Sales";"sales rd2",#N/A,FALSE,"Sales"}</definedName>
    <definedName name="wrn.salesassum." localSheetId="3" hidden="1">{"Salesass",#N/A,FALSE,"assumpt"}</definedName>
    <definedName name="wrn.salesassum." localSheetId="7" hidden="1">{"Salesass",#N/A,FALSE,"assumpt"}</definedName>
    <definedName name="wrn.salesassum." hidden="1">{"Salesass",#N/A,FALSE,"assumpt"}</definedName>
    <definedName name="wrn.Sell._.AC._.Scenarios." localSheetId="3" hidden="1">{#N/A,"Mine Allocated, Sell AC",FALSE,"INPUTS";#N/A,"All Preferred, Sell AC",FALSE,"INPUTS";#N/A,"Step Up, Sell AC",FALSE,"INPUTS"}</definedName>
    <definedName name="wrn.Sell._.AC._.Scenarios." localSheetId="7" hidden="1">{#N/A,"Mine Allocated, Sell AC",FALSE,"INPUTS";#N/A,"All Preferred, Sell AC",FALSE,"INPUTS";#N/A,"Step Up, Sell AC",FALSE,"INPUTS"}</definedName>
    <definedName name="wrn.Sell._.AC._.Scenarios." hidden="1">{#N/A,"Mine Allocated, Sell AC",FALSE,"INPUTS";#N/A,"All Preferred, Sell AC",FALSE,"INPUTS";#N/A,"Step Up, Sell AC",FALSE,"INPUTS"}</definedName>
    <definedName name="wrn.SHORT." localSheetId="3" hidden="1">{"CREDIT STATISTICS",#N/A,FALSE,"STATS";"CF_AND_IS",#N/A,FALSE,"PLAN";"BALSHEET",#N/A,FALSE,"BALANCE SHEET"}</definedName>
    <definedName name="wrn.SHORT." localSheetId="7" hidden="1">{"CREDIT STATISTICS",#N/A,FALSE,"STATS";"CF_AND_IS",#N/A,FALSE,"PLAN";"BALSHEET",#N/A,FALSE,"BALANCE SHEET"}</definedName>
    <definedName name="wrn.SHORT." hidden="1">{"CREDIT STATISTICS",#N/A,FALSE,"STATS";"CF_AND_IS",#N/A,FALSE,"PLAN";"BALSHEET",#N/A,FALSE,"BALANCE SHEET"}</definedName>
    <definedName name="wrn.Short._.Report." localSheetId="0" hidden="1">{"short1",#N/A,FALSE,"masmode";"short2",#N/A,FALSE,"masmode";"qtrres",#N/A,FALSE,"QTR. RES.";"sales",#N/A,FALSE,"Sales &amp; Market Share"}</definedName>
    <definedName name="wrn.Short._.Report." localSheetId="3" hidden="1">{"short1",#N/A,FALSE,"masmode";"short2",#N/A,FALSE,"masmode";"qtrres",#N/A,FALSE,"QTR. RES.";"sales",#N/A,FALSE,"Sales &amp; Market Share"}</definedName>
    <definedName name="wrn.Short._.Report." localSheetId="7" hidden="1">{"short1",#N/A,FALSE,"masmode";"short2",#N/A,FALSE,"masmode";"qtrres",#N/A,FALSE,"QTR. RES.";"sales",#N/A,FALSE,"Sales &amp; Market Share"}</definedName>
    <definedName name="wrn.Short._.Report." hidden="1">{"short1",#N/A,FALSE,"masmode";"short2",#N/A,FALSE,"masmode";"qtrres",#N/A,FALSE,"QTR. RES.";"sales",#N/A,FALSE,"Sales &amp; Market Share"}</definedName>
    <definedName name="wrn.Sonstige." localSheetId="3" hidden="1">{#N/A,#N/A,FALSE,"Produkte Erw.";#N/A,#N/A,FALSE,"Produkte Plan";#N/A,#N/A,FALSE,"Leistungen Erw.";#N/A,#N/A,FALSE,"Leistungen Plan";#N/A,#N/A,FALSE,"KA Allg.Kosten (2)";#N/A,#N/A,FALSE,"KA All.Kosten"}</definedName>
    <definedName name="wrn.Sonstige." localSheetId="7" hidden="1">{#N/A,#N/A,FALSE,"Produkte Erw.";#N/A,#N/A,FALSE,"Produkte Plan";#N/A,#N/A,FALSE,"Leistungen Erw.";#N/A,#N/A,FALSE,"Leistungen Plan";#N/A,#N/A,FALSE,"KA Allg.Kosten (2)";#N/A,#N/A,FALSE,"KA All.Kosten"}</definedName>
    <definedName name="wrn.Sonstige." hidden="1">{#N/A,#N/A,FALSE,"Produkte Erw.";#N/A,#N/A,FALSE,"Produkte Plan";#N/A,#N/A,FALSE,"Leistungen Erw.";#N/A,#N/A,FALSE,"Leistungen Plan";#N/A,#N/A,FALSE,"KA Allg.Kosten (2)";#N/A,#N/A,FALSE,"KA All.Kosten"}</definedName>
    <definedName name="wrn.SPEC._.GAS._.CYLS." localSheetId="3" hidden="1">{"SPEC GAS CYLS",#N/A,FALSE,"SPEC GAS"}</definedName>
    <definedName name="wrn.SPEC._.GAS._.CYLS." localSheetId="7" hidden="1">{"SPEC GAS CYLS",#N/A,FALSE,"SPEC GAS"}</definedName>
    <definedName name="wrn.SPEC._.GAS._.CYLS." hidden="1">{"SPEC GAS CYLS",#N/A,FALSE,"SPEC GAS"}</definedName>
    <definedName name="wrn.sspall." localSheetId="3" hidden="1">{"sspcash",#N/A,FALSE,"EWSINCX";"sspinc",#N/A,FALSE,"EWSINCX";"ssptax",#N/A,FALSE,"EWSINCX";"ssppub",#N/A,FALSE,"EWSINCX";"sspperchgetc",#N/A,FALSE,"EWSINCX";"sspevan",#N/A,FALSE,"EWSINCX";"sspbroad",#N/A,FALSE,"EWSINCX";"sspbroadcont",#N/A,FALSE,"EWSINCX";"sspcable",#N/A,FALSE,"EWSINCX";"sspent",#N/A,FALSE,"EWSINCX"}</definedName>
    <definedName name="wrn.sspall." localSheetId="7" hidden="1">{"sspcash",#N/A,FALSE,"EWSINCX";"sspinc",#N/A,FALSE,"EWSINCX";"ssptax",#N/A,FALSE,"EWSINCX";"ssppub",#N/A,FALSE,"EWSINCX";"sspperchgetc",#N/A,FALSE,"EWSINCX";"sspevan",#N/A,FALSE,"EWSINCX";"sspbroad",#N/A,FALSE,"EWSINCX";"sspbroadcont",#N/A,FALSE,"EWSINCX";"sspcable",#N/A,FALSE,"EWSINCX";"sspent",#N/A,FALSE,"EWSINCX"}</definedName>
    <definedName name="wrn.sspall." hidden="1">{"sspcash",#N/A,FALSE,"EWSINCX";"sspinc",#N/A,FALSE,"EWSINCX";"ssptax",#N/A,FALSE,"EWSINCX";"ssppub",#N/A,FALSE,"EWSINCX";"sspperchgetc",#N/A,FALSE,"EWSINCX";"sspevan",#N/A,FALSE,"EWSINCX";"sspbroad",#N/A,FALSE,"EWSINCX";"sspbroadcont",#N/A,FALSE,"EWSINCX";"sspcable",#N/A,FALSE,"EWSINCX";"sspent",#N/A,FALSE,"EWSINCX"}</definedName>
    <definedName name="wrn.STAND_ALONE_BOTH." localSheetId="3" hidden="1">{"FCB_ALL",#N/A,FALSE,"FCB";"GREY_ALL",#N/A,FALSE,"GREY"}</definedName>
    <definedName name="wrn.STAND_ALONE_BOTH." localSheetId="7" hidden="1">{"FCB_ALL",#N/A,FALSE,"FCB";"GREY_ALL",#N/A,FALSE,"GREY"}</definedName>
    <definedName name="wrn.STAND_ALONE_BOTH." hidden="1">{"FCB_ALL",#N/A,FALSE,"FCB";"GREY_ALL",#N/A,FALSE,"GREY"}</definedName>
    <definedName name="wrn.Stand_alone_both._dcf" localSheetId="3" hidden="1">{"FCB_ALL",#N/A,FALSE,"FCB";"GREY_ALL",#N/A,FALSE,"GREY"}</definedName>
    <definedName name="wrn.Stand_alone_both._dcf" localSheetId="7" hidden="1">{"FCB_ALL",#N/A,FALSE,"FCB";"GREY_ALL",#N/A,FALSE,"GREY"}</definedName>
    <definedName name="wrn.Stand_alone_both._dcf" hidden="1">{"FCB_ALL",#N/A,FALSE,"FCB";"GREY_ALL",#N/A,FALSE,"GREY"}</definedName>
    <definedName name="wrn.Standard." localSheetId="3" hidden="1">{#N/A,#N/A,FALSE,"IS US";#N/A,#N/A,FALSE,"BS US";#N/A,#N/A,FALSE,"IS LOCAL";#N/A,#N/A,FALSE,"BS INPUT";#N/A,#N/A,FALSE,"EQUITY";#N/A,#N/A,FALSE,"LOCAL ADJ";#N/A,#N/A,FALSE,"GAAP ADJ"}</definedName>
    <definedName name="wrn.Standard." localSheetId="7" hidden="1">{#N/A,#N/A,FALSE,"IS US";#N/A,#N/A,FALSE,"BS US";#N/A,#N/A,FALSE,"IS LOCAL";#N/A,#N/A,FALSE,"BS INPUT";#N/A,#N/A,FALSE,"EQUITY";#N/A,#N/A,FALSE,"LOCAL ADJ";#N/A,#N/A,FALSE,"GAAP ADJ"}</definedName>
    <definedName name="wrn.Standard." hidden="1">{#N/A,#N/A,FALSE,"IS US";#N/A,#N/A,FALSE,"BS US";#N/A,#N/A,FALSE,"IS LOCAL";#N/A,#N/A,FALSE,"BS INPUT";#N/A,#N/A,FALSE,"EQUITY";#N/A,#N/A,FALSE,"LOCAL ADJ";#N/A,#N/A,FALSE,"GAAP ADJ"}</definedName>
    <definedName name="wrn.stay" localSheetId="3" hidden="1">{"summary1",#N/A,TRUE,"Comps";"summary2",#N/A,TRUE,"Comps";"summary3",#N/A,TRUE,"Comps"}</definedName>
    <definedName name="wrn.stay" localSheetId="7" hidden="1">{"summary1",#N/A,TRUE,"Comps";"summary2",#N/A,TRUE,"Comps";"summary3",#N/A,TRUE,"Comps"}</definedName>
    <definedName name="wrn.stay" hidden="1">{"summary1",#N/A,TRUE,"Comps";"summary2",#N/A,TRUE,"Comps";"summary3",#N/A,TRUE,"Comps"}</definedName>
    <definedName name="wrn.SUMMARY." localSheetId="3" hidden="1">{"SUMMARY",#N/A,FALSE,"SUMMARY"}</definedName>
    <definedName name="wrn.SUMMARY." localSheetId="7" hidden="1">{"SUMMARY",#N/A,FALSE,"SUMMARY"}</definedName>
    <definedName name="wrn.SUMMARY." hidden="1">{"SUMMARY",#N/A,FALSE,"SUMMARY"}</definedName>
    <definedName name="wrn.TARGET._.DCF." localSheetId="3" hidden="1">{"targetdcf",#N/A,FALSE,"Merger consequences";"TARGETASSU",#N/A,FALSE,"Merger consequences";"TERMINAL VALUE",#N/A,FALSE,"Merger consequences"}</definedName>
    <definedName name="wrn.TARGET._.DCF." localSheetId="7" hidden="1">{"targetdcf",#N/A,FALSE,"Merger consequences";"TARGETASSU",#N/A,FALSE,"Merger consequences";"TERMINAL VALUE",#N/A,FALSE,"Merger consequences"}</definedName>
    <definedName name="wrn.TARGET._.DCF." hidden="1">{"targetdcf",#N/A,FALSE,"Merger consequences";"TARGETASSU",#N/A,FALSE,"Merger consequences";"TERMINAL VALUE",#N/A,FALSE,"Merger consequences"}</definedName>
    <definedName name="wrn.Target._.Summary." localSheetId="3" hidden="1">{"SUMMARY",#N/A,FALSE,"Sheet1"}</definedName>
    <definedName name="wrn.Target._.Summary." localSheetId="7" hidden="1">{"SUMMARY",#N/A,FALSE,"Sheet1"}</definedName>
    <definedName name="wrn.Target._.Summary." hidden="1">{"SUMMARY",#N/A,FALSE,"Sheet1"}</definedName>
    <definedName name="wrn.Test." localSheetId="3" hidden="1">{"test",#N/A,TRUE,"Summary";"test",#N/A,TRUE,"Assumptions"}</definedName>
    <definedName name="wrn.Test." localSheetId="7" hidden="1">{"test",#N/A,TRUE,"Summary";"test",#N/A,TRUE,"Assumptions"}</definedName>
    <definedName name="wrn.Test." hidden="1">{"test",#N/A,TRUE,"Summary";"test",#N/A,TRUE,"Assumptions"}</definedName>
    <definedName name="wrn.test._.2." localSheetId="3" hidden="1">{"test",#N/A,TRUE,"Summary";"test",#N/A,TRUE,"Assumptions"}</definedName>
    <definedName name="wrn.test._.2." localSheetId="7" hidden="1">{"test",#N/A,TRUE,"Summary";"test",#N/A,TRUE,"Assumptions"}</definedName>
    <definedName name="wrn.test._.2." hidden="1">{"test",#N/A,TRUE,"Summary";"test",#N/A,TRUE,"Assumptions"}</definedName>
    <definedName name="wrn.test1." localSheetId="3" hidden="1">{#N/A,#N/A,FALSE,"Earn'gs &amp; Val'n";#N/A,#N/A,FALSE,"Interim"}</definedName>
    <definedName name="wrn.test1." localSheetId="7" hidden="1">{#N/A,#N/A,FALSE,"Earn'gs &amp; Val'n";#N/A,#N/A,FALSE,"Interim"}</definedName>
    <definedName name="wrn.test1." hidden="1">{#N/A,#N/A,FALSE,"Earn'gs &amp; Val'n";#N/A,#N/A,FALSE,"Interim"}</definedName>
    <definedName name="wrn.TMCALL." localSheetId="3" hidden="1">{"tmccash",#N/A,FALSE,"INCX";"tmcinc",#N/A,FALSE,"INCX";"tmcpretx",#N/A,FALSE,"INCX";"tmcadrev",#N/A,FALSE,"INCX";"tmcbooks",#N/A,FALSE,"INCX"}</definedName>
    <definedName name="wrn.TMCALL." localSheetId="7" hidden="1">{"tmccash",#N/A,FALSE,"INCX";"tmcinc",#N/A,FALSE,"INCX";"tmcpretx",#N/A,FALSE,"INCX";"tmcadrev",#N/A,FALSE,"INCX";"tmcbooks",#N/A,FALSE,"INCX"}</definedName>
    <definedName name="wrn.TMCALL." hidden="1">{"tmccash",#N/A,FALSE,"INCX";"tmcinc",#N/A,FALSE,"INCX";"tmcpretx",#N/A,FALSE,"INCX";"tmcadrev",#N/A,FALSE,"INCX";"tmcbooks",#N/A,FALSE,"INCX"}</definedName>
    <definedName name="wrn.TODO." localSheetId="3" hidden="1">{#N/A,#N/A,FALSE,"RESUMEN";#N/A,#N/A,FALSE,"PARQ_C";#N/A,#N/A,FALSE,"PARQ_P";#N/A,#N/A,FALSE,"MIN_S_C";#N/A,#N/A,FALSE,"MIN_S_P";#N/A,#N/A,FALSE,"MIN_E_M_M";#N/A,#N/A,FALSE,"MIN_E_FIJA";#N/A,#N/A,FALSE,"SUPUESTOS"}</definedName>
    <definedName name="wrn.TODO." localSheetId="7" hidden="1">{#N/A,#N/A,FALSE,"RESUMEN";#N/A,#N/A,FALSE,"PARQ_C";#N/A,#N/A,FALSE,"PARQ_P";#N/A,#N/A,FALSE,"MIN_S_C";#N/A,#N/A,FALSE,"MIN_S_P";#N/A,#N/A,FALSE,"MIN_E_M_M";#N/A,#N/A,FALSE,"MIN_E_FIJA";#N/A,#N/A,FALSE,"SUPUESTOS"}</definedName>
    <definedName name="wrn.TODO." hidden="1">{#N/A,#N/A,FALSE,"RESUMEN";#N/A,#N/A,FALSE,"PARQ_C";#N/A,#N/A,FALSE,"PARQ_P";#N/A,#N/A,FALSE,"MIN_S_C";#N/A,#N/A,FALSE,"MIN_S_P";#N/A,#N/A,FALSE,"MIN_E_M_M";#N/A,#N/A,FALSE,"MIN_E_FIJA";#N/A,#N/A,FALSE,"SUPUESTOS"}</definedName>
    <definedName name="wrn.Tota._.Division103a" localSheetId="3" hidden="1">{#N/A,"PURADD",FALSE,"Business Analysis";#N/A,"PURSPP",FALSE,"Business Analysis";#N/A,"CTGIND",FALSE,"Business Analysis";#N/A,"PURCHM",FALSE,"Business Analysis";#N/A,"SPADD",FALSE,"Business Analysis";#N/A,"EPOXY",FALSE,"Business Analysis";#N/A,"PURPER",FALSE,"Business Analysis"}</definedName>
    <definedName name="wrn.Tota._.Division103a" localSheetId="7" hidden="1">{#N/A,"PURADD",FALSE,"Business Analysis";#N/A,"PURSPP",FALSE,"Business Analysis";#N/A,"CTGIND",FALSE,"Business Analysis";#N/A,"PURCHM",FALSE,"Business Analysis";#N/A,"SPADD",FALSE,"Business Analysis";#N/A,"EPOXY",FALSE,"Business Analysis";#N/A,"PURPER",FALSE,"Business Analysis"}</definedName>
    <definedName name="wrn.Tota._.Division103a" hidden="1">{#N/A,"PURADD",FALSE,"Business Analysis";#N/A,"PURSPP",FALSE,"Business Analysis";#N/A,"CTGIND",FALSE,"Business Analysis";#N/A,"PURCHM",FALSE,"Business Analysis";#N/A,"SPADD",FALSE,"Business Analysis";#N/A,"EPOXY",FALSE,"Business Analysis";#N/A,"PURPER",FALSE,"Business Analysis"}</definedName>
    <definedName name="wrn.Tota._Division31" localSheetId="3" hidden="1">{#N/A,"PURADD",FALSE,"Business Analysis";#N/A,"PURSPP",FALSE,"Business Analysis";#N/A,"CTGIND",FALSE,"Business Analysis";#N/A,"PURCHM",FALSE,"Business Analysis";#N/A,"SPADD",FALSE,"Business Analysis";#N/A,"EPOXY",FALSE,"Business Analysis";#N/A,"PURPER",FALSE,"Business Analysis"}</definedName>
    <definedName name="wrn.Tota._Division31" localSheetId="7" hidden="1">{#N/A,"PURADD",FALSE,"Business Analysis";#N/A,"PURSPP",FALSE,"Business Analysis";#N/A,"CTGIND",FALSE,"Business Analysis";#N/A,"PURCHM",FALSE,"Business Analysis";#N/A,"SPADD",FALSE,"Business Analysis";#N/A,"EPOXY",FALSE,"Business Analysis";#N/A,"PURPER",FALSE,"Business Analysis"}</definedName>
    <definedName name="wrn.Tota._Division31" hidden="1">{#N/A,"PURADD",FALSE,"Business Analysis";#N/A,"PURSPP",FALSE,"Business Analysis";#N/A,"CTGIND",FALSE,"Business Analysis";#N/A,"PURCHM",FALSE,"Business Analysis";#N/A,"SPADD",FALSE,"Business Analysis";#N/A,"EPOXY",FALSE,"Business Analysis";#N/A,"PURPER",FALSE,"Business Analysis"}</definedName>
    <definedName name="wrn.TOTAL." localSheetId="3" hidden="1">{#N/A,#N/A,FALSE,"INVERSIONES Y AMORTIZ";#N/A,#N/A,FALSE,"BALANCE";#N/A,#N/A,FALSE,"CUENTA DE PYG";#N/A,#N/A,FALSE,"CUENTA DE PYG (2)";#N/A,#N/A,FALSE,"RATIOS";#N/A,#N/A,FALSE,"G. PERSONAL";#N/A,#N/A,FALSE,"G. SOCIALES";#N/A,#N/A,FALSE,"G. GENERALES";#N/A,#N/A,FALSE,"LINEAS DE PRODUCTOS"}</definedName>
    <definedName name="wrn.TOTAL." localSheetId="7" hidden="1">{#N/A,#N/A,FALSE,"INVERSIONES Y AMORTIZ";#N/A,#N/A,FALSE,"BALANCE";#N/A,#N/A,FALSE,"CUENTA DE PYG";#N/A,#N/A,FALSE,"CUENTA DE PYG (2)";#N/A,#N/A,FALSE,"RATIOS";#N/A,#N/A,FALSE,"G. PERSONAL";#N/A,#N/A,FALSE,"G. SOCIALES";#N/A,#N/A,FALSE,"G. GENERALES";#N/A,#N/A,FALSE,"LINEAS DE PRODUCTOS"}</definedName>
    <definedName name="wrn.TOTAL." hidden="1">{#N/A,#N/A,FALSE,"INVERSIONES Y AMORTIZ";#N/A,#N/A,FALSE,"BALANCE";#N/A,#N/A,FALSE,"CUENTA DE PYG";#N/A,#N/A,FALSE,"CUENTA DE PYG (2)";#N/A,#N/A,FALSE,"RATIOS";#N/A,#N/A,FALSE,"G. PERSONAL";#N/A,#N/A,FALSE,"G. SOCIALES";#N/A,#N/A,FALSE,"G. GENERALES";#N/A,#N/A,FALSE,"LINEAS DE PRODUCTOS"}</definedName>
    <definedName name="wrn.Total._.Business." localSheetId="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 localSheetId="7"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Chem._.Balance._.Sheet." localSheetId="3" hidden="1">{#N/A,"TCHEM",FALSE,"BSHIST.XLS"}</definedName>
    <definedName name="wrn.Total._.Chem._.Balance._.Sheet." localSheetId="7" hidden="1">{#N/A,"TCHEM",FALSE,"BSHIST.XLS"}</definedName>
    <definedName name="wrn.Total._.Chem._.Balance._.Sheet." hidden="1">{#N/A,"TCHEM",FALSE,"BSHIST.XLS"}</definedName>
    <definedName name="wrn.Total._.Division" localSheetId="3" hidden="1">{#N/A,"PURADD",FALSE,"Business Analysis";#N/A,"PURSPP",FALSE,"Business Analysis";#N/A,"CTGIND",FALSE,"Business Analysis";#N/A,"PURCHM",FALSE,"Business Analysis";#N/A,"SPADD",FALSE,"Business Analysis";#N/A,"EPOXY",FALSE,"Business Analysis";#N/A,"PURPER",FALSE,"Business Analysis"}</definedName>
    <definedName name="wrn.Total._.Division" localSheetId="7" hidden="1">{#N/A,"PURADD",FALSE,"Business Analysis";#N/A,"PURSPP",FALSE,"Business Analysis";#N/A,"CTGIND",FALSE,"Business Analysis";#N/A,"PURCHM",FALSE,"Business Analysis";#N/A,"SPADD",FALSE,"Business Analysis";#N/A,"EPOXY",FALSE,"Business Analysis";#N/A,"PURPER",FALSE,"Business Analysis"}</definedName>
    <definedName name="wrn.Total._.Division" hidden="1">{#N/A,"PURADD",FALSE,"Business Analysis";#N/A,"PURSPP",FALSE,"Business Analysis";#N/A,"CTGIND",FALSE,"Business Analysis";#N/A,"PURCHM",FALSE,"Business Analysis";#N/A,"SPADD",FALSE,"Business Analysis";#N/A,"EPOXY",FALSE,"Business Analysis";#N/A,"PURPER",FALSE,"Business Analysis"}</definedName>
    <definedName name="wrn.Total._.Division." localSheetId="3" hidden="1">{#N/A,"PURADD",FALSE,"Business Analysis";#N/A,"PURSPP",FALSE,"Business Analysis";#N/A,"CTGIND",FALSE,"Business Analysis";#N/A,"PURCHM",FALSE,"Business Analysis";#N/A,"SPADD",FALSE,"Business Analysis";#N/A,"EPOXY",FALSE,"Business Analysis";#N/A,"PURPER",FALSE,"Business Analysis"}</definedName>
    <definedName name="wrn.Total._.Division." localSheetId="7" hidden="1">{#N/A,"PURADD",FALSE,"Business Analysis";#N/A,"PURSPP",FALSE,"Business Analysis";#N/A,"CTGIND",FALSE,"Business Analysis";#N/A,"PURCHM",FALSE,"Business Analysis";#N/A,"SPADD",FALSE,"Business Analysis";#N/A,"EPOXY",FALSE,"Business Analysis";#N/A,"PURPER",FALSE,"Business Analysis"}</definedName>
    <definedName name="wrn.Total._.Division." hidden="1">{#N/A,"PURADD",FALSE,"Business Analysis";#N/A,"PURSPP",FALSE,"Business Analysis";#N/A,"CTGIND",FALSE,"Business Analysis";#N/A,"PURCHM",FALSE,"Business Analysis";#N/A,"SPADD",FALSE,"Business Analysis";#N/A,"EPOXY",FALSE,"Business Analysis";#N/A,"PURPER",FALSE,"Business Analysis"}</definedName>
    <definedName name="wrn.Total._.Division.2" localSheetId="3" hidden="1">{#N/A,"PURADD",FALSE,"Business Analysis";#N/A,"PURSPP",FALSE,"Business Analysis";#N/A,"CTGIND",FALSE,"Business Analysis";#N/A,"PURCHM",FALSE,"Business Analysis";#N/A,"SPADD",FALSE,"Business Analysis";#N/A,"EPOXY",FALSE,"Business Analysis";#N/A,"PURPER",FALSE,"Business Analysis"}</definedName>
    <definedName name="wrn.Total._.Division.2" localSheetId="7" hidden="1">{#N/A,"PURADD",FALSE,"Business Analysis";#N/A,"PURSPP",FALSE,"Business Analysis";#N/A,"CTGIND",FALSE,"Business Analysis";#N/A,"PURCHM",FALSE,"Business Analysis";#N/A,"SPADD",FALSE,"Business Analysis";#N/A,"EPOXY",FALSE,"Business Analysis";#N/A,"PURPER",FALSE,"Business Analysis"}</definedName>
    <definedName name="wrn.Total._.Division.2" hidden="1">{#N/A,"PURADD",FALSE,"Business Analysis";#N/A,"PURSPP",FALSE,"Business Analysis";#N/A,"CTGIND",FALSE,"Business Analysis";#N/A,"PURCHM",FALSE,"Business Analysis";#N/A,"SPADD",FALSE,"Business Analysis";#N/A,"EPOXY",FALSE,"Business Analysis";#N/A,"PURPER",FALSE,"Business Analysis"}</definedName>
    <definedName name="wrn.Total._.Division12" localSheetId="3" hidden="1">{#N/A,"PURADD",FALSE,"Business Analysis";#N/A,"PURSPP",FALSE,"Business Analysis";#N/A,"CTGIND",FALSE,"Business Analysis";#N/A,"PURCHM",FALSE,"Business Analysis";#N/A,"SPADD",FALSE,"Business Analysis";#N/A,"EPOXY",FALSE,"Business Analysis";#N/A,"PURPER",FALSE,"Business Analysis"}</definedName>
    <definedName name="wrn.Total._.Division12" localSheetId="7" hidden="1">{#N/A,"PURADD",FALSE,"Business Analysis";#N/A,"PURSPP",FALSE,"Business Analysis";#N/A,"CTGIND",FALSE,"Business Analysis";#N/A,"PURCHM",FALSE,"Business Analysis";#N/A,"SPADD",FALSE,"Business Analysis";#N/A,"EPOXY",FALSE,"Business Analysis";#N/A,"PURPER",FALSE,"Business Analysis"}</definedName>
    <definedName name="wrn.Total._.Division12" hidden="1">{#N/A,"PURADD",FALSE,"Business Analysis";#N/A,"PURSPP",FALSE,"Business Analysis";#N/A,"CTGIND",FALSE,"Business Analysis";#N/A,"PURCHM",FALSE,"Business Analysis";#N/A,"SPADD",FALSE,"Business Analysis";#N/A,"EPOXY",FALSE,"Business Analysis";#N/A,"PURPER",FALSE,"Business Analysis"}</definedName>
    <definedName name="wrn.Total._.Division34" localSheetId="3" hidden="1">{#N/A,"PURADD",FALSE,"Business Analysis";#N/A,"PURSPP",FALSE,"Business Analysis";#N/A,"CTGIND",FALSE,"Business Analysis";#N/A,"PURCHM",FALSE,"Business Analysis";#N/A,"SPADD",FALSE,"Business Analysis";#N/A,"EPOXY",FALSE,"Business Analysis";#N/A,"PURPER",FALSE,"Business Analysis"}</definedName>
    <definedName name="wrn.Total._.Division34" localSheetId="7" hidden="1">{#N/A,"PURADD",FALSE,"Business Analysis";#N/A,"PURSPP",FALSE,"Business Analysis";#N/A,"CTGIND",FALSE,"Business Analysis";#N/A,"PURCHM",FALSE,"Business Analysis";#N/A,"SPADD",FALSE,"Business Analysis";#N/A,"EPOXY",FALSE,"Business Analysis";#N/A,"PURPER",FALSE,"Business Analysis"}</definedName>
    <definedName name="wrn.Total._.Division34" hidden="1">{#N/A,"PURADD",FALSE,"Business Analysis";#N/A,"PURSPP",FALSE,"Business Analysis";#N/A,"CTGIND",FALSE,"Business Analysis";#N/A,"PURCHM",FALSE,"Business Analysis";#N/A,"SPADD",FALSE,"Business Analysis";#N/A,"EPOXY",FALSE,"Business Analysis";#N/A,"PURPER",FALSE,"Business Analysis"}</definedName>
    <definedName name="wrn.Total._.Division35" localSheetId="3" hidden="1">{#N/A,"PURADD",FALSE,"Business Analysis";#N/A,"PURSPP",FALSE,"Business Analysis";#N/A,"CTGIND",FALSE,"Business Analysis";#N/A,"PURCHM",FALSE,"Business Analysis";#N/A,"SPADD",FALSE,"Business Analysis";#N/A,"EPOXY",FALSE,"Business Analysis";#N/A,"PURPER",FALSE,"Business Analysis"}</definedName>
    <definedName name="wrn.Total._.Division35" localSheetId="7" hidden="1">{#N/A,"PURADD",FALSE,"Business Analysis";#N/A,"PURSPP",FALSE,"Business Analysis";#N/A,"CTGIND",FALSE,"Business Analysis";#N/A,"PURCHM",FALSE,"Business Analysis";#N/A,"SPADD",FALSE,"Business Analysis";#N/A,"EPOXY",FALSE,"Business Analysis";#N/A,"PURPER",FALSE,"Business Analysis"}</definedName>
    <definedName name="wrn.Total._.Division35" hidden="1">{#N/A,"PURADD",FALSE,"Business Analysis";#N/A,"PURSPP",FALSE,"Business Analysis";#N/A,"CTGIND",FALSE,"Business Analysis";#N/A,"PURCHM",FALSE,"Business Analysis";#N/A,"SPADD",FALSE,"Business Analysis";#N/A,"EPOXY",FALSE,"Business Analysis";#N/A,"PURPER",FALSE,"Business Analysis"}</definedName>
    <definedName name="wrn.Total._.Divisiona1b" localSheetId="3" hidden="1">{#N/A,"PURADD",FALSE,"Business Analysis";#N/A,"PURSPP",FALSE,"Business Analysis";#N/A,"CTGIND",FALSE,"Business Analysis";#N/A,"PURCHM",FALSE,"Business Analysis";#N/A,"SPADD",FALSE,"Business Analysis";#N/A,"EPOXY",FALSE,"Business Analysis";#N/A,"PURPER",FALSE,"Business Analysis"}</definedName>
    <definedName name="wrn.Total._.Divisiona1b" localSheetId="7" hidden="1">{#N/A,"PURADD",FALSE,"Business Analysis";#N/A,"PURSPP",FALSE,"Business Analysis";#N/A,"CTGIND",FALSE,"Business Analysis";#N/A,"PURCHM",FALSE,"Business Analysis";#N/A,"SPADD",FALSE,"Business Analysis";#N/A,"EPOXY",FALSE,"Business Analysis";#N/A,"PURPER",FALSE,"Business Analysis"}</definedName>
    <definedName name="wrn.Total._.Divisiona1b" hidden="1">{#N/A,"PURADD",FALSE,"Business Analysis";#N/A,"PURSPP",FALSE,"Business Analysis";#N/A,"CTGIND",FALSE,"Business Analysis";#N/A,"PURCHM",FALSE,"Business Analysis";#N/A,"SPADD",FALSE,"Business Analysis";#N/A,"EPOXY",FALSE,"Business Analysis";#N/A,"PURPER",FALSE,"Business Analysis"}</definedName>
    <definedName name="wrn.Total._.Market._.Report." localSheetId="3" hidden="1">{#N/A,#N/A,FALSE,"Sales Graph";#N/A,#N/A,FALSE,"BUC Graph";#N/A,#N/A,FALSE,"P&amp;L - YTD"}</definedName>
    <definedName name="wrn.Total._.Market._.Report." localSheetId="7" hidden="1">{#N/A,#N/A,FALSE,"Sales Graph";#N/A,#N/A,FALSE,"BUC Graph";#N/A,#N/A,FALSE,"P&amp;L - YTD"}</definedName>
    <definedName name="wrn.Total._.Market._.Report." hidden="1">{#N/A,#N/A,FALSE,"Sales Graph";#N/A,#N/A,FALSE,"BUC Graph";#N/A,#N/A,FALSE,"P&amp;L - YTD"}</definedName>
    <definedName name="wrn.total._Division11" localSheetId="3" hidden="1">{#N/A,"PURADD",FALSE,"Business Analysis";#N/A,"PURSPP",FALSE,"Business Analysis";#N/A,"CTGIND",FALSE,"Business Analysis";#N/A,"PURCHM",FALSE,"Business Analysis";#N/A,"SPADD",FALSE,"Business Analysis";#N/A,"EPOXY",FALSE,"Business Analysis";#N/A,"PURPER",FALSE,"Business Analysis"}</definedName>
    <definedName name="wrn.total._Division11" localSheetId="7" hidden="1">{#N/A,"PURADD",FALSE,"Business Analysis";#N/A,"PURSPP",FALSE,"Business Analysis";#N/A,"CTGIND",FALSE,"Business Analysis";#N/A,"PURCHM",FALSE,"Business Analysis";#N/A,"SPADD",FALSE,"Business Analysis";#N/A,"EPOXY",FALSE,"Business Analysis";#N/A,"PURPER",FALSE,"Business Analysis"}</definedName>
    <definedName name="wrn.total._Division11" hidden="1">{#N/A,"PURADD",FALSE,"Business Analysis";#N/A,"PURSPP",FALSE,"Business Analysis";#N/A,"CTGIND",FALSE,"Business Analysis";#N/A,"PURCHM",FALSE,"Business Analysis";#N/A,"SPADD",FALSE,"Business Analysis";#N/A,"EPOXY",FALSE,"Business Analysis";#N/A,"PURPER",FALSE,"Business Analysis"}</definedName>
    <definedName name="wrn.total._Division32" localSheetId="3" hidden="1">{#N/A,"PURADD",FALSE,"Business Analysis";#N/A,"PURSPP",FALSE,"Business Analysis";#N/A,"CTGIND",FALSE,"Business Analysis";#N/A,"PURCHM",FALSE,"Business Analysis";#N/A,"SPADD",FALSE,"Business Analysis";#N/A,"EPOXY",FALSE,"Business Analysis";#N/A,"PURPER",FALSE,"Business Analysis"}</definedName>
    <definedName name="wrn.total._Division32" localSheetId="7" hidden="1">{#N/A,"PURADD",FALSE,"Business Analysis";#N/A,"PURSPP",FALSE,"Business Analysis";#N/A,"CTGIND",FALSE,"Business Analysis";#N/A,"PURCHM",FALSE,"Business Analysis";#N/A,"SPADD",FALSE,"Business Analysis";#N/A,"EPOXY",FALSE,"Business Analysis";#N/A,"PURPER",FALSE,"Business Analysis"}</definedName>
    <definedName name="wrn.total._Division32" hidden="1">{#N/A,"PURADD",FALSE,"Business Analysis";#N/A,"PURSPP",FALSE,"Business Analysis";#N/A,"CTGIND",FALSE,"Business Analysis";#N/A,"PURCHM",FALSE,"Business Analysis";#N/A,"SPADD",FALSE,"Business Analysis";#N/A,"EPOXY",FALSE,"Business Analysis";#N/A,"PURPER",FALSE,"Business Analysis"}</definedName>
    <definedName name="wrn.total_Divisionb2" localSheetId="3" hidden="1">{#N/A,"PURADD",FALSE,"Business Analysis";#N/A,"PURSPP",FALSE,"Business Analysis";#N/A,"CTGIND",FALSE,"Business Analysis";#N/A,"PURCHM",FALSE,"Business Analysis";#N/A,"SPADD",FALSE,"Business Analysis";#N/A,"EPOXY",FALSE,"Business Analysis";#N/A,"PURPER",FALSE,"Business Analysis"}</definedName>
    <definedName name="wrn.total_Divisionb2" localSheetId="7" hidden="1">{#N/A,"PURADD",FALSE,"Business Analysis";#N/A,"PURSPP",FALSE,"Business Analysis";#N/A,"CTGIND",FALSE,"Business Analysis";#N/A,"PURCHM",FALSE,"Business Analysis";#N/A,"SPADD",FALSE,"Business Analysis";#N/A,"EPOXY",FALSE,"Business Analysis";#N/A,"PURPER",FALSE,"Business Analysis"}</definedName>
    <definedName name="wrn.total_Divisionb2" hidden="1">{#N/A,"PURADD",FALSE,"Business Analysis";#N/A,"PURSPP",FALSE,"Business Analysis";#N/A,"CTGIND",FALSE,"Business Analysis";#N/A,"PURCHM",FALSE,"Business Analysis";#N/A,"SPADD",FALSE,"Business Analysis";#N/A,"EPOXY",FALSE,"Business Analysis";#N/A,"PURPER",FALSE,"Business Analysis"}</definedName>
    <definedName name="wrn.Total42" localSheetId="3" hidden="1">{#N/A,"PURADD",FALSE,"Business Analysis";#N/A,"PURSPP",FALSE,"Business Analysis";#N/A,"CTGIND",FALSE,"Business Analysis";#N/A,"PURCHM",FALSE,"Business Analysis";#N/A,"SPADD",FALSE,"Business Analysis";#N/A,"EPOXY",FALSE,"Business Analysis";#N/A,"PURPER",FALSE,"Business Analysis"}</definedName>
    <definedName name="wrn.Total42" localSheetId="7" hidden="1">{#N/A,"PURADD",FALSE,"Business Analysis";#N/A,"PURSPP",FALSE,"Business Analysis";#N/A,"CTGIND",FALSE,"Business Analysis";#N/A,"PURCHM",FALSE,"Business Analysis";#N/A,"SPADD",FALSE,"Business Analysis";#N/A,"EPOXY",FALSE,"Business Analysis";#N/A,"PURPER",FALSE,"Business Analysis"}</definedName>
    <definedName name="wrn.Total42" hidden="1">{#N/A,"PURADD",FALSE,"Business Analysis";#N/A,"PURSPP",FALSE,"Business Analysis";#N/A,"CTGIND",FALSE,"Business Analysis";#N/A,"PURCHM",FALSE,"Business Analysis";#N/A,"SPADD",FALSE,"Business Analysis";#N/A,"EPOXY",FALSE,"Business Analysis";#N/A,"PURPER",FALSE,"Business Analysis"}</definedName>
    <definedName name="wrn.totala4" localSheetId="3" hidden="1">{#N/A,"PURADD",FALSE,"Business Analysis";#N/A,"PURSPP",FALSE,"Business Analysis";#N/A,"CTGIND",FALSE,"Business Analysis";#N/A,"PURCHM",FALSE,"Business Analysis";#N/A,"SPADD",FALSE,"Business Analysis";#N/A,"EPOXY",FALSE,"Business Analysis";#N/A,"PURPER",FALSE,"Business Analysis"}</definedName>
    <definedName name="wrn.totala4" localSheetId="7" hidden="1">{#N/A,"PURADD",FALSE,"Business Analysis";#N/A,"PURSPP",FALSE,"Business Analysis";#N/A,"CTGIND",FALSE,"Business Analysis";#N/A,"PURCHM",FALSE,"Business Analysis";#N/A,"SPADD",FALSE,"Business Analysis";#N/A,"EPOXY",FALSE,"Business Analysis";#N/A,"PURPER",FALSE,"Business Analysis"}</definedName>
    <definedName name="wrn.totala4" hidden="1">{#N/A,"PURADD",FALSE,"Business Analysis";#N/A,"PURSPP",FALSE,"Business Analysis";#N/A,"CTGIND",FALSE,"Business Analysis";#N/A,"PURCHM",FALSE,"Business Analysis";#N/A,"SPADD",FALSE,"Business Analysis";#N/A,"EPOXY",FALSE,"Business Analysis";#N/A,"PURPER",FALSE,"Business Analysis"}</definedName>
    <definedName name="wrn.TRANSPORT._.COSTS." localSheetId="3" hidden="1">{"TRANSPORT COSTS",#N/A,FALSE,"C.CENTRE"}</definedName>
    <definedName name="wrn.TRANSPORT._.COSTS." localSheetId="7" hidden="1">{"TRANSPORT COSTS",#N/A,FALSE,"C.CENTRE"}</definedName>
    <definedName name="wrn.TRANSPORT._.COSTS." hidden="1">{"TRANSPORT COSTS",#N/A,FALSE,"C.CENTRE"}</definedName>
    <definedName name="wrn.trball." localSheetId="3" hidden="1">{"trbcash",#N/A,FALSE,"INCPF";"trbinc",#N/A,FALSE,"INCPF";"trbchic",#N/A,FALSE,"INCPF";"trbadrev",#N/A,FALSE,"INCPF";"trbstns",#N/A,FALSE,"INCPF";"trbtvstns",#N/A,FALSE,"INCPF"}</definedName>
    <definedName name="wrn.trball." localSheetId="7" hidden="1">{"trbcash",#N/A,FALSE,"INCPF";"trbinc",#N/A,FALSE,"INCPF";"trbchic",#N/A,FALSE,"INCPF";"trbadrev",#N/A,FALSE,"INCPF";"trbstns",#N/A,FALSE,"INCPF";"trbtvstns",#N/A,FALSE,"INCPF"}</definedName>
    <definedName name="wrn.trball." hidden="1">{"trbcash",#N/A,FALSE,"INCPF";"trbinc",#N/A,FALSE,"INCPF";"trbchic",#N/A,FALSE,"INCPF";"trbadrev",#N/A,FALSE,"INCPF";"trbstns",#N/A,FALSE,"INCPF";"trbtvstns",#N/A,FALSE,"INCPF"}</definedName>
    <definedName name="wrn.valor." localSheetId="3" hidden="1">{#N/A,#N/A,FALSE,"CA_DR";#N/A,#N/A,FALSE,"CA_Balanço";#N/A,#N/A,FALSE,"CA_Mapa FM";#N/A,#N/A,FALSE,"CA_Valor"}</definedName>
    <definedName name="wrn.valor." localSheetId="7" hidden="1">{#N/A,#N/A,FALSE,"CA_DR";#N/A,#N/A,FALSE,"CA_Balanço";#N/A,#N/A,FALSE,"CA_Mapa FM";#N/A,#N/A,FALSE,"CA_Valor"}</definedName>
    <definedName name="wrn.valor." hidden="1">{#N/A,#N/A,FALSE,"CA_DR";#N/A,#N/A,FALSE,"CA_Balanço";#N/A,#N/A,FALSE,"CA_Mapa FM";#N/A,#N/A,FALSE,"CA_Valor"}</definedName>
    <definedName name="wrn.Variance." localSheetId="3" hidden="1">{"Act_vs_Budget",#N/A,FALSE,"QTRDPVAR";"Act_vs_Prior_Year",#N/A,FALSE,"QTRDPVAR"}</definedName>
    <definedName name="wrn.Variance." localSheetId="7" hidden="1">{"Act_vs_Budget",#N/A,FALSE,"QTRDPVAR";"Act_vs_Prior_Year",#N/A,FALSE,"QTRDPVAR"}</definedName>
    <definedName name="wrn.Variance." hidden="1">{"Act_vs_Budget",#N/A,FALSE,"QTRDPVAR";"Act_vs_Prior_Year",#N/A,FALSE,"QTRDPVAR"}</definedName>
    <definedName name="wrn.VENTAS." localSheetId="3" hidden="1">{"VENTAS1",#N/A,FALSE,"VENTAS";"VENTAS2",#N/A,FALSE,"VENTAS";"VENTAS3",#N/A,FALSE,"VENTAS";"VENTAS4",#N/A,FALSE,"VENTAS";"VENTAS5",#N/A,FALSE,"VENTAS";"VENTAS6",#N/A,FALSE,"VENTAS";"VENTAS7",#N/A,FALSE,"VENTAS";"VENTAS8",#N/A,FALSE,"VENTAS"}</definedName>
    <definedName name="wrn.VENTAS." localSheetId="7" hidden="1">{"VENTAS1",#N/A,FALSE,"VENTAS";"VENTAS2",#N/A,FALSE,"VENTAS";"VENTAS3",#N/A,FALSE,"VENTAS";"VENTAS4",#N/A,FALSE,"VENTAS";"VENTAS5",#N/A,FALSE,"VENTAS";"VENTAS6",#N/A,FALSE,"VENTAS";"VENTAS7",#N/A,FALSE,"VENTAS";"VENTAS8",#N/A,FALSE,"VENTAS"}</definedName>
    <definedName name="wrn.VENTAS." hidden="1">{"VENTAS1",#N/A,FALSE,"VENTAS";"VENTAS2",#N/A,FALSE,"VENTAS";"VENTAS3",#N/A,FALSE,"VENTAS";"VENTAS4",#N/A,FALSE,"VENTAS";"VENTAS5",#N/A,FALSE,"VENTAS";"VENTAS6",#N/A,FALSE,"VENTAS";"VENTAS7",#N/A,FALSE,"VENTAS";"VENTAS8",#N/A,FALSE,"VENTAS"}</definedName>
    <definedName name="wrn.ventas.1" localSheetId="3" hidden="1">{"VENTAS1",#N/A,FALSE,"VENTAS";"VENTAS2",#N/A,FALSE,"VENTAS";"VENTAS3",#N/A,FALSE,"VENTAS";"VENTAS4",#N/A,FALSE,"VENTAS";"VENTAS5",#N/A,FALSE,"VENTAS";"VENTAS6",#N/A,FALSE,"VENTAS";"VENTAS7",#N/A,FALSE,"VENTAS";"VENTAS8",#N/A,FALSE,"VENTAS"}</definedName>
    <definedName name="wrn.ventas.1" localSheetId="7" hidden="1">{"VENTAS1",#N/A,FALSE,"VENTAS";"VENTAS2",#N/A,FALSE,"VENTAS";"VENTAS3",#N/A,FALSE,"VENTAS";"VENTAS4",#N/A,FALSE,"VENTAS";"VENTAS5",#N/A,FALSE,"VENTAS";"VENTAS6",#N/A,FALSE,"VENTAS";"VENTAS7",#N/A,FALSE,"VENTAS";"VENTAS8",#N/A,FALSE,"VENTAS"}</definedName>
    <definedName name="wrn.ventas.1" hidden="1">{"VENTAS1",#N/A,FALSE,"VENTAS";"VENTAS2",#N/A,FALSE,"VENTAS";"VENTAS3",#N/A,FALSE,"VENTAS";"VENTAS4",#N/A,FALSE,"VENTAS";"VENTAS5",#N/A,FALSE,"VENTAS";"VENTAS6",#N/A,FALSE,"VENTAS";"VENTAS7",#N/A,FALSE,"VENTAS";"VENTAS8",#N/A,FALSE,"VENTAS"}</definedName>
    <definedName name="wrn.Wacc." localSheetId="3" hidden="1">{"Area1",#N/A,FALSE,"OREWACC";"Area2",#N/A,FALSE,"OREWACC"}</definedName>
    <definedName name="wrn.Wacc." localSheetId="7" hidden="1">{"Area1",#N/A,FALSE,"OREWACC";"Area2",#N/A,FALSE,"OREWACC"}</definedName>
    <definedName name="wrn.Wacc." hidden="1">{"Area1",#N/A,FALSE,"OREWACC";"Area2",#N/A,FALSE,"OREWACC"}</definedName>
    <definedName name="wrn.WORK._.PAPER." localSheetId="0" hidden="1">{#N/A,#N/A,TRUE,"Consolidate";"Work Paper MKT",#N/A,TRUE,"MKT";"Work Paper BUSS",#N/A,TRUE,"BusOper";"Work Paper TECH",#N/A,TRUE,"Tech";"Work Paper LOCAL",#N/A,TRUE,"LocalProg";"Work Paper GA",#N/A,TRUE,"G&amp;A";"Work Paper CONSOL",#N/A,TRUE,"Consolidate"}</definedName>
    <definedName name="wrn.WORK._.PAPER." localSheetId="3" hidden="1">{#N/A,#N/A,TRUE,"Consolidate";"Work Paper MKT",#N/A,TRUE,"MKT";"Work Paper BUSS",#N/A,TRUE,"BusOper";"Work Paper TECH",#N/A,TRUE,"Tech";"Work Paper LOCAL",#N/A,TRUE,"LocalProg";"Work Paper GA",#N/A,TRUE,"G&amp;A";"Work Paper CONSOL",#N/A,TRUE,"Consolidate"}</definedName>
    <definedName name="wrn.WORK._.PAPER." localSheetId="7" hidden="1">{#N/A,#N/A,TRUE,"Consolidate";"Work Paper MKT",#N/A,TRUE,"MKT";"Work Paper BUSS",#N/A,TRUE,"BusOper";"Work Paper TECH",#N/A,TRUE,"Tech";"Work Paper LOCAL",#N/A,TRUE,"LocalProg";"Work Paper GA",#N/A,TRUE,"G&amp;A";"Work Paper CONSOL",#N/A,TRUE,"Consolidate"}</definedName>
    <definedName name="wrn.WORK._.PAPER." hidden="1">{#N/A,#N/A,TRUE,"Consolidate";"Work Paper MKT",#N/A,TRUE,"MKT";"Work Paper BUSS",#N/A,TRUE,"BusOper";"Work Paper TECH",#N/A,TRUE,"Tech";"Work Paper LOCAL",#N/A,TRUE,"LocalProg";"Work Paper GA",#N/A,TRUE,"G&amp;A";"Work Paper CONSOL",#N/A,TRUE,"Consolidate"}</definedName>
    <definedName name="wrn.WORK._.PAPER._.99." localSheetId="0" hidden="1">{"Work Paper99 MKT",#N/A,TRUE,"MKT";"Work Paper99 BUSS",#N/A,TRUE,"BusOper";"Work Paper99 TECH",#N/A,TRUE,"Tech";"Work Paper99 LOCAL",#N/A,TRUE,"LocalProg";"Work Paper99 GA",#N/A,TRUE,"G&amp;A";"Work Paper99 CONSOL",#N/A,TRUE,"Consolidate"}</definedName>
    <definedName name="wrn.WORK._.PAPER._.99." localSheetId="3" hidden="1">{"Work Paper99 MKT",#N/A,TRUE,"MKT";"Work Paper99 BUSS",#N/A,TRUE,"BusOper";"Work Paper99 TECH",#N/A,TRUE,"Tech";"Work Paper99 LOCAL",#N/A,TRUE,"LocalProg";"Work Paper99 GA",#N/A,TRUE,"G&amp;A";"Work Paper99 CONSOL",#N/A,TRUE,"Consolidate"}</definedName>
    <definedName name="wrn.WORK._.PAPER._.99." localSheetId="7" hidden="1">{"Work Paper99 MKT",#N/A,TRUE,"MKT";"Work Paper99 BUSS",#N/A,TRUE,"BusOper";"Work Paper99 TECH",#N/A,TRUE,"Tech";"Work Paper99 LOCAL",#N/A,TRUE,"LocalProg";"Work Paper99 GA",#N/A,TRUE,"G&amp;A";"Work Paper99 CONSOL",#N/A,TRUE,"Consolidate"}</definedName>
    <definedName name="wrn.WORK._.PAPER._.99." hidden="1">{"Work Paper99 MKT",#N/A,TRUE,"MKT";"Work Paper99 BUSS",#N/A,TRUE,"BusOper";"Work Paper99 TECH",#N/A,TRUE,"Tech";"Work Paper99 LOCAL",#N/A,TRUE,"LocalProg";"Work Paper99 GA",#N/A,TRUE,"G&amp;A";"Work Paper99 CONSOL",#N/A,TRUE,"Consolidate"}</definedName>
    <definedName name="wrn.wpoall." localSheetId="3" hidden="1">{"wpocash",#N/A,FALSE,"WPOALLT";"wpoinc",#N/A,FALSE,"WPOALLT";"wpoexcl",#N/A,FALSE,"WPOALLT";"wpocable",#N/A,FALSE,"WPOALLT";"wpobroad",#N/A,FALSE,"WPOALLT";"wpopost",#N/A,FALSE,"WPOALLT";"wponwsweek",#N/A,FALSE,"WPOALLT"}</definedName>
    <definedName name="wrn.wpoall." localSheetId="7" hidden="1">{"wpocash",#N/A,FALSE,"WPOALLT";"wpoinc",#N/A,FALSE,"WPOALLT";"wpoexcl",#N/A,FALSE,"WPOALLT";"wpocable",#N/A,FALSE,"WPOALLT";"wpobroad",#N/A,FALSE,"WPOALLT";"wpopost",#N/A,FALSE,"WPOALLT";"wponwsweek",#N/A,FALSE,"WPOALLT"}</definedName>
    <definedName name="wrn.wpoall." hidden="1">{"wpocash",#N/A,FALSE,"WPOALLT";"wpoinc",#N/A,FALSE,"WPOALLT";"wpoexcl",#N/A,FALSE,"WPOALLT";"wpocable",#N/A,FALSE,"WPOALLT";"wpobroad",#N/A,FALSE,"WPOALLT";"wpopost",#N/A,FALSE,"WPOALLT";"wponwsweek",#N/A,FALSE,"WPOALLT"}</definedName>
    <definedName name="wrn.X140." localSheetId="3" hidden="1">{"page1",#N/A,FALSE,"X140withReclasses";"page2",#N/A,FALSE,"X140withReclasses";"page3",#N/A,FALSE,"X140withReclasses"}</definedName>
    <definedName name="wrn.X140." localSheetId="7" hidden="1">{"page1",#N/A,FALSE,"X140withReclasses";"page2",#N/A,FALSE,"X140withReclasses";"page3",#N/A,FALSE,"X140withReclasses"}</definedName>
    <definedName name="wrn.X140." hidden="1">{"page1",#N/A,FALSE,"X140withReclasses";"page2",#N/A,FALSE,"X140withReclasses";"page3",#N/A,FALSE,"X140withReclasses"}</definedName>
    <definedName name="wrn.YTD." localSheetId="3" hidden="1">{"YTD",#N/A,FALSE,"SUM"}</definedName>
    <definedName name="wrn.YTD." localSheetId="7" hidden="1">{"YTD",#N/A,FALSE,"SUM"}</definedName>
    <definedName name="wrn.YTD." hidden="1">{"YTD",#N/A,FALSE,"SUM"}</definedName>
    <definedName name="wrn.YTD._.PACKAGE." localSheetId="3" hidden="1">{"YD PACKAGE",#N/A,FALSE,"YTD"}</definedName>
    <definedName name="wrn.YTD._.PACKAGE." localSheetId="7" hidden="1">{"YD PACKAGE",#N/A,FALSE,"YTD"}</definedName>
    <definedName name="wrn.YTD._.PACKAGE." hidden="1">{"YD PACKAGE",#N/A,FALSE,"YTD"}</definedName>
    <definedName name="wrn.YTD._.PRS." localSheetId="3" hidden="1">{"YD PRS",#N/A,FALSE,"YTD"}</definedName>
    <definedName name="wrn.YTD._.PRS." localSheetId="7" hidden="1">{"YD PRS",#N/A,FALSE,"YTD"}</definedName>
    <definedName name="wrn.YTD._.PRS." hidden="1">{"YD PRS",#N/A,FALSE,"YTD"}</definedName>
    <definedName name="wrn.YTD_ALL." localSheetId="3" hidden="1">{"YD LAPO2",#N/A,FALSE,"YTD";"YD LPH2",#N/A,FALSE,"YTD";"YD LOUISIANA",#N/A,FALSE,"YTD";"YD GENERALH2",#N/A,FALSE,"YTD";"YD PRS",#N/A,FALSE,"YTD";"YD PACKAGE",#N/A,FALSE,"YTD";"YD OTHER",#N/A,FALSE,"YTD"}</definedName>
    <definedName name="wrn.YTD_ALL." localSheetId="7" hidden="1">{"YD LAPO2",#N/A,FALSE,"YTD";"YD LPH2",#N/A,FALSE,"YTD";"YD LOUISIANA",#N/A,FALSE,"YTD";"YD GENERALH2",#N/A,FALSE,"YTD";"YD PRS",#N/A,FALSE,"YTD";"YD PACKAGE",#N/A,FALSE,"YTD";"YD OTHER",#N/A,FALSE,"YTD"}</definedName>
    <definedName name="wrn.YTD_ALL." hidden="1">{"YD LAPO2",#N/A,FALSE,"YTD";"YD LPH2",#N/A,FALSE,"YTD";"YD LOUISIANA",#N/A,FALSE,"YTD";"YD GENERALH2",#N/A,FALSE,"YTD";"YD PRS",#N/A,FALSE,"YTD";"YD PACKAGE",#N/A,FALSE,"YTD";"YD OTHER",#N/A,FALSE,"YTD"}</definedName>
    <definedName name="wrn.YTD_GENERALH2." localSheetId="3" hidden="1">{"YD GENERALH2",#N/A,FALSE,"YTD"}</definedName>
    <definedName name="wrn.YTD_GENERALH2." localSheetId="7" hidden="1">{"YD GENERALH2",#N/A,FALSE,"YTD"}</definedName>
    <definedName name="wrn.YTD_GENERALH2." hidden="1">{"YD GENERALH2",#N/A,FALSE,"YTD"}</definedName>
    <definedName name="wrn.YTD_LAPORTE_O2N2." localSheetId="3" hidden="1">{"YD LAPO2",#N/A,FALSE,"YTD"}</definedName>
    <definedName name="wrn.YTD_LAPORTE_O2N2." localSheetId="7" hidden="1">{"YD LAPO2",#N/A,FALSE,"YTD"}</definedName>
    <definedName name="wrn.YTD_LAPORTE_O2N2." hidden="1">{"YD LAPO2",#N/A,FALSE,"YTD"}</definedName>
    <definedName name="wrn.YTD_LOUISIANA." localSheetId="3" hidden="1">{"YD LOUISIANA",#N/A,FALSE,"YTD"}</definedName>
    <definedName name="wrn.YTD_LOUISIANA." localSheetId="7" hidden="1">{"YD LOUISIANA",#N/A,FALSE,"YTD"}</definedName>
    <definedName name="wrn.YTD_LOUISIANA." hidden="1">{"YD LOUISIANA",#N/A,FALSE,"YTD"}</definedName>
    <definedName name="wrn.YTD_OTHER." localSheetId="3" hidden="1">{"YD OTHER",#N/A,FALSE,"YTD"}</definedName>
    <definedName name="wrn.YTD_OTHER." localSheetId="7" hidden="1">{"YD OTHER",#N/A,FALSE,"YTD"}</definedName>
    <definedName name="wrn.YTD_OTHER." hidden="1">{"YD OTHER",#N/A,FALSE,"YTD"}</definedName>
    <definedName name="wrn.YTD_TEXAS._.HYCO." localSheetId="3" hidden="1">{"YD LPH2",#N/A,FALSE,"YTD"}</definedName>
    <definedName name="wrn.YTD_TEXAS._.HYCO." localSheetId="7" hidden="1">{"YD LPH2",#N/A,FALSE,"YTD"}</definedName>
    <definedName name="wrn.YTD_TEXAS._.HYCO." hidden="1">{"YD LPH2",#N/A,FALSE,"YTD"}</definedName>
    <definedName name="wrn.YTDvsBud." localSheetId="3" hidden="1">{"Pg1",#N/A,FALSE,"OpExYTDvsBud";"Pg2",#N/A,FALSE,"OpExYTDvsBud"}</definedName>
    <definedName name="wrn.YTDvsBud." localSheetId="7" hidden="1">{"Pg1",#N/A,FALSE,"OpExYTDvsBud";"Pg2",#N/A,FALSE,"OpExYTDvsBud"}</definedName>
    <definedName name="wrn.YTDvsBud." hidden="1">{"Pg1",#N/A,FALSE,"OpExYTDvsBud";"Pg2",#N/A,FALSE,"OpExYTDvsBud"}</definedName>
    <definedName name="wrn.YTDvsPY." localSheetId="3" hidden="1">{"Pa1",#N/A,FALSE,"OpExYTDvsPY";"Pa2",#N/A,FALSE,"OpExYTDvsPY"}</definedName>
    <definedName name="wrn.YTDvsPY." localSheetId="7" hidden="1">{"Pa1",#N/A,FALSE,"OpExYTDvsPY";"Pa2",#N/A,FALSE,"OpExYTDvsPY"}</definedName>
    <definedName name="wrn.YTDvsPY." hidden="1">{"Pa1",#N/A,FALSE,"OpExYTDvsPY";"Pa2",#N/A,FALSE,"OpExYTDvsPY"}</definedName>
    <definedName name="wrn1.Current._.Month._.Everything" localSheetId="3"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Current._.Month._.Everything"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Current._.Month._.Everything"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history" localSheetId="3" hidden="1">{#N/A,#N/A,FALSE,"model"}</definedName>
    <definedName name="wrn1.history" localSheetId="7" hidden="1">{#N/A,#N/A,FALSE,"model"}</definedName>
    <definedName name="wrn1.history" hidden="1">{#N/A,#N/A,FALSE,"model"}</definedName>
    <definedName name="wrn1.PRINT." localSheetId="3" hidden="1">{"DOWNLOAD",#N/A,FALSE,"GLDownload";"UPLOAD",#N/A,FALSE,"GLUpload"}</definedName>
    <definedName name="wrn1.PRINT." localSheetId="7" hidden="1">{"DOWNLOAD",#N/A,FALSE,"GLDownload";"UPLOAD",#N/A,FALSE,"GLUpload"}</definedName>
    <definedName name="wrn1.PRINT." hidden="1">{"DOWNLOAD",#N/A,FALSE,"GLDownload";"UPLOAD",#N/A,FALSE,"GLUpload"}</definedName>
    <definedName name="wrn3.histroic" localSheetId="3" hidden="1">{#N/A,#N/A,FALSE,"model"}</definedName>
    <definedName name="wrn3.histroic" localSheetId="7" hidden="1">{#N/A,#N/A,FALSE,"model"}</definedName>
    <definedName name="wrn3.histroic" hidden="1">{#N/A,#N/A,FALSE,"model"}</definedName>
    <definedName name="wrna.prod" localSheetId="3" hidden="1">{#N/A,#N/A,FALSE,"1";#N/A,#N/A,FALSE,"2";#N/A,#N/A,FALSE,"16 - 17";#N/A,#N/A,FALSE,"18 - 19";#N/A,#N/A,FALSE,"26";#N/A,#N/A,FALSE,"27";#N/A,#N/A,FALSE,"28"}</definedName>
    <definedName name="wrna.prod" localSheetId="7" hidden="1">{#N/A,#N/A,FALSE,"1";#N/A,#N/A,FALSE,"2";#N/A,#N/A,FALSE,"16 - 17";#N/A,#N/A,FALSE,"18 - 19";#N/A,#N/A,FALSE,"26";#N/A,#N/A,FALSE,"27";#N/A,#N/A,FALSE,"28"}</definedName>
    <definedName name="wrna.prod" hidden="1">{#N/A,#N/A,FALSE,"1";#N/A,#N/A,FALSE,"2";#N/A,#N/A,FALSE,"16 - 17";#N/A,#N/A,FALSE,"18 - 19";#N/A,#N/A,FALSE,"26";#N/A,#N/A,FALSE,"27";#N/A,#N/A,FALSE,"28"}</definedName>
    <definedName name="wrnaboth" localSheetId="3" hidden="1">{"detail",#N/A,FALSE,"mfg";"summary",#N/A,FALSE,"mfg"}</definedName>
    <definedName name="wrnaboth" localSheetId="7" hidden="1">{"detail",#N/A,FALSE,"mfg";"summary",#N/A,FALSE,"mfg"}</definedName>
    <definedName name="wrnaboth" hidden="1">{"detail",#N/A,FALSE,"mfg";"summary",#N/A,FALSE,"mfg"}</definedName>
    <definedName name="wrnats" localSheetId="3" hidden="1">{#N/A,"PURADD",FALSE,"Business Analysis";#N/A,"PURSPP",FALSE,"Business Analysis";#N/A,"CTGIND",FALSE,"Business Analysis";#N/A,"PURCHM",FALSE,"Business Analysis";#N/A,"SPADD",FALSE,"Business Analysis";#N/A,"EPOXY",FALSE,"Business Analysis";#N/A,"PURPER",FALSE,"Business Analysis"}</definedName>
    <definedName name="wrnats" localSheetId="7" hidden="1">{#N/A,"PURADD",FALSE,"Business Analysis";#N/A,"PURSPP",FALSE,"Business Analysis";#N/A,"CTGIND",FALSE,"Business Analysis";#N/A,"PURCHM",FALSE,"Business Analysis";#N/A,"SPADD",FALSE,"Business Analysis";#N/A,"EPOXY",FALSE,"Business Analysis";#N/A,"PURPER",FALSE,"Business Analysis"}</definedName>
    <definedName name="wrnats" hidden="1">{#N/A,"PURADD",FALSE,"Business Analysis";#N/A,"PURSPP",FALSE,"Business Analysis";#N/A,"CTGIND",FALSE,"Business Analysis";#N/A,"PURCHM",FALSE,"Business Analysis";#N/A,"SPADD",FALSE,"Business Analysis";#N/A,"EPOXY",FALSE,"Business Analysis";#N/A,"PURPER",FALSE,"Business Analysis"}</definedName>
    <definedName name="wrnavboth" localSheetId="3" hidden="1">{"detail",#N/A,FALSE,"mfg";"summary",#N/A,FALSE,"mfg"}</definedName>
    <definedName name="wrnavboth" localSheetId="7" hidden="1">{"detail",#N/A,FALSE,"mfg";"summary",#N/A,FALSE,"mfg"}</definedName>
    <definedName name="wrnavboth" hidden="1">{"detail",#N/A,FALSE,"mfg";"summary",#N/A,FALSE,"mfg"}</definedName>
    <definedName name="wrnavpucspadd" localSheetId="3" hidden="1">{#N/A,"PURCHM",FALSE,"Business Analysis";#N/A,"SPADD",FALSE,"Business Analysis"}</definedName>
    <definedName name="wrnavpucspadd" localSheetId="7" hidden="1">{#N/A,"PURCHM",FALSE,"Business Analysis";#N/A,"SPADD",FALSE,"Business Analysis"}</definedName>
    <definedName name="wrnavpucspadd" hidden="1">{#N/A,"PURCHM",FALSE,"Business Analysis";#N/A,"SPADD",FALSE,"Business Analysis"}</definedName>
    <definedName name="wrnb213" localSheetId="3" hidden="1">{"detail",#N/A,FALSE,"mfg";"summary",#N/A,FALSE,"mfg"}</definedName>
    <definedName name="wrnb213" localSheetId="7" hidden="1">{"detail",#N/A,FALSE,"mfg";"summary",#N/A,FALSE,"mfg"}</definedName>
    <definedName name="wrnb213" hidden="1">{"detail",#N/A,FALSE,"mfg";"summary",#N/A,FALSE,"mfg"}</definedName>
    <definedName name="wrnb412" localSheetId="3" hidden="1">{"detail",#N/A,FALSE,"mfg";"summary",#N/A,FALSE,"mfg"}</definedName>
    <definedName name="wrnb412" localSheetId="7" hidden="1">{"detail",#N/A,FALSE,"mfg";"summary",#N/A,FALSE,"mfg"}</definedName>
    <definedName name="wrnb412" hidden="1">{"detail",#N/A,FALSE,"mfg";"summary",#N/A,FALSE,"mfg"}</definedName>
    <definedName name="wrnboth14a" localSheetId="3" hidden="1">{"detail",#N/A,FALSE,"mfg";"summary",#N/A,FALSE,"mfg"}</definedName>
    <definedName name="wrnboth14a" localSheetId="7" hidden="1">{"detail",#N/A,FALSE,"mfg";"summary",#N/A,FALSE,"mfg"}</definedName>
    <definedName name="wrnboth14a" hidden="1">{"detail",#N/A,FALSE,"mfg";"summary",#N/A,FALSE,"mfg"}</definedName>
    <definedName name="WRNP41" localSheetId="3" hidden="1">{#N/A,"PURCHM",FALSE,"Business Analysis";#N/A,"SPADD",FALSE,"Business Analysis"}</definedName>
    <definedName name="WRNP41" localSheetId="7" hidden="1">{#N/A,"PURCHM",FALSE,"Business Analysis";#N/A,"SPADD",FALSE,"Business Analysis"}</definedName>
    <definedName name="WRNP41" hidden="1">{#N/A,"PURCHM",FALSE,"Business Analysis";#N/A,"SPADD",FALSE,"Business Analysis"}</definedName>
    <definedName name="wrnp61" localSheetId="3" hidden="1">{#N/A,"PURCHM",FALSE,"Business Analysis";#N/A,"SPADD",FALSE,"Business Analysis"}</definedName>
    <definedName name="wrnp61" localSheetId="7" hidden="1">{#N/A,"PURCHM",FALSE,"Business Analysis";#N/A,"SPADD",FALSE,"Business Analysis"}</definedName>
    <definedName name="wrnp61" hidden="1">{#N/A,"PURCHM",FALSE,"Business Analysis";#N/A,"SPADD",FALSE,"Business Analysis"}</definedName>
    <definedName name="wrnpav" localSheetId="3" hidden="1">{#N/A,"PURCHM",FALSE,"Business Analysis";#N/A,"SPADD",FALSE,"Business Analysis"}</definedName>
    <definedName name="wrnpav" localSheetId="7" hidden="1">{#N/A,"PURCHM",FALSE,"Business Analysis";#N/A,"SPADD",FALSE,"Business Analysis"}</definedName>
    <definedName name="wrnpav" hidden="1">{#N/A,"PURCHM",FALSE,"Business Analysis";#N/A,"SPADD",FALSE,"Business Analysis"}</definedName>
    <definedName name="wrnpuc213" localSheetId="3" hidden="1">{#N/A,"PURCHM",FALSE,"Business Analysis";#N/A,"SPADD",FALSE,"Business Analysis"}</definedName>
    <definedName name="wrnpuc213" localSheetId="7" hidden="1">{#N/A,"PURCHM",FALSE,"Business Analysis";#N/A,"SPADD",FALSE,"Business Analysis"}</definedName>
    <definedName name="wrnpuc213" hidden="1">{#N/A,"PURCHM",FALSE,"Business Analysis";#N/A,"SPADD",FALSE,"Business Analysis"}</definedName>
    <definedName name="wrnpuc2412" localSheetId="3" hidden="1">{#N/A,"PURCHM",FALSE,"Business Analysis";#N/A,"SPADD",FALSE,"Business Analysis"}</definedName>
    <definedName name="wrnpuc2412" localSheetId="7" hidden="1">{#N/A,"PURCHM",FALSE,"Business Analysis";#N/A,"SPADD",FALSE,"Business Analysis"}</definedName>
    <definedName name="wrnpuc2412" hidden="1">{#N/A,"PURCHM",FALSE,"Business Analysis";#N/A,"SPADD",FALSE,"Business Analysis"}</definedName>
    <definedName name="wrnpuc412" localSheetId="3" hidden="1">{#N/A,"PURCHM",FALSE,"Business Analysis";#N/A,"SPADD",FALSE,"Business Analysis"}</definedName>
    <definedName name="wrnpuc412" localSheetId="7" hidden="1">{#N/A,"PURCHM",FALSE,"Business Analysis";#N/A,"SPADD",FALSE,"Business Analysis"}</definedName>
    <definedName name="wrnpuc412" hidden="1">{#N/A,"PURCHM",FALSE,"Business Analysis";#N/A,"SPADD",FALSE,"Business Analysis"}</definedName>
    <definedName name="wrnpucs213" localSheetId="3" hidden="1">{#N/A,"PURCHM",FALSE,"Business Analysis";#N/A,"SPADD",FALSE,"Business Analysis"}</definedName>
    <definedName name="wrnpucs213" localSheetId="7" hidden="1">{#N/A,"PURCHM",FALSE,"Business Analysis";#N/A,"SPADD",FALSE,"Business Analysis"}</definedName>
    <definedName name="wrnpucs213" hidden="1">{#N/A,"PURCHM",FALSE,"Business Analysis";#N/A,"SPADD",FALSE,"Business Analysis"}</definedName>
    <definedName name="wrnpucspadd32" localSheetId="3" hidden="1">{#N/A,"PURCHM",FALSE,"Business Analysis";#N/A,"SPADD",FALSE,"Business Analysis"}</definedName>
    <definedName name="wrnpucspadd32" localSheetId="7" hidden="1">{#N/A,"PURCHM",FALSE,"Business Analysis";#N/A,"SPADD",FALSE,"Business Analysis"}</definedName>
    <definedName name="wrnpucspadd32" hidden="1">{#N/A,"PURCHM",FALSE,"Business Analysis";#N/A,"SPADD",FALSE,"Business Analysis"}</definedName>
    <definedName name="wrnpucspaddza103" localSheetId="3" hidden="1">{#N/A,"PURCHM",FALSE,"Business Analysis";#N/A,"SPADD",FALSE,"Business Analysis"}</definedName>
    <definedName name="wrnpucspaddza103" localSheetId="7" hidden="1">{#N/A,"PURCHM",FALSE,"Business Analysis";#N/A,"SPADD",FALSE,"Business Analysis"}</definedName>
    <definedName name="wrnpucspaddza103" hidden="1">{#N/A,"PURCHM",FALSE,"Business Analysis";#N/A,"SPADD",FALSE,"Business Analysis"}</definedName>
    <definedName name="wrnpucspvd" localSheetId="3" hidden="1">{#N/A,"PURCHM",FALSE,"Business Analysis";#N/A,"SPADD",FALSE,"Business Analysis"}</definedName>
    <definedName name="wrnpucspvd" localSheetId="7" hidden="1">{#N/A,"PURCHM",FALSE,"Business Analysis";#N/A,"SPADD",FALSE,"Business Analysis"}</definedName>
    <definedName name="wrnpucspvd" hidden="1">{#N/A,"PURCHM",FALSE,"Business Analysis";#N/A,"SPADD",FALSE,"Business Analysis"}</definedName>
    <definedName name="wrnpvcs" localSheetId="3" hidden="1">{#N/A,"PURCHM",FALSE,"Business Analysis";#N/A,"SPADD",FALSE,"Business Analysis"}</definedName>
    <definedName name="wrnpvcs" localSheetId="7" hidden="1">{#N/A,"PURCHM",FALSE,"Business Analysis";#N/A,"SPADD",FALSE,"Business Analysis"}</definedName>
    <definedName name="wrnpvcs" hidden="1">{#N/A,"PURCHM",FALSE,"Business Analysis";#N/A,"SPADD",FALSE,"Business Analysis"}</definedName>
    <definedName name="wrnt51" localSheetId="3" hidden="1">{#N/A,"PURADD",FALSE,"Business Analysis";#N/A,"PURSPP",FALSE,"Business Analysis";#N/A,"CTGIND",FALSE,"Business Analysis";#N/A,"PURCHM",FALSE,"Business Analysis";#N/A,"SPADD",FALSE,"Business Analysis";#N/A,"EPOXY",FALSE,"Business Analysis";#N/A,"PURPER",FALSE,"Business Analysis"}</definedName>
    <definedName name="wrnt51" localSheetId="7" hidden="1">{#N/A,"PURADD",FALSE,"Business Analysis";#N/A,"PURSPP",FALSE,"Business Analysis";#N/A,"CTGIND",FALSE,"Business Analysis";#N/A,"PURCHM",FALSE,"Business Analysis";#N/A,"SPADD",FALSE,"Business Analysis";#N/A,"EPOXY",FALSE,"Business Analysis";#N/A,"PURPER",FALSE,"Business Analysis"}</definedName>
    <definedName name="wrnt51" hidden="1">{#N/A,"PURADD",FALSE,"Business Analysis";#N/A,"PURSPP",FALSE,"Business Analysis";#N/A,"CTGIND",FALSE,"Business Analysis";#N/A,"PURCHM",FALSE,"Business Analysis";#N/A,"SPADD",FALSE,"Business Analysis";#N/A,"EPOXY",FALSE,"Business Analysis";#N/A,"PURPER",FALSE,"Business Analysis"}</definedName>
    <definedName name="wrnt61" localSheetId="3" hidden="1">{#N/A,"PURADD",FALSE,"Business Analysis";#N/A,"PURSPP",FALSE,"Business Analysis";#N/A,"CTGIND",FALSE,"Business Analysis";#N/A,"PURCHM",FALSE,"Business Analysis";#N/A,"SPADD",FALSE,"Business Analysis";#N/A,"EPOXY",FALSE,"Business Analysis";#N/A,"PURPER",FALSE,"Business Analysis"}</definedName>
    <definedName name="wrnt61" localSheetId="7" hidden="1">{#N/A,"PURADD",FALSE,"Business Analysis";#N/A,"PURSPP",FALSE,"Business Analysis";#N/A,"CTGIND",FALSE,"Business Analysis";#N/A,"PURCHM",FALSE,"Business Analysis";#N/A,"SPADD",FALSE,"Business Analysis";#N/A,"EPOXY",FALSE,"Business Analysis";#N/A,"PURPER",FALSE,"Business Analysis"}</definedName>
    <definedName name="wrnt61" hidden="1">{#N/A,"PURADD",FALSE,"Business Analysis";#N/A,"PURSPP",FALSE,"Business Analysis";#N/A,"CTGIND",FALSE,"Business Analysis";#N/A,"PURCHM",FALSE,"Business Analysis";#N/A,"SPADD",FALSE,"Business Analysis";#N/A,"EPOXY",FALSE,"Business Analysis";#N/A,"PURPER",FALSE,"Business Analysis"}</definedName>
    <definedName name="wrnt71" localSheetId="3" hidden="1">{#N/A,"PURADD",FALSE,"Business Analysis";#N/A,"PURSPP",FALSE,"Business Analysis";#N/A,"CTGIND",FALSE,"Business Analysis";#N/A,"PURCHM",FALSE,"Business Analysis";#N/A,"SPADD",FALSE,"Business Analysis";#N/A,"EPOXY",FALSE,"Business Analysis";#N/A,"PURPER",FALSE,"Business Analysis"}</definedName>
    <definedName name="wrnt71" localSheetId="7" hidden="1">{#N/A,"PURADD",FALSE,"Business Analysis";#N/A,"PURSPP",FALSE,"Business Analysis";#N/A,"CTGIND",FALSE,"Business Analysis";#N/A,"PURCHM",FALSE,"Business Analysis";#N/A,"SPADD",FALSE,"Business Analysis";#N/A,"EPOXY",FALSE,"Business Analysis";#N/A,"PURPER",FALSE,"Business Analysis"}</definedName>
    <definedName name="wrnt71" hidden="1">{#N/A,"PURADD",FALSE,"Business Analysis";#N/A,"PURSPP",FALSE,"Business Analysis";#N/A,"CTGIND",FALSE,"Business Analysis";#N/A,"PURCHM",FALSE,"Business Analysis";#N/A,"SPADD",FALSE,"Business Analysis";#N/A,"EPOXY",FALSE,"Business Analysis";#N/A,"PURPER",FALSE,"Business Analysis"}</definedName>
    <definedName name="WRNTOT41" localSheetId="3" hidden="1">{#N/A,"PURADD",FALSE,"Business Analysis";#N/A,"PURSPP",FALSE,"Business Analysis";#N/A,"CTGIND",FALSE,"Business Analysis";#N/A,"PURCHM",FALSE,"Business Analysis";#N/A,"SPADD",FALSE,"Business Analysis";#N/A,"EPOXY",FALSE,"Business Analysis";#N/A,"PURPER",FALSE,"Business Analysis"}</definedName>
    <definedName name="WRNTOT41" localSheetId="7" hidden="1">{#N/A,"PURADD",FALSE,"Business Analysis";#N/A,"PURSPP",FALSE,"Business Analysis";#N/A,"CTGIND",FALSE,"Business Analysis";#N/A,"PURCHM",FALSE,"Business Analysis";#N/A,"SPADD",FALSE,"Business Analysis";#N/A,"EPOXY",FALSE,"Business Analysis";#N/A,"PURPER",FALSE,"Business Analysis"}</definedName>
    <definedName name="WRNTOT41" hidden="1">{#N/A,"PURADD",FALSE,"Business Analysis";#N/A,"PURSPP",FALSE,"Business Analysis";#N/A,"CTGIND",FALSE,"Business Analysis";#N/A,"PURCHM",FALSE,"Business Analysis";#N/A,"SPADD",FALSE,"Business Analysis";#N/A,"EPOXY",FALSE,"Business Analysis";#N/A,"PURPER",FALSE,"Business Analysis"}</definedName>
    <definedName name="wrntot412" localSheetId="3" hidden="1">{#N/A,"PURADD",FALSE,"Business Analysis";#N/A,"PURSPP",FALSE,"Business Analysis";#N/A,"CTGIND",FALSE,"Business Analysis";#N/A,"PURCHM",FALSE,"Business Analysis";#N/A,"SPADD",FALSE,"Business Analysis";#N/A,"EPOXY",FALSE,"Business Analysis";#N/A,"PURPER",FALSE,"Business Analysis"}</definedName>
    <definedName name="wrntot412" localSheetId="7" hidden="1">{#N/A,"PURADD",FALSE,"Business Analysis";#N/A,"PURSPP",FALSE,"Business Analysis";#N/A,"CTGIND",FALSE,"Business Analysis";#N/A,"PURCHM",FALSE,"Business Analysis";#N/A,"SPADD",FALSE,"Business Analysis";#N/A,"EPOXY",FALSE,"Business Analysis";#N/A,"PURPER",FALSE,"Business Analysis"}</definedName>
    <definedName name="wrntot412" hidden="1">{#N/A,"PURADD",FALSE,"Business Analysis";#N/A,"PURSPP",FALSE,"Business Analysis";#N/A,"CTGIND",FALSE,"Business Analysis";#N/A,"PURCHM",FALSE,"Business Analysis";#N/A,"SPADD",FALSE,"Business Analysis";#N/A,"EPOXY",FALSE,"Business Analysis";#N/A,"PURPER",FALSE,"Business Analysis"}</definedName>
    <definedName name="wrntotal213" localSheetId="3" hidden="1">{#N/A,"PURADD",FALSE,"Business Analysis";#N/A,"PURSPP",FALSE,"Business Analysis";#N/A,"CTGIND",FALSE,"Business Analysis";#N/A,"PURCHM",FALSE,"Business Analysis";#N/A,"SPADD",FALSE,"Business Analysis";#N/A,"EPOXY",FALSE,"Business Analysis";#N/A,"PURPER",FALSE,"Business Analysis"}</definedName>
    <definedName name="wrntotal213" localSheetId="7" hidden="1">{#N/A,"PURADD",FALSE,"Business Analysis";#N/A,"PURSPP",FALSE,"Business Analysis";#N/A,"CTGIND",FALSE,"Business Analysis";#N/A,"PURCHM",FALSE,"Business Analysis";#N/A,"SPADD",FALSE,"Business Analysis";#N/A,"EPOXY",FALSE,"Business Analysis";#N/A,"PURPER",FALSE,"Business Analysis"}</definedName>
    <definedName name="wrntotal213" hidden="1">{#N/A,"PURADD",FALSE,"Business Analysis";#N/A,"PURSPP",FALSE,"Business Analysis";#N/A,"CTGIND",FALSE,"Business Analysis";#N/A,"PURCHM",FALSE,"Business Analysis";#N/A,"SPADD",FALSE,"Business Analysis";#N/A,"EPOXY",FALSE,"Business Analysis";#N/A,"PURPER",FALSE,"Business Analysis"}</definedName>
    <definedName name="wrntotax" localSheetId="3" hidden="1">{#N/A,"PURADD",FALSE,"Business Analysis";#N/A,"PURSPP",FALSE,"Business Analysis";#N/A,"CTGIND",FALSE,"Business Analysis";#N/A,"PURCHM",FALSE,"Business Analysis";#N/A,"SPADD",FALSE,"Business Analysis";#N/A,"EPOXY",FALSE,"Business Analysis";#N/A,"PURPER",FALSE,"Business Analysis"}</definedName>
    <definedName name="wrntotax" localSheetId="7" hidden="1">{#N/A,"PURADD",FALSE,"Business Analysis";#N/A,"PURSPP",FALSE,"Business Analysis";#N/A,"CTGIND",FALSE,"Business Analysis";#N/A,"PURCHM",FALSE,"Business Analysis";#N/A,"SPADD",FALSE,"Business Analysis";#N/A,"EPOXY",FALSE,"Business Analysis";#N/A,"PURPER",FALSE,"Business Analysis"}</definedName>
    <definedName name="wrntotax" hidden="1">{#N/A,"PURADD",FALSE,"Business Analysis";#N/A,"PURSPP",FALSE,"Business Analysis";#N/A,"CTGIND",FALSE,"Business Analysis";#N/A,"PURCHM",FALSE,"Business Analysis";#N/A,"SPADD",FALSE,"Business Analysis";#N/A,"EPOXY",FALSE,"Business Analysis";#N/A,"PURPER",FALSE,"Business Analysis"}</definedName>
    <definedName name="wrntotdiv213" localSheetId="3" hidden="1">{#N/A,"PURADD",FALSE,"Business Analysis";#N/A,"PURSPP",FALSE,"Business Analysis";#N/A,"CTGIND",FALSE,"Business Analysis";#N/A,"PURCHM",FALSE,"Business Analysis";#N/A,"SPADD",FALSE,"Business Analysis";#N/A,"EPOXY",FALSE,"Business Analysis";#N/A,"PURPER",FALSE,"Business Analysis"}</definedName>
    <definedName name="wrntotdiv213" localSheetId="7" hidden="1">{#N/A,"PURADD",FALSE,"Business Analysis";#N/A,"PURSPP",FALSE,"Business Analysis";#N/A,"CTGIND",FALSE,"Business Analysis";#N/A,"PURCHM",FALSE,"Business Analysis";#N/A,"SPADD",FALSE,"Business Analysis";#N/A,"EPOXY",FALSE,"Business Analysis";#N/A,"PURPER",FALSE,"Business Analysis"}</definedName>
    <definedName name="wrntotdiv213" hidden="1">{#N/A,"PURADD",FALSE,"Business Analysis";#N/A,"PURSPP",FALSE,"Business Analysis";#N/A,"CTGIND",FALSE,"Business Analysis";#N/A,"PURCHM",FALSE,"Business Analysis";#N/A,"SPADD",FALSE,"Business Analysis";#N/A,"EPOXY",FALSE,"Business Analysis";#N/A,"PURPER",FALSE,"Business Analysis"}</definedName>
    <definedName name="wrntotdiv412" localSheetId="3" hidden="1">{#N/A,"PURADD",FALSE,"Business Analysis";#N/A,"PURSPP",FALSE,"Business Analysis";#N/A,"CTGIND",FALSE,"Business Analysis";#N/A,"PURCHM",FALSE,"Business Analysis";#N/A,"SPADD",FALSE,"Business Analysis";#N/A,"EPOXY",FALSE,"Business Analysis";#N/A,"PURPER",FALSE,"Business Analysis"}</definedName>
    <definedName name="wrntotdiv412" localSheetId="7" hidden="1">{#N/A,"PURADD",FALSE,"Business Analysis";#N/A,"PURSPP",FALSE,"Business Analysis";#N/A,"CTGIND",FALSE,"Business Analysis";#N/A,"PURCHM",FALSE,"Business Analysis";#N/A,"SPADD",FALSE,"Business Analysis";#N/A,"EPOXY",FALSE,"Business Analysis";#N/A,"PURPER",FALSE,"Business Analysis"}</definedName>
    <definedName name="wrntotdiv412" hidden="1">{#N/A,"PURADD",FALSE,"Business Analysis";#N/A,"PURSPP",FALSE,"Business Analysis";#N/A,"CTGIND",FALSE,"Business Analysis";#N/A,"PURCHM",FALSE,"Business Analysis";#N/A,"SPADD",FALSE,"Business Analysis";#N/A,"EPOXY",FALSE,"Business Analysis";#N/A,"PURPER",FALSE,"Business Analysis"}</definedName>
    <definedName name="wrnxxx" localSheetId="3" hidden="1">{#N/A,#N/A,FALSE,"Pag.01"}</definedName>
    <definedName name="wrnxxx" localSheetId="7" hidden="1">{#N/A,#N/A,FALSE,"Pag.01"}</definedName>
    <definedName name="wrnxxx" hidden="1">{#N/A,#N/A,FALSE,"Pag.01"}</definedName>
    <definedName name="WRR" localSheetId="3" hidden="1">{#N/A,#N/A,FALSE,"Pharm";#N/A,#N/A,FALSE,"WWCM"}</definedName>
    <definedName name="WRR" localSheetId="7" hidden="1">{#N/A,#N/A,FALSE,"Pharm";#N/A,#N/A,FALSE,"WWCM"}</definedName>
    <definedName name="WRR" hidden="1">{#N/A,#N/A,FALSE,"Pharm";#N/A,#N/A,FALSE,"WWCM"}</definedName>
    <definedName name="wrre" localSheetId="3"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e" localSheetId="7"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e"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rrr" localSheetId="3" hidden="1">{#N/A,#N/A,FALSE,"REPORT"}</definedName>
    <definedName name="wrrrrr" localSheetId="7" hidden="1">{#N/A,#N/A,FALSE,"REPORT"}</definedName>
    <definedName name="wrrrrr" hidden="1">{#N/A,#N/A,FALSE,"REPORT"}</definedName>
    <definedName name="wrwer" localSheetId="3" hidden="1">{#N/A,#N/A,FALSE,"Umsatz 99";#N/A,#N/A,FALSE,"ER 99 "}</definedName>
    <definedName name="wrwer" localSheetId="7" hidden="1">{#N/A,#N/A,FALSE,"Umsatz 99";#N/A,#N/A,FALSE,"ER 99 "}</definedName>
    <definedName name="wrwer" hidden="1">{#N/A,#N/A,FALSE,"Umsatz 99";#N/A,#N/A,FALSE,"ER 99 "}</definedName>
    <definedName name="wrxave" localSheetId="3" hidden="1">{#N/A,"PURADD",FALSE,"Business Analysis";#N/A,"PURSPP",FALSE,"Business Analysis";#N/A,"CTGIND",FALSE,"Business Analysis";#N/A,"PURCHM",FALSE,"Business Analysis";#N/A,"SPADD",FALSE,"Business Analysis";#N/A,"EPOXY",FALSE,"Business Analysis";#N/A,"PURPER",FALSE,"Business Analysis"}</definedName>
    <definedName name="wrxave" localSheetId="7" hidden="1">{#N/A,"PURADD",FALSE,"Business Analysis";#N/A,"PURSPP",FALSE,"Business Analysis";#N/A,"CTGIND",FALSE,"Business Analysis";#N/A,"PURCHM",FALSE,"Business Analysis";#N/A,"SPADD",FALSE,"Business Analysis";#N/A,"EPOXY",FALSE,"Business Analysis";#N/A,"PURPER",FALSE,"Business Analysis"}</definedName>
    <definedName name="wrxave" hidden="1">{#N/A,"PURADD",FALSE,"Business Analysis";#N/A,"PURSPP",FALSE,"Business Analysis";#N/A,"CTGIND",FALSE,"Business Analysis";#N/A,"PURCHM",FALSE,"Business Analysis";#N/A,"SPADD",FALSE,"Business Analysis";#N/A,"EPOXY",FALSE,"Business Analysis";#N/A,"PURPER",FALSE,"Business Analysis"}</definedName>
    <definedName name="wry" localSheetId="3" hidden="1">{"YD LAPO2",#N/A,FALSE,"YTD"}</definedName>
    <definedName name="wry" localSheetId="7" hidden="1">{"YD LAPO2",#N/A,FALSE,"YTD"}</definedName>
    <definedName name="wry" hidden="1">{"YD LAPO2",#N/A,FALSE,"YTD"}</definedName>
    <definedName name="wv" localSheetId="3" hidden="1">{#N/A,#N/A,FALSE,"Pharm";#N/A,#N/A,FALSE,"WWCM"}</definedName>
    <definedName name="wv" localSheetId="7" hidden="1">{#N/A,#N/A,FALSE,"Pharm";#N/A,#N/A,FALSE,"WWCM"}</definedName>
    <definedName name="wv" hidden="1">{#N/A,#N/A,FALSE,"Pharm";#N/A,#N/A,FALSE,"WWCM"}</definedName>
    <definedName name="wvbub" localSheetId="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bub"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bub"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localSheetId="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localSheetId="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 localSheetId="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localSheetId="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localSheetId="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inputs._.raw._.data."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7"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Print_Todo." localSheetId="3" hidden="1">{TRUE,TRUE,-1.25,-15.5,484.5,276.75,FALSE,TRUE,TRUE,TRUE,0,1,1,300,1,1.96296296296296,1.15384615384615,4,TRUE,TRUE,3,TRUE,1,FALSE,75,"Swvu.Print_Todo.","ACwvu.Print_Todo.",#N/A,FALSE,FALSE,0,0,0,0,2,"","",FALSE,FALSE,TRUE,FALSE,1,#N/A,2,10,"=R1C1:R636C40",FALSE,#N/A,#N/A,FALSE,FALSE,FALSE,9,300,300,FALSE,TRUE,TRUE,TRUE,TRUE}</definedName>
    <definedName name="wvu.Print_Todo." localSheetId="7" hidden="1">{TRUE,TRUE,-1.25,-15.5,484.5,276.75,FALSE,TRUE,TRUE,TRUE,0,1,1,300,1,1.96296296296296,1.15384615384615,4,TRUE,TRUE,3,TRUE,1,FALSE,75,"Swvu.Print_Todo.","ACwvu.Print_Todo.",#N/A,FALSE,FALSE,0,0,0,0,2,"","",FALSE,FALSE,TRUE,FALSE,1,#N/A,2,10,"=R1C1:R636C40",FALSE,#N/A,#N/A,FALSE,FALSE,FALSE,9,300,300,FALSE,TRUE,TRUE,TRUE,TRUE}</definedName>
    <definedName name="wvu.Print_Todo." hidden="1">{TRUE,TRUE,-1.25,-15.5,484.5,276.75,FALSE,TRUE,TRUE,TRUE,0,1,1,300,1,1.96296296296296,1.15384615384615,4,TRUE,TRUE,3,TRUE,1,FALSE,75,"Swvu.Print_Todo.","ACwvu.Print_Todo.",#N/A,FALSE,FALSE,0,0,0,0,2,"","",FALSE,FALSE,TRUE,FALSE,1,#N/A,2,10,"=R1C1:R636C40",FALSE,#N/A,#N/A,FALSE,FALSE,FALSE,9,300,300,FALSE,TRUE,TRUE,TRUE,TRUE}</definedName>
    <definedName name="wvu.RAZA03." localSheetId="3" hidden="1">{TRUE,TRUE,1.75,1,480,274.5,FALSE,FALSE,TRUE,TRUE,0,4,#N/A,104,#N/A,27.7350427350427,17.8823529411765,1,FALSE,FALSE,1,TRUE,1,FALSE,100,"Swvu.RAZA03.","ACwvu.RAZA03.",#N/A,FALSE,FALSE,0.31496062992126,0.275590551181102,0.65,0.64,1,"&amp;R&amp;D
&amp;T","&amp;LC:\JL\EEFF\1996\RESUL03.XLS&amp;R&amp;P
&amp;N",FALSE,FALSE,FALSE,FALSE,1,#N/A,1,1,"=R181C2:R232C30",FALSE,"Rwvu.RAZA03.",#N/A,TRUE,FALSE,FALSE,1,120,72,FALSE,FALSE,TRUE,TRUE,TRUE}</definedName>
    <definedName name="wvu.RAZA03." localSheetId="7" hidden="1">{TRUE,TRUE,1.75,1,480,274.5,FALSE,FALSE,TRUE,TRUE,0,4,#N/A,104,#N/A,27.7350427350427,17.8823529411765,1,FALSE,FALSE,1,TRUE,1,FALSE,100,"Swvu.RAZA03.","ACwvu.RAZA03.",#N/A,FALSE,FALSE,0.31496062992126,0.275590551181102,0.65,0.64,1,"&amp;R&amp;D
&amp;T","&amp;LC:\JL\EEFF\1996\RESUL03.XLS&amp;R&amp;P
&amp;N",FALSE,FALSE,FALSE,FALSE,1,#N/A,1,1,"=R181C2:R232C30",FALSE,"Rwvu.RAZA03.",#N/A,TRUE,FALSE,FALSE,1,120,72,FALSE,FALSE,TRUE,TRUE,TRUE}</definedName>
    <definedName name="wvu.RAZA03." hidden="1">{TRUE,TRUE,1.75,1,480,274.5,FALSE,FALSE,TRUE,TRUE,0,4,#N/A,104,#N/A,27.7350427350427,17.8823529411765,1,FALSE,FALSE,1,TRUE,1,FALSE,100,"Swvu.RAZA03.","ACwvu.RAZA03.",#N/A,FALSE,FALSE,0.31496062992126,0.275590551181102,0.65,0.64,1,"&amp;R&amp;D
&amp;T","&amp;LC:\JL\EEFF\1996\RESUL03.XLS&amp;R&amp;P
&amp;N",FALSE,FALSE,FALSE,FALSE,1,#N/A,1,1,"=R181C2:R232C30",FALSE,"Rwvu.RAZA03.",#N/A,TRUE,FALSE,FALSE,1,120,72,FALSE,FALSE,TRUE,TRUE,TRUE}</definedName>
    <definedName name="wvu.Socios._.95." localSheetId="3" hidden="1">{TRUE,TRUE,-1.25,-15.5,484.5,276.75,FALSE,TRUE,TRUE,TRUE,0,1,#N/A,1,#N/A,6.625,18.0588235294118,1,FALSE,FALSE,3,TRUE,1,FALSE,100,"Swvu.Socios._.95.","ACwvu.Socios._.95.",#N/A,FALSE,FALSE,0.78740157480315,0.78740157480315,0.984251968503937,0.984251968503937,2,"","&amp;L&amp;F&amp;C&amp;A&amp;R&amp;D",TRUE,FALSE,FALSE,FALSE,1,#N/A,1,1,"=R1C1:R14C15",FALSE,#N/A,"Cwvu.Socios._.95.",FALSE,FALSE,FALSE,9,65532,65532,FALSE,FALSE,TRUE,TRUE,TRUE}</definedName>
    <definedName name="wvu.Socios._.95." localSheetId="7" hidden="1">{TRUE,TRUE,-1.25,-15.5,484.5,276.75,FALSE,TRUE,TRUE,TRUE,0,1,#N/A,1,#N/A,6.625,18.0588235294118,1,FALSE,FALSE,3,TRUE,1,FALSE,100,"Swvu.Socios._.95.","ACwvu.Socios._.95.",#N/A,FALSE,FALSE,0.78740157480315,0.78740157480315,0.984251968503937,0.984251968503937,2,"","&amp;L&amp;F&amp;C&amp;A&amp;R&amp;D",TRUE,FALSE,FALSE,FALSE,1,#N/A,1,1,"=R1C1:R14C15",FALSE,#N/A,"Cwvu.Socios._.95.",FALSE,FALSE,FALSE,9,65532,65532,FALSE,FALSE,TRUE,TRUE,TRUE}</definedName>
    <definedName name="wvu.Socios._.95." hidden="1">{TRUE,TRUE,-1.25,-15.5,484.5,276.75,FALSE,TRUE,TRUE,TRUE,0,1,#N/A,1,#N/A,6.625,18.0588235294118,1,FALSE,FALSE,3,TRUE,1,FALSE,100,"Swvu.Socios._.95.","ACwvu.Socios._.95.",#N/A,FALSE,FALSE,0.78740157480315,0.78740157480315,0.984251968503937,0.984251968503937,2,"","&amp;L&amp;F&amp;C&amp;A&amp;R&amp;D",TRUE,FALSE,FALSE,FALSE,1,#N/A,1,1,"=R1C1:R14C15",FALSE,#N/A,"Cwvu.Socios._.95.",FALSE,FALSE,FALSE,9,65532,65532,FALSE,FALSE,TRUE,TRUE,TRUE}</definedName>
    <definedName name="wvu.summary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7"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7"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7"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7"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4." localSheetId="7"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6"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6" localSheetId="7"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b412" localSheetId="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412"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41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localSheetId="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localSheetId="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localSheetId="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localSheetId="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w" localSheetId="3" hidden="1">{#N/A,#N/A,FALSE,"Pharm";#N/A,#N/A,FALSE,"WWCM"}</definedName>
    <definedName name="ww" localSheetId="7" hidden="1">{#N/A,#N/A,FALSE,"Pharm";#N/A,#N/A,FALSE,"WWCM"}</definedName>
    <definedName name="ww" hidden="1">{#N/A,#N/A,FALSE,"Pharm";#N/A,#N/A,FALSE,"WWCM"}</definedName>
    <definedName name="wwe.kkjk" localSheetId="3" hidden="1">{#N/A,#N/A,FALSE,"Umsatz CH";#N/A,#N/A,FALSE,"ER CH";#N/A,#N/A,FALSE,"EA CH (2) ";#N/A,#N/A,FALSE,"EA CH";#N/A,#N/A,FALSE,"EA CH (3) ";#N/A,#N/A,FALSE,"EA CH (4)";#N/A,#N/A,FALSE,"KA CH";#N/A,#N/A,FALSE,"KA CH  (2)";#N/A,#N/A,FALSE,"KA CH  (3)";#N/A,#N/A,FALSE,"KA CH (4)"}</definedName>
    <definedName name="wwe.kkjk" localSheetId="7" hidden="1">{#N/A,#N/A,FALSE,"Umsatz CH";#N/A,#N/A,FALSE,"ER CH";#N/A,#N/A,FALSE,"EA CH (2) ";#N/A,#N/A,FALSE,"EA CH";#N/A,#N/A,FALSE,"EA CH (3) ";#N/A,#N/A,FALSE,"EA CH (4)";#N/A,#N/A,FALSE,"KA CH";#N/A,#N/A,FALSE,"KA CH  (2)";#N/A,#N/A,FALSE,"KA CH  (3)";#N/A,#N/A,FALSE,"KA CH (4)"}</definedName>
    <definedName name="wwe.kkjk" hidden="1">{#N/A,#N/A,FALSE,"Umsatz CH";#N/A,#N/A,FALSE,"ER CH";#N/A,#N/A,FALSE,"EA CH (2) ";#N/A,#N/A,FALSE,"EA CH";#N/A,#N/A,FALSE,"EA CH (3) ";#N/A,#N/A,FALSE,"EA CH (4)";#N/A,#N/A,FALSE,"KA CH";#N/A,#N/A,FALSE,"KA CH  (2)";#N/A,#N/A,FALSE,"KA CH  (3)";#N/A,#N/A,FALSE,"KA CH (4)"}</definedName>
    <definedName name="wwt" localSheetId="3" hidden="1">{"YD LAPO2",#N/A,FALSE,"YTD"}</definedName>
    <definedName name="wwt" localSheetId="7" hidden="1">{"YD LAPO2",#N/A,FALSE,"YTD"}</definedName>
    <definedName name="wwt" hidden="1">{"YD LAPO2",#N/A,FALSE,"YTD"}</definedName>
    <definedName name="www" localSheetId="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ww" localSheetId="7"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ww"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www" localSheetId="3" hidden="1">{#N/A,#N/A,FALSE,"Produkte Erw.";#N/A,#N/A,FALSE,"Produkte Plan";#N/A,#N/A,FALSE,"Leistungen Erw.";#N/A,#N/A,FALSE,"Leistungen Plan";#N/A,#N/A,FALSE,"KA Allg.Kosten (2)";#N/A,#N/A,FALSE,"KA All.Kosten"}</definedName>
    <definedName name="wwww" localSheetId="7" hidden="1">{#N/A,#N/A,FALSE,"Produkte Erw.";#N/A,#N/A,FALSE,"Produkte Plan";#N/A,#N/A,FALSE,"Leistungen Erw.";#N/A,#N/A,FALSE,"Leistungen Plan";#N/A,#N/A,FALSE,"KA Allg.Kosten (2)";#N/A,#N/A,FALSE,"KA All.Kosten"}</definedName>
    <definedName name="wwww" hidden="1">{#N/A,#N/A,FALSE,"Produkte Erw.";#N/A,#N/A,FALSE,"Produkte Plan";#N/A,#N/A,FALSE,"Leistungen Erw.";#N/A,#N/A,FALSE,"Leistungen Plan";#N/A,#N/A,FALSE,"KA Allg.Kosten (2)";#N/A,#N/A,FALSE,"KA All.Kosten"}</definedName>
    <definedName name="wwwwwwwww" localSheetId="3" hidden="1">{"YTD",#N/A,FALSE,"SUM"}</definedName>
    <definedName name="wwwwwwwww" localSheetId="7" hidden="1">{"YTD",#N/A,FALSE,"SUM"}</definedName>
    <definedName name="wwwwwwwww" hidden="1">{"YTD",#N/A,FALSE,"SUM"}</definedName>
    <definedName name="wwwwwwwwwww" localSheetId="3" hidden="1">{"YD PACKAGE",#N/A,FALSE,"YTD"}</definedName>
    <definedName name="wwwwwwwwwww" localSheetId="7" hidden="1">{"YD PACKAGE",#N/A,FALSE,"YTD"}</definedName>
    <definedName name="wwwwwwwwwww" hidden="1">{"YD PACKAGE",#N/A,FALSE,"YTD"}</definedName>
    <definedName name="wwwwwwwwwwwwww" localSheetId="3" hidden="1">{"detail",#N/A,FALSE,"mfg";"summary",#N/A,FALSE,"mfg"}</definedName>
    <definedName name="wwwwwwwwwwwwww" localSheetId="7" hidden="1">{"detail",#N/A,FALSE,"mfg";"summary",#N/A,FALSE,"mfg"}</definedName>
    <definedName name="wwwwwwwwwwwwww" hidden="1">{"detail",#N/A,FALSE,"mfg";"summary",#N/A,FALSE,"mfg"}</definedName>
    <definedName name="wx" localSheetId="3" hidden="1">{#N/A,#N/A,FALSE,"Pharm";#N/A,#N/A,FALSE,"WWCM"}</definedName>
    <definedName name="wx" localSheetId="7" hidden="1">{#N/A,#N/A,FALSE,"Pharm";#N/A,#N/A,FALSE,"WWCM"}</definedName>
    <definedName name="wx" hidden="1">{#N/A,#N/A,FALSE,"Pharm";#N/A,#N/A,FALSE,"WWCM"}</definedName>
    <definedName name="x" localSheetId="3" hidden="1">{"FCB_ALL",#N/A,FALSE,"FCB";"GREY_ALL",#N/A,FALSE,"GREY"}</definedName>
    <definedName name="x" localSheetId="7" hidden="1">{"FCB_ALL",#N/A,FALSE,"FCB";"GREY_ALL",#N/A,FALSE,"GREY"}</definedName>
    <definedName name="x" hidden="1">{"FCB_ALL",#N/A,FALSE,"FCB";"GREY_ALL",#N/A,FALSE,"GREY"}</definedName>
    <definedName name="xb" localSheetId="3" hidden="1">{"BA detail",#N/A,FALSE,"Q3YTD "}</definedName>
    <definedName name="xb" localSheetId="7" hidden="1">{"BA detail",#N/A,FALSE,"Q3YTD "}</definedName>
    <definedName name="xb" hidden="1">{"BA detail",#N/A,FALSE,"Q3YTD "}</definedName>
    <definedName name="xc" localSheetId="3" hidden="1">{"ICD Details",#N/A,FALSE,"Current Yr";"ICD Details",#N/A,FALSE,"Budget";"ICD Details",#N/A,FALSE,"Prior Year"}</definedName>
    <definedName name="xc" localSheetId="7" hidden="1">{"ICD Details",#N/A,FALSE,"Current Yr";"ICD Details",#N/A,FALSE,"Budget";"ICD Details",#N/A,FALSE,"Prior Year"}</definedName>
    <definedName name="xc" hidden="1">{"ICD Details",#N/A,FALSE,"Current Yr";"ICD Details",#N/A,FALSE,"Budget";"ICD Details",#N/A,FALSE,"Prior Year"}</definedName>
    <definedName name="xcv" localSheetId="3" hidden="1">{#N/A,#N/A,FALSE,"Pharm";#N/A,#N/A,FALSE,"WWCM"}</definedName>
    <definedName name="xcv" localSheetId="7" hidden="1">{#N/A,#N/A,FALSE,"Pharm";#N/A,#N/A,FALSE,"WWCM"}</definedName>
    <definedName name="xcv" hidden="1">{#N/A,#N/A,FALSE,"Pharm";#N/A,#N/A,FALSE,"WWCM"}</definedName>
    <definedName name="xcvbxcvbcx" localSheetId="3" hidden="1">{#N/A,#N/A,FALSE,"Umsatz EO BP";#N/A,#N/A,FALSE,"Umsatz EO OP";#N/A,#N/A,FALSE,"ER EO BP";#N/A,#N/A,FALSE,"ER EO OP";#N/A,#N/A,FALSE,"EA EO (2)";#N/A,#N/A,FALSE,"EA EO";#N/A,#N/A,FALSE,"EA EO (3)";#N/A,#N/A,FALSE,"EA EO (4)";#N/A,#N/A,FALSE,"KA EO  (2)";#N/A,#N/A,FALSE,"KA EO";#N/A,#N/A,FALSE,"KA EO  (3)";#N/A,#N/A,FALSE,"KA EO (4)"}</definedName>
    <definedName name="xcvbxcvbcx" localSheetId="7" hidden="1">{#N/A,#N/A,FALSE,"Umsatz EO BP";#N/A,#N/A,FALSE,"Umsatz EO OP";#N/A,#N/A,FALSE,"ER EO BP";#N/A,#N/A,FALSE,"ER EO OP";#N/A,#N/A,FALSE,"EA EO (2)";#N/A,#N/A,FALSE,"EA EO";#N/A,#N/A,FALSE,"EA EO (3)";#N/A,#N/A,FALSE,"EA EO (4)";#N/A,#N/A,FALSE,"KA EO  (2)";#N/A,#N/A,FALSE,"KA EO";#N/A,#N/A,FALSE,"KA EO  (3)";#N/A,#N/A,FALSE,"KA EO (4)"}</definedName>
    <definedName name="xcvbxcvbcx" hidden="1">{#N/A,#N/A,FALSE,"Umsatz EO BP";#N/A,#N/A,FALSE,"Umsatz EO OP";#N/A,#N/A,FALSE,"ER EO BP";#N/A,#N/A,FALSE,"ER EO OP";#N/A,#N/A,FALSE,"EA EO (2)";#N/A,#N/A,FALSE,"EA EO";#N/A,#N/A,FALSE,"EA EO (3)";#N/A,#N/A,FALSE,"EA EO (4)";#N/A,#N/A,FALSE,"KA EO  (2)";#N/A,#N/A,FALSE,"KA EO";#N/A,#N/A,FALSE,"KA EO  (3)";#N/A,#N/A,FALSE,"KA EO (4)"}</definedName>
    <definedName name="xcxc" localSheetId="3" hidden="1">{"QTR_ACT",#N/A,FALSE,"PROP_PBIT_DEV_Q3";"QTR_BUD",#N/A,FALSE,"PROP_PBIT_DEV_Q3";"YTD_BUD",#N/A,FALSE,"PROP_PBIT_DEV_Q3";"YTD_ACT",#N/A,FALSE,"PROP_PBIT_DEV_Q3";"FY95 SNAP3",#N/A,FALSE,"PROP_PBIT_DEV_Q3";"FY95_BUD",#N/A,FALSE,"PROP_PBIT_DEV_Q3";"FY96_BUD",#N/A,FALSE,"PROP_PBIT_DEV_Q3"}</definedName>
    <definedName name="xcxc" localSheetId="7" hidden="1">{"QTR_ACT",#N/A,FALSE,"PROP_PBIT_DEV_Q3";"QTR_BUD",#N/A,FALSE,"PROP_PBIT_DEV_Q3";"YTD_BUD",#N/A,FALSE,"PROP_PBIT_DEV_Q3";"YTD_ACT",#N/A,FALSE,"PROP_PBIT_DEV_Q3";"FY95 SNAP3",#N/A,FALSE,"PROP_PBIT_DEV_Q3";"FY95_BUD",#N/A,FALSE,"PROP_PBIT_DEV_Q3";"FY96_BUD",#N/A,FALSE,"PROP_PBIT_DEV_Q3"}</definedName>
    <definedName name="xcxc" hidden="1">{"QTR_ACT",#N/A,FALSE,"PROP_PBIT_DEV_Q3";"QTR_BUD",#N/A,FALSE,"PROP_PBIT_DEV_Q3";"YTD_BUD",#N/A,FALSE,"PROP_PBIT_DEV_Q3";"YTD_ACT",#N/A,FALSE,"PROP_PBIT_DEV_Q3";"FY95 SNAP3",#N/A,FALSE,"PROP_PBIT_DEV_Q3";"FY95_BUD",#N/A,FALSE,"PROP_PBIT_DEV_Q3";"FY96_BUD",#N/A,FALSE,"PROP_PBIT_DEV_Q3"}</definedName>
    <definedName name="xlx" localSheetId="3" hidden="1">{#N/A,#N/A,FALSE,"PMW Gruppe 99_98";#N/A,#N/A,FALSE,"PMW KG 98_99";#N/A,#N/A,FALSE,"PMW Inc. 99_98";#N/A,#N/A,FALSE,"PMW VTECH 99_98";#N/A,#N/A,FALSE,"PMW Thail. 99_98";#N/A,#N/A,FALSE,"PMW Canada 99_98";#N/A,#N/A,FALSE,"Währungsabw. 99_98"}</definedName>
    <definedName name="xlx" localSheetId="7" hidden="1">{#N/A,#N/A,FALSE,"PMW Gruppe 99_98";#N/A,#N/A,FALSE,"PMW KG 98_99";#N/A,#N/A,FALSE,"PMW Inc. 99_98";#N/A,#N/A,FALSE,"PMW VTECH 99_98";#N/A,#N/A,FALSE,"PMW Thail. 99_98";#N/A,#N/A,FALSE,"PMW Canada 99_98";#N/A,#N/A,FALSE,"Währungsabw. 99_98"}</definedName>
    <definedName name="xlx" hidden="1">{#N/A,#N/A,FALSE,"PMW Gruppe 99_98";#N/A,#N/A,FALSE,"PMW KG 98_99";#N/A,#N/A,FALSE,"PMW Inc. 99_98";#N/A,#N/A,FALSE,"PMW VTECH 99_98";#N/A,#N/A,FALSE,"PMW Thail. 99_98";#N/A,#N/A,FALSE,"PMW Canada 99_98";#N/A,#N/A,FALSE,"Währungsabw. 99_98"}</definedName>
    <definedName name="xn" localSheetId="3" hidden="1">{"oct_res_comm",#N/A,FALSE,"VarToBud"}</definedName>
    <definedName name="xn" localSheetId="7" hidden="1">{"oct_res_comm",#N/A,FALSE,"VarToBud"}</definedName>
    <definedName name="xn" hidden="1">{"oct_res_comm",#N/A,FALSE,"VarToBud"}</definedName>
    <definedName name="XREF_COLUMN_1" localSheetId="3" hidden="1">#REF!</definedName>
    <definedName name="XREF_COLUMN_1" hidden="1">#REF!</definedName>
    <definedName name="XREF_COLUMN_10" localSheetId="3" hidden="1">#REF!</definedName>
    <definedName name="XREF_COLUMN_10" hidden="1">#REF!</definedName>
    <definedName name="XREF_COLUMN_11" localSheetId="3" hidden="1">#REF!</definedName>
    <definedName name="XREF_COLUMN_11" hidden="1">#REF!</definedName>
    <definedName name="XREF_COLUMN_14" localSheetId="3" hidden="1">#REF!</definedName>
    <definedName name="XREF_COLUMN_14" hidden="1">#REF!</definedName>
    <definedName name="XREF_COLUMN_15" localSheetId="3" hidden="1">#REF!</definedName>
    <definedName name="XREF_COLUMN_15" hidden="1">#REF!</definedName>
    <definedName name="XREF_COLUMN_16" localSheetId="3" hidden="1">#REF!</definedName>
    <definedName name="XREF_COLUMN_16" hidden="1">#REF!</definedName>
    <definedName name="XREF_COLUMN_17" localSheetId="3" hidden="1">#REF!</definedName>
    <definedName name="XREF_COLUMN_17" hidden="1">#REF!</definedName>
    <definedName name="XREF_COLUMN_19" localSheetId="3" hidden="1">#REF!</definedName>
    <definedName name="XREF_COLUMN_19" hidden="1">#REF!</definedName>
    <definedName name="XREF_COLUMN_2" localSheetId="3" hidden="1">#REF!</definedName>
    <definedName name="XREF_COLUMN_2" hidden="1">#REF!</definedName>
    <definedName name="XREF_COLUMN_20" localSheetId="3" hidden="1">#REF!</definedName>
    <definedName name="XREF_COLUMN_20" hidden="1">#REF!</definedName>
    <definedName name="XREF_COLUMN_21" localSheetId="3" hidden="1">#REF!</definedName>
    <definedName name="XREF_COLUMN_21" hidden="1">#REF!</definedName>
    <definedName name="XREF_COLUMN_3" localSheetId="3" hidden="1">#REF!</definedName>
    <definedName name="XREF_COLUMN_3" hidden="1">#REF!</definedName>
    <definedName name="XREF_COLUMN_4" localSheetId="3" hidden="1">#REF!</definedName>
    <definedName name="XREF_COLUMN_4" hidden="1">#REF!</definedName>
    <definedName name="XREF_COLUMN_5" localSheetId="3" hidden="1">#REF!</definedName>
    <definedName name="XREF_COLUMN_5" hidden="1">#REF!</definedName>
    <definedName name="XREF_COLUMN_6" localSheetId="3" hidden="1">#REF!</definedName>
    <definedName name="XREF_COLUMN_6" hidden="1">#REF!</definedName>
    <definedName name="XREF_COLUMN_7" localSheetId="3" hidden="1">#REF!</definedName>
    <definedName name="XREF_COLUMN_7" hidden="1">#REF!</definedName>
    <definedName name="XREF_COLUMN_8" localSheetId="3" hidden="1">#REF!</definedName>
    <definedName name="XREF_COLUMN_8" hidden="1">#REF!</definedName>
    <definedName name="XREF_COLUMN_9" localSheetId="3" hidden="1">#REF!</definedName>
    <definedName name="XREF_COLUMN_9" hidden="1">#REF!</definedName>
    <definedName name="XRefActiveRow" hidden="1">#REF!</definedName>
    <definedName name="XRefColumnsCount" hidden="1">1</definedName>
    <definedName name="XRefCopy1" localSheetId="3" hidden="1">#REF!</definedName>
    <definedName name="XRefCopy1" hidden="1">#REF!</definedName>
    <definedName name="XRefCopy10" localSheetId="3" hidden="1">#REF!</definedName>
    <definedName name="XRefCopy10" hidden="1">#REF!</definedName>
    <definedName name="XRefCopy10Row" localSheetId="3" hidden="1">#REF!</definedName>
    <definedName name="XRefCopy10Row" hidden="1">#REF!</definedName>
    <definedName name="XRefCopy11" hidden="1">#REF!</definedName>
    <definedName name="XRefCopy11Row" hidden="1">#REF!</definedName>
    <definedName name="XRefCopy12" localSheetId="3" hidden="1">#REF!</definedName>
    <definedName name="XRefCopy12" hidden="1">#REF!</definedName>
    <definedName name="XRefCopy12Row" localSheetId="3" hidden="1">#REF!</definedName>
    <definedName name="XRefCopy12Row" hidden="1">#REF!</definedName>
    <definedName name="XRefCopy13" localSheetId="3" hidden="1">#REF!</definedName>
    <definedName name="XRefCopy13" hidden="1">#REF!</definedName>
    <definedName name="XRefCopy13Row" localSheetId="3" hidden="1">#REF!</definedName>
    <definedName name="XRefCopy13Row" hidden="1">#REF!</definedName>
    <definedName name="XRefCopy14" hidden="1">#REF!</definedName>
    <definedName name="XRefCopy14Row" hidden="1">#REF!</definedName>
    <definedName name="XRefCopy15" localSheetId="3" hidden="1">#REF!</definedName>
    <definedName name="XRefCopy15" hidden="1">#REF!</definedName>
    <definedName name="XRefCopy15Row" localSheetId="3" hidden="1">#REF!</definedName>
    <definedName name="XRefCopy15Row" hidden="1">#REF!</definedName>
    <definedName name="XRefCopy16" hidden="1">#REF!</definedName>
    <definedName name="XRefCopy16Row" localSheetId="3" hidden="1">#REF!</definedName>
    <definedName name="XRefCopy16Row" hidden="1">#REF!</definedName>
    <definedName name="XRefCopy17" localSheetId="3" hidden="1">#REF!</definedName>
    <definedName name="XRefCopy17" hidden="1">#REF!</definedName>
    <definedName name="XRefCopy17Row" localSheetId="3" hidden="1">#REF!</definedName>
    <definedName name="XRefCopy17Row" hidden="1">#REF!</definedName>
    <definedName name="XRefCopy18" localSheetId="3" hidden="1">#REF!</definedName>
    <definedName name="XRefCopy18" hidden="1">#REF!</definedName>
    <definedName name="XRefCopy18Row" localSheetId="3" hidden="1">#REF!</definedName>
    <definedName name="XRefCopy18Row" hidden="1">#REF!</definedName>
    <definedName name="XRefCopy19" localSheetId="3" hidden="1">#REF!</definedName>
    <definedName name="XRefCopy19" hidden="1">#REF!</definedName>
    <definedName name="XRefCopy19Row" localSheetId="3" hidden="1">#REF!</definedName>
    <definedName name="XRefCopy19Row" hidden="1">#REF!</definedName>
    <definedName name="XRefCopy2" localSheetId="3" hidden="1">#REF!</definedName>
    <definedName name="XRefCopy2" hidden="1">#REF!</definedName>
    <definedName name="XRefCopy20" localSheetId="3" hidden="1">#REF!</definedName>
    <definedName name="XRefCopy20" hidden="1">#REF!</definedName>
    <definedName name="XRefCopy20Row" localSheetId="3" hidden="1">#REF!</definedName>
    <definedName name="XRefCopy20Row" hidden="1">#REF!</definedName>
    <definedName name="XRefCopy21" localSheetId="3" hidden="1">#REF!</definedName>
    <definedName name="XRefCopy21" hidden="1">#REF!</definedName>
    <definedName name="XRefCopy21Row" localSheetId="3" hidden="1">#REF!</definedName>
    <definedName name="XRefCopy21Row" hidden="1">#REF!</definedName>
    <definedName name="XRefCopy22" hidden="1">#REF!</definedName>
    <definedName name="XRefCopy22Row" hidden="1">#REF!</definedName>
    <definedName name="XRefCopy28" localSheetId="3" hidden="1">#REF!</definedName>
    <definedName name="XRefCopy28" hidden="1">#REF!</definedName>
    <definedName name="XRefCopy28Row" localSheetId="3" hidden="1">#REF!</definedName>
    <definedName name="XRefCopy28Row" hidden="1">#REF!</definedName>
    <definedName name="XRefCopy29" localSheetId="3" hidden="1">#REF!</definedName>
    <definedName name="XRefCopy29" hidden="1">#REF!</definedName>
    <definedName name="XRefCopy29Row" localSheetId="3" hidden="1">#REF!</definedName>
    <definedName name="XRefCopy29Row" hidden="1">#REF!</definedName>
    <definedName name="XRefCopy2Row" localSheetId="3" hidden="1">#REF!</definedName>
    <definedName name="XRefCopy2Row" hidden="1">#REF!</definedName>
    <definedName name="XRefCopy3" localSheetId="3" hidden="1">#REF!</definedName>
    <definedName name="XRefCopy3" hidden="1">#REF!</definedName>
    <definedName name="XRefCopy30Row" localSheetId="3" hidden="1">#REF!</definedName>
    <definedName name="XRefCopy30Row" hidden="1">#REF!</definedName>
    <definedName name="XRefCopy31" localSheetId="3" hidden="1">#REF!</definedName>
    <definedName name="XRefCopy31" hidden="1">#REF!</definedName>
    <definedName name="XRefCopy31Row" localSheetId="3" hidden="1">#REF!</definedName>
    <definedName name="XRefCopy31Row" hidden="1">#REF!</definedName>
    <definedName name="XRefCopy33Row" localSheetId="3" hidden="1">#REF!</definedName>
    <definedName name="XRefCopy33Row" hidden="1">#REF!</definedName>
    <definedName name="XRefCopy39" localSheetId="3" hidden="1">#REF!</definedName>
    <definedName name="XRefCopy39" hidden="1">#REF!</definedName>
    <definedName name="XRefCopy3Row" localSheetId="3" hidden="1">#REF!</definedName>
    <definedName name="XRefCopy3Row" hidden="1">#REF!</definedName>
    <definedName name="XRefCopy4" localSheetId="3" hidden="1">#REF!</definedName>
    <definedName name="XRefCopy4" hidden="1">#REF!</definedName>
    <definedName name="XRefCopy40Row" localSheetId="3" hidden="1">#REF!</definedName>
    <definedName name="XRefCopy40Row" hidden="1">#REF!</definedName>
    <definedName name="XRefCopy43Row" localSheetId="3" hidden="1">#REF!</definedName>
    <definedName name="XRefCopy43Row" hidden="1">#REF!</definedName>
    <definedName name="XRefCopy44Row" localSheetId="3" hidden="1">#REF!</definedName>
    <definedName name="XRefCopy44Row" hidden="1">#REF!</definedName>
    <definedName name="XRefCopy49Row" localSheetId="3" hidden="1">#REF!</definedName>
    <definedName name="XRefCopy49Row" hidden="1">#REF!</definedName>
    <definedName name="XRefCopy4Row" localSheetId="3" hidden="1">#REF!</definedName>
    <definedName name="XRefCopy4Row" hidden="1">#REF!</definedName>
    <definedName name="XRefCopy5" localSheetId="3" hidden="1">#REF!</definedName>
    <definedName name="XRefCopy5" hidden="1">#REF!</definedName>
    <definedName name="XRefCopy50Row" localSheetId="3" hidden="1">#REF!</definedName>
    <definedName name="XRefCopy50Row" hidden="1">#REF!</definedName>
    <definedName name="XRefCopy51Row" localSheetId="3" hidden="1">#REF!</definedName>
    <definedName name="XRefCopy51Row" hidden="1">#REF!</definedName>
    <definedName name="XRefCopy52Row" localSheetId="3" hidden="1">#REF!</definedName>
    <definedName name="XRefCopy52Row" hidden="1">#REF!</definedName>
    <definedName name="XRefCopy53Row" localSheetId="3" hidden="1">#REF!</definedName>
    <definedName name="XRefCopy53Row" hidden="1">#REF!</definedName>
    <definedName name="XRefCopy55Row" localSheetId="3" hidden="1">#REF!</definedName>
    <definedName name="XRefCopy55Row" hidden="1">#REF!</definedName>
    <definedName name="XRefCopy56" localSheetId="3" hidden="1">#REF!</definedName>
    <definedName name="XRefCopy56" hidden="1">#REF!</definedName>
    <definedName name="XRefCopy56Row" localSheetId="3" hidden="1">#REF!</definedName>
    <definedName name="XRefCopy56Row" hidden="1">#REF!</definedName>
    <definedName name="XRefCopy5Row" localSheetId="3" hidden="1">#REF!</definedName>
    <definedName name="XRefCopy5Row" hidden="1">#REF!</definedName>
    <definedName name="XRefCopy6" localSheetId="3" hidden="1">#REF!</definedName>
    <definedName name="XRefCopy6" hidden="1">#REF!</definedName>
    <definedName name="XRefCopy61" localSheetId="3" hidden="1">#REF!</definedName>
    <definedName name="XRefCopy61" hidden="1">#REF!</definedName>
    <definedName name="XRefCopy61Row" localSheetId="3" hidden="1">#REF!</definedName>
    <definedName name="XRefCopy61Row" hidden="1">#REF!</definedName>
    <definedName name="XRefCopy63Row" localSheetId="3" hidden="1">#REF!</definedName>
    <definedName name="XRefCopy63Row" hidden="1">#REF!</definedName>
    <definedName name="XRefCopy64Row" localSheetId="3" hidden="1">#REF!</definedName>
    <definedName name="XRefCopy64Row" hidden="1">#REF!</definedName>
    <definedName name="XRefCopy65Row" localSheetId="3" hidden="1">#REF!</definedName>
    <definedName name="XRefCopy65Row" hidden="1">#REF!</definedName>
    <definedName name="XRefCopy66" localSheetId="3" hidden="1">#REF!</definedName>
    <definedName name="XRefCopy66" hidden="1">#REF!</definedName>
    <definedName name="XRefCopy66Row" localSheetId="3" hidden="1">#REF!</definedName>
    <definedName name="XRefCopy66Row" hidden="1">#REF!</definedName>
    <definedName name="XRefCopy67Row" localSheetId="3" hidden="1">#REF!</definedName>
    <definedName name="XRefCopy67Row" hidden="1">#REF!</definedName>
    <definedName name="XRefCopy68Row" localSheetId="3" hidden="1">#REF!</definedName>
    <definedName name="XRefCopy68Row" hidden="1">#REF!</definedName>
    <definedName name="XRefCopy69Row" localSheetId="3" hidden="1">#REF!</definedName>
    <definedName name="XRefCopy69Row" hidden="1">#REF!</definedName>
    <definedName name="XRefCopy6Row" localSheetId="3" hidden="1">#REF!</definedName>
    <definedName name="XRefCopy6Row" hidden="1">#REF!</definedName>
    <definedName name="XRefCopy7" localSheetId="3" hidden="1">#REF!</definedName>
    <definedName name="XRefCopy7" hidden="1">#REF!</definedName>
    <definedName name="XRefCopy70Row" localSheetId="3" hidden="1">#REF!</definedName>
    <definedName name="XRefCopy70Row" hidden="1">#REF!</definedName>
    <definedName name="XRefCopy71Row" localSheetId="3" hidden="1">#REF!</definedName>
    <definedName name="XRefCopy71Row" hidden="1">#REF!</definedName>
    <definedName name="XRefCopy72Row" localSheetId="3" hidden="1">#REF!</definedName>
    <definedName name="XRefCopy72Row" hidden="1">#REF!</definedName>
    <definedName name="XRefCopy73Row" localSheetId="3" hidden="1">#REF!</definedName>
    <definedName name="XRefCopy73Row" hidden="1">#REF!</definedName>
    <definedName name="XRefCopy74Row" localSheetId="3" hidden="1">#REF!</definedName>
    <definedName name="XRefCopy74Row" hidden="1">#REF!</definedName>
    <definedName name="XRefCopy75Row" localSheetId="3" hidden="1">#REF!</definedName>
    <definedName name="XRefCopy75Row" hidden="1">#REF!</definedName>
    <definedName name="XRefCopy76Row" localSheetId="3" hidden="1">#REF!</definedName>
    <definedName name="XRefCopy76Row" hidden="1">#REF!</definedName>
    <definedName name="XRefCopy77Row" localSheetId="3" hidden="1">#REF!</definedName>
    <definedName name="XRefCopy77Row" hidden="1">#REF!</definedName>
    <definedName name="XRefCopy78Row" localSheetId="3" hidden="1">#REF!</definedName>
    <definedName name="XRefCopy78Row" hidden="1">#REF!</definedName>
    <definedName name="XRefCopy7Row" localSheetId="3" hidden="1">#REF!</definedName>
    <definedName name="XRefCopy7Row" hidden="1">#REF!</definedName>
    <definedName name="XRefCopy8" localSheetId="3" hidden="1">#REF!</definedName>
    <definedName name="XRefCopy8" hidden="1">#REF!</definedName>
    <definedName name="XRefCopy80Row" localSheetId="3" hidden="1">#REF!</definedName>
    <definedName name="XRefCopy80Row" hidden="1">#REF!</definedName>
    <definedName name="XRefCopy81" localSheetId="3" hidden="1">#REF!</definedName>
    <definedName name="XRefCopy81" hidden="1">#REF!</definedName>
    <definedName name="XRefCopy81Row" localSheetId="3" hidden="1">#REF!</definedName>
    <definedName name="XRefCopy81Row" hidden="1">#REF!</definedName>
    <definedName name="XRefCopy82Row" localSheetId="3" hidden="1">#REF!</definedName>
    <definedName name="XRefCopy82Row" hidden="1">#REF!</definedName>
    <definedName name="XRefCopy8Row" localSheetId="3" hidden="1">#REF!</definedName>
    <definedName name="XRefCopy8Row" hidden="1">#REF!</definedName>
    <definedName name="XRefCopy9" localSheetId="3" hidden="1">#REF!</definedName>
    <definedName name="XRefCopy9" hidden="1">#REF!</definedName>
    <definedName name="XRefCopy9Row" localSheetId="3" hidden="1">#REF!</definedName>
    <definedName name="XRefCopy9Row" hidden="1">#REF!</definedName>
    <definedName name="XRefCopyRangeCount" hidden="1">4</definedName>
    <definedName name="XRefPaste1" localSheetId="3" hidden="1">#REF!</definedName>
    <definedName name="XRefPaste1" hidden="1">#REF!</definedName>
    <definedName name="XRefPaste10" localSheetId="3" hidden="1">#REF!</definedName>
    <definedName name="XRefPaste10" hidden="1">#REF!</definedName>
    <definedName name="XRefPaste101" localSheetId="3" hidden="1">#REF!</definedName>
    <definedName name="XRefPaste101" hidden="1">#REF!</definedName>
    <definedName name="XRefPaste101Row" localSheetId="3" hidden="1">#REF!</definedName>
    <definedName name="XRefPaste101Row" hidden="1">#REF!</definedName>
    <definedName name="XRefPaste102" localSheetId="3" hidden="1">#REF!</definedName>
    <definedName name="XRefPaste102" hidden="1">#REF!</definedName>
    <definedName name="XRefPaste102Row" localSheetId="3" hidden="1">#REF!</definedName>
    <definedName name="XRefPaste102Row" hidden="1">#REF!</definedName>
    <definedName name="XRefPaste103" localSheetId="3" hidden="1">#REF!</definedName>
    <definedName name="XRefPaste103" hidden="1">#REF!</definedName>
    <definedName name="XRefPaste103Row" localSheetId="3" hidden="1">#REF!</definedName>
    <definedName name="XRefPaste103Row" hidden="1">#REF!</definedName>
    <definedName name="XRefPaste104Row" localSheetId="3" hidden="1">#REF!</definedName>
    <definedName name="XRefPaste104Row" hidden="1">#REF!</definedName>
    <definedName name="XRefPaste105Row" localSheetId="3" hidden="1">#REF!</definedName>
    <definedName name="XRefPaste105Row" hidden="1">#REF!</definedName>
    <definedName name="XRefPaste106" localSheetId="3" hidden="1">#REF!</definedName>
    <definedName name="XRefPaste106" hidden="1">#REF!</definedName>
    <definedName name="XRefPaste106Row" localSheetId="3" hidden="1">#REF!</definedName>
    <definedName name="XRefPaste106Row" hidden="1">#REF!</definedName>
    <definedName name="XRefPaste107Row" localSheetId="3" hidden="1">#REF!</definedName>
    <definedName name="XRefPaste107Row" hidden="1">#REF!</definedName>
    <definedName name="XRefPaste108Row" localSheetId="3" hidden="1">#REF!</definedName>
    <definedName name="XRefPaste108Row" hidden="1">#REF!</definedName>
    <definedName name="XRefPaste10Row" hidden="1">#REF!</definedName>
    <definedName name="XRefPaste11" localSheetId="3" hidden="1">#REF!</definedName>
    <definedName name="XRefPaste11" hidden="1">#REF!</definedName>
    <definedName name="XRefPaste111Row" localSheetId="3" hidden="1">#REF!</definedName>
    <definedName name="XRefPaste111Row" hidden="1">#REF!</definedName>
    <definedName name="XRefPaste112Row" localSheetId="3" hidden="1">#REF!</definedName>
    <definedName name="XRefPaste112Row" hidden="1">#REF!</definedName>
    <definedName name="XRefPaste117" localSheetId="3" hidden="1">#REF!</definedName>
    <definedName name="XRefPaste117" hidden="1">#REF!</definedName>
    <definedName name="XRefPaste117Row" localSheetId="3" hidden="1">#REF!</definedName>
    <definedName name="XRefPaste117Row" hidden="1">#REF!</definedName>
    <definedName name="XRefPaste118" localSheetId="3" hidden="1">#REF!</definedName>
    <definedName name="XRefPaste118" hidden="1">#REF!</definedName>
    <definedName name="XRefPaste118Row" localSheetId="3" hidden="1">#REF!</definedName>
    <definedName name="XRefPaste118Row" hidden="1">#REF!</definedName>
    <definedName name="XRefPaste119" localSheetId="3" hidden="1">#REF!</definedName>
    <definedName name="XRefPaste119" hidden="1">#REF!</definedName>
    <definedName name="XRefPaste119Row" localSheetId="3" hidden="1">#REF!</definedName>
    <definedName name="XRefPaste119Row" hidden="1">#REF!</definedName>
    <definedName name="XRefPaste12" localSheetId="3" hidden="1">#REF!</definedName>
    <definedName name="XRefPaste12" hidden="1">#REF!</definedName>
    <definedName name="XRefPaste120" localSheetId="3" hidden="1">#REF!</definedName>
    <definedName name="XRefPaste120" hidden="1">#REF!</definedName>
    <definedName name="XRefPaste120Row" localSheetId="3" hidden="1">#REF!</definedName>
    <definedName name="XRefPaste120Row" hidden="1">#REF!</definedName>
    <definedName name="XRefPaste121Row" localSheetId="3" hidden="1">#REF!</definedName>
    <definedName name="XRefPaste121Row" hidden="1">#REF!</definedName>
    <definedName name="XRefPaste122Row" localSheetId="3" hidden="1">#REF!</definedName>
    <definedName name="XRefPaste122Row" hidden="1">#REF!</definedName>
    <definedName name="XRefPaste123Row" localSheetId="3" hidden="1">#REF!</definedName>
    <definedName name="XRefPaste123Row" hidden="1">#REF!</definedName>
    <definedName name="XRefPaste124Row" localSheetId="3" hidden="1">#REF!</definedName>
    <definedName name="XRefPaste124Row" hidden="1">#REF!</definedName>
    <definedName name="XRefPaste126Row" localSheetId="3" hidden="1">#REF!</definedName>
    <definedName name="XRefPaste126Row" hidden="1">#REF!</definedName>
    <definedName name="XRefPaste127Row" localSheetId="3" hidden="1">#REF!</definedName>
    <definedName name="XRefPaste127Row" hidden="1">#REF!</definedName>
    <definedName name="XRefPaste128Row" localSheetId="3" hidden="1">#REF!</definedName>
    <definedName name="XRefPaste128Row" hidden="1">#REF!</definedName>
    <definedName name="XRefPaste129Row" localSheetId="3" hidden="1">#REF!</definedName>
    <definedName name="XRefPaste129Row" hidden="1">#REF!</definedName>
    <definedName name="XRefPaste13" localSheetId="3" hidden="1">#REF!</definedName>
    <definedName name="XRefPaste13" hidden="1">#REF!</definedName>
    <definedName name="XRefPaste130Row" localSheetId="3" hidden="1">#REF!</definedName>
    <definedName name="XRefPaste130Row" hidden="1">#REF!</definedName>
    <definedName name="XRefPaste131Row" localSheetId="3" hidden="1">#REF!</definedName>
    <definedName name="XRefPaste131Row" hidden="1">#REF!</definedName>
    <definedName name="XRefPaste132Row" localSheetId="3" hidden="1">#REF!</definedName>
    <definedName name="XRefPaste132Row" hidden="1">#REF!</definedName>
    <definedName name="XRefPaste133Row" localSheetId="3" hidden="1">#REF!</definedName>
    <definedName name="XRefPaste133Row" hidden="1">#REF!</definedName>
    <definedName name="XRefPaste134Row" localSheetId="3" hidden="1">#REF!</definedName>
    <definedName name="XRefPaste134Row" hidden="1">#REF!</definedName>
    <definedName name="XRefPaste135Row" localSheetId="3" hidden="1">#REF!</definedName>
    <definedName name="XRefPaste135Row" hidden="1">#REF!</definedName>
    <definedName name="XRefPaste136Row" localSheetId="3" hidden="1">#REF!</definedName>
    <definedName name="XRefPaste136Row" hidden="1">#REF!</definedName>
    <definedName name="XRefPaste137Row" localSheetId="3" hidden="1">#REF!</definedName>
    <definedName name="XRefPaste137Row" hidden="1">#REF!</definedName>
    <definedName name="XRefPaste138Row" localSheetId="3" hidden="1">#REF!</definedName>
    <definedName name="XRefPaste138Row" hidden="1">#REF!</definedName>
    <definedName name="XRefPaste139" localSheetId="3" hidden="1">#REF!</definedName>
    <definedName name="XRefPaste139" hidden="1">#REF!</definedName>
    <definedName name="XRefPaste139Row" localSheetId="3" hidden="1">#REF!</definedName>
    <definedName name="XRefPaste139Row" hidden="1">#REF!</definedName>
    <definedName name="XRefPaste14" localSheetId="3" hidden="1">#REF!</definedName>
    <definedName name="XRefPaste14" hidden="1">#REF!</definedName>
    <definedName name="XRefPaste15" localSheetId="3" hidden="1">#REF!</definedName>
    <definedName name="XRefPaste15" hidden="1">#REF!</definedName>
    <definedName name="XRefPaste15Row" localSheetId="3" hidden="1">#REF!</definedName>
    <definedName name="XRefPaste15Row" hidden="1">#REF!</definedName>
    <definedName name="XRefPaste16" localSheetId="3" hidden="1">#REF!</definedName>
    <definedName name="XRefPaste16" hidden="1">#REF!</definedName>
    <definedName name="XRefPaste16Row" localSheetId="3" hidden="1">#REF!</definedName>
    <definedName name="XRefPaste16Row" hidden="1">#REF!</definedName>
    <definedName name="XRefPaste17Row" localSheetId="3" hidden="1">#REF!</definedName>
    <definedName name="XRefPaste17Row" hidden="1">#REF!</definedName>
    <definedName name="XRefPaste18" localSheetId="3" hidden="1">#REF!</definedName>
    <definedName name="XRefPaste18" hidden="1">#REF!</definedName>
    <definedName name="XRefPaste18Row" localSheetId="3" hidden="1">#REF!</definedName>
    <definedName name="XRefPaste18Row" hidden="1">#REF!</definedName>
    <definedName name="XRefPaste19" localSheetId="3" hidden="1">#REF!</definedName>
    <definedName name="XRefPaste19" hidden="1">#REF!</definedName>
    <definedName name="XRefPaste19Row" localSheetId="3" hidden="1">#REF!</definedName>
    <definedName name="XRefPaste19Row" hidden="1">#REF!</definedName>
    <definedName name="XRefPaste1Row" localSheetId="3" hidden="1">#REF!</definedName>
    <definedName name="XRefPaste1Row" hidden="1">#REF!</definedName>
    <definedName name="XRefPaste2" localSheetId="3" hidden="1">#REF!</definedName>
    <definedName name="XRefPaste2" hidden="1">#REF!</definedName>
    <definedName name="XRefPaste21" localSheetId="3" hidden="1">#REF!</definedName>
    <definedName name="XRefPaste21" hidden="1">#REF!</definedName>
    <definedName name="XRefPaste22" localSheetId="3" hidden="1">#REF!</definedName>
    <definedName name="XRefPaste22" hidden="1">#REF!</definedName>
    <definedName name="XRefPaste23" localSheetId="3" hidden="1">#REF!</definedName>
    <definedName name="XRefPaste23" hidden="1">#REF!</definedName>
    <definedName name="XRefPaste26" localSheetId="3" hidden="1">#REF!</definedName>
    <definedName name="XRefPaste26" hidden="1">#REF!</definedName>
    <definedName name="XRefPaste26Row" localSheetId="3" hidden="1">#REF!</definedName>
    <definedName name="XRefPaste26Row" hidden="1">#REF!</definedName>
    <definedName name="XRefPaste27Row" localSheetId="3" hidden="1">#REF!</definedName>
    <definedName name="XRefPaste27Row" hidden="1">#REF!</definedName>
    <definedName name="XRefPaste28" localSheetId="3" hidden="1">#REF!</definedName>
    <definedName name="XRefPaste28" hidden="1">#REF!</definedName>
    <definedName name="XRefPaste28Row" localSheetId="3" hidden="1">#REF!</definedName>
    <definedName name="XRefPaste28Row" hidden="1">#REF!</definedName>
    <definedName name="XRefPaste29" localSheetId="3" hidden="1">#REF!</definedName>
    <definedName name="XRefPaste29" hidden="1">#REF!</definedName>
    <definedName name="XRefPaste29Row" localSheetId="3" hidden="1">#REF!</definedName>
    <definedName name="XRefPaste29Row" hidden="1">#REF!</definedName>
    <definedName name="XRefPaste2Row" localSheetId="3" hidden="1">#REF!</definedName>
    <definedName name="XRefPaste2Row" hidden="1">#REF!</definedName>
    <definedName name="XRefPaste3" localSheetId="3" hidden="1">#REF!</definedName>
    <definedName name="XRefPaste3" hidden="1">#REF!</definedName>
    <definedName name="XRefPaste31" localSheetId="3" hidden="1">#REF!</definedName>
    <definedName name="XRefPaste31" hidden="1">#REF!</definedName>
    <definedName name="XRefPaste31Row" localSheetId="3" hidden="1">#REF!</definedName>
    <definedName name="XRefPaste31Row" hidden="1">#REF!</definedName>
    <definedName name="XRefPaste32" localSheetId="3" hidden="1">#REF!</definedName>
    <definedName name="XRefPaste32" hidden="1">#REF!</definedName>
    <definedName name="XRefPaste32Row" localSheetId="3" hidden="1">#REF!</definedName>
    <definedName name="XRefPaste32Row" hidden="1">#REF!</definedName>
    <definedName name="XRefPaste35" localSheetId="3" hidden="1">#REF!</definedName>
    <definedName name="XRefPaste35" hidden="1">#REF!</definedName>
    <definedName name="XRefPaste35Row" localSheetId="3" hidden="1">#REF!</definedName>
    <definedName name="XRefPaste35Row" hidden="1">#REF!</definedName>
    <definedName name="XRefPaste37" localSheetId="3" hidden="1">#REF!</definedName>
    <definedName name="XRefPaste37" hidden="1">#REF!</definedName>
    <definedName name="XRefPaste37Row" localSheetId="3" hidden="1">#REF!</definedName>
    <definedName name="XRefPaste37Row" hidden="1">#REF!</definedName>
    <definedName name="XRefPaste38" localSheetId="3" hidden="1">#REF!</definedName>
    <definedName name="XRefPaste38" hidden="1">#REF!</definedName>
    <definedName name="XRefPaste38Row" localSheetId="3" hidden="1">#REF!</definedName>
    <definedName name="XRefPaste38Row" hidden="1">#REF!</definedName>
    <definedName name="XRefPaste39" localSheetId="3" hidden="1">#REF!</definedName>
    <definedName name="XRefPaste39" hidden="1">#REF!</definedName>
    <definedName name="XRefPaste39Row" localSheetId="3" hidden="1">#REF!</definedName>
    <definedName name="XRefPaste39Row" hidden="1">#REF!</definedName>
    <definedName name="XRefPaste3Row" localSheetId="3" hidden="1">#REF!</definedName>
    <definedName name="XRefPaste3Row" hidden="1">#REF!</definedName>
    <definedName name="XRefPaste4" localSheetId="3" hidden="1">#REF!</definedName>
    <definedName name="XRefPaste4" hidden="1">#REF!</definedName>
    <definedName name="XRefPaste44" localSheetId="3" hidden="1">#REF!</definedName>
    <definedName name="XRefPaste44" hidden="1">#REF!</definedName>
    <definedName name="XRefPaste44Row" localSheetId="3" hidden="1">#REF!</definedName>
    <definedName name="XRefPaste44Row" hidden="1">#REF!</definedName>
    <definedName name="XRefPaste45" localSheetId="3" hidden="1">#REF!</definedName>
    <definedName name="XRefPaste45" hidden="1">#REF!</definedName>
    <definedName name="XRefPaste45Row" localSheetId="3" hidden="1">#REF!</definedName>
    <definedName name="XRefPaste45Row" hidden="1">#REF!</definedName>
    <definedName name="XRefPaste4Row" localSheetId="3" hidden="1">#REF!</definedName>
    <definedName name="XRefPaste4Row" hidden="1">#REF!</definedName>
    <definedName name="XRefPaste5" localSheetId="3" hidden="1">#REF!</definedName>
    <definedName name="XRefPaste5" hidden="1">#REF!</definedName>
    <definedName name="XRefPaste56Row" localSheetId="3" hidden="1">#REF!</definedName>
    <definedName name="XRefPaste56Row" hidden="1">#REF!</definedName>
    <definedName name="XRefPaste57Row" localSheetId="3" hidden="1">#REF!</definedName>
    <definedName name="XRefPaste57Row" hidden="1">#REF!</definedName>
    <definedName name="XRefPaste59Row" localSheetId="3" hidden="1">#REF!</definedName>
    <definedName name="XRefPaste59Row" hidden="1">#REF!</definedName>
    <definedName name="XRefPaste5Row" localSheetId="3" hidden="1">#REF!</definedName>
    <definedName name="XRefPaste5Row" hidden="1">#REF!</definedName>
    <definedName name="XRefPaste6" localSheetId="3" hidden="1">#REF!</definedName>
    <definedName name="XRefPaste6" hidden="1">#REF!</definedName>
    <definedName name="XRefPaste62Row" localSheetId="3" hidden="1">#REF!</definedName>
    <definedName name="XRefPaste62Row" hidden="1">#REF!</definedName>
    <definedName name="XRefPaste63Row" localSheetId="3" hidden="1">#REF!</definedName>
    <definedName name="XRefPaste63Row" hidden="1">#REF!</definedName>
    <definedName name="XRefPaste64Row" localSheetId="3" hidden="1">#REF!</definedName>
    <definedName name="XRefPaste64Row" hidden="1">#REF!</definedName>
    <definedName name="XRefPaste65Row" localSheetId="3" hidden="1">#REF!</definedName>
    <definedName name="XRefPaste65Row" hidden="1">#REF!</definedName>
    <definedName name="XRefPaste67Row" localSheetId="3" hidden="1">#REF!</definedName>
    <definedName name="XRefPaste67Row" hidden="1">#REF!</definedName>
    <definedName name="XRefPaste68Row" localSheetId="3" hidden="1">#REF!</definedName>
    <definedName name="XRefPaste68Row" hidden="1">#REF!</definedName>
    <definedName name="XRefPaste69Row" localSheetId="3" hidden="1">#REF!</definedName>
    <definedName name="XRefPaste69Row" hidden="1">#REF!</definedName>
    <definedName name="XRefPaste6Row" localSheetId="3" hidden="1">#REF!</definedName>
    <definedName name="XRefPaste6Row" hidden="1">#REF!</definedName>
    <definedName name="XRefPaste7" localSheetId="3" hidden="1">#REF!</definedName>
    <definedName name="XRefPaste7" hidden="1">#REF!</definedName>
    <definedName name="XRefPaste70Row" localSheetId="3" hidden="1">#REF!</definedName>
    <definedName name="XRefPaste70Row" hidden="1">#REF!</definedName>
    <definedName name="XRefPaste71Row" localSheetId="3" hidden="1">#REF!</definedName>
    <definedName name="XRefPaste71Row" hidden="1">#REF!</definedName>
    <definedName name="XRefPaste75Row" localSheetId="3" hidden="1">#REF!</definedName>
    <definedName name="XRefPaste75Row" hidden="1">#REF!</definedName>
    <definedName name="XRefPaste7Row" localSheetId="3" hidden="1">#REF!</definedName>
    <definedName name="XRefPaste7Row" hidden="1">#REF!</definedName>
    <definedName name="XRefPaste8" localSheetId="3" hidden="1">#REF!</definedName>
    <definedName name="XRefPaste8" hidden="1">#REF!</definedName>
    <definedName name="XRefPaste8Row" hidden="1">#REF!</definedName>
    <definedName name="XRefPaste9" localSheetId="3" hidden="1">#REF!</definedName>
    <definedName name="XRefPaste9" hidden="1">#REF!</definedName>
    <definedName name="XRefPaste99Row" localSheetId="3" hidden="1">#REF!</definedName>
    <definedName name="XRefPaste99Row" hidden="1">#REF!</definedName>
    <definedName name="XRefPaste9Row" hidden="1">#REF!</definedName>
    <definedName name="XRefPasteRangeCount" hidden="1">1</definedName>
    <definedName name="xs" localSheetId="3" hidden="1">{#N/A,"PURCHM",FALSE,"Business Analysis";#N/A,"SPADD",FALSE,"Business Analysis"}</definedName>
    <definedName name="xs" localSheetId="7" hidden="1">{#N/A,"PURCHM",FALSE,"Business Analysis";#N/A,"SPADD",FALSE,"Business Analysis"}</definedName>
    <definedName name="xs" hidden="1">{#N/A,"PURCHM",FALSE,"Business Analysis";#N/A,"SPADD",FALSE,"Business Analysis"}</definedName>
    <definedName name="xsd" localSheetId="3" hidden="1">{"detail",#N/A,FALSE,"mfg";"summary",#N/A,FALSE,"mfg"}</definedName>
    <definedName name="xsd" localSheetId="7" hidden="1">{"detail",#N/A,FALSE,"mfg";"summary",#N/A,FALSE,"mfg"}</definedName>
    <definedName name="xsd" hidden="1">{"detail",#N/A,FALSE,"mfg";"summary",#N/A,FALSE,"mfg"}</definedName>
    <definedName name="xt" localSheetId="3" hidden="1">{#N/A,"PURADD",FALSE,"Business Analysis";#N/A,"PURSPP",FALSE,"Business Analysis";#N/A,"CTGIND",FALSE,"Business Analysis";#N/A,"PURCHM",FALSE,"Business Analysis";#N/A,"SPADD",FALSE,"Business Analysis";#N/A,"EPOXY",FALSE,"Business Analysis";#N/A,"PURPER",FALSE,"Business Analysis"}</definedName>
    <definedName name="xt" localSheetId="7" hidden="1">{#N/A,"PURADD",FALSE,"Business Analysis";#N/A,"PURSPP",FALSE,"Business Analysis";#N/A,"CTGIND",FALSE,"Business Analysis";#N/A,"PURCHM",FALSE,"Business Analysis";#N/A,"SPADD",FALSE,"Business Analysis";#N/A,"EPOXY",FALSE,"Business Analysis";#N/A,"PURPER",FALSE,"Business Analysis"}</definedName>
    <definedName name="xt" hidden="1">{#N/A,"PURADD",FALSE,"Business Analysis";#N/A,"PURSPP",FALSE,"Business Analysis";#N/A,"CTGIND",FALSE,"Business Analysis";#N/A,"PURCHM",FALSE,"Business Analysis";#N/A,"SPADD",FALSE,"Business Analysis";#N/A,"EPOXY",FALSE,"Business Analysis";#N/A,"PURPER",FALSE,"Business Analysis"}</definedName>
    <definedName name="xv" localSheetId="3" hidden="1">{"Commentary",#N/A,FALSE,"May"}</definedName>
    <definedName name="xv" localSheetId="7" hidden="1">{"Commentary",#N/A,FALSE,"May"}</definedName>
    <definedName name="xv" hidden="1">{"Commentary",#N/A,FALSE,"May"}</definedName>
    <definedName name="xx" localSheetId="3" hidden="1">{#N/A,#N/A,FALSE,"REPORT"}</definedName>
    <definedName name="xx" localSheetId="7" hidden="1">{#N/A,#N/A,FALSE,"REPORT"}</definedName>
    <definedName name="xx" hidden="1">{#N/A,#N/A,FALSE,"REPORT"}</definedName>
    <definedName name="xxcxc" localSheetId="3" hidden="1">{#N/A,#N/A,FALSE,"Umsatz CH";#N/A,#N/A,FALSE,"ER CH";#N/A,#N/A,FALSE,"EA CH (2) ";#N/A,#N/A,FALSE,"EA CH";#N/A,#N/A,FALSE,"EA CH (3) ";#N/A,#N/A,FALSE,"EA CH (4)";#N/A,#N/A,FALSE,"KA CH";#N/A,#N/A,FALSE,"KA CH  (2)";#N/A,#N/A,FALSE,"KA CH  (3)";#N/A,#N/A,FALSE,"KA CH (4)"}</definedName>
    <definedName name="xxcxc" localSheetId="7" hidden="1">{#N/A,#N/A,FALSE,"Umsatz CH";#N/A,#N/A,FALSE,"ER CH";#N/A,#N/A,FALSE,"EA CH (2) ";#N/A,#N/A,FALSE,"EA CH";#N/A,#N/A,FALSE,"EA CH (3) ";#N/A,#N/A,FALSE,"EA CH (4)";#N/A,#N/A,FALSE,"KA CH";#N/A,#N/A,FALSE,"KA CH  (2)";#N/A,#N/A,FALSE,"KA CH  (3)";#N/A,#N/A,FALSE,"KA CH (4)"}</definedName>
    <definedName name="xxcxc" hidden="1">{#N/A,#N/A,FALSE,"Umsatz CH";#N/A,#N/A,FALSE,"ER CH";#N/A,#N/A,FALSE,"EA CH (2) ";#N/A,#N/A,FALSE,"EA CH";#N/A,#N/A,FALSE,"EA CH (3) ";#N/A,#N/A,FALSE,"EA CH (4)";#N/A,#N/A,FALSE,"KA CH";#N/A,#N/A,FALSE,"KA CH  (2)";#N/A,#N/A,FALSE,"KA CH  (3)";#N/A,#N/A,FALSE,"KA CH (4)"}</definedName>
    <definedName name="XXX" localSheetId="3" hidden="1">{#N/A,#N/A,FALSE,"Other";#N/A,#N/A,FALSE,"Ace";#N/A,#N/A,FALSE,"Derm"}</definedName>
    <definedName name="XXX" localSheetId="7" hidden="1">{#N/A,#N/A,FALSE,"Other";#N/A,#N/A,FALSE,"Ace";#N/A,#N/A,FALSE,"Derm"}</definedName>
    <definedName name="XXX" hidden="1">{#N/A,#N/A,FALSE,"Other";#N/A,#N/A,FALSE,"Ace";#N/A,#N/A,FALSE,"Derm"}</definedName>
    <definedName name="xxx.gb._Hm." localSheetId="3" hidden="1">{#N/A,#N/A,FALSE,"Umsatz HM";#N/A,#N/A,FALSE,"ER HM";#N/A,#N/A,FALSE,"EA HM  (2)";#N/A,#N/A,FALSE,"EA HM ";#N/A,#N/A,FALSE,"EA HM  (4)";#N/A,#N/A,FALSE,"EA HM  (3)";#N/A,#N/A,FALSE,"KA HM  (2)";#N/A,#N/A,FALSE,"KA HM";#N/A,#N/A,FALSE,"KA HM  (3)";#N/A,#N/A,FALSE,"KA HM (4)"}</definedName>
    <definedName name="xxx.gb._Hm." localSheetId="7" hidden="1">{#N/A,#N/A,FALSE,"Umsatz HM";#N/A,#N/A,FALSE,"ER HM";#N/A,#N/A,FALSE,"EA HM  (2)";#N/A,#N/A,FALSE,"EA HM ";#N/A,#N/A,FALSE,"EA HM  (4)";#N/A,#N/A,FALSE,"EA HM  (3)";#N/A,#N/A,FALSE,"KA HM  (2)";#N/A,#N/A,FALSE,"KA HM";#N/A,#N/A,FALSE,"KA HM  (3)";#N/A,#N/A,FALSE,"KA HM (4)"}</definedName>
    <definedName name="xxx.gb._Hm." hidden="1">{#N/A,#N/A,FALSE,"Umsatz HM";#N/A,#N/A,FALSE,"ER HM";#N/A,#N/A,FALSE,"EA HM  (2)";#N/A,#N/A,FALSE,"EA HM ";#N/A,#N/A,FALSE,"EA HM  (4)";#N/A,#N/A,FALSE,"EA HM  (3)";#N/A,#N/A,FALSE,"KA HM  (2)";#N/A,#N/A,FALSE,"KA HM";#N/A,#N/A,FALSE,"KA HM  (3)";#N/A,#N/A,FALSE,"KA HM (4)"}</definedName>
    <definedName name="xxx2" localSheetId="3" hidden="1">{"oct_res_comm",#N/A,FALSE,"VarToBud"}</definedName>
    <definedName name="xxx2" localSheetId="7" hidden="1">{"oct_res_comm",#N/A,FALSE,"VarToBud"}</definedName>
    <definedName name="xxx2" hidden="1">{"oct_res_comm",#N/A,FALSE,"VarToBud"}</definedName>
    <definedName name="xxxx" localSheetId="3" hidden="1">{#N/A,#N/A,TRUE,"ICMAN96 (1)"}</definedName>
    <definedName name="xxxx" localSheetId="7" hidden="1">{#N/A,#N/A,TRUE,"ICMAN96 (1)"}</definedName>
    <definedName name="xxxx" hidden="1">{#N/A,#N/A,TRUE,"ICMAN96 (1)"}</definedName>
    <definedName name="xxxxx" localSheetId="3" hidden="1">{#N/A,#N/A,FALSE,"Pharm";#N/A,#N/A,FALSE,"WWCM"}</definedName>
    <definedName name="xxxxx" localSheetId="7" hidden="1">{#N/A,#N/A,FALSE,"Pharm";#N/A,#N/A,FALSE,"WWCM"}</definedName>
    <definedName name="xxxxx" hidden="1">{#N/A,#N/A,FALSE,"Pharm";#N/A,#N/A,FALSE,"WWCM"}</definedName>
    <definedName name="xxxxxx" localSheetId="3" hidden="1">{#N/A,#N/A,TRUE,"ICMAN96 (1)"}</definedName>
    <definedName name="xxxxxx" localSheetId="7" hidden="1">{#N/A,#N/A,TRUE,"ICMAN96 (1)"}</definedName>
    <definedName name="xxxxxx" hidden="1">{#N/A,#N/A,TRUE,"ICMAN96 (1)"}</definedName>
    <definedName name="xxxxxxx" localSheetId="3" hidden="1">{#N/A,#N/A,TRUE,"ICMAN96 (1)"}</definedName>
    <definedName name="xxxxxxx" localSheetId="7" hidden="1">{#N/A,#N/A,TRUE,"ICMAN96 (1)"}</definedName>
    <definedName name="xxxxxxx" hidden="1">{#N/A,#N/A,TRUE,"ICMAN96 (1)"}</definedName>
    <definedName name="xxxxxxxxx" localSheetId="3" hidden="1">{#N/A,#N/A,TRUE,"ICMAN96 (1)"}</definedName>
    <definedName name="xxxxxxxxx" localSheetId="7" hidden="1">{#N/A,#N/A,TRUE,"ICMAN96 (1)"}</definedName>
    <definedName name="xxxxxxxxx" hidden="1">{#N/A,#N/A,TRUE,"ICMAN96 (1)"}</definedName>
    <definedName name="xxxxxxxxxx" localSheetId="3" hidden="1">{#N/A,#N/A,TRUE,"ICMAN96 (1)"}</definedName>
    <definedName name="xxxxxxxxxx" localSheetId="7" hidden="1">{#N/A,#N/A,TRUE,"ICMAN96 (1)"}</definedName>
    <definedName name="xxxxxxxxxx" hidden="1">{#N/A,#N/A,TRUE,"ICMAN96 (1)"}</definedName>
    <definedName name="xxxxxxxxxxxx" localSheetId="3" hidden="1">{#N/A,#N/A,FALSE,"NGM Consolidated";#N/A,#N/A,FALSE,"NGM";#N/A,#N/A,FALSE,"NGP"}</definedName>
    <definedName name="xxxxxxxxxxxx" localSheetId="7" hidden="1">{#N/A,#N/A,FALSE,"NGM Consolidated";#N/A,#N/A,FALSE,"NGM";#N/A,#N/A,FALSE,"NGP"}</definedName>
    <definedName name="xxxxxxxxxxxx" hidden="1">{#N/A,#N/A,FALSE,"NGM Consolidated";#N/A,#N/A,FALSE,"NGM";#N/A,#N/A,FALSE,"NGP"}</definedName>
    <definedName name="xxxxxxxxxxxxxxxxxxxxx" localSheetId="3" hidden="1">{#N/A,#N/A,FALSE,"NTI";#N/A,#N/A,FALSE,"Co 04 - Pipeline Corp";#N/A,#N/A,FALSE,"Gasdel Pipeline";#N/A,#N/A,FALSE,"Producers Service Inc";#N/A,#N/A,FALSE,"HGC Inc";#N/A,#N/A,FALSE,"HIPS Inc"}</definedName>
    <definedName name="xxxxxxxxxxxxxxxxxxxxx" localSheetId="7" hidden="1">{#N/A,#N/A,FALSE,"NTI";#N/A,#N/A,FALSE,"Co 04 - Pipeline Corp";#N/A,#N/A,FALSE,"Gasdel Pipeline";#N/A,#N/A,FALSE,"Producers Service Inc";#N/A,#N/A,FALSE,"HGC Inc";#N/A,#N/A,FALSE,"HIPS Inc"}</definedName>
    <definedName name="xxxxxxxxxxxxxxxxxxxxx" hidden="1">{#N/A,#N/A,FALSE,"NTI";#N/A,#N/A,FALSE,"Co 04 - Pipeline Corp";#N/A,#N/A,FALSE,"Gasdel Pipeline";#N/A,#N/A,FALSE,"Producers Service Inc";#N/A,#N/A,FALSE,"HGC Inc";#N/A,#N/A,FALSE,"HIPS Inc"}</definedName>
    <definedName name="xxxxxxxxxxxxxxxxxxxxxxxxxx" localSheetId="3" hidden="1">{#N/A,#N/A,FALSE,"NAI";#N/A,#N/A,FALSE,"NAI Eliminations";#N/A,#N/A,FALSE,"Ardmore";#N/A,#N/A,FALSE,"NPM Inc";#N/A,#N/A,FALSE,"Co 45 - Royalty Corp";#N/A,#N/A,FALSE,"Samedan Eliminations (10-49)"}</definedName>
    <definedName name="xxxxxxxxxxxxxxxxxxxxxxxxxx" localSheetId="7" hidden="1">{#N/A,#N/A,FALSE,"NAI";#N/A,#N/A,FALSE,"NAI Eliminations";#N/A,#N/A,FALSE,"Ardmore";#N/A,#N/A,FALSE,"NPM Inc";#N/A,#N/A,FALSE,"Co 45 - Royalty Corp";#N/A,#N/A,FALSE,"Samedan Eliminations (10-49)"}</definedName>
    <definedName name="xxxxxxxxxxxxxxxxxxxxxxxxxx" hidden="1">{#N/A,#N/A,FALSE,"NAI";#N/A,#N/A,FALSE,"NAI Eliminations";#N/A,#N/A,FALSE,"Ardmore";#N/A,#N/A,FALSE,"NPM Inc";#N/A,#N/A,FALSE,"Co 45 - Royalty Corp";#N/A,#N/A,FALSE,"Samedan Eliminations (10-49)"}</definedName>
    <definedName name="XYZ" localSheetId="3" hidden="1">{"detail",#N/A,FALSE,"mfg";"summary",#N/A,FALSE,"mfg"}</definedName>
    <definedName name="XYZ" localSheetId="7" hidden="1">{"detail",#N/A,FALSE,"mfg";"summary",#N/A,FALSE,"mfg"}</definedName>
    <definedName name="XYZ" hidden="1">{"detail",#N/A,FALSE,"mfg";"summary",#N/A,FALSE,"mfg"}</definedName>
    <definedName name="xzxz" localSheetId="3" hidden="1">{#N/A,"PURCHM",FALSE,"Business Analysis";#N/A,"SPADD",FALSE,"Business Analysis"}</definedName>
    <definedName name="xzxz" localSheetId="7" hidden="1">{#N/A,"PURCHM",FALSE,"Business Analysis";#N/A,"SPADD",FALSE,"Business Analysis"}</definedName>
    <definedName name="xzxz" hidden="1">{#N/A,"PURCHM",FALSE,"Business Analysis";#N/A,"SPADD",FALSE,"Business Analysis"}</definedName>
    <definedName name="y" localSheetId="3" hidden="1">{#N/A,#N/A,FALSE,"Pharm";#N/A,#N/A,FALSE,"WWCM"}</definedName>
    <definedName name="y" localSheetId="7" hidden="1">{#N/A,#N/A,FALSE,"Pharm";#N/A,#N/A,FALSE,"WWCM"}</definedName>
    <definedName name="y" hidden="1">{#N/A,#N/A,FALSE,"Pharm";#N/A,#N/A,FALSE,"WWCM"}</definedName>
    <definedName name="yg" localSheetId="3" hidden="1">{"Polymers Details",#N/A,FALSE,"Current Yr";"Polymer Details",#N/A,FALSE,"Budget";"Polymer Details",#N/A,FALSE,"Prior Year"}</definedName>
    <definedName name="yg" localSheetId="7" hidden="1">{"Polymers Details",#N/A,FALSE,"Current Yr";"Polymer Details",#N/A,FALSE,"Budget";"Polymer Details",#N/A,FALSE,"Prior Year"}</definedName>
    <definedName name="yg" hidden="1">{"Polymers Details",#N/A,FALSE,"Current Yr";"Polymer Details",#N/A,FALSE,"Budget";"Polymer Details",#N/A,FALSE,"Prior Year"}</definedName>
    <definedName name="ygu" localSheetId="3"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ygu" localSheetId="7"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ygu"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yh" localSheetId="3" hidden="1">{"Polymers Details",#N/A,FALSE,"Current Yr";"Polymer Details",#N/A,FALSE,"Budget";"Polymer Details",#N/A,FALSE,"Prior Year"}</definedName>
    <definedName name="yh" localSheetId="7" hidden="1">{"Polymers Details",#N/A,FALSE,"Current Yr";"Polymer Details",#N/A,FALSE,"Budget";"Polymer Details",#N/A,FALSE,"Prior Year"}</definedName>
    <definedName name="yh" hidden="1">{"Polymers Details",#N/A,FALSE,"Current Yr";"Polymer Details",#N/A,FALSE,"Budget";"Polymer Details",#N/A,FALSE,"Prior Year"}</definedName>
    <definedName name="yhn" localSheetId="3" hidden="1">{"detail",#N/A,FALSE,"mfg";"summary",#N/A,FALSE,"mfg"}</definedName>
    <definedName name="yhn" localSheetId="7" hidden="1">{"detail",#N/A,FALSE,"mfg";"summary",#N/A,FALSE,"mfg"}</definedName>
    <definedName name="yhn" hidden="1">{"detail",#N/A,FALSE,"mfg";"summary",#N/A,FALSE,"mfg"}</definedName>
    <definedName name="ym" localSheetId="3" hidden="1">{#N/A,"PURCHM",FALSE,"Business Analysis";#N/A,"SPADD",FALSE,"Business Analysis"}</definedName>
    <definedName name="ym" localSheetId="7" hidden="1">{#N/A,"PURCHM",FALSE,"Business Analysis";#N/A,"SPADD",FALSE,"Business Analysis"}</definedName>
    <definedName name="ym" hidden="1">{#N/A,"PURCHM",FALSE,"Business Analysis";#N/A,"SPADD",FALSE,"Business Analysis"}</definedName>
    <definedName name="yn" localSheetId="3" hidden="1">{"AS REP",#N/A,FALSE,"EEFSNAP2";"PROP",#N/A,FALSE,"EEFSNAP2";"RISKS",#N/A,FALSE,"EEFSNAP2";"VIEW ALL",#N/A,FALSE,"EEFSNAP2"}</definedName>
    <definedName name="yn" localSheetId="7" hidden="1">{"AS REP",#N/A,FALSE,"EEFSNAP2";"PROP",#N/A,FALSE,"EEFSNAP2";"RISKS",#N/A,FALSE,"EEFSNAP2";"VIEW ALL",#N/A,FALSE,"EEFSNAP2"}</definedName>
    <definedName name="yn" hidden="1">{"AS REP",#N/A,FALSE,"EEFSNAP2";"PROP",#N/A,FALSE,"EEFSNAP2";"RISKS",#N/A,FALSE,"EEFSNAP2";"VIEW ALL",#N/A,FALSE,"EEFSNAP2"}</definedName>
    <definedName name="yp" localSheetId="3" hidden="1">{#N/A,"PURADD",FALSE,"Business Analysis";#N/A,"PURSPP",FALSE,"Business Analysis";#N/A,"CTGIND",FALSE,"Business Analysis";#N/A,"PURCHM",FALSE,"Business Analysis";#N/A,"SPADD",FALSE,"Business Analysis";#N/A,"EPOXY",FALSE,"Business Analysis";#N/A,"PURPER",FALSE,"Business Analysis"}</definedName>
    <definedName name="yp" localSheetId="7" hidden="1">{#N/A,"PURADD",FALSE,"Business Analysis";#N/A,"PURSPP",FALSE,"Business Analysis";#N/A,"CTGIND",FALSE,"Business Analysis";#N/A,"PURCHM",FALSE,"Business Analysis";#N/A,"SPADD",FALSE,"Business Analysis";#N/A,"EPOXY",FALSE,"Business Analysis";#N/A,"PURPER",FALSE,"Business Analysis"}</definedName>
    <definedName name="yp" hidden="1">{#N/A,"PURADD",FALSE,"Business Analysis";#N/A,"PURSPP",FALSE,"Business Analysis";#N/A,"CTGIND",FALSE,"Business Analysis";#N/A,"PURCHM",FALSE,"Business Analysis";#N/A,"SPADD",FALSE,"Business Analysis";#N/A,"EPOXY",FALSE,"Business Analysis";#N/A,"PURPER",FALSE,"Business Analysis"}</definedName>
    <definedName name="yq" localSheetId="3" hidden="1">{"QTR_ACT",#N/A,FALSE,"PROP_PBIT_DEV_Q3";"QTR_BUD",#N/A,FALSE,"PROP_PBIT_DEV_Q3";"YTD_BUD",#N/A,FALSE,"PROP_PBIT_DEV_Q3";"YTD_ACT",#N/A,FALSE,"PROP_PBIT_DEV_Q3";"FY95 SNAP3",#N/A,FALSE,"PROP_PBIT_DEV_Q3";"FY95_BUD",#N/A,FALSE,"PROP_PBIT_DEV_Q3";"FY96_BUD",#N/A,FALSE,"PROP_PBIT_DEV_Q3"}</definedName>
    <definedName name="yq" localSheetId="7" hidden="1">{"QTR_ACT",#N/A,FALSE,"PROP_PBIT_DEV_Q3";"QTR_BUD",#N/A,FALSE,"PROP_PBIT_DEV_Q3";"YTD_BUD",#N/A,FALSE,"PROP_PBIT_DEV_Q3";"YTD_ACT",#N/A,FALSE,"PROP_PBIT_DEV_Q3";"FY95 SNAP3",#N/A,FALSE,"PROP_PBIT_DEV_Q3";"FY95_BUD",#N/A,FALSE,"PROP_PBIT_DEV_Q3";"FY96_BUD",#N/A,FALSE,"PROP_PBIT_DEV_Q3"}</definedName>
    <definedName name="yq" hidden="1">{"QTR_ACT",#N/A,FALSE,"PROP_PBIT_DEV_Q3";"QTR_BUD",#N/A,FALSE,"PROP_PBIT_DEV_Q3";"YTD_BUD",#N/A,FALSE,"PROP_PBIT_DEV_Q3";"YTD_ACT",#N/A,FALSE,"PROP_PBIT_DEV_Q3";"FY95 SNAP3",#N/A,FALSE,"PROP_PBIT_DEV_Q3";"FY95_BUD",#N/A,FALSE,"PROP_PBIT_DEV_Q3";"FY96_BUD",#N/A,FALSE,"PROP_PBIT_DEV_Q3"}</definedName>
    <definedName name="ytre" localSheetId="3" hidden="1">{"overview",#N/A,FALSE,"summary";"net assets",#N/A,FALSE,"summary";"asset turnover",#N/A,FALSE,"summary";"orona",#N/A,FALSE,"summary"}</definedName>
    <definedName name="ytre" localSheetId="7" hidden="1">{"overview",#N/A,FALSE,"summary";"net assets",#N/A,FALSE,"summary";"asset turnover",#N/A,FALSE,"summary";"orona",#N/A,FALSE,"summary"}</definedName>
    <definedName name="ytre" hidden="1">{"overview",#N/A,FALSE,"summary";"net assets",#N/A,FALSE,"summary";"asset turnover",#N/A,FALSE,"summary";"orona",#N/A,FALSE,"summary"}</definedName>
    <definedName name="yu" localSheetId="3" hidden="1">{#N/A,"PURADD",FALSE,"Business Analysis";#N/A,"PURSPP",FALSE,"Business Analysis";#N/A,"CTGIND",FALSE,"Business Analysis";#N/A,"PURCHM",FALSE,"Business Analysis";#N/A,"SPADD",FALSE,"Business Analysis";#N/A,"EPOXY",FALSE,"Business Analysis";#N/A,"PURPER",FALSE,"Business Analysis"}</definedName>
    <definedName name="yu" localSheetId="7" hidden="1">{#N/A,"PURADD",FALSE,"Business Analysis";#N/A,"PURSPP",FALSE,"Business Analysis";#N/A,"CTGIND",FALSE,"Business Analysis";#N/A,"PURCHM",FALSE,"Business Analysis";#N/A,"SPADD",FALSE,"Business Analysis";#N/A,"EPOXY",FALSE,"Business Analysis";#N/A,"PURPER",FALSE,"Business Analysis"}</definedName>
    <definedName name="yu" hidden="1">{#N/A,"PURADD",FALSE,"Business Analysis";#N/A,"PURSPP",FALSE,"Business Analysis";#N/A,"CTGIND",FALSE,"Business Analysis";#N/A,"PURCHM",FALSE,"Business Analysis";#N/A,"SPADD",FALSE,"Business Analysis";#N/A,"EPOXY",FALSE,"Business Analysis";#N/A,"PURPER",FALSE,"Business Analysis"}</definedName>
    <definedName name="yui" localSheetId="3" hidden="1">{"Commentary",#N/A,FALSE,"May"}</definedName>
    <definedName name="yui" localSheetId="7" hidden="1">{"Commentary",#N/A,FALSE,"May"}</definedName>
    <definedName name="yui" hidden="1">{"Commentary",#N/A,FALSE,"May"}</definedName>
    <definedName name="yuio" localSheetId="3" hidden="1">{"oct_res_comm",#N/A,FALSE,"VarToBud"}</definedName>
    <definedName name="yuio" localSheetId="7" hidden="1">{"oct_res_comm",#N/A,FALSE,"VarToBud"}</definedName>
    <definedName name="yuio" hidden="1">{"oct_res_comm",#N/A,FALSE,"VarToBud"}</definedName>
    <definedName name="yuop" localSheetId="3" hidden="1">{"OTHER",#N/A,FALSE,"CM"}</definedName>
    <definedName name="yuop" localSheetId="7" hidden="1">{"OTHER",#N/A,FALSE,"CM"}</definedName>
    <definedName name="yuop" hidden="1">{"OTHER",#N/A,FALSE,"CM"}</definedName>
    <definedName name="yv" localSheetId="3" hidden="1">{"sales growth",#N/A,FALSE,"summary";"oper income",#N/A,FALSE,"summary";"oros rank",#N/A,FALSE,"summary";"net assets",#N/A,FALSE,"summary";"asset turnover",#N/A,FALSE,"summary";"orona",#N/A,FALSE,"summary"}</definedName>
    <definedName name="yv" localSheetId="7" hidden="1">{"sales growth",#N/A,FALSE,"summary";"oper income",#N/A,FALSE,"summary";"oros rank",#N/A,FALSE,"summary";"net assets",#N/A,FALSE,"summary";"asset turnover",#N/A,FALSE,"summary";"orona",#N/A,FALSE,"summary"}</definedName>
    <definedName name="yv" hidden="1">{"sales growth",#N/A,FALSE,"summary";"oper income",#N/A,FALSE,"summary";"oros rank",#N/A,FALSE,"summary";"net assets",#N/A,FALSE,"summary";"asset turnover",#N/A,FALSE,"summary";"orona",#N/A,FALSE,"summary"}</definedName>
    <definedName name="yx" localSheetId="3" hidden="1">{"overview",#N/A,FALSE,"summary";"net assets",#N/A,FALSE,"summary";"asset turnover",#N/A,FALSE,"summary";"orona",#N/A,FALSE,"summary"}</definedName>
    <definedName name="yx" localSheetId="7" hidden="1">{"overview",#N/A,FALSE,"summary";"net assets",#N/A,FALSE,"summary";"asset turnover",#N/A,FALSE,"summary";"orona",#N/A,FALSE,"summary"}</definedName>
    <definedName name="yx" hidden="1">{"overview",#N/A,FALSE,"summary";"net assets",#N/A,FALSE,"summary";"asset turnover",#N/A,FALSE,"summary";"orona",#N/A,FALSE,"summary"}</definedName>
    <definedName name="yxcxycxy" localSheetId="3" hidden="1">{#N/A,#N/A,FALSE,"Umsatz 99";#N/A,#N/A,FALSE,"ER 99 "}</definedName>
    <definedName name="yxcxycxy" localSheetId="7" hidden="1">{#N/A,#N/A,FALSE,"Umsatz 99";#N/A,#N/A,FALSE,"ER 99 "}</definedName>
    <definedName name="yxcxycxy" hidden="1">{#N/A,#N/A,FALSE,"Umsatz 99";#N/A,#N/A,FALSE,"ER 99 "}</definedName>
    <definedName name="YY" localSheetId="3" hidden="1">{#N/A,#N/A,TRUE,"ICMAN96 (1)"}</definedName>
    <definedName name="YY" localSheetId="7" hidden="1">{#N/A,#N/A,TRUE,"ICMAN96 (1)"}</definedName>
    <definedName name="YY" hidden="1">{#N/A,#N/A,TRUE,"ICMAN96 (1)"}</definedName>
    <definedName name="yy.7" localSheetId="3" hidden="1">{#N/A,#N/A,FALSE,"PMW Gruppe 00_99";#N/A,#N/A,FALSE,"PMW KG 00_99";#N/A,#N/A,FALSE,"PMW Inc. 00_99";#N/A,#N/A,FALSE,"PMW VTECH 00_99";#N/A,#N/A,FALSE,"PMW Thail. 00_99";#N/A,#N/A,FALSE,"PMW Canada 00_99";#N/A,#N/A,FALSE,"Währungsabw. 00_99"}</definedName>
    <definedName name="yy.7" localSheetId="7" hidden="1">{#N/A,#N/A,FALSE,"PMW Gruppe 00_99";#N/A,#N/A,FALSE,"PMW KG 00_99";#N/A,#N/A,FALSE,"PMW Inc. 00_99";#N/A,#N/A,FALSE,"PMW VTECH 00_99";#N/A,#N/A,FALSE,"PMW Thail. 00_99";#N/A,#N/A,FALSE,"PMW Canada 00_99";#N/A,#N/A,FALSE,"Währungsabw. 00_99"}</definedName>
    <definedName name="yy.7" hidden="1">{#N/A,#N/A,FALSE,"PMW Gruppe 00_99";#N/A,#N/A,FALSE,"PMW KG 00_99";#N/A,#N/A,FALSE,"PMW Inc. 00_99";#N/A,#N/A,FALSE,"PMW VTECH 00_99";#N/A,#N/A,FALSE,"PMW Thail. 00_99";#N/A,#N/A,FALSE,"PMW Canada 00_99";#N/A,#N/A,FALSE,"Währungsabw. 00_99"}</definedName>
    <definedName name="yyy" localSheetId="3" hidden="1">{#N/A,#N/A,FALSE,"Other";#N/A,#N/A,FALSE,"Ace";#N/A,#N/A,FALSE,"Derm"}</definedName>
    <definedName name="yyy" localSheetId="7" hidden="1">{#N/A,#N/A,FALSE,"Other";#N/A,#N/A,FALSE,"Ace";#N/A,#N/A,FALSE,"Derm"}</definedName>
    <definedName name="yyy" hidden="1">{#N/A,#N/A,FALSE,"Other";#N/A,#N/A,FALSE,"Ace";#N/A,#N/A,FALSE,"Derm"}</definedName>
    <definedName name="z" hidden="1">#REF!</definedName>
    <definedName name="z.l" localSheetId="3" hidden="1">{#N/A,#N/A,FALSE,"KA CH  (2)"}</definedName>
    <definedName name="z.l" localSheetId="7" hidden="1">{#N/A,#N/A,FALSE,"KA CH  (2)"}</definedName>
    <definedName name="z.l" hidden="1">{#N/A,#N/A,FALSE,"KA CH  (2)"}</definedName>
    <definedName name="za" localSheetId="3" hidden="1">{"detail",#N/A,FALSE,"mfg";"summary",#N/A,FALSE,"mfg"}</definedName>
    <definedName name="za" localSheetId="7" hidden="1">{"detail",#N/A,FALSE,"mfg";"summary",#N/A,FALSE,"mfg"}</definedName>
    <definedName name="za" hidden="1">{"detail",#N/A,FALSE,"mfg";"summary",#N/A,FALSE,"mfg"}</definedName>
    <definedName name="zaz" localSheetId="3" hidden="1">{#N/A,"PURCHM",FALSE,"Business Analysis";#N/A,"SPADD",FALSE,"Business Analysis"}</definedName>
    <definedName name="zaz" localSheetId="7" hidden="1">{#N/A,"PURCHM",FALSE,"Business Analysis";#N/A,"SPADD",FALSE,"Business Analysis"}</definedName>
    <definedName name="zaz" hidden="1">{#N/A,"PURCHM",FALSE,"Business Analysis";#N/A,"SPADD",FALSE,"Business Analysis"}</definedName>
    <definedName name="zhu" localSheetId="3" hidden="1">{#N/A,#N/A,FALSE,"REPORT"}</definedName>
    <definedName name="zhu" localSheetId="7" hidden="1">{#N/A,#N/A,FALSE,"REPORT"}</definedName>
    <definedName name="zhu" hidden="1">{#N/A,#N/A,FALSE,"REPORT"}</definedName>
    <definedName name="zhutr" localSheetId="3" hidden="1">{#N/A,#N/A,FALSE,"REPORT"}</definedName>
    <definedName name="zhutr" localSheetId="7" hidden="1">{#N/A,#N/A,FALSE,"REPORT"}</definedName>
    <definedName name="zhutr" hidden="1">{#N/A,#N/A,FALSE,"REPORT"}</definedName>
    <definedName name="zioio" localSheetId="3" hidden="1">{#N/A,#N/A,FALSE,"Umsatz CH";#N/A,#N/A,FALSE,"ER CH";#N/A,#N/A,FALSE,"EA CH (2) ";#N/A,#N/A,FALSE,"EA CH";#N/A,#N/A,FALSE,"EA CH (3) ";#N/A,#N/A,FALSE,"EA CH (4)";#N/A,#N/A,FALSE,"KA CH";#N/A,#N/A,FALSE,"KA CH  (2)";#N/A,#N/A,FALSE,"KA CH  (3)";#N/A,#N/A,FALSE,"KA CH (4)"}</definedName>
    <definedName name="zioio" localSheetId="7" hidden="1">{#N/A,#N/A,FALSE,"Umsatz CH";#N/A,#N/A,FALSE,"ER CH";#N/A,#N/A,FALSE,"EA CH (2) ";#N/A,#N/A,FALSE,"EA CH";#N/A,#N/A,FALSE,"EA CH (3) ";#N/A,#N/A,FALSE,"EA CH (4)";#N/A,#N/A,FALSE,"KA CH";#N/A,#N/A,FALSE,"KA CH  (2)";#N/A,#N/A,FALSE,"KA CH  (3)";#N/A,#N/A,FALSE,"KA CH (4)"}</definedName>
    <definedName name="zioio" hidden="1">{#N/A,#N/A,FALSE,"Umsatz CH";#N/A,#N/A,FALSE,"ER CH";#N/A,#N/A,FALSE,"EA CH (2) ";#N/A,#N/A,FALSE,"EA CH";#N/A,#N/A,FALSE,"EA CH (3) ";#N/A,#N/A,FALSE,"EA CH (4)";#N/A,#N/A,FALSE,"KA CH";#N/A,#N/A,FALSE,"KA CH  (2)";#N/A,#N/A,FALSE,"KA CH  (3)";#N/A,#N/A,FALSE,"KA CH (4)"}</definedName>
    <definedName name="zl" localSheetId="3" hidden="1">{#N/A,"PURCHM",FALSE,"Business Analysis";#N/A,"SPADD",FALSE,"Business Analysis"}</definedName>
    <definedName name="zl" localSheetId="7" hidden="1">{#N/A,"PURCHM",FALSE,"Business Analysis";#N/A,"SPADD",FALSE,"Business Analysis"}</definedName>
    <definedName name="zl" hidden="1">{#N/A,"PURCHM",FALSE,"Business Analysis";#N/A,"SPADD",FALSE,"Business Analysis"}</definedName>
    <definedName name="ZSZ" localSheetId="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 localSheetId="7"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xzx" localSheetId="3" hidden="1">{"oct_res_comm",#N/A,FALSE,"VarToBud"}</definedName>
    <definedName name="zxzx" localSheetId="7" hidden="1">{"oct_res_comm",#N/A,FALSE,"VarToBud"}</definedName>
    <definedName name="zxzx" hidden="1">{"oct_res_comm",#N/A,FALSE,"VarToBud"}</definedName>
    <definedName name="zz" localSheetId="3" hidden="1">{#N/A,#N/A,FALSE,"KA CH  (2)"}</definedName>
    <definedName name="zz" localSheetId="7" hidden="1">{#N/A,#N/A,FALSE,"KA CH  (2)"}</definedName>
    <definedName name="zz" hidden="1">{#N/A,#N/A,FALSE,"KA CH  (2)"}</definedName>
    <definedName name="zza4pg" localSheetId="3" hidden="1">{#N/A,#N/A,FALSE,"REPORT"}</definedName>
    <definedName name="zza4pg" localSheetId="7" hidden="1">{#N/A,#N/A,FALSE,"REPORT"}</definedName>
    <definedName name="zza4pg" hidden="1">{#N/A,#N/A,FALSE,"REPORT"}</definedName>
    <definedName name="zzaxz" localSheetId="3" hidden="1">{"detail",#N/A,FALSE,"mfg";"summary",#N/A,FALSE,"mfg"}</definedName>
    <definedName name="zzaxz" localSheetId="7" hidden="1">{"detail",#N/A,FALSE,"mfg";"summary",#N/A,FALSE,"mfg"}</definedName>
    <definedName name="zzaxz" hidden="1">{"detail",#N/A,FALSE,"mfg";"summary",#N/A,FALSE,"mfg"}</definedName>
    <definedName name="zzee" localSheetId="3" hidden="1">{#N/A,#N/A,FALSE,"Pharm";#N/A,#N/A,FALSE,"WWCM"}</definedName>
    <definedName name="zzee" localSheetId="7" hidden="1">{#N/A,#N/A,FALSE,"Pharm";#N/A,#N/A,FALSE,"WWCM"}</definedName>
    <definedName name="zzee" hidden="1">{#N/A,#N/A,FALSE,"Pharm";#N/A,#N/A,FALSE,"WWCM"}</definedName>
    <definedName name="zzi.7" localSheetId="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i.7"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i.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z" localSheetId="3" hidden="1">{#N/A,#N/A,FALSE,"Umsatz CH";#N/A,#N/A,FALSE,"ER CH";#N/A,#N/A,FALSE,"EA CH (2) ";#N/A,#N/A,FALSE,"EA CH";#N/A,#N/A,FALSE,"EA CH (3) ";#N/A,#N/A,FALSE,"EA CH (4)";#N/A,#N/A,FALSE,"KA CH";#N/A,#N/A,FALSE,"KA CH  (2)";#N/A,#N/A,FALSE,"KA CH  (3)";#N/A,#N/A,FALSE,"KA CH (4)"}</definedName>
    <definedName name="zzz" localSheetId="7" hidden="1">{#N/A,#N/A,FALSE,"Umsatz CH";#N/A,#N/A,FALSE,"ER CH";#N/A,#N/A,FALSE,"EA CH (2) ";#N/A,#N/A,FALSE,"EA CH";#N/A,#N/A,FALSE,"EA CH (3) ";#N/A,#N/A,FALSE,"EA CH (4)";#N/A,#N/A,FALSE,"KA CH";#N/A,#N/A,FALSE,"KA CH  (2)";#N/A,#N/A,FALSE,"KA CH  (3)";#N/A,#N/A,FALSE,"KA CH (4)"}</definedName>
    <definedName name="zzz" hidden="1">{#N/A,#N/A,FALSE,"Umsatz CH";#N/A,#N/A,FALSE,"ER CH";#N/A,#N/A,FALSE,"EA CH (2) ";#N/A,#N/A,FALSE,"EA CH";#N/A,#N/A,FALSE,"EA CH (3) ";#N/A,#N/A,FALSE,"EA CH (4)";#N/A,#N/A,FALSE,"KA CH";#N/A,#N/A,FALSE,"KA CH  (2)";#N/A,#N/A,FALSE,"KA CH  (3)";#N/A,#N/A,FALSE,"KA CH (4)"}</definedName>
    <definedName name="zzzzz" localSheetId="3" hidden="1">{#N/A,#N/A,FALSE,"REPORT"}</definedName>
    <definedName name="zzzzz" localSheetId="7" hidden="1">{#N/A,#N/A,FALSE,"REPORT"}</definedName>
    <definedName name="zzzzz" hidden="1">{#N/A,#N/A,FALSE,"REPORT"}</definedName>
    <definedName name="고" localSheetId="3" hidden="1">{#N/A,#N/A,FALSE,"REPORT"}</definedName>
    <definedName name="고" localSheetId="7" hidden="1">{#N/A,#N/A,FALSE,"REPORT"}</definedName>
    <definedName name="고" hidden="1">{#N/A,#N/A,FALSE,"REPORT"}</definedName>
    <definedName name="ㄶㅇ노ㅗㄶ호" localSheetId="3" hidden="1">{#N/A,#N/A,FALSE,"REPORT"}</definedName>
    <definedName name="ㄶㅇ노ㅗㄶ호" localSheetId="7" hidden="1">{#N/A,#N/A,FALSE,"REPORT"}</definedName>
    <definedName name="ㄶㅇ노ㅗㄶ호" hidden="1">{#N/A,#N/A,FALSE,"REPORT"}</definedName>
    <definedName name="미애" localSheetId="3" hidden="1">{#N/A,#N/A,FALSE,"REPORT"}</definedName>
    <definedName name="미애" localSheetId="7" hidden="1">{#N/A,#N/A,FALSE,"REPORT"}</definedName>
    <definedName name="미애" hidden="1">{#N/A,#N/A,FALSE,"REPORT"}</definedName>
    <definedName name="ㅂㅁ" localSheetId="3" hidden="1">{#N/A,"PURCHM",FALSE,"Business Analysis";#N/A,"SPADD",FALSE,"Business Analysis"}</definedName>
    <definedName name="ㅂㅁ" localSheetId="7" hidden="1">{#N/A,"PURCHM",FALSE,"Business Analysis";#N/A,"SPADD",FALSE,"Business Analysis"}</definedName>
    <definedName name="ㅂㅁ" hidden="1">{#N/A,"PURCHM",FALSE,"Business Analysis";#N/A,"SPADD",FALSE,"Business Analysis"}</definedName>
    <definedName name="이" localSheetId="3" hidden="1">{"vol data",#N/A,FALSE,"Datasheet";"vol graph",#N/A,FALSE,"Volume";"price data",#N/A,FALSE,"Datasheet";"price graph",#N/A,FALSE,"Price";"dp data",#N/A,FALSE,"Datasheet";"dp graph",#N/A,FALSE,"DirectProfit"}</definedName>
    <definedName name="이" localSheetId="7" hidden="1">{"vol data",#N/A,FALSE,"Datasheet";"vol graph",#N/A,FALSE,"Volume";"price data",#N/A,FALSE,"Datasheet";"price graph",#N/A,FALSE,"Price";"dp data",#N/A,FALSE,"Datasheet";"dp graph",#N/A,FALSE,"DirectProfit"}</definedName>
    <definedName name="이" hidden="1">{"vol data",#N/A,FALSE,"Datasheet";"vol graph",#N/A,FALSE,"Volume";"price data",#N/A,FALSE,"Datasheet";"price graph",#N/A,FALSE,"Price";"dp data",#N/A,FALSE,"Datasheet";"dp graph",#N/A,FALSE,"DirectProfit"}</definedName>
  </definedNames>
  <calcPr calcId="191028" calcMode="autoNoTable" iterate="1" iterateCount="50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9" i="15" l="1"/>
  <c r="C58" i="15"/>
  <c r="D58" i="15"/>
  <c r="J58" i="15"/>
  <c r="I58" i="15"/>
  <c r="H58" i="15"/>
  <c r="G58" i="15"/>
  <c r="F58" i="15"/>
  <c r="E58" i="15"/>
  <c r="T52" i="9"/>
  <c r="M39" i="15"/>
  <c r="L53" i="4"/>
  <c r="M38" i="15"/>
  <c r="M37" i="15"/>
  <c r="M36" i="15"/>
  <c r="M33" i="15"/>
  <c r="N33" i="15" s="1"/>
  <c r="C36" i="15"/>
  <c r="C35" i="15"/>
  <c r="C34" i="15"/>
  <c r="C33" i="15"/>
  <c r="C32" i="15"/>
  <c r="C31" i="15"/>
  <c r="C30" i="15"/>
  <c r="H28" i="15"/>
  <c r="G28" i="15"/>
  <c r="F28" i="15"/>
  <c r="E28" i="15"/>
  <c r="D28" i="15"/>
  <c r="C28" i="15"/>
  <c r="B28" i="15"/>
  <c r="AC111" i="9"/>
  <c r="AB111" i="9"/>
  <c r="AA111" i="9"/>
  <c r="Z111" i="9"/>
  <c r="Y111" i="9"/>
  <c r="X111" i="9"/>
  <c r="W111" i="9"/>
  <c r="V111" i="9"/>
  <c r="U111" i="9"/>
  <c r="T111" i="9"/>
  <c r="S111" i="9"/>
  <c r="T110" i="9"/>
  <c r="U110" i="9"/>
  <c r="V110" i="9"/>
  <c r="W110" i="9"/>
  <c r="X110" i="9"/>
  <c r="Y110" i="9"/>
  <c r="Z110" i="9"/>
  <c r="AA110" i="9"/>
  <c r="AB110" i="9"/>
  <c r="AC110" i="9"/>
  <c r="S110" i="9"/>
  <c r="X67" i="9"/>
  <c r="Y67" i="9" s="1"/>
  <c r="X69" i="9"/>
  <c r="X285" i="1"/>
  <c r="W285" i="1"/>
  <c r="V285" i="1"/>
  <c r="U285" i="1"/>
  <c r="J2" i="15"/>
  <c r="I2" i="15"/>
  <c r="J3" i="15"/>
  <c r="I3" i="15"/>
  <c r="M40" i="15" l="1"/>
  <c r="M34" i="15"/>
  <c r="N34" i="15" s="1"/>
  <c r="X68" i="9"/>
  <c r="Y68" i="9" s="1"/>
  <c r="V68" i="9"/>
  <c r="S66" i="9"/>
  <c r="S74" i="9"/>
  <c r="F4" i="15"/>
  <c r="E4" i="15"/>
  <c r="E3" i="15"/>
  <c r="Y79" i="9"/>
  <c r="Y80" i="9"/>
  <c r="Y78" i="9"/>
  <c r="K2" i="15" l="1"/>
  <c r="F3" i="15"/>
  <c r="S133" i="1"/>
  <c r="T133" i="1" s="1"/>
  <c r="U133" i="1" s="1"/>
  <c r="S360" i="1"/>
  <c r="T360" i="1" s="1"/>
  <c r="S526" i="1"/>
  <c r="T526" i="1" s="1"/>
  <c r="S60" i="9"/>
  <c r="T60" i="9"/>
  <c r="W43" i="9"/>
  <c r="W42" i="9"/>
  <c r="W41" i="9"/>
  <c r="W40" i="9"/>
  <c r="AA350" i="1"/>
  <c r="AB350" i="1"/>
  <c r="AC350" i="1"/>
  <c r="Z350" i="1"/>
  <c r="C134" i="13" l="1"/>
  <c r="D134" i="13"/>
  <c r="E134" i="13"/>
  <c r="F134" i="13"/>
  <c r="G134" i="13"/>
  <c r="K3" i="15" s="1"/>
  <c r="K4" i="15" s="1"/>
  <c r="E2" i="12"/>
  <c r="D3" i="12"/>
  <c r="E3" i="12"/>
  <c r="E4" i="12"/>
  <c r="E5" i="12"/>
  <c r="E6" i="12"/>
  <c r="E7" i="12"/>
  <c r="E8" i="12"/>
  <c r="E9" i="12"/>
  <c r="E10" i="12"/>
  <c r="E11" i="12"/>
  <c r="E12" i="12"/>
  <c r="E19" i="12"/>
  <c r="X124" i="1"/>
  <c r="W124" i="1"/>
  <c r="V124" i="1"/>
  <c r="R289" i="1"/>
  <c r="S379" i="1"/>
  <c r="T379" i="1" s="1"/>
  <c r="U379" i="1" s="1"/>
  <c r="V379" i="1" s="1"/>
  <c r="W379" i="1" s="1"/>
  <c r="X379" i="1" s="1"/>
  <c r="U360" i="1"/>
  <c r="S341" i="1"/>
  <c r="T341" i="1" s="1"/>
  <c r="U341" i="1" s="1"/>
  <c r="V341" i="1" s="1"/>
  <c r="W341" i="1" s="1"/>
  <c r="X341" i="1" s="1"/>
  <c r="S247" i="1"/>
  <c r="T247" i="1" s="1"/>
  <c r="U247" i="1" s="1"/>
  <c r="V247" i="1" s="1"/>
  <c r="W247" i="1" s="1"/>
  <c r="X247" i="1" s="1"/>
  <c r="S190" i="1"/>
  <c r="T190" i="1" s="1"/>
  <c r="U190" i="1" s="1"/>
  <c r="S303" i="1"/>
  <c r="S294" i="1"/>
  <c r="AA246" i="1"/>
  <c r="S74" i="1"/>
  <c r="T74" i="1" s="1"/>
  <c r="U74" i="1" s="1"/>
  <c r="V74" i="1" s="1"/>
  <c r="W74" i="1" s="1"/>
  <c r="T853" i="1"/>
  <c r="U853" i="1" s="1"/>
  <c r="V853" i="1" s="1"/>
  <c r="W853" i="1" s="1"/>
  <c r="X853" i="1" s="1"/>
  <c r="S848" i="1"/>
  <c r="T848" i="1" s="1"/>
  <c r="U848" i="1" s="1"/>
  <c r="S843" i="1"/>
  <c r="T843" i="1" s="1"/>
  <c r="U843" i="1" s="1"/>
  <c r="S838" i="1"/>
  <c r="T838" i="1" s="1"/>
  <c r="U838" i="1" s="1"/>
  <c r="S833" i="1"/>
  <c r="T833" i="1" s="1"/>
  <c r="U833" i="1" s="1"/>
  <c r="V833" i="1" s="1"/>
  <c r="S828" i="1"/>
  <c r="T828" i="1" s="1"/>
  <c r="S823" i="1"/>
  <c r="T823" i="1" s="1"/>
  <c r="S813" i="1"/>
  <c r="T813" i="1" s="1"/>
  <c r="U813" i="1" s="1"/>
  <c r="V813" i="1" s="1"/>
  <c r="S818" i="1"/>
  <c r="T818" i="1" s="1"/>
  <c r="U818" i="1" s="1"/>
  <c r="T294" i="1" l="1"/>
  <c r="V360" i="1"/>
  <c r="W360" i="1" s="1"/>
  <c r="X360" i="1" s="1"/>
  <c r="V190" i="1"/>
  <c r="V303" i="1" s="1"/>
  <c r="U303" i="1"/>
  <c r="T303" i="1"/>
  <c r="X74" i="1"/>
  <c r="V133" i="1" l="1"/>
  <c r="W133" i="1" s="1"/>
  <c r="X133" i="1" s="1"/>
  <c r="W190" i="1"/>
  <c r="W303" i="1" s="1"/>
  <c r="U294" i="1" l="1"/>
  <c r="X190" i="1"/>
  <c r="X303" i="1" s="1"/>
  <c r="V294" i="1"/>
  <c r="W294" i="1" l="1"/>
  <c r="X294" i="1"/>
  <c r="V828" i="1" l="1"/>
  <c r="S700" i="1"/>
  <c r="T700" i="1" s="1"/>
  <c r="U700" i="1" s="1"/>
  <c r="V700" i="1" s="1"/>
  <c r="W700" i="1" s="1"/>
  <c r="X700" i="1" s="1"/>
  <c r="S701" i="1"/>
  <c r="T701" i="1" s="1"/>
  <c r="U701" i="1" s="1"/>
  <c r="V701" i="1" s="1"/>
  <c r="W701" i="1" s="1"/>
  <c r="X701" i="1" s="1"/>
  <c r="S907" i="1"/>
  <c r="T907" i="1" s="1"/>
  <c r="U907" i="1" s="1"/>
  <c r="V907" i="1" s="1"/>
  <c r="W907" i="1" s="1"/>
  <c r="X907" i="1" s="1"/>
  <c r="V818" i="1" l="1"/>
  <c r="X813" i="1"/>
  <c r="S708" i="1"/>
  <c r="T708" i="1" s="1"/>
  <c r="S699" i="1"/>
  <c r="T699" i="1" s="1"/>
  <c r="U699" i="1" s="1"/>
  <c r="V699" i="1" s="1"/>
  <c r="W699" i="1" s="1"/>
  <c r="X699" i="1" s="1"/>
  <c r="S691" i="1"/>
  <c r="T691" i="1" s="1"/>
  <c r="U691" i="1" s="1"/>
  <c r="V691" i="1" s="1"/>
  <c r="W691" i="1" s="1"/>
  <c r="X691" i="1" s="1"/>
  <c r="S686" i="1"/>
  <c r="T686" i="1" s="1"/>
  <c r="S682" i="1"/>
  <c r="T682" i="1" s="1"/>
  <c r="U682" i="1" s="1"/>
  <c r="V682" i="1" s="1"/>
  <c r="W682" i="1" s="1"/>
  <c r="X682" i="1" s="1"/>
  <c r="R633" i="1"/>
  <c r="S633" i="1" s="1"/>
  <c r="T633" i="1" s="1"/>
  <c r="T602" i="1"/>
  <c r="U602" i="1"/>
  <c r="V602" i="1"/>
  <c r="W602" i="1"/>
  <c r="X602" i="1"/>
  <c r="S602" i="1"/>
  <c r="S540" i="1"/>
  <c r="S599" i="1"/>
  <c r="T599" i="1" s="1"/>
  <c r="U599" i="1" s="1"/>
  <c r="V599" i="1" s="1"/>
  <c r="W599" i="1" s="1"/>
  <c r="X599" i="1" s="1"/>
  <c r="U502" i="1"/>
  <c r="V502" i="1" s="1"/>
  <c r="W502" i="1" s="1"/>
  <c r="X502" i="1" s="1"/>
  <c r="V526" i="1"/>
  <c r="W526" i="1" s="1"/>
  <c r="R562" i="1"/>
  <c r="S562" i="1" s="1"/>
  <c r="U124" i="1"/>
  <c r="T124" i="1"/>
  <c r="S124" i="1"/>
  <c r="S498" i="1"/>
  <c r="T498" i="1" s="1"/>
  <c r="U498" i="1" s="1"/>
  <c r="V498" i="1" s="1"/>
  <c r="W498" i="1" s="1"/>
  <c r="X498" i="1" s="1"/>
  <c r="U65" i="1"/>
  <c r="V65" i="1" s="1"/>
  <c r="W65" i="1" s="1"/>
  <c r="X65" i="1" s="1"/>
  <c r="U181" i="1"/>
  <c r="T238" i="1"/>
  <c r="U238" i="1"/>
  <c r="S238" i="1"/>
  <c r="T336" i="1"/>
  <c r="Y40" i="9" s="1"/>
  <c r="U336" i="1"/>
  <c r="Z40" i="9" s="1"/>
  <c r="S336" i="1"/>
  <c r="X40" i="9" s="1"/>
  <c r="T355" i="1"/>
  <c r="Y42" i="9" s="1"/>
  <c r="U355" i="1"/>
  <c r="Z42" i="9" s="1"/>
  <c r="S355" i="1"/>
  <c r="T374" i="1"/>
  <c r="Y41" i="9" s="1"/>
  <c r="U374" i="1"/>
  <c r="Z41" i="9" s="1"/>
  <c r="S374" i="1"/>
  <c r="X41" i="9" s="1"/>
  <c r="T393" i="1"/>
  <c r="Y43" i="9" s="1"/>
  <c r="U393" i="1"/>
  <c r="Z43" i="9" s="1"/>
  <c r="S393" i="1"/>
  <c r="X43" i="9" s="1"/>
  <c r="D49" i="9"/>
  <c r="E49" i="9"/>
  <c r="C49" i="9"/>
  <c r="E48" i="9"/>
  <c r="E7" i="4"/>
  <c r="E15" i="9"/>
  <c r="X42" i="9" l="1"/>
  <c r="T562" i="1"/>
  <c r="U562" i="1" s="1"/>
  <c r="U686" i="1"/>
  <c r="V686" i="1" s="1"/>
  <c r="W686" i="1" s="1"/>
  <c r="X686" i="1" s="1"/>
  <c r="U708" i="1"/>
  <c r="V708" i="1" s="1"/>
  <c r="W708" i="1" s="1"/>
  <c r="X708" i="1" s="1"/>
  <c r="U633" i="1"/>
  <c r="V633" i="1" s="1"/>
  <c r="T540" i="1"/>
  <c r="E50" i="9"/>
  <c r="V562" i="1" l="1"/>
  <c r="W562" i="1" s="1"/>
  <c r="X562" i="1" s="1"/>
  <c r="W633" i="1"/>
  <c r="X633" i="1" s="1"/>
  <c r="U540" i="1"/>
  <c r="V540" i="1" s="1"/>
  <c r="E12" i="9"/>
  <c r="E9" i="9" s="1"/>
  <c r="W540" i="1" l="1"/>
  <c r="X540" i="1" s="1"/>
  <c r="C5" i="4"/>
  <c r="R214" i="1"/>
  <c r="C6" i="4" l="1"/>
  <c r="Q950" i="1" l="1"/>
  <c r="P950" i="1"/>
  <c r="O950" i="1"/>
  <c r="N950" i="1"/>
  <c r="M950" i="1"/>
  <c r="L950" i="1"/>
  <c r="K950" i="1"/>
  <c r="J950" i="1"/>
  <c r="I950" i="1"/>
  <c r="H950" i="1"/>
  <c r="H949" i="1"/>
  <c r="I949" i="1"/>
  <c r="J949" i="1"/>
  <c r="K949" i="1"/>
  <c r="L949" i="1"/>
  <c r="M949" i="1"/>
  <c r="N949" i="1"/>
  <c r="O949" i="1"/>
  <c r="P949" i="1"/>
  <c r="Q949" i="1"/>
  <c r="H942" i="1"/>
  <c r="I942" i="1"/>
  <c r="J942" i="1"/>
  <c r="K942" i="1"/>
  <c r="L942" i="1"/>
  <c r="M942" i="1"/>
  <c r="N942" i="1"/>
  <c r="O942" i="1"/>
  <c r="P942" i="1"/>
  <c r="Q942" i="1"/>
  <c r="Q919" i="1" l="1"/>
  <c r="R899" i="1" l="1"/>
  <c r="P919" i="1"/>
  <c r="Q899" i="1" s="1"/>
  <c r="O919" i="1"/>
  <c r="P899" i="1" s="1"/>
  <c r="N919" i="1"/>
  <c r="O899" i="1" s="1"/>
  <c r="M919" i="1"/>
  <c r="N899" i="1" s="1"/>
  <c r="L919" i="1"/>
  <c r="M899" i="1" s="1"/>
  <c r="K919" i="1"/>
  <c r="L899" i="1" s="1"/>
  <c r="J919" i="1"/>
  <c r="K899" i="1" s="1"/>
  <c r="I919" i="1"/>
  <c r="J899" i="1" s="1"/>
  <c r="H919" i="1"/>
  <c r="I899" i="1" s="1"/>
  <c r="H899" i="1"/>
  <c r="Q640" i="1"/>
  <c r="H905" i="1"/>
  <c r="I905" i="1"/>
  <c r="J905" i="1"/>
  <c r="K905" i="1"/>
  <c r="L905" i="1"/>
  <c r="M905" i="1"/>
  <c r="N905" i="1"/>
  <c r="O905" i="1"/>
  <c r="P905" i="1"/>
  <c r="Q905" i="1"/>
  <c r="Q514" i="1"/>
  <c r="Q518" i="1" s="1"/>
  <c r="P514" i="1"/>
  <c r="P518" i="1" s="1"/>
  <c r="O514" i="1"/>
  <c r="O516" i="1" s="1"/>
  <c r="N514" i="1"/>
  <c r="N518" i="1" s="1"/>
  <c r="T16" i="1"/>
  <c r="S16" i="1"/>
  <c r="S820" i="1" s="1"/>
  <c r="Q930" i="1"/>
  <c r="Q931" i="1" s="1"/>
  <c r="P930" i="1"/>
  <c r="P931" i="1" s="1"/>
  <c r="O930" i="1"/>
  <c r="O931" i="1" s="1"/>
  <c r="N930" i="1"/>
  <c r="N931" i="1" s="1"/>
  <c r="M930" i="1"/>
  <c r="M931" i="1" s="1"/>
  <c r="L930" i="1"/>
  <c r="L931" i="1" s="1"/>
  <c r="K930" i="1"/>
  <c r="K931" i="1" s="1"/>
  <c r="J930" i="1"/>
  <c r="J931" i="1" s="1"/>
  <c r="I930" i="1"/>
  <c r="I931" i="1" s="1"/>
  <c r="H930" i="1"/>
  <c r="H931" i="1" s="1"/>
  <c r="G930" i="1"/>
  <c r="G931" i="1" s="1"/>
  <c r="Q927" i="1"/>
  <c r="Q928" i="1" s="1"/>
  <c r="P927" i="1"/>
  <c r="O927" i="1"/>
  <c r="O928" i="1" s="1"/>
  <c r="N927" i="1"/>
  <c r="N928" i="1" s="1"/>
  <c r="M927" i="1"/>
  <c r="M928" i="1" s="1"/>
  <c r="L927" i="1"/>
  <c r="L928" i="1" s="1"/>
  <c r="K927" i="1"/>
  <c r="K928" i="1" s="1"/>
  <c r="J927" i="1"/>
  <c r="J928" i="1" s="1"/>
  <c r="I927" i="1"/>
  <c r="I928" i="1" s="1"/>
  <c r="H927" i="1"/>
  <c r="H928" i="1" s="1"/>
  <c r="G927" i="1"/>
  <c r="G928" i="1" s="1"/>
  <c r="Q901" i="1"/>
  <c r="P901" i="1"/>
  <c r="P903" i="1" s="1"/>
  <c r="O901" i="1"/>
  <c r="O903" i="1" s="1"/>
  <c r="N901" i="1"/>
  <c r="N903" i="1" s="1"/>
  <c r="M901" i="1"/>
  <c r="M903" i="1" s="1"/>
  <c r="L901" i="1"/>
  <c r="L903" i="1" s="1"/>
  <c r="K901" i="1"/>
  <c r="J901" i="1"/>
  <c r="J903" i="1" s="1"/>
  <c r="I901" i="1"/>
  <c r="I903" i="1" s="1"/>
  <c r="H901" i="1"/>
  <c r="H903" i="1" s="1"/>
  <c r="Q892" i="1"/>
  <c r="P892" i="1"/>
  <c r="O892" i="1"/>
  <c r="N892" i="1"/>
  <c r="M892" i="1"/>
  <c r="L892" i="1"/>
  <c r="K892" i="1"/>
  <c r="J892" i="1"/>
  <c r="I892" i="1"/>
  <c r="H892" i="1"/>
  <c r="G892" i="1"/>
  <c r="Q888" i="1"/>
  <c r="P888" i="1"/>
  <c r="O888" i="1"/>
  <c r="N888" i="1"/>
  <c r="M888" i="1"/>
  <c r="L888" i="1"/>
  <c r="K888" i="1"/>
  <c r="J888" i="1"/>
  <c r="I888" i="1"/>
  <c r="H888" i="1"/>
  <c r="G888" i="1"/>
  <c r="Q880" i="1"/>
  <c r="P880" i="1"/>
  <c r="O880" i="1"/>
  <c r="N880" i="1"/>
  <c r="M880" i="1"/>
  <c r="L880" i="1"/>
  <c r="K880" i="1"/>
  <c r="J880" i="1"/>
  <c r="I880" i="1"/>
  <c r="H880" i="1"/>
  <c r="G880" i="1"/>
  <c r="Q876" i="1"/>
  <c r="P876" i="1"/>
  <c r="O876" i="1"/>
  <c r="N876" i="1"/>
  <c r="M876" i="1"/>
  <c r="L876" i="1"/>
  <c r="K876" i="1"/>
  <c r="J876" i="1"/>
  <c r="I876" i="1"/>
  <c r="H876" i="1"/>
  <c r="G876" i="1"/>
  <c r="Q872" i="1"/>
  <c r="P872" i="1"/>
  <c r="O872" i="1"/>
  <c r="N872" i="1"/>
  <c r="M872" i="1"/>
  <c r="L872" i="1"/>
  <c r="K872" i="1"/>
  <c r="J872" i="1"/>
  <c r="I872" i="1"/>
  <c r="H872" i="1"/>
  <c r="G872" i="1"/>
  <c r="L862" i="1"/>
  <c r="K862" i="1"/>
  <c r="J862" i="1"/>
  <c r="I862" i="1"/>
  <c r="H862" i="1"/>
  <c r="G862" i="1"/>
  <c r="O860" i="1"/>
  <c r="N860" i="1"/>
  <c r="M860" i="1"/>
  <c r="L860" i="1"/>
  <c r="K860" i="1"/>
  <c r="J860" i="1"/>
  <c r="I860" i="1"/>
  <c r="H860" i="1"/>
  <c r="G860" i="1"/>
  <c r="Q858" i="1"/>
  <c r="P858" i="1"/>
  <c r="O858" i="1"/>
  <c r="N858" i="1"/>
  <c r="M858" i="1"/>
  <c r="L858" i="1"/>
  <c r="K858" i="1"/>
  <c r="J858" i="1"/>
  <c r="I858" i="1"/>
  <c r="H858" i="1"/>
  <c r="G858" i="1"/>
  <c r="F858" i="1"/>
  <c r="E858" i="1"/>
  <c r="D858" i="1"/>
  <c r="R851" i="1"/>
  <c r="S851" i="1"/>
  <c r="R846" i="1"/>
  <c r="R841" i="1"/>
  <c r="S841" i="1"/>
  <c r="R836" i="1"/>
  <c r="S836" i="1"/>
  <c r="R831" i="1"/>
  <c r="S831" i="1"/>
  <c r="R826" i="1"/>
  <c r="S826" i="1"/>
  <c r="R820" i="1"/>
  <c r="R821" i="1" s="1"/>
  <c r="R815" i="1"/>
  <c r="R816" i="1" s="1"/>
  <c r="Q801" i="1"/>
  <c r="P801" i="1"/>
  <c r="O801" i="1"/>
  <c r="N801" i="1"/>
  <c r="M801" i="1"/>
  <c r="L801" i="1"/>
  <c r="K801" i="1"/>
  <c r="J801" i="1"/>
  <c r="I801" i="1"/>
  <c r="H801" i="1"/>
  <c r="R798" i="1"/>
  <c r="Q798" i="1"/>
  <c r="P798" i="1"/>
  <c r="O798" i="1"/>
  <c r="N798" i="1"/>
  <c r="M798" i="1"/>
  <c r="L798" i="1"/>
  <c r="K798" i="1"/>
  <c r="J798" i="1"/>
  <c r="I798" i="1"/>
  <c r="H798" i="1"/>
  <c r="G798" i="1"/>
  <c r="Q791" i="1"/>
  <c r="P791" i="1"/>
  <c r="O791" i="1"/>
  <c r="N791" i="1"/>
  <c r="M791" i="1"/>
  <c r="L791" i="1"/>
  <c r="K791" i="1"/>
  <c r="J791" i="1"/>
  <c r="I791" i="1"/>
  <c r="H791" i="1"/>
  <c r="G791" i="1"/>
  <c r="X776" i="1"/>
  <c r="W776" i="1"/>
  <c r="V776" i="1"/>
  <c r="U776" i="1"/>
  <c r="T776" i="1"/>
  <c r="S776" i="1"/>
  <c r="R776" i="1"/>
  <c r="Q776" i="1"/>
  <c r="P776" i="1"/>
  <c r="O776" i="1"/>
  <c r="N776" i="1"/>
  <c r="M776" i="1"/>
  <c r="L776" i="1"/>
  <c r="K776" i="1"/>
  <c r="J776" i="1"/>
  <c r="I776" i="1"/>
  <c r="H776" i="1"/>
  <c r="G776" i="1"/>
  <c r="Q775" i="1"/>
  <c r="P775" i="1"/>
  <c r="O775" i="1"/>
  <c r="N775" i="1"/>
  <c r="M775" i="1"/>
  <c r="L775" i="1"/>
  <c r="K775" i="1"/>
  <c r="J775" i="1"/>
  <c r="I775" i="1"/>
  <c r="H775" i="1"/>
  <c r="G775" i="1"/>
  <c r="Q768" i="1"/>
  <c r="M64" i="4" s="1"/>
  <c r="P768" i="1"/>
  <c r="L64" i="4" s="1"/>
  <c r="O768" i="1"/>
  <c r="K64" i="4" s="1"/>
  <c r="N768" i="1"/>
  <c r="J64" i="4" s="1"/>
  <c r="M768" i="1"/>
  <c r="I64" i="4" s="1"/>
  <c r="L768" i="1"/>
  <c r="H64" i="4" s="1"/>
  <c r="K768" i="1"/>
  <c r="G64" i="4" s="1"/>
  <c r="J768" i="1"/>
  <c r="F64" i="4" s="1"/>
  <c r="I768" i="1"/>
  <c r="E64" i="4" s="1"/>
  <c r="H768" i="1"/>
  <c r="D64" i="4" s="1"/>
  <c r="G768" i="1"/>
  <c r="Q767" i="1"/>
  <c r="M63" i="4" s="1"/>
  <c r="P767" i="1"/>
  <c r="L63" i="4" s="1"/>
  <c r="O767" i="1"/>
  <c r="K63" i="4" s="1"/>
  <c r="N767" i="1"/>
  <c r="J63" i="4" s="1"/>
  <c r="M767" i="1"/>
  <c r="I63" i="4" s="1"/>
  <c r="L767" i="1"/>
  <c r="H63" i="4" s="1"/>
  <c r="K767" i="1"/>
  <c r="G63" i="4" s="1"/>
  <c r="J767" i="1"/>
  <c r="F63" i="4" s="1"/>
  <c r="I767" i="1"/>
  <c r="E63" i="4" s="1"/>
  <c r="H767" i="1"/>
  <c r="D63" i="4" s="1"/>
  <c r="G767" i="1"/>
  <c r="Q760" i="1"/>
  <c r="R759" i="1" s="1"/>
  <c r="P760" i="1"/>
  <c r="Q759" i="1" s="1"/>
  <c r="O760" i="1"/>
  <c r="P759" i="1" s="1"/>
  <c r="N760" i="1"/>
  <c r="O759" i="1" s="1"/>
  <c r="M760" i="1"/>
  <c r="N759" i="1" s="1"/>
  <c r="L760" i="1"/>
  <c r="M759" i="1" s="1"/>
  <c r="K760" i="1"/>
  <c r="L759" i="1" s="1"/>
  <c r="J760" i="1"/>
  <c r="K759" i="1" s="1"/>
  <c r="I760" i="1"/>
  <c r="J759" i="1" s="1"/>
  <c r="H760" i="1"/>
  <c r="I759" i="1" s="1"/>
  <c r="H759" i="1"/>
  <c r="Q747" i="1"/>
  <c r="P747" i="1"/>
  <c r="O747" i="1"/>
  <c r="N747" i="1"/>
  <c r="M747" i="1"/>
  <c r="L747" i="1"/>
  <c r="K747" i="1"/>
  <c r="J747" i="1"/>
  <c r="I747" i="1"/>
  <c r="H747" i="1"/>
  <c r="G747" i="1"/>
  <c r="Q741" i="1"/>
  <c r="P741" i="1"/>
  <c r="O741" i="1"/>
  <c r="N741" i="1"/>
  <c r="M741" i="1"/>
  <c r="L741" i="1"/>
  <c r="K741" i="1"/>
  <c r="J741" i="1"/>
  <c r="I741" i="1"/>
  <c r="H741" i="1"/>
  <c r="G741" i="1"/>
  <c r="Q731" i="1"/>
  <c r="Q769" i="1" s="1"/>
  <c r="M65" i="4" s="1"/>
  <c r="P731" i="1"/>
  <c r="P769" i="1" s="1"/>
  <c r="L65" i="4" s="1"/>
  <c r="O731" i="1"/>
  <c r="O769" i="1" s="1"/>
  <c r="N731" i="1"/>
  <c r="N769" i="1" s="1"/>
  <c r="J65" i="4" s="1"/>
  <c r="M731" i="1"/>
  <c r="M769" i="1" s="1"/>
  <c r="I65" i="4" s="1"/>
  <c r="L731" i="1"/>
  <c r="L769" i="1" s="1"/>
  <c r="H65" i="4" s="1"/>
  <c r="K731" i="1"/>
  <c r="K769" i="1" s="1"/>
  <c r="G65" i="4" s="1"/>
  <c r="J731" i="1"/>
  <c r="J769" i="1" s="1"/>
  <c r="F65" i="4" s="1"/>
  <c r="I731" i="1"/>
  <c r="I769" i="1" s="1"/>
  <c r="E65" i="4" s="1"/>
  <c r="H731" i="1"/>
  <c r="G731" i="1"/>
  <c r="G769" i="1" s="1"/>
  <c r="Q723" i="1"/>
  <c r="Q770" i="1" s="1"/>
  <c r="M66" i="4" s="1"/>
  <c r="P723" i="1"/>
  <c r="O723" i="1"/>
  <c r="O770" i="1" s="1"/>
  <c r="K66" i="4" s="1"/>
  <c r="N723" i="1"/>
  <c r="M723" i="1"/>
  <c r="L723" i="1"/>
  <c r="K723" i="1"/>
  <c r="J723" i="1"/>
  <c r="J770" i="1" s="1"/>
  <c r="F66" i="4" s="1"/>
  <c r="I723" i="1"/>
  <c r="H723" i="1"/>
  <c r="H770" i="1" s="1"/>
  <c r="D66" i="4" s="1"/>
  <c r="G723" i="1"/>
  <c r="R712" i="1"/>
  <c r="S712" i="1" s="1"/>
  <c r="T712" i="1" s="1"/>
  <c r="U712" i="1" s="1"/>
  <c r="V712" i="1" s="1"/>
  <c r="W712" i="1" s="1"/>
  <c r="X712" i="1" s="1"/>
  <c r="S710" i="1"/>
  <c r="T710" i="1" s="1"/>
  <c r="U710" i="1" s="1"/>
  <c r="V710" i="1" s="1"/>
  <c r="W710" i="1" s="1"/>
  <c r="X710" i="1" s="1"/>
  <c r="R709" i="1"/>
  <c r="S709" i="1" s="1"/>
  <c r="T709" i="1" s="1"/>
  <c r="U709" i="1" s="1"/>
  <c r="V709" i="1" s="1"/>
  <c r="W709" i="1" s="1"/>
  <c r="X709" i="1" s="1"/>
  <c r="R706" i="1"/>
  <c r="S706" i="1" s="1"/>
  <c r="T706" i="1" s="1"/>
  <c r="U706" i="1" s="1"/>
  <c r="V706" i="1" s="1"/>
  <c r="W706" i="1" s="1"/>
  <c r="X706" i="1" s="1"/>
  <c r="R705" i="1"/>
  <c r="S705" i="1" s="1"/>
  <c r="T705" i="1" s="1"/>
  <c r="U705" i="1" s="1"/>
  <c r="V705" i="1" s="1"/>
  <c r="W705" i="1" s="1"/>
  <c r="X705" i="1" s="1"/>
  <c r="Q703" i="1"/>
  <c r="Q702" i="1" s="1"/>
  <c r="P703" i="1"/>
  <c r="P702" i="1" s="1"/>
  <c r="O703" i="1"/>
  <c r="O702" i="1" s="1"/>
  <c r="N703" i="1"/>
  <c r="N702" i="1" s="1"/>
  <c r="M703" i="1"/>
  <c r="M702" i="1" s="1"/>
  <c r="L703" i="1"/>
  <c r="L702" i="1" s="1"/>
  <c r="K703" i="1"/>
  <c r="K702" i="1" s="1"/>
  <c r="J703" i="1"/>
  <c r="J702" i="1" s="1"/>
  <c r="I703" i="1"/>
  <c r="I702" i="1" s="1"/>
  <c r="H703" i="1"/>
  <c r="H702" i="1" s="1"/>
  <c r="G703" i="1"/>
  <c r="Q697" i="1"/>
  <c r="P697" i="1"/>
  <c r="O697" i="1"/>
  <c r="N697" i="1"/>
  <c r="M697" i="1"/>
  <c r="L697" i="1"/>
  <c r="K697" i="1"/>
  <c r="J697" i="1"/>
  <c r="I697" i="1"/>
  <c r="H697" i="1"/>
  <c r="G697" i="1"/>
  <c r="R694" i="1"/>
  <c r="S694" i="1" s="1"/>
  <c r="T694" i="1" s="1"/>
  <c r="U694" i="1" s="1"/>
  <c r="V694" i="1" s="1"/>
  <c r="W694" i="1" s="1"/>
  <c r="X694" i="1" s="1"/>
  <c r="R693" i="1"/>
  <c r="S693" i="1" s="1"/>
  <c r="T693" i="1" s="1"/>
  <c r="U693" i="1" s="1"/>
  <c r="V693" i="1" s="1"/>
  <c r="W693" i="1" s="1"/>
  <c r="X693" i="1" s="1"/>
  <c r="Q689" i="1"/>
  <c r="P689" i="1"/>
  <c r="O689" i="1"/>
  <c r="N689" i="1"/>
  <c r="M689" i="1"/>
  <c r="L689" i="1"/>
  <c r="K689" i="1"/>
  <c r="J689" i="1"/>
  <c r="I689" i="1"/>
  <c r="H689" i="1"/>
  <c r="G689" i="1"/>
  <c r="R685" i="1"/>
  <c r="S685" i="1" s="1"/>
  <c r="T685" i="1" s="1"/>
  <c r="U685" i="1" s="1"/>
  <c r="V685" i="1" s="1"/>
  <c r="W685" i="1" s="1"/>
  <c r="X685" i="1" s="1"/>
  <c r="Q680" i="1"/>
  <c r="P680" i="1"/>
  <c r="O680" i="1"/>
  <c r="N680" i="1"/>
  <c r="M680" i="1"/>
  <c r="L680" i="1"/>
  <c r="K680" i="1"/>
  <c r="J680" i="1"/>
  <c r="I680" i="1"/>
  <c r="H680" i="1"/>
  <c r="G680" i="1"/>
  <c r="R678" i="1"/>
  <c r="S678" i="1" s="1"/>
  <c r="T678" i="1" s="1"/>
  <c r="U678" i="1" s="1"/>
  <c r="V678" i="1" s="1"/>
  <c r="W678" i="1" s="1"/>
  <c r="X678" i="1" s="1"/>
  <c r="R677" i="1"/>
  <c r="S677" i="1" s="1"/>
  <c r="T677" i="1" s="1"/>
  <c r="U677" i="1" s="1"/>
  <c r="V677" i="1" s="1"/>
  <c r="W677" i="1" s="1"/>
  <c r="X677" i="1" s="1"/>
  <c r="G673" i="1"/>
  <c r="Q672" i="1"/>
  <c r="P672" i="1"/>
  <c r="O672" i="1"/>
  <c r="N672" i="1"/>
  <c r="M672" i="1"/>
  <c r="L672" i="1"/>
  <c r="K672" i="1"/>
  <c r="J672" i="1"/>
  <c r="I672" i="1"/>
  <c r="H672" i="1"/>
  <c r="X646" i="1"/>
  <c r="W646" i="1"/>
  <c r="V646" i="1"/>
  <c r="U646" i="1"/>
  <c r="T646" i="1"/>
  <c r="S646" i="1"/>
  <c r="R646" i="1"/>
  <c r="Q646" i="1"/>
  <c r="P646" i="1"/>
  <c r="O646" i="1"/>
  <c r="N646" i="1"/>
  <c r="M646" i="1"/>
  <c r="L646" i="1"/>
  <c r="K646" i="1"/>
  <c r="J646" i="1"/>
  <c r="I646" i="1"/>
  <c r="H646" i="1"/>
  <c r="X645" i="1"/>
  <c r="W645" i="1"/>
  <c r="V645" i="1"/>
  <c r="U645" i="1"/>
  <c r="T645" i="1"/>
  <c r="S645" i="1"/>
  <c r="R645" i="1"/>
  <c r="Q645" i="1"/>
  <c r="P645" i="1"/>
  <c r="O645" i="1"/>
  <c r="N645" i="1"/>
  <c r="M645" i="1"/>
  <c r="L645" i="1"/>
  <c r="K645" i="1"/>
  <c r="J645" i="1"/>
  <c r="I645" i="1"/>
  <c r="H645" i="1"/>
  <c r="Q644" i="1"/>
  <c r="P644" i="1"/>
  <c r="O644" i="1"/>
  <c r="N644" i="1"/>
  <c r="M644" i="1"/>
  <c r="L644" i="1"/>
  <c r="K644" i="1"/>
  <c r="J644" i="1"/>
  <c r="I644" i="1"/>
  <c r="H644" i="1"/>
  <c r="R643" i="1"/>
  <c r="R913" i="1" s="1"/>
  <c r="R683" i="1" s="1"/>
  <c r="Q643" i="1"/>
  <c r="Q913" i="1" s="1"/>
  <c r="P643" i="1"/>
  <c r="P913" i="1" s="1"/>
  <c r="O643" i="1"/>
  <c r="O913" i="1" s="1"/>
  <c r="N643" i="1"/>
  <c r="N913" i="1" s="1"/>
  <c r="M643" i="1"/>
  <c r="M913" i="1" s="1"/>
  <c r="L643" i="1"/>
  <c r="L913" i="1" s="1"/>
  <c r="K643" i="1"/>
  <c r="K913" i="1" s="1"/>
  <c r="J643" i="1"/>
  <c r="J913" i="1" s="1"/>
  <c r="I643" i="1"/>
  <c r="I913" i="1" s="1"/>
  <c r="H643" i="1"/>
  <c r="H913" i="1" s="1"/>
  <c r="Q635" i="1"/>
  <c r="Q658" i="1" s="1"/>
  <c r="P635" i="1"/>
  <c r="P658" i="1" s="1"/>
  <c r="O635" i="1"/>
  <c r="O658" i="1" s="1"/>
  <c r="N635" i="1"/>
  <c r="N658" i="1" s="1"/>
  <c r="M635" i="1"/>
  <c r="M658" i="1" s="1"/>
  <c r="L635" i="1"/>
  <c r="L658" i="1" s="1"/>
  <c r="K635" i="1"/>
  <c r="K658" i="1" s="1"/>
  <c r="J635" i="1"/>
  <c r="J658" i="1" s="1"/>
  <c r="I635" i="1"/>
  <c r="I658" i="1" s="1"/>
  <c r="H635" i="1"/>
  <c r="H658" i="1" s="1"/>
  <c r="Q618" i="1"/>
  <c r="Q613" i="1" s="1"/>
  <c r="P618" i="1"/>
  <c r="O618" i="1"/>
  <c r="N618" i="1"/>
  <c r="M618" i="1"/>
  <c r="L618" i="1"/>
  <c r="K618" i="1"/>
  <c r="J618" i="1"/>
  <c r="I618" i="1"/>
  <c r="H618" i="1"/>
  <c r="X617" i="1"/>
  <c r="W617" i="1"/>
  <c r="V617" i="1"/>
  <c r="U617" i="1"/>
  <c r="T617" i="1"/>
  <c r="S617" i="1"/>
  <c r="R617" i="1"/>
  <c r="Q617" i="1"/>
  <c r="P617" i="1"/>
  <c r="O617" i="1"/>
  <c r="N617" i="1"/>
  <c r="M617" i="1"/>
  <c r="L617" i="1"/>
  <c r="K617" i="1"/>
  <c r="J617" i="1"/>
  <c r="I617" i="1"/>
  <c r="H617" i="1"/>
  <c r="X616" i="1"/>
  <c r="W616" i="1"/>
  <c r="V616" i="1"/>
  <c r="U616" i="1"/>
  <c r="T616" i="1"/>
  <c r="S616" i="1"/>
  <c r="R616" i="1"/>
  <c r="Q616" i="1"/>
  <c r="P616" i="1"/>
  <c r="O616" i="1"/>
  <c r="N616" i="1"/>
  <c r="M616" i="1"/>
  <c r="L616" i="1"/>
  <c r="K616" i="1"/>
  <c r="J616" i="1"/>
  <c r="I616" i="1"/>
  <c r="H616" i="1"/>
  <c r="X615" i="1"/>
  <c r="W615" i="1"/>
  <c r="V615" i="1"/>
  <c r="U615" i="1"/>
  <c r="T615" i="1"/>
  <c r="S615" i="1"/>
  <c r="R615" i="1"/>
  <c r="Q615" i="1"/>
  <c r="P615" i="1"/>
  <c r="O615" i="1"/>
  <c r="N615" i="1"/>
  <c r="M615" i="1"/>
  <c r="L615" i="1"/>
  <c r="K615" i="1"/>
  <c r="J615" i="1"/>
  <c r="I615" i="1"/>
  <c r="H615" i="1"/>
  <c r="X614" i="1"/>
  <c r="W614" i="1"/>
  <c r="V614" i="1"/>
  <c r="U614" i="1"/>
  <c r="T614" i="1"/>
  <c r="S614" i="1"/>
  <c r="R614" i="1"/>
  <c r="Q614" i="1"/>
  <c r="P614" i="1"/>
  <c r="O614" i="1"/>
  <c r="N614" i="1"/>
  <c r="M614" i="1"/>
  <c r="L614" i="1"/>
  <c r="K614" i="1"/>
  <c r="J614" i="1"/>
  <c r="I614" i="1"/>
  <c r="H614" i="1"/>
  <c r="X606" i="1"/>
  <c r="X618" i="1" s="1"/>
  <c r="W606" i="1"/>
  <c r="W618" i="1" s="1"/>
  <c r="V606" i="1"/>
  <c r="V618" i="1" s="1"/>
  <c r="U606" i="1"/>
  <c r="U618" i="1" s="1"/>
  <c r="T606" i="1"/>
  <c r="T618" i="1" s="1"/>
  <c r="S606" i="1"/>
  <c r="S618" i="1" s="1"/>
  <c r="R606" i="1"/>
  <c r="R618" i="1" s="1"/>
  <c r="S601" i="1"/>
  <c r="T601" i="1" s="1"/>
  <c r="Q598" i="1"/>
  <c r="Q630" i="1" s="1"/>
  <c r="P598" i="1"/>
  <c r="P630" i="1" s="1"/>
  <c r="O598" i="1"/>
  <c r="O630" i="1" s="1"/>
  <c r="N598" i="1"/>
  <c r="N630" i="1" s="1"/>
  <c r="M598" i="1"/>
  <c r="M630" i="1" s="1"/>
  <c r="L598" i="1"/>
  <c r="L630" i="1" s="1"/>
  <c r="K598" i="1"/>
  <c r="K630" i="1" s="1"/>
  <c r="J598" i="1"/>
  <c r="J630" i="1" s="1"/>
  <c r="I598" i="1"/>
  <c r="I630" i="1" s="1"/>
  <c r="H598" i="1"/>
  <c r="H630" i="1" s="1"/>
  <c r="Q593" i="1"/>
  <c r="P593" i="1"/>
  <c r="O593" i="1"/>
  <c r="N593" i="1"/>
  <c r="M593" i="1"/>
  <c r="L593" i="1"/>
  <c r="K593" i="1"/>
  <c r="J593" i="1"/>
  <c r="I593" i="1"/>
  <c r="H593" i="1"/>
  <c r="Q583" i="1"/>
  <c r="P583" i="1"/>
  <c r="O583" i="1"/>
  <c r="N583" i="1"/>
  <c r="M583" i="1"/>
  <c r="L583" i="1"/>
  <c r="J582" i="1"/>
  <c r="I582" i="1"/>
  <c r="H582" i="1"/>
  <c r="G582" i="1"/>
  <c r="G583" i="1" s="1"/>
  <c r="Q575" i="1"/>
  <c r="P575" i="1"/>
  <c r="O575" i="1"/>
  <c r="N575" i="1"/>
  <c r="M575" i="1"/>
  <c r="L575" i="1"/>
  <c r="K575" i="1"/>
  <c r="J575" i="1"/>
  <c r="I575" i="1"/>
  <c r="H575" i="1"/>
  <c r="G575" i="1"/>
  <c r="Q567" i="1"/>
  <c r="Q568" i="1" s="1"/>
  <c r="P567" i="1"/>
  <c r="P568" i="1" s="1"/>
  <c r="O567" i="1"/>
  <c r="O568" i="1" s="1"/>
  <c r="N567" i="1"/>
  <c r="Q566" i="1"/>
  <c r="P566" i="1"/>
  <c r="O566" i="1"/>
  <c r="N566" i="1"/>
  <c r="X563" i="1"/>
  <c r="W563" i="1"/>
  <c r="V563" i="1"/>
  <c r="U563" i="1"/>
  <c r="T563" i="1"/>
  <c r="S563" i="1"/>
  <c r="R563" i="1"/>
  <c r="Q563" i="1"/>
  <c r="P563" i="1"/>
  <c r="O563" i="1"/>
  <c r="N563" i="1"/>
  <c r="Q560" i="1"/>
  <c r="P560" i="1"/>
  <c r="O560" i="1"/>
  <c r="N560" i="1"/>
  <c r="Q557" i="1"/>
  <c r="P557" i="1"/>
  <c r="O557" i="1"/>
  <c r="N557" i="1"/>
  <c r="Q556" i="1"/>
  <c r="P556" i="1"/>
  <c r="O556" i="1"/>
  <c r="N556" i="1"/>
  <c r="R555" i="1"/>
  <c r="S555" i="1" s="1"/>
  <c r="T555" i="1" s="1"/>
  <c r="Q553" i="1"/>
  <c r="P553" i="1"/>
  <c r="O553" i="1"/>
  <c r="N553" i="1"/>
  <c r="Q552" i="1"/>
  <c r="P552" i="1"/>
  <c r="O552" i="1"/>
  <c r="N552" i="1"/>
  <c r="Q548" i="1"/>
  <c r="P548" i="1"/>
  <c r="O548" i="1"/>
  <c r="N548" i="1"/>
  <c r="M548" i="1"/>
  <c r="L548" i="1"/>
  <c r="J548" i="1"/>
  <c r="H548" i="1"/>
  <c r="G548" i="1"/>
  <c r="L544" i="1"/>
  <c r="L546" i="1" s="1"/>
  <c r="K544" i="1"/>
  <c r="K592" i="1" s="1"/>
  <c r="J544" i="1"/>
  <c r="J546" i="1" s="1"/>
  <c r="I544" i="1"/>
  <c r="I592" i="1" s="1"/>
  <c r="H544" i="1"/>
  <c r="H546" i="1" s="1"/>
  <c r="G544" i="1"/>
  <c r="Q542" i="1"/>
  <c r="P542" i="1"/>
  <c r="O542" i="1"/>
  <c r="N542" i="1"/>
  <c r="M542" i="1"/>
  <c r="L542" i="1"/>
  <c r="K542" i="1"/>
  <c r="J542" i="1"/>
  <c r="I542" i="1"/>
  <c r="H542" i="1"/>
  <c r="G542" i="1"/>
  <c r="X541" i="1"/>
  <c r="W541" i="1"/>
  <c r="V541" i="1"/>
  <c r="U541" i="1"/>
  <c r="T541" i="1"/>
  <c r="S541" i="1"/>
  <c r="R541" i="1"/>
  <c r="Q541" i="1"/>
  <c r="P541" i="1"/>
  <c r="O541" i="1"/>
  <c r="N541" i="1"/>
  <c r="M541" i="1"/>
  <c r="L541" i="1"/>
  <c r="K541" i="1"/>
  <c r="J541" i="1"/>
  <c r="I541" i="1"/>
  <c r="H541" i="1"/>
  <c r="G541" i="1"/>
  <c r="Q538" i="1"/>
  <c r="R538" i="1" s="1"/>
  <c r="P538" i="1"/>
  <c r="O538" i="1"/>
  <c r="N538" i="1"/>
  <c r="M538" i="1"/>
  <c r="L538" i="1"/>
  <c r="K538" i="1"/>
  <c r="J538" i="1"/>
  <c r="I538" i="1"/>
  <c r="H538" i="1"/>
  <c r="Q536" i="1"/>
  <c r="P536" i="1"/>
  <c r="O536" i="1"/>
  <c r="N536" i="1"/>
  <c r="M536" i="1"/>
  <c r="L536" i="1"/>
  <c r="K536" i="1"/>
  <c r="J536" i="1"/>
  <c r="I536" i="1"/>
  <c r="H536" i="1"/>
  <c r="G536" i="1"/>
  <c r="Q535" i="1"/>
  <c r="P535" i="1"/>
  <c r="O535" i="1"/>
  <c r="N535" i="1"/>
  <c r="M535" i="1"/>
  <c r="L535" i="1"/>
  <c r="K535" i="1"/>
  <c r="J535" i="1"/>
  <c r="I535" i="1"/>
  <c r="H535" i="1"/>
  <c r="G535" i="1"/>
  <c r="M532" i="1"/>
  <c r="L532" i="1"/>
  <c r="K532" i="1"/>
  <c r="J532" i="1"/>
  <c r="I532" i="1"/>
  <c r="H532" i="1"/>
  <c r="G532" i="1"/>
  <c r="M531" i="1"/>
  <c r="L531" i="1"/>
  <c r="K531" i="1"/>
  <c r="J531" i="1"/>
  <c r="I531" i="1"/>
  <c r="H531" i="1"/>
  <c r="G531" i="1"/>
  <c r="Q530" i="1"/>
  <c r="P530" i="1"/>
  <c r="O530" i="1"/>
  <c r="N530" i="1"/>
  <c r="M530" i="1"/>
  <c r="L530" i="1"/>
  <c r="K530" i="1"/>
  <c r="J530" i="1"/>
  <c r="I530" i="1"/>
  <c r="H530" i="1"/>
  <c r="G530" i="1"/>
  <c r="Q529" i="1"/>
  <c r="P529" i="1"/>
  <c r="O529" i="1"/>
  <c r="N529" i="1"/>
  <c r="M529" i="1"/>
  <c r="L529" i="1"/>
  <c r="K529" i="1"/>
  <c r="J529" i="1"/>
  <c r="I529" i="1"/>
  <c r="H529" i="1"/>
  <c r="G529" i="1"/>
  <c r="Q524" i="1"/>
  <c r="P524" i="1"/>
  <c r="O524" i="1"/>
  <c r="N524" i="1"/>
  <c r="Q523" i="1"/>
  <c r="P523" i="1"/>
  <c r="O523" i="1"/>
  <c r="N523" i="1"/>
  <c r="Q511" i="1"/>
  <c r="P511" i="1"/>
  <c r="O511" i="1"/>
  <c r="N511" i="1"/>
  <c r="Q510" i="1"/>
  <c r="P510" i="1"/>
  <c r="O510" i="1"/>
  <c r="N510" i="1"/>
  <c r="L507" i="1"/>
  <c r="K507" i="1"/>
  <c r="J507" i="1"/>
  <c r="I507" i="1"/>
  <c r="H507" i="1"/>
  <c r="G507" i="1"/>
  <c r="L506" i="1"/>
  <c r="K506" i="1"/>
  <c r="J506" i="1"/>
  <c r="I506" i="1"/>
  <c r="H506" i="1"/>
  <c r="G506" i="1"/>
  <c r="L505" i="1"/>
  <c r="K505" i="1"/>
  <c r="J505" i="1"/>
  <c r="I505" i="1"/>
  <c r="H505" i="1"/>
  <c r="G505" i="1"/>
  <c r="Q504" i="1"/>
  <c r="P504" i="1"/>
  <c r="O504" i="1"/>
  <c r="N504" i="1"/>
  <c r="M504" i="1"/>
  <c r="M862" i="1" s="1"/>
  <c r="Q501" i="1"/>
  <c r="O500" i="1"/>
  <c r="N500" i="1"/>
  <c r="N501" i="1" s="1"/>
  <c r="Q497" i="1"/>
  <c r="P497" i="1"/>
  <c r="O497" i="1"/>
  <c r="N497" i="1"/>
  <c r="O494" i="1"/>
  <c r="N494" i="1"/>
  <c r="M494" i="1"/>
  <c r="L494" i="1"/>
  <c r="K494" i="1"/>
  <c r="J494" i="1"/>
  <c r="I494" i="1"/>
  <c r="H494" i="1"/>
  <c r="G494" i="1"/>
  <c r="O493" i="1"/>
  <c r="N493" i="1"/>
  <c r="M493" i="1"/>
  <c r="L493" i="1"/>
  <c r="K493" i="1"/>
  <c r="J493" i="1"/>
  <c r="I493" i="1"/>
  <c r="H493" i="1"/>
  <c r="G493" i="1"/>
  <c r="Q492" i="1"/>
  <c r="P492" i="1"/>
  <c r="Q479" i="1"/>
  <c r="P479" i="1"/>
  <c r="O479" i="1"/>
  <c r="O481" i="1" s="1"/>
  <c r="N479" i="1"/>
  <c r="Q471" i="1"/>
  <c r="Q473" i="1" s="1"/>
  <c r="P471" i="1"/>
  <c r="P498" i="1" s="1"/>
  <c r="O471" i="1"/>
  <c r="O473" i="1" s="1"/>
  <c r="N471" i="1"/>
  <c r="N472" i="1" s="1"/>
  <c r="Q454" i="1"/>
  <c r="Q453" i="1"/>
  <c r="Q433" i="1"/>
  <c r="P433" i="1"/>
  <c r="O433" i="1"/>
  <c r="N433" i="1"/>
  <c r="M433" i="1"/>
  <c r="L433" i="1"/>
  <c r="K433" i="1"/>
  <c r="J433" i="1"/>
  <c r="I433" i="1"/>
  <c r="H433" i="1"/>
  <c r="G433" i="1"/>
  <c r="F433" i="1"/>
  <c r="E433" i="1"/>
  <c r="D433" i="1"/>
  <c r="Q416" i="1"/>
  <c r="P416" i="1"/>
  <c r="O416" i="1"/>
  <c r="N416" i="1"/>
  <c r="N417" i="1" s="1"/>
  <c r="X399" i="1"/>
  <c r="W399" i="1"/>
  <c r="V399" i="1"/>
  <c r="U399" i="1"/>
  <c r="T399" i="1"/>
  <c r="S399" i="1"/>
  <c r="R399" i="1"/>
  <c r="Q399" i="1"/>
  <c r="Q393" i="1"/>
  <c r="V43" i="9" s="1"/>
  <c r="P393" i="1"/>
  <c r="U43" i="9" s="1"/>
  <c r="Q392" i="1"/>
  <c r="P392" i="1"/>
  <c r="R391" i="1"/>
  <c r="Q389" i="1"/>
  <c r="P389" i="1"/>
  <c r="X380" i="1"/>
  <c r="W380" i="1"/>
  <c r="V380" i="1"/>
  <c r="U380" i="1"/>
  <c r="T380" i="1"/>
  <c r="S380" i="1"/>
  <c r="R380" i="1"/>
  <c r="Q380" i="1"/>
  <c r="P380" i="1"/>
  <c r="O380" i="1"/>
  <c r="Q374" i="1"/>
  <c r="V41" i="9" s="1"/>
  <c r="P374" i="1"/>
  <c r="U41" i="9" s="1"/>
  <c r="O374" i="1"/>
  <c r="T41" i="9" s="1"/>
  <c r="N374" i="1"/>
  <c r="S41" i="9" s="1"/>
  <c r="Q373" i="1"/>
  <c r="P373" i="1"/>
  <c r="O373" i="1"/>
  <c r="N373" i="1"/>
  <c r="R372" i="1"/>
  <c r="Q370" i="1"/>
  <c r="P370" i="1"/>
  <c r="P376" i="1" s="1"/>
  <c r="O370" i="1"/>
  <c r="O376" i="1" s="1"/>
  <c r="O382" i="1" s="1"/>
  <c r="N370" i="1"/>
  <c r="X361" i="1"/>
  <c r="W361" i="1"/>
  <c r="V361" i="1"/>
  <c r="U361" i="1"/>
  <c r="T361" i="1"/>
  <c r="S361" i="1"/>
  <c r="R361" i="1"/>
  <c r="Q361" i="1"/>
  <c r="P361" i="1"/>
  <c r="O361" i="1"/>
  <c r="Q355" i="1"/>
  <c r="V42" i="9" s="1"/>
  <c r="P355" i="1"/>
  <c r="U42" i="9" s="1"/>
  <c r="O355" i="1"/>
  <c r="T42" i="9" s="1"/>
  <c r="N355" i="1"/>
  <c r="S42" i="9" s="1"/>
  <c r="Q354" i="1"/>
  <c r="P354" i="1"/>
  <c r="O354" i="1"/>
  <c r="N354" i="1"/>
  <c r="R353" i="1"/>
  <c r="R354" i="1" s="1"/>
  <c r="Q351" i="1"/>
  <c r="R364" i="1" s="1"/>
  <c r="P351" i="1"/>
  <c r="P357" i="1" s="1"/>
  <c r="O351" i="1"/>
  <c r="O357" i="1" s="1"/>
  <c r="O363" i="1" s="1"/>
  <c r="N351" i="1"/>
  <c r="X342" i="1"/>
  <c r="W342" i="1"/>
  <c r="V342" i="1"/>
  <c r="U342" i="1"/>
  <c r="T342" i="1"/>
  <c r="S342" i="1"/>
  <c r="R342" i="1"/>
  <c r="Q342" i="1"/>
  <c r="P342" i="1"/>
  <c r="O342" i="1"/>
  <c r="Q336" i="1"/>
  <c r="V40" i="9" s="1"/>
  <c r="P336" i="1"/>
  <c r="U40" i="9" s="1"/>
  <c r="O336" i="1"/>
  <c r="T40" i="9" s="1"/>
  <c r="N336" i="1"/>
  <c r="S40" i="9" s="1"/>
  <c r="Q335" i="1"/>
  <c r="P335" i="1"/>
  <c r="O335" i="1"/>
  <c r="N335" i="1"/>
  <c r="R334" i="1"/>
  <c r="R335" i="1" s="1"/>
  <c r="Q332" i="1"/>
  <c r="P332" i="1"/>
  <c r="P338" i="1" s="1"/>
  <c r="O332" i="1"/>
  <c r="O338" i="1" s="1"/>
  <c r="O344" i="1" s="1"/>
  <c r="N332" i="1"/>
  <c r="Q326" i="1"/>
  <c r="P326" i="1"/>
  <c r="O326" i="1"/>
  <c r="O428" i="1" s="1"/>
  <c r="N326" i="1"/>
  <c r="N327" i="1" s="1"/>
  <c r="Q322" i="1"/>
  <c r="P322" i="1"/>
  <c r="O322" i="1"/>
  <c r="N322" i="1"/>
  <c r="Q317" i="1"/>
  <c r="P317" i="1"/>
  <c r="O317" i="1"/>
  <c r="N317" i="1"/>
  <c r="Q312" i="1"/>
  <c r="Q323" i="1" s="1"/>
  <c r="P312" i="1"/>
  <c r="P456" i="1" s="1"/>
  <c r="P458" i="1" s="1"/>
  <c r="O312" i="1"/>
  <c r="O323" i="1" s="1"/>
  <c r="N312" i="1"/>
  <c r="N456" i="1" s="1"/>
  <c r="N458" i="1" s="1"/>
  <c r="X304" i="1"/>
  <c r="W304" i="1"/>
  <c r="V304" i="1"/>
  <c r="U304" i="1"/>
  <c r="T304" i="1"/>
  <c r="S304" i="1"/>
  <c r="R304" i="1"/>
  <c r="Q304" i="1"/>
  <c r="P304" i="1"/>
  <c r="O304" i="1"/>
  <c r="N304" i="1"/>
  <c r="X295" i="1"/>
  <c r="W295" i="1"/>
  <c r="V295" i="1"/>
  <c r="U295" i="1"/>
  <c r="T295" i="1"/>
  <c r="S295" i="1"/>
  <c r="R295" i="1"/>
  <c r="Q295" i="1"/>
  <c r="P295" i="1"/>
  <c r="O295" i="1"/>
  <c r="N295" i="1"/>
  <c r="M295" i="1"/>
  <c r="L295" i="1"/>
  <c r="K295" i="1"/>
  <c r="J295" i="1"/>
  <c r="I295" i="1"/>
  <c r="H295" i="1"/>
  <c r="G295" i="1"/>
  <c r="F295" i="1"/>
  <c r="Q288" i="1"/>
  <c r="R287" i="1"/>
  <c r="Q284" i="1"/>
  <c r="R283" i="1"/>
  <c r="R284" i="1" s="1"/>
  <c r="Q279" i="1"/>
  <c r="Q280" i="1" s="1"/>
  <c r="X274" i="1"/>
  <c r="W274" i="1"/>
  <c r="V274" i="1"/>
  <c r="U274" i="1"/>
  <c r="T274" i="1"/>
  <c r="S274" i="1"/>
  <c r="R274" i="1"/>
  <c r="Q267" i="1"/>
  <c r="Q264" i="1"/>
  <c r="Q260" i="1"/>
  <c r="Q256" i="1"/>
  <c r="X248" i="1"/>
  <c r="W248" i="1"/>
  <c r="V248" i="1"/>
  <c r="U248" i="1"/>
  <c r="T248" i="1"/>
  <c r="S248" i="1"/>
  <c r="R248" i="1"/>
  <c r="Q248" i="1"/>
  <c r="P248" i="1"/>
  <c r="O248" i="1"/>
  <c r="Q242" i="1"/>
  <c r="P242" i="1"/>
  <c r="O242" i="1"/>
  <c r="N242" i="1"/>
  <c r="Q241" i="1"/>
  <c r="P241" i="1"/>
  <c r="O241" i="1"/>
  <c r="N241" i="1"/>
  <c r="R240" i="1"/>
  <c r="Q238" i="1"/>
  <c r="P238" i="1"/>
  <c r="O238" i="1"/>
  <c r="N238" i="1"/>
  <c r="Q237" i="1"/>
  <c r="P237" i="1"/>
  <c r="O237" i="1"/>
  <c r="N237" i="1"/>
  <c r="R236" i="1"/>
  <c r="S236" i="1" s="1"/>
  <c r="Q232" i="1"/>
  <c r="P232" i="1"/>
  <c r="O232" i="1"/>
  <c r="N232" i="1"/>
  <c r="N233" i="1" s="1"/>
  <c r="Q229" i="1"/>
  <c r="P229" i="1"/>
  <c r="O229" i="1"/>
  <c r="N229" i="1"/>
  <c r="Q225" i="1"/>
  <c r="P225" i="1"/>
  <c r="O225" i="1"/>
  <c r="N225" i="1"/>
  <c r="Q221" i="1"/>
  <c r="Q424" i="1" s="1"/>
  <c r="P221" i="1"/>
  <c r="P424" i="1" s="1"/>
  <c r="O221" i="1"/>
  <c r="N221" i="1"/>
  <c r="N226" i="1" s="1"/>
  <c r="Q219" i="1"/>
  <c r="P219" i="1"/>
  <c r="O219" i="1"/>
  <c r="Q217" i="1"/>
  <c r="P217" i="1"/>
  <c r="O217" i="1"/>
  <c r="Q214" i="1"/>
  <c r="P214" i="1"/>
  <c r="O214" i="1"/>
  <c r="Q212" i="1"/>
  <c r="P212" i="1"/>
  <c r="O212" i="1"/>
  <c r="N209" i="1"/>
  <c r="N207" i="1"/>
  <c r="Q206" i="1"/>
  <c r="Q209" i="1" s="1"/>
  <c r="P206" i="1"/>
  <c r="P209" i="1" s="1"/>
  <c r="O206" i="1"/>
  <c r="O207" i="1" s="1"/>
  <c r="Q202" i="1"/>
  <c r="P202" i="1"/>
  <c r="O202" i="1"/>
  <c r="N202" i="1"/>
  <c r="N199" i="1" s="1"/>
  <c r="X191" i="1"/>
  <c r="W191" i="1"/>
  <c r="V191" i="1"/>
  <c r="U191" i="1"/>
  <c r="T191" i="1"/>
  <c r="S191" i="1"/>
  <c r="R191" i="1"/>
  <c r="Q191" i="1"/>
  <c r="P191" i="1"/>
  <c r="O191" i="1"/>
  <c r="N191" i="1"/>
  <c r="M191" i="1"/>
  <c r="L191" i="1"/>
  <c r="K191" i="1"/>
  <c r="J191" i="1"/>
  <c r="I191" i="1"/>
  <c r="H191" i="1"/>
  <c r="G191" i="1"/>
  <c r="F191" i="1"/>
  <c r="Q185" i="1"/>
  <c r="P185" i="1"/>
  <c r="O185" i="1"/>
  <c r="N185" i="1"/>
  <c r="M185" i="1"/>
  <c r="L185" i="1"/>
  <c r="K185" i="1"/>
  <c r="J185" i="1"/>
  <c r="I185" i="1"/>
  <c r="H185" i="1"/>
  <c r="G185" i="1"/>
  <c r="F185" i="1"/>
  <c r="E185" i="1"/>
  <c r="Q184" i="1"/>
  <c r="P184" i="1"/>
  <c r="O184" i="1"/>
  <c r="N184" i="1"/>
  <c r="M184" i="1"/>
  <c r="L184" i="1"/>
  <c r="K184" i="1"/>
  <c r="J184" i="1"/>
  <c r="I184" i="1"/>
  <c r="H184" i="1"/>
  <c r="G184" i="1"/>
  <c r="F184" i="1"/>
  <c r="E184" i="1"/>
  <c r="R183" i="1"/>
  <c r="Q181" i="1"/>
  <c r="P181" i="1"/>
  <c r="O181" i="1"/>
  <c r="N181" i="1"/>
  <c r="M181" i="1"/>
  <c r="L181" i="1"/>
  <c r="K181" i="1"/>
  <c r="J181" i="1"/>
  <c r="I181" i="1"/>
  <c r="H181" i="1"/>
  <c r="G181" i="1"/>
  <c r="F181" i="1"/>
  <c r="E181" i="1"/>
  <c r="Q180" i="1"/>
  <c r="P180" i="1"/>
  <c r="O180" i="1"/>
  <c r="N180" i="1"/>
  <c r="M180" i="1"/>
  <c r="L180" i="1"/>
  <c r="K180" i="1"/>
  <c r="J180" i="1"/>
  <c r="I180" i="1"/>
  <c r="H180" i="1"/>
  <c r="G180" i="1"/>
  <c r="F180" i="1"/>
  <c r="E180" i="1"/>
  <c r="R179" i="1"/>
  <c r="Q175" i="1"/>
  <c r="P175" i="1"/>
  <c r="O175" i="1"/>
  <c r="N175" i="1"/>
  <c r="M175" i="1"/>
  <c r="L175" i="1"/>
  <c r="K175" i="1"/>
  <c r="J175" i="1"/>
  <c r="I175" i="1"/>
  <c r="H175" i="1"/>
  <c r="G175" i="1"/>
  <c r="F175" i="1"/>
  <c r="E175" i="1"/>
  <c r="Q172" i="1"/>
  <c r="P172" i="1"/>
  <c r="O172" i="1"/>
  <c r="N172" i="1"/>
  <c r="M172" i="1"/>
  <c r="L172" i="1"/>
  <c r="K172" i="1"/>
  <c r="J172" i="1"/>
  <c r="I172" i="1"/>
  <c r="H172" i="1"/>
  <c r="G172" i="1"/>
  <c r="F172" i="1"/>
  <c r="E172" i="1"/>
  <c r="Q168" i="1"/>
  <c r="P168" i="1"/>
  <c r="O168" i="1"/>
  <c r="N168" i="1"/>
  <c r="M168" i="1"/>
  <c r="L168" i="1"/>
  <c r="K168" i="1"/>
  <c r="J168" i="1"/>
  <c r="I168" i="1"/>
  <c r="H168" i="1"/>
  <c r="G168" i="1"/>
  <c r="F168" i="1"/>
  <c r="E168" i="1"/>
  <c r="Q164" i="1"/>
  <c r="Q420" i="1" s="1"/>
  <c r="P164" i="1"/>
  <c r="P420" i="1" s="1"/>
  <c r="O164" i="1"/>
  <c r="O420" i="1" s="1"/>
  <c r="N164" i="1"/>
  <c r="M164" i="1"/>
  <c r="L164" i="1"/>
  <c r="L173" i="1" s="1"/>
  <c r="K164" i="1"/>
  <c r="J164" i="1"/>
  <c r="J173" i="1" s="1"/>
  <c r="I164" i="1"/>
  <c r="I169" i="1" s="1"/>
  <c r="H164" i="1"/>
  <c r="H173" i="1" s="1"/>
  <c r="G164" i="1"/>
  <c r="G169" i="1" s="1"/>
  <c r="F164" i="1"/>
  <c r="F169" i="1" s="1"/>
  <c r="E164" i="1"/>
  <c r="E165" i="1" s="1"/>
  <c r="Q162" i="1"/>
  <c r="R162" i="1" s="1"/>
  <c r="S162" i="1" s="1"/>
  <c r="T162" i="1" s="1"/>
  <c r="U162" i="1" s="1"/>
  <c r="V162" i="1" s="1"/>
  <c r="W162" i="1" s="1"/>
  <c r="X162" i="1" s="1"/>
  <c r="P162" i="1"/>
  <c r="O162" i="1"/>
  <c r="N162" i="1"/>
  <c r="M162" i="1"/>
  <c r="Q160" i="1"/>
  <c r="P160" i="1"/>
  <c r="O160" i="1"/>
  <c r="N160" i="1"/>
  <c r="M160" i="1"/>
  <c r="Q157" i="1"/>
  <c r="P157" i="1"/>
  <c r="O157" i="1"/>
  <c r="N157" i="1"/>
  <c r="M157" i="1"/>
  <c r="Q155" i="1"/>
  <c r="P155" i="1"/>
  <c r="O155" i="1"/>
  <c r="N155" i="1"/>
  <c r="M155" i="1"/>
  <c r="L152" i="1"/>
  <c r="K152" i="1"/>
  <c r="J152" i="1"/>
  <c r="I152" i="1"/>
  <c r="H152" i="1"/>
  <c r="G152" i="1"/>
  <c r="F152" i="1"/>
  <c r="E152" i="1"/>
  <c r="L150" i="1"/>
  <c r="K150" i="1"/>
  <c r="J150" i="1"/>
  <c r="I150" i="1"/>
  <c r="H150" i="1"/>
  <c r="G150" i="1"/>
  <c r="F150" i="1"/>
  <c r="E150" i="1"/>
  <c r="Q149" i="1"/>
  <c r="P149" i="1"/>
  <c r="P152" i="1" s="1"/>
  <c r="O149" i="1"/>
  <c r="N149" i="1"/>
  <c r="N152" i="1" s="1"/>
  <c r="M149" i="1"/>
  <c r="M152" i="1" s="1"/>
  <c r="Q145" i="1"/>
  <c r="P145" i="1"/>
  <c r="O145" i="1"/>
  <c r="N145" i="1"/>
  <c r="M145" i="1"/>
  <c r="L145" i="1"/>
  <c r="K145" i="1"/>
  <c r="K142" i="1" s="1"/>
  <c r="K151" i="1" s="1"/>
  <c r="J145" i="1"/>
  <c r="J142" i="1" s="1"/>
  <c r="I145" i="1"/>
  <c r="H145" i="1"/>
  <c r="G145" i="1"/>
  <c r="F145" i="1"/>
  <c r="F142" i="1" s="1"/>
  <c r="E145" i="1"/>
  <c r="E146" i="1" s="1"/>
  <c r="X134" i="1"/>
  <c r="W134" i="1"/>
  <c r="V134" i="1"/>
  <c r="U134" i="1"/>
  <c r="T134" i="1"/>
  <c r="S134" i="1"/>
  <c r="R134" i="1"/>
  <c r="Q134" i="1"/>
  <c r="P134" i="1"/>
  <c r="Q128" i="1"/>
  <c r="P128" i="1"/>
  <c r="O128" i="1"/>
  <c r="N128" i="1"/>
  <c r="M128" i="1"/>
  <c r="L128" i="1"/>
  <c r="K128" i="1"/>
  <c r="J128" i="1"/>
  <c r="I128" i="1"/>
  <c r="H128" i="1"/>
  <c r="G128" i="1"/>
  <c r="F128" i="1"/>
  <c r="E128" i="1"/>
  <c r="D128" i="1"/>
  <c r="Q127" i="1"/>
  <c r="P127" i="1"/>
  <c r="O127" i="1"/>
  <c r="N127" i="1"/>
  <c r="M127" i="1"/>
  <c r="L127" i="1"/>
  <c r="K127" i="1"/>
  <c r="J127" i="1"/>
  <c r="I127" i="1"/>
  <c r="H127" i="1"/>
  <c r="G127" i="1"/>
  <c r="F127" i="1"/>
  <c r="E127" i="1"/>
  <c r="D127" i="1"/>
  <c r="R126" i="1"/>
  <c r="Q124" i="1"/>
  <c r="P124" i="1"/>
  <c r="O124" i="1"/>
  <c r="N124" i="1"/>
  <c r="Q123" i="1"/>
  <c r="P123" i="1"/>
  <c r="O123" i="1"/>
  <c r="N123" i="1"/>
  <c r="R122" i="1"/>
  <c r="Q118" i="1"/>
  <c r="P118" i="1"/>
  <c r="O118" i="1"/>
  <c r="N118" i="1"/>
  <c r="Q115" i="1"/>
  <c r="P115" i="1"/>
  <c r="O115" i="1"/>
  <c r="N115" i="1"/>
  <c r="M112" i="1"/>
  <c r="L112" i="1"/>
  <c r="K112" i="1"/>
  <c r="J112" i="1"/>
  <c r="I112" i="1"/>
  <c r="H112" i="1"/>
  <c r="G112" i="1"/>
  <c r="F112" i="1"/>
  <c r="E112" i="1"/>
  <c r="D112" i="1"/>
  <c r="Q111" i="1"/>
  <c r="P111" i="1"/>
  <c r="O111" i="1"/>
  <c r="N111" i="1"/>
  <c r="M111" i="1"/>
  <c r="L111" i="1"/>
  <c r="K111" i="1"/>
  <c r="J111" i="1"/>
  <c r="I111" i="1"/>
  <c r="H111" i="1"/>
  <c r="G111" i="1"/>
  <c r="F111" i="1"/>
  <c r="E111" i="1"/>
  <c r="D111" i="1"/>
  <c r="Q107" i="1"/>
  <c r="Q112" i="1" s="1"/>
  <c r="P107" i="1"/>
  <c r="P412" i="1" s="1"/>
  <c r="O107" i="1"/>
  <c r="O116" i="1" s="1"/>
  <c r="N107" i="1"/>
  <c r="N412" i="1" s="1"/>
  <c r="Q105" i="1"/>
  <c r="P105" i="1"/>
  <c r="O105" i="1"/>
  <c r="N105" i="1"/>
  <c r="Q103" i="1"/>
  <c r="P103" i="1"/>
  <c r="O103" i="1"/>
  <c r="N103" i="1"/>
  <c r="Q100" i="1"/>
  <c r="P100" i="1"/>
  <c r="O100" i="1"/>
  <c r="N100" i="1"/>
  <c r="Q98" i="1"/>
  <c r="P98" i="1"/>
  <c r="O98" i="1"/>
  <c r="N98" i="1"/>
  <c r="Q92" i="1"/>
  <c r="Q95" i="1" s="1"/>
  <c r="P92" i="1"/>
  <c r="P95" i="1" s="1"/>
  <c r="O92" i="1"/>
  <c r="N92" i="1"/>
  <c r="N95" i="1" s="1"/>
  <c r="Q88" i="1"/>
  <c r="P88" i="1"/>
  <c r="O88" i="1"/>
  <c r="N88" i="1"/>
  <c r="M88" i="1"/>
  <c r="M90" i="1" s="1"/>
  <c r="L88" i="1"/>
  <c r="K88" i="1"/>
  <c r="K90" i="1" s="1"/>
  <c r="J88" i="1"/>
  <c r="I88" i="1"/>
  <c r="I90" i="1" s="1"/>
  <c r="H88" i="1"/>
  <c r="H90" i="1" s="1"/>
  <c r="G88" i="1"/>
  <c r="F88" i="1"/>
  <c r="F90" i="1" s="1"/>
  <c r="E88" i="1"/>
  <c r="E90" i="1" s="1"/>
  <c r="D88" i="1"/>
  <c r="D89" i="1" s="1"/>
  <c r="X77" i="1"/>
  <c r="W77" i="1"/>
  <c r="V77" i="1"/>
  <c r="U77" i="1"/>
  <c r="T77" i="1"/>
  <c r="S77" i="1"/>
  <c r="R77" i="1"/>
  <c r="Q77" i="1"/>
  <c r="P77" i="1"/>
  <c r="O77" i="1"/>
  <c r="N77" i="1"/>
  <c r="M77" i="1"/>
  <c r="L77" i="1"/>
  <c r="K77" i="1"/>
  <c r="J77" i="1"/>
  <c r="I77" i="1"/>
  <c r="H77" i="1"/>
  <c r="G77" i="1"/>
  <c r="F77" i="1"/>
  <c r="E77" i="1"/>
  <c r="X75" i="1"/>
  <c r="W75" i="1"/>
  <c r="V75" i="1"/>
  <c r="U75" i="1"/>
  <c r="T75" i="1"/>
  <c r="S75" i="1"/>
  <c r="R75" i="1"/>
  <c r="Q75" i="1"/>
  <c r="P75" i="1"/>
  <c r="O75" i="1"/>
  <c r="N75" i="1"/>
  <c r="M75" i="1"/>
  <c r="L75" i="1"/>
  <c r="K75" i="1"/>
  <c r="J75" i="1"/>
  <c r="I75" i="1"/>
  <c r="H75" i="1"/>
  <c r="G75" i="1"/>
  <c r="F75" i="1"/>
  <c r="Q69" i="1"/>
  <c r="P69" i="1"/>
  <c r="O69" i="1"/>
  <c r="N69" i="1"/>
  <c r="M69" i="1"/>
  <c r="L69" i="1"/>
  <c r="K69" i="1"/>
  <c r="J69" i="1"/>
  <c r="I69" i="1"/>
  <c r="H69" i="1"/>
  <c r="G69" i="1"/>
  <c r="F69" i="1"/>
  <c r="E69" i="1"/>
  <c r="D69" i="1"/>
  <c r="Q68" i="1"/>
  <c r="P68" i="1"/>
  <c r="O68" i="1"/>
  <c r="N68" i="1"/>
  <c r="M68" i="1"/>
  <c r="L68" i="1"/>
  <c r="K68" i="1"/>
  <c r="J68" i="1"/>
  <c r="I68" i="1"/>
  <c r="H68" i="1"/>
  <c r="G68" i="1"/>
  <c r="F68" i="1"/>
  <c r="E68" i="1"/>
  <c r="D68" i="1"/>
  <c r="R67" i="1"/>
  <c r="Q65" i="1"/>
  <c r="P65" i="1"/>
  <c r="O65" i="1"/>
  <c r="N65" i="1"/>
  <c r="M65" i="1"/>
  <c r="L65" i="1"/>
  <c r="K65" i="1"/>
  <c r="J65" i="1"/>
  <c r="I65" i="1"/>
  <c r="H65" i="1"/>
  <c r="G65" i="1"/>
  <c r="F65" i="1"/>
  <c r="E65" i="1"/>
  <c r="D65" i="1"/>
  <c r="Q64" i="1"/>
  <c r="P64" i="1"/>
  <c r="O64" i="1"/>
  <c r="N64" i="1"/>
  <c r="M64" i="1"/>
  <c r="L64" i="1"/>
  <c r="K64" i="1"/>
  <c r="J64" i="1"/>
  <c r="I64" i="1"/>
  <c r="H64" i="1"/>
  <c r="G64" i="1"/>
  <c r="F64" i="1"/>
  <c r="E64" i="1"/>
  <c r="D64" i="1"/>
  <c r="R63" i="1"/>
  <c r="Q59" i="1"/>
  <c r="AL59" i="1" s="1"/>
  <c r="BG59" i="1" s="1"/>
  <c r="P59" i="1"/>
  <c r="AK59" i="1" s="1"/>
  <c r="BF59" i="1" s="1"/>
  <c r="O59" i="1"/>
  <c r="AJ59" i="1" s="1"/>
  <c r="BE59" i="1" s="1"/>
  <c r="N59" i="1"/>
  <c r="AI59" i="1" s="1"/>
  <c r="M59" i="1"/>
  <c r="AH59" i="1" s="1"/>
  <c r="L59" i="1"/>
  <c r="AG59" i="1" s="1"/>
  <c r="K59" i="1"/>
  <c r="AF59" i="1" s="1"/>
  <c r="J59" i="1"/>
  <c r="AE59" i="1" s="1"/>
  <c r="I59" i="1"/>
  <c r="AD59" i="1" s="1"/>
  <c r="H59" i="1"/>
  <c r="AC59" i="1" s="1"/>
  <c r="G59" i="1"/>
  <c r="AB59" i="1" s="1"/>
  <c r="F59" i="1"/>
  <c r="AA59" i="1" s="1"/>
  <c r="E59" i="1"/>
  <c r="Z59" i="1" s="1"/>
  <c r="D59" i="1"/>
  <c r="Q55" i="1"/>
  <c r="Q57" i="1" s="1"/>
  <c r="P55" i="1"/>
  <c r="P57" i="1" s="1"/>
  <c r="O55" i="1"/>
  <c r="O57" i="1" s="1"/>
  <c r="N55" i="1"/>
  <c r="M55" i="1"/>
  <c r="M57" i="1" s="1"/>
  <c r="L55" i="1"/>
  <c r="L57" i="1" s="1"/>
  <c r="K55" i="1"/>
  <c r="J55" i="1"/>
  <c r="J57" i="1" s="1"/>
  <c r="I55" i="1"/>
  <c r="I57" i="1" s="1"/>
  <c r="H55" i="1"/>
  <c r="H57" i="1" s="1"/>
  <c r="G55" i="1"/>
  <c r="G56" i="1" s="1"/>
  <c r="Q53" i="1"/>
  <c r="P53" i="1"/>
  <c r="O53" i="1"/>
  <c r="N53" i="1"/>
  <c r="M53" i="1"/>
  <c r="L53" i="1"/>
  <c r="K53" i="1"/>
  <c r="J53" i="1"/>
  <c r="I53" i="1"/>
  <c r="H53" i="1"/>
  <c r="G53" i="1"/>
  <c r="Q52" i="1"/>
  <c r="P52" i="1"/>
  <c r="O52" i="1"/>
  <c r="N52" i="1"/>
  <c r="M52" i="1"/>
  <c r="L52" i="1"/>
  <c r="K52" i="1"/>
  <c r="J52" i="1"/>
  <c r="I52" i="1"/>
  <c r="H52" i="1"/>
  <c r="G52" i="1"/>
  <c r="Q49" i="1"/>
  <c r="P49" i="1"/>
  <c r="P71" i="1" s="1"/>
  <c r="O49" i="1"/>
  <c r="O71" i="1" s="1"/>
  <c r="N49" i="1"/>
  <c r="N71" i="1" s="1"/>
  <c r="M49" i="1"/>
  <c r="M71" i="1" s="1"/>
  <c r="L49" i="1"/>
  <c r="L71" i="1" s="1"/>
  <c r="K49" i="1"/>
  <c r="K71" i="1" s="1"/>
  <c r="J49" i="1"/>
  <c r="J71" i="1" s="1"/>
  <c r="I49" i="1"/>
  <c r="I71" i="1" s="1"/>
  <c r="H49" i="1"/>
  <c r="H71" i="1" s="1"/>
  <c r="G49" i="1"/>
  <c r="G71" i="1" s="1"/>
  <c r="F49" i="1"/>
  <c r="F71" i="1" s="1"/>
  <c r="E49" i="1"/>
  <c r="E71" i="1" s="1"/>
  <c r="D49" i="1"/>
  <c r="Q43" i="1"/>
  <c r="Q483" i="1" s="1"/>
  <c r="P43" i="1"/>
  <c r="P483" i="1" s="1"/>
  <c r="O43" i="1"/>
  <c r="O483" i="1" s="1"/>
  <c r="N43" i="1"/>
  <c r="N483" i="1" s="1"/>
  <c r="M43" i="1"/>
  <c r="M41" i="1"/>
  <c r="Q39" i="1"/>
  <c r="P39" i="1"/>
  <c r="O39" i="1"/>
  <c r="N39" i="1"/>
  <c r="M39" i="1"/>
  <c r="Q34" i="1"/>
  <c r="P34" i="1"/>
  <c r="O34" i="1"/>
  <c r="N34" i="1"/>
  <c r="M34" i="1"/>
  <c r="L34" i="1"/>
  <c r="K34" i="1"/>
  <c r="J34" i="1"/>
  <c r="I34" i="1"/>
  <c r="H34" i="1"/>
  <c r="G34" i="1"/>
  <c r="Q29" i="1"/>
  <c r="P29" i="1"/>
  <c r="P22" i="1" s="1"/>
  <c r="P27" i="1" s="1"/>
  <c r="O29" i="1"/>
  <c r="N29" i="1"/>
  <c r="N22" i="1" s="1"/>
  <c r="M29" i="1"/>
  <c r="L29" i="1"/>
  <c r="L22" i="1" s="1"/>
  <c r="L27" i="1" s="1"/>
  <c r="K29" i="1"/>
  <c r="K22" i="1" s="1"/>
  <c r="K27" i="1" s="1"/>
  <c r="J29" i="1"/>
  <c r="I29" i="1"/>
  <c r="I22" i="1" s="1"/>
  <c r="I27" i="1" s="1"/>
  <c r="H29" i="1"/>
  <c r="G29" i="1"/>
  <c r="Q26" i="1"/>
  <c r="P26" i="1"/>
  <c r="O26" i="1"/>
  <c r="N26" i="1"/>
  <c r="M26" i="1"/>
  <c r="L26" i="1"/>
  <c r="K26" i="1"/>
  <c r="J26" i="1"/>
  <c r="I26" i="1"/>
  <c r="H26" i="1"/>
  <c r="G26" i="1"/>
  <c r="R25" i="1"/>
  <c r="R471" i="1" s="1"/>
  <c r="N31" i="4" s="1"/>
  <c r="B96" i="4"/>
  <c r="B97" i="4" s="1"/>
  <c r="E9" i="4" s="1"/>
  <c r="B94" i="4"/>
  <c r="B93" i="4" s="1"/>
  <c r="E5" i="4" s="1"/>
  <c r="C90" i="4"/>
  <c r="C86" i="4"/>
  <c r="D85" i="4"/>
  <c r="D86" i="4" s="1"/>
  <c r="M24" i="4"/>
  <c r="L24" i="4"/>
  <c r="K24" i="4"/>
  <c r="J24" i="4"/>
  <c r="I24" i="4"/>
  <c r="H24" i="4"/>
  <c r="G24" i="4"/>
  <c r="F24" i="4"/>
  <c r="E24" i="4"/>
  <c r="D24" i="4"/>
  <c r="D25" i="4" s="1"/>
  <c r="N21" i="4"/>
  <c r="M21" i="4"/>
  <c r="L21" i="4"/>
  <c r="K21" i="4"/>
  <c r="J21" i="4"/>
  <c r="I21" i="4"/>
  <c r="H21" i="4"/>
  <c r="G21" i="4"/>
  <c r="F21" i="4"/>
  <c r="E21" i="4"/>
  <c r="D21" i="4"/>
  <c r="O19" i="4"/>
  <c r="P19" i="4" s="1"/>
  <c r="Q19" i="4" s="1"/>
  <c r="R19" i="4" s="1"/>
  <c r="S19" i="4" s="1"/>
  <c r="T19" i="4" s="1"/>
  <c r="T57" i="9" l="1"/>
  <c r="U57" i="9"/>
  <c r="W57" i="9"/>
  <c r="V57" i="9"/>
  <c r="S57" i="9"/>
  <c r="X57" i="9"/>
  <c r="Z57" i="9"/>
  <c r="Y57" i="9"/>
  <c r="W60" i="9"/>
  <c r="U60" i="9"/>
  <c r="V60" i="9"/>
  <c r="Y60" i="9"/>
  <c r="X60" i="9"/>
  <c r="Z60" i="9"/>
  <c r="R345" i="1"/>
  <c r="W58" i="9"/>
  <c r="S58" i="9"/>
  <c r="T58" i="9"/>
  <c r="U58" i="9"/>
  <c r="V58" i="9"/>
  <c r="X58" i="9"/>
  <c r="Z58" i="9"/>
  <c r="Y58" i="9"/>
  <c r="E23" i="9"/>
  <c r="E14" i="9" s="1"/>
  <c r="G702" i="1"/>
  <c r="D60" i="1"/>
  <c r="I36" i="9"/>
  <c r="U59" i="9"/>
  <c r="V59" i="9"/>
  <c r="W59" i="9"/>
  <c r="T59" i="9"/>
  <c r="S59" i="9"/>
  <c r="Z59" i="9"/>
  <c r="X59" i="9"/>
  <c r="Y59" i="9"/>
  <c r="E18" i="9"/>
  <c r="R288" i="1"/>
  <c r="S289" i="1"/>
  <c r="S287" i="1" s="1"/>
  <c r="Q71" i="1"/>
  <c r="Q79" i="1" s="1"/>
  <c r="Q265" i="1"/>
  <c r="Q395" i="1"/>
  <c r="Q401" i="1" s="1"/>
  <c r="Q428" i="1"/>
  <c r="Z328" i="1"/>
  <c r="AA328" i="1" s="1"/>
  <c r="Z329" i="1"/>
  <c r="AA329" i="1" s="1"/>
  <c r="Z330" i="1"/>
  <c r="AA330" i="1" s="1"/>
  <c r="Z331" i="1"/>
  <c r="AA331" i="1" s="1"/>
  <c r="Q357" i="1"/>
  <c r="Q363" i="1" s="1"/>
  <c r="Q364" i="1" s="1"/>
  <c r="R363" i="1"/>
  <c r="R357" i="1" s="1"/>
  <c r="Q338" i="1"/>
  <c r="R344" i="1"/>
  <c r="R338" i="1" s="1"/>
  <c r="Q376" i="1"/>
  <c r="Q382" i="1" s="1"/>
  <c r="Q383" i="1" s="1"/>
  <c r="R383" i="1"/>
  <c r="S100" i="1"/>
  <c r="T100" i="1" s="1"/>
  <c r="U100" i="1" s="1"/>
  <c r="V100" i="1" s="1"/>
  <c r="R560" i="1"/>
  <c r="R559" i="1" s="1"/>
  <c r="R632" i="1" s="1"/>
  <c r="R644" i="1" s="1"/>
  <c r="S372" i="1"/>
  <c r="R568" i="1"/>
  <c r="R567" i="1" s="1"/>
  <c r="R565" i="1" s="1"/>
  <c r="R566" i="1" s="1"/>
  <c r="S214" i="1"/>
  <c r="T214" i="1" s="1"/>
  <c r="U214" i="1" s="1"/>
  <c r="R157" i="1"/>
  <c r="S157" i="1" s="1"/>
  <c r="S219" i="1"/>
  <c r="T219" i="1" s="1"/>
  <c r="S105" i="1"/>
  <c r="T105" i="1" s="1"/>
  <c r="I884" i="1"/>
  <c r="H884" i="1"/>
  <c r="R180" i="1"/>
  <c r="S183" i="1"/>
  <c r="R184" i="1"/>
  <c r="R68" i="1"/>
  <c r="S240" i="1"/>
  <c r="R59" i="1"/>
  <c r="E8" i="4"/>
  <c r="E6" i="4"/>
  <c r="J884" i="1"/>
  <c r="O884" i="1"/>
  <c r="O885" i="1" s="1"/>
  <c r="P884" i="1"/>
  <c r="K884" i="1"/>
  <c r="K885" i="1" s="1"/>
  <c r="G884" i="1"/>
  <c r="G885" i="1" s="1"/>
  <c r="Q884" i="1"/>
  <c r="Q885" i="1" s="1"/>
  <c r="L884" i="1"/>
  <c r="N884" i="1"/>
  <c r="S684" i="1"/>
  <c r="T684" i="1" s="1"/>
  <c r="U684" i="1" s="1"/>
  <c r="V684" i="1" s="1"/>
  <c r="W684" i="1" s="1"/>
  <c r="X684" i="1" s="1"/>
  <c r="R950" i="1"/>
  <c r="M884" i="1"/>
  <c r="K915" i="1"/>
  <c r="K914" i="1"/>
  <c r="N907" i="1"/>
  <c r="N909" i="1"/>
  <c r="M915" i="1"/>
  <c r="M914" i="1"/>
  <c r="L907" i="1"/>
  <c r="L909" i="1"/>
  <c r="N915" i="1"/>
  <c r="N914" i="1"/>
  <c r="K907" i="1"/>
  <c r="K909" i="1"/>
  <c r="M907" i="1"/>
  <c r="M909" i="1"/>
  <c r="O914" i="1"/>
  <c r="O915" i="1"/>
  <c r="J907" i="1"/>
  <c r="J909" i="1"/>
  <c r="H914" i="1"/>
  <c r="H915" i="1"/>
  <c r="P914" i="1"/>
  <c r="P915" i="1"/>
  <c r="Q907" i="1"/>
  <c r="Q909" i="1"/>
  <c r="I909" i="1"/>
  <c r="L915" i="1"/>
  <c r="L914" i="1"/>
  <c r="I915" i="1"/>
  <c r="I914" i="1"/>
  <c r="Q915" i="1"/>
  <c r="Q914" i="1"/>
  <c r="P907" i="1"/>
  <c r="P909" i="1"/>
  <c r="H907" i="1"/>
  <c r="H909" i="1"/>
  <c r="J914" i="1"/>
  <c r="J915" i="1"/>
  <c r="R914" i="1"/>
  <c r="O909" i="1"/>
  <c r="I549" i="1"/>
  <c r="L549" i="1"/>
  <c r="K549" i="1"/>
  <c r="P516" i="1"/>
  <c r="O518" i="1"/>
  <c r="O519" i="1" s="1"/>
  <c r="P515" i="1"/>
  <c r="P520" i="1"/>
  <c r="Q520" i="1"/>
  <c r="Q519" i="1"/>
  <c r="N520" i="1"/>
  <c r="N519" i="1"/>
  <c r="N515" i="1"/>
  <c r="O515" i="1"/>
  <c r="N516" i="1"/>
  <c r="Q515" i="1"/>
  <c r="Q516" i="1"/>
  <c r="Q862" i="1"/>
  <c r="Q889" i="1" s="1"/>
  <c r="P862" i="1"/>
  <c r="P889" i="1" s="1"/>
  <c r="J583" i="1"/>
  <c r="G719" i="1"/>
  <c r="G757" i="1" s="1"/>
  <c r="G762" i="1" s="1"/>
  <c r="J549" i="1"/>
  <c r="M505" i="1"/>
  <c r="M549" i="1"/>
  <c r="P629" i="1"/>
  <c r="N719" i="1"/>
  <c r="N757" i="1" s="1"/>
  <c r="N762" i="1" s="1"/>
  <c r="Q874" i="1"/>
  <c r="H146" i="1"/>
  <c r="J31" i="4"/>
  <c r="J32" i="4" s="1"/>
  <c r="Q199" i="1"/>
  <c r="Q448" i="1" s="1"/>
  <c r="K56" i="1"/>
  <c r="M142" i="1"/>
  <c r="M147" i="1" s="1"/>
  <c r="O549" i="1"/>
  <c r="J36" i="1"/>
  <c r="K177" i="1"/>
  <c r="P37" i="9" s="1"/>
  <c r="I719" i="1"/>
  <c r="I757" i="1" s="1"/>
  <c r="I762" i="1" s="1"/>
  <c r="R175" i="1"/>
  <c r="R176" i="1" s="1"/>
  <c r="P89" i="1"/>
  <c r="O119" i="1"/>
  <c r="I594" i="1"/>
  <c r="I609" i="1" s="1"/>
  <c r="K61" i="1"/>
  <c r="P36" i="9" s="1"/>
  <c r="I629" i="1"/>
  <c r="H671" i="1"/>
  <c r="H803" i="1"/>
  <c r="D56" i="4" s="1"/>
  <c r="P36" i="1"/>
  <c r="L31" i="4"/>
  <c r="L33" i="4" s="1"/>
  <c r="P893" i="1"/>
  <c r="H79" i="1"/>
  <c r="F177" i="1"/>
  <c r="K37" i="9" s="1"/>
  <c r="N89" i="1"/>
  <c r="O199" i="1"/>
  <c r="O208" i="1" s="1"/>
  <c r="N108" i="1"/>
  <c r="N177" i="1"/>
  <c r="S37" i="9" s="1"/>
  <c r="K31" i="4"/>
  <c r="K33" i="4" s="1"/>
  <c r="G36" i="1"/>
  <c r="M165" i="1"/>
  <c r="M187" i="1" s="1"/>
  <c r="M193" i="1" s="1"/>
  <c r="M777" i="1"/>
  <c r="M778" i="1" s="1"/>
  <c r="L671" i="1"/>
  <c r="Q799" i="1"/>
  <c r="J878" i="1"/>
  <c r="M890" i="1"/>
  <c r="P688" i="1"/>
  <c r="Q688" i="1"/>
  <c r="O671" i="1"/>
  <c r="J688" i="1"/>
  <c r="I882" i="1"/>
  <c r="Q803" i="1"/>
  <c r="M56" i="4" s="1"/>
  <c r="R799" i="1"/>
  <c r="R748" i="1" s="1"/>
  <c r="R791" i="1" s="1"/>
  <c r="L719" i="1"/>
  <c r="L757" i="1" s="1"/>
  <c r="L762" i="1" s="1"/>
  <c r="N874" i="1"/>
  <c r="N878" i="1"/>
  <c r="O629" i="1"/>
  <c r="J803" i="1"/>
  <c r="F56" i="4" s="1"/>
  <c r="P61" i="1"/>
  <c r="U36" i="9" s="1"/>
  <c r="O36" i="1"/>
  <c r="F173" i="1"/>
  <c r="H890" i="1"/>
  <c r="J894" i="1"/>
  <c r="I30" i="1"/>
  <c r="Q319" i="1"/>
  <c r="S319" i="1" s="1"/>
  <c r="T319" i="1" s="1"/>
  <c r="U319" i="1" s="1"/>
  <c r="V319" i="1" s="1"/>
  <c r="W319" i="1" s="1"/>
  <c r="X319" i="1" s="1"/>
  <c r="J719" i="1"/>
  <c r="J757" i="1" s="1"/>
  <c r="J762" i="1" s="1"/>
  <c r="N222" i="1"/>
  <c r="Q324" i="1"/>
  <c r="H629" i="1"/>
  <c r="L629" i="1"/>
  <c r="Q777" i="1"/>
  <c r="M71" i="4" s="1"/>
  <c r="M72" i="4" s="1"/>
  <c r="H777" i="1"/>
  <c r="D71" i="4" s="1"/>
  <c r="D72" i="4" s="1"/>
  <c r="J777" i="1"/>
  <c r="F71" i="4" s="1"/>
  <c r="F72" i="4" s="1"/>
  <c r="K906" i="1"/>
  <c r="N777" i="1"/>
  <c r="J71" i="4" s="1"/>
  <c r="J72" i="4" s="1"/>
  <c r="H868" i="1"/>
  <c r="H869" i="1" s="1"/>
  <c r="N671" i="1"/>
  <c r="I799" i="1"/>
  <c r="G25" i="4"/>
  <c r="M30" i="1"/>
  <c r="H61" i="1"/>
  <c r="M36" i="9" s="1"/>
  <c r="M50" i="9" s="1"/>
  <c r="Q89" i="1"/>
  <c r="P472" i="1"/>
  <c r="O501" i="1"/>
  <c r="P671" i="1"/>
  <c r="R698" i="1"/>
  <c r="R697" i="1" s="1"/>
  <c r="Q719" i="1"/>
  <c r="Q757" i="1" s="1"/>
  <c r="Q762" i="1" s="1"/>
  <c r="I877" i="1"/>
  <c r="Q878" i="1"/>
  <c r="G688" i="1"/>
  <c r="O120" i="1"/>
  <c r="T38" i="9" s="1"/>
  <c r="Q150" i="1"/>
  <c r="M507" i="1"/>
  <c r="P480" i="1"/>
  <c r="N505" i="1"/>
  <c r="M544" i="1"/>
  <c r="M592" i="1" s="1"/>
  <c r="M594" i="1" s="1"/>
  <c r="M46" i="1"/>
  <c r="N56" i="1"/>
  <c r="Q120" i="1"/>
  <c r="V38" i="9" s="1"/>
  <c r="H142" i="1"/>
  <c r="H151" i="1" s="1"/>
  <c r="Q234" i="1"/>
  <c r="V39" i="9" s="1"/>
  <c r="Q402" i="1"/>
  <c r="P318" i="1"/>
  <c r="M688" i="1"/>
  <c r="K777" i="1"/>
  <c r="G71" i="4" s="1"/>
  <c r="G72" i="4" s="1"/>
  <c r="J799" i="1"/>
  <c r="Q924" i="1"/>
  <c r="L36" i="1"/>
  <c r="N142" i="1"/>
  <c r="N147" i="1" s="1"/>
  <c r="N319" i="1"/>
  <c r="O364" i="1"/>
  <c r="L688" i="1"/>
  <c r="K874" i="1"/>
  <c r="K878" i="1"/>
  <c r="L882" i="1"/>
  <c r="O894" i="1"/>
  <c r="M36" i="1"/>
  <c r="P142" i="1"/>
  <c r="P161" i="1" s="1"/>
  <c r="H583" i="1"/>
  <c r="N629" i="1"/>
  <c r="O688" i="1"/>
  <c r="M881" i="1"/>
  <c r="Q146" i="1"/>
  <c r="R241" i="1"/>
  <c r="N549" i="1"/>
  <c r="H917" i="1"/>
  <c r="M31" i="4"/>
  <c r="N32" i="4" s="1"/>
  <c r="E79" i="1"/>
  <c r="O874" i="1"/>
  <c r="Q890" i="1"/>
  <c r="L917" i="1"/>
  <c r="T820" i="1"/>
  <c r="T821" i="1" s="1"/>
  <c r="L79" i="1"/>
  <c r="M67" i="4"/>
  <c r="M68" i="4" s="1"/>
  <c r="Q173" i="1"/>
  <c r="N882" i="1"/>
  <c r="L30" i="1"/>
  <c r="Q36" i="1"/>
  <c r="G89" i="1"/>
  <c r="P116" i="1"/>
  <c r="Q142" i="1"/>
  <c r="Q147" i="1" s="1"/>
  <c r="G777" i="1"/>
  <c r="G778" i="1" s="1"/>
  <c r="Q893" i="1"/>
  <c r="N890" i="1"/>
  <c r="P894" i="1"/>
  <c r="L60" i="1"/>
  <c r="O327" i="1"/>
  <c r="M56" i="1"/>
  <c r="O61" i="1"/>
  <c r="T36" i="9" s="1"/>
  <c r="F176" i="1"/>
  <c r="Q480" i="1"/>
  <c r="J613" i="1"/>
  <c r="J642" i="1" s="1"/>
  <c r="L613" i="1"/>
  <c r="L642" i="1" s="1"/>
  <c r="K671" i="1"/>
  <c r="I777" i="1"/>
  <c r="E71" i="4" s="1"/>
  <c r="E72" i="4" s="1"/>
  <c r="K889" i="1"/>
  <c r="P890" i="1"/>
  <c r="O345" i="1"/>
  <c r="O383" i="1"/>
  <c r="I803" i="1"/>
  <c r="E56" i="4" s="1"/>
  <c r="H893" i="1"/>
  <c r="L881" i="1"/>
  <c r="P467" i="1"/>
  <c r="L27" i="4" s="1"/>
  <c r="L29" i="4" s="1"/>
  <c r="K165" i="1"/>
  <c r="K187" i="1" s="1"/>
  <c r="K193" i="1" s="1"/>
  <c r="I177" i="1"/>
  <c r="N37" i="9" s="1"/>
  <c r="M671" i="1"/>
  <c r="M22" i="1"/>
  <c r="M27" i="1" s="1"/>
  <c r="H60" i="1"/>
  <c r="N119" i="1"/>
  <c r="N150" i="1"/>
  <c r="G877" i="1"/>
  <c r="O319" i="1"/>
  <c r="D61" i="1"/>
  <c r="E142" i="1"/>
  <c r="E143" i="1" s="1"/>
  <c r="K146" i="1"/>
  <c r="N314" i="1"/>
  <c r="J629" i="1"/>
  <c r="O924" i="1"/>
  <c r="M25" i="4"/>
  <c r="O41" i="1"/>
  <c r="L169" i="1"/>
  <c r="L176" i="1"/>
  <c r="O324" i="1"/>
  <c r="S353" i="1"/>
  <c r="T353" i="1" s="1"/>
  <c r="I873" i="1"/>
  <c r="J890" i="1"/>
  <c r="P177" i="1"/>
  <c r="U37" i="9" s="1"/>
  <c r="Q41" i="1"/>
  <c r="P85" i="1"/>
  <c r="P90" i="1" s="1"/>
  <c r="Q169" i="1"/>
  <c r="O777" i="1"/>
  <c r="O778" i="1" s="1"/>
  <c r="T851" i="1"/>
  <c r="M893" i="1"/>
  <c r="N877" i="1"/>
  <c r="K882" i="1"/>
  <c r="M894" i="1"/>
  <c r="K60" i="1"/>
  <c r="K570" i="1"/>
  <c r="K576" i="1" s="1"/>
  <c r="T815" i="1"/>
  <c r="T816" i="1" s="1"/>
  <c r="S815" i="1"/>
  <c r="S816" i="1" s="1"/>
  <c r="T826" i="1"/>
  <c r="S538" i="1"/>
  <c r="T538" i="1" s="1"/>
  <c r="R534" i="1"/>
  <c r="R535" i="1" s="1"/>
  <c r="N27" i="1"/>
  <c r="N40" i="1"/>
  <c r="F147" i="1"/>
  <c r="K65" i="4"/>
  <c r="K67" i="4" s="1"/>
  <c r="K68" i="4" s="1"/>
  <c r="O771" i="1"/>
  <c r="O772" i="1" s="1"/>
  <c r="T846" i="1"/>
  <c r="W843" i="1"/>
  <c r="X843" i="1" s="1"/>
  <c r="J671" i="1"/>
  <c r="L777" i="1"/>
  <c r="H71" i="4" s="1"/>
  <c r="H72" i="4" s="1"/>
  <c r="J874" i="1"/>
  <c r="O882" i="1"/>
  <c r="G893" i="1"/>
  <c r="G924" i="1"/>
  <c r="G925" i="1" s="1"/>
  <c r="N30" i="1"/>
  <c r="L35" i="1"/>
  <c r="G60" i="1"/>
  <c r="Q85" i="1"/>
  <c r="Q436" i="1" s="1"/>
  <c r="N93" i="1"/>
  <c r="P108" i="1"/>
  <c r="P130" i="1" s="1"/>
  <c r="P136" i="1" s="1"/>
  <c r="N165" i="1"/>
  <c r="N187" i="1" s="1"/>
  <c r="N193" i="1" s="1"/>
  <c r="H176" i="1"/>
  <c r="N230" i="1"/>
  <c r="O498" i="1"/>
  <c r="S846" i="1"/>
  <c r="I874" i="1"/>
  <c r="Q882" i="1"/>
  <c r="K890" i="1"/>
  <c r="I894" i="1"/>
  <c r="I924" i="1"/>
  <c r="E25" i="4"/>
  <c r="O60" i="1"/>
  <c r="S67" i="1"/>
  <c r="O146" i="1"/>
  <c r="M150" i="1"/>
  <c r="Q152" i="1"/>
  <c r="E173" i="1"/>
  <c r="P176" i="1"/>
  <c r="P230" i="1"/>
  <c r="P313" i="1"/>
  <c r="R373" i="1"/>
  <c r="R382" i="1" s="1"/>
  <c r="R376" i="1" s="1"/>
  <c r="N506" i="1"/>
  <c r="H570" i="1"/>
  <c r="H578" i="1" s="1"/>
  <c r="I770" i="1"/>
  <c r="E66" i="4" s="1"/>
  <c r="E67" i="4" s="1"/>
  <c r="L874" i="1"/>
  <c r="Q881" i="1"/>
  <c r="I893" i="1"/>
  <c r="N924" i="1"/>
  <c r="V613" i="1"/>
  <c r="V642" i="1" s="1"/>
  <c r="L770" i="1"/>
  <c r="H66" i="4" s="1"/>
  <c r="H67" i="4" s="1"/>
  <c r="H25" i="4"/>
  <c r="H89" i="1"/>
  <c r="P150" i="1"/>
  <c r="K176" i="1"/>
  <c r="J177" i="1"/>
  <c r="O37" i="9" s="1"/>
  <c r="O203" i="1"/>
  <c r="R237" i="1"/>
  <c r="Q314" i="1"/>
  <c r="Q327" i="1"/>
  <c r="O480" i="1"/>
  <c r="K688" i="1"/>
  <c r="N770" i="1"/>
  <c r="J66" i="4" s="1"/>
  <c r="J67" i="4" s="1"/>
  <c r="P777" i="1"/>
  <c r="L71" i="4" s="1"/>
  <c r="L72" i="4" s="1"/>
  <c r="N873" i="1"/>
  <c r="H878" i="1"/>
  <c r="H882" i="1"/>
  <c r="L894" i="1"/>
  <c r="N917" i="1"/>
  <c r="P902" i="1"/>
  <c r="N906" i="1"/>
  <c r="K36" i="1"/>
  <c r="N44" i="1"/>
  <c r="K89" i="1"/>
  <c r="F165" i="1"/>
  <c r="F187" i="1" s="1"/>
  <c r="F193" i="1" s="1"/>
  <c r="I173" i="1"/>
  <c r="P207" i="1"/>
  <c r="P501" i="1"/>
  <c r="X613" i="1"/>
  <c r="X642" i="1" s="1"/>
  <c r="I671" i="1"/>
  <c r="P881" i="1"/>
  <c r="N45" i="1"/>
  <c r="D90" i="1"/>
  <c r="E169" i="1"/>
  <c r="P323" i="1"/>
  <c r="P481" i="1"/>
  <c r="Q642" i="1"/>
  <c r="O719" i="1"/>
  <c r="O757" i="1" s="1"/>
  <c r="O762" i="1" s="1"/>
  <c r="I868" i="1"/>
  <c r="J877" i="1"/>
  <c r="O890" i="1"/>
  <c r="M902" i="1"/>
  <c r="M917" i="1"/>
  <c r="N41" i="1"/>
  <c r="H56" i="1"/>
  <c r="O165" i="1"/>
  <c r="O187" i="1" s="1"/>
  <c r="O193" i="1" s="1"/>
  <c r="M173" i="1"/>
  <c r="Q207" i="1"/>
  <c r="Q222" i="1"/>
  <c r="R251" i="1" s="1"/>
  <c r="R232" i="1"/>
  <c r="R233" i="1" s="1"/>
  <c r="Q277" i="1"/>
  <c r="P339" i="1"/>
  <c r="P344" i="1"/>
  <c r="P345" i="1" s="1"/>
  <c r="Q629" i="1"/>
  <c r="Q671" i="1"/>
  <c r="L868" i="1"/>
  <c r="L869" i="1" s="1"/>
  <c r="Q873" i="1"/>
  <c r="R873" i="1" s="1"/>
  <c r="S873" i="1" s="1"/>
  <c r="T873" i="1" s="1"/>
  <c r="U873" i="1" s="1"/>
  <c r="V873" i="1" s="1"/>
  <c r="W873" i="1" s="1"/>
  <c r="X873" i="1" s="1"/>
  <c r="H36" i="1"/>
  <c r="L25" i="4"/>
  <c r="F67" i="4"/>
  <c r="P30" i="1"/>
  <c r="N36" i="1"/>
  <c r="L56" i="1"/>
  <c r="N61" i="1"/>
  <c r="S36" i="9" s="1"/>
  <c r="F146" i="1"/>
  <c r="N173" i="1"/>
  <c r="P226" i="1"/>
  <c r="N234" i="1"/>
  <c r="S39" i="9" s="1"/>
  <c r="O472" i="1"/>
  <c r="N613" i="1"/>
  <c r="N642" i="1" s="1"/>
  <c r="H688" i="1"/>
  <c r="Q868" i="1"/>
  <c r="M878" i="1"/>
  <c r="O893" i="1"/>
  <c r="H902" i="1"/>
  <c r="H906" i="1"/>
  <c r="N881" i="1"/>
  <c r="J873" i="1"/>
  <c r="P60" i="1"/>
  <c r="O93" i="1"/>
  <c r="N146" i="1"/>
  <c r="M169" i="1"/>
  <c r="P473" i="1"/>
  <c r="P549" i="1"/>
  <c r="I613" i="1"/>
  <c r="I642" i="1" s="1"/>
  <c r="U613" i="1"/>
  <c r="U642" i="1" s="1"/>
  <c r="P613" i="1"/>
  <c r="P642" i="1" s="1"/>
  <c r="M803" i="1"/>
  <c r="I56" i="4" s="1"/>
  <c r="H873" i="1"/>
  <c r="M873" i="1"/>
  <c r="M882" i="1"/>
  <c r="G889" i="1"/>
  <c r="Q894" i="1"/>
  <c r="Q906" i="1"/>
  <c r="F61" i="1"/>
  <c r="K36" i="9" s="1"/>
  <c r="K50" i="9" s="1"/>
  <c r="K147" i="1"/>
  <c r="O169" i="1"/>
  <c r="H719" i="1"/>
  <c r="H757" i="1" s="1"/>
  <c r="H762" i="1" s="1"/>
  <c r="K917" i="1"/>
  <c r="S821" i="1"/>
  <c r="K25" i="4"/>
  <c r="J25" i="4"/>
  <c r="G79" i="1"/>
  <c r="G72" i="1"/>
  <c r="F25" i="4"/>
  <c r="J72" i="1"/>
  <c r="J79" i="1"/>
  <c r="K31" i="1"/>
  <c r="H72" i="1"/>
  <c r="N46" i="1"/>
  <c r="I79" i="1"/>
  <c r="I72" i="1"/>
  <c r="O56" i="1"/>
  <c r="L72" i="1"/>
  <c r="I35" i="1"/>
  <c r="K79" i="1"/>
  <c r="K72" i="1"/>
  <c r="I60" i="1"/>
  <c r="I61" i="1"/>
  <c r="N36" i="9" s="1"/>
  <c r="N50" i="9" s="1"/>
  <c r="I25" i="4"/>
  <c r="K35" i="1"/>
  <c r="O467" i="1"/>
  <c r="O30" i="1"/>
  <c r="O22" i="1"/>
  <c r="P23" i="1" s="1"/>
  <c r="I36" i="1"/>
  <c r="G57" i="1"/>
  <c r="M72" i="1"/>
  <c r="Q467" i="1"/>
  <c r="Q30" i="1"/>
  <c r="Q22" i="1"/>
  <c r="Q45" i="1" s="1"/>
  <c r="N79" i="1"/>
  <c r="N72" i="1"/>
  <c r="N57" i="1"/>
  <c r="M60" i="1"/>
  <c r="M61" i="1"/>
  <c r="R36" i="9" s="1"/>
  <c r="L61" i="1"/>
  <c r="Q36" i="9" s="1"/>
  <c r="N440" i="1"/>
  <c r="N35" i="1"/>
  <c r="N484" i="1"/>
  <c r="N485" i="1"/>
  <c r="N526" i="1"/>
  <c r="M79" i="1"/>
  <c r="P440" i="1"/>
  <c r="P40" i="1"/>
  <c r="P35" i="1"/>
  <c r="G30" i="1"/>
  <c r="G22" i="1"/>
  <c r="P79" i="1"/>
  <c r="P72" i="1"/>
  <c r="V815" i="1"/>
  <c r="V820" i="1"/>
  <c r="H30" i="1"/>
  <c r="H22" i="1"/>
  <c r="M89" i="1"/>
  <c r="L90" i="1"/>
  <c r="L89" i="1"/>
  <c r="I31" i="1"/>
  <c r="F72" i="1"/>
  <c r="F79" i="1"/>
  <c r="J56" i="1"/>
  <c r="I56" i="1"/>
  <c r="O79" i="1"/>
  <c r="O72" i="1"/>
  <c r="J30" i="1"/>
  <c r="J22" i="1"/>
  <c r="K23" i="1" s="1"/>
  <c r="K30" i="1"/>
  <c r="F60" i="1"/>
  <c r="E60" i="1"/>
  <c r="E61" i="1"/>
  <c r="J36" i="9" s="1"/>
  <c r="Q60" i="1"/>
  <c r="Q61" i="1"/>
  <c r="V36" i="9" s="1"/>
  <c r="V50" i="9" s="1"/>
  <c r="M44" i="1"/>
  <c r="N60" i="1"/>
  <c r="F89" i="1"/>
  <c r="Q119" i="1"/>
  <c r="R118" i="1"/>
  <c r="S122" i="1"/>
  <c r="R123" i="1"/>
  <c r="I146" i="1"/>
  <c r="I142" i="1"/>
  <c r="J176" i="1"/>
  <c r="P93" i="1"/>
  <c r="O95" i="1"/>
  <c r="P421" i="1"/>
  <c r="P169" i="1"/>
  <c r="N200" i="1"/>
  <c r="N208" i="1"/>
  <c r="O526" i="1"/>
  <c r="O485" i="1"/>
  <c r="O475" i="1"/>
  <c r="O484" i="1"/>
  <c r="O44" i="1"/>
  <c r="O46" i="1"/>
  <c r="P56" i="1"/>
  <c r="G61" i="1"/>
  <c r="L36" i="9" s="1"/>
  <c r="L50" i="9" s="1"/>
  <c r="Q93" i="1"/>
  <c r="P165" i="1"/>
  <c r="P187" i="1" s="1"/>
  <c r="O177" i="1"/>
  <c r="T37" i="9" s="1"/>
  <c r="N176" i="1"/>
  <c r="D90" i="4"/>
  <c r="L23" i="1"/>
  <c r="L31" i="1"/>
  <c r="P41" i="1"/>
  <c r="P475" i="1"/>
  <c r="P526" i="1"/>
  <c r="P484" i="1"/>
  <c r="P485" i="1"/>
  <c r="P44" i="1"/>
  <c r="P45" i="1"/>
  <c r="P46" i="1"/>
  <c r="Q56" i="1"/>
  <c r="K57" i="1"/>
  <c r="O412" i="1"/>
  <c r="P413" i="1" s="1"/>
  <c r="O108" i="1"/>
  <c r="O130" i="1" s="1"/>
  <c r="O136" i="1" s="1"/>
  <c r="O112" i="1"/>
  <c r="R127" i="1"/>
  <c r="S126" i="1"/>
  <c r="L146" i="1"/>
  <c r="L142" i="1"/>
  <c r="L147" i="1" s="1"/>
  <c r="F151" i="1"/>
  <c r="O234" i="1"/>
  <c r="T39" i="9" s="1"/>
  <c r="O233" i="1"/>
  <c r="P234" i="1"/>
  <c r="U39" i="9" s="1"/>
  <c r="E85" i="4"/>
  <c r="R472" i="1"/>
  <c r="Q526" i="1"/>
  <c r="Q485" i="1"/>
  <c r="Q475" i="1"/>
  <c r="Q484" i="1"/>
  <c r="Q44" i="1"/>
  <c r="Q46" i="1"/>
  <c r="J89" i="1"/>
  <c r="J90" i="1"/>
  <c r="J146" i="1"/>
  <c r="J147" i="1"/>
  <c r="G165" i="1"/>
  <c r="G187" i="1" s="1"/>
  <c r="G173" i="1"/>
  <c r="E177" i="1"/>
  <c r="J37" i="9" s="1"/>
  <c r="E176" i="1"/>
  <c r="Q177" i="1"/>
  <c r="V37" i="9" s="1"/>
  <c r="Q176" i="1"/>
  <c r="U820" i="1"/>
  <c r="U815" i="1"/>
  <c r="N467" i="1"/>
  <c r="N31" i="1"/>
  <c r="J61" i="1"/>
  <c r="O36" i="9" s="1"/>
  <c r="R64" i="1"/>
  <c r="E89" i="1"/>
  <c r="Q412" i="1"/>
  <c r="Q116" i="1"/>
  <c r="Q108" i="1"/>
  <c r="R137" i="1" s="1"/>
  <c r="R298" i="1" s="1"/>
  <c r="P119" i="1"/>
  <c r="P120" i="1"/>
  <c r="U38" i="9" s="1"/>
  <c r="M146" i="1"/>
  <c r="J151" i="1"/>
  <c r="I165" i="1"/>
  <c r="I187" i="1" s="1"/>
  <c r="H169" i="1"/>
  <c r="G176" i="1"/>
  <c r="G177" i="1"/>
  <c r="L37" i="9" s="1"/>
  <c r="Q233" i="1"/>
  <c r="P31" i="1"/>
  <c r="I89" i="1"/>
  <c r="P146" i="1"/>
  <c r="J165" i="1"/>
  <c r="J187" i="1" s="1"/>
  <c r="J169" i="1"/>
  <c r="P233" i="1"/>
  <c r="J60" i="1"/>
  <c r="K169" i="1"/>
  <c r="K173" i="1"/>
  <c r="O424" i="1"/>
  <c r="P425" i="1" s="1"/>
  <c r="O226" i="1"/>
  <c r="O222" i="1"/>
  <c r="O244" i="1" s="1"/>
  <c r="O250" i="1" s="1"/>
  <c r="O230" i="1"/>
  <c r="P222" i="1"/>
  <c r="P244" i="1" s="1"/>
  <c r="N85" i="1"/>
  <c r="O85" i="1"/>
  <c r="H165" i="1"/>
  <c r="H187" i="1" s="1"/>
  <c r="H177" i="1"/>
  <c r="M37" i="9" s="1"/>
  <c r="Q203" i="1"/>
  <c r="O89" i="1"/>
  <c r="N420" i="1"/>
  <c r="O421" i="1" s="1"/>
  <c r="N169" i="1"/>
  <c r="L165" i="1"/>
  <c r="L187" i="1" s="1"/>
  <c r="P173" i="1"/>
  <c r="M176" i="1"/>
  <c r="M177" i="1"/>
  <c r="R37" i="9" s="1"/>
  <c r="L177" i="1"/>
  <c r="Q37" i="9" s="1"/>
  <c r="I176" i="1"/>
  <c r="N413" i="1"/>
  <c r="N112" i="1"/>
  <c r="G142" i="1"/>
  <c r="K143" i="1"/>
  <c r="G146" i="1"/>
  <c r="O150" i="1"/>
  <c r="Q165" i="1"/>
  <c r="R194" i="1" s="1"/>
  <c r="O176" i="1"/>
  <c r="O456" i="1"/>
  <c r="P457" i="1" s="1"/>
  <c r="O318" i="1"/>
  <c r="O313" i="1"/>
  <c r="O314" i="1"/>
  <c r="G90" i="1"/>
  <c r="P112" i="1"/>
  <c r="N120" i="1"/>
  <c r="S38" i="9" s="1"/>
  <c r="O152" i="1"/>
  <c r="Q421" i="1"/>
  <c r="Q271" i="1"/>
  <c r="Q274" i="1"/>
  <c r="Q261" i="1"/>
  <c r="P327" i="1"/>
  <c r="P324" i="1"/>
  <c r="P314" i="1"/>
  <c r="P428" i="1"/>
  <c r="P409" i="1" s="1"/>
  <c r="P414" i="1" s="1"/>
  <c r="P319" i="1"/>
  <c r="N116" i="1"/>
  <c r="Q268" i="1"/>
  <c r="P382" i="1"/>
  <c r="P383" i="1" s="1"/>
  <c r="P377" i="1"/>
  <c r="G546" i="1"/>
  <c r="G545" i="1"/>
  <c r="G570" i="1"/>
  <c r="T236" i="1"/>
  <c r="S237" i="1"/>
  <c r="Q417" i="1"/>
  <c r="P417" i="1"/>
  <c r="O142" i="1"/>
  <c r="O173" i="1"/>
  <c r="N203" i="1"/>
  <c r="N204" i="1"/>
  <c r="P203" i="1"/>
  <c r="P199" i="1"/>
  <c r="P358" i="1"/>
  <c r="P363" i="1"/>
  <c r="P364" i="1" s="1"/>
  <c r="R279" i="1"/>
  <c r="S283" i="1"/>
  <c r="O417" i="1"/>
  <c r="O209" i="1"/>
  <c r="Q230" i="1"/>
  <c r="N313" i="1"/>
  <c r="N318" i="1"/>
  <c r="N428" i="1"/>
  <c r="O429" i="1" s="1"/>
  <c r="N324" i="1"/>
  <c r="Q339" i="1"/>
  <c r="Q344" i="1"/>
  <c r="Q345" i="1" s="1"/>
  <c r="R392" i="1"/>
  <c r="R401" i="1" s="1"/>
  <c r="R395" i="1" s="1"/>
  <c r="S391" i="1"/>
  <c r="Q281" i="1"/>
  <c r="Q396" i="1"/>
  <c r="Q425" i="1"/>
  <c r="Q313" i="1"/>
  <c r="Q456" i="1"/>
  <c r="Q318" i="1"/>
  <c r="N475" i="1"/>
  <c r="N481" i="1"/>
  <c r="N480" i="1"/>
  <c r="N457" i="1"/>
  <c r="Q226" i="1"/>
  <c r="N323" i="1"/>
  <c r="S334" i="1"/>
  <c r="O862" i="1"/>
  <c r="O889" i="1" s="1"/>
  <c r="O544" i="1"/>
  <c r="O505" i="1"/>
  <c r="O506" i="1"/>
  <c r="N498" i="1"/>
  <c r="N862" i="1"/>
  <c r="N889" i="1" s="1"/>
  <c r="N544" i="1"/>
  <c r="N473" i="1"/>
  <c r="J592" i="1"/>
  <c r="J594" i="1" s="1"/>
  <c r="K545" i="1"/>
  <c r="J545" i="1"/>
  <c r="Q505" i="1"/>
  <c r="Q506" i="1"/>
  <c r="L592" i="1"/>
  <c r="L594" i="1" s="1"/>
  <c r="L545" i="1"/>
  <c r="L570" i="1"/>
  <c r="Q498" i="1"/>
  <c r="Q472" i="1"/>
  <c r="J570" i="1"/>
  <c r="K613" i="1"/>
  <c r="K642" i="1" s="1"/>
  <c r="W613" i="1"/>
  <c r="W642" i="1" s="1"/>
  <c r="M613" i="1"/>
  <c r="M642" i="1" s="1"/>
  <c r="Q860" i="1"/>
  <c r="Q877" i="1" s="1"/>
  <c r="Q544" i="1"/>
  <c r="Q493" i="1"/>
  <c r="Q494" i="1"/>
  <c r="U555" i="1"/>
  <c r="P860" i="1"/>
  <c r="P877" i="1" s="1"/>
  <c r="P494" i="1"/>
  <c r="P506" i="1"/>
  <c r="I546" i="1"/>
  <c r="H613" i="1"/>
  <c r="H642" i="1" s="1"/>
  <c r="T613" i="1"/>
  <c r="T642" i="1" s="1"/>
  <c r="K629" i="1"/>
  <c r="K594" i="1"/>
  <c r="K546" i="1"/>
  <c r="I570" i="1"/>
  <c r="Q481" i="1"/>
  <c r="H545" i="1"/>
  <c r="P493" i="1"/>
  <c r="P505" i="1"/>
  <c r="I545" i="1"/>
  <c r="Q549" i="1"/>
  <c r="U601" i="1"/>
  <c r="P544" i="1"/>
  <c r="O613" i="1"/>
  <c r="O642" i="1" s="1"/>
  <c r="G549" i="1"/>
  <c r="M506" i="1"/>
  <c r="H549" i="1"/>
  <c r="M629" i="1"/>
  <c r="I583" i="1"/>
  <c r="H592" i="1"/>
  <c r="H594" i="1" s="1"/>
  <c r="R613" i="1"/>
  <c r="R642" i="1" s="1"/>
  <c r="G801" i="1"/>
  <c r="G803" i="1" s="1"/>
  <c r="G672" i="1"/>
  <c r="G671" i="1" s="1"/>
  <c r="S613" i="1"/>
  <c r="S642" i="1" s="1"/>
  <c r="M770" i="1"/>
  <c r="I66" i="4" s="1"/>
  <c r="I67" i="4" s="1"/>
  <c r="M719" i="1"/>
  <c r="M757" i="1" s="1"/>
  <c r="M762" i="1" s="1"/>
  <c r="H769" i="1"/>
  <c r="K583" i="1"/>
  <c r="J771" i="1"/>
  <c r="I917" i="1"/>
  <c r="I902" i="1"/>
  <c r="P770" i="1"/>
  <c r="L66" i="4" s="1"/>
  <c r="L67" i="4" s="1"/>
  <c r="P719" i="1"/>
  <c r="P757" i="1" s="1"/>
  <c r="P762" i="1" s="1"/>
  <c r="P924" i="1"/>
  <c r="P928" i="1"/>
  <c r="I688" i="1"/>
  <c r="G770" i="1"/>
  <c r="G771" i="1" s="1"/>
  <c r="K873" i="1"/>
  <c r="O907" i="1"/>
  <c r="O906" i="1"/>
  <c r="J868" i="1"/>
  <c r="J881" i="1"/>
  <c r="J882" i="1"/>
  <c r="N688" i="1"/>
  <c r="Q771" i="1"/>
  <c r="L803" i="1"/>
  <c r="L799" i="1"/>
  <c r="M799" i="1"/>
  <c r="G868" i="1"/>
  <c r="G873" i="1"/>
  <c r="K770" i="1"/>
  <c r="G66" i="4" s="1"/>
  <c r="G67" i="4" s="1"/>
  <c r="K719" i="1"/>
  <c r="K757" i="1" s="1"/>
  <c r="K762" i="1" s="1"/>
  <c r="R810" i="1"/>
  <c r="N893" i="1"/>
  <c r="N894" i="1"/>
  <c r="Q903" i="1"/>
  <c r="R903" i="1" s="1"/>
  <c r="S903" i="1" s="1"/>
  <c r="T903" i="1" s="1"/>
  <c r="U903" i="1" s="1"/>
  <c r="V903" i="1" s="1"/>
  <c r="W903" i="1" s="1"/>
  <c r="X903" i="1" s="1"/>
  <c r="Q917" i="1"/>
  <c r="Q902" i="1"/>
  <c r="K803" i="1"/>
  <c r="K799" i="1"/>
  <c r="K881" i="1"/>
  <c r="L889" i="1"/>
  <c r="L890" i="1"/>
  <c r="N803" i="1"/>
  <c r="N799" i="1"/>
  <c r="O877" i="1"/>
  <c r="O878" i="1"/>
  <c r="M889" i="1"/>
  <c r="O803" i="1"/>
  <c r="O799" i="1"/>
  <c r="L902" i="1"/>
  <c r="I906" i="1"/>
  <c r="J917" i="1"/>
  <c r="J902" i="1"/>
  <c r="J906" i="1"/>
  <c r="P906" i="1"/>
  <c r="P917" i="1"/>
  <c r="R849" i="1"/>
  <c r="R834" i="1"/>
  <c r="R839" i="1"/>
  <c r="R824" i="1"/>
  <c r="R819" i="1"/>
  <c r="R844" i="1"/>
  <c r="R829" i="1"/>
  <c r="R814" i="1"/>
  <c r="O868" i="1"/>
  <c r="P878" i="1"/>
  <c r="O917" i="1"/>
  <c r="K868" i="1"/>
  <c r="L873" i="1"/>
  <c r="H874" i="1"/>
  <c r="H877" i="1"/>
  <c r="O881" i="1"/>
  <c r="H924" i="1"/>
  <c r="S798" i="1"/>
  <c r="S819" i="1" s="1"/>
  <c r="M868" i="1"/>
  <c r="N902" i="1"/>
  <c r="L906" i="1"/>
  <c r="J924" i="1"/>
  <c r="N868" i="1"/>
  <c r="O873" i="1"/>
  <c r="K877" i="1"/>
  <c r="H889" i="1"/>
  <c r="J893" i="1"/>
  <c r="O902" i="1"/>
  <c r="M906" i="1"/>
  <c r="K924" i="1"/>
  <c r="P799" i="1"/>
  <c r="P803" i="1"/>
  <c r="P873" i="1"/>
  <c r="L877" i="1"/>
  <c r="G881" i="1"/>
  <c r="I889" i="1"/>
  <c r="K893" i="1"/>
  <c r="K903" i="1"/>
  <c r="I907" i="1"/>
  <c r="L924" i="1"/>
  <c r="P868" i="1"/>
  <c r="M874" i="1"/>
  <c r="M877" i="1"/>
  <c r="H881" i="1"/>
  <c r="J889" i="1"/>
  <c r="L893" i="1"/>
  <c r="M924" i="1"/>
  <c r="I878" i="1"/>
  <c r="I881" i="1"/>
  <c r="P882" i="1"/>
  <c r="H894" i="1"/>
  <c r="H799" i="1"/>
  <c r="P874" i="1"/>
  <c r="L878" i="1"/>
  <c r="I890" i="1"/>
  <c r="K894" i="1"/>
  <c r="K902" i="1"/>
  <c r="V55" i="9" l="1"/>
  <c r="V63" i="9" s="1"/>
  <c r="S55" i="9"/>
  <c r="S63" i="9" s="1"/>
  <c r="T55" i="9"/>
  <c r="T63" i="9" s="1"/>
  <c r="U55" i="9"/>
  <c r="U63" i="9" s="1"/>
  <c r="R50" i="9"/>
  <c r="Q358" i="1"/>
  <c r="S50" i="9"/>
  <c r="T50" i="9"/>
  <c r="J50" i="9"/>
  <c r="Q377" i="1"/>
  <c r="Q50" i="9"/>
  <c r="P50" i="9"/>
  <c r="Q72" i="1"/>
  <c r="R339" i="1"/>
  <c r="U50" i="9"/>
  <c r="T53" i="9"/>
  <c r="T61" i="9" s="1"/>
  <c r="U53" i="9"/>
  <c r="U61" i="9" s="1"/>
  <c r="V53" i="9"/>
  <c r="V61" i="9" s="1"/>
  <c r="S53" i="9"/>
  <c r="S61" i="9" s="1"/>
  <c r="I50" i="9"/>
  <c r="I51" i="9" s="1"/>
  <c r="O50" i="9"/>
  <c r="T54" i="9"/>
  <c r="T62" i="9" s="1"/>
  <c r="U54" i="9"/>
  <c r="U62" i="9" s="1"/>
  <c r="S54" i="9"/>
  <c r="S62" i="9" s="1"/>
  <c r="V54" i="9"/>
  <c r="V62" i="9" s="1"/>
  <c r="V56" i="9"/>
  <c r="V64" i="9" s="1"/>
  <c r="U56" i="9"/>
  <c r="U64" i="9" s="1"/>
  <c r="S56" i="9"/>
  <c r="S64" i="9" s="1"/>
  <c r="T56" i="9"/>
  <c r="T64" i="9" s="1"/>
  <c r="E20" i="9"/>
  <c r="R332" i="1"/>
  <c r="R331" i="1" s="1"/>
  <c r="S345" i="1" s="1"/>
  <c r="S288" i="1"/>
  <c r="T289" i="1"/>
  <c r="T287" i="1" s="1"/>
  <c r="U289" i="1" s="1"/>
  <c r="R358" i="1"/>
  <c r="R351" i="1"/>
  <c r="Q130" i="1"/>
  <c r="Q244" i="1"/>
  <c r="Q250" i="1" s="1"/>
  <c r="Q251" i="1" s="1"/>
  <c r="Q187" i="1"/>
  <c r="Q193" i="1" s="1"/>
  <c r="Q194" i="1" s="1"/>
  <c r="R307" i="1"/>
  <c r="R306" i="1" s="1"/>
  <c r="R300" i="1" s="1"/>
  <c r="R264" i="1" s="1"/>
  <c r="R263" i="1" s="1"/>
  <c r="S568" i="1"/>
  <c r="S567" i="1" s="1"/>
  <c r="T372" i="1"/>
  <c r="U372" i="1" s="1"/>
  <c r="V374" i="1" s="1"/>
  <c r="AA41" i="9" s="1"/>
  <c r="S560" i="1"/>
  <c r="T560" i="1" s="1"/>
  <c r="S516" i="1"/>
  <c r="R917" i="1"/>
  <c r="S917" i="1" s="1"/>
  <c r="S373" i="1"/>
  <c r="T841" i="1"/>
  <c r="R881" i="1"/>
  <c r="S881" i="1" s="1"/>
  <c r="R893" i="1"/>
  <c r="S893" i="1" s="1"/>
  <c r="T893" i="1" s="1"/>
  <c r="R877" i="1"/>
  <c r="S877" i="1" s="1"/>
  <c r="T877" i="1" s="1"/>
  <c r="R889" i="1"/>
  <c r="S889" i="1" s="1"/>
  <c r="T889" i="1" s="1"/>
  <c r="R324" i="1"/>
  <c r="S324" i="1" s="1"/>
  <c r="T324" i="1" s="1"/>
  <c r="U219" i="1"/>
  <c r="B51" i="9"/>
  <c r="S46" i="1"/>
  <c r="T46" i="1" s="1"/>
  <c r="S41" i="1"/>
  <c r="W100" i="1"/>
  <c r="X100" i="1" s="1"/>
  <c r="T157" i="1"/>
  <c r="U157" i="1" s="1"/>
  <c r="V214" i="1"/>
  <c r="U105" i="1"/>
  <c r="V105" i="1" s="1"/>
  <c r="W105" i="1" s="1"/>
  <c r="S184" i="1"/>
  <c r="T183" i="1"/>
  <c r="T67" i="1"/>
  <c r="S232" i="1"/>
  <c r="S234" i="1" s="1"/>
  <c r="X39" i="9" s="1"/>
  <c r="S241" i="1"/>
  <c r="T240" i="1"/>
  <c r="T232" i="1" s="1"/>
  <c r="O520" i="1"/>
  <c r="Q911" i="1"/>
  <c r="Q910" i="1"/>
  <c r="L911" i="1"/>
  <c r="L910" i="1"/>
  <c r="M911" i="1"/>
  <c r="M910" i="1"/>
  <c r="K910" i="1"/>
  <c r="K911" i="1"/>
  <c r="N910" i="1"/>
  <c r="N911" i="1"/>
  <c r="H910" i="1"/>
  <c r="H911" i="1"/>
  <c r="J911" i="1"/>
  <c r="J910" i="1"/>
  <c r="O911" i="1"/>
  <c r="O910" i="1"/>
  <c r="P910" i="1"/>
  <c r="P911" i="1"/>
  <c r="I911" i="1"/>
  <c r="I910" i="1"/>
  <c r="O886" i="1"/>
  <c r="Q778" i="1"/>
  <c r="P519" i="1"/>
  <c r="R519" i="1" s="1"/>
  <c r="R518" i="1" s="1"/>
  <c r="Q200" i="1"/>
  <c r="J33" i="4"/>
  <c r="Q156" i="1"/>
  <c r="O137" i="1"/>
  <c r="L864" i="1"/>
  <c r="L948" i="1" s="1"/>
  <c r="L951" i="1" s="1"/>
  <c r="L952" i="1" s="1"/>
  <c r="I595" i="1"/>
  <c r="M156" i="1"/>
  <c r="I596" i="1"/>
  <c r="S534" i="1"/>
  <c r="S535" i="1" s="1"/>
  <c r="O200" i="1"/>
  <c r="H143" i="1"/>
  <c r="Q886" i="1"/>
  <c r="J886" i="1"/>
  <c r="Q204" i="1"/>
  <c r="M546" i="1"/>
  <c r="Q218" i="1"/>
  <c r="Q208" i="1"/>
  <c r="Q213" i="1"/>
  <c r="M570" i="1"/>
  <c r="M571" i="1" s="1"/>
  <c r="M161" i="1"/>
  <c r="E57" i="4"/>
  <c r="M151" i="1"/>
  <c r="H804" i="1"/>
  <c r="N778" i="1"/>
  <c r="M545" i="1"/>
  <c r="P151" i="1"/>
  <c r="O188" i="1"/>
  <c r="K32" i="4"/>
  <c r="L32" i="4"/>
  <c r="O218" i="1"/>
  <c r="H147" i="1"/>
  <c r="K661" i="1"/>
  <c r="K663" i="1" s="1"/>
  <c r="R177" i="1"/>
  <c r="W37" i="9" s="1"/>
  <c r="W54" i="9" s="1"/>
  <c r="W62" i="9" s="1"/>
  <c r="O204" i="1"/>
  <c r="O448" i="1"/>
  <c r="O450" i="1" s="1"/>
  <c r="E147" i="1"/>
  <c r="F143" i="1"/>
  <c r="P714" i="1"/>
  <c r="O213" i="1"/>
  <c r="L778" i="1"/>
  <c r="I71" i="4"/>
  <c r="I72" i="4" s="1"/>
  <c r="Q864" i="1"/>
  <c r="Q948" i="1" s="1"/>
  <c r="Q951" i="1" s="1"/>
  <c r="Q952" i="1" s="1"/>
  <c r="H714" i="1"/>
  <c r="H80" i="1"/>
  <c r="P147" i="1"/>
  <c r="P156" i="1"/>
  <c r="Q161" i="1"/>
  <c r="N188" i="1"/>
  <c r="F194" i="1"/>
  <c r="P143" i="1"/>
  <c r="Q151" i="1"/>
  <c r="P444" i="1"/>
  <c r="P446" i="1" s="1"/>
  <c r="Q444" i="1"/>
  <c r="P99" i="1"/>
  <c r="M33" i="4"/>
  <c r="B91" i="4"/>
  <c r="O20" i="4"/>
  <c r="O21" i="4" s="1"/>
  <c r="H572" i="1"/>
  <c r="R234" i="1"/>
  <c r="W39" i="9" s="1"/>
  <c r="W56" i="9" s="1"/>
  <c r="W64" i="9" s="1"/>
  <c r="O80" i="1"/>
  <c r="H576" i="1"/>
  <c r="H654" i="1"/>
  <c r="H659" i="1" s="1"/>
  <c r="H666" i="1" s="1"/>
  <c r="G785" i="1" s="1"/>
  <c r="Q245" i="1"/>
  <c r="M45" i="1"/>
  <c r="P104" i="1"/>
  <c r="P436" i="1"/>
  <c r="Q437" i="1" s="1"/>
  <c r="M35" i="1"/>
  <c r="I714" i="1"/>
  <c r="P94" i="1"/>
  <c r="N23" i="1"/>
  <c r="M40" i="1"/>
  <c r="M23" i="1"/>
  <c r="M31" i="1"/>
  <c r="E80" i="1"/>
  <c r="Q104" i="1"/>
  <c r="L714" i="1"/>
  <c r="L80" i="1"/>
  <c r="J804" i="1"/>
  <c r="L771" i="1"/>
  <c r="L781" i="1" s="1"/>
  <c r="I804" i="1"/>
  <c r="M194" i="1"/>
  <c r="G80" i="1"/>
  <c r="K654" i="1"/>
  <c r="K659" i="1" s="1"/>
  <c r="K666" i="1" s="1"/>
  <c r="K785" i="1" s="1"/>
  <c r="I870" i="1"/>
  <c r="H571" i="1"/>
  <c r="O714" i="1"/>
  <c r="K714" i="1"/>
  <c r="I778" i="1"/>
  <c r="I808" i="1"/>
  <c r="Q714" i="1"/>
  <c r="M32" i="4"/>
  <c r="M714" i="1"/>
  <c r="V846" i="1"/>
  <c r="U846" i="1"/>
  <c r="P778" i="1"/>
  <c r="J714" i="1"/>
  <c r="F74" i="4"/>
  <c r="F51" i="4" s="1"/>
  <c r="N714" i="1"/>
  <c r="K886" i="1"/>
  <c r="I869" i="1"/>
  <c r="J778" i="1"/>
  <c r="I771" i="1"/>
  <c r="I772" i="1" s="1"/>
  <c r="S354" i="1"/>
  <c r="M80" i="1"/>
  <c r="Q869" i="1"/>
  <c r="G714" i="1"/>
  <c r="H661" i="1"/>
  <c r="H663" i="1" s="1"/>
  <c r="M74" i="4"/>
  <c r="M51" i="4" s="1"/>
  <c r="K778" i="1"/>
  <c r="O781" i="1"/>
  <c r="O782" i="1" s="1"/>
  <c r="H778" i="1"/>
  <c r="J885" i="1"/>
  <c r="N151" i="1"/>
  <c r="F188" i="1"/>
  <c r="Q143" i="1"/>
  <c r="K71" i="4"/>
  <c r="K72" i="4" s="1"/>
  <c r="Q925" i="1"/>
  <c r="M59" i="4"/>
  <c r="N771" i="1"/>
  <c r="N781" i="1" s="1"/>
  <c r="N143" i="1"/>
  <c r="N156" i="1"/>
  <c r="N161" i="1"/>
  <c r="P469" i="1"/>
  <c r="N444" i="1"/>
  <c r="N445" i="1" s="1"/>
  <c r="K194" i="1"/>
  <c r="S810" i="1"/>
  <c r="S811" i="1" s="1"/>
  <c r="K572" i="1"/>
  <c r="K578" i="1"/>
  <c r="K625" i="1" s="1"/>
  <c r="I620" i="1"/>
  <c r="G779" i="1"/>
  <c r="S844" i="1"/>
  <c r="S814" i="1"/>
  <c r="P502" i="1"/>
  <c r="F57" i="4"/>
  <c r="G147" i="1"/>
  <c r="P468" i="1"/>
  <c r="K80" i="1"/>
  <c r="O925" i="1"/>
  <c r="K59" i="4"/>
  <c r="O251" i="1"/>
  <c r="K188" i="1"/>
  <c r="P80" i="1"/>
  <c r="F68" i="4"/>
  <c r="E151" i="1"/>
  <c r="M886" i="1"/>
  <c r="U826" i="1"/>
  <c r="M804" i="1"/>
  <c r="J68" i="4"/>
  <c r="J74" i="4"/>
  <c r="J51" i="4" s="1"/>
  <c r="E68" i="4"/>
  <c r="E74" i="4"/>
  <c r="E75" i="4" s="1"/>
  <c r="H74" i="4"/>
  <c r="H75" i="4" s="1"/>
  <c r="H68" i="4"/>
  <c r="P507" i="1"/>
  <c r="N80" i="1"/>
  <c r="J31" i="1"/>
  <c r="T831" i="1"/>
  <c r="I925" i="1"/>
  <c r="E59" i="4"/>
  <c r="M771" i="1"/>
  <c r="M781" i="1" s="1"/>
  <c r="Q90" i="1"/>
  <c r="S68" i="1"/>
  <c r="N194" i="1"/>
  <c r="N925" i="1"/>
  <c r="J59" i="4"/>
  <c r="T836" i="1"/>
  <c r="Q86" i="1"/>
  <c r="Q99" i="1"/>
  <c r="Q94" i="1"/>
  <c r="M143" i="1"/>
  <c r="M885" i="1"/>
  <c r="P426" i="1"/>
  <c r="T798" i="1"/>
  <c r="T834" i="1" s="1"/>
  <c r="I864" i="1"/>
  <c r="I948" i="1" s="1"/>
  <c r="I951" i="1" s="1"/>
  <c r="I952" i="1" s="1"/>
  <c r="P771" i="1"/>
  <c r="P772" i="1" s="1"/>
  <c r="K771" i="1"/>
  <c r="K781" i="1" s="1"/>
  <c r="R377" i="1"/>
  <c r="R370" i="1"/>
  <c r="R20" i="4"/>
  <c r="R21" i="4" s="1"/>
  <c r="S20" i="4"/>
  <c r="S21" i="4" s="1"/>
  <c r="T20" i="4"/>
  <c r="T21" i="4" s="1"/>
  <c r="Q20" i="4"/>
  <c r="Q21" i="4" s="1"/>
  <c r="P20" i="4"/>
  <c r="P21" i="4" s="1"/>
  <c r="L68" i="4"/>
  <c r="L74" i="4"/>
  <c r="G781" i="1"/>
  <c r="G773" i="1"/>
  <c r="G772" i="1"/>
  <c r="J654" i="1"/>
  <c r="J578" i="1"/>
  <c r="J661" i="1"/>
  <c r="J572" i="1"/>
  <c r="J576" i="1"/>
  <c r="J571" i="1"/>
  <c r="Q409" i="1"/>
  <c r="Q414" i="1" s="1"/>
  <c r="Q413" i="1"/>
  <c r="O440" i="1"/>
  <c r="P441" i="1" s="1"/>
  <c r="O40" i="1"/>
  <c r="O27" i="1"/>
  <c r="O35" i="1"/>
  <c r="O23" i="1"/>
  <c r="Q450" i="1"/>
  <c r="K925" i="1"/>
  <c r="G59" i="4"/>
  <c r="J870" i="1"/>
  <c r="J864" i="1"/>
  <c r="J869" i="1"/>
  <c r="P925" i="1"/>
  <c r="L59" i="4"/>
  <c r="P570" i="1"/>
  <c r="P546" i="1"/>
  <c r="P545" i="1"/>
  <c r="P592" i="1"/>
  <c r="P594" i="1" s="1"/>
  <c r="N592" i="1"/>
  <c r="N594" i="1" s="1"/>
  <c r="N545" i="1"/>
  <c r="N570" i="1"/>
  <c r="N546" i="1"/>
  <c r="P418" i="1"/>
  <c r="N436" i="1"/>
  <c r="N104" i="1"/>
  <c r="N90" i="1"/>
  <c r="N99" i="1"/>
  <c r="N94" i="1"/>
  <c r="N86" i="1"/>
  <c r="S127" i="1"/>
  <c r="T126" i="1"/>
  <c r="J27" i="1"/>
  <c r="J35" i="1"/>
  <c r="J23" i="1"/>
  <c r="F80" i="1"/>
  <c r="P442" i="1"/>
  <c r="K804" i="1"/>
  <c r="G56" i="4"/>
  <c r="H625" i="1"/>
  <c r="H580" i="1"/>
  <c r="H586" i="1"/>
  <c r="H584" i="1"/>
  <c r="O436" i="1"/>
  <c r="O104" i="1"/>
  <c r="O90" i="1"/>
  <c r="O99" i="1"/>
  <c r="O86" i="1"/>
  <c r="H27" i="1"/>
  <c r="H35" i="1"/>
  <c r="H23" i="1"/>
  <c r="H885" i="1"/>
  <c r="H886" i="1"/>
  <c r="N804" i="1"/>
  <c r="J56" i="4"/>
  <c r="G74" i="4"/>
  <c r="G68" i="4"/>
  <c r="Q772" i="1"/>
  <c r="Q781" i="1"/>
  <c r="I654" i="1"/>
  <c r="I578" i="1"/>
  <c r="I661" i="1"/>
  <c r="I572" i="1"/>
  <c r="I571" i="1"/>
  <c r="I576" i="1"/>
  <c r="T334" i="1"/>
  <c r="S335" i="1"/>
  <c r="N532" i="1"/>
  <c r="N476" i="1"/>
  <c r="N477" i="1"/>
  <c r="J35" i="4"/>
  <c r="W820" i="1"/>
  <c r="W815" i="1"/>
  <c r="O469" i="1"/>
  <c r="O502" i="1"/>
  <c r="O468" i="1"/>
  <c r="O487" i="1"/>
  <c r="K27" i="4"/>
  <c r="I80" i="1"/>
  <c r="P137" i="1"/>
  <c r="P869" i="1"/>
  <c r="P870" i="1"/>
  <c r="P864" i="1"/>
  <c r="M864" i="1"/>
  <c r="M869" i="1"/>
  <c r="M870" i="1"/>
  <c r="U816" i="1"/>
  <c r="O804" i="1"/>
  <c r="K56" i="4"/>
  <c r="H771" i="1"/>
  <c r="D65" i="4"/>
  <c r="D67" i="4" s="1"/>
  <c r="L654" i="1"/>
  <c r="L572" i="1"/>
  <c r="L661" i="1"/>
  <c r="L576" i="1"/>
  <c r="L578" i="1"/>
  <c r="L571" i="1"/>
  <c r="L193" i="1"/>
  <c r="L194" i="1" s="1"/>
  <c r="L188" i="1"/>
  <c r="M188" i="1"/>
  <c r="P245" i="1"/>
  <c r="P250" i="1"/>
  <c r="P251" i="1" s="1"/>
  <c r="I193" i="1"/>
  <c r="I194" i="1" s="1"/>
  <c r="I188" i="1"/>
  <c r="P477" i="1"/>
  <c r="P532" i="1"/>
  <c r="P476" i="1"/>
  <c r="L35" i="4"/>
  <c r="O45" i="1"/>
  <c r="P131" i="1"/>
  <c r="V601" i="1"/>
  <c r="K609" i="1"/>
  <c r="K595" i="1"/>
  <c r="K620" i="1"/>
  <c r="K596" i="1"/>
  <c r="M620" i="1"/>
  <c r="M936" i="1" s="1"/>
  <c r="M596" i="1"/>
  <c r="M609" i="1"/>
  <c r="M595" i="1"/>
  <c r="Q458" i="1"/>
  <c r="Q457" i="1"/>
  <c r="S392" i="1"/>
  <c r="T391" i="1"/>
  <c r="S284" i="1"/>
  <c r="S279" i="1"/>
  <c r="T283" i="1"/>
  <c r="T237" i="1"/>
  <c r="U236" i="1"/>
  <c r="V238" i="1" s="1"/>
  <c r="P531" i="1"/>
  <c r="P525" i="1"/>
  <c r="P512" i="1"/>
  <c r="O94" i="1"/>
  <c r="G188" i="1"/>
  <c r="G193" i="1"/>
  <c r="G194" i="1" s="1"/>
  <c r="P188" i="1"/>
  <c r="P193" i="1"/>
  <c r="P194" i="1" s="1"/>
  <c r="J80" i="1"/>
  <c r="I68" i="4"/>
  <c r="K870" i="1"/>
  <c r="K864" i="1"/>
  <c r="K869" i="1"/>
  <c r="L886" i="1"/>
  <c r="L885" i="1"/>
  <c r="G864" i="1"/>
  <c r="G865" i="1" s="1"/>
  <c r="G869" i="1"/>
  <c r="I611" i="1"/>
  <c r="L620" i="1"/>
  <c r="L936" i="1" s="1"/>
  <c r="L596" i="1"/>
  <c r="L609" i="1"/>
  <c r="L808" i="1" s="1"/>
  <c r="L595" i="1"/>
  <c r="R389" i="1"/>
  <c r="R396" i="1"/>
  <c r="R280" i="1"/>
  <c r="R281" i="1"/>
  <c r="G143" i="1"/>
  <c r="G151" i="1"/>
  <c r="N421" i="1"/>
  <c r="N468" i="1"/>
  <c r="N469" i="1"/>
  <c r="N502" i="1"/>
  <c r="N487" i="1"/>
  <c r="J27" i="4"/>
  <c r="Q476" i="1"/>
  <c r="Q532" i="1"/>
  <c r="Q477" i="1"/>
  <c r="M35" i="4"/>
  <c r="O409" i="1"/>
  <c r="P410" i="1" s="1"/>
  <c r="O413" i="1"/>
  <c r="P422" i="1"/>
  <c r="Q592" i="1"/>
  <c r="Q594" i="1" s="1"/>
  <c r="Q570" i="1"/>
  <c r="Q576" i="1" s="1"/>
  <c r="Q546" i="1"/>
  <c r="Q545" i="1"/>
  <c r="O476" i="1"/>
  <c r="O477" i="1"/>
  <c r="O532" i="1"/>
  <c r="K35" i="4"/>
  <c r="I151" i="1"/>
  <c r="I143" i="1"/>
  <c r="I147" i="1"/>
  <c r="J143" i="1"/>
  <c r="Q440" i="1"/>
  <c r="Q40" i="1"/>
  <c r="Q35" i="1"/>
  <c r="Q27" i="1"/>
  <c r="Q23" i="1"/>
  <c r="I23" i="1"/>
  <c r="H31" i="1"/>
  <c r="S849" i="1"/>
  <c r="S834" i="1"/>
  <c r="S839" i="1"/>
  <c r="S824" i="1"/>
  <c r="S799" i="1"/>
  <c r="S748" i="1" s="1"/>
  <c r="S698" i="1"/>
  <c r="S697" i="1" s="1"/>
  <c r="N886" i="1"/>
  <c r="N885" i="1"/>
  <c r="H609" i="1"/>
  <c r="I610" i="1" s="1"/>
  <c r="H595" i="1"/>
  <c r="H620" i="1"/>
  <c r="H936" i="1" s="1"/>
  <c r="H596" i="1"/>
  <c r="P430" i="1"/>
  <c r="P429" i="1"/>
  <c r="L925" i="1"/>
  <c r="H59" i="4"/>
  <c r="H864" i="1"/>
  <c r="H925" i="1"/>
  <c r="D59" i="4"/>
  <c r="O864" i="1"/>
  <c r="O869" i="1"/>
  <c r="O870" i="1"/>
  <c r="L870" i="1"/>
  <c r="S829" i="1"/>
  <c r="R811" i="1"/>
  <c r="R551" i="1"/>
  <c r="W846" i="1"/>
  <c r="R496" i="1"/>
  <c r="U353" i="1"/>
  <c r="V355" i="1" s="1"/>
  <c r="AA42" i="9" s="1"/>
  <c r="T354" i="1"/>
  <c r="Q429" i="1"/>
  <c r="O425" i="1"/>
  <c r="R60" i="1"/>
  <c r="R61" i="1"/>
  <c r="P86" i="1"/>
  <c r="O31" i="1"/>
  <c r="M925" i="1"/>
  <c r="I59" i="4"/>
  <c r="Q870" i="1"/>
  <c r="G572" i="1"/>
  <c r="G576" i="1"/>
  <c r="G578" i="1"/>
  <c r="G571" i="1"/>
  <c r="O151" i="1"/>
  <c r="Q80" i="1"/>
  <c r="G35" i="1"/>
  <c r="G27" i="1"/>
  <c r="G23" i="1"/>
  <c r="Q469" i="1"/>
  <c r="Q502" i="1"/>
  <c r="Q468" i="1"/>
  <c r="Q487" i="1"/>
  <c r="Q464" i="1" s="1"/>
  <c r="M27" i="4"/>
  <c r="U821" i="1"/>
  <c r="J781" i="1"/>
  <c r="J772" i="1"/>
  <c r="K571" i="1"/>
  <c r="J609" i="1"/>
  <c r="J595" i="1"/>
  <c r="J620" i="1"/>
  <c r="J596" i="1"/>
  <c r="U538" i="1"/>
  <c r="T534" i="1"/>
  <c r="N429" i="1"/>
  <c r="O458" i="1"/>
  <c r="O457" i="1"/>
  <c r="N409" i="1"/>
  <c r="N430" i="1" s="1"/>
  <c r="Q438" i="1"/>
  <c r="H193" i="1"/>
  <c r="H194" i="1" s="1"/>
  <c r="H188" i="1"/>
  <c r="Q131" i="1"/>
  <c r="Q136" i="1"/>
  <c r="Q137" i="1" s="1"/>
  <c r="L151" i="1"/>
  <c r="L143" i="1"/>
  <c r="S123" i="1"/>
  <c r="S118" i="1"/>
  <c r="T122" i="1"/>
  <c r="N441" i="1"/>
  <c r="N442" i="1"/>
  <c r="P448" i="1"/>
  <c r="Q449" i="1" s="1"/>
  <c r="P218" i="1"/>
  <c r="P213" i="1"/>
  <c r="P208" i="1"/>
  <c r="P200" i="1"/>
  <c r="P204" i="1"/>
  <c r="O444" i="1"/>
  <c r="O147" i="1"/>
  <c r="O143" i="1"/>
  <c r="O161" i="1"/>
  <c r="O156" i="1"/>
  <c r="J193" i="1"/>
  <c r="J194" i="1" s="1"/>
  <c r="J188" i="1"/>
  <c r="F85" i="4"/>
  <c r="E90" i="4"/>
  <c r="E86" i="4"/>
  <c r="R120" i="1"/>
  <c r="W38" i="9" s="1"/>
  <c r="W55" i="9" s="1"/>
  <c r="W63" i="9" s="1"/>
  <c r="R119" i="1"/>
  <c r="G31" i="1"/>
  <c r="N864" i="1"/>
  <c r="N869" i="1"/>
  <c r="N870" i="1"/>
  <c r="I885" i="1"/>
  <c r="I886" i="1"/>
  <c r="P804" i="1"/>
  <c r="Q804" i="1"/>
  <c r="L56" i="4"/>
  <c r="J925" i="1"/>
  <c r="F59" i="4"/>
  <c r="P886" i="1"/>
  <c r="P885" i="1"/>
  <c r="H870" i="1"/>
  <c r="L804" i="1"/>
  <c r="H56" i="4"/>
  <c r="V555" i="1"/>
  <c r="O570" i="1"/>
  <c r="O546" i="1"/>
  <c r="O592" i="1"/>
  <c r="O594" i="1" s="1"/>
  <c r="O545" i="1"/>
  <c r="P487" i="1"/>
  <c r="Q31" i="1"/>
  <c r="O194" i="1"/>
  <c r="J51" i="9" l="1"/>
  <c r="J52" i="9" s="1"/>
  <c r="Q188" i="1"/>
  <c r="R80" i="1"/>
  <c r="W36" i="9"/>
  <c r="X56" i="9"/>
  <c r="X64" i="9" s="1"/>
  <c r="AA58" i="9"/>
  <c r="AA59" i="9"/>
  <c r="R350" i="1"/>
  <c r="AD350" i="1" s="1"/>
  <c r="T373" i="1"/>
  <c r="R388" i="1"/>
  <c r="T568" i="1"/>
  <c r="T567" i="1" s="1"/>
  <c r="R369" i="1"/>
  <c r="S383" i="1" s="1"/>
  <c r="U560" i="1"/>
  <c r="V560" i="1" s="1"/>
  <c r="S559" i="1"/>
  <c r="S532" i="1"/>
  <c r="T532" i="1" s="1"/>
  <c r="T917" i="1"/>
  <c r="U917" i="1" s="1"/>
  <c r="V917" i="1" s="1"/>
  <c r="W917" i="1" s="1"/>
  <c r="X917" i="1" s="1"/>
  <c r="S519" i="1"/>
  <c r="T519" i="1" s="1"/>
  <c r="T881" i="1"/>
  <c r="U881" i="1" s="1"/>
  <c r="V881" i="1" s="1"/>
  <c r="T516" i="1"/>
  <c r="U516" i="1" s="1"/>
  <c r="V516" i="1" s="1"/>
  <c r="W516" i="1" s="1"/>
  <c r="X516" i="1" s="1"/>
  <c r="U893" i="1"/>
  <c r="V893" i="1" s="1"/>
  <c r="U889" i="1"/>
  <c r="V889" i="1" s="1"/>
  <c r="W889" i="1" s="1"/>
  <c r="X889" i="1" s="1"/>
  <c r="U877" i="1"/>
  <c r="X105" i="1"/>
  <c r="W214" i="1"/>
  <c r="X214" i="1" s="1"/>
  <c r="T41" i="1"/>
  <c r="U41" i="1" s="1"/>
  <c r="R487" i="1"/>
  <c r="R488" i="1" s="1"/>
  <c r="U46" i="1"/>
  <c r="V46" i="1" s="1"/>
  <c r="W46" i="1" s="1"/>
  <c r="X46" i="1" s="1"/>
  <c r="V219" i="1"/>
  <c r="W219" i="1" s="1"/>
  <c r="X219" i="1" s="1"/>
  <c r="V157" i="1"/>
  <c r="W157" i="1" s="1"/>
  <c r="X157" i="1" s="1"/>
  <c r="S233" i="1"/>
  <c r="T241" i="1"/>
  <c r="U240" i="1"/>
  <c r="V240" i="1" s="1"/>
  <c r="T184" i="1"/>
  <c r="U183" i="1"/>
  <c r="U67" i="1"/>
  <c r="T68" i="1"/>
  <c r="H937" i="1"/>
  <c r="H938" i="1" s="1"/>
  <c r="H939" i="1" s="1"/>
  <c r="K941" i="1"/>
  <c r="K943" i="1" s="1"/>
  <c r="K944" i="1" s="1"/>
  <c r="K948" i="1"/>
  <c r="K951" i="1" s="1"/>
  <c r="K952" i="1" s="1"/>
  <c r="H941" i="1"/>
  <c r="H943" i="1" s="1"/>
  <c r="H944" i="1" s="1"/>
  <c r="H948" i="1"/>
  <c r="H951" i="1" s="1"/>
  <c r="H952" i="1" s="1"/>
  <c r="N941" i="1"/>
  <c r="N943" i="1" s="1"/>
  <c r="N944" i="1" s="1"/>
  <c r="N948" i="1"/>
  <c r="N951" i="1" s="1"/>
  <c r="N952" i="1" s="1"/>
  <c r="M941" i="1"/>
  <c r="M943" i="1" s="1"/>
  <c r="M944" i="1" s="1"/>
  <c r="M948" i="1"/>
  <c r="M951" i="1" s="1"/>
  <c r="M952" i="1" s="1"/>
  <c r="P941" i="1"/>
  <c r="P943" i="1" s="1"/>
  <c r="P944" i="1" s="1"/>
  <c r="P948" i="1"/>
  <c r="P951" i="1" s="1"/>
  <c r="P952" i="1" s="1"/>
  <c r="J941" i="1"/>
  <c r="J943" i="1" s="1"/>
  <c r="J944" i="1" s="1"/>
  <c r="J948" i="1"/>
  <c r="J951" i="1" s="1"/>
  <c r="J952" i="1" s="1"/>
  <c r="O941" i="1"/>
  <c r="O943" i="1" s="1"/>
  <c r="O944" i="1" s="1"/>
  <c r="O948" i="1"/>
  <c r="O951" i="1" s="1"/>
  <c r="O952" i="1" s="1"/>
  <c r="K806" i="1"/>
  <c r="K936" i="1"/>
  <c r="P445" i="1"/>
  <c r="I622" i="1"/>
  <c r="I936" i="1"/>
  <c r="J773" i="1"/>
  <c r="J936" i="1"/>
  <c r="I865" i="1"/>
  <c r="I941" i="1"/>
  <c r="I943" i="1" s="1"/>
  <c r="I944" i="1" s="1"/>
  <c r="L865" i="1"/>
  <c r="L941" i="1"/>
  <c r="L943" i="1" s="1"/>
  <c r="L944" i="1" s="1"/>
  <c r="Q865" i="1"/>
  <c r="Q941" i="1"/>
  <c r="Q943" i="1" s="1"/>
  <c r="Q944" i="1" s="1"/>
  <c r="G787" i="1"/>
  <c r="H785" i="1"/>
  <c r="N446" i="1"/>
  <c r="L866" i="1"/>
  <c r="M576" i="1"/>
  <c r="O449" i="1"/>
  <c r="M578" i="1"/>
  <c r="M586" i="1" s="1"/>
  <c r="M654" i="1"/>
  <c r="M659" i="1" s="1"/>
  <c r="M661" i="1"/>
  <c r="M662" i="1" s="1"/>
  <c r="Q445" i="1"/>
  <c r="M572" i="1"/>
  <c r="U851" i="1"/>
  <c r="K665" i="1"/>
  <c r="K647" i="1" s="1"/>
  <c r="K641" i="1" s="1"/>
  <c r="K649" i="1" s="1"/>
  <c r="K662" i="1"/>
  <c r="O793" i="1"/>
  <c r="K82" i="4" s="1"/>
  <c r="P438" i="1"/>
  <c r="H656" i="1"/>
  <c r="Q446" i="1"/>
  <c r="H655" i="1"/>
  <c r="F75" i="4"/>
  <c r="M75" i="4"/>
  <c r="I74" i="4"/>
  <c r="I75" i="4" s="1"/>
  <c r="L772" i="1"/>
  <c r="N772" i="1"/>
  <c r="I806" i="1"/>
  <c r="Q460" i="1"/>
  <c r="Q462" i="1" s="1"/>
  <c r="P437" i="1"/>
  <c r="L773" i="1"/>
  <c r="E43" i="4"/>
  <c r="E69" i="4" s="1"/>
  <c r="T288" i="1"/>
  <c r="U287" i="1"/>
  <c r="V289" i="1" s="1"/>
  <c r="K655" i="1"/>
  <c r="T810" i="1"/>
  <c r="T551" i="1" s="1"/>
  <c r="V823" i="1"/>
  <c r="W823" i="1" s="1"/>
  <c r="K656" i="1"/>
  <c r="K772" i="1"/>
  <c r="U841" i="1"/>
  <c r="M772" i="1"/>
  <c r="I781" i="1"/>
  <c r="K74" i="4"/>
  <c r="K51" i="4" s="1"/>
  <c r="K54" i="4" s="1"/>
  <c r="E51" i="4"/>
  <c r="E14" i="4" s="1"/>
  <c r="K586" i="1"/>
  <c r="H665" i="1"/>
  <c r="H647" i="1" s="1"/>
  <c r="H641" i="1" s="1"/>
  <c r="H649" i="1" s="1"/>
  <c r="H662" i="1"/>
  <c r="P781" i="1"/>
  <c r="P793" i="1" s="1"/>
  <c r="L82" i="4" s="1"/>
  <c r="J75" i="4"/>
  <c r="K584" i="1"/>
  <c r="M18" i="4"/>
  <c r="M15" i="4"/>
  <c r="S25" i="1"/>
  <c r="S471" i="1" s="1"/>
  <c r="K579" i="1"/>
  <c r="S551" i="1"/>
  <c r="S553" i="1" s="1"/>
  <c r="U798" i="1"/>
  <c r="U819" i="1" s="1"/>
  <c r="N422" i="1"/>
  <c r="K580" i="1"/>
  <c r="K18" i="4"/>
  <c r="K15" i="4"/>
  <c r="H51" i="4"/>
  <c r="H53" i="4" s="1"/>
  <c r="I773" i="1"/>
  <c r="I779" i="1"/>
  <c r="E18" i="4"/>
  <c r="E15" i="4"/>
  <c r="P460" i="1"/>
  <c r="K773" i="1"/>
  <c r="U836" i="1"/>
  <c r="T824" i="1"/>
  <c r="T819" i="1"/>
  <c r="T814" i="1"/>
  <c r="T849" i="1"/>
  <c r="T829" i="1"/>
  <c r="T844" i="1"/>
  <c r="O426" i="1"/>
  <c r="J15" i="4"/>
  <c r="J18" i="4"/>
  <c r="O414" i="1"/>
  <c r="M773" i="1"/>
  <c r="T698" i="1"/>
  <c r="T697" i="1" s="1"/>
  <c r="T839" i="1"/>
  <c r="T799" i="1"/>
  <c r="T748" i="1" s="1"/>
  <c r="T791" i="1" s="1"/>
  <c r="V851" i="1"/>
  <c r="W848" i="1"/>
  <c r="U831" i="1"/>
  <c r="L806" i="1"/>
  <c r="N531" i="1"/>
  <c r="N525" i="1"/>
  <c r="N512" i="1"/>
  <c r="N410" i="1"/>
  <c r="N507" i="1"/>
  <c r="N414" i="1"/>
  <c r="N418" i="1"/>
  <c r="R553" i="1"/>
  <c r="R548" i="1"/>
  <c r="R552" i="1"/>
  <c r="K57" i="4"/>
  <c r="L793" i="1"/>
  <c r="H82" i="4" s="1"/>
  <c r="L782" i="1"/>
  <c r="Q441" i="1"/>
  <c r="Q442" i="1"/>
  <c r="L584" i="1"/>
  <c r="L586" i="1"/>
  <c r="L579" i="1"/>
  <c r="L625" i="1"/>
  <c r="L580" i="1"/>
  <c r="I662" i="1"/>
  <c r="I663" i="1"/>
  <c r="L15" i="4"/>
  <c r="L18" i="4"/>
  <c r="N488" i="1"/>
  <c r="N489" i="1"/>
  <c r="J793" i="1"/>
  <c r="F82" i="4" s="1"/>
  <c r="J782" i="1"/>
  <c r="H865" i="1"/>
  <c r="H866" i="1"/>
  <c r="G586" i="1"/>
  <c r="G587" i="1" s="1"/>
  <c r="G579" i="1"/>
  <c r="G580" i="1"/>
  <c r="G584" i="1"/>
  <c r="H18" i="4"/>
  <c r="H15" i="4"/>
  <c r="W601" i="1"/>
  <c r="O489" i="1"/>
  <c r="O488" i="1"/>
  <c r="J57" i="4"/>
  <c r="P576" i="1"/>
  <c r="P578" i="1"/>
  <c r="P661" i="1"/>
  <c r="P654" i="1"/>
  <c r="P572" i="1"/>
  <c r="P571" i="1"/>
  <c r="O596" i="1"/>
  <c r="O620" i="1"/>
  <c r="O936" i="1" s="1"/>
  <c r="O609" i="1"/>
  <c r="O595" i="1"/>
  <c r="P449" i="1"/>
  <c r="P450" i="1"/>
  <c r="S791" i="1"/>
  <c r="N464" i="1"/>
  <c r="O464" i="1"/>
  <c r="I625" i="1"/>
  <c r="I580" i="1"/>
  <c r="I586" i="1"/>
  <c r="I587" i="1" s="1"/>
  <c r="I579" i="1"/>
  <c r="I584" i="1"/>
  <c r="O438" i="1"/>
  <c r="O437" i="1"/>
  <c r="O460" i="1"/>
  <c r="U126" i="1"/>
  <c r="T127" i="1"/>
  <c r="D18" i="4"/>
  <c r="D15" i="4"/>
  <c r="M54" i="4"/>
  <c r="M53" i="4"/>
  <c r="M14" i="4"/>
  <c r="M782" i="1"/>
  <c r="M793" i="1"/>
  <c r="I82" i="4" s="1"/>
  <c r="K793" i="1"/>
  <c r="G82" i="4" s="1"/>
  <c r="K787" i="1"/>
  <c r="K782" i="1"/>
  <c r="T335" i="1"/>
  <c r="U334" i="1"/>
  <c r="V336" i="1" s="1"/>
  <c r="AA40" i="9" s="1"/>
  <c r="X846" i="1"/>
  <c r="J36" i="4"/>
  <c r="J37" i="4"/>
  <c r="I18" i="4"/>
  <c r="I15" i="4"/>
  <c r="L662" i="1"/>
  <c r="L663" i="1"/>
  <c r="I655" i="1"/>
  <c r="I656" i="1"/>
  <c r="I659" i="1"/>
  <c r="I666" i="1" s="1"/>
  <c r="O661" i="1"/>
  <c r="O576" i="1"/>
  <c r="O654" i="1"/>
  <c r="O572" i="1"/>
  <c r="O571" i="1"/>
  <c r="O578" i="1"/>
  <c r="U354" i="1"/>
  <c r="V353" i="1"/>
  <c r="W355" i="1" s="1"/>
  <c r="AB42" i="9" s="1"/>
  <c r="AB59" i="9" s="1"/>
  <c r="V372" i="1"/>
  <c r="W374" i="1" s="1"/>
  <c r="AB41" i="9" s="1"/>
  <c r="AB58" i="9" s="1"/>
  <c r="U373" i="1"/>
  <c r="O531" i="1"/>
  <c r="O525" i="1"/>
  <c r="O512" i="1"/>
  <c r="O410" i="1"/>
  <c r="O422" i="1"/>
  <c r="O507" i="1"/>
  <c r="O430" i="1"/>
  <c r="O418" i="1"/>
  <c r="M611" i="1"/>
  <c r="M610" i="1"/>
  <c r="M808" i="1"/>
  <c r="N654" i="1"/>
  <c r="N661" i="1"/>
  <c r="N576" i="1"/>
  <c r="N578" i="1"/>
  <c r="N572" i="1"/>
  <c r="N571" i="1"/>
  <c r="J866" i="1"/>
  <c r="J865" i="1"/>
  <c r="H611" i="1"/>
  <c r="H610" i="1"/>
  <c r="H808" i="1"/>
  <c r="K611" i="1"/>
  <c r="K610" i="1"/>
  <c r="L655" i="1"/>
  <c r="L656" i="1"/>
  <c r="L659" i="1"/>
  <c r="X820" i="1"/>
  <c r="X815" i="1"/>
  <c r="Q531" i="1"/>
  <c r="Q525" i="1"/>
  <c r="Q512" i="1"/>
  <c r="Q410" i="1"/>
  <c r="Q418" i="1"/>
  <c r="Q507" i="1"/>
  <c r="Q422" i="1"/>
  <c r="Q430" i="1"/>
  <c r="Q426" i="1"/>
  <c r="L621" i="1"/>
  <c r="L622" i="1"/>
  <c r="H43" i="4"/>
  <c r="H16" i="4" s="1"/>
  <c r="L779" i="1"/>
  <c r="F54" i="4"/>
  <c r="F53" i="4"/>
  <c r="F14" i="4"/>
  <c r="V841" i="1"/>
  <c r="W838" i="1"/>
  <c r="D68" i="4"/>
  <c r="D74" i="4"/>
  <c r="U237" i="1"/>
  <c r="V236" i="1"/>
  <c r="W238" i="1" s="1"/>
  <c r="F18" i="4"/>
  <c r="F15" i="4"/>
  <c r="V538" i="1"/>
  <c r="U534" i="1"/>
  <c r="K36" i="4"/>
  <c r="K37" i="4"/>
  <c r="M622" i="1"/>
  <c r="M621" i="1"/>
  <c r="I43" i="4"/>
  <c r="M779" i="1"/>
  <c r="M806" i="1"/>
  <c r="F90" i="4"/>
  <c r="F86" i="4"/>
  <c r="G85" i="4"/>
  <c r="U122" i="1"/>
  <c r="T123" i="1"/>
  <c r="T118" i="1"/>
  <c r="Q488" i="1"/>
  <c r="Q489" i="1"/>
  <c r="H621" i="1"/>
  <c r="H622" i="1"/>
  <c r="D43" i="4"/>
  <c r="H779" i="1"/>
  <c r="H806" i="1"/>
  <c r="T234" i="1"/>
  <c r="Y39" i="9" s="1"/>
  <c r="T233" i="1"/>
  <c r="V816" i="1"/>
  <c r="Q782" i="1"/>
  <c r="Q793" i="1"/>
  <c r="M82" i="4" s="1"/>
  <c r="G793" i="1"/>
  <c r="G783" i="1"/>
  <c r="G782" i="1"/>
  <c r="P488" i="1"/>
  <c r="P489" i="1"/>
  <c r="P464" i="1"/>
  <c r="M866" i="1"/>
  <c r="M865" i="1"/>
  <c r="U324" i="1"/>
  <c r="T535" i="1"/>
  <c r="V821" i="1"/>
  <c r="W818" i="1"/>
  <c r="M36" i="4"/>
  <c r="M37" i="4"/>
  <c r="K627" i="1"/>
  <c r="K637" i="1"/>
  <c r="M28" i="4"/>
  <c r="M29" i="4"/>
  <c r="M39" i="4"/>
  <c r="R497" i="1"/>
  <c r="H579" i="1"/>
  <c r="N620" i="1"/>
  <c r="N936" i="1" s="1"/>
  <c r="N609" i="1"/>
  <c r="N595" i="1"/>
  <c r="N596" i="1"/>
  <c r="W555" i="1"/>
  <c r="L57" i="4"/>
  <c r="M57" i="4"/>
  <c r="N866" i="1"/>
  <c r="N865" i="1"/>
  <c r="O445" i="1"/>
  <c r="O446" i="1"/>
  <c r="S119" i="1"/>
  <c r="S120" i="1"/>
  <c r="X38" i="9" s="1"/>
  <c r="J621" i="1"/>
  <c r="J622" i="1"/>
  <c r="F43" i="4"/>
  <c r="J806" i="1"/>
  <c r="J779" i="1"/>
  <c r="N793" i="1"/>
  <c r="J82" i="4" s="1"/>
  <c r="N782" i="1"/>
  <c r="O866" i="1"/>
  <c r="O865" i="1"/>
  <c r="I866" i="1"/>
  <c r="Q654" i="1"/>
  <c r="Q572" i="1"/>
  <c r="Q571" i="1"/>
  <c r="Q578" i="1"/>
  <c r="Q661" i="1"/>
  <c r="L611" i="1"/>
  <c r="L610" i="1"/>
  <c r="T284" i="1"/>
  <c r="U283" i="1"/>
  <c r="T279" i="1"/>
  <c r="K622" i="1"/>
  <c r="K621" i="1"/>
  <c r="G43" i="4"/>
  <c r="G13" i="4" s="1"/>
  <c r="K779" i="1"/>
  <c r="I621" i="1"/>
  <c r="Q596" i="1"/>
  <c r="Q620" i="1"/>
  <c r="Q936" i="1" s="1"/>
  <c r="Q609" i="1"/>
  <c r="Q595" i="1"/>
  <c r="J28" i="4"/>
  <c r="J29" i="4"/>
  <c r="J39" i="4"/>
  <c r="K866" i="1"/>
  <c r="K865" i="1"/>
  <c r="S280" i="1"/>
  <c r="S281" i="1"/>
  <c r="L36" i="4"/>
  <c r="L37" i="4"/>
  <c r="L39" i="4"/>
  <c r="H627" i="1"/>
  <c r="H637" i="1"/>
  <c r="H626" i="1"/>
  <c r="P596" i="1"/>
  <c r="P609" i="1"/>
  <c r="P595" i="1"/>
  <c r="P620" i="1"/>
  <c r="P936" i="1" s="1"/>
  <c r="G15" i="4"/>
  <c r="G18" i="4"/>
  <c r="J663" i="1"/>
  <c r="J662" i="1"/>
  <c r="L75" i="4"/>
  <c r="L51" i="4"/>
  <c r="G57" i="4"/>
  <c r="O441" i="1"/>
  <c r="O442" i="1"/>
  <c r="J625" i="1"/>
  <c r="J580" i="1"/>
  <c r="J586" i="1"/>
  <c r="J579" i="1"/>
  <c r="J584" i="1"/>
  <c r="J808" i="1"/>
  <c r="J611" i="1"/>
  <c r="J610" i="1"/>
  <c r="H57" i="4"/>
  <c r="I57" i="4"/>
  <c r="J53" i="4"/>
  <c r="J14" i="4"/>
  <c r="J54" i="4"/>
  <c r="U391" i="1"/>
  <c r="V393" i="1" s="1"/>
  <c r="AA43" i="9" s="1"/>
  <c r="T392" i="1"/>
  <c r="H781" i="1"/>
  <c r="H772" i="1"/>
  <c r="H773" i="1"/>
  <c r="P866" i="1"/>
  <c r="P865" i="1"/>
  <c r="Q866" i="1"/>
  <c r="K39" i="4"/>
  <c r="K28" i="4"/>
  <c r="K29" i="4"/>
  <c r="L28" i="4"/>
  <c r="G51" i="4"/>
  <c r="G75" i="4"/>
  <c r="K808" i="1"/>
  <c r="N460" i="1"/>
  <c r="N437" i="1"/>
  <c r="N438" i="1"/>
  <c r="J655" i="1"/>
  <c r="J656" i="1"/>
  <c r="J659" i="1"/>
  <c r="J666" i="1" s="1"/>
  <c r="S364" i="1" l="1"/>
  <c r="K51" i="9"/>
  <c r="W50" i="9"/>
  <c r="W53" i="9"/>
  <c r="W61" i="9" s="1"/>
  <c r="L51" i="9"/>
  <c r="K52" i="9"/>
  <c r="Y56" i="9"/>
  <c r="Y64" i="9" s="1"/>
  <c r="X55" i="9"/>
  <c r="X63" i="9" s="1"/>
  <c r="AA57" i="9"/>
  <c r="AA60" i="9"/>
  <c r="S363" i="1"/>
  <c r="S357" i="1" s="1"/>
  <c r="S401" i="1"/>
  <c r="S395" i="1" s="1"/>
  <c r="U568" i="1"/>
  <c r="U567" i="1" s="1"/>
  <c r="R326" i="1"/>
  <c r="R428" i="1" s="1"/>
  <c r="R429" i="1" s="1"/>
  <c r="S382" i="1"/>
  <c r="S376" i="1" s="1"/>
  <c r="S377" i="1" s="1"/>
  <c r="S576" i="1"/>
  <c r="T576" i="1" s="1"/>
  <c r="U576" i="1" s="1"/>
  <c r="V576" i="1" s="1"/>
  <c r="W576" i="1" s="1"/>
  <c r="X576" i="1" s="1"/>
  <c r="M666" i="1"/>
  <c r="M785" i="1" s="1"/>
  <c r="M787" i="1" s="1"/>
  <c r="M788" i="1" s="1"/>
  <c r="U532" i="1"/>
  <c r="V532" i="1" s="1"/>
  <c r="W532" i="1" s="1"/>
  <c r="X532" i="1" s="1"/>
  <c r="L666" i="1"/>
  <c r="L937" i="1" s="1"/>
  <c r="L938" i="1" s="1"/>
  <c r="L946" i="1" s="1"/>
  <c r="W560" i="1"/>
  <c r="X560" i="1" s="1"/>
  <c r="S632" i="1"/>
  <c r="S644" i="1" s="1"/>
  <c r="T559" i="1"/>
  <c r="S518" i="1"/>
  <c r="T518" i="1" s="1"/>
  <c r="W893" i="1"/>
  <c r="X893" i="1" s="1"/>
  <c r="S487" i="1"/>
  <c r="S488" i="1" s="1"/>
  <c r="W881" i="1"/>
  <c r="X881" i="1" s="1"/>
  <c r="U519" i="1"/>
  <c r="V41" i="1"/>
  <c r="W41" i="1" s="1"/>
  <c r="X41" i="1" s="1"/>
  <c r="V877" i="1"/>
  <c r="W877" i="1" s="1"/>
  <c r="X877" i="1" s="1"/>
  <c r="R460" i="1"/>
  <c r="S460" i="1" s="1"/>
  <c r="U232" i="1"/>
  <c r="U234" i="1" s="1"/>
  <c r="Z39" i="9" s="1"/>
  <c r="U241" i="1"/>
  <c r="U839" i="1"/>
  <c r="H954" i="1"/>
  <c r="U184" i="1"/>
  <c r="V183" i="1"/>
  <c r="U68" i="1"/>
  <c r="V67" i="1"/>
  <c r="H946" i="1"/>
  <c r="K937" i="1"/>
  <c r="K938" i="1" s="1"/>
  <c r="K954" i="1" s="1"/>
  <c r="J937" i="1"/>
  <c r="J938" i="1" s="1"/>
  <c r="J954" i="1" s="1"/>
  <c r="I937" i="1"/>
  <c r="I938" i="1" s="1"/>
  <c r="I665" i="1"/>
  <c r="I647" i="1" s="1"/>
  <c r="I641" i="1" s="1"/>
  <c r="I649" i="1" s="1"/>
  <c r="I785" i="1"/>
  <c r="I787" i="1" s="1"/>
  <c r="J665" i="1"/>
  <c r="J647" i="1" s="1"/>
  <c r="J641" i="1" s="1"/>
  <c r="J649" i="1" s="1"/>
  <c r="J785" i="1"/>
  <c r="J787" i="1" s="1"/>
  <c r="J788" i="1" s="1"/>
  <c r="M579" i="1"/>
  <c r="M625" i="1"/>
  <c r="M627" i="1" s="1"/>
  <c r="M656" i="1"/>
  <c r="M580" i="1"/>
  <c r="M584" i="1"/>
  <c r="M663" i="1"/>
  <c r="M655" i="1"/>
  <c r="H52" i="4"/>
  <c r="I51" i="4"/>
  <c r="J52" i="4" s="1"/>
  <c r="E53" i="4"/>
  <c r="U824" i="1"/>
  <c r="U844" i="1"/>
  <c r="P782" i="1"/>
  <c r="T811" i="1"/>
  <c r="K53" i="4"/>
  <c r="V826" i="1"/>
  <c r="E44" i="4"/>
  <c r="E13" i="4"/>
  <c r="E16" i="4"/>
  <c r="E45" i="4"/>
  <c r="E54" i="4"/>
  <c r="F52" i="4"/>
  <c r="K14" i="4"/>
  <c r="V287" i="1"/>
  <c r="W289" i="1" s="1"/>
  <c r="U288" i="1"/>
  <c r="K52" i="4"/>
  <c r="S552" i="1"/>
  <c r="K75" i="4"/>
  <c r="U810" i="1"/>
  <c r="U811" i="1" s="1"/>
  <c r="L587" i="1"/>
  <c r="H14" i="4"/>
  <c r="I782" i="1"/>
  <c r="I793" i="1"/>
  <c r="E82" i="4" s="1"/>
  <c r="G16" i="4"/>
  <c r="P461" i="1"/>
  <c r="H54" i="4"/>
  <c r="T25" i="1"/>
  <c r="T471" i="1" s="1"/>
  <c r="U698" i="1"/>
  <c r="U697" i="1" s="1"/>
  <c r="Q461" i="1"/>
  <c r="P462" i="1"/>
  <c r="U829" i="1"/>
  <c r="J587" i="1"/>
  <c r="M587" i="1"/>
  <c r="U814" i="1"/>
  <c r="H587" i="1"/>
  <c r="U849" i="1"/>
  <c r="U799" i="1"/>
  <c r="U748" i="1" s="1"/>
  <c r="U791" i="1" s="1"/>
  <c r="U834" i="1"/>
  <c r="V798" i="1"/>
  <c r="V819" i="1" s="1"/>
  <c r="W851" i="1"/>
  <c r="X848" i="1"/>
  <c r="X851" i="1" s="1"/>
  <c r="K587" i="1"/>
  <c r="V836" i="1"/>
  <c r="V831" i="1"/>
  <c r="W828" i="1"/>
  <c r="V232" i="1"/>
  <c r="W236" i="1"/>
  <c r="X238" i="1" s="1"/>
  <c r="V237" i="1"/>
  <c r="J627" i="1"/>
  <c r="J637" i="1"/>
  <c r="K638" i="1" s="1"/>
  <c r="J626" i="1"/>
  <c r="K651" i="1"/>
  <c r="G47" i="4"/>
  <c r="G12" i="4" s="1"/>
  <c r="Q663" i="1"/>
  <c r="Q662" i="1"/>
  <c r="W841" i="1"/>
  <c r="X838" i="1"/>
  <c r="O622" i="1"/>
  <c r="O621" i="1"/>
  <c r="K43" i="4"/>
  <c r="O779" i="1"/>
  <c r="O773" i="1"/>
  <c r="O806" i="1"/>
  <c r="H13" i="4"/>
  <c r="Q579" i="1"/>
  <c r="Q584" i="1"/>
  <c r="Q586" i="1"/>
  <c r="Q625" i="1"/>
  <c r="Q580" i="1"/>
  <c r="V122" i="1"/>
  <c r="U123" i="1"/>
  <c r="U118" i="1"/>
  <c r="W826" i="1"/>
  <c r="X823" i="1"/>
  <c r="W538" i="1"/>
  <c r="V534" i="1"/>
  <c r="P622" i="1"/>
  <c r="P621" i="1"/>
  <c r="L43" i="4"/>
  <c r="P779" i="1"/>
  <c r="P773" i="1"/>
  <c r="P806" i="1"/>
  <c r="X555" i="1"/>
  <c r="V324" i="1"/>
  <c r="G86" i="4"/>
  <c r="H85" i="4"/>
  <c r="G90" i="4"/>
  <c r="U127" i="1"/>
  <c r="V126" i="1"/>
  <c r="X601" i="1"/>
  <c r="D45" i="4"/>
  <c r="D44" i="4"/>
  <c r="D16" i="4"/>
  <c r="D13" i="4"/>
  <c r="I44" i="4"/>
  <c r="I45" i="4"/>
  <c r="I13" i="4"/>
  <c r="I16" i="4"/>
  <c r="I69" i="4"/>
  <c r="V334" i="1"/>
  <c r="U335" i="1"/>
  <c r="O461" i="1"/>
  <c r="O462" i="1"/>
  <c r="H783" i="1"/>
  <c r="H793" i="1"/>
  <c r="D82" i="4" s="1"/>
  <c r="H782" i="1"/>
  <c r="H787" i="1"/>
  <c r="J40" i="4"/>
  <c r="J41" i="4"/>
  <c r="F45" i="4"/>
  <c r="F44" i="4"/>
  <c r="F16" i="4"/>
  <c r="F13" i="4"/>
  <c r="F69" i="4"/>
  <c r="G54" i="4"/>
  <c r="G53" i="4"/>
  <c r="G52" i="4"/>
  <c r="G14" i="4"/>
  <c r="P610" i="1"/>
  <c r="P611" i="1"/>
  <c r="P808" i="1"/>
  <c r="W816" i="1"/>
  <c r="S472" i="1"/>
  <c r="O31" i="4"/>
  <c r="N579" i="1"/>
  <c r="N625" i="1"/>
  <c r="N580" i="1"/>
  <c r="N586" i="1"/>
  <c r="N587" i="1" s="1"/>
  <c r="N584" i="1"/>
  <c r="G45" i="4"/>
  <c r="G44" i="4"/>
  <c r="G69" i="4"/>
  <c r="S496" i="1"/>
  <c r="O579" i="1"/>
  <c r="O584" i="1"/>
  <c r="O586" i="1"/>
  <c r="O625" i="1"/>
  <c r="O580" i="1"/>
  <c r="P656" i="1"/>
  <c r="P655" i="1"/>
  <c r="P659" i="1"/>
  <c r="D75" i="4"/>
  <c r="D51" i="4"/>
  <c r="L14" i="4"/>
  <c r="L52" i="4"/>
  <c r="L54" i="4"/>
  <c r="L41" i="4"/>
  <c r="L40" i="4"/>
  <c r="Q656" i="1"/>
  <c r="Q655" i="1"/>
  <c r="Q659" i="1"/>
  <c r="T281" i="1"/>
  <c r="T280" i="1"/>
  <c r="M40" i="4"/>
  <c r="M41" i="4"/>
  <c r="N662" i="1"/>
  <c r="N663" i="1"/>
  <c r="K783" i="1"/>
  <c r="P662" i="1"/>
  <c r="P663" i="1"/>
  <c r="H650" i="1"/>
  <c r="H651" i="1"/>
  <c r="D47" i="4"/>
  <c r="Q610" i="1"/>
  <c r="Q611" i="1"/>
  <c r="Q808" i="1"/>
  <c r="V283" i="1"/>
  <c r="U279" i="1"/>
  <c r="U284" i="1"/>
  <c r="G789" i="1"/>
  <c r="G788" i="1"/>
  <c r="N656" i="1"/>
  <c r="N655" i="1"/>
  <c r="N659" i="1"/>
  <c r="N666" i="1" s="1"/>
  <c r="N937" i="1" s="1"/>
  <c r="N938" i="1" s="1"/>
  <c r="N954" i="1" s="1"/>
  <c r="V373" i="1"/>
  <c r="W372" i="1"/>
  <c r="X374" i="1" s="1"/>
  <c r="AC41" i="9" s="1"/>
  <c r="AC58" i="9" s="1"/>
  <c r="K789" i="1"/>
  <c r="K788" i="1"/>
  <c r="G78" i="4"/>
  <c r="P579" i="1"/>
  <c r="P625" i="1"/>
  <c r="P580" i="1"/>
  <c r="P586" i="1"/>
  <c r="P584" i="1"/>
  <c r="R549" i="1"/>
  <c r="K639" i="1"/>
  <c r="H638" i="1"/>
  <c r="H639" i="1"/>
  <c r="Q621" i="1"/>
  <c r="Q622" i="1"/>
  <c r="M43" i="4"/>
  <c r="Q806" i="1"/>
  <c r="Q779" i="1"/>
  <c r="Q773" i="1"/>
  <c r="N611" i="1"/>
  <c r="N610" i="1"/>
  <c r="N808" i="1"/>
  <c r="W353" i="1"/>
  <c r="X355" i="1" s="1"/>
  <c r="AC42" i="9" s="1"/>
  <c r="AC59" i="9" s="1"/>
  <c r="V354" i="1"/>
  <c r="O656" i="1"/>
  <c r="O655" i="1"/>
  <c r="O659" i="1"/>
  <c r="V241" i="1"/>
  <c r="W240" i="1"/>
  <c r="N461" i="1"/>
  <c r="N462" i="1"/>
  <c r="U535" i="1"/>
  <c r="T120" i="1"/>
  <c r="Y38" i="9" s="1"/>
  <c r="T119" i="1"/>
  <c r="V391" i="1"/>
  <c r="W393" i="1" s="1"/>
  <c r="AB43" i="9" s="1"/>
  <c r="U392" i="1"/>
  <c r="X818" i="1"/>
  <c r="W821" i="1"/>
  <c r="K41" i="4"/>
  <c r="K40" i="4"/>
  <c r="N622" i="1"/>
  <c r="N621" i="1"/>
  <c r="J43" i="4"/>
  <c r="N779" i="1"/>
  <c r="N773" i="1"/>
  <c r="N806" i="1"/>
  <c r="K626" i="1"/>
  <c r="D69" i="4"/>
  <c r="M52" i="4"/>
  <c r="H44" i="4"/>
  <c r="H45" i="4"/>
  <c r="H69" i="4"/>
  <c r="T553" i="1"/>
  <c r="T552" i="1"/>
  <c r="O662" i="1"/>
  <c r="O663" i="1"/>
  <c r="I637" i="1"/>
  <c r="I626" i="1"/>
  <c r="I627" i="1"/>
  <c r="O610" i="1"/>
  <c r="O611" i="1"/>
  <c r="O808" i="1"/>
  <c r="L627" i="1"/>
  <c r="L637" i="1"/>
  <c r="L626" i="1"/>
  <c r="L52" i="9" l="1"/>
  <c r="M51" i="9"/>
  <c r="Y55" i="9"/>
  <c r="Y63" i="9" s="1"/>
  <c r="AB60" i="9"/>
  <c r="Z56" i="9"/>
  <c r="Z64" i="9" s="1"/>
  <c r="L785" i="1"/>
  <c r="L787" i="1" s="1"/>
  <c r="H78" i="4" s="1"/>
  <c r="L954" i="1"/>
  <c r="S358" i="1"/>
  <c r="S351" i="1"/>
  <c r="S389" i="1"/>
  <c r="S396" i="1"/>
  <c r="V568" i="1"/>
  <c r="V567" i="1" s="1"/>
  <c r="L939" i="1"/>
  <c r="L665" i="1"/>
  <c r="L647" i="1" s="1"/>
  <c r="L641" i="1" s="1"/>
  <c r="L649" i="1" s="1"/>
  <c r="H47" i="4" s="1"/>
  <c r="H12" i="4" s="1"/>
  <c r="T487" i="1"/>
  <c r="U487" i="1" s="1"/>
  <c r="V487" i="1" s="1"/>
  <c r="W336" i="1"/>
  <c r="R321" i="1"/>
  <c r="R322" i="1" s="1"/>
  <c r="R327" i="1"/>
  <c r="R316" i="1"/>
  <c r="R317" i="1" s="1"/>
  <c r="S370" i="1"/>
  <c r="Q666" i="1"/>
  <c r="Q937" i="1" s="1"/>
  <c r="Q938" i="1" s="1"/>
  <c r="Q954" i="1" s="1"/>
  <c r="M937" i="1"/>
  <c r="M938" i="1" s="1"/>
  <c r="M954" i="1" s="1"/>
  <c r="P666" i="1"/>
  <c r="P937" i="1" s="1"/>
  <c r="P938" i="1" s="1"/>
  <c r="P954" i="1" s="1"/>
  <c r="W568" i="1"/>
  <c r="W567" i="1" s="1"/>
  <c r="R659" i="1"/>
  <c r="R666" i="1" s="1"/>
  <c r="R785" i="1" s="1"/>
  <c r="O666" i="1"/>
  <c r="O937" i="1" s="1"/>
  <c r="O938" i="1" s="1"/>
  <c r="O954" i="1" s="1"/>
  <c r="M665" i="1"/>
  <c r="M647" i="1" s="1"/>
  <c r="M641" i="1" s="1"/>
  <c r="M649" i="1" s="1"/>
  <c r="M651" i="1" s="1"/>
  <c r="T632" i="1"/>
  <c r="T644" i="1" s="1"/>
  <c r="U559" i="1"/>
  <c r="I78" i="4"/>
  <c r="I80" i="4" s="1"/>
  <c r="M789" i="1"/>
  <c r="S584" i="1"/>
  <c r="T584" i="1" s="1"/>
  <c r="U584" i="1" s="1"/>
  <c r="V584" i="1" s="1"/>
  <c r="U518" i="1"/>
  <c r="R461" i="1"/>
  <c r="V519" i="1"/>
  <c r="T460" i="1"/>
  <c r="T461" i="1" s="1"/>
  <c r="S461" i="1"/>
  <c r="U233" i="1"/>
  <c r="D76" i="4"/>
  <c r="D12" i="4"/>
  <c r="V184" i="1"/>
  <c r="W183" i="1"/>
  <c r="V68" i="1"/>
  <c r="W67" i="1"/>
  <c r="I939" i="1"/>
  <c r="I954" i="1"/>
  <c r="J789" i="1"/>
  <c r="N939" i="1"/>
  <c r="N946" i="1"/>
  <c r="K939" i="1"/>
  <c r="K946" i="1"/>
  <c r="I946" i="1"/>
  <c r="J939" i="1"/>
  <c r="J946" i="1"/>
  <c r="M626" i="1"/>
  <c r="M637" i="1"/>
  <c r="M639" i="1" s="1"/>
  <c r="F78" i="4"/>
  <c r="F79" i="4" s="1"/>
  <c r="E78" i="4"/>
  <c r="E80" i="4" s="1"/>
  <c r="I789" i="1"/>
  <c r="I788" i="1"/>
  <c r="N665" i="1"/>
  <c r="N647" i="1" s="1"/>
  <c r="N641" i="1" s="1"/>
  <c r="N649" i="1" s="1"/>
  <c r="N785" i="1"/>
  <c r="N787" i="1" s="1"/>
  <c r="I54" i="4"/>
  <c r="I52" i="4"/>
  <c r="I53" i="4"/>
  <c r="I14" i="4"/>
  <c r="W287" i="1"/>
  <c r="X289" i="1" s="1"/>
  <c r="V288" i="1"/>
  <c r="U25" i="1"/>
  <c r="U471" i="1" s="1"/>
  <c r="U551" i="1"/>
  <c r="U553" i="1" s="1"/>
  <c r="V834" i="1"/>
  <c r="V849" i="1"/>
  <c r="V824" i="1"/>
  <c r="V829" i="1"/>
  <c r="V698" i="1"/>
  <c r="V697" i="1" s="1"/>
  <c r="V844" i="1"/>
  <c r="V799" i="1"/>
  <c r="V748" i="1" s="1"/>
  <c r="V791" i="1" s="1"/>
  <c r="P587" i="1"/>
  <c r="V810" i="1"/>
  <c r="V811" i="1" s="1"/>
  <c r="V814" i="1"/>
  <c r="V839" i="1"/>
  <c r="W831" i="1"/>
  <c r="X828" i="1"/>
  <c r="X831" i="1" s="1"/>
  <c r="W836" i="1"/>
  <c r="X833" i="1"/>
  <c r="X836" i="1" s="1"/>
  <c r="W798" i="1"/>
  <c r="W844" i="1" s="1"/>
  <c r="X821" i="1"/>
  <c r="U280" i="1"/>
  <c r="U281" i="1"/>
  <c r="W354" i="1"/>
  <c r="X353" i="1"/>
  <c r="X354" i="1" s="1"/>
  <c r="D52" i="4"/>
  <c r="D54" i="4"/>
  <c r="D53" i="4"/>
  <c r="D14" i="4"/>
  <c r="E52" i="4"/>
  <c r="V335" i="1"/>
  <c r="H80" i="4"/>
  <c r="H79" i="4"/>
  <c r="T472" i="1"/>
  <c r="P31" i="4"/>
  <c r="I638" i="1"/>
  <c r="I639" i="1"/>
  <c r="G79" i="4"/>
  <c r="G80" i="4"/>
  <c r="O637" i="1"/>
  <c r="O626" i="1"/>
  <c r="O627" i="1"/>
  <c r="O32" i="4"/>
  <c r="K44" i="4"/>
  <c r="K45" i="4"/>
  <c r="K69" i="4"/>
  <c r="K16" i="4"/>
  <c r="K13" i="4"/>
  <c r="M44" i="4"/>
  <c r="M45" i="4"/>
  <c r="M13" i="4"/>
  <c r="M16" i="4"/>
  <c r="M69" i="4"/>
  <c r="P637" i="1"/>
  <c r="P626" i="1"/>
  <c r="P627" i="1"/>
  <c r="I650" i="1"/>
  <c r="I651" i="1"/>
  <c r="E47" i="4"/>
  <c r="E12" i="4" s="1"/>
  <c r="I783" i="1"/>
  <c r="D49" i="4"/>
  <c r="D48" i="4"/>
  <c r="D17" i="4"/>
  <c r="D60" i="4"/>
  <c r="O587" i="1"/>
  <c r="Q626" i="1"/>
  <c r="Q637" i="1"/>
  <c r="Q627" i="1"/>
  <c r="Q587" i="1"/>
  <c r="J638" i="1"/>
  <c r="J639" i="1"/>
  <c r="X240" i="1"/>
  <c r="X241" i="1" s="1"/>
  <c r="W241" i="1"/>
  <c r="X826" i="1"/>
  <c r="W391" i="1"/>
  <c r="X393" i="1" s="1"/>
  <c r="AC43" i="9" s="1"/>
  <c r="AC60" i="9" s="1"/>
  <c r="V392" i="1"/>
  <c r="W373" i="1"/>
  <c r="X372" i="1"/>
  <c r="X373" i="1" s="1"/>
  <c r="L44" i="4"/>
  <c r="L45" i="4"/>
  <c r="L69" i="4"/>
  <c r="L16" i="4"/>
  <c r="L13" i="4"/>
  <c r="X841" i="1"/>
  <c r="J651" i="1"/>
  <c r="J650" i="1"/>
  <c r="F47" i="4"/>
  <c r="J783" i="1"/>
  <c r="W126" i="1"/>
  <c r="V127" i="1"/>
  <c r="H90" i="4"/>
  <c r="H86" i="4"/>
  <c r="L639" i="1"/>
  <c r="L638" i="1"/>
  <c r="J44" i="4"/>
  <c r="J45" i="4"/>
  <c r="J69" i="4"/>
  <c r="J16" i="4"/>
  <c r="J13" i="4"/>
  <c r="L650" i="1"/>
  <c r="X816" i="1"/>
  <c r="V535" i="1"/>
  <c r="G17" i="4"/>
  <c r="G49" i="4"/>
  <c r="G76" i="4"/>
  <c r="G60" i="4"/>
  <c r="W232" i="1"/>
  <c r="W237" i="1"/>
  <c r="X236" i="1"/>
  <c r="T496" i="1"/>
  <c r="S497" i="1"/>
  <c r="N637" i="1"/>
  <c r="N627" i="1"/>
  <c r="N626" i="1"/>
  <c r="W324" i="1"/>
  <c r="X538" i="1"/>
  <c r="X534" i="1" s="1"/>
  <c r="W534" i="1"/>
  <c r="U120" i="1"/>
  <c r="Z38" i="9" s="1"/>
  <c r="U119" i="1"/>
  <c r="K650" i="1"/>
  <c r="V233" i="1"/>
  <c r="V234" i="1"/>
  <c r="AA39" i="9" s="1"/>
  <c r="AA56" i="9" s="1"/>
  <c r="AA64" i="9" s="1"/>
  <c r="V284" i="1"/>
  <c r="W283" i="1"/>
  <c r="V279" i="1"/>
  <c r="H788" i="1"/>
  <c r="H789" i="1"/>
  <c r="D78" i="4"/>
  <c r="V123" i="1"/>
  <c r="V118" i="1"/>
  <c r="W122" i="1"/>
  <c r="Q785" i="1" l="1"/>
  <c r="Q787" i="1" s="1"/>
  <c r="Q789" i="1" s="1"/>
  <c r="L788" i="1"/>
  <c r="L789" i="1"/>
  <c r="Q939" i="1"/>
  <c r="M52" i="9"/>
  <c r="N51" i="9"/>
  <c r="Z55" i="9"/>
  <c r="Z63" i="9" s="1"/>
  <c r="W334" i="1"/>
  <c r="X336" i="1" s="1"/>
  <c r="AC40" i="9" s="1"/>
  <c r="AB40" i="9"/>
  <c r="P946" i="1"/>
  <c r="L651" i="1"/>
  <c r="L783" i="1"/>
  <c r="S350" i="1"/>
  <c r="AE350" i="1" s="1"/>
  <c r="S388" i="1"/>
  <c r="T401" i="1" s="1"/>
  <c r="T395" i="1" s="1"/>
  <c r="T488" i="1"/>
  <c r="S659" i="1"/>
  <c r="S666" i="1" s="1"/>
  <c r="P785" i="1"/>
  <c r="P787" i="1" s="1"/>
  <c r="P789" i="1" s="1"/>
  <c r="M946" i="1"/>
  <c r="M939" i="1"/>
  <c r="Q946" i="1"/>
  <c r="Q665" i="1"/>
  <c r="Q647" i="1" s="1"/>
  <c r="Q641" i="1" s="1"/>
  <c r="Q649" i="1" s="1"/>
  <c r="Q651" i="1" s="1"/>
  <c r="S369" i="1"/>
  <c r="T383" i="1" s="1"/>
  <c r="T382" i="1" s="1"/>
  <c r="T376" i="1" s="1"/>
  <c r="R312" i="1"/>
  <c r="R318" i="1" s="1"/>
  <c r="O785" i="1"/>
  <c r="O787" i="1" s="1"/>
  <c r="O788" i="1" s="1"/>
  <c r="O665" i="1"/>
  <c r="O647" i="1" s="1"/>
  <c r="O641" i="1" s="1"/>
  <c r="O649" i="1" s="1"/>
  <c r="O651" i="1" s="1"/>
  <c r="I79" i="4"/>
  <c r="X568" i="1"/>
  <c r="X567" i="1" s="1"/>
  <c r="O946" i="1"/>
  <c r="O939" i="1"/>
  <c r="P665" i="1"/>
  <c r="P647" i="1" s="1"/>
  <c r="P641" i="1" s="1"/>
  <c r="P649" i="1" s="1"/>
  <c r="P783" i="1" s="1"/>
  <c r="P939" i="1"/>
  <c r="U632" i="1"/>
  <c r="U644" i="1" s="1"/>
  <c r="V559" i="1"/>
  <c r="P638" i="1"/>
  <c r="P639" i="1"/>
  <c r="V518" i="1"/>
  <c r="W519" i="1"/>
  <c r="X519" i="1" s="1"/>
  <c r="W584" i="1"/>
  <c r="X584" i="1" s="1"/>
  <c r="W487" i="1"/>
  <c r="W488" i="1" s="1"/>
  <c r="V488" i="1"/>
  <c r="U488" i="1"/>
  <c r="U460" i="1"/>
  <c r="G48" i="4"/>
  <c r="F12" i="4"/>
  <c r="W184" i="1"/>
  <c r="X183" i="1"/>
  <c r="X184" i="1" s="1"/>
  <c r="X67" i="1"/>
  <c r="W68" i="1"/>
  <c r="M638" i="1"/>
  <c r="F80" i="4"/>
  <c r="M783" i="1"/>
  <c r="I47" i="4"/>
  <c r="I60" i="4" s="1"/>
  <c r="E79" i="4"/>
  <c r="M650" i="1"/>
  <c r="N789" i="1"/>
  <c r="N788" i="1"/>
  <c r="J78" i="4"/>
  <c r="U552" i="1"/>
  <c r="V25" i="1"/>
  <c r="V471" i="1" s="1"/>
  <c r="V496" i="1" s="1"/>
  <c r="X287" i="1"/>
  <c r="W288" i="1"/>
  <c r="W810" i="1"/>
  <c r="W811" i="1" s="1"/>
  <c r="V551" i="1"/>
  <c r="V553" i="1" s="1"/>
  <c r="W849" i="1"/>
  <c r="W839" i="1"/>
  <c r="W829" i="1"/>
  <c r="W698" i="1"/>
  <c r="W697" i="1" s="1"/>
  <c r="W834" i="1"/>
  <c r="W799" i="1"/>
  <c r="W748" i="1" s="1"/>
  <c r="W791" i="1" s="1"/>
  <c r="W819" i="1"/>
  <c r="W814" i="1"/>
  <c r="X798" i="1"/>
  <c r="X814" i="1" s="1"/>
  <c r="W824" i="1"/>
  <c r="X810" i="1"/>
  <c r="P32" i="4"/>
  <c r="E48" i="4"/>
  <c r="E49" i="4"/>
  <c r="E17" i="4"/>
  <c r="E60" i="4"/>
  <c r="E76" i="4"/>
  <c r="V120" i="1"/>
  <c r="AA38" i="9" s="1"/>
  <c r="V119" i="1"/>
  <c r="W535" i="1"/>
  <c r="U472" i="1"/>
  <c r="Q31" i="4"/>
  <c r="N639" i="1"/>
  <c r="N638" i="1"/>
  <c r="O639" i="1"/>
  <c r="O638" i="1"/>
  <c r="N651" i="1"/>
  <c r="N650" i="1"/>
  <c r="J47" i="4"/>
  <c r="J12" i="4" s="1"/>
  <c r="N783" i="1"/>
  <c r="X237" i="1"/>
  <c r="X232" i="1"/>
  <c r="X535" i="1"/>
  <c r="T497" i="1"/>
  <c r="U496" i="1"/>
  <c r="D80" i="4"/>
  <c r="D79" i="4"/>
  <c r="X324" i="1"/>
  <c r="V281" i="1"/>
  <c r="V280" i="1"/>
  <c r="H48" i="4"/>
  <c r="H49" i="4"/>
  <c r="H17" i="4"/>
  <c r="H76" i="4"/>
  <c r="H60" i="4"/>
  <c r="X126" i="1"/>
  <c r="X127" i="1" s="1"/>
  <c r="W127" i="1"/>
  <c r="F48" i="4"/>
  <c r="F17" i="4"/>
  <c r="F49" i="4"/>
  <c r="F76" i="4"/>
  <c r="F60" i="4"/>
  <c r="X283" i="1"/>
  <c r="W279" i="1"/>
  <c r="W284" i="1"/>
  <c r="Q639" i="1"/>
  <c r="Q638" i="1"/>
  <c r="W123" i="1"/>
  <c r="W118" i="1"/>
  <c r="X122" i="1"/>
  <c r="W233" i="1"/>
  <c r="W234" i="1"/>
  <c r="AB39" i="9" s="1"/>
  <c r="AB56" i="9" s="1"/>
  <c r="AB64" i="9" s="1"/>
  <c r="X391" i="1"/>
  <c r="X392" i="1" s="1"/>
  <c r="W392" i="1"/>
  <c r="M78" i="4" l="1"/>
  <c r="Q788" i="1"/>
  <c r="T659" i="1"/>
  <c r="T666" i="1" s="1"/>
  <c r="N52" i="9"/>
  <c r="O51" i="9"/>
  <c r="AC57" i="9"/>
  <c r="AB57" i="9"/>
  <c r="AA55" i="9"/>
  <c r="AA63" i="9" s="1"/>
  <c r="X334" i="1"/>
  <c r="X335" i="1" s="1"/>
  <c r="W335" i="1"/>
  <c r="T364" i="1"/>
  <c r="T363" i="1" s="1"/>
  <c r="T357" i="1" s="1"/>
  <c r="T358" i="1" s="1"/>
  <c r="P788" i="1"/>
  <c r="O789" i="1"/>
  <c r="O783" i="1"/>
  <c r="K78" i="4"/>
  <c r="K79" i="4" s="1"/>
  <c r="K47" i="4"/>
  <c r="K12" i="4" s="1"/>
  <c r="L78" i="4"/>
  <c r="L80" i="4" s="1"/>
  <c r="X288" i="1"/>
  <c r="T396" i="1"/>
  <c r="T389" i="1"/>
  <c r="L47" i="4"/>
  <c r="L12" i="4" s="1"/>
  <c r="O650" i="1"/>
  <c r="P651" i="1"/>
  <c r="Q783" i="1"/>
  <c r="M47" i="4"/>
  <c r="M12" i="4" s="1"/>
  <c r="R313" i="1"/>
  <c r="S344" i="1" s="1"/>
  <c r="S338" i="1" s="1"/>
  <c r="S339" i="1" s="1"/>
  <c r="R456" i="1"/>
  <c r="R457" i="1" s="1"/>
  <c r="R323" i="1"/>
  <c r="R314" i="1"/>
  <c r="T377" i="1"/>
  <c r="T370" i="1"/>
  <c r="P650" i="1"/>
  <c r="Q650" i="1"/>
  <c r="V632" i="1"/>
  <c r="V644" i="1" s="1"/>
  <c r="W559" i="1"/>
  <c r="W518" i="1"/>
  <c r="X518" i="1" s="1"/>
  <c r="U461" i="1"/>
  <c r="V460" i="1"/>
  <c r="X487" i="1"/>
  <c r="X488" i="1" s="1"/>
  <c r="I49" i="4"/>
  <c r="I12" i="4"/>
  <c r="X68" i="1"/>
  <c r="I17" i="4"/>
  <c r="I76" i="4"/>
  <c r="I48" i="4"/>
  <c r="L79" i="4"/>
  <c r="M79" i="4"/>
  <c r="M80" i="4"/>
  <c r="J79" i="4"/>
  <c r="J80" i="4"/>
  <c r="W25" i="1"/>
  <c r="W471" i="1" s="1"/>
  <c r="W496" i="1" s="1"/>
  <c r="V552" i="1"/>
  <c r="X839" i="1"/>
  <c r="W551" i="1"/>
  <c r="W552" i="1" s="1"/>
  <c r="X849" i="1"/>
  <c r="X844" i="1"/>
  <c r="X811" i="1"/>
  <c r="X829" i="1"/>
  <c r="X834" i="1"/>
  <c r="X698" i="1"/>
  <c r="X697" i="1" s="1"/>
  <c r="X819" i="1"/>
  <c r="X799" i="1"/>
  <c r="X748" i="1" s="1"/>
  <c r="X791" i="1" s="1"/>
  <c r="X824" i="1"/>
  <c r="X551" i="1"/>
  <c r="W281" i="1"/>
  <c r="W280" i="1"/>
  <c r="X118" i="1"/>
  <c r="X123" i="1"/>
  <c r="V472" i="1"/>
  <c r="R31" i="4"/>
  <c r="U497" i="1"/>
  <c r="X233" i="1"/>
  <c r="X234" i="1"/>
  <c r="AC39" i="9" s="1"/>
  <c r="AC56" i="9" s="1"/>
  <c r="AC64" i="9" s="1"/>
  <c r="Q32" i="4"/>
  <c r="W119" i="1"/>
  <c r="W120" i="1"/>
  <c r="AB38" i="9" s="1"/>
  <c r="AB55" i="9" s="1"/>
  <c r="AB63" i="9" s="1"/>
  <c r="V497" i="1"/>
  <c r="J49" i="4"/>
  <c r="J48" i="4"/>
  <c r="J17" i="4"/>
  <c r="J60" i="4"/>
  <c r="J76" i="4"/>
  <c r="K60" i="4"/>
  <c r="X279" i="1"/>
  <c r="X284" i="1"/>
  <c r="L60" i="4"/>
  <c r="U659" i="1" l="1"/>
  <c r="V659" i="1" s="1"/>
  <c r="W659" i="1" s="1"/>
  <c r="W666" i="1" s="1"/>
  <c r="O52" i="9"/>
  <c r="P51" i="9"/>
  <c r="M17" i="4"/>
  <c r="M49" i="4"/>
  <c r="L17" i="4"/>
  <c r="L48" i="4"/>
  <c r="K80" i="4"/>
  <c r="L76" i="4"/>
  <c r="L49" i="4"/>
  <c r="K76" i="4"/>
  <c r="M48" i="4"/>
  <c r="K17" i="4"/>
  <c r="K48" i="4"/>
  <c r="K49" i="4"/>
  <c r="T351" i="1"/>
  <c r="T350" i="1" s="1"/>
  <c r="T388" i="1"/>
  <c r="S332" i="1"/>
  <c r="M76" i="4"/>
  <c r="M60" i="4"/>
  <c r="T369" i="1"/>
  <c r="U383" i="1" s="1"/>
  <c r="W632" i="1"/>
  <c r="W644" i="1" s="1"/>
  <c r="X559" i="1"/>
  <c r="X632" i="1" s="1"/>
  <c r="X644" i="1" s="1"/>
  <c r="W460" i="1"/>
  <c r="V461" i="1"/>
  <c r="X25" i="1"/>
  <c r="X471" i="1" s="1"/>
  <c r="W553" i="1"/>
  <c r="X553" i="1"/>
  <c r="X552" i="1"/>
  <c r="R32" i="4"/>
  <c r="V31" i="4"/>
  <c r="W472" i="1"/>
  <c r="S31" i="4"/>
  <c r="W497" i="1"/>
  <c r="X280" i="1"/>
  <c r="X281" i="1"/>
  <c r="X120" i="1"/>
  <c r="AC38" i="9" s="1"/>
  <c r="AC55" i="9" s="1"/>
  <c r="AC63" i="9" s="1"/>
  <c r="X119" i="1"/>
  <c r="U666" i="1" l="1"/>
  <c r="P52" i="9"/>
  <c r="Q51" i="9"/>
  <c r="U364" i="1"/>
  <c r="U363" i="1" s="1"/>
  <c r="U357" i="1" s="1"/>
  <c r="AF350" i="1"/>
  <c r="S331" i="1"/>
  <c r="T345" i="1" s="1"/>
  <c r="U401" i="1"/>
  <c r="U395" i="1" s="1"/>
  <c r="U389" i="1" s="1"/>
  <c r="U382" i="1"/>
  <c r="U376" i="1" s="1"/>
  <c r="X659" i="1"/>
  <c r="X666" i="1" s="1"/>
  <c r="V666" i="1"/>
  <c r="W461" i="1"/>
  <c r="X460" i="1"/>
  <c r="X461" i="1" s="1"/>
  <c r="X472" i="1"/>
  <c r="T31" i="4"/>
  <c r="X496" i="1"/>
  <c r="S32" i="4"/>
  <c r="Q52" i="9" l="1"/>
  <c r="R51" i="9"/>
  <c r="S326" i="1"/>
  <c r="S327" i="1" s="1"/>
  <c r="U396" i="1"/>
  <c r="U388" i="1"/>
  <c r="U358" i="1"/>
  <c r="U351" i="1"/>
  <c r="U370" i="1"/>
  <c r="U377" i="1"/>
  <c r="T32" i="4"/>
  <c r="X497" i="1"/>
  <c r="R52" i="9" l="1"/>
  <c r="S51" i="9"/>
  <c r="S316" i="1"/>
  <c r="S317" i="1" s="1"/>
  <c r="S428" i="1"/>
  <c r="S429" i="1" s="1"/>
  <c r="S321" i="1"/>
  <c r="S322" i="1" s="1"/>
  <c r="V401" i="1"/>
  <c r="V395" i="1" s="1"/>
  <c r="V389" i="1" s="1"/>
  <c r="U350" i="1"/>
  <c r="U369" i="1"/>
  <c r="V383" i="1" s="1"/>
  <c r="S52" i="9" l="1"/>
  <c r="T51" i="9"/>
  <c r="S312" i="1"/>
  <c r="S456" i="1" s="1"/>
  <c r="S457" i="1" s="1"/>
  <c r="V364" i="1"/>
  <c r="V363" i="1" s="1"/>
  <c r="V357" i="1" s="1"/>
  <c r="V358" i="1" s="1"/>
  <c r="AG350" i="1"/>
  <c r="V396" i="1"/>
  <c r="V388" i="1"/>
  <c r="V382" i="1"/>
  <c r="V376" i="1" s="1"/>
  <c r="U51" i="9" l="1"/>
  <c r="S313" i="1"/>
  <c r="T344" i="1" s="1"/>
  <c r="T338" i="1" s="1"/>
  <c r="T339" i="1" s="1"/>
  <c r="S314" i="1"/>
  <c r="S323" i="1"/>
  <c r="S318" i="1"/>
  <c r="V351" i="1"/>
  <c r="W401" i="1"/>
  <c r="W395" i="1" s="1"/>
  <c r="V370" i="1"/>
  <c r="V377" i="1"/>
  <c r="R52" i="1"/>
  <c r="R51" i="1" s="1"/>
  <c r="R79" i="1"/>
  <c r="R71" i="1" s="1"/>
  <c r="R49" i="1" s="1"/>
  <c r="U52" i="9" l="1"/>
  <c r="V51" i="9"/>
  <c r="T332" i="1"/>
  <c r="T331" i="1" s="1"/>
  <c r="U345" i="1" s="1"/>
  <c r="V350" i="1"/>
  <c r="AH350" i="1" s="1"/>
  <c r="W389" i="1"/>
  <c r="W388" i="1" s="1"/>
  <c r="W396" i="1"/>
  <c r="V369" i="1"/>
  <c r="W383" i="1" s="1"/>
  <c r="R48" i="1"/>
  <c r="R72" i="1"/>
  <c r="R53" i="1"/>
  <c r="R29" i="1"/>
  <c r="R55" i="1" l="1"/>
  <c r="AM59" i="1"/>
  <c r="BH59" i="1" s="1"/>
  <c r="V52" i="9"/>
  <c r="W51" i="9"/>
  <c r="T326" i="1"/>
  <c r="T321" i="1" s="1"/>
  <c r="T322" i="1" s="1"/>
  <c r="W364" i="1"/>
  <c r="W363" i="1" s="1"/>
  <c r="W357" i="1" s="1"/>
  <c r="X401" i="1"/>
  <c r="X395" i="1" s="1"/>
  <c r="R416" i="1"/>
  <c r="R417" i="1" s="1"/>
  <c r="W382" i="1"/>
  <c r="W376" i="1" s="1"/>
  <c r="R30" i="1"/>
  <c r="R38" i="1"/>
  <c r="R56" i="1"/>
  <c r="R43" i="1"/>
  <c r="R57" i="1"/>
  <c r="W66" i="9" l="1"/>
  <c r="W52" i="9"/>
  <c r="T327" i="1"/>
  <c r="T316" i="1"/>
  <c r="T428" i="1"/>
  <c r="T429" i="1" s="1"/>
  <c r="W358" i="1"/>
  <c r="W351" i="1"/>
  <c r="X396" i="1"/>
  <c r="X389" i="1"/>
  <c r="X388" i="1" s="1"/>
  <c r="W377" i="1"/>
  <c r="W370" i="1"/>
  <c r="R44" i="1"/>
  <c r="R33" i="1"/>
  <c r="R39" i="1"/>
  <c r="T312" i="1" l="1"/>
  <c r="T318" i="1" s="1"/>
  <c r="T317" i="1"/>
  <c r="W350" i="1"/>
  <c r="AI350" i="1" s="1"/>
  <c r="W369" i="1"/>
  <c r="X383" i="1" s="1"/>
  <c r="R34" i="1"/>
  <c r="R36" i="1"/>
  <c r="R22" i="1"/>
  <c r="T323" i="1" l="1"/>
  <c r="T314" i="1"/>
  <c r="T313" i="1"/>
  <c r="U344" i="1" s="1"/>
  <c r="U338" i="1" s="1"/>
  <c r="T456" i="1"/>
  <c r="T457" i="1" s="1"/>
  <c r="X364" i="1"/>
  <c r="X363" i="1" s="1"/>
  <c r="X357" i="1" s="1"/>
  <c r="X358" i="1" s="1"/>
  <c r="X382" i="1"/>
  <c r="X376" i="1" s="1"/>
  <c r="R27" i="1"/>
  <c r="R440" i="1"/>
  <c r="R23" i="1"/>
  <c r="R31" i="1"/>
  <c r="R45" i="1"/>
  <c r="R40" i="1"/>
  <c r="R35" i="1"/>
  <c r="U339" i="1" l="1"/>
  <c r="U332" i="1"/>
  <c r="X351" i="1"/>
  <c r="X350" i="1" s="1"/>
  <c r="AJ350" i="1" s="1"/>
  <c r="X377" i="1"/>
  <c r="X370" i="1"/>
  <c r="X369" i="1" s="1"/>
  <c r="R441" i="1"/>
  <c r="U331" i="1" l="1"/>
  <c r="U326" i="1" s="1"/>
  <c r="V345" i="1" l="1"/>
  <c r="U327" i="1"/>
  <c r="U321" i="1"/>
  <c r="U316" i="1"/>
  <c r="U428" i="1"/>
  <c r="U429" i="1" s="1"/>
  <c r="U317" i="1" l="1"/>
  <c r="U312" i="1"/>
  <c r="U323" i="1" s="1"/>
  <c r="U322" i="1"/>
  <c r="U318" i="1" l="1"/>
  <c r="U314" i="1"/>
  <c r="U313" i="1"/>
  <c r="V344" i="1" s="1"/>
  <c r="V338" i="1" s="1"/>
  <c r="U456" i="1"/>
  <c r="U457" i="1" s="1"/>
  <c r="V339" i="1" l="1"/>
  <c r="V332" i="1"/>
  <c r="V331" i="1" s="1"/>
  <c r="W345" i="1" l="1"/>
  <c r="V326" i="1"/>
  <c r="V428" i="1" l="1"/>
  <c r="V429" i="1" s="1"/>
  <c r="V321" i="1"/>
  <c r="V327" i="1"/>
  <c r="V316" i="1"/>
  <c r="V322" i="1" l="1"/>
  <c r="V317" i="1"/>
  <c r="V312" i="1"/>
  <c r="V323" i="1" s="1"/>
  <c r="V318" i="1" l="1"/>
  <c r="V314" i="1"/>
  <c r="V456" i="1"/>
  <c r="V457" i="1" s="1"/>
  <c r="V313" i="1"/>
  <c r="W344" i="1" s="1"/>
  <c r="W338" i="1" s="1"/>
  <c r="W339" i="1" l="1"/>
  <c r="W332" i="1"/>
  <c r="W331" i="1" l="1"/>
  <c r="W326" i="1" s="1"/>
  <c r="X345" i="1" l="1"/>
  <c r="W327" i="1"/>
  <c r="W428" i="1"/>
  <c r="W429" i="1" s="1"/>
  <c r="W316" i="1"/>
  <c r="W321" i="1"/>
  <c r="W322" i="1" l="1"/>
  <c r="W312" i="1"/>
  <c r="W323" i="1" s="1"/>
  <c r="W317" i="1"/>
  <c r="W318" i="1" l="1"/>
  <c r="W314" i="1"/>
  <c r="W313" i="1"/>
  <c r="X344" i="1" s="1"/>
  <c r="X338" i="1" s="1"/>
  <c r="W456" i="1"/>
  <c r="W457" i="1" s="1"/>
  <c r="X339" i="1" l="1"/>
  <c r="X332" i="1"/>
  <c r="X331" i="1" s="1"/>
  <c r="X326" i="1" s="1"/>
  <c r="X321" i="1" l="1"/>
  <c r="X322" i="1" s="1"/>
  <c r="X316" i="1"/>
  <c r="X327" i="1"/>
  <c r="X428" i="1"/>
  <c r="X429" i="1" s="1"/>
  <c r="X317" i="1" l="1"/>
  <c r="X312" i="1"/>
  <c r="X318" i="1" s="1"/>
  <c r="X323" i="1" l="1"/>
  <c r="X456" i="1"/>
  <c r="X457" i="1" s="1"/>
  <c r="X313" i="1"/>
  <c r="X314" i="1"/>
  <c r="R168" i="1" l="1"/>
  <c r="R167" i="1" s="1"/>
  <c r="R193" i="1"/>
  <c r="R187" i="1" s="1"/>
  <c r="R188" i="1" l="1"/>
  <c r="R165" i="1"/>
  <c r="R145" i="1"/>
  <c r="R164" i="1" l="1"/>
  <c r="R169" i="1" s="1"/>
  <c r="R146" i="1"/>
  <c r="R171" i="1" l="1"/>
  <c r="R159" i="1" s="1"/>
  <c r="R420" i="1"/>
  <c r="R421" i="1" s="1"/>
  <c r="S194" i="1"/>
  <c r="S307" i="1" s="1"/>
  <c r="S306" i="1" s="1"/>
  <c r="S300" i="1" s="1"/>
  <c r="S301" i="1" s="1"/>
  <c r="S264" i="1"/>
  <c r="S263" i="1" s="1"/>
  <c r="R173" i="1" l="1"/>
  <c r="R172" i="1"/>
  <c r="R154" i="1"/>
  <c r="R149" i="1"/>
  <c r="R155" i="1"/>
  <c r="R160" i="1"/>
  <c r="R150" i="1" l="1"/>
  <c r="R152" i="1"/>
  <c r="R142" i="1"/>
  <c r="R444" i="1" l="1"/>
  <c r="R143" i="1"/>
  <c r="R147" i="1"/>
  <c r="R156" i="1"/>
  <c r="R161" i="1"/>
  <c r="R151" i="1"/>
  <c r="R445" i="1" l="1"/>
  <c r="S168" i="1"/>
  <c r="S167" i="1" s="1"/>
  <c r="S145" i="1" l="1"/>
  <c r="S146" i="1" l="1"/>
  <c r="R225" i="1" l="1"/>
  <c r="R224" i="1" s="1"/>
  <c r="R250" i="1"/>
  <c r="R244" i="1" s="1"/>
  <c r="R202" i="1" l="1"/>
  <c r="R245" i="1"/>
  <c r="R222" i="1"/>
  <c r="R221" i="1" l="1"/>
  <c r="S251" i="1"/>
  <c r="R424" i="1"/>
  <c r="R228" i="1"/>
  <c r="R203" i="1"/>
  <c r="R226" i="1"/>
  <c r="R216" i="1" l="1"/>
  <c r="R211" i="1"/>
  <c r="R229" i="1"/>
  <c r="R230" i="1"/>
  <c r="R425" i="1"/>
  <c r="R217" i="1" l="1"/>
  <c r="R206" i="1"/>
  <c r="R212" i="1"/>
  <c r="R209" i="1" l="1"/>
  <c r="R207" i="1"/>
  <c r="R199" i="1"/>
  <c r="R208" i="1" s="1"/>
  <c r="R200" i="1" l="1"/>
  <c r="R448" i="1"/>
  <c r="R204" i="1"/>
  <c r="R213" i="1"/>
  <c r="R218" i="1"/>
  <c r="R449" i="1" l="1"/>
  <c r="S225" i="1" l="1"/>
  <c r="S224" i="1" s="1"/>
  <c r="S250" i="1"/>
  <c r="S244" i="1" s="1"/>
  <c r="S222" i="1" l="1"/>
  <c r="S245" i="1"/>
  <c r="S202" i="1"/>
  <c r="S221" i="1" l="1"/>
  <c r="S226" i="1" s="1"/>
  <c r="S203" i="1"/>
  <c r="S424" i="1" l="1"/>
  <c r="S425" i="1" s="1"/>
  <c r="S228" i="1"/>
  <c r="T251" i="1"/>
  <c r="T250" i="1" s="1"/>
  <c r="T244" i="1" s="1"/>
  <c r="S216" i="1"/>
  <c r="S230" i="1"/>
  <c r="S211" i="1"/>
  <c r="S229" i="1"/>
  <c r="T225" i="1" l="1"/>
  <c r="T224" i="1" s="1"/>
  <c r="T202" i="1" s="1"/>
  <c r="T203" i="1" s="1"/>
  <c r="T222" i="1"/>
  <c r="T245" i="1"/>
  <c r="S212" i="1"/>
  <c r="S206" i="1"/>
  <c r="S217" i="1"/>
  <c r="T221" i="1" l="1"/>
  <c r="S207" i="1"/>
  <c r="S209" i="1"/>
  <c r="S199" i="1"/>
  <c r="T226" i="1" l="1"/>
  <c r="T228" i="1"/>
  <c r="T424" i="1"/>
  <c r="T425" i="1" s="1"/>
  <c r="U251" i="1"/>
  <c r="S448" i="1"/>
  <c r="S200" i="1"/>
  <c r="S204" i="1"/>
  <c r="S218" i="1"/>
  <c r="S213" i="1"/>
  <c r="S208" i="1"/>
  <c r="U250" i="1" l="1"/>
  <c r="U244" i="1" s="1"/>
  <c r="U225" i="1"/>
  <c r="U224" i="1" s="1"/>
  <c r="T229" i="1"/>
  <c r="T216" i="1"/>
  <c r="T217" i="1" s="1"/>
  <c r="T230" i="1"/>
  <c r="T211" i="1"/>
  <c r="S449" i="1"/>
  <c r="T212" i="1" l="1"/>
  <c r="T206" i="1"/>
  <c r="U202" i="1"/>
  <c r="U222" i="1"/>
  <c r="U245" i="1"/>
  <c r="U221" i="1" l="1"/>
  <c r="T207" i="1"/>
  <c r="T209" i="1"/>
  <c r="T199" i="1"/>
  <c r="U203" i="1"/>
  <c r="T208" i="1" l="1"/>
  <c r="T204" i="1"/>
  <c r="T218" i="1"/>
  <c r="T200" i="1"/>
  <c r="T213" i="1"/>
  <c r="T448" i="1"/>
  <c r="T449" i="1" s="1"/>
  <c r="U228" i="1"/>
  <c r="U424" i="1"/>
  <c r="U425" i="1" s="1"/>
  <c r="U226" i="1"/>
  <c r="V251" i="1"/>
  <c r="V250" i="1" l="1"/>
  <c r="V244" i="1" s="1"/>
  <c r="V225" i="1"/>
  <c r="V224" i="1" s="1"/>
  <c r="U211" i="1"/>
  <c r="U230" i="1"/>
  <c r="U229" i="1"/>
  <c r="U216" i="1"/>
  <c r="U217" i="1" l="1"/>
  <c r="U212" i="1"/>
  <c r="U206" i="1"/>
  <c r="V202" i="1"/>
  <c r="V222" i="1"/>
  <c r="V245" i="1"/>
  <c r="R111" i="1"/>
  <c r="R110" i="1" s="1"/>
  <c r="R136" i="1"/>
  <c r="R130" i="1" s="1"/>
  <c r="R297" i="1"/>
  <c r="R291" i="1" s="1"/>
  <c r="V221" i="1" l="1"/>
  <c r="V203" i="1"/>
  <c r="U209" i="1"/>
  <c r="U207" i="1"/>
  <c r="U199" i="1"/>
  <c r="R260" i="1"/>
  <c r="R259" i="1" s="1"/>
  <c r="R256" i="1" s="1"/>
  <c r="R108" i="1"/>
  <c r="R131" i="1"/>
  <c r="R88" i="1"/>
  <c r="R107" i="1" l="1"/>
  <c r="R112" i="1" s="1"/>
  <c r="U208" i="1"/>
  <c r="U200" i="1"/>
  <c r="U448" i="1"/>
  <c r="U449" i="1" s="1"/>
  <c r="U204" i="1"/>
  <c r="U218" i="1"/>
  <c r="U213" i="1"/>
  <c r="V424" i="1"/>
  <c r="V425" i="1" s="1"/>
  <c r="V228" i="1"/>
  <c r="V226" i="1"/>
  <c r="W251" i="1"/>
  <c r="R89" i="1"/>
  <c r="R261" i="1"/>
  <c r="S137" i="1" l="1"/>
  <c r="S298" i="1" s="1"/>
  <c r="R114" i="1"/>
  <c r="R102" i="1" s="1"/>
  <c r="R412" i="1"/>
  <c r="R409" i="1" s="1"/>
  <c r="W250" i="1"/>
  <c r="W244" i="1" s="1"/>
  <c r="W225" i="1"/>
  <c r="W224" i="1" s="1"/>
  <c r="V216" i="1"/>
  <c r="V230" i="1"/>
  <c r="V229" i="1"/>
  <c r="V211" i="1"/>
  <c r="R413" i="1"/>
  <c r="R270" i="1"/>
  <c r="R276" i="1"/>
  <c r="R257" i="1"/>
  <c r="R265" i="1"/>
  <c r="R273" i="1"/>
  <c r="R467" i="1"/>
  <c r="R115" i="1" l="1"/>
  <c r="S297" i="1"/>
  <c r="S291" i="1" s="1"/>
  <c r="S111" i="1"/>
  <c r="S110" i="1" s="1"/>
  <c r="S136" i="1"/>
  <c r="S130" i="1" s="1"/>
  <c r="R116" i="1"/>
  <c r="R97" i="1"/>
  <c r="R92" i="1" s="1"/>
  <c r="V206" i="1"/>
  <c r="V212" i="1"/>
  <c r="V217" i="1"/>
  <c r="W202" i="1"/>
  <c r="W222" i="1"/>
  <c r="W245" i="1"/>
  <c r="R267" i="1"/>
  <c r="R268" i="1" s="1"/>
  <c r="R418" i="1"/>
  <c r="R426" i="1"/>
  <c r="R410" i="1"/>
  <c r="R430" i="1"/>
  <c r="R422" i="1"/>
  <c r="R468" i="1"/>
  <c r="R500" i="1"/>
  <c r="N27" i="4"/>
  <c r="R479" i="1"/>
  <c r="R483" i="1"/>
  <c r="R103" i="1"/>
  <c r="R414" i="1"/>
  <c r="S108" i="1" l="1"/>
  <c r="S131" i="1"/>
  <c r="R98" i="1"/>
  <c r="S88" i="1"/>
  <c r="S260" i="1"/>
  <c r="S259" i="1" s="1"/>
  <c r="S256" i="1" s="1"/>
  <c r="S292" i="1"/>
  <c r="R452" i="1"/>
  <c r="R453" i="1" s="1"/>
  <c r="W203" i="1"/>
  <c r="W221" i="1"/>
  <c r="X251" i="1" s="1"/>
  <c r="V207" i="1"/>
  <c r="V209" i="1"/>
  <c r="V199" i="1"/>
  <c r="V208" i="1" s="1"/>
  <c r="R522" i="1"/>
  <c r="R484" i="1"/>
  <c r="R480" i="1"/>
  <c r="R475" i="1"/>
  <c r="N28" i="4"/>
  <c r="R501" i="1"/>
  <c r="R492" i="1"/>
  <c r="R93" i="1"/>
  <c r="R95" i="1"/>
  <c r="R85" i="1"/>
  <c r="R94" i="1" s="1"/>
  <c r="S107" i="1" l="1"/>
  <c r="S112" i="1" s="1"/>
  <c r="S261" i="1"/>
  <c r="S265" i="1"/>
  <c r="S276" i="1"/>
  <c r="S257" i="1"/>
  <c r="S273" i="1"/>
  <c r="S270" i="1"/>
  <c r="S89" i="1"/>
  <c r="X250" i="1"/>
  <c r="X244" i="1" s="1"/>
  <c r="X225" i="1"/>
  <c r="X224" i="1" s="1"/>
  <c r="X202" i="1" s="1"/>
  <c r="V448" i="1"/>
  <c r="V449" i="1" s="1"/>
  <c r="V200" i="1"/>
  <c r="V204" i="1"/>
  <c r="V213" i="1"/>
  <c r="V218" i="1"/>
  <c r="W424" i="1"/>
  <c r="W425" i="1" s="1"/>
  <c r="W228" i="1"/>
  <c r="W226" i="1"/>
  <c r="R860" i="1"/>
  <c r="R876" i="1" s="1"/>
  <c r="R493" i="1"/>
  <c r="R528" i="1"/>
  <c r="R476" i="1"/>
  <c r="N35" i="4"/>
  <c r="R86" i="1"/>
  <c r="R436" i="1"/>
  <c r="R90" i="1"/>
  <c r="R104" i="1"/>
  <c r="R99" i="1"/>
  <c r="R523" i="1"/>
  <c r="R525" i="1"/>
  <c r="S267" i="1" l="1"/>
  <c r="S268" i="1" s="1"/>
  <c r="T137" i="1"/>
  <c r="T298" i="1" s="1"/>
  <c r="S412" i="1"/>
  <c r="S114" i="1"/>
  <c r="S102" i="1" s="1"/>
  <c r="W229" i="1"/>
  <c r="W216" i="1"/>
  <c r="W230" i="1"/>
  <c r="W211" i="1"/>
  <c r="X203" i="1"/>
  <c r="X245" i="1"/>
  <c r="X222" i="1"/>
  <c r="X221" i="1" s="1"/>
  <c r="R878" i="1"/>
  <c r="R739" i="1" s="1"/>
  <c r="R675" i="1"/>
  <c r="N36" i="4"/>
  <c r="R437" i="1"/>
  <c r="R432" i="1"/>
  <c r="R531" i="1"/>
  <c r="R529" i="1"/>
  <c r="S115" i="1" l="1"/>
  <c r="S116" i="1"/>
  <c r="S97" i="1"/>
  <c r="T297" i="1"/>
  <c r="T291" i="1" s="1"/>
  <c r="S452" i="1"/>
  <c r="S453" i="1" s="1"/>
  <c r="T136" i="1"/>
  <c r="T130" i="1" s="1"/>
  <c r="T131" i="1" s="1"/>
  <c r="T111" i="1"/>
  <c r="T110" i="1" s="1"/>
  <c r="T88" i="1" s="1"/>
  <c r="S413" i="1"/>
  <c r="S103" i="1"/>
  <c r="S98" i="1"/>
  <c r="S92" i="1"/>
  <c r="T108" i="1"/>
  <c r="W206" i="1"/>
  <c r="W212" i="1"/>
  <c r="W217" i="1"/>
  <c r="X226" i="1"/>
  <c r="X228" i="1"/>
  <c r="X424" i="1"/>
  <c r="X425" i="1" s="1"/>
  <c r="R489" i="1"/>
  <c r="R462" i="1"/>
  <c r="R442" i="1"/>
  <c r="R514" i="1"/>
  <c r="R464" i="1"/>
  <c r="R446" i="1"/>
  <c r="R473" i="1"/>
  <c r="R542" i="1"/>
  <c r="R450" i="1"/>
  <c r="R520" i="1"/>
  <c r="R905" i="1"/>
  <c r="R433" i="1"/>
  <c r="R536" i="1"/>
  <c r="R858" i="1"/>
  <c r="R901" i="1"/>
  <c r="R557" i="1"/>
  <c r="R458" i="1"/>
  <c r="N24" i="4"/>
  <c r="R915" i="1"/>
  <c r="R469" i="1"/>
  <c r="R454" i="1"/>
  <c r="R481" i="1"/>
  <c r="R485" i="1"/>
  <c r="R477" i="1"/>
  <c r="R494" i="1"/>
  <c r="R524" i="1"/>
  <c r="R438" i="1"/>
  <c r="R530" i="1"/>
  <c r="T292" i="1" l="1"/>
  <c r="T260" i="1"/>
  <c r="T259" i="1" s="1"/>
  <c r="T107" i="1"/>
  <c r="U137" i="1" s="1"/>
  <c r="U298" i="1" s="1"/>
  <c r="T89" i="1"/>
  <c r="S95" i="1"/>
  <c r="S93" i="1"/>
  <c r="S85" i="1"/>
  <c r="X211" i="1"/>
  <c r="X229" i="1"/>
  <c r="X216" i="1"/>
  <c r="X230" i="1"/>
  <c r="W207" i="1"/>
  <c r="W209" i="1"/>
  <c r="W199" i="1"/>
  <c r="R880" i="1"/>
  <c r="R892" i="1"/>
  <c r="R872" i="1"/>
  <c r="R607" i="1"/>
  <c r="R515" i="1"/>
  <c r="R509" i="1"/>
  <c r="R919" i="1"/>
  <c r="S899" i="1" s="1"/>
  <c r="R742" i="1"/>
  <c r="R902" i="1"/>
  <c r="N33" i="4"/>
  <c r="N25" i="4"/>
  <c r="N39" i="4"/>
  <c r="N29" i="4"/>
  <c r="N37" i="4"/>
  <c r="R725" i="1"/>
  <c r="R909" i="1"/>
  <c r="R681" i="1" s="1"/>
  <c r="R906" i="1"/>
  <c r="U297" i="1" l="1"/>
  <c r="U291" i="1" s="1"/>
  <c r="U136" i="1"/>
  <c r="U130" i="1" s="1"/>
  <c r="U111" i="1"/>
  <c r="U110" i="1" s="1"/>
  <c r="U88" i="1" s="1"/>
  <c r="U89" i="1" s="1"/>
  <c r="S94" i="1"/>
  <c r="S86" i="1"/>
  <c r="S436" i="1"/>
  <c r="S90" i="1"/>
  <c r="S99" i="1"/>
  <c r="S104" i="1"/>
  <c r="T412" i="1"/>
  <c r="T114" i="1"/>
  <c r="T112" i="1"/>
  <c r="W200" i="1"/>
  <c r="W448" i="1"/>
  <c r="W449" i="1" s="1"/>
  <c r="W204" i="1"/>
  <c r="W218" i="1"/>
  <c r="W213" i="1"/>
  <c r="W208" i="1"/>
  <c r="X217" i="1"/>
  <c r="X212" i="1"/>
  <c r="X206" i="1"/>
  <c r="R949" i="1"/>
  <c r="R942" i="1"/>
  <c r="R680" i="1"/>
  <c r="R868" i="1"/>
  <c r="R674" i="1"/>
  <c r="R874" i="1"/>
  <c r="R732" i="1" s="1"/>
  <c r="R692" i="1"/>
  <c r="R894" i="1"/>
  <c r="R736" i="1" s="1"/>
  <c r="N40" i="4"/>
  <c r="N41" i="4"/>
  <c r="R911" i="1"/>
  <c r="R910" i="1"/>
  <c r="R511" i="1"/>
  <c r="R512" i="1"/>
  <c r="R510" i="1"/>
  <c r="R504" i="1"/>
  <c r="R676" i="1"/>
  <c r="R882" i="1"/>
  <c r="R733" i="1" s="1"/>
  <c r="R593" i="1"/>
  <c r="R768" i="1"/>
  <c r="N64" i="4" s="1"/>
  <c r="R775" i="1"/>
  <c r="R777" i="1" s="1"/>
  <c r="R741" i="1"/>
  <c r="R598" i="1"/>
  <c r="R630" i="1" s="1"/>
  <c r="R728" i="1"/>
  <c r="R704" i="1" s="1"/>
  <c r="T413" i="1" l="1"/>
  <c r="S437" i="1"/>
  <c r="T115" i="1"/>
  <c r="T102" i="1"/>
  <c r="T116" i="1"/>
  <c r="T97" i="1"/>
  <c r="U108" i="1"/>
  <c r="U131" i="1"/>
  <c r="U260" i="1"/>
  <c r="U259" i="1" s="1"/>
  <c r="U292" i="1"/>
  <c r="X207" i="1"/>
  <c r="X209" i="1"/>
  <c r="X199" i="1"/>
  <c r="R870" i="1"/>
  <c r="R869" i="1"/>
  <c r="R505" i="1"/>
  <c r="R507" i="1"/>
  <c r="R506" i="1"/>
  <c r="R862" i="1"/>
  <c r="R888" i="1" s="1"/>
  <c r="R544" i="1"/>
  <c r="R723" i="1"/>
  <c r="R770" i="1" s="1"/>
  <c r="N66" i="4" s="1"/>
  <c r="R778" i="1"/>
  <c r="N71" i="4"/>
  <c r="N72" i="4" s="1"/>
  <c r="U107" i="1" l="1"/>
  <c r="U112" i="1" s="1"/>
  <c r="T92" i="1"/>
  <c r="T98" i="1"/>
  <c r="T103" i="1"/>
  <c r="X208" i="1"/>
  <c r="X448" i="1"/>
  <c r="X449" i="1" s="1"/>
  <c r="X200" i="1"/>
  <c r="X204" i="1"/>
  <c r="X213" i="1"/>
  <c r="X218" i="1"/>
  <c r="R546" i="1"/>
  <c r="R570" i="1"/>
  <c r="R592" i="1"/>
  <c r="R594" i="1" s="1"/>
  <c r="R545" i="1"/>
  <c r="R690" i="1"/>
  <c r="R689" i="1" s="1"/>
  <c r="R688" i="1" s="1"/>
  <c r="R884" i="1"/>
  <c r="R890" i="1"/>
  <c r="R734" i="1" s="1"/>
  <c r="R731" i="1" s="1"/>
  <c r="R769" i="1" s="1"/>
  <c r="N65" i="4" s="1"/>
  <c r="V137" i="1" l="1"/>
  <c r="V298" i="1" s="1"/>
  <c r="U114" i="1"/>
  <c r="U102" i="1" s="1"/>
  <c r="U412" i="1"/>
  <c r="U413" i="1"/>
  <c r="T85" i="1"/>
  <c r="T94" i="1" s="1"/>
  <c r="T95" i="1"/>
  <c r="T93" i="1"/>
  <c r="R572" i="1"/>
  <c r="R574" i="1"/>
  <c r="R661" i="1"/>
  <c r="R571" i="1"/>
  <c r="R654" i="1"/>
  <c r="R885" i="1"/>
  <c r="R886" i="1"/>
  <c r="R864" i="1"/>
  <c r="R620" i="1"/>
  <c r="R596" i="1"/>
  <c r="R609" i="1"/>
  <c r="R595" i="1"/>
  <c r="U115" i="1" l="1"/>
  <c r="V136" i="1"/>
  <c r="V130" i="1" s="1"/>
  <c r="V108" i="1" s="1"/>
  <c r="V111" i="1"/>
  <c r="V110" i="1" s="1"/>
  <c r="V88" i="1" s="1"/>
  <c r="V89" i="1" s="1"/>
  <c r="U116" i="1"/>
  <c r="U97" i="1"/>
  <c r="U92" i="1" s="1"/>
  <c r="U103" i="1"/>
  <c r="T86" i="1"/>
  <c r="T436" i="1"/>
  <c r="T90" i="1"/>
  <c r="T99" i="1"/>
  <c r="T104" i="1"/>
  <c r="R665" i="1"/>
  <c r="R647" i="1" s="1"/>
  <c r="R641" i="1" s="1"/>
  <c r="R663" i="1"/>
  <c r="R662" i="1"/>
  <c r="R575" i="1"/>
  <c r="R656" i="1"/>
  <c r="R655" i="1"/>
  <c r="R658" i="1"/>
  <c r="R635" i="1" s="1"/>
  <c r="R629" i="1" s="1"/>
  <c r="R622" i="1"/>
  <c r="R936" i="1"/>
  <c r="N43" i="4"/>
  <c r="R621" i="1"/>
  <c r="R779" i="1"/>
  <c r="R578" i="1"/>
  <c r="R611" i="1"/>
  <c r="R610" i="1"/>
  <c r="R941" i="1"/>
  <c r="R943" i="1" s="1"/>
  <c r="R944" i="1" s="1"/>
  <c r="R948" i="1"/>
  <c r="R951" i="1" s="1"/>
  <c r="R952" i="1" s="1"/>
  <c r="R865" i="1"/>
  <c r="R866" i="1"/>
  <c r="U98" i="1" l="1"/>
  <c r="V131" i="1"/>
  <c r="U93" i="1"/>
  <c r="U85" i="1"/>
  <c r="U94" i="1" s="1"/>
  <c r="U95" i="1"/>
  <c r="T437" i="1"/>
  <c r="V107" i="1"/>
  <c r="W137" i="1" s="1"/>
  <c r="W298" i="1" s="1"/>
  <c r="R937" i="1"/>
  <c r="R938" i="1" s="1"/>
  <c r="N44" i="4"/>
  <c r="N45" i="4"/>
  <c r="R582" i="1"/>
  <c r="R583" i="1" s="1"/>
  <c r="R721" i="1"/>
  <c r="R580" i="1"/>
  <c r="R625" i="1"/>
  <c r="R579" i="1"/>
  <c r="W111" i="1" l="1"/>
  <c r="W110" i="1" s="1"/>
  <c r="W88" i="1" s="1"/>
  <c r="W89" i="1" s="1"/>
  <c r="W297" i="1"/>
  <c r="W291" i="1" s="1"/>
  <c r="W136" i="1"/>
  <c r="W130" i="1" s="1"/>
  <c r="U86" i="1"/>
  <c r="U99" i="1"/>
  <c r="U436" i="1"/>
  <c r="U90" i="1"/>
  <c r="U104" i="1"/>
  <c r="V412" i="1"/>
  <c r="V114" i="1"/>
  <c r="V112" i="1"/>
  <c r="R586" i="1"/>
  <c r="R587" i="1" s="1"/>
  <c r="R946" i="1"/>
  <c r="R954" i="1"/>
  <c r="R939" i="1"/>
  <c r="R649" i="1"/>
  <c r="R626" i="1"/>
  <c r="R637" i="1"/>
  <c r="R627" i="1"/>
  <c r="R719" i="1"/>
  <c r="R767" i="1"/>
  <c r="W260" i="1" l="1"/>
  <c r="V102" i="1"/>
  <c r="V116" i="1"/>
  <c r="V115" i="1"/>
  <c r="V97" i="1"/>
  <c r="W131" i="1"/>
  <c r="W108" i="1"/>
  <c r="V413" i="1"/>
  <c r="U437" i="1"/>
  <c r="N63" i="4"/>
  <c r="N67" i="4" s="1"/>
  <c r="R771" i="1"/>
  <c r="R638" i="1"/>
  <c r="R639" i="1"/>
  <c r="R924" i="1"/>
  <c r="R651" i="1"/>
  <c r="R650" i="1"/>
  <c r="N47" i="4"/>
  <c r="W107" i="1" l="1"/>
  <c r="W412" i="1" s="1"/>
  <c r="V92" i="1"/>
  <c r="V98" i="1"/>
  <c r="V103" i="1"/>
  <c r="N17" i="4"/>
  <c r="N12" i="4"/>
  <c r="N48" i="4"/>
  <c r="N49" i="4"/>
  <c r="R773" i="1"/>
  <c r="R781" i="1"/>
  <c r="R772" i="1"/>
  <c r="R749" i="1"/>
  <c r="N59" i="4"/>
  <c r="N69" i="4"/>
  <c r="N74" i="4"/>
  <c r="N68" i="4"/>
  <c r="W114" i="1" l="1"/>
  <c r="W97" i="1" s="1"/>
  <c r="W98" i="1" s="1"/>
  <c r="W413" i="1"/>
  <c r="W112" i="1"/>
  <c r="X137" i="1"/>
  <c r="X298" i="1" s="1"/>
  <c r="V93" i="1"/>
  <c r="V85" i="1"/>
  <c r="V94" i="1" s="1"/>
  <c r="V95" i="1"/>
  <c r="R782" i="1"/>
  <c r="R793" i="1"/>
  <c r="N82" i="4" s="1"/>
  <c r="C91" i="4" s="1"/>
  <c r="R787" i="1"/>
  <c r="R783" i="1"/>
  <c r="N51" i="4"/>
  <c r="S75" i="9" s="1"/>
  <c r="N76" i="4"/>
  <c r="N75" i="4"/>
  <c r="N18" i="4"/>
  <c r="N60" i="4"/>
  <c r="N15" i="4"/>
  <c r="R747" i="1"/>
  <c r="R757" i="1" s="1"/>
  <c r="R707" i="1"/>
  <c r="W116" i="1" l="1"/>
  <c r="W102" i="1"/>
  <c r="W115" i="1"/>
  <c r="X136" i="1"/>
  <c r="X130" i="1" s="1"/>
  <c r="X111" i="1"/>
  <c r="X110" i="1" s="1"/>
  <c r="X88" i="1" s="1"/>
  <c r="X89" i="1" s="1"/>
  <c r="X297" i="1"/>
  <c r="X291" i="1" s="1"/>
  <c r="V436" i="1"/>
  <c r="V90" i="1"/>
  <c r="V86" i="1"/>
  <c r="V104" i="1"/>
  <c r="V99" i="1"/>
  <c r="N78" i="4"/>
  <c r="R788" i="1"/>
  <c r="R789" i="1"/>
  <c r="N14" i="4"/>
  <c r="N54" i="4"/>
  <c r="N53" i="4"/>
  <c r="N52" i="4"/>
  <c r="R703" i="1"/>
  <c r="R702" i="1" s="1"/>
  <c r="C96" i="4"/>
  <c r="C95" i="4"/>
  <c r="C94" i="4"/>
  <c r="C97" i="4"/>
  <c r="C93" i="4"/>
  <c r="R673" i="1"/>
  <c r="W92" i="1" l="1"/>
  <c r="W103" i="1"/>
  <c r="X292" i="1"/>
  <c r="X260" i="1"/>
  <c r="X108" i="1"/>
  <c r="X107" i="1" s="1"/>
  <c r="X131" i="1"/>
  <c r="V437" i="1"/>
  <c r="N80" i="4"/>
  <c r="N79" i="4"/>
  <c r="S565" i="1"/>
  <c r="R672" i="1"/>
  <c r="R671" i="1" s="1"/>
  <c r="R714" i="1" s="1"/>
  <c r="R760" i="1"/>
  <c r="R801" i="1"/>
  <c r="R803" i="1" s="1"/>
  <c r="W93" i="1" l="1"/>
  <c r="W85" i="1"/>
  <c r="W95" i="1"/>
  <c r="X114" i="1"/>
  <c r="X412" i="1"/>
  <c r="X112" i="1"/>
  <c r="S548" i="1"/>
  <c r="S566" i="1"/>
  <c r="R806" i="1"/>
  <c r="R808" i="1"/>
  <c r="R804" i="1"/>
  <c r="N56" i="4"/>
  <c r="S759" i="1"/>
  <c r="R762" i="1"/>
  <c r="W94" i="1" l="1"/>
  <c r="W86" i="1"/>
  <c r="W436" i="1"/>
  <c r="W437" i="1" s="1"/>
  <c r="W90" i="1"/>
  <c r="W104" i="1"/>
  <c r="W99" i="1"/>
  <c r="X413" i="1"/>
  <c r="X116" i="1"/>
  <c r="X115" i="1"/>
  <c r="X102" i="1"/>
  <c r="X97" i="1"/>
  <c r="N57" i="4"/>
  <c r="N13" i="4"/>
  <c r="N16" i="4"/>
  <c r="S549" i="1"/>
  <c r="S785" i="1"/>
  <c r="X103" i="1" l="1"/>
  <c r="X98" i="1"/>
  <c r="X92" i="1"/>
  <c r="X95" i="1" l="1"/>
  <c r="X93" i="1"/>
  <c r="X85" i="1"/>
  <c r="X94" i="1" l="1"/>
  <c r="X86" i="1"/>
  <c r="X436" i="1"/>
  <c r="X99" i="1"/>
  <c r="X90" i="1"/>
  <c r="X104" i="1"/>
  <c r="X437" i="1" l="1"/>
  <c r="V297" i="1"/>
  <c r="V291" i="1" s="1"/>
  <c r="V292" i="1" l="1"/>
  <c r="V260" i="1"/>
  <c r="V259" i="1" s="1"/>
  <c r="W292" i="1"/>
  <c r="W259" i="1" l="1"/>
  <c r="X259" i="1" l="1"/>
  <c r="C36" i="9"/>
  <c r="D36" i="9"/>
  <c r="T65" i="1" s="1"/>
  <c r="C37" i="9"/>
  <c r="S181" i="1" s="1"/>
  <c r="S179" i="1" s="1"/>
  <c r="D37" i="9"/>
  <c r="T181" i="1" s="1"/>
  <c r="S65" i="1" l="1"/>
  <c r="S63" i="1" s="1"/>
  <c r="C48" i="9"/>
  <c r="C50" i="9" s="1"/>
  <c r="C51" i="9"/>
  <c r="D48" i="9"/>
  <c r="D50" i="9" s="1"/>
  <c r="T179" i="1"/>
  <c r="S175" i="1"/>
  <c r="S180" i="1"/>
  <c r="U179" i="1" l="1"/>
  <c r="T175" i="1"/>
  <c r="T180" i="1"/>
  <c r="C52" i="9"/>
  <c r="D51" i="9"/>
  <c r="S177" i="1"/>
  <c r="X37" i="9" s="1"/>
  <c r="S176" i="1"/>
  <c r="S193" i="1" s="1"/>
  <c r="S187" i="1" s="1"/>
  <c r="S59" i="1"/>
  <c r="T63" i="1"/>
  <c r="S64" i="1"/>
  <c r="X54" i="9" l="1"/>
  <c r="X62" i="9" s="1"/>
  <c r="S60" i="1"/>
  <c r="S61" i="1"/>
  <c r="T59" i="1"/>
  <c r="U63" i="1"/>
  <c r="T64" i="1"/>
  <c r="S165" i="1"/>
  <c r="S188" i="1"/>
  <c r="D52" i="9"/>
  <c r="E51" i="9"/>
  <c r="T176" i="1"/>
  <c r="T177" i="1"/>
  <c r="Y37" i="9" s="1"/>
  <c r="V181" i="1"/>
  <c r="V179" i="1" s="1"/>
  <c r="U175" i="1"/>
  <c r="U180" i="1"/>
  <c r="Y54" i="9" l="1"/>
  <c r="Y62" i="9" s="1"/>
  <c r="S80" i="1"/>
  <c r="S79" i="1" s="1"/>
  <c r="S71" i="1" s="1"/>
  <c r="X36" i="9"/>
  <c r="W181" i="1"/>
  <c r="W179" i="1" s="1"/>
  <c r="V175" i="1"/>
  <c r="V180" i="1"/>
  <c r="E52" i="9"/>
  <c r="S164" i="1"/>
  <c r="T194" i="1" s="1"/>
  <c r="U59" i="1"/>
  <c r="V63" i="1"/>
  <c r="U64" i="1"/>
  <c r="T60" i="1"/>
  <c r="T61" i="1"/>
  <c r="Y36" i="9" s="1"/>
  <c r="Y50" i="9" s="1"/>
  <c r="U176" i="1"/>
  <c r="U177" i="1"/>
  <c r="Z37" i="9" s="1"/>
  <c r="X50" i="9" l="1"/>
  <c r="X51" i="9" s="1"/>
  <c r="X52" i="9" s="1"/>
  <c r="Y53" i="9"/>
  <c r="Y61" i="9" s="1"/>
  <c r="X53" i="9"/>
  <c r="X61" i="9" s="1"/>
  <c r="Z54" i="9"/>
  <c r="Z62" i="9" s="1"/>
  <c r="S52" i="1"/>
  <c r="S51" i="1" s="1"/>
  <c r="S29" i="1" s="1"/>
  <c r="X181" i="1"/>
  <c r="X179" i="1" s="1"/>
  <c r="W180" i="1"/>
  <c r="W175" i="1"/>
  <c r="U60" i="1"/>
  <c r="U61" i="1"/>
  <c r="Z36" i="9" s="1"/>
  <c r="Z50" i="9" s="1"/>
  <c r="S169" i="1"/>
  <c r="S420" i="1"/>
  <c r="S171" i="1"/>
  <c r="V176" i="1"/>
  <c r="V177" i="1"/>
  <c r="AA37" i="9" s="1"/>
  <c r="AA54" i="9" s="1"/>
  <c r="AA62" i="9" s="1"/>
  <c r="S49" i="1"/>
  <c r="S72" i="1"/>
  <c r="V59" i="1"/>
  <c r="W63" i="1"/>
  <c r="V64" i="1"/>
  <c r="T168" i="1"/>
  <c r="T167" i="1" s="1"/>
  <c r="T307" i="1"/>
  <c r="T306" i="1" s="1"/>
  <c r="T300" i="1" s="1"/>
  <c r="T193" i="1"/>
  <c r="T187" i="1" s="1"/>
  <c r="Z53" i="9" l="1"/>
  <c r="Z61" i="9" s="1"/>
  <c r="Y51" i="9"/>
  <c r="Y52" i="9" s="1"/>
  <c r="T165" i="1"/>
  <c r="T188" i="1"/>
  <c r="T301" i="1"/>
  <c r="T264" i="1"/>
  <c r="T263" i="1" s="1"/>
  <c r="S159" i="1"/>
  <c r="S172" i="1"/>
  <c r="S154" i="1"/>
  <c r="S173" i="1"/>
  <c r="T145" i="1"/>
  <c r="S421" i="1"/>
  <c r="W59" i="1"/>
  <c r="X63" i="1"/>
  <c r="W64" i="1"/>
  <c r="V60" i="1"/>
  <c r="V61" i="1"/>
  <c r="S48" i="1"/>
  <c r="T80" i="1" s="1"/>
  <c r="W176" i="1"/>
  <c r="W177" i="1"/>
  <c r="AB37" i="9" s="1"/>
  <c r="AB54" i="9" s="1"/>
  <c r="AB62" i="9" s="1"/>
  <c r="X175" i="1"/>
  <c r="X180" i="1"/>
  <c r="S30" i="1"/>
  <c r="S467" i="1"/>
  <c r="Z51" i="9" l="1"/>
  <c r="Z52" i="9" s="1"/>
  <c r="F50" i="9"/>
  <c r="F51" i="9" s="1"/>
  <c r="F52" i="9" s="1"/>
  <c r="AA36" i="9"/>
  <c r="T256" i="1"/>
  <c r="T265" i="1" s="1"/>
  <c r="X176" i="1"/>
  <c r="X177" i="1"/>
  <c r="AC37" i="9" s="1"/>
  <c r="AC54" i="9" s="1"/>
  <c r="AC62" i="9" s="1"/>
  <c r="T146" i="1"/>
  <c r="T79" i="1"/>
  <c r="T71" i="1" s="1"/>
  <c r="T52" i="1"/>
  <c r="T51" i="1" s="1"/>
  <c r="S416" i="1"/>
  <c r="S55" i="1"/>
  <c r="AN59" i="1"/>
  <c r="S53" i="1"/>
  <c r="S155" i="1"/>
  <c r="S149" i="1"/>
  <c r="S160" i="1"/>
  <c r="S468" i="1"/>
  <c r="S500" i="1"/>
  <c r="O27" i="4"/>
  <c r="X64" i="1"/>
  <c r="X59" i="1"/>
  <c r="W60" i="1"/>
  <c r="W61" i="1"/>
  <c r="T164" i="1"/>
  <c r="U194" i="1" s="1"/>
  <c r="AA50" i="9" l="1"/>
  <c r="AA51" i="9" s="1"/>
  <c r="AA52" i="9" s="1"/>
  <c r="AA53" i="9"/>
  <c r="AA61" i="9" s="1"/>
  <c r="G50" i="9"/>
  <c r="G51" i="9" s="1"/>
  <c r="G52" i="9" s="1"/>
  <c r="AB36" i="9"/>
  <c r="AB50" i="9" s="1"/>
  <c r="S492" i="1"/>
  <c r="S501" i="1"/>
  <c r="U168" i="1"/>
  <c r="U167" i="1" s="1"/>
  <c r="U307" i="1"/>
  <c r="U306" i="1" s="1"/>
  <c r="U300" i="1" s="1"/>
  <c r="U193" i="1"/>
  <c r="U187" i="1" s="1"/>
  <c r="T49" i="1"/>
  <c r="T72" i="1"/>
  <c r="T171" i="1"/>
  <c r="T420" i="1"/>
  <c r="T169" i="1"/>
  <c r="S150" i="1"/>
  <c r="S152" i="1"/>
  <c r="S142" i="1"/>
  <c r="S151" i="1"/>
  <c r="T273" i="1"/>
  <c r="T261" i="1"/>
  <c r="T276" i="1"/>
  <c r="T270" i="1"/>
  <c r="T257" i="1"/>
  <c r="T29" i="1"/>
  <c r="X61" i="1"/>
  <c r="X60" i="1"/>
  <c r="S38" i="1"/>
  <c r="S56" i="1"/>
  <c r="S43" i="1"/>
  <c r="S57" i="1"/>
  <c r="O28" i="4"/>
  <c r="S409" i="1"/>
  <c r="S418" i="1" s="1"/>
  <c r="S417" i="1"/>
  <c r="AB51" i="9" l="1"/>
  <c r="AB52" i="9" s="1"/>
  <c r="AB53" i="9"/>
  <c r="AB61" i="9" s="1"/>
  <c r="T267" i="1"/>
  <c r="T268" i="1" s="1"/>
  <c r="H50" i="9"/>
  <c r="H51" i="9" s="1"/>
  <c r="H52" i="9" s="1"/>
  <c r="AC36" i="9"/>
  <c r="AC50" i="9" s="1"/>
  <c r="T421" i="1"/>
  <c r="T48" i="1"/>
  <c r="T452" i="1"/>
  <c r="S410" i="1"/>
  <c r="S426" i="1"/>
  <c r="S414" i="1"/>
  <c r="S430" i="1"/>
  <c r="S422" i="1"/>
  <c r="S44" i="1"/>
  <c r="S483" i="1"/>
  <c r="U264" i="1"/>
  <c r="U263" i="1" s="1"/>
  <c r="U301" i="1"/>
  <c r="U145" i="1"/>
  <c r="S444" i="1"/>
  <c r="S147" i="1"/>
  <c r="S143" i="1"/>
  <c r="S156" i="1"/>
  <c r="S161" i="1"/>
  <c r="S493" i="1"/>
  <c r="S860" i="1"/>
  <c r="S876" i="1" s="1"/>
  <c r="T173" i="1"/>
  <c r="T159" i="1"/>
  <c r="T172" i="1"/>
  <c r="T154" i="1"/>
  <c r="U188" i="1"/>
  <c r="U165" i="1"/>
  <c r="S33" i="1"/>
  <c r="S479" i="1"/>
  <c r="S39" i="1"/>
  <c r="T30" i="1"/>
  <c r="T467" i="1"/>
  <c r="AC51" i="9" l="1"/>
  <c r="AC52" i="9" s="1"/>
  <c r="AC53" i="9"/>
  <c r="AC61" i="9" s="1"/>
  <c r="T416" i="1"/>
  <c r="T55" i="1"/>
  <c r="AO59" i="1"/>
  <c r="T53" i="1"/>
  <c r="S34" i="1"/>
  <c r="S36" i="1"/>
  <c r="S22" i="1"/>
  <c r="S35" i="1" s="1"/>
  <c r="U80" i="1"/>
  <c r="S475" i="1"/>
  <c r="S480" i="1"/>
  <c r="U164" i="1"/>
  <c r="T155" i="1"/>
  <c r="T149" i="1"/>
  <c r="T160" i="1"/>
  <c r="U146" i="1"/>
  <c r="S878" i="1"/>
  <c r="S739" i="1" s="1"/>
  <c r="S675" i="1"/>
  <c r="U256" i="1"/>
  <c r="U265" i="1" s="1"/>
  <c r="S445" i="1"/>
  <c r="T468" i="1"/>
  <c r="T500" i="1"/>
  <c r="P27" i="4"/>
  <c r="T453" i="1"/>
  <c r="S484" i="1"/>
  <c r="S522" i="1"/>
  <c r="P28" i="4" l="1"/>
  <c r="T492" i="1"/>
  <c r="T501" i="1"/>
  <c r="S27" i="1"/>
  <c r="S440" i="1"/>
  <c r="S23" i="1"/>
  <c r="S31" i="1"/>
  <c r="S40" i="1"/>
  <c r="S45" i="1"/>
  <c r="U273" i="1"/>
  <c r="U261" i="1"/>
  <c r="U276" i="1"/>
  <c r="U270" i="1"/>
  <c r="U257" i="1"/>
  <c r="S476" i="1"/>
  <c r="S528" i="1"/>
  <c r="O35" i="4"/>
  <c r="U79" i="1"/>
  <c r="U71" i="1" s="1"/>
  <c r="U52" i="1"/>
  <c r="U51" i="1" s="1"/>
  <c r="T150" i="1"/>
  <c r="T152" i="1"/>
  <c r="T142" i="1"/>
  <c r="S523" i="1"/>
  <c r="S525" i="1"/>
  <c r="U171" i="1"/>
  <c r="U420" i="1"/>
  <c r="U169" i="1"/>
  <c r="T38" i="1"/>
  <c r="T56" i="1"/>
  <c r="T43" i="1"/>
  <c r="T57" i="1"/>
  <c r="V194" i="1"/>
  <c r="T409" i="1"/>
  <c r="T417" i="1"/>
  <c r="U49" i="1" l="1"/>
  <c r="U72" i="1"/>
  <c r="S529" i="1"/>
  <c r="S531" i="1"/>
  <c r="U173" i="1"/>
  <c r="U159" i="1"/>
  <c r="U172" i="1"/>
  <c r="U154" i="1"/>
  <c r="S432" i="1"/>
  <c r="S530" i="1" s="1"/>
  <c r="S441" i="1"/>
  <c r="T410" i="1"/>
  <c r="T426" i="1"/>
  <c r="T414" i="1"/>
  <c r="T430" i="1"/>
  <c r="T422" i="1"/>
  <c r="T493" i="1"/>
  <c r="T860" i="1"/>
  <c r="T876" i="1" s="1"/>
  <c r="T44" i="1"/>
  <c r="T483" i="1"/>
  <c r="U29" i="1"/>
  <c r="O36" i="4"/>
  <c r="U421" i="1"/>
  <c r="T33" i="1"/>
  <c r="T479" i="1"/>
  <c r="T39" i="1"/>
  <c r="T418" i="1"/>
  <c r="U267" i="1"/>
  <c r="V168" i="1"/>
  <c r="V167" i="1" s="1"/>
  <c r="V307" i="1"/>
  <c r="V306" i="1" s="1"/>
  <c r="V300" i="1" s="1"/>
  <c r="V193" i="1"/>
  <c r="V187" i="1" s="1"/>
  <c r="T444" i="1"/>
  <c r="T143" i="1"/>
  <c r="T147" i="1"/>
  <c r="T156" i="1"/>
  <c r="T161" i="1"/>
  <c r="T151" i="1"/>
  <c r="S442" i="1" l="1"/>
  <c r="T675" i="1"/>
  <c r="T878" i="1"/>
  <c r="T739" i="1" s="1"/>
  <c r="T475" i="1"/>
  <c r="T480" i="1"/>
  <c r="U155" i="1"/>
  <c r="U149" i="1"/>
  <c r="T445" i="1"/>
  <c r="V188" i="1"/>
  <c r="V165" i="1"/>
  <c r="T34" i="1"/>
  <c r="T36" i="1"/>
  <c r="T22" i="1"/>
  <c r="U160" i="1"/>
  <c r="V145" i="1"/>
  <c r="T484" i="1"/>
  <c r="T522" i="1"/>
  <c r="S438" i="1"/>
  <c r="S557" i="1"/>
  <c r="S458" i="1"/>
  <c r="S464" i="1"/>
  <c r="S473" i="1"/>
  <c r="S489" i="1"/>
  <c r="S514" i="1"/>
  <c r="S520" i="1"/>
  <c r="S542" i="1"/>
  <c r="S433" i="1"/>
  <c r="S631" i="1" s="1"/>
  <c r="S450" i="1"/>
  <c r="S454" i="1"/>
  <c r="S462" i="1"/>
  <c r="S858" i="1"/>
  <c r="S536" i="1"/>
  <c r="O24" i="4"/>
  <c r="S905" i="1"/>
  <c r="S901" i="1"/>
  <c r="S469" i="1"/>
  <c r="S494" i="1"/>
  <c r="S485" i="1"/>
  <c r="S446" i="1"/>
  <c r="S481" i="1"/>
  <c r="S477" i="1"/>
  <c r="S524" i="1"/>
  <c r="V264" i="1"/>
  <c r="V263" i="1" s="1"/>
  <c r="V301" i="1"/>
  <c r="U467" i="1"/>
  <c r="U30" i="1"/>
  <c r="U268" i="1"/>
  <c r="U452" i="1"/>
  <c r="U48" i="1"/>
  <c r="T523" i="1" l="1"/>
  <c r="T525" i="1"/>
  <c r="U453" i="1"/>
  <c r="S643" i="1"/>
  <c r="S902" i="1"/>
  <c r="S919" i="1"/>
  <c r="T899" i="1" s="1"/>
  <c r="S742" i="1"/>
  <c r="S725" i="1"/>
  <c r="S906" i="1"/>
  <c r="V146" i="1"/>
  <c r="U150" i="1"/>
  <c r="U152" i="1"/>
  <c r="U142" i="1"/>
  <c r="V256" i="1"/>
  <c r="V265" i="1" s="1"/>
  <c r="O39" i="4"/>
  <c r="O25" i="4"/>
  <c r="O33" i="4"/>
  <c r="O29" i="4"/>
  <c r="O37" i="4"/>
  <c r="T27" i="1"/>
  <c r="T440" i="1"/>
  <c r="T23" i="1"/>
  <c r="T31" i="1"/>
  <c r="T40" i="1"/>
  <c r="T45" i="1"/>
  <c r="V164" i="1"/>
  <c r="W194" i="1" s="1"/>
  <c r="U468" i="1"/>
  <c r="U500" i="1"/>
  <c r="Q27" i="4"/>
  <c r="S509" i="1"/>
  <c r="S515" i="1"/>
  <c r="S607" i="1"/>
  <c r="T476" i="1"/>
  <c r="T528" i="1"/>
  <c r="P35" i="4"/>
  <c r="U416" i="1"/>
  <c r="AP59" i="1"/>
  <c r="U55" i="1"/>
  <c r="U53" i="1"/>
  <c r="S872" i="1"/>
  <c r="S880" i="1"/>
  <c r="S892" i="1"/>
  <c r="V80" i="1"/>
  <c r="T35" i="1"/>
  <c r="W168" i="1" l="1"/>
  <c r="W167" i="1" s="1"/>
  <c r="W307" i="1"/>
  <c r="W306" i="1" s="1"/>
  <c r="W300" i="1" s="1"/>
  <c r="W193" i="1"/>
  <c r="W187" i="1" s="1"/>
  <c r="S593" i="1"/>
  <c r="S768" i="1"/>
  <c r="O64" i="4" s="1"/>
  <c r="T529" i="1"/>
  <c r="T531" i="1"/>
  <c r="V273" i="1"/>
  <c r="V261" i="1"/>
  <c r="V276" i="1"/>
  <c r="V257" i="1"/>
  <c r="V270" i="1"/>
  <c r="S894" i="1"/>
  <c r="S736" i="1" s="1"/>
  <c r="S692" i="1"/>
  <c r="S882" i="1"/>
  <c r="S733" i="1" s="1"/>
  <c r="S676" i="1"/>
  <c r="T432" i="1"/>
  <c r="T441" i="1"/>
  <c r="T442" i="1"/>
  <c r="S913" i="1"/>
  <c r="P36" i="4"/>
  <c r="U444" i="1"/>
  <c r="U143" i="1"/>
  <c r="U147" i="1"/>
  <c r="U161" i="1"/>
  <c r="U156" i="1"/>
  <c r="S598" i="1"/>
  <c r="S630" i="1" s="1"/>
  <c r="S728" i="1"/>
  <c r="S704" i="1" s="1"/>
  <c r="U151" i="1"/>
  <c r="S504" i="1"/>
  <c r="S511" i="1"/>
  <c r="S510" i="1"/>
  <c r="S512" i="1"/>
  <c r="U38" i="1"/>
  <c r="U56" i="1"/>
  <c r="U43" i="1"/>
  <c r="U57" i="1"/>
  <c r="S741" i="1"/>
  <c r="S775" i="1"/>
  <c r="S777" i="1" s="1"/>
  <c r="V79" i="1"/>
  <c r="V71" i="1" s="1"/>
  <c r="V52" i="1"/>
  <c r="V51" i="1" s="1"/>
  <c r="S868" i="1"/>
  <c r="S874" i="1"/>
  <c r="S732" i="1" s="1"/>
  <c r="S674" i="1"/>
  <c r="Q28" i="4"/>
  <c r="U492" i="1"/>
  <c r="U501" i="1"/>
  <c r="U409" i="1"/>
  <c r="U417" i="1"/>
  <c r="V171" i="1"/>
  <c r="V420" i="1"/>
  <c r="V169" i="1"/>
  <c r="O41" i="4"/>
  <c r="O40" i="4"/>
  <c r="V173" i="1" l="1"/>
  <c r="V159" i="1"/>
  <c r="V172" i="1"/>
  <c r="V154" i="1"/>
  <c r="V29" i="1"/>
  <c r="U410" i="1"/>
  <c r="U426" i="1"/>
  <c r="U414" i="1"/>
  <c r="U430" i="1"/>
  <c r="U422" i="1"/>
  <c r="S723" i="1"/>
  <c r="S770" i="1" s="1"/>
  <c r="O66" i="4" s="1"/>
  <c r="S870" i="1"/>
  <c r="S869" i="1"/>
  <c r="T438" i="1"/>
  <c r="T557" i="1"/>
  <c r="T458" i="1"/>
  <c r="T464" i="1"/>
  <c r="T473" i="1"/>
  <c r="T489" i="1"/>
  <c r="T514" i="1"/>
  <c r="T520" i="1"/>
  <c r="T542" i="1"/>
  <c r="T433" i="1"/>
  <c r="T631" i="1" s="1"/>
  <c r="T450" i="1"/>
  <c r="T858" i="1"/>
  <c r="T536" i="1"/>
  <c r="T462" i="1"/>
  <c r="P24" i="4"/>
  <c r="T905" i="1"/>
  <c r="T901" i="1"/>
  <c r="T454" i="1"/>
  <c r="T469" i="1"/>
  <c r="T494" i="1"/>
  <c r="T481" i="1"/>
  <c r="T446" i="1"/>
  <c r="T485" i="1"/>
  <c r="T477" i="1"/>
  <c r="T524" i="1"/>
  <c r="V72" i="1"/>
  <c r="V49" i="1"/>
  <c r="S778" i="1"/>
  <c r="O71" i="4"/>
  <c r="O72" i="4" s="1"/>
  <c r="T530" i="1"/>
  <c r="U418" i="1"/>
  <c r="U33" i="1"/>
  <c r="U479" i="1"/>
  <c r="U39" i="1"/>
  <c r="U445" i="1"/>
  <c r="V421" i="1"/>
  <c r="V267" i="1"/>
  <c r="W188" i="1"/>
  <c r="W165" i="1"/>
  <c r="W264" i="1"/>
  <c r="W263" i="1" s="1"/>
  <c r="W301" i="1"/>
  <c r="S506" i="1"/>
  <c r="S505" i="1"/>
  <c r="S507" i="1"/>
  <c r="S862" i="1"/>
  <c r="S888" i="1" s="1"/>
  <c r="S544" i="1"/>
  <c r="U483" i="1"/>
  <c r="U44" i="1"/>
  <c r="U493" i="1"/>
  <c r="U860" i="1"/>
  <c r="U876" i="1" s="1"/>
  <c r="S683" i="1"/>
  <c r="S915" i="1"/>
  <c r="S914" i="1"/>
  <c r="S909" i="1"/>
  <c r="W145" i="1"/>
  <c r="S911" i="1" l="1"/>
  <c r="S910" i="1"/>
  <c r="S681" i="1"/>
  <c r="P33" i="4"/>
  <c r="P39" i="4"/>
  <c r="P25" i="4"/>
  <c r="P29" i="4"/>
  <c r="P37" i="4"/>
  <c r="T892" i="1"/>
  <c r="T872" i="1"/>
  <c r="T880" i="1"/>
  <c r="S545" i="1"/>
  <c r="S570" i="1"/>
  <c r="S592" i="1"/>
  <c r="S594" i="1" s="1"/>
  <c r="S546" i="1"/>
  <c r="V467" i="1"/>
  <c r="V30" i="1"/>
  <c r="V155" i="1"/>
  <c r="V149" i="1"/>
  <c r="V48" i="1"/>
  <c r="S950" i="1"/>
  <c r="W256" i="1"/>
  <c r="W265" i="1" s="1"/>
  <c r="W164" i="1"/>
  <c r="T643" i="1"/>
  <c r="T725" i="1"/>
  <c r="T906" i="1"/>
  <c r="U475" i="1"/>
  <c r="U480" i="1"/>
  <c r="U675" i="1"/>
  <c r="U878" i="1"/>
  <c r="U739" i="1" s="1"/>
  <c r="U34" i="1"/>
  <c r="U36" i="1"/>
  <c r="U22" i="1"/>
  <c r="V160" i="1"/>
  <c r="T509" i="1"/>
  <c r="T515" i="1"/>
  <c r="T607" i="1"/>
  <c r="S690" i="1"/>
  <c r="S689" i="1" s="1"/>
  <c r="S688" i="1" s="1"/>
  <c r="S890" i="1"/>
  <c r="S734" i="1" s="1"/>
  <c r="S731" i="1" s="1"/>
  <c r="S769" i="1" s="1"/>
  <c r="O65" i="4" s="1"/>
  <c r="S884" i="1"/>
  <c r="W146" i="1"/>
  <c r="U522" i="1"/>
  <c r="U484" i="1"/>
  <c r="V268" i="1"/>
  <c r="V452" i="1"/>
  <c r="T742" i="1"/>
  <c r="T902" i="1"/>
  <c r="T919" i="1"/>
  <c r="U899" i="1" s="1"/>
  <c r="V416" i="1" l="1"/>
  <c r="V55" i="1"/>
  <c r="AQ59" i="1"/>
  <c r="V53" i="1"/>
  <c r="T882" i="1"/>
  <c r="T733" i="1" s="1"/>
  <c r="T676" i="1"/>
  <c r="V150" i="1"/>
  <c r="V152" i="1"/>
  <c r="V142" i="1"/>
  <c r="V151" i="1" s="1"/>
  <c r="P41" i="4"/>
  <c r="P40" i="4"/>
  <c r="U523" i="1"/>
  <c r="U525" i="1"/>
  <c r="T868" i="1"/>
  <c r="T874" i="1"/>
  <c r="T732" i="1" s="1"/>
  <c r="T674" i="1"/>
  <c r="T913" i="1"/>
  <c r="W171" i="1"/>
  <c r="W420" i="1"/>
  <c r="W169" i="1"/>
  <c r="X194" i="1"/>
  <c r="W80" i="1"/>
  <c r="T593" i="1"/>
  <c r="T768" i="1"/>
  <c r="P64" i="4" s="1"/>
  <c r="U27" i="1"/>
  <c r="U440" i="1"/>
  <c r="U23" i="1"/>
  <c r="U31" i="1"/>
  <c r="U40" i="1"/>
  <c r="U45" i="1"/>
  <c r="T692" i="1"/>
  <c r="T894" i="1"/>
  <c r="T736" i="1" s="1"/>
  <c r="S885" i="1"/>
  <c r="S886" i="1"/>
  <c r="S864" i="1"/>
  <c r="S942" i="1"/>
  <c r="S949" i="1"/>
  <c r="S680" i="1"/>
  <c r="V468" i="1"/>
  <c r="V500" i="1"/>
  <c r="R27" i="4"/>
  <c r="W273" i="1"/>
  <c r="W261" i="1"/>
  <c r="W276" i="1"/>
  <c r="W270" i="1"/>
  <c r="W267" i="1" s="1"/>
  <c r="W268" i="1" s="1"/>
  <c r="W257" i="1"/>
  <c r="T741" i="1"/>
  <c r="T775" i="1"/>
  <c r="T777" i="1" s="1"/>
  <c r="T598" i="1"/>
  <c r="T630" i="1" s="1"/>
  <c r="T728" i="1"/>
  <c r="T704" i="1" s="1"/>
  <c r="S595" i="1"/>
  <c r="S596" i="1"/>
  <c r="S620" i="1"/>
  <c r="S609" i="1"/>
  <c r="T504" i="1"/>
  <c r="T511" i="1"/>
  <c r="T510" i="1"/>
  <c r="T512" i="1"/>
  <c r="U35" i="1"/>
  <c r="V453" i="1"/>
  <c r="U528" i="1"/>
  <c r="U476" i="1"/>
  <c r="Q35" i="4"/>
  <c r="S571" i="1"/>
  <c r="S574" i="1"/>
  <c r="S578" i="1" s="1"/>
  <c r="S572" i="1"/>
  <c r="S654" i="1"/>
  <c r="S661" i="1"/>
  <c r="T778" i="1" l="1"/>
  <c r="P71" i="4"/>
  <c r="P72" i="4" s="1"/>
  <c r="S662" i="1"/>
  <c r="S665" i="1"/>
  <c r="S647" i="1" s="1"/>
  <c r="S641" i="1" s="1"/>
  <c r="S663" i="1"/>
  <c r="W421" i="1"/>
  <c r="W173" i="1"/>
  <c r="W159" i="1"/>
  <c r="W172" i="1"/>
  <c r="W154" i="1"/>
  <c r="T915" i="1"/>
  <c r="T914" i="1"/>
  <c r="T683" i="1"/>
  <c r="T909" i="1"/>
  <c r="T506" i="1"/>
  <c r="T505" i="1"/>
  <c r="T507" i="1"/>
  <c r="T862" i="1"/>
  <c r="T888" i="1" s="1"/>
  <c r="T544" i="1"/>
  <c r="T870" i="1"/>
  <c r="T869" i="1"/>
  <c r="S580" i="1"/>
  <c r="S579" i="1"/>
  <c r="S582" i="1"/>
  <c r="S583" i="1" s="1"/>
  <c r="S721" i="1"/>
  <c r="S625" i="1"/>
  <c r="S575" i="1"/>
  <c r="S865" i="1"/>
  <c r="S866" i="1"/>
  <c r="S941" i="1"/>
  <c r="S943" i="1" s="1"/>
  <c r="S944" i="1" s="1"/>
  <c r="S948" i="1"/>
  <c r="S951" i="1" s="1"/>
  <c r="S952" i="1" s="1"/>
  <c r="S610" i="1"/>
  <c r="S611" i="1"/>
  <c r="W452" i="1"/>
  <c r="V143" i="1"/>
  <c r="V444" i="1"/>
  <c r="V147" i="1"/>
  <c r="V161" i="1"/>
  <c r="V156" i="1"/>
  <c r="S655" i="1"/>
  <c r="S658" i="1"/>
  <c r="S635" i="1" s="1"/>
  <c r="S629" i="1" s="1"/>
  <c r="S656" i="1"/>
  <c r="U432" i="1"/>
  <c r="U530" i="1" s="1"/>
  <c r="U441" i="1"/>
  <c r="T723" i="1"/>
  <c r="T770" i="1" s="1"/>
  <c r="P66" i="4" s="1"/>
  <c r="Q36" i="4"/>
  <c r="S622" i="1"/>
  <c r="S621" i="1"/>
  <c r="S936" i="1"/>
  <c r="O43" i="4"/>
  <c r="S779" i="1"/>
  <c r="W79" i="1"/>
  <c r="W71" i="1" s="1"/>
  <c r="W52" i="1"/>
  <c r="W51" i="1" s="1"/>
  <c r="V38" i="1"/>
  <c r="V56" i="1"/>
  <c r="V43" i="1"/>
  <c r="V57" i="1"/>
  <c r="R28" i="4"/>
  <c r="V27" i="4"/>
  <c r="X168" i="1"/>
  <c r="X167" i="1" s="1"/>
  <c r="X307" i="1"/>
  <c r="X306" i="1" s="1"/>
  <c r="X300" i="1" s="1"/>
  <c r="X193" i="1"/>
  <c r="X187" i="1" s="1"/>
  <c r="U529" i="1"/>
  <c r="U531" i="1"/>
  <c r="V492" i="1"/>
  <c r="V501" i="1"/>
  <c r="V409" i="1"/>
  <c r="V418" i="1" s="1"/>
  <c r="V417" i="1"/>
  <c r="U442" i="1" l="1"/>
  <c r="S586" i="1"/>
  <c r="S587" i="1" s="1"/>
  <c r="V33" i="1"/>
  <c r="V479" i="1"/>
  <c r="V39" i="1"/>
  <c r="T690" i="1"/>
  <c r="T689" i="1" s="1"/>
  <c r="T688" i="1" s="1"/>
  <c r="T884" i="1"/>
  <c r="T890" i="1"/>
  <c r="T734" i="1" s="1"/>
  <c r="T731" i="1" s="1"/>
  <c r="T769" i="1" s="1"/>
  <c r="P65" i="4" s="1"/>
  <c r="S626" i="1"/>
  <c r="S637" i="1"/>
  <c r="S649" i="1"/>
  <c r="S627" i="1"/>
  <c r="W29" i="1"/>
  <c r="T950" i="1"/>
  <c r="V445" i="1"/>
  <c r="W453" i="1"/>
  <c r="T545" i="1"/>
  <c r="T592" i="1"/>
  <c r="T594" i="1" s="1"/>
  <c r="T546" i="1"/>
  <c r="V483" i="1"/>
  <c r="V44" i="1"/>
  <c r="S767" i="1"/>
  <c r="S719" i="1"/>
  <c r="V493" i="1"/>
  <c r="V860" i="1"/>
  <c r="V876" i="1" s="1"/>
  <c r="T911" i="1"/>
  <c r="T910" i="1"/>
  <c r="T681" i="1"/>
  <c r="U462" i="1"/>
  <c r="U536" i="1"/>
  <c r="U438" i="1"/>
  <c r="U557" i="1"/>
  <c r="U458" i="1"/>
  <c r="U464" i="1"/>
  <c r="U473" i="1"/>
  <c r="U489" i="1"/>
  <c r="U514" i="1"/>
  <c r="U520" i="1"/>
  <c r="U542" i="1"/>
  <c r="U433" i="1"/>
  <c r="U631" i="1" s="1"/>
  <c r="U450" i="1"/>
  <c r="Q24" i="4"/>
  <c r="U858" i="1"/>
  <c r="U905" i="1"/>
  <c r="U901" i="1"/>
  <c r="U469" i="1"/>
  <c r="U454" i="1"/>
  <c r="U494" i="1"/>
  <c r="U446" i="1"/>
  <c r="U481" i="1"/>
  <c r="U485" i="1"/>
  <c r="U524" i="1"/>
  <c r="U477" i="1"/>
  <c r="W72" i="1"/>
  <c r="W49" i="1"/>
  <c r="X188" i="1"/>
  <c r="X165" i="1"/>
  <c r="X164" i="1" s="1"/>
  <c r="X169" i="1" s="1"/>
  <c r="X264" i="1"/>
  <c r="X263" i="1" s="1"/>
  <c r="X301" i="1"/>
  <c r="O44" i="4"/>
  <c r="O45" i="4"/>
  <c r="W155" i="1"/>
  <c r="W149" i="1"/>
  <c r="X145" i="1"/>
  <c r="S937" i="1"/>
  <c r="S938" i="1" s="1"/>
  <c r="V410" i="1"/>
  <c r="V426" i="1"/>
  <c r="V430" i="1"/>
  <c r="V414" i="1"/>
  <c r="V422" i="1"/>
  <c r="W160" i="1"/>
  <c r="S939" i="1" l="1"/>
  <c r="S954" i="1"/>
  <c r="S946" i="1"/>
  <c r="V675" i="1"/>
  <c r="V878" i="1"/>
  <c r="V739" i="1" s="1"/>
  <c r="S651" i="1"/>
  <c r="O47" i="4"/>
  <c r="S650" i="1"/>
  <c r="T885" i="1"/>
  <c r="T886" i="1"/>
  <c r="T864" i="1"/>
  <c r="T680" i="1"/>
  <c r="T942" i="1"/>
  <c r="T949" i="1"/>
  <c r="U515" i="1"/>
  <c r="U509" i="1"/>
  <c r="U607" i="1"/>
  <c r="U742" i="1"/>
  <c r="U902" i="1"/>
  <c r="U919" i="1"/>
  <c r="V899" i="1" s="1"/>
  <c r="T595" i="1"/>
  <c r="T596" i="1"/>
  <c r="T609" i="1"/>
  <c r="T620" i="1"/>
  <c r="U872" i="1"/>
  <c r="U880" i="1"/>
  <c r="U892" i="1"/>
  <c r="X171" i="1"/>
  <c r="X420" i="1"/>
  <c r="Q25" i="4"/>
  <c r="Q33" i="4"/>
  <c r="Q39" i="4"/>
  <c r="Q29" i="4"/>
  <c r="Q37" i="4"/>
  <c r="X146" i="1"/>
  <c r="S771" i="1"/>
  <c r="O63" i="4"/>
  <c r="O67" i="4" s="1"/>
  <c r="V475" i="1"/>
  <c r="V480" i="1"/>
  <c r="W150" i="1"/>
  <c r="W152" i="1"/>
  <c r="W142" i="1"/>
  <c r="W467" i="1"/>
  <c r="W30" i="1"/>
  <c r="X256" i="1"/>
  <c r="X265" i="1" s="1"/>
  <c r="S639" i="1"/>
  <c r="S638" i="1"/>
  <c r="S924" i="1"/>
  <c r="U906" i="1"/>
  <c r="U725" i="1"/>
  <c r="W48" i="1"/>
  <c r="X80" i="1" s="1"/>
  <c r="U643" i="1"/>
  <c r="V522" i="1"/>
  <c r="V484" i="1"/>
  <c r="V34" i="1"/>
  <c r="V36" i="1"/>
  <c r="V22" i="1"/>
  <c r="V27" i="1" l="1"/>
  <c r="V23" i="1"/>
  <c r="V440" i="1"/>
  <c r="V31" i="1"/>
  <c r="V40" i="1"/>
  <c r="V45" i="1"/>
  <c r="W143" i="1"/>
  <c r="W444" i="1"/>
  <c r="W147" i="1"/>
  <c r="W161" i="1"/>
  <c r="W156" i="1"/>
  <c r="T611" i="1"/>
  <c r="T610" i="1"/>
  <c r="X257" i="1"/>
  <c r="X273" i="1"/>
  <c r="X261" i="1"/>
  <c r="X270" i="1"/>
  <c r="X276" i="1"/>
  <c r="U593" i="1"/>
  <c r="U768" i="1"/>
  <c r="Q64" i="4" s="1"/>
  <c r="W151" i="1"/>
  <c r="Q41" i="4"/>
  <c r="Q40" i="4"/>
  <c r="V35" i="1"/>
  <c r="U775" i="1"/>
  <c r="U777" i="1" s="1"/>
  <c r="U741" i="1"/>
  <c r="S749" i="1"/>
  <c r="O59" i="4"/>
  <c r="V523" i="1"/>
  <c r="V525" i="1"/>
  <c r="O68" i="4"/>
  <c r="O74" i="4"/>
  <c r="O69" i="4"/>
  <c r="X154" i="1"/>
  <c r="X173" i="1"/>
  <c r="X159" i="1"/>
  <c r="X172" i="1"/>
  <c r="U510" i="1"/>
  <c r="U512" i="1"/>
  <c r="U504" i="1"/>
  <c r="U511" i="1"/>
  <c r="S773" i="1"/>
  <c r="S772" i="1"/>
  <c r="S781" i="1"/>
  <c r="U692" i="1"/>
  <c r="U894" i="1"/>
  <c r="U736" i="1" s="1"/>
  <c r="U913" i="1"/>
  <c r="U676" i="1"/>
  <c r="U882" i="1"/>
  <c r="U733" i="1" s="1"/>
  <c r="W416" i="1"/>
  <c r="AR59" i="1"/>
  <c r="W55" i="1"/>
  <c r="W53" i="1"/>
  <c r="U868" i="1"/>
  <c r="U874" i="1"/>
  <c r="U732" i="1" s="1"/>
  <c r="U674" i="1"/>
  <c r="T865" i="1"/>
  <c r="T948" i="1"/>
  <c r="T951" i="1" s="1"/>
  <c r="T952" i="1" s="1"/>
  <c r="T866" i="1"/>
  <c r="T941" i="1"/>
  <c r="T943" i="1" s="1"/>
  <c r="T944" i="1" s="1"/>
  <c r="O17" i="4"/>
  <c r="O49" i="4"/>
  <c r="O12" i="4"/>
  <c r="O48" i="4"/>
  <c r="V528" i="1"/>
  <c r="V476" i="1"/>
  <c r="R35" i="4"/>
  <c r="X421" i="1"/>
  <c r="U598" i="1"/>
  <c r="U630" i="1" s="1"/>
  <c r="U728" i="1"/>
  <c r="U704" i="1" s="1"/>
  <c r="X52" i="1"/>
  <c r="X51" i="1" s="1"/>
  <c r="X79" i="1"/>
  <c r="X71" i="1" s="1"/>
  <c r="W468" i="1"/>
  <c r="W500" i="1"/>
  <c r="S27" i="4"/>
  <c r="T621" i="1"/>
  <c r="T622" i="1"/>
  <c r="T936" i="1"/>
  <c r="P43" i="4"/>
  <c r="T779" i="1"/>
  <c r="U723" i="1" l="1"/>
  <c r="U770" i="1" s="1"/>
  <c r="Q66" i="4" s="1"/>
  <c r="S28" i="4"/>
  <c r="W445" i="1"/>
  <c r="X49" i="1"/>
  <c r="X48" i="1" s="1"/>
  <c r="X53" i="1" s="1"/>
  <c r="X72" i="1"/>
  <c r="X29" i="1"/>
  <c r="S747" i="1"/>
  <c r="S757" i="1" s="1"/>
  <c r="S707" i="1"/>
  <c r="V529" i="1"/>
  <c r="V531" i="1"/>
  <c r="S793" i="1"/>
  <c r="O82" i="4" s="1"/>
  <c r="D91" i="4" s="1"/>
  <c r="S782" i="1"/>
  <c r="S783" i="1"/>
  <c r="S787" i="1"/>
  <c r="W409" i="1"/>
  <c r="W418" i="1" s="1"/>
  <c r="W417" i="1"/>
  <c r="U869" i="1"/>
  <c r="U870" i="1"/>
  <c r="W38" i="1"/>
  <c r="W56" i="1"/>
  <c r="W57" i="1"/>
  <c r="W43" i="1"/>
  <c r="O15" i="4"/>
  <c r="O60" i="4"/>
  <c r="O18" i="4"/>
  <c r="U915" i="1"/>
  <c r="U914" i="1"/>
  <c r="U683" i="1"/>
  <c r="U909" i="1"/>
  <c r="X160" i="1"/>
  <c r="U778" i="1"/>
  <c r="Q71" i="4"/>
  <c r="Q72" i="4" s="1"/>
  <c r="U505" i="1"/>
  <c r="U507" i="1"/>
  <c r="U506" i="1"/>
  <c r="U862" i="1"/>
  <c r="U888" i="1" s="1"/>
  <c r="U544" i="1"/>
  <c r="X267" i="1"/>
  <c r="P44" i="4"/>
  <c r="P45" i="4"/>
  <c r="T937" i="1"/>
  <c r="T938" i="1" s="1"/>
  <c r="V432" i="1"/>
  <c r="V442" i="1" s="1"/>
  <c r="V441" i="1"/>
  <c r="R36" i="4"/>
  <c r="V35" i="4"/>
  <c r="X149" i="1"/>
  <c r="X155" i="1"/>
  <c r="O76" i="4"/>
  <c r="O75" i="4"/>
  <c r="O51" i="4"/>
  <c r="W492" i="1"/>
  <c r="W501" i="1"/>
  <c r="T939" i="1" l="1"/>
  <c r="T954" i="1"/>
  <c r="T946" i="1"/>
  <c r="U950" i="1"/>
  <c r="S673" i="1"/>
  <c r="U884" i="1"/>
  <c r="U690" i="1"/>
  <c r="U689" i="1" s="1"/>
  <c r="U688" i="1" s="1"/>
  <c r="U890" i="1"/>
  <c r="U734" i="1" s="1"/>
  <c r="U731" i="1" s="1"/>
  <c r="U769" i="1" s="1"/>
  <c r="Q65" i="4" s="1"/>
  <c r="S703" i="1"/>
  <c r="S702" i="1" s="1"/>
  <c r="W410" i="1"/>
  <c r="W426" i="1"/>
  <c r="W414" i="1"/>
  <c r="W430" i="1"/>
  <c r="W422" i="1"/>
  <c r="V462" i="1"/>
  <c r="V536" i="1"/>
  <c r="V438" i="1"/>
  <c r="V557" i="1"/>
  <c r="V458" i="1"/>
  <c r="V464" i="1"/>
  <c r="V473" i="1"/>
  <c r="V489" i="1"/>
  <c r="V514" i="1"/>
  <c r="V520" i="1"/>
  <c r="V542" i="1"/>
  <c r="V450" i="1"/>
  <c r="V433" i="1"/>
  <c r="V631" i="1" s="1"/>
  <c r="V901" i="1"/>
  <c r="R24" i="4"/>
  <c r="V24" i="4" s="1"/>
  <c r="V858" i="1"/>
  <c r="V905" i="1"/>
  <c r="V454" i="1"/>
  <c r="V469" i="1"/>
  <c r="V446" i="1"/>
  <c r="V494" i="1"/>
  <c r="V485" i="1"/>
  <c r="V481" i="1"/>
  <c r="V477" i="1"/>
  <c r="V524" i="1"/>
  <c r="W483" i="1"/>
  <c r="W44" i="1"/>
  <c r="X55" i="1"/>
  <c r="AS59" i="1"/>
  <c r="X416" i="1"/>
  <c r="X268" i="1"/>
  <c r="X452" i="1"/>
  <c r="X150" i="1"/>
  <c r="X152" i="1"/>
  <c r="X142" i="1"/>
  <c r="U546" i="1"/>
  <c r="U545" i="1"/>
  <c r="U592" i="1"/>
  <c r="U594" i="1" s="1"/>
  <c r="D94" i="4"/>
  <c r="D97" i="4"/>
  <c r="D93" i="4"/>
  <c r="D96" i="4"/>
  <c r="D95" i="4"/>
  <c r="X467" i="1"/>
  <c r="X30" i="1"/>
  <c r="W860" i="1"/>
  <c r="W876" i="1" s="1"/>
  <c r="W493" i="1"/>
  <c r="S788" i="1"/>
  <c r="S789" i="1"/>
  <c r="O78" i="4"/>
  <c r="O52" i="4"/>
  <c r="O54" i="4"/>
  <c r="O53" i="4"/>
  <c r="O14" i="4"/>
  <c r="W33" i="1"/>
  <c r="W39" i="1"/>
  <c r="W479" i="1"/>
  <c r="U910" i="1"/>
  <c r="U911" i="1"/>
  <c r="U681" i="1"/>
  <c r="V530" i="1"/>
  <c r="V643" i="1" l="1"/>
  <c r="S760" i="1"/>
  <c r="S672" i="1"/>
  <c r="S671" i="1" s="1"/>
  <c r="S714" i="1" s="1"/>
  <c r="T565" i="1"/>
  <c r="S801" i="1"/>
  <c r="S803" i="1" s="1"/>
  <c r="W34" i="1"/>
  <c r="W36" i="1"/>
  <c r="W22" i="1"/>
  <c r="U885" i="1"/>
  <c r="U886" i="1"/>
  <c r="U864" i="1"/>
  <c r="O79" i="4"/>
  <c r="O80" i="4"/>
  <c r="U595" i="1"/>
  <c r="U609" i="1"/>
  <c r="U620" i="1"/>
  <c r="U596" i="1"/>
  <c r="V872" i="1"/>
  <c r="V880" i="1"/>
  <c r="V892" i="1"/>
  <c r="R25" i="4"/>
  <c r="R33" i="4"/>
  <c r="R39" i="4"/>
  <c r="R29" i="4"/>
  <c r="R37" i="4"/>
  <c r="X500" i="1"/>
  <c r="X468" i="1"/>
  <c r="T27" i="4"/>
  <c r="V742" i="1"/>
  <c r="V902" i="1"/>
  <c r="V919" i="1"/>
  <c r="W899" i="1" s="1"/>
  <c r="X417" i="1"/>
  <c r="X409" i="1"/>
  <c r="X418" i="1" s="1"/>
  <c r="V515" i="1"/>
  <c r="V509" i="1"/>
  <c r="V607" i="1"/>
  <c r="W522" i="1"/>
  <c r="W484" i="1"/>
  <c r="X143" i="1"/>
  <c r="X444" i="1"/>
  <c r="X147" i="1"/>
  <c r="X156" i="1"/>
  <c r="X161" i="1"/>
  <c r="X151" i="1"/>
  <c r="X453" i="1"/>
  <c r="W675" i="1"/>
  <c r="W878" i="1"/>
  <c r="W739" i="1" s="1"/>
  <c r="U680" i="1"/>
  <c r="U942" i="1"/>
  <c r="U949" i="1"/>
  <c r="W475" i="1"/>
  <c r="W480" i="1"/>
  <c r="X43" i="1"/>
  <c r="X57" i="1"/>
  <c r="X38" i="1"/>
  <c r="X56" i="1"/>
  <c r="V906" i="1"/>
  <c r="V725" i="1"/>
  <c r="W27" i="1" l="1"/>
  <c r="W440" i="1"/>
  <c r="W23" i="1"/>
  <c r="W31" i="1"/>
  <c r="W40" i="1"/>
  <c r="W45" i="1"/>
  <c r="X39" i="1"/>
  <c r="X33" i="1"/>
  <c r="X479" i="1"/>
  <c r="V676" i="1"/>
  <c r="V882" i="1"/>
  <c r="V733" i="1" s="1"/>
  <c r="V598" i="1"/>
  <c r="V630" i="1" s="1"/>
  <c r="V728" i="1"/>
  <c r="V704" i="1" s="1"/>
  <c r="U621" i="1"/>
  <c r="U622" i="1"/>
  <c r="U936" i="1"/>
  <c r="Q43" i="4"/>
  <c r="U779" i="1"/>
  <c r="S806" i="1"/>
  <c r="S808" i="1"/>
  <c r="S804" i="1"/>
  <c r="O56" i="4"/>
  <c r="T28" i="4"/>
  <c r="V510" i="1"/>
  <c r="V512" i="1"/>
  <c r="V504" i="1"/>
  <c r="V511" i="1"/>
  <c r="T566" i="1"/>
  <c r="T548" i="1"/>
  <c r="V894" i="1"/>
  <c r="V736" i="1" s="1"/>
  <c r="V692" i="1"/>
  <c r="V775" i="1"/>
  <c r="V777" i="1" s="1"/>
  <c r="V741" i="1"/>
  <c r="W35" i="1"/>
  <c r="T759" i="1"/>
  <c r="S762" i="1"/>
  <c r="V674" i="1"/>
  <c r="V868" i="1"/>
  <c r="V874" i="1"/>
  <c r="V732" i="1" s="1"/>
  <c r="X492" i="1"/>
  <c r="X501" i="1"/>
  <c r="U611" i="1"/>
  <c r="U610" i="1"/>
  <c r="R41" i="4"/>
  <c r="V39" i="4"/>
  <c r="R40" i="4"/>
  <c r="U941" i="1"/>
  <c r="U943" i="1" s="1"/>
  <c r="U944" i="1" s="1"/>
  <c r="U948" i="1"/>
  <c r="U951" i="1" s="1"/>
  <c r="U952" i="1" s="1"/>
  <c r="U866" i="1"/>
  <c r="U865" i="1"/>
  <c r="V913" i="1"/>
  <c r="X445" i="1"/>
  <c r="W523" i="1"/>
  <c r="W525" i="1"/>
  <c r="X483" i="1"/>
  <c r="X44" i="1"/>
  <c r="W528" i="1"/>
  <c r="W476" i="1"/>
  <c r="S35" i="4"/>
  <c r="X410" i="1"/>
  <c r="X426" i="1"/>
  <c r="X430" i="1"/>
  <c r="X414" i="1"/>
  <c r="X422" i="1"/>
  <c r="V593" i="1"/>
  <c r="V768" i="1"/>
  <c r="R64" i="4" s="1"/>
  <c r="V723" i="1" l="1"/>
  <c r="V770" i="1" s="1"/>
  <c r="R66" i="4" s="1"/>
  <c r="X475" i="1"/>
  <c r="X480" i="1"/>
  <c r="V914" i="1"/>
  <c r="V915" i="1"/>
  <c r="V683" i="1"/>
  <c r="V909" i="1"/>
  <c r="W531" i="1"/>
  <c r="W529" i="1"/>
  <c r="V778" i="1"/>
  <c r="R71" i="4"/>
  <c r="R72" i="4" s="1"/>
  <c r="X34" i="1"/>
  <c r="X36" i="1"/>
  <c r="X22" i="1"/>
  <c r="X35" i="1" s="1"/>
  <c r="X860" i="1"/>
  <c r="X876" i="1" s="1"/>
  <c r="X493" i="1"/>
  <c r="V505" i="1"/>
  <c r="V507" i="1"/>
  <c r="V506" i="1"/>
  <c r="V862" i="1"/>
  <c r="V888" i="1" s="1"/>
  <c r="V544" i="1"/>
  <c r="O13" i="4"/>
  <c r="O57" i="4"/>
  <c r="O16" i="4"/>
  <c r="S36" i="4"/>
  <c r="Q44" i="4"/>
  <c r="Q45" i="4"/>
  <c r="X522" i="1"/>
  <c r="X484" i="1"/>
  <c r="W432" i="1"/>
  <c r="W530" i="1" s="1"/>
  <c r="W441" i="1"/>
  <c r="T549" i="1"/>
  <c r="T785" i="1"/>
  <c r="T570" i="1"/>
  <c r="V869" i="1"/>
  <c r="V870" i="1"/>
  <c r="U937" i="1"/>
  <c r="U938" i="1" s="1"/>
  <c r="W442" i="1" l="1"/>
  <c r="V950" i="1"/>
  <c r="X523" i="1"/>
  <c r="X525" i="1"/>
  <c r="T571" i="1"/>
  <c r="T574" i="1"/>
  <c r="T578" i="1" s="1"/>
  <c r="T572" i="1"/>
  <c r="T654" i="1"/>
  <c r="T661" i="1"/>
  <c r="V911" i="1"/>
  <c r="V910" i="1"/>
  <c r="V681" i="1"/>
  <c r="X675" i="1"/>
  <c r="X878" i="1"/>
  <c r="X739" i="1" s="1"/>
  <c r="X23" i="1"/>
  <c r="X27" i="1"/>
  <c r="X440" i="1"/>
  <c r="X31" i="1"/>
  <c r="X45" i="1"/>
  <c r="X40" i="1"/>
  <c r="W462" i="1"/>
  <c r="W536" i="1"/>
  <c r="W438" i="1"/>
  <c r="W557" i="1"/>
  <c r="W458" i="1"/>
  <c r="W464" i="1"/>
  <c r="W473" i="1"/>
  <c r="W433" i="1"/>
  <c r="W631" i="1" s="1"/>
  <c r="W450" i="1"/>
  <c r="W901" i="1"/>
  <c r="W905" i="1"/>
  <c r="W489" i="1"/>
  <c r="W520" i="1"/>
  <c r="W542" i="1"/>
  <c r="W514" i="1"/>
  <c r="S24" i="4"/>
  <c r="W858" i="1"/>
  <c r="W454" i="1"/>
  <c r="W469" i="1"/>
  <c r="W446" i="1"/>
  <c r="W494" i="1"/>
  <c r="W485" i="1"/>
  <c r="W481" i="1"/>
  <c r="W477" i="1"/>
  <c r="W524" i="1"/>
  <c r="U939" i="1"/>
  <c r="U954" i="1"/>
  <c r="U946" i="1"/>
  <c r="V546" i="1"/>
  <c r="V545" i="1"/>
  <c r="V592" i="1"/>
  <c r="V594" i="1" s="1"/>
  <c r="V884" i="1"/>
  <c r="V890" i="1"/>
  <c r="V734" i="1" s="1"/>
  <c r="V731" i="1" s="1"/>
  <c r="V769" i="1" s="1"/>
  <c r="R65" i="4" s="1"/>
  <c r="V690" i="1"/>
  <c r="V689" i="1" s="1"/>
  <c r="V688" i="1" s="1"/>
  <c r="X528" i="1"/>
  <c r="X476" i="1"/>
  <c r="T35" i="4"/>
  <c r="V595" i="1" l="1"/>
  <c r="V609" i="1"/>
  <c r="V596" i="1"/>
  <c r="V620" i="1"/>
  <c r="T663" i="1"/>
  <c r="T662" i="1"/>
  <c r="T665" i="1"/>
  <c r="T647" i="1" s="1"/>
  <c r="T641" i="1" s="1"/>
  <c r="W906" i="1"/>
  <c r="W725" i="1"/>
  <c r="T656" i="1"/>
  <c r="T655" i="1"/>
  <c r="T658" i="1"/>
  <c r="T635" i="1" s="1"/>
  <c r="T629" i="1" s="1"/>
  <c r="X432" i="1"/>
  <c r="X530" i="1" s="1"/>
  <c r="X441" i="1"/>
  <c r="W872" i="1"/>
  <c r="W880" i="1"/>
  <c r="W892" i="1"/>
  <c r="T36" i="4"/>
  <c r="V886" i="1"/>
  <c r="V885" i="1"/>
  <c r="V864" i="1"/>
  <c r="W742" i="1"/>
  <c r="W902" i="1"/>
  <c r="W919" i="1"/>
  <c r="X899" i="1" s="1"/>
  <c r="T580" i="1"/>
  <c r="T579" i="1"/>
  <c r="T582" i="1"/>
  <c r="T583" i="1" s="1"/>
  <c r="T625" i="1"/>
  <c r="T721" i="1"/>
  <c r="T575" i="1"/>
  <c r="W643" i="1"/>
  <c r="S25" i="4"/>
  <c r="S33" i="4"/>
  <c r="S39" i="4"/>
  <c r="S29" i="4"/>
  <c r="S37" i="4"/>
  <c r="X529" i="1"/>
  <c r="X531" i="1"/>
  <c r="W515" i="1"/>
  <c r="W509" i="1"/>
  <c r="W607" i="1"/>
  <c r="V680" i="1"/>
  <c r="V942" i="1"/>
  <c r="V949" i="1"/>
  <c r="T586" i="1" l="1"/>
  <c r="T587" i="1" s="1"/>
  <c r="X442" i="1"/>
  <c r="V866" i="1"/>
  <c r="V941" i="1"/>
  <c r="V943" i="1" s="1"/>
  <c r="V944" i="1" s="1"/>
  <c r="V948" i="1"/>
  <c r="V951" i="1" s="1"/>
  <c r="V952" i="1" s="1"/>
  <c r="V865" i="1"/>
  <c r="W593" i="1"/>
  <c r="W768" i="1"/>
  <c r="S64" i="4" s="1"/>
  <c r="S41" i="4"/>
  <c r="S40" i="4"/>
  <c r="W676" i="1"/>
  <c r="W882" i="1"/>
  <c r="W733" i="1" s="1"/>
  <c r="T719" i="1"/>
  <c r="T767" i="1"/>
  <c r="T627" i="1"/>
  <c r="T626" i="1"/>
  <c r="T637" i="1"/>
  <c r="T649" i="1"/>
  <c r="W674" i="1"/>
  <c r="W868" i="1"/>
  <c r="W874" i="1"/>
  <c r="W732" i="1" s="1"/>
  <c r="X919" i="1"/>
  <c r="V621" i="1"/>
  <c r="V622" i="1"/>
  <c r="V936" i="1"/>
  <c r="R43" i="4"/>
  <c r="V779" i="1"/>
  <c r="V611" i="1"/>
  <c r="V610" i="1"/>
  <c r="W894" i="1"/>
  <c r="W736" i="1" s="1"/>
  <c r="W692" i="1"/>
  <c r="W598" i="1"/>
  <c r="W630" i="1" s="1"/>
  <c r="W728" i="1"/>
  <c r="W704" i="1" s="1"/>
  <c r="W913" i="1"/>
  <c r="X462" i="1"/>
  <c r="X536" i="1"/>
  <c r="X438" i="1"/>
  <c r="X557" i="1"/>
  <c r="X514" i="1"/>
  <c r="X473" i="1"/>
  <c r="X901" i="1"/>
  <c r="X905" i="1"/>
  <c r="X489" i="1"/>
  <c r="X520" i="1"/>
  <c r="X450" i="1"/>
  <c r="X458" i="1"/>
  <c r="X464" i="1"/>
  <c r="X542" i="1"/>
  <c r="T24" i="4"/>
  <c r="X858" i="1"/>
  <c r="X433" i="1"/>
  <c r="X631" i="1" s="1"/>
  <c r="X643" i="1" s="1"/>
  <c r="X469" i="1"/>
  <c r="X454" i="1"/>
  <c r="X446" i="1"/>
  <c r="X494" i="1"/>
  <c r="X481" i="1"/>
  <c r="X485" i="1"/>
  <c r="X477" i="1"/>
  <c r="X524" i="1"/>
  <c r="W510" i="1"/>
  <c r="W512" i="1"/>
  <c r="W504" i="1"/>
  <c r="W511" i="1"/>
  <c r="W775" i="1"/>
  <c r="W777" i="1" s="1"/>
  <c r="W741" i="1"/>
  <c r="X872" i="1" l="1"/>
  <c r="X880" i="1"/>
  <c r="X892" i="1"/>
  <c r="W914" i="1"/>
  <c r="W915" i="1"/>
  <c r="W683" i="1"/>
  <c r="W909" i="1"/>
  <c r="X913" i="1"/>
  <c r="X909" i="1" s="1"/>
  <c r="V937" i="1"/>
  <c r="V938" i="1" s="1"/>
  <c r="W869" i="1"/>
  <c r="W870" i="1"/>
  <c r="T25" i="4"/>
  <c r="T33" i="4"/>
  <c r="T39" i="4"/>
  <c r="T29" i="4"/>
  <c r="T37" i="4"/>
  <c r="W723" i="1"/>
  <c r="W770" i="1" s="1"/>
  <c r="S66" i="4" s="1"/>
  <c r="X742" i="1"/>
  <c r="X902" i="1"/>
  <c r="W505" i="1"/>
  <c r="W507" i="1"/>
  <c r="W506" i="1"/>
  <c r="W862" i="1"/>
  <c r="W888" i="1" s="1"/>
  <c r="W544" i="1"/>
  <c r="X515" i="1"/>
  <c r="X509" i="1"/>
  <c r="X607" i="1"/>
  <c r="W778" i="1"/>
  <c r="S71" i="4"/>
  <c r="S72" i="4" s="1"/>
  <c r="X906" i="1"/>
  <c r="X725" i="1"/>
  <c r="T650" i="1"/>
  <c r="T651" i="1"/>
  <c r="P47" i="4"/>
  <c r="T638" i="1"/>
  <c r="T639" i="1"/>
  <c r="T924" i="1"/>
  <c r="V43" i="4"/>
  <c r="R44" i="4"/>
  <c r="R45" i="4"/>
  <c r="P63" i="4"/>
  <c r="P67" i="4" s="1"/>
  <c r="T771" i="1"/>
  <c r="T772" i="1" l="1"/>
  <c r="T773" i="1"/>
  <c r="T781" i="1"/>
  <c r="P69" i="4"/>
  <c r="P68" i="4"/>
  <c r="P74" i="4"/>
  <c r="T749" i="1"/>
  <c r="P59" i="4"/>
  <c r="P17" i="4"/>
  <c r="P49" i="4"/>
  <c r="P12" i="4"/>
  <c r="P48" i="4"/>
  <c r="X593" i="1"/>
  <c r="X768" i="1"/>
  <c r="T64" i="4" s="1"/>
  <c r="X911" i="1"/>
  <c r="X910" i="1"/>
  <c r="X598" i="1"/>
  <c r="X630" i="1" s="1"/>
  <c r="X728" i="1"/>
  <c r="X704" i="1" s="1"/>
  <c r="X510" i="1"/>
  <c r="X512" i="1"/>
  <c r="X504" i="1"/>
  <c r="X511" i="1"/>
  <c r="W546" i="1"/>
  <c r="W592" i="1"/>
  <c r="W594" i="1" s="1"/>
  <c r="W545" i="1"/>
  <c r="W884" i="1"/>
  <c r="W864" i="1" s="1"/>
  <c r="W941" i="1" s="1"/>
  <c r="W890" i="1"/>
  <c r="W734" i="1" s="1"/>
  <c r="W731" i="1" s="1"/>
  <c r="W769" i="1" s="1"/>
  <c r="S65" i="4" s="1"/>
  <c r="W690" i="1"/>
  <c r="W689" i="1" s="1"/>
  <c r="W688" i="1" s="1"/>
  <c r="X775" i="1"/>
  <c r="X777" i="1" s="1"/>
  <c r="X741" i="1"/>
  <c r="T40" i="4"/>
  <c r="T41" i="4"/>
  <c r="V939" i="1"/>
  <c r="V954" i="1"/>
  <c r="V946" i="1"/>
  <c r="X914" i="1"/>
  <c r="X915" i="1"/>
  <c r="W911" i="1"/>
  <c r="W910" i="1"/>
  <c r="W681" i="1"/>
  <c r="X683" i="1"/>
  <c r="X950" i="1" s="1"/>
  <c r="W950" i="1"/>
  <c r="X692" i="1"/>
  <c r="X894" i="1"/>
  <c r="X736" i="1" s="1"/>
  <c r="X676" i="1"/>
  <c r="X882" i="1"/>
  <c r="X733" i="1" s="1"/>
  <c r="X674" i="1"/>
  <c r="X868" i="1"/>
  <c r="X874" i="1"/>
  <c r="X732" i="1" s="1"/>
  <c r="W865" i="1" l="1"/>
  <c r="W948" i="1"/>
  <c r="X723" i="1"/>
  <c r="X770" i="1" s="1"/>
  <c r="T66" i="4" s="1"/>
  <c r="W866" i="1"/>
  <c r="X869" i="1"/>
  <c r="X870" i="1"/>
  <c r="W680" i="1"/>
  <c r="W942" i="1"/>
  <c r="W943" i="1" s="1"/>
  <c r="W944" i="1" s="1"/>
  <c r="W949" i="1"/>
  <c r="X681" i="1"/>
  <c r="X778" i="1"/>
  <c r="T71" i="4"/>
  <c r="T72" i="4" s="1"/>
  <c r="W886" i="1"/>
  <c r="W885" i="1"/>
  <c r="W595" i="1"/>
  <c r="W609" i="1"/>
  <c r="W620" i="1"/>
  <c r="W779" i="1" s="1"/>
  <c r="W596" i="1"/>
  <c r="X505" i="1"/>
  <c r="X507" i="1"/>
  <c r="X506" i="1"/>
  <c r="X862" i="1"/>
  <c r="X888" i="1" s="1"/>
  <c r="X544" i="1"/>
  <c r="P15" i="4"/>
  <c r="P60" i="4"/>
  <c r="P18" i="4"/>
  <c r="T747" i="1"/>
  <c r="T757" i="1" s="1"/>
  <c r="T707" i="1"/>
  <c r="P75" i="4"/>
  <c r="P76" i="4"/>
  <c r="P51" i="4"/>
  <c r="T793" i="1"/>
  <c r="P82" i="4" s="1"/>
  <c r="E91" i="4" s="1"/>
  <c r="T782" i="1"/>
  <c r="T787" i="1"/>
  <c r="T783" i="1"/>
  <c r="W951" i="1" l="1"/>
  <c r="W952" i="1" s="1"/>
  <c r="T673" i="1"/>
  <c r="T788" i="1"/>
  <c r="P78" i="4"/>
  <c r="T789" i="1"/>
  <c r="E94" i="4"/>
  <c r="E95" i="4"/>
  <c r="E96" i="4"/>
  <c r="E97" i="4"/>
  <c r="E93" i="4"/>
  <c r="P52" i="4"/>
  <c r="P54" i="4"/>
  <c r="P14" i="4"/>
  <c r="P53" i="4"/>
  <c r="T703" i="1"/>
  <c r="T702" i="1" s="1"/>
  <c r="X546" i="1"/>
  <c r="X545" i="1"/>
  <c r="X592" i="1"/>
  <c r="X594" i="1" s="1"/>
  <c r="X884" i="1"/>
  <c r="X864" i="1" s="1"/>
  <c r="X948" i="1" s="1"/>
  <c r="X890" i="1"/>
  <c r="X734" i="1" s="1"/>
  <c r="X731" i="1" s="1"/>
  <c r="X769" i="1" s="1"/>
  <c r="T65" i="4" s="1"/>
  <c r="X690" i="1"/>
  <c r="X689" i="1" s="1"/>
  <c r="X688" i="1" s="1"/>
  <c r="W936" i="1"/>
  <c r="W621" i="1"/>
  <c r="W622" i="1"/>
  <c r="S43" i="4"/>
  <c r="W611" i="1"/>
  <c r="W610" i="1"/>
  <c r="X680" i="1"/>
  <c r="X942" i="1"/>
  <c r="X949" i="1"/>
  <c r="X866" i="1" l="1"/>
  <c r="X951" i="1"/>
  <c r="X952" i="1" s="1"/>
  <c r="X941" i="1"/>
  <c r="X943" i="1" s="1"/>
  <c r="X944" i="1" s="1"/>
  <c r="X865" i="1"/>
  <c r="U565" i="1"/>
  <c r="T672" i="1"/>
  <c r="T671" i="1" s="1"/>
  <c r="T714" i="1" s="1"/>
  <c r="T760" i="1"/>
  <c r="T801" i="1"/>
  <c r="T803" i="1" s="1"/>
  <c r="S45" i="4"/>
  <c r="S44" i="4"/>
  <c r="W937" i="1"/>
  <c r="W938" i="1" s="1"/>
  <c r="X885" i="1"/>
  <c r="X886" i="1"/>
  <c r="X609" i="1"/>
  <c r="X595" i="1"/>
  <c r="X620" i="1"/>
  <c r="X779" i="1" s="1"/>
  <c r="X596" i="1"/>
  <c r="P80" i="4"/>
  <c r="P79" i="4"/>
  <c r="T804" i="1" l="1"/>
  <c r="P56" i="4"/>
  <c r="T806" i="1"/>
  <c r="T808" i="1"/>
  <c r="U566" i="1"/>
  <c r="U548" i="1"/>
  <c r="U759" i="1"/>
  <c r="T762" i="1"/>
  <c r="X936" i="1"/>
  <c r="X621" i="1"/>
  <c r="T43" i="4"/>
  <c r="X622" i="1"/>
  <c r="X611" i="1"/>
  <c r="X610" i="1"/>
  <c r="W939" i="1"/>
  <c r="W954" i="1"/>
  <c r="W946" i="1"/>
  <c r="U549" i="1" l="1"/>
  <c r="U785" i="1"/>
  <c r="U570" i="1"/>
  <c r="P16" i="4"/>
  <c r="P13" i="4"/>
  <c r="P57" i="4"/>
  <c r="T45" i="4"/>
  <c r="T44" i="4"/>
  <c r="X937" i="1"/>
  <c r="X938" i="1" s="1"/>
  <c r="U574" i="1" l="1"/>
  <c r="U578" i="1" s="1"/>
  <c r="U654" i="1"/>
  <c r="U571" i="1"/>
  <c r="U572" i="1"/>
  <c r="U661" i="1"/>
  <c r="X946" i="1"/>
  <c r="X939" i="1"/>
  <c r="X954" i="1"/>
  <c r="U665" i="1" l="1"/>
  <c r="U647" i="1" s="1"/>
  <c r="U641" i="1" s="1"/>
  <c r="U663" i="1"/>
  <c r="U662" i="1"/>
  <c r="U656" i="1"/>
  <c r="U655" i="1"/>
  <c r="U658" i="1"/>
  <c r="U635" i="1" s="1"/>
  <c r="U629" i="1" s="1"/>
  <c r="U579" i="1"/>
  <c r="U721" i="1"/>
  <c r="U580" i="1"/>
  <c r="U625" i="1"/>
  <c r="U582" i="1"/>
  <c r="U583" i="1" s="1"/>
  <c r="U575" i="1"/>
  <c r="U649" i="1" l="1"/>
  <c r="U627" i="1"/>
  <c r="U637" i="1"/>
  <c r="U626" i="1"/>
  <c r="U719" i="1"/>
  <c r="U767" i="1"/>
  <c r="U586" i="1"/>
  <c r="U587" i="1" s="1"/>
  <c r="U771" i="1" l="1"/>
  <c r="Q63" i="4"/>
  <c r="Q67" i="4" s="1"/>
  <c r="U638" i="1"/>
  <c r="U639" i="1"/>
  <c r="U924" i="1"/>
  <c r="U650" i="1"/>
  <c r="Q47" i="4"/>
  <c r="U651" i="1"/>
  <c r="Q59" i="4" l="1"/>
  <c r="U749" i="1"/>
  <c r="Q69" i="4"/>
  <c r="Q74" i="4"/>
  <c r="Q68" i="4"/>
  <c r="Q49" i="4"/>
  <c r="Q17" i="4"/>
  <c r="Q12" i="4"/>
  <c r="Q48" i="4"/>
  <c r="U772" i="1"/>
  <c r="U773" i="1"/>
  <c r="U781" i="1"/>
  <c r="Q75" i="4" l="1"/>
  <c r="Q76" i="4"/>
  <c r="Q51" i="4"/>
  <c r="U782" i="1"/>
  <c r="U783" i="1"/>
  <c r="U793" i="1"/>
  <c r="Q82" i="4" s="1"/>
  <c r="F91" i="4" s="1"/>
  <c r="U787" i="1"/>
  <c r="U747" i="1"/>
  <c r="U757" i="1" s="1"/>
  <c r="U707" i="1"/>
  <c r="Q18" i="4"/>
  <c r="Q15" i="4"/>
  <c r="Q60" i="4"/>
  <c r="U788" i="1" l="1"/>
  <c r="Q78" i="4"/>
  <c r="U789" i="1"/>
  <c r="U703" i="1"/>
  <c r="U702" i="1" s="1"/>
  <c r="U673" i="1"/>
  <c r="F94" i="4"/>
  <c r="F97" i="4"/>
  <c r="F93" i="4"/>
  <c r="F96" i="4"/>
  <c r="F95" i="4"/>
  <c r="Q52" i="4"/>
  <c r="Q14" i="4"/>
  <c r="Q53" i="4"/>
  <c r="Q54" i="4"/>
  <c r="Q80" i="4" l="1"/>
  <c r="Q79" i="4"/>
  <c r="U801" i="1"/>
  <c r="U803" i="1" s="1"/>
  <c r="U672" i="1"/>
  <c r="U671" i="1" s="1"/>
  <c r="U714" i="1" s="1"/>
  <c r="U760" i="1"/>
  <c r="V565" i="1"/>
  <c r="V759" i="1" l="1"/>
  <c r="U762" i="1"/>
  <c r="V548" i="1"/>
  <c r="V566" i="1"/>
  <c r="U808" i="1"/>
  <c r="U804" i="1"/>
  <c r="Q56" i="4"/>
  <c r="U806" i="1"/>
  <c r="V785" i="1" l="1"/>
  <c r="V570" i="1"/>
  <c r="V549" i="1"/>
  <c r="Q16" i="4"/>
  <c r="Q13" i="4"/>
  <c r="Q57" i="4"/>
  <c r="V574" i="1" l="1"/>
  <c r="V578" i="1" s="1"/>
  <c r="V654" i="1"/>
  <c r="V661" i="1"/>
  <c r="V572" i="1"/>
  <c r="V571" i="1"/>
  <c r="V663" i="1" l="1"/>
  <c r="V662" i="1"/>
  <c r="V665" i="1"/>
  <c r="V647" i="1" s="1"/>
  <c r="V641" i="1" s="1"/>
  <c r="V580" i="1"/>
  <c r="V579" i="1"/>
  <c r="V625" i="1"/>
  <c r="V582" i="1"/>
  <c r="V583" i="1" s="1"/>
  <c r="V721" i="1"/>
  <c r="V656" i="1"/>
  <c r="V658" i="1"/>
  <c r="V635" i="1" s="1"/>
  <c r="V629" i="1" s="1"/>
  <c r="V655" i="1"/>
  <c r="V575" i="1"/>
  <c r="V586" i="1" l="1"/>
  <c r="V587" i="1" s="1"/>
  <c r="V719" i="1"/>
  <c r="V767" i="1"/>
  <c r="V626" i="1"/>
  <c r="V627" i="1"/>
  <c r="V637" i="1"/>
  <c r="V649" i="1"/>
  <c r="V771" i="1" l="1"/>
  <c r="R63" i="4"/>
  <c r="R67" i="4" s="1"/>
  <c r="V650" i="1"/>
  <c r="V651" i="1"/>
  <c r="R47" i="4"/>
  <c r="V638" i="1"/>
  <c r="V639" i="1"/>
  <c r="V924" i="1"/>
  <c r="R12" i="4" l="1"/>
  <c r="R48" i="4"/>
  <c r="R17" i="4"/>
  <c r="R49" i="4"/>
  <c r="V47" i="4"/>
  <c r="V749" i="1"/>
  <c r="R59" i="4"/>
  <c r="R69" i="4"/>
  <c r="R74" i="4"/>
  <c r="R68" i="4"/>
  <c r="V781" i="1"/>
  <c r="V772" i="1"/>
  <c r="V773" i="1"/>
  <c r="R18" i="4" l="1"/>
  <c r="V59" i="4"/>
  <c r="R15" i="4"/>
  <c r="R60" i="4"/>
  <c r="V747" i="1"/>
  <c r="V757" i="1" s="1"/>
  <c r="V707" i="1"/>
  <c r="V793" i="1"/>
  <c r="R82" i="4" s="1"/>
  <c r="G91" i="4" s="1"/>
  <c r="V787" i="1"/>
  <c r="V782" i="1"/>
  <c r="V783" i="1"/>
  <c r="R75" i="4"/>
  <c r="R51" i="4"/>
  <c r="R76" i="4"/>
  <c r="V703" i="1" l="1"/>
  <c r="V702" i="1" s="1"/>
  <c r="R54" i="4"/>
  <c r="V51" i="4"/>
  <c r="R52" i="4"/>
  <c r="R53" i="4"/>
  <c r="R14" i="4"/>
  <c r="V789" i="1"/>
  <c r="R78" i="4"/>
  <c r="V788" i="1"/>
  <c r="G95" i="4"/>
  <c r="G96" i="4"/>
  <c r="G94" i="4"/>
  <c r="G93" i="4"/>
  <c r="G97" i="4"/>
  <c r="V673" i="1"/>
  <c r="R80" i="4" l="1"/>
  <c r="R79" i="4"/>
  <c r="W565" i="1"/>
  <c r="V801" i="1"/>
  <c r="V803" i="1" s="1"/>
  <c r="V760" i="1"/>
  <c r="V672" i="1"/>
  <c r="V671" i="1" s="1"/>
  <c r="V714" i="1" s="1"/>
  <c r="R56" i="4" l="1"/>
  <c r="V808" i="1"/>
  <c r="V806" i="1"/>
  <c r="V804" i="1"/>
  <c r="W759" i="1"/>
  <c r="V762" i="1"/>
  <c r="W566" i="1"/>
  <c r="W548" i="1"/>
  <c r="W570" i="1" l="1"/>
  <c r="W549" i="1"/>
  <c r="W785" i="1"/>
  <c r="R16" i="4"/>
  <c r="R13" i="4"/>
  <c r="R57" i="4"/>
  <c r="W571" i="1" l="1"/>
  <c r="W661" i="1"/>
  <c r="W574" i="1"/>
  <c r="W578" i="1" s="1"/>
  <c r="W572" i="1"/>
  <c r="W654" i="1"/>
  <c r="W662" i="1" l="1"/>
  <c r="W665" i="1"/>
  <c r="W647" i="1" s="1"/>
  <c r="W641" i="1" s="1"/>
  <c r="W663" i="1"/>
  <c r="W656" i="1"/>
  <c r="W655" i="1"/>
  <c r="W658" i="1"/>
  <c r="W635" i="1" s="1"/>
  <c r="W629" i="1" s="1"/>
  <c r="W625" i="1"/>
  <c r="W582" i="1"/>
  <c r="W583" i="1" s="1"/>
  <c r="W580" i="1"/>
  <c r="W579" i="1"/>
  <c r="W721" i="1"/>
  <c r="W575" i="1"/>
  <c r="W637" i="1" l="1"/>
  <c r="W649" i="1"/>
  <c r="W627" i="1"/>
  <c r="W626" i="1"/>
  <c r="W767" i="1"/>
  <c r="W719" i="1"/>
  <c r="W586" i="1"/>
  <c r="W587" i="1" s="1"/>
  <c r="S63" i="4" l="1"/>
  <c r="S67" i="4" s="1"/>
  <c r="W771" i="1"/>
  <c r="S47" i="4"/>
  <c r="W650" i="1"/>
  <c r="W651" i="1"/>
  <c r="W924" i="1"/>
  <c r="W639" i="1"/>
  <c r="W638" i="1"/>
  <c r="S59" i="4" l="1"/>
  <c r="W749" i="1"/>
  <c r="S48" i="4"/>
  <c r="S12" i="4"/>
  <c r="S17" i="4"/>
  <c r="S49" i="4"/>
  <c r="W781" i="1"/>
  <c r="W773" i="1"/>
  <c r="W772" i="1"/>
  <c r="S74" i="4"/>
  <c r="S69" i="4"/>
  <c r="S68" i="4"/>
  <c r="W747" i="1" l="1"/>
  <c r="W757" i="1" s="1"/>
  <c r="W707" i="1"/>
  <c r="S75" i="4"/>
  <c r="S76" i="4"/>
  <c r="S51" i="4"/>
  <c r="W783" i="1"/>
  <c r="W782" i="1"/>
  <c r="W793" i="1"/>
  <c r="S82" i="4" s="1"/>
  <c r="H91" i="4" s="1"/>
  <c r="W787" i="1"/>
  <c r="S15" i="4"/>
  <c r="S60" i="4"/>
  <c r="S18" i="4"/>
  <c r="W788" i="1" l="1"/>
  <c r="W789" i="1"/>
  <c r="S78" i="4"/>
  <c r="S54" i="4"/>
  <c r="S14" i="4"/>
  <c r="S53" i="4"/>
  <c r="S52" i="4"/>
  <c r="H96" i="4"/>
  <c r="H93" i="4"/>
  <c r="I91" i="4"/>
  <c r="H95" i="4"/>
  <c r="H97" i="4"/>
  <c r="H94" i="4"/>
  <c r="W703" i="1"/>
  <c r="W702" i="1" s="1"/>
  <c r="W673" i="1"/>
  <c r="S80" i="4" l="1"/>
  <c r="S79" i="4"/>
  <c r="I94" i="4"/>
  <c r="J94" i="4" s="1"/>
  <c r="I97" i="4"/>
  <c r="J97" i="4" s="1"/>
  <c r="I93" i="4"/>
  <c r="J93" i="4" s="1"/>
  <c r="I95" i="4"/>
  <c r="J95" i="4" s="1"/>
  <c r="I96" i="4"/>
  <c r="J96" i="4" s="1"/>
  <c r="W801" i="1"/>
  <c r="W803" i="1" s="1"/>
  <c r="X565" i="1"/>
  <c r="W672" i="1"/>
  <c r="W671" i="1" s="1"/>
  <c r="W714" i="1" s="1"/>
  <c r="W760" i="1"/>
  <c r="X759" i="1" l="1"/>
  <c r="W762" i="1"/>
  <c r="X548" i="1"/>
  <c r="X566" i="1"/>
  <c r="W804" i="1"/>
  <c r="W808" i="1"/>
  <c r="S56" i="4"/>
  <c r="W806" i="1"/>
  <c r="F9" i="4"/>
  <c r="G9" i="4" s="1"/>
  <c r="K97" i="4"/>
  <c r="F8" i="4"/>
  <c r="G8" i="4" s="1"/>
  <c r="K96" i="4"/>
  <c r="F7" i="4"/>
  <c r="G7" i="4" s="1"/>
  <c r="K95" i="4"/>
  <c r="F5" i="4"/>
  <c r="G5" i="4" s="1"/>
  <c r="K93" i="4"/>
  <c r="F6" i="4"/>
  <c r="G6" i="4" s="1"/>
  <c r="K94" i="4"/>
  <c r="S13" i="4" l="1"/>
  <c r="S57" i="4"/>
  <c r="S16" i="4"/>
  <c r="X570" i="1"/>
  <c r="X549" i="1"/>
  <c r="X785" i="1"/>
  <c r="X661" i="1" l="1"/>
  <c r="X572" i="1"/>
  <c r="X571" i="1"/>
  <c r="X574" i="1"/>
  <c r="X578" i="1" s="1"/>
  <c r="X654" i="1"/>
  <c r="X656" i="1" l="1"/>
  <c r="X655" i="1"/>
  <c r="X658" i="1"/>
  <c r="X580" i="1"/>
  <c r="X579" i="1"/>
  <c r="X625" i="1"/>
  <c r="X582" i="1"/>
  <c r="X583" i="1" s="1"/>
  <c r="X721" i="1"/>
  <c r="X575" i="1"/>
  <c r="X635" i="1"/>
  <c r="X629" i="1" s="1"/>
  <c r="X665" i="1"/>
  <c r="X647" i="1" s="1"/>
  <c r="X641" i="1" s="1"/>
  <c r="X662" i="1"/>
  <c r="X663" i="1"/>
  <c r="X767" i="1" l="1"/>
  <c r="X719" i="1"/>
  <c r="X586" i="1"/>
  <c r="X587" i="1" s="1"/>
  <c r="X626" i="1"/>
  <c r="X637" i="1"/>
  <c r="X627" i="1"/>
  <c r="X649" i="1"/>
  <c r="X650" i="1" l="1"/>
  <c r="X651" i="1"/>
  <c r="T47" i="4"/>
  <c r="X638" i="1"/>
  <c r="X924" i="1"/>
  <c r="X639" i="1"/>
  <c r="X771" i="1"/>
  <c r="T63" i="4"/>
  <c r="T67" i="4" s="1"/>
  <c r="T68" i="4" l="1"/>
  <c r="T74" i="4"/>
  <c r="T69" i="4"/>
  <c r="X749" i="1"/>
  <c r="T59" i="4"/>
  <c r="T48" i="4"/>
  <c r="T49" i="4"/>
  <c r="T12" i="4"/>
  <c r="T17" i="4"/>
  <c r="X772" i="1"/>
  <c r="X773" i="1"/>
  <c r="X781" i="1"/>
  <c r="X747" i="1" l="1"/>
  <c r="X757" i="1" s="1"/>
  <c r="X707" i="1"/>
  <c r="X703" i="1" s="1"/>
  <c r="X702" i="1" s="1"/>
  <c r="T18" i="4"/>
  <c r="T15" i="4"/>
  <c r="T60" i="4"/>
  <c r="X793" i="1"/>
  <c r="T82" i="4" s="1"/>
  <c r="X783" i="1"/>
  <c r="X782" i="1"/>
  <c r="X787" i="1"/>
  <c r="T76" i="4"/>
  <c r="T75" i="4"/>
  <c r="T51" i="4"/>
  <c r="T14" i="4" l="1"/>
  <c r="T53" i="4"/>
  <c r="T54" i="4"/>
  <c r="T52" i="4"/>
  <c r="X789" i="1"/>
  <c r="X788" i="1"/>
  <c r="T78" i="4"/>
  <c r="X673" i="1"/>
  <c r="X760" i="1" l="1"/>
  <c r="X762" i="1" s="1"/>
  <c r="X672" i="1"/>
  <c r="X671" i="1" s="1"/>
  <c r="X714" i="1" s="1"/>
  <c r="X801" i="1"/>
  <c r="X803" i="1" s="1"/>
  <c r="T80" i="4"/>
  <c r="T79" i="4"/>
  <c r="X808" i="1" l="1"/>
  <c r="X806" i="1"/>
  <c r="T56" i="4"/>
  <c r="X804" i="1"/>
  <c r="T57" i="4" l="1"/>
  <c r="T13" i="4"/>
  <c r="T1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tc={CB31BDB0-C579-4B7E-96FE-943038ED03A3}</author>
    <author>tc={964D432C-3E0F-48C7-8EC9-78BD1FA6C072}</author>
    <author>tc={1CFCB75C-4A66-4807-8E25-A3117CC57441}</author>
    <author>tc={961B6431-F385-47A3-9579-8505706EBBBD}</author>
    <author>tc={6DB81F93-A101-436B-87FA-DB6649BC10A3}</author>
    <author>tc={4F6442CD-FD7B-4E1D-838F-D6936B852486}</author>
    <author>tc={73D58391-93C2-41FC-A3A8-A76E1348FCBE}</author>
    <author>tc={617CD4C3-96EB-475D-B3B2-8BFF5F885691}</author>
    <author>tc={D67EE87C-03E9-4E79-B56D-B8119615F0F7}</author>
    <author>tc={B064E050-1DFF-4EA9-95F5-5458397E2CEA}</author>
    <author>tc={DBA6576A-8D9A-46DD-8FB7-70B1630FE235}</author>
    <author>tc={F592AC81-7787-4CC4-9BF2-54144921CD37}</author>
    <author>tc={0D98A5E5-5E4E-436E-8E3F-EC89BD806135}</author>
    <author>tc={AA5DA87D-34C1-47DB-BCDD-3910F3DCD269}</author>
    <author>tc={7491329D-95DE-4923-BA36-81409B2F014A}</author>
    <author>tc={B5223216-2CE3-447C-A4D9-E3474415AF38}</author>
    <author>tc={BF8BBDD3-8E23-4ECD-92A4-2E51ABEA2B66}</author>
    <author>tc={8F747C51-0CF1-4C71-874C-3B877B2E49D7}</author>
    <author>tc={3142662C-8CA8-40DE-87B1-6CB94381E5F4}</author>
    <author>tc={0DA52CE8-6C7D-4A33-9D9E-1658EAE5831F}</author>
    <author>tc={414106BC-690A-43EB-ABDB-D10922CA4F9F}</author>
    <author>tc={F46FADBC-374F-4BE6-8AD4-2300B4A30F82}</author>
    <author>tc={B4209460-9477-40A2-B5C0-3372FED76E32}</author>
    <author>tc={69C68F1F-5275-459D-A75C-AA274506AA5E}</author>
    <author>tc={E3A97A12-EBA8-4B1D-9E8C-DAA4229C345E}</author>
    <author>tc={46DF5827-5FD7-480C-A0A9-A7A9FEEE33AC}</author>
    <author>tc={5E910C39-E99A-4770-973C-488B05752E88}</author>
    <author>tc={66CA9166-6F5B-4AF6-B260-58B8370F7F80}</author>
    <author>tc={8032537F-C8EB-4702-B6F4-6E5B1C04047B}</author>
    <author>tc={498862DA-6601-43E3-ABFE-4C535ADDDE98}</author>
    <author>tc={8409F2A1-41CF-48A0-8266-B5D3AC545645}</author>
    <author>tc={7A84D688-24BB-46C4-BAAD-8AB2F86B072C}</author>
    <author>tc={850AA762-2A97-44E5-9A2A-317FF2F9D33B}</author>
    <author>tc={4938DEB2-2E26-4BF2-8CC9-1E100E3D5C73}</author>
    <author>tc={4BFA78A7-5AD9-4D31-98A2-96D970CA71AD}</author>
    <author>tc={443D676B-54C5-4E14-A8FB-5935DA16CFFF}</author>
    <author>tc={86BBAD1E-B9F8-4A26-A794-9618DB9A3E06}</author>
    <author>tc={4B02B981-BE7A-4169-960D-C0FC340739CC}</author>
    <author>tc={ABB47C31-F43A-4ED6-B531-539891479C7F}</author>
    <author>tc={840EC3DD-611E-4321-B851-7FE8F9429BBB}</author>
    <author>tc={0D4BAD3D-35EA-4046-99BA-81E0C88C5BCC}</author>
    <author>tc={69C959DD-0141-45E1-BF83-0929471C0626}</author>
    <author>tc={C3C53AE7-AA45-43EF-8ECC-1F5DBA1F39B8}</author>
    <author>tc={973A999C-B21F-4412-8D41-7A4A28977C82}</author>
    <author>tc={B70C6991-58E6-40E0-A66C-EAA783782B1E}</author>
    <author>tc={DC061311-BF63-46BB-852A-FDF96516173C}</author>
    <author>tc={5B7DD03C-EF70-447A-9E22-23C6FF0660E9}</author>
  </authors>
  <commentList>
    <comment ref="E77" authorId="0" shapeId="0" xr:uid="{CB31BDB0-C579-4B7E-96FE-943038ED03A3}">
      <text>
        <t xml:space="preserve">[Threaded comment]
Your version of Excel allows you to read this threaded comment; however, any edits to it will get removed if the file is opened in a newer version of Excel. Learn more: https://go.microsoft.com/fwlink/?linkid=870924
Comment:
    Considering that approximately 85% of the units are in Canada </t>
      </text>
    </comment>
    <comment ref="F77" authorId="1" shapeId="0" xr:uid="{964D432C-3E0F-48C7-8EC9-78BD1FA6C072}">
      <text>
        <t xml:space="preserve">[Threaded comment]
Your version of Excel allows you to read this threaded comment; however, any edits to it will get removed if the file is opened in a newer version of Excel. Learn more: https://go.microsoft.com/fwlink/?linkid=870924
Comment:
    Considering that approximately 85% of the units are in Canada </t>
      </text>
    </comment>
    <comment ref="G77" authorId="2" shapeId="0" xr:uid="{1CFCB75C-4A66-4807-8E25-A3117CC57441}">
      <text>
        <t xml:space="preserve">[Threaded comment]
Your version of Excel allows you to read this threaded comment; however, any edits to it will get removed if the file is opened in a newer version of Excel. Learn more: https://go.microsoft.com/fwlink/?linkid=870924
Comment:
    Considering that approximately 85% of the units are in Canada </t>
      </text>
    </comment>
    <comment ref="H77" authorId="3" shapeId="0" xr:uid="{961B6431-F385-47A3-9579-8505706EBBBD}">
      <text>
        <t xml:space="preserve">[Threaded comment]
Your version of Excel allows you to read this threaded comment; however, any edits to it will get removed if the file is opened in a newer version of Excel. Learn more: https://go.microsoft.com/fwlink/?linkid=870924
Comment:
    Considering that approximately 85% of the units are in Canada </t>
      </text>
    </comment>
    <comment ref="I77" authorId="4" shapeId="0" xr:uid="{6DB81F93-A101-436B-87FA-DB6649BC10A3}">
      <text>
        <t xml:space="preserve">[Threaded comment]
Your version of Excel allows you to read this threaded comment; however, any edits to it will get removed if the file is opened in a newer version of Excel. Learn more: https://go.microsoft.com/fwlink/?linkid=870924
Comment:
    Considering that approximately 85% of the units are in Canada </t>
      </text>
    </comment>
    <comment ref="J77" authorId="5" shapeId="0" xr:uid="{4F6442CD-FD7B-4E1D-838F-D6936B852486}">
      <text>
        <t xml:space="preserve">[Threaded comment]
Your version of Excel allows you to read this threaded comment; however, any edits to it will get removed if the file is opened in a newer version of Excel. Learn more: https://go.microsoft.com/fwlink/?linkid=870924
Comment:
    Considering that approximately 85% of the units are in Canada </t>
      </text>
    </comment>
    <comment ref="K77" authorId="6" shapeId="0" xr:uid="{73D58391-93C2-41FC-A3A8-A76E1348FCBE}">
      <text>
        <t xml:space="preserve">[Threaded comment]
Your version of Excel allows you to read this threaded comment; however, any edits to it will get removed if the file is opened in a newer version of Excel. Learn more: https://go.microsoft.com/fwlink/?linkid=870924
Comment:
    Considering that approximately 85% of the units are in Canada </t>
      </text>
    </comment>
    <comment ref="L77" authorId="7" shapeId="0" xr:uid="{617CD4C3-96EB-475D-B3B2-8BFF5F885691}">
      <text>
        <t xml:space="preserve">[Threaded comment]
Your version of Excel allows you to read this threaded comment; however, any edits to it will get removed if the file is opened in a newer version of Excel. Learn more: https://go.microsoft.com/fwlink/?linkid=870924
Comment:
    Considering that approximately 85% of the units are in Canada </t>
      </text>
    </comment>
    <comment ref="M77" authorId="8" shapeId="0" xr:uid="{D67EE87C-03E9-4E79-B56D-B8119615F0F7}">
      <text>
        <t xml:space="preserve">[Threaded comment]
Your version of Excel allows you to read this threaded comment; however, any edits to it will get removed if the file is opened in a newer version of Excel. Learn more: https://go.microsoft.com/fwlink/?linkid=870924
Comment:
    Considering that approximately 85% of the units are in Canada </t>
      </text>
    </comment>
    <comment ref="N77" authorId="9" shapeId="0" xr:uid="{B064E050-1DFF-4EA9-95F5-5458397E2CEA}">
      <text>
        <t xml:space="preserve">[Threaded comment]
Your version of Excel allows you to read this threaded comment; however, any edits to it will get removed if the file is opened in a newer version of Excel. Learn more: https://go.microsoft.com/fwlink/?linkid=870924
Comment:
    Considering that approximately 85% of the units are in Canada </t>
      </text>
    </comment>
    <comment ref="O77" authorId="10" shapeId="0" xr:uid="{DBA6576A-8D9A-46DD-8FB7-70B1630FE235}">
      <text>
        <t xml:space="preserve">[Threaded comment]
Your version of Excel allows you to read this threaded comment; however, any edits to it will get removed if the file is opened in a newer version of Excel. Learn more: https://go.microsoft.com/fwlink/?linkid=870924
Comment:
    Considering that approximately 85% of the units are in Canada </t>
      </text>
    </comment>
    <comment ref="P77" authorId="11" shapeId="0" xr:uid="{F592AC81-7787-4CC4-9BF2-54144921CD37}">
      <text>
        <t xml:space="preserve">[Threaded comment]
Your version of Excel allows you to read this threaded comment; however, any edits to it will get removed if the file is opened in a newer version of Excel. Learn more: https://go.microsoft.com/fwlink/?linkid=870924
Comment:
    Considering that approximately 85% of the units are in Canada </t>
      </text>
    </comment>
    <comment ref="Q77" authorId="12" shapeId="0" xr:uid="{0D98A5E5-5E4E-436E-8E3F-EC89BD806135}">
      <text>
        <t xml:space="preserve">[Threaded comment]
Your version of Excel allows you to read this threaded comment; however, any edits to it will get removed if the file is opened in a newer version of Excel. Learn more: https://go.microsoft.com/fwlink/?linkid=870924
Comment:
    Considering that approximately 85% of the units are in Canada </t>
      </text>
    </comment>
    <comment ref="R77" authorId="13" shapeId="0" xr:uid="{AA5DA87D-34C1-47DB-BCDD-3910F3DCD269}">
      <text>
        <t xml:space="preserve">[Threaded comment]
Your version of Excel allows you to read this threaded comment; however, any edits to it will get removed if the file is opened in a newer version of Excel. Learn more: https://go.microsoft.com/fwlink/?linkid=870924
Comment:
    Considering that approximately 85% of the units are in Canada </t>
      </text>
    </comment>
    <comment ref="S77" authorId="14" shapeId="0" xr:uid="{7491329D-95DE-4923-BA36-81409B2F014A}">
      <text>
        <t xml:space="preserve">[Threaded comment]
Your version of Excel allows you to read this threaded comment; however, any edits to it will get removed if the file is opened in a newer version of Excel. Learn more: https://go.microsoft.com/fwlink/?linkid=870924
Comment:
    Considering that approximately 85% of the units are in Canada </t>
      </text>
    </comment>
    <comment ref="T77" authorId="15" shapeId="0" xr:uid="{B5223216-2CE3-447C-A4D9-E3474415AF38}">
      <text>
        <t xml:space="preserve">[Threaded comment]
Your version of Excel allows you to read this threaded comment; however, any edits to it will get removed if the file is opened in a newer version of Excel. Learn more: https://go.microsoft.com/fwlink/?linkid=870924
Comment:
    Considering that approximately 85% of the units are in Canada </t>
      </text>
    </comment>
    <comment ref="U77" authorId="16" shapeId="0" xr:uid="{BF8BBDD3-8E23-4ECD-92A4-2E51ABEA2B66}">
      <text>
        <t xml:space="preserve">[Threaded comment]
Your version of Excel allows you to read this threaded comment; however, any edits to it will get removed if the file is opened in a newer version of Excel. Learn more: https://go.microsoft.com/fwlink/?linkid=870924
Comment:
    Considering that approximately 85% of the units are in Canada </t>
      </text>
    </comment>
    <comment ref="V77" authorId="17" shapeId="0" xr:uid="{8F747C51-0CF1-4C71-874C-3B877B2E49D7}">
      <text>
        <t xml:space="preserve">[Threaded comment]
Your version of Excel allows you to read this threaded comment; however, any edits to it will get removed if the file is opened in a newer version of Excel. Learn more: https://go.microsoft.com/fwlink/?linkid=870924
Comment:
    Considering that approximately 85% of the units are in Canada </t>
      </text>
    </comment>
    <comment ref="W77" authorId="18" shapeId="0" xr:uid="{3142662C-8CA8-40DE-87B1-6CB94381E5F4}">
      <text>
        <t xml:space="preserve">[Threaded comment]
Your version of Excel allows you to read this threaded comment; however, any edits to it will get removed if the file is opened in a newer version of Excel. Learn more: https://go.microsoft.com/fwlink/?linkid=870924
Comment:
    Considering that approximately 85% of the units are in Canada </t>
      </text>
    </comment>
    <comment ref="X77" authorId="19" shapeId="0" xr:uid="{0DA52CE8-6C7D-4A33-9D9E-1658EAE5831F}">
      <text>
        <t xml:space="preserve">[Threaded comment]
Your version of Excel allows you to read this threaded comment; however, any edits to it will get removed if the file is opened in a newer version of Excel. Learn more: https://go.microsoft.com/fwlink/?linkid=870924
Comment:
    Considering that approximately 85% of the units are in Canada </t>
      </text>
    </comment>
    <comment ref="K432" authorId="20" shapeId="0" xr:uid="{414106BC-690A-43EB-ABDB-D10922CA4F9F}">
      <text>
        <t>[Threaded comment]
Your version of Excel allows you to read this threaded comment; however, any edits to it will get removed if the file is opened in a newer version of Excel. Learn more: https://go.microsoft.com/fwlink/?linkid=870924
Comment:
    "Additionally, effective January 1, 2018, we adopted the new revenue recognition accounting standard ("New Standard"). Our consolidated financial statements for 2018 reflect the application of the New Standard, while our consolidated financial statements for 2017 were prepared under the guidance of previously applicable accounting standards ("Previous Standards"). Our results presented herein indicate which revenue recognition methodology applies in each respective period.
The implementation of the New Standard impacted our year-over-year results on a consolidated basis and for each segment as follows:
Total Revenues increased primarily as a result of the inclusion of advertising fund contributions
Selling, General, and Administrative Expenses increased as a result of the inclusion of advertising fund expenditures"</t>
      </text>
    </comment>
    <comment ref="Q452" authorId="21" shapeId="0" xr:uid="{F46FADBC-374F-4BE6-8AD4-2300B4A30F82}">
      <text>
        <t xml:space="preserve">[Threaded comment]
Your version of Excel allows you to read this threaded comment; however, any edits to it will get removed if the file is opened in a newer version of Excel. Learn more: https://go.microsoft.com/fwlink/?linkid=870924
Comment:
    RH was consolidated starting on May 16 </t>
      </text>
    </comment>
    <comment ref="O467" authorId="22" shapeId="0" xr:uid="{B4209460-9477-40A2-B5C0-3372FED76E32}">
      <text>
        <t>[Threaded comment]
Your version of Excel allows you to read this threaded comment; however, any edits to it will get removed if the file is opened in a newer version of Excel. Learn more: https://go.microsoft.com/fwlink/?linkid=870924
Comment:
    Including Firehouse</t>
      </text>
    </comment>
    <comment ref="Q467" authorId="23" shapeId="0" xr:uid="{69C68F1F-5275-459D-A75C-AA274506AA5E}">
      <text>
        <t xml:space="preserve">[Threaded comment]
Your version of Excel allows you to read this threaded comment; however, any edits to it will get removed if the file is opened in a newer version of Excel. Learn more: https://go.microsoft.com/fwlink/?linkid=870924
Comment:
    Including RH - consolidated starting on May 16 </t>
      </text>
    </comment>
    <comment ref="O479" authorId="24" shapeId="0" xr:uid="{E3A97A12-EBA8-4B1D-9E8C-DAA4229C345E}">
      <text>
        <t>[Threaded comment]
Your version of Excel allows you to read this threaded comment; however, any edits to it will get removed if the file is opened in a newer version of Excel. Learn more: https://go.microsoft.com/fwlink/?linkid=870924
Comment:
    Including Firehouse</t>
      </text>
    </comment>
    <comment ref="Q479" authorId="25" shapeId="0" xr:uid="{46DF5827-5FD7-480C-A0A9-A7A9FEEE33AC}">
      <text>
        <t>[Threaded comment]
Your version of Excel allows you to read this threaded comment; however, any edits to it will get removed if the file is opened in a newer version of Excel. Learn more: https://go.microsoft.com/fwlink/?linkid=870924
Comment:
    Including the Intersegment adjustment</t>
      </text>
    </comment>
    <comment ref="O483" authorId="26" shapeId="0" xr:uid="{5E910C39-E99A-4770-973C-488B05752E88}">
      <text>
        <t>[Threaded comment]
Your version of Excel allows you to read this threaded comment; however, any edits to it will get removed if the file is opened in a newer version of Excel. Learn more: https://go.microsoft.com/fwlink/?linkid=870924
Comment:
    Including Firehouse</t>
      </text>
    </comment>
    <comment ref="Q483" authorId="27" shapeId="0" xr:uid="{66CA9166-6F5B-4AF6-B260-58B8370F7F80}">
      <text>
        <t>[Threaded comment]
Your version of Excel allows you to read this threaded comment; however, any edits to it will get removed if the file is opened in a newer version of Excel. Learn more: https://go.microsoft.com/fwlink/?linkid=870924
Comment:
    Including the Intersegment adjustment</t>
      </text>
    </comment>
    <comment ref="K504" authorId="28" shapeId="0" xr:uid="{8032537F-C8EB-4702-B6F4-6E5B1C04047B}">
      <text>
        <t>[Threaded comment]
Your version of Excel allows you to read this threaded comment; however, any edits to it will get removed if the file is opened in a newer version of Excel. Learn more: https://go.microsoft.com/fwlink/?linkid=870924
Comment:
    "Additionally, effective January 1, 2018, we adopted the new revenue recognition accounting standard ("New Standard"). Our consolidated financial statements for 2018 reflect the application of the New Standard, while our consolidated financial statements for 2017 were prepared under the guidance of previously applicable accounting standards ("Previous Standards"). Our results presented herein indicate which revenue recognition methodology applies in each respective period.
The implementation of the New Standard impacted our year-over-year results on a consolidated basis and for each segment as follows:
Total Revenues increased primarily as a result of the inclusion of advertising fund contributions
Selling, General, and Administrative Expenses increased as a result of the inclusion of advertising fund expenditures"</t>
      </text>
    </comment>
    <comment ref="B538" authorId="29" shapeId="0" xr:uid="{498862DA-6601-43E3-ABFE-4C535ADDDE98}">
      <text>
        <t xml:space="preserve">[Threaded comment]
Your version of Excel allows you to read this threaded comment; however, any edits to it will get removed if the file is opened in a newer version of Excel. Learn more: https://go.microsoft.com/fwlink/?linkid=870924
Comment:
    = cash distributions received from equity method investments </t>
      </text>
    </comment>
    <comment ref="R695" authorId="30" shapeId="0" xr:uid="{8409F2A1-41CF-48A0-8266-B5D3AC545645}">
      <text>
        <t xml:space="preserve">[Threaded comment]
Your version of Excel allows you to read this threaded comment; however, any edits to it will get removed if the file is opened in a newer version of Excel. Learn more: https://go.microsoft.com/fwlink/?linkid=870924
Comment:
    All debt was consolidated into long-term debt. </t>
      </text>
    </comment>
    <comment ref="S695" authorId="31" shapeId="0" xr:uid="{7A84D688-24BB-46C4-BAAD-8AB2F86B072C}">
      <text>
        <t xml:space="preserve">[Threaded comment]
Your version of Excel allows you to read this threaded comment; however, any edits to it will get removed if the file is opened in a newer version of Excel. Learn more: https://go.microsoft.com/fwlink/?linkid=870924
Comment:
    All debt was consolidated into long-term debt. </t>
      </text>
    </comment>
    <comment ref="T695" authorId="32" shapeId="0" xr:uid="{850AA762-2A97-44E5-9A2A-317FF2F9D33B}">
      <text>
        <t xml:space="preserve">[Threaded comment]
Your version of Excel allows you to read this threaded comment; however, any edits to it will get removed if the file is opened in a newer version of Excel. Learn more: https://go.microsoft.com/fwlink/?linkid=870924
Comment:
    All debt was consolidated into long-term debt. </t>
      </text>
    </comment>
    <comment ref="U695" authorId="33" shapeId="0" xr:uid="{4938DEB2-2E26-4BF2-8CC9-1E100E3D5C73}">
      <text>
        <t xml:space="preserve">[Threaded comment]
Your version of Excel allows you to read this threaded comment; however, any edits to it will get removed if the file is opened in a newer version of Excel. Learn more: https://go.microsoft.com/fwlink/?linkid=870924
Comment:
    All debt was consolidated into long-term debt. </t>
      </text>
    </comment>
    <comment ref="V695" authorId="34" shapeId="0" xr:uid="{4BFA78A7-5AD9-4D31-98A2-96D970CA71AD}">
      <text>
        <t xml:space="preserve">[Threaded comment]
Your version of Excel allows you to read this threaded comment; however, any edits to it will get removed if the file is opened in a newer version of Excel. Learn more: https://go.microsoft.com/fwlink/?linkid=870924
Comment:
    All debt was consolidated into long-term debt. </t>
      </text>
    </comment>
    <comment ref="W695" authorId="35" shapeId="0" xr:uid="{443D676B-54C5-4E14-A8FB-5935DA16CFFF}">
      <text>
        <t xml:space="preserve">[Threaded comment]
Your version of Excel allows you to read this threaded comment; however, any edits to it will get removed if the file is opened in a newer version of Excel. Learn more: https://go.microsoft.com/fwlink/?linkid=870924
Comment:
    All debt was consolidated into long-term debt. </t>
      </text>
    </comment>
    <comment ref="X695" authorId="36" shapeId="0" xr:uid="{86BBAD1E-B9F8-4A26-A794-9618DB9A3E06}">
      <text>
        <t xml:space="preserve">[Threaded comment]
Your version of Excel allows you to read this threaded comment; however, any edits to it will get removed if the file is opened in a newer version of Excel. Learn more: https://go.microsoft.com/fwlink/?linkid=870924
Comment:
    All debt was consolidated into long-term debt. </t>
      </text>
    </comment>
    <comment ref="R698" authorId="37" shapeId="0" xr:uid="{4B02B981-BE7A-4169-960D-C0FC340739CC}">
      <text>
        <t xml:space="preserve">[Threaded comment]
Your version of Excel allows you to read this threaded comment; however, any edits to it will get removed if the file is opened in a newer version of Excel. Learn more: https://go.microsoft.com/fwlink/?linkid=870924
Comment:
    All debt was consolidated into long-term debt. </t>
      </text>
    </comment>
    <comment ref="S698" authorId="38" shapeId="0" xr:uid="{ABB47C31-F43A-4ED6-B531-539891479C7F}">
      <text>
        <t xml:space="preserve">[Threaded comment]
Your version of Excel allows you to read this threaded comment; however, any edits to it will get removed if the file is opened in a newer version of Excel. Learn more: https://go.microsoft.com/fwlink/?linkid=870924
Comment:
    All debt was consolidated into long-term debt. </t>
      </text>
    </comment>
    <comment ref="T698" authorId="39" shapeId="0" xr:uid="{840EC3DD-611E-4321-B851-7FE8F9429BBB}">
      <text>
        <t xml:space="preserve">[Threaded comment]
Your version of Excel allows you to read this threaded comment; however, any edits to it will get removed if the file is opened in a newer version of Excel. Learn more: https://go.microsoft.com/fwlink/?linkid=870924
Comment:
    All debt was consolidated into long-term debt. </t>
      </text>
    </comment>
    <comment ref="U698" authorId="40" shapeId="0" xr:uid="{0D4BAD3D-35EA-4046-99BA-81E0C88C5BCC}">
      <text>
        <t xml:space="preserve">[Threaded comment]
Your version of Excel allows you to read this threaded comment; however, any edits to it will get removed if the file is opened in a newer version of Excel. Learn more: https://go.microsoft.com/fwlink/?linkid=870924
Comment:
    All debt was consolidated into long-term debt. </t>
      </text>
    </comment>
    <comment ref="V698" authorId="41" shapeId="0" xr:uid="{69C959DD-0141-45E1-BF83-0929471C0626}">
      <text>
        <t xml:space="preserve">[Threaded comment]
Your version of Excel allows you to read this threaded comment; however, any edits to it will get removed if the file is opened in a newer version of Excel. Learn more: https://go.microsoft.com/fwlink/?linkid=870924
Comment:
    All debt was consolidated into long-term debt. </t>
      </text>
    </comment>
    <comment ref="W698" authorId="42" shapeId="0" xr:uid="{C3C53AE7-AA45-43EF-8ECC-1F5DBA1F39B8}">
      <text>
        <t xml:space="preserve">[Threaded comment]
Your version of Excel allows you to read this threaded comment; however, any edits to it will get removed if the file is opened in a newer version of Excel. Learn more: https://go.microsoft.com/fwlink/?linkid=870924
Comment:
    All debt was consolidated into long-term debt. </t>
      </text>
    </comment>
    <comment ref="X698" authorId="43" shapeId="0" xr:uid="{973A999C-B21F-4412-8D41-7A4A28977C82}">
      <text>
        <t xml:space="preserve">[Threaded comment]
Your version of Excel allows you to read this threaded comment; however, any edits to it will get removed if the file is opened in a newer version of Excel. Learn more: https://go.microsoft.com/fwlink/?linkid=870924
Comment:
    All debt was consolidated into long-term debt. </t>
      </text>
    </comment>
    <comment ref="G785" authorId="44" shapeId="0" xr:uid="{B70C6991-58E6-40E0-A66C-EAA783782B1E}">
      <text>
        <t>[Threaded comment]
Your version of Excel allows you to read this threaded comment; however, any edits to it will get removed if the file is opened in a newer version of Excel. Learn more: https://go.microsoft.com/fwlink/?linkid=870924
Comment:
    We used 2015 adj. tax rate</t>
      </text>
    </comment>
    <comment ref="R796" authorId="45" shapeId="0" xr:uid="{DC061311-BF63-46BB-852A-FDF96516173C}">
      <text>
        <t xml:space="preserve">[Threaded comment]
Your version of Excel allows you to read this threaded comment; however, any edits to it will get removed if the file is opened in a newer version of Excel. Learn more: https://go.microsoft.com/fwlink/?linkid=870924
Comment:
    We used the 3Q25 debt data </t>
      </text>
    </comment>
    <comment ref="B936" authorId="46" shapeId="0" xr:uid="{5B7DD03C-EF70-447A-9E22-23C6FF0660E9}">
      <text>
        <t>[Threaded comment]
Your version of Excel allows you to read this threaded comment; however, any edits to it will get removed if the file is opened in a newer version of Excel. Learn more: https://go.microsoft.com/fwlink/?linkid=870924
Comment:
    Adjusted EBIT = Adjusted EBITDA + D&amp;A excluding Franchise Agreement Amortization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tc={13DC4F28-3A5A-4C17-9C2C-CC7F90D1C9A7}</author>
    <author>tc={7C23E64B-9247-4741-AF79-2B9E2FFE46BA}</author>
  </authors>
  <commentList>
    <comment ref="C3" authorId="0" shapeId="0" xr:uid="{13DC4F28-3A5A-4C17-9C2C-CC7F90D1C9A7}">
      <text>
        <t>[Threaded comment]
Your version of Excel allows you to read this threaded comment; however, any edits to it will get removed if the file is opened in a newer version of Excel. Learn more: https://go.microsoft.com/fwlink/?linkid=870924
Comment:
    Final price to be considered
Students must input the stock closing price of March 20th</t>
      </text>
    </comment>
    <comment ref="B20" authorId="1" shapeId="0" xr:uid="{7C23E64B-9247-4741-AF79-2B9E2FFE46BA}">
      <text>
        <t xml:space="preserve">[Threaded comment]
Your version of Excel allows you to read this threaded comment; however, any edits to it will get removed if the file is opened in a newer version of Excel. Learn more: https://go.microsoft.com/fwlink/?linkid=870924
Comment:
    Price not adjusted for dividends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tc={58F16444-BF75-4174-A4B4-7AC8DB0E4366}</author>
    <author>tc={C0769A99-C222-45D2-A24B-9DA351F8F098}</author>
    <author>tc={1634E9B7-3809-4063-96A4-698EF6C62134}</author>
    <author>tc={1A8D683B-2D0B-4E90-8841-FE4A150429C7}</author>
    <author>tc={A0B18A54-59F6-4723-B99B-287360D9E610}</author>
  </authors>
  <commentList>
    <comment ref="E9" authorId="0" shapeId="0" xr:uid="{58F16444-BF75-4174-A4B4-7AC8DB0E4366}">
      <text>
        <t>[Threaded comment]
Your version of Excel allows you to read this threaded comment; however, any edits to it will get removed if the file is opened in a newer version of Excel. Learn more: https://go.microsoft.com/fwlink/?linkid=870924
Comment:
    É a remuneração que o capital próprio, sempre vai ser maior que o custo da dívida</t>
      </text>
    </comment>
    <comment ref="B10" authorId="1" shapeId="0" xr:uid="{C0769A99-C222-45D2-A24B-9DA351F8F098}">
      <text>
        <t>[Threaded comment]
Your version of Excel allows you to read this threaded comment; however, any edits to it will get removed if the file is opened in a newer version of Excel. Learn more: https://go.microsoft.com/fwlink/?linkid=870924
Comment:
    Bond de 10 anos do governo onde a empresa está localizada, no caso, Bond Brasileiro</t>
      </text>
    </comment>
    <comment ref="B11" authorId="2" shapeId="0" xr:uid="{1634E9B7-3809-4063-96A4-698EF6C62134}">
      <text>
        <t>[Threaded comment]
Your version of Excel allows you to read this threaded comment; however, any edits to it will get removed if the file is opened in a newer version of Excel. Learn more: https://go.microsoft.com/fwlink/?linkid=870924
Comment:
    Remuneração mínima que os acionistas esperam ao investir em um país</t>
      </text>
    </comment>
    <comment ref="B13" authorId="3" shapeId="0" xr:uid="{1A8D683B-2D0B-4E90-8841-FE4A150429C7}">
      <text>
        <t>[Threaded comment]
Your version of Excel allows you to read this threaded comment; however, any edits to it will get removed if the file is opened in a newer version of Excel. Learn more: https://go.microsoft.com/fwlink/?linkid=870924
Comment:
    Prêmio que os acionistas esperam receber  por investir em uma bolsa</t>
      </text>
    </comment>
    <comment ref="B16" authorId="4" shapeId="0" xr:uid="{A0B18A54-59F6-4723-B99B-287360D9E610}">
      <text>
        <t xml:space="preserve">[Threaded comment]
Your version of Excel allows you to read this threaded comment; however, any edits to it will get removed if the file is opened in a newer version of Excel. Learn more: https://go.microsoft.com/fwlink/?linkid=870924
Comment:
    Jeito simples:
Despesas financeiras / Dívida bruta
ou
Pegar o valor divulgado pela empresa </t>
      </text>
    </comment>
  </commentList>
</comments>
</file>

<file path=xl/sharedStrings.xml><?xml version="1.0" encoding="utf-8"?>
<sst xmlns="http://schemas.openxmlformats.org/spreadsheetml/2006/main" count="3151" uniqueCount="789">
  <si>
    <r>
      <rPr>
        <b/>
        <sz val="12"/>
        <rFont val="Verdana"/>
        <family val="2"/>
      </rPr>
      <t>1.</t>
    </r>
    <r>
      <rPr>
        <sz val="12"/>
        <rFont val="Verdana"/>
        <family val="2"/>
      </rPr>
      <t xml:space="preserve"> The model provided must be used </t>
    </r>
    <r>
      <rPr>
        <b/>
        <u/>
        <sz val="12"/>
        <rFont val="Verdana"/>
        <family val="2"/>
      </rPr>
      <t>only as a base for analysis and projection</t>
    </r>
    <r>
      <rPr>
        <sz val="12"/>
        <rFont val="Verdana"/>
        <family val="2"/>
      </rPr>
      <t xml:space="preserve"> of the financial statements;</t>
    </r>
  </si>
  <si>
    <r>
      <rPr>
        <b/>
        <sz val="12"/>
        <rFont val="Verdana"/>
        <family val="2"/>
      </rPr>
      <t xml:space="preserve">2. </t>
    </r>
    <r>
      <rPr>
        <sz val="12"/>
        <rFont val="Verdana"/>
        <family val="2"/>
      </rPr>
      <t xml:space="preserve">The model provides </t>
    </r>
    <r>
      <rPr>
        <b/>
        <u/>
        <sz val="12"/>
        <rFont val="Verdana"/>
        <family val="2"/>
      </rPr>
      <t>enough historical information</t>
    </r>
    <r>
      <rPr>
        <sz val="12"/>
        <rFont val="Verdana"/>
        <family val="2"/>
      </rPr>
      <t xml:space="preserve"> for the projections and analysis. If the group believes it has more accurate ways to forecast, </t>
    </r>
    <r>
      <rPr>
        <b/>
        <u/>
        <sz val="12"/>
        <rFont val="Verdana"/>
        <family val="2"/>
      </rPr>
      <t>we do not discourage their use</t>
    </r>
    <r>
      <rPr>
        <sz val="12"/>
        <rFont val="Verdana"/>
        <family val="2"/>
      </rPr>
      <t>;</t>
    </r>
  </si>
  <si>
    <r>
      <rPr>
        <b/>
        <sz val="12"/>
        <rFont val="Verdana"/>
        <family val="2"/>
      </rPr>
      <t xml:space="preserve">3. </t>
    </r>
    <r>
      <rPr>
        <b/>
        <u/>
        <sz val="12"/>
        <rFont val="Verdana"/>
        <family val="2"/>
      </rPr>
      <t>Justifying the premises is critical.</t>
    </r>
    <r>
      <rPr>
        <sz val="12"/>
        <rFont val="Verdana"/>
        <family val="2"/>
      </rPr>
      <t xml:space="preserve"> Do you think that Burger King's Same-Store Sales will accelerate? Do you think EBITDA margin should expand or contract? Why? At what level should System-wide Sales grow?</t>
    </r>
  </si>
  <si>
    <r>
      <t xml:space="preserve">4. </t>
    </r>
    <r>
      <rPr>
        <sz val="12"/>
        <rFont val="Verdana"/>
        <family val="2"/>
      </rPr>
      <t>All groups receive the same model.</t>
    </r>
    <r>
      <rPr>
        <b/>
        <sz val="12"/>
        <rFont val="Verdana"/>
        <family val="2"/>
      </rPr>
      <t xml:space="preserve"> </t>
    </r>
    <r>
      <rPr>
        <sz val="12"/>
        <rFont val="Verdana"/>
        <family val="2"/>
      </rPr>
      <t xml:space="preserve">With the exception of macroeconomics assumptions, </t>
    </r>
    <r>
      <rPr>
        <b/>
        <u/>
        <sz val="12"/>
        <rFont val="Verdana"/>
        <family val="2"/>
      </rPr>
      <t>all other assumptions hereby are dummy variables, and the group must elaborate the premises that they find best</t>
    </r>
    <r>
      <rPr>
        <sz val="12"/>
        <rFont val="Verdana"/>
        <family val="2"/>
      </rPr>
      <t>. The logic behind these premises that will differentiate the groups.</t>
    </r>
  </si>
  <si>
    <t>*</t>
  </si>
  <si>
    <t>Assumptions - you should define which value you believe is more appropriate for each assumption - current values are just an example</t>
  </si>
  <si>
    <t>Not meaningful cells - either historical date is not available or you do not need to forecast the line</t>
  </si>
  <si>
    <t xml:space="preserve">Inputs are in blue - it is not expected that you change those values </t>
  </si>
  <si>
    <r>
      <t xml:space="preserve">Formulas: </t>
    </r>
    <r>
      <rPr>
        <sz val="8"/>
        <color theme="1"/>
        <rFont val="Verdana"/>
        <family val="2"/>
      </rPr>
      <t>It is not required that you change the formulas in the model (unless you desire to change the model structure), but it is important to understand the logic behind them</t>
    </r>
  </si>
  <si>
    <t>Watch out for comments across the model, they might provide some hints on how to project and think about some business lines</t>
  </si>
  <si>
    <t>Macro</t>
  </si>
  <si>
    <t>Unit</t>
  </si>
  <si>
    <t>2026E</t>
  </si>
  <si>
    <t>2027E</t>
  </si>
  <si>
    <t>2028E</t>
  </si>
  <si>
    <t>2029E</t>
  </si>
  <si>
    <t>2030E</t>
  </si>
  <si>
    <t>2031E</t>
  </si>
  <si>
    <t>CAD/USD</t>
  </si>
  <si>
    <t>[USD]</t>
  </si>
  <si>
    <t>SOFR</t>
  </si>
  <si>
    <t>[%]</t>
  </si>
  <si>
    <t>Revenue Build-Up</t>
  </si>
  <si>
    <t>2025E</t>
  </si>
  <si>
    <t>Tim Hortons</t>
  </si>
  <si>
    <t>Net Revenue</t>
  </si>
  <si>
    <t>[USD mn]</t>
  </si>
  <si>
    <t>YoY</t>
  </si>
  <si>
    <t>1. Supply Chain</t>
  </si>
  <si>
    <t>% of Total</t>
  </si>
  <si>
    <t>2. Company Sales</t>
  </si>
  <si>
    <t>3. Franchise Revenues</t>
  </si>
  <si>
    <t>% of Franchise Sales</t>
  </si>
  <si>
    <t>3.1 Franchise and Property Revenues</t>
  </si>
  <si>
    <t>3.2 Advertising Revenues</t>
  </si>
  <si>
    <t>Systemwide Sales</t>
  </si>
  <si>
    <t>1. Company Owned Revenues</t>
  </si>
  <si>
    <t>2. Franchises</t>
  </si>
  <si>
    <t>Total Units</t>
  </si>
  <si>
    <t>[#]</t>
  </si>
  <si>
    <t>1. Franchise</t>
  </si>
  <si>
    <t>2. VIEs</t>
  </si>
  <si>
    <t>Systemwide Sales Growth</t>
  </si>
  <si>
    <t>2 year</t>
  </si>
  <si>
    <t>n.m.</t>
  </si>
  <si>
    <t>1. SSS</t>
  </si>
  <si>
    <t>2. FX</t>
  </si>
  <si>
    <t>3. New Units</t>
  </si>
  <si>
    <t>Marginal Productivity</t>
  </si>
  <si>
    <t>Burger King</t>
  </si>
  <si>
    <t>1. Company Sales</t>
  </si>
  <si>
    <t>2. Franchise Revenues</t>
  </si>
  <si>
    <t>2.1 Franchise and Property Revenues</t>
  </si>
  <si>
    <t>2.2 Advertising Revenues</t>
  </si>
  <si>
    <t>2. Own Units</t>
  </si>
  <si>
    <t>2. New Units</t>
  </si>
  <si>
    <t>Popeyes</t>
  </si>
  <si>
    <t>Firehouse</t>
  </si>
  <si>
    <t>Restaurant Holdings</t>
  </si>
  <si>
    <t>1. Burger King</t>
  </si>
  <si>
    <t>2. Popeyes</t>
  </si>
  <si>
    <t xml:space="preserve">Intersegment Eliminations </t>
  </si>
  <si>
    <t>As % of Revenues</t>
  </si>
  <si>
    <t>Royalties</t>
  </si>
  <si>
    <t>Property revenues</t>
  </si>
  <si>
    <t>Advertising Revenues and others</t>
  </si>
  <si>
    <t>Net Revenue Growth @Burger King</t>
  </si>
  <si>
    <t>Net Revenue Growth @Popeyes</t>
  </si>
  <si>
    <t>International</t>
  </si>
  <si>
    <t>1. Franchise and Property Revenues</t>
  </si>
  <si>
    <t>2. Advertising Revenues</t>
  </si>
  <si>
    <t>Franchised System Sales</t>
  </si>
  <si>
    <t>1. Tim Hortons</t>
  </si>
  <si>
    <t>Total Franchised Units</t>
  </si>
  <si>
    <t>Franchised System Sales Growth</t>
  </si>
  <si>
    <t>2. Burger King</t>
  </si>
  <si>
    <t>3. Popeyes</t>
  </si>
  <si>
    <t>4. Firehouse</t>
  </si>
  <si>
    <t>Income Statement</t>
  </si>
  <si>
    <t>2. Tim Hortons</t>
  </si>
  <si>
    <t>5. International</t>
  </si>
  <si>
    <t>Breakdown I</t>
  </si>
  <si>
    <t>5. Restaurant Holdings</t>
  </si>
  <si>
    <t>6. International</t>
  </si>
  <si>
    <t>7. Others</t>
  </si>
  <si>
    <t>Check</t>
  </si>
  <si>
    <t>Breakdown II</t>
  </si>
  <si>
    <t>1. Company Restaurant Sales</t>
  </si>
  <si>
    <t>2. Supply Chain Sales</t>
  </si>
  <si>
    <t>4. Others</t>
  </si>
  <si>
    <t>Cost of Sales</t>
  </si>
  <si>
    <t>% of Net Revenue</t>
  </si>
  <si>
    <t>1. Supply Chain Cost of Sales</t>
  </si>
  <si>
    <t>% of Supply Chain Sales</t>
  </si>
  <si>
    <t>2. Company Restaurant Expenses</t>
  </si>
  <si>
    <t>% of Company Restaurant Sales</t>
  </si>
  <si>
    <t>SG&amp;A</t>
  </si>
  <si>
    <t>% of Systemwide Sales</t>
  </si>
  <si>
    <t>1. G&amp;A</t>
  </si>
  <si>
    <t>1.1 SBC</t>
  </si>
  <si>
    <t>1.2 Others</t>
  </si>
  <si>
    <t>2. Advertising Expenses</t>
  </si>
  <si>
    <t>% of % of Advertising Revenue</t>
  </si>
  <si>
    <t>Franchise &amp; Property Expenses</t>
  </si>
  <si>
    <t>% of Franchise Revenues</t>
  </si>
  <si>
    <t>Equity Method Investments</t>
  </si>
  <si>
    <t>Adjusted Equity Method Investments</t>
  </si>
  <si>
    <t xml:space="preserve">Other Operating Expenses </t>
  </si>
  <si>
    <t>EBIT</t>
  </si>
  <si>
    <t>EBIT Margin</t>
  </si>
  <si>
    <t>Financial Result</t>
  </si>
  <si>
    <t>1. Debt</t>
  </si>
  <si>
    <t>% of Gross Debt</t>
  </si>
  <si>
    <t>2. Finance lease Obligations</t>
  </si>
  <si>
    <t>3. Amortization of deferred financing costs and debt issuance discount</t>
  </si>
  <si>
    <t>4. Loss on early extinguishment of debt</t>
  </si>
  <si>
    <t>.</t>
  </si>
  <si>
    <t>5. Interest Income</t>
  </si>
  <si>
    <t>% of Cash</t>
  </si>
  <si>
    <t>% of SOFR</t>
  </si>
  <si>
    <t>EBT</t>
  </si>
  <si>
    <t>EBT Margin</t>
  </si>
  <si>
    <t>Taxes</t>
  </si>
  <si>
    <t>% of EBT</t>
  </si>
  <si>
    <t>Net Income</t>
  </si>
  <si>
    <t>Net Margin</t>
  </si>
  <si>
    <t>Minorities</t>
  </si>
  <si>
    <t>% of Net Income</t>
  </si>
  <si>
    <t>Net Income attributable to Common Shareholders</t>
  </si>
  <si>
    <t>Key Metrics Adjustments</t>
  </si>
  <si>
    <t>(+) D&amp;A</t>
  </si>
  <si>
    <t>Reported EBITDA</t>
  </si>
  <si>
    <t>EBITDA Margin</t>
  </si>
  <si>
    <t>Adjustments Company</t>
  </si>
  <si>
    <t>RH and BK China Transaction Costs</t>
  </si>
  <si>
    <t>FHS Transaction Costs</t>
  </si>
  <si>
    <t>Corporate Restructuring and Advisory Fees</t>
  </si>
  <si>
    <t>Impact of Equity Method Investments</t>
  </si>
  <si>
    <t>PLK Transaction Costs</t>
  </si>
  <si>
    <t>Office centralization and relocation costs</t>
  </si>
  <si>
    <t>Restructuring and Integration costs</t>
  </si>
  <si>
    <t xml:space="preserve">Other Operating Expenses (Income), net </t>
  </si>
  <si>
    <t>SBC</t>
  </si>
  <si>
    <t>Adjusted EBITDA Company</t>
  </si>
  <si>
    <t>Adjustments Constellation</t>
  </si>
  <si>
    <t>Adjusted EBITDA Constellation</t>
  </si>
  <si>
    <t>Reported Net Income</t>
  </si>
  <si>
    <t>EBITDA Adjustments</t>
  </si>
  <si>
    <t>Franchise Agreement Amortization</t>
  </si>
  <si>
    <t>Amortization of Deferred Financing Costs and 
Debt Issuance Discount</t>
  </si>
  <si>
    <t>Interest Expense and Loss on Extinguished Debt</t>
  </si>
  <si>
    <t>Preferred share dividends</t>
  </si>
  <si>
    <t>Income Tax Expense Adj.</t>
  </si>
  <si>
    <t>Adjusted Net Income Company</t>
  </si>
  <si>
    <t>Adjustments Const</t>
  </si>
  <si>
    <t>Adjusted Net Income Constellation</t>
  </si>
  <si>
    <t>Adjusted EBT Company</t>
  </si>
  <si>
    <t>Adjusted Tax Expense</t>
  </si>
  <si>
    <t>Adjusted EBT Constellation</t>
  </si>
  <si>
    <t>Balance Sheet</t>
  </si>
  <si>
    <t>Assets</t>
  </si>
  <si>
    <t xml:space="preserve">Current Assets </t>
  </si>
  <si>
    <t>Cash and Equivalents</t>
  </si>
  <si>
    <t>Trade and Notes Receivable</t>
  </si>
  <si>
    <t>Inventories</t>
  </si>
  <si>
    <t>Prepaid Expenses &amp; Other Current Assets</t>
  </si>
  <si>
    <t>Advertising fund restricted assets</t>
  </si>
  <si>
    <t>Deferred Income Taxes</t>
  </si>
  <si>
    <t xml:space="preserve">Noncurrent Assets </t>
  </si>
  <si>
    <t>PP&amp;E</t>
  </si>
  <si>
    <t>Operating Lease Assets</t>
  </si>
  <si>
    <t>Intangibles</t>
  </si>
  <si>
    <t>Goodwill</t>
  </si>
  <si>
    <t>Property Leased to Franchisees, Net</t>
  </si>
  <si>
    <t>Other Assets</t>
  </si>
  <si>
    <t>Liabilities</t>
  </si>
  <si>
    <t>Current Libilities</t>
  </si>
  <si>
    <t>Accounts and Drafts Payable</t>
  </si>
  <si>
    <t>Other Accrued liabilities</t>
  </si>
  <si>
    <t>Gift card liability</t>
  </si>
  <si>
    <t>Advertising Fund Liabilities</t>
  </si>
  <si>
    <t>Payables to Affiliates</t>
  </si>
  <si>
    <t>Current Portion of LT Debt</t>
  </si>
  <si>
    <t>Noncurrent Liabilities</t>
  </si>
  <si>
    <t>Long-Term Debt</t>
  </si>
  <si>
    <t>Capital Leases</t>
  </si>
  <si>
    <t>Other Deferrals and Liabilities</t>
  </si>
  <si>
    <t>Deferred Income Taxes, net</t>
  </si>
  <si>
    <t>Shareholders' Equity</t>
  </si>
  <si>
    <t>Common Stock</t>
  </si>
  <si>
    <t>Restricted Stock Units</t>
  </si>
  <si>
    <t>Paid-In Capital</t>
  </si>
  <si>
    <t xml:space="preserve">Retained Earnings </t>
  </si>
  <si>
    <t>Accumulated Other Comprehensive In come (loss)</t>
  </si>
  <si>
    <t>Treasury Stock</t>
  </si>
  <si>
    <t>Non-controlling interests</t>
  </si>
  <si>
    <t>Preferred Stock</t>
  </si>
  <si>
    <t>Cash Flow</t>
  </si>
  <si>
    <t>CFO</t>
  </si>
  <si>
    <t>Cash Adjustments</t>
  </si>
  <si>
    <t>D&amp;A</t>
  </si>
  <si>
    <t>Amort of Deferred Financing Costs</t>
  </si>
  <si>
    <t>Equity in Loss of Uncon. Affiliates</t>
  </si>
  <si>
    <t>Stock Compensation</t>
  </si>
  <si>
    <t>Assets and Liabilities Variations</t>
  </si>
  <si>
    <t>Prepaids and Other Current Assets</t>
  </si>
  <si>
    <t>Accrued Advertising</t>
  </si>
  <si>
    <t>Other Accrued Liabilities</t>
  </si>
  <si>
    <t>Tenant Inducements Paid to Franchisees</t>
  </si>
  <si>
    <t>Other Long-Term Assets &amp; Liabilities</t>
  </si>
  <si>
    <t>Other, net</t>
  </si>
  <si>
    <t>CFI</t>
  </si>
  <si>
    <t>Capex</t>
  </si>
  <si>
    <t>Proceeds from Sale of Assets</t>
  </si>
  <si>
    <t>Acquisition of Franchisees</t>
  </si>
  <si>
    <t>CFF</t>
  </si>
  <si>
    <t>Net Debt Proceeds</t>
  </si>
  <si>
    <t>Dividends</t>
  </si>
  <si>
    <t>Proceeds from Stock Options</t>
  </si>
  <si>
    <t>Excess Tax Benefits from Stock Comp</t>
  </si>
  <si>
    <t>Repurchase of common stock</t>
  </si>
  <si>
    <t>FX</t>
  </si>
  <si>
    <t>Cash Variation</t>
  </si>
  <si>
    <t>Cash BoP</t>
  </si>
  <si>
    <t>Cash EoP</t>
  </si>
  <si>
    <t>Constellation Cash Flow</t>
  </si>
  <si>
    <t>WK</t>
  </si>
  <si>
    <t>Adjustments</t>
  </si>
  <si>
    <t>% of NR</t>
  </si>
  <si>
    <t>% of EBITDA</t>
  </si>
  <si>
    <t>FCF</t>
  </si>
  <si>
    <t>% of NI</t>
  </si>
  <si>
    <t xml:space="preserve">Financial Result </t>
  </si>
  <si>
    <t>FCFF</t>
  </si>
  <si>
    <t>As % of NR</t>
  </si>
  <si>
    <t>Gross Debt Variation</t>
  </si>
  <si>
    <t>FCFE</t>
  </si>
  <si>
    <t>Debt</t>
  </si>
  <si>
    <t>Gross Debt</t>
  </si>
  <si>
    <t>Var YoY</t>
  </si>
  <si>
    <t xml:space="preserve">Cash </t>
  </si>
  <si>
    <t>Net Debt</t>
  </si>
  <si>
    <t>ND/EBITDA @Constellation</t>
  </si>
  <si>
    <t>ND/EBITDA @Company</t>
  </si>
  <si>
    <t>Expected Debt Expenses</t>
  </si>
  <si>
    <t>Debt Cost</t>
  </si>
  <si>
    <t>Term Loan B (due Nov 2026)</t>
  </si>
  <si>
    <t>% of Total Debt</t>
  </si>
  <si>
    <t>Nominal Cost</t>
  </si>
  <si>
    <t>Financial Expense</t>
  </si>
  <si>
    <t>Term Loan A (due Oct 2024)</t>
  </si>
  <si>
    <t>2021 Notes (3.875%; due Jan 2028)</t>
  </si>
  <si>
    <t>2019 Notes (4.375%; due Jan 2028)</t>
  </si>
  <si>
    <t>2020 Senior Notes (4.0%; due 2030)</t>
  </si>
  <si>
    <t>2020 Senior Notes (3.5%, due 2029)</t>
  </si>
  <si>
    <t>2024 Senior Notes (6.125%, due 2029)</t>
  </si>
  <si>
    <t>2024 Senior Notes (5.625%, due 2029)</t>
  </si>
  <si>
    <t>Others</t>
  </si>
  <si>
    <t>Working Capital</t>
  </si>
  <si>
    <t>Total Expenses</t>
  </si>
  <si>
    <t>Net Working Capital</t>
  </si>
  <si>
    <t>Days of Revenue</t>
  </si>
  <si>
    <t>Receivables</t>
  </si>
  <si>
    <t>Days</t>
  </si>
  <si>
    <t>Inventory</t>
  </si>
  <si>
    <t>Current Liabilities</t>
  </si>
  <si>
    <t>PP&amp;E + Intangible</t>
  </si>
  <si>
    <t>PP&amp;E + Intangible BoP</t>
  </si>
  <si>
    <t>As% of PP&amp;E + Intangible BoP</t>
  </si>
  <si>
    <t>As % of Net Revenues</t>
  </si>
  <si>
    <t>1. Common D&amp;A</t>
  </si>
  <si>
    <t>2. Franchise Agreement Amortization</t>
  </si>
  <si>
    <t xml:space="preserve">Others </t>
  </si>
  <si>
    <t>PP&amp;E + Intangible EoP</t>
  </si>
  <si>
    <t>Return to Shareholders</t>
  </si>
  <si>
    <t>Payout</t>
  </si>
  <si>
    <t>1. Dividends</t>
  </si>
  <si>
    <t>2. Buybacks</t>
  </si>
  <si>
    <t>Returns</t>
  </si>
  <si>
    <t>Adjusted EBIT</t>
  </si>
  <si>
    <t>NOPAT</t>
  </si>
  <si>
    <t>NOPAT Margin</t>
  </si>
  <si>
    <t>Invested Capital I</t>
  </si>
  <si>
    <t>IC Turnover</t>
  </si>
  <si>
    <t>ROIC I</t>
  </si>
  <si>
    <t>Intangible</t>
  </si>
  <si>
    <t>Invested Capital II</t>
  </si>
  <si>
    <t>ROIC II</t>
  </si>
  <si>
    <t>QSR</t>
  </si>
  <si>
    <t xml:space="preserve">DCF Target </t>
  </si>
  <si>
    <t>Ke</t>
  </si>
  <si>
    <t>USD/share</t>
  </si>
  <si>
    <t>Upside</t>
  </si>
  <si>
    <t>Shares QSR (#mn)</t>
  </si>
  <si>
    <t>Market Cap  (USDmn)</t>
  </si>
  <si>
    <t xml:space="preserve"> BUY</t>
  </si>
  <si>
    <t>P/E</t>
  </si>
  <si>
    <t>x</t>
  </si>
  <si>
    <t>EV/EBITDA</t>
  </si>
  <si>
    <t>FCF Yield</t>
  </si>
  <si>
    <t>%</t>
  </si>
  <si>
    <t>Div Yield</t>
  </si>
  <si>
    <t>ND/EBITDA</t>
  </si>
  <si>
    <t>EPS</t>
  </si>
  <si>
    <t>USD</t>
  </si>
  <si>
    <t>DVPS</t>
  </si>
  <si>
    <t>Number of shares - Diluted</t>
  </si>
  <si>
    <t>#</t>
  </si>
  <si>
    <t>Stock Price EoP</t>
  </si>
  <si>
    <t>Mkt Cap EoP</t>
  </si>
  <si>
    <t>USD mn</t>
  </si>
  <si>
    <t>CAGR 26 - 29</t>
  </si>
  <si>
    <t>Adj. EBITDA</t>
  </si>
  <si>
    <t>Adj. Net Income</t>
  </si>
  <si>
    <t>Margin</t>
  </si>
  <si>
    <t>Yield</t>
  </si>
  <si>
    <t xml:space="preserve">Net Debt </t>
  </si>
  <si>
    <t>Var  YoY</t>
  </si>
  <si>
    <t>Dividends + Buybacks</t>
  </si>
  <si>
    <t>As % of Net Revenue</t>
  </si>
  <si>
    <t>As % of EBITDA</t>
  </si>
  <si>
    <t>As % of NI</t>
  </si>
  <si>
    <t>Time (years)</t>
  </si>
  <si>
    <t>Perpetuity Growth</t>
  </si>
  <si>
    <t>Ppty</t>
  </si>
  <si>
    <t>Upside/</t>
  </si>
  <si>
    <t>DCF</t>
  </si>
  <si>
    <t>Downside</t>
  </si>
  <si>
    <t>Glossary</t>
  </si>
  <si>
    <t>Definition</t>
  </si>
  <si>
    <t>BoP</t>
  </si>
  <si>
    <t>Beginning of Period</t>
  </si>
  <si>
    <t>Capital Expenditures</t>
  </si>
  <si>
    <t>Cash flow from financing activities</t>
  </si>
  <si>
    <t>Cash Flow from from investing activities</t>
  </si>
  <si>
    <t>Cash Flow from operating activities</t>
  </si>
  <si>
    <t>Depreciation and amortization</t>
  </si>
  <si>
    <t>Dividends per share</t>
  </si>
  <si>
    <t>EoP</t>
  </si>
  <si>
    <t>End of Period</t>
  </si>
  <si>
    <t>Earnings per Share</t>
  </si>
  <si>
    <t>EV</t>
  </si>
  <si>
    <t>Enterprise Value</t>
  </si>
  <si>
    <t>Free cash flow</t>
  </si>
  <si>
    <t>Free cash flow to equity</t>
  </si>
  <si>
    <t>Free cash flow to firm</t>
  </si>
  <si>
    <t>Foreign exchange impact</t>
  </si>
  <si>
    <t>Cost of Equity</t>
  </si>
  <si>
    <t>ND</t>
  </si>
  <si>
    <t>ROIC</t>
  </si>
  <si>
    <t>Return on Invested Capital</t>
  </si>
  <si>
    <t>Property plant and equipment</t>
  </si>
  <si>
    <t>RH</t>
  </si>
  <si>
    <t>Secured Overnight Financing Rate</t>
  </si>
  <si>
    <t>Stock Based Compensation</t>
  </si>
  <si>
    <t>SSS</t>
  </si>
  <si>
    <t>Same-Store Sales</t>
  </si>
  <si>
    <t>Aggregate sales generated by all franchised and company-owned restaurants</t>
  </si>
  <si>
    <t>VIE</t>
  </si>
  <si>
    <t>Variable Interest Entity</t>
  </si>
  <si>
    <t xml:space="preserve">YoY </t>
  </si>
  <si>
    <t>Year-over-year</t>
  </si>
  <si>
    <t>WACC</t>
  </si>
  <si>
    <t>r</t>
  </si>
  <si>
    <t>WACC =  (% Equity x Cost of Equity) + (% Debt x Cost of Debt x (1 -Tax rate))</t>
  </si>
  <si>
    <t>Cost of Equity = Risk Free Rate + (Beta x (Expected Market Return - Risk Free Rate))</t>
  </si>
  <si>
    <t>MOODY'S/Fitch</t>
  </si>
  <si>
    <t>EBIT/Juros</t>
  </si>
  <si>
    <t>Rating is</t>
  </si>
  <si>
    <t>Spread is</t>
  </si>
  <si>
    <t>D2/D</t>
  </si>
  <si>
    <t>Custo do capital próprio</t>
  </si>
  <si>
    <t>0.2</t>
  </si>
  <si>
    <t>C2/C</t>
  </si>
  <si>
    <t>Taxa Livre de Risco:</t>
  </si>
  <si>
    <t>https://tradingeconomics.com/brazil/government-bond-yield</t>
  </si>
  <si>
    <t>0.65</t>
  </si>
  <si>
    <t>Ca2/CC</t>
  </si>
  <si>
    <t>Risco País:</t>
  </si>
  <si>
    <t>http://pages.stern.nyu.edu/~adamodar/New_Home_Page/datafile/ctryprem.html</t>
  </si>
  <si>
    <t>0.8</t>
  </si>
  <si>
    <t>Caa/CCC</t>
  </si>
  <si>
    <t>Beta:</t>
  </si>
  <si>
    <t>http://www.stern.nyu.edu/~adamodar/pc/datasets/betaGlobal.xls</t>
  </si>
  <si>
    <t>1.25</t>
  </si>
  <si>
    <t>B3/B-</t>
  </si>
  <si>
    <t>Prêmio Mercado:</t>
  </si>
  <si>
    <t>1.5</t>
  </si>
  <si>
    <t>B2/B</t>
  </si>
  <si>
    <t>Equity/(Debt + Equity)</t>
  </si>
  <si>
    <t>PL/(Divida Bruta+PL)</t>
  </si>
  <si>
    <t>Custo da dívida</t>
  </si>
  <si>
    <t>1.75</t>
  </si>
  <si>
    <t>B1/B+</t>
  </si>
  <si>
    <t>Taxa de juros da dívida</t>
  </si>
  <si>
    <t>Taxa de juros que a empresa paga</t>
  </si>
  <si>
    <t>Ba2/BB</t>
  </si>
  <si>
    <t xml:space="preserve">Impostos </t>
  </si>
  <si>
    <t>Impostos/EBIT ou 34%</t>
  </si>
  <si>
    <t>2.25</t>
  </si>
  <si>
    <t>Ba1/BB+</t>
  </si>
  <si>
    <t>Debt/(Debt + Equity)</t>
  </si>
  <si>
    <t>Divida Bruta/(PL+DIVIDA BRUTA)</t>
  </si>
  <si>
    <t>2.5</t>
  </si>
  <si>
    <t>Baa2/BBB</t>
  </si>
  <si>
    <t>A3/A-</t>
  </si>
  <si>
    <t>WACC Consolidado</t>
  </si>
  <si>
    <t>4.25</t>
  </si>
  <si>
    <t>A2/A</t>
  </si>
  <si>
    <t>5.5</t>
  </si>
  <si>
    <t>A1/A+</t>
  </si>
  <si>
    <t>6.5</t>
  </si>
  <si>
    <t>Aa2/AA</t>
  </si>
  <si>
    <t>Equity (PL)</t>
  </si>
  <si>
    <t>8.50</t>
  </si>
  <si>
    <t>Aaa/AAA</t>
  </si>
  <si>
    <t>Debt (Dív. Bruta)</t>
  </si>
  <si>
    <t>TH</t>
  </si>
  <si>
    <t>PKL</t>
  </si>
  <si>
    <t>BK</t>
  </si>
  <si>
    <t>FH</t>
  </si>
  <si>
    <t>TH INT</t>
  </si>
  <si>
    <t>PKL INT</t>
  </si>
  <si>
    <t>BK INT</t>
  </si>
  <si>
    <t>FH INT</t>
  </si>
  <si>
    <t>TH CH</t>
  </si>
  <si>
    <t>PKL CH</t>
  </si>
  <si>
    <t>BK CH</t>
  </si>
  <si>
    <t>FH CH</t>
  </si>
  <si>
    <t>EUA</t>
  </si>
  <si>
    <t>RESTO DO MUNDO</t>
  </si>
  <si>
    <t>TOTAL</t>
  </si>
  <si>
    <t>Brand</t>
  </si>
  <si>
    <t>Before index</t>
  </si>
  <si>
    <t>Current index</t>
  </si>
  <si>
    <t>Variation</t>
  </si>
  <si>
    <t>Arquitetura (0-100)</t>
  </si>
  <si>
    <t>Produto (0-100)</t>
  </si>
  <si>
    <t>Period</t>
  </si>
  <si>
    <t>Phase</t>
  </si>
  <si>
    <t>NPS INDEX</t>
  </si>
  <si>
    <t>Change</t>
  </si>
  <si>
    <t>before-2022</t>
  </si>
  <si>
    <t>Pre-turnaround</t>
  </si>
  <si>
    <t>n.m</t>
  </si>
  <si>
    <t>2022–2024</t>
  </si>
  <si>
    <t>Reclaim the Flame (start)</t>
  </si>
  <si>
    <t>2024–2025</t>
  </si>
  <si>
    <t>Royal Reset scaling</t>
  </si>
  <si>
    <t>2025–2026</t>
  </si>
  <si>
    <t>Post-implementation</t>
  </si>
  <si>
    <t>Architecture</t>
  </si>
  <si>
    <t>Product</t>
  </si>
  <si>
    <t>Experience</t>
  </si>
  <si>
    <t>Takeaway</t>
  </si>
  <si>
    <t>Pre-2022</t>
  </si>
  <si>
    <t>Weak / outdated</t>
  </si>
  <si>
    <t>Average</t>
  </si>
  <si>
    <t>Weak execution</t>
  </si>
  <si>
    <t>Low baseline</t>
  </si>
  <si>
    <t>Remodels begin</t>
  </si>
  <si>
    <t>Improving</t>
  </si>
  <si>
    <t>Early recovery</t>
  </si>
  <si>
    <t>Transition</t>
  </si>
  <si>
    <t>Rapid modernization</t>
  </si>
  <si>
    <t>Better consistency</t>
  </si>
  <si>
    <t>Ranking ↑ (≈10th→6th BK)</t>
  </si>
  <si>
    <t>Inflection</t>
  </si>
  <si>
    <t>High modern image</t>
  </si>
  <si>
    <t>Upgraded core items</t>
  </si>
  <si>
    <t>Stronger perception</t>
  </si>
  <si>
    <t>Consolidation</t>
  </si>
  <si>
    <t>Shares Outstanding (M)</t>
  </si>
  <si>
    <t>EPS ($)</t>
  </si>
  <si>
    <t>3.50</t>
  </si>
  <si>
    <t>2026E (Pre-Buyback)</t>
  </si>
  <si>
    <t>3.60</t>
  </si>
  <si>
    <t>2026E (Post-Buyback)</t>
  </si>
  <si>
    <t>3.67</t>
  </si>
  <si>
    <t>Company</t>
  </si>
  <si>
    <t>Ticker</t>
  </si>
  <si>
    <t>Market Cap</t>
  </si>
  <si>
    <t>P/B</t>
  </si>
  <si>
    <t>P/EBIT</t>
  </si>
  <si>
    <t>P/EBITDA</t>
  </si>
  <si>
    <t>Dividend Yield %</t>
  </si>
  <si>
    <t>ROA %</t>
  </si>
  <si>
    <t>ROE %</t>
  </si>
  <si>
    <t>ROIC %</t>
  </si>
  <si>
    <t>Gross Margin %</t>
  </si>
  <si>
    <t>Operating Margin %</t>
  </si>
  <si>
    <t>Net Margin %</t>
  </si>
  <si>
    <t>EBITDA</t>
  </si>
  <si>
    <t>52W Range</t>
  </si>
  <si>
    <t>McDonald's Corporation</t>
  </si>
  <si>
    <t>MCD</t>
  </si>
  <si>
    <t>$283.47 - $341.75</t>
  </si>
  <si>
    <t>Starbucks Corporation</t>
  </si>
  <si>
    <t>SBUX</t>
  </si>
  <si>
    <t>$75.50 - $104.82</t>
  </si>
  <si>
    <t>Chipotle Mexican Grill, Inc.</t>
  </si>
  <si>
    <t>CMG</t>
  </si>
  <si>
    <t>$29.75 - $58.42</t>
  </si>
  <si>
    <t>Yum! Brands, Inc.</t>
  </si>
  <si>
    <t>YUM</t>
  </si>
  <si>
    <t>$137.33 - $169.39</t>
  </si>
  <si>
    <t>Restaurant Brands International Inc.</t>
  </si>
  <si>
    <t>$58.71 - $75.57</t>
  </si>
  <si>
    <t>Domino's Pizza, Inc.</t>
  </si>
  <si>
    <t>DPZ</t>
  </si>
  <si>
    <t>$370.70 - $499.08</t>
  </si>
  <si>
    <t>Yum China Holdings, Inc.</t>
  </si>
  <si>
    <t>YUMC</t>
  </si>
  <si>
    <t>$41.00 - $58.39</t>
  </si>
  <si>
    <t>Darden Restaurants, Inc.</t>
  </si>
  <si>
    <t>DRI</t>
  </si>
  <si>
    <t>$169.00 - $228.27</t>
  </si>
  <si>
    <t>Texas Roadhouse, Inc.</t>
  </si>
  <si>
    <t>TXRH</t>
  </si>
  <si>
    <t>$148.73 - $199.99</t>
  </si>
  <si>
    <t>Wingstop Inc.</t>
  </si>
  <si>
    <t>WING</t>
  </si>
  <si>
    <t>$184.77 - $388.14</t>
  </si>
  <si>
    <t>Dividend Yield</t>
  </si>
  <si>
    <t>ROA</t>
  </si>
  <si>
    <t>ROE</t>
  </si>
  <si>
    <t>Gross Margin</t>
  </si>
  <si>
    <t>Operating Margin</t>
  </si>
  <si>
    <t>Business Leverage</t>
  </si>
  <si>
    <t>McDONALD’S CORPORATION</t>
  </si>
  <si>
    <t>276.53 – 326.32</t>
  </si>
  <si>
    <t>75.50 – 117.46</t>
  </si>
  <si>
    <t>CHIPOTLE MEXICAN GRILL, INC.</t>
  </si>
  <si>
    <t>29.75 – 61.16</t>
  </si>
  <si>
    <t>YUM! BRANDS, INC.</t>
  </si>
  <si>
    <t>122.13 – 163.30</t>
  </si>
  <si>
    <t>RESTAURANT BRANDS INTERNATIONAL INC.</t>
  </si>
  <si>
    <t>58.71 – 73.70</t>
  </si>
  <si>
    <t>DARDEN RESTAURANTS INC</t>
  </si>
  <si>
    <t>159.67 – 228.27</t>
  </si>
  <si>
    <t>41.00 – 53.99</t>
  </si>
  <si>
    <t>Domino’s Pizza, Inc.</t>
  </si>
  <si>
    <t>392.89 – 500.55</t>
  </si>
  <si>
    <t>TEXAS ROADHOUSE, INC.</t>
  </si>
  <si>
    <t>148.73 – 199.99</t>
  </si>
  <si>
    <t>CAVA Group, Inc.</t>
  </si>
  <si>
    <t>CAVA</t>
  </si>
  <si>
    <t>43.41 – 144.49</t>
  </si>
  <si>
    <t>RESTAURANT SECTOR FINANCIAL ANALYSIS - 4Q2025</t>
  </si>
  <si>
    <t>TTM (Trailing Twelve Months)</t>
  </si>
  <si>
    <t>Data Collection Date</t>
  </si>
  <si>
    <t>2026-03-19 15:06:08</t>
  </si>
  <si>
    <t>Analysis Period</t>
  </si>
  <si>
    <t>TTM ending 4Q2025</t>
  </si>
  <si>
    <t>Currency</t>
  </si>
  <si>
    <t>USD (millions for absolute values)</t>
  </si>
  <si>
    <t>METRIC DEFINITIONS</t>
  </si>
  <si>
    <t>VALUATION METRICS</t>
  </si>
  <si>
    <t>P/E Ratio</t>
  </si>
  <si>
    <t>Price-to-Earnings ratio</t>
  </si>
  <si>
    <t>P/B Ratio</t>
  </si>
  <si>
    <t>Price-to-Book ratio</t>
  </si>
  <si>
    <t>Market Cap / EBIT</t>
  </si>
  <si>
    <t>Market Cap / EBITDA</t>
  </si>
  <si>
    <t>Annual dividend per share as % of stock price</t>
  </si>
  <si>
    <t>PROFITABILITY METRICS</t>
  </si>
  <si>
    <t>Return on Assets (%)</t>
  </si>
  <si>
    <t>Return on Equity (%)</t>
  </si>
  <si>
    <t>Return on Invested Capital (%)</t>
  </si>
  <si>
    <t>MARGIN METRICS (%)</t>
  </si>
  <si>
    <t>(Gross Profit / Revenue) × 100</t>
  </si>
  <si>
    <t>(Operating Income / Revenue) × 100</t>
  </si>
  <si>
    <t>(Net Income / Revenue) × 100</t>
  </si>
  <si>
    <t>ABSOLUTE METRICS (USD Millions)</t>
  </si>
  <si>
    <t>Earnings Before Interest and Taxes</t>
  </si>
  <si>
    <t>Earnings Before Interest, Taxes, Depreciation &amp; Amortization</t>
  </si>
  <si>
    <t>Current market capitalization</t>
  </si>
  <si>
    <t>DATA SOURCES</t>
  </si>
  <si>
    <t>Primary</t>
  </si>
  <si>
    <t>Yahoo Finance API (TTM financial data)</t>
  </si>
  <si>
    <t>Secondary</t>
  </si>
  <si>
    <t>SEC EDGAR 10-K and 10-Q filings</t>
  </si>
  <si>
    <t>DATA QUALITY NOTES</t>
  </si>
  <si>
    <t>Blank Cells</t>
  </si>
  <si>
    <t>Data unavailable or unreliable - NOT estimated</t>
  </si>
  <si>
    <t>Time Period</t>
  </si>
  <si>
    <t>All metrics standardized to TTM ending 4Q2025</t>
  </si>
  <si>
    <t>All monetary values in USD; absolute metrics in millions</t>
  </si>
  <si>
    <t>Validation</t>
  </si>
  <si>
    <t>Cross-referenced against multiple sources; SEC filings prioritized</t>
  </si>
  <si>
    <t>KNOWN LIMITATIONS</t>
  </si>
  <si>
    <t>Requires detailed capital structure analysis - left blank</t>
  </si>
  <si>
    <t>Calculated from available data; verify against 10-K for accuracy</t>
  </si>
  <si>
    <t>Snapshot as of data collection date</t>
  </si>
  <si>
    <t>FX Risk</t>
  </si>
  <si>
    <t>International companies affected by forex rates in reporting</t>
  </si>
  <si>
    <t>Assunção / Driver</t>
  </si>
  <si>
    <t>Sheet</t>
  </si>
  <si>
    <t>Cell</t>
  </si>
  <si>
    <t>Valor anterior</t>
  </si>
  <si>
    <t>Valor novo (link)</t>
  </si>
  <si>
    <t>Justificativa</t>
  </si>
  <si>
    <t>Fonte (URL / nota)</t>
  </si>
  <si>
    <t>CAD mais fraco em 2026E por risco Canadá/tarifas -&gt; piora translação de TH; conservador vs 0.74</t>
  </si>
  <si>
    <t>Model</t>
  </si>
  <si>
    <t>S14</t>
  </si>
  <si>
    <t>(nota do cenário) + risco Canadá do prompt</t>
  </si>
  <si>
    <t>SOFR 2026E alinhado a Fed terminal 3.0–3.25%</t>
  </si>
  <si>
    <t>S16</t>
  </si>
  <si>
    <t>SOFR 2026E alinhado a Fed terminal 3.0–3.25% (mid 3.15%)</t>
  </si>
  <si>
    <t>premissas macro do prompt</t>
  </si>
  <si>
    <t>TH SSS 2026E ligeiramente acima</t>
  </si>
  <si>
    <t>S74</t>
  </si>
  <si>
    <t>TH SSS 2026E ligeiramente acima (macro ok), mas sem exagero por headwind Canadá</t>
  </si>
  <si>
    <t>BK SSS 2026E acima do base por PIB EUA 2.5% e execução</t>
  </si>
  <si>
    <t>S133</t>
  </si>
  <si>
    <t>BK net new franchise units (#) 2026E</t>
  </si>
  <si>
    <t>S124</t>
  </si>
  <si>
    <t>BK net new franchise units (#) 2026E: step-up ligado ao plano China (ramp)</t>
  </si>
  <si>
    <t>https://www.rbi.com/English/news/news-details/2025/RBI-and-CPE-Announce-Joint-Venture-to-Reignite-Growth-at-Burger-King-in-China/default.aspx</t>
  </si>
  <si>
    <t>Popeyes SSS 2026E</t>
  </si>
  <si>
    <t>S190</t>
  </si>
  <si>
    <t>Popeyes SSS 2026E: maior tração do 'chicken war' + macro EUA</t>
  </si>
  <si>
    <t>Popeyes net new franchise units (#) 2026E</t>
  </si>
  <si>
    <t>S181</t>
  </si>
  <si>
    <t>Popeyes net new franchise units (#) 2026E: leve aceleração</t>
  </si>
  <si>
    <t>Firehouse SSS 2026E</t>
  </si>
  <si>
    <t>S247</t>
  </si>
  <si>
    <t>Firehouse SSS 2026E: comps estáveis com macro favorável</t>
  </si>
  <si>
    <t>Payout 2026E menor para reter caixa e investir</t>
  </si>
  <si>
    <t>S925</t>
  </si>
  <si>
    <t>Payout 2026E menor para reter caixa e investir (China / crescimento)</t>
  </si>
  <si>
    <t>Payout 2027E menor mantendo reinvestimento no ramp</t>
  </si>
  <si>
    <t>T925</t>
  </si>
  <si>
    <t>Ke base reduzido</t>
  </si>
  <si>
    <t>Summary</t>
  </si>
  <si>
    <t>B95</t>
  </si>
  <si>
    <t>Ke base reduzido (CAPM proxy) vs 9% original, refletindo queda do risk-free</t>
  </si>
  <si>
    <t>CAPM (para Ke)</t>
  </si>
  <si>
    <t>Risk-free (Rf)</t>
  </si>
  <si>
    <t>Proxy: SOFR 2026E</t>
  </si>
  <si>
    <t>Beta (β) [input]</t>
  </si>
  <si>
    <t/>
  </si>
  <si>
    <t>Beta setorial (ajustável)</t>
  </si>
  <si>
    <t>definir fonte preferida</t>
  </si>
  <si>
    <t>Equity Risk Premium (ERP) [input]</t>
  </si>
  <si>
    <t>ERP global (ajustável)</t>
  </si>
  <si>
    <t>Ke = Rf + β*ERP [calc]</t>
  </si>
  <si>
    <t>Ke calculado (confira) e aplicado em Summary!B95</t>
  </si>
  <si>
    <t>Nota: Não ajustei linhas de 'Acquisition of Franchisees' / dívida por falta de preço explícito da transação; payout foi reduzido para refletir maior reinvestimento e você pode plugar o ticket quando tiver disclosure.</t>
  </si>
  <si>
    <t>Global Store Counts Across Brands by Countries and Territories as of December 31, 2025</t>
  </si>
  <si>
    <t>Countries and Territories</t>
  </si>
  <si>
    <t>Total</t>
  </si>
  <si>
    <t>Albania</t>
  </si>
  <si>
    <t>Andorra</t>
  </si>
  <si>
    <t>Argentina</t>
  </si>
  <si>
    <t>Armenia</t>
  </si>
  <si>
    <t>Aruba</t>
  </si>
  <si>
    <t>Australia</t>
  </si>
  <si>
    <t>Austria</t>
  </si>
  <si>
    <t>Azerbaijan</t>
  </si>
  <si>
    <t>Bahrain</t>
  </si>
  <si>
    <t>Bangladesh</t>
  </si>
  <si>
    <t>Barbados</t>
  </si>
  <si>
    <t>Belarus</t>
  </si>
  <si>
    <t>Belgium</t>
  </si>
  <si>
    <t>Bolivia</t>
  </si>
  <si>
    <t>Bosnia Herzegovina</t>
  </si>
  <si>
    <t>Brazil</t>
  </si>
  <si>
    <t>Brunei</t>
  </si>
  <si>
    <t>Bulgaria</t>
  </si>
  <si>
    <t>Cambodia</t>
  </si>
  <si>
    <t>Canada</t>
  </si>
  <si>
    <t>Cayman Islands</t>
  </si>
  <si>
    <t>Chile</t>
  </si>
  <si>
    <t>China</t>
  </si>
  <si>
    <t>Colombia</t>
  </si>
  <si>
    <t>Costa Rica</t>
  </si>
  <si>
    <t>Croatia</t>
  </si>
  <si>
    <t>Curacao</t>
  </si>
  <si>
    <t>Cyprus</t>
  </si>
  <si>
    <t>Czech Republic</t>
  </si>
  <si>
    <t>Denmark</t>
  </si>
  <si>
    <t>Djibouti</t>
  </si>
  <si>
    <t>Dominican Republic</t>
  </si>
  <si>
    <t>Ecuador</t>
  </si>
  <si>
    <t>Egypt</t>
  </si>
  <si>
    <t>El Salvador</t>
  </si>
  <si>
    <t>Estonia</t>
  </si>
  <si>
    <t>Ethiopia</t>
  </si>
  <si>
    <t>Fiji</t>
  </si>
  <si>
    <t>Finland</t>
  </si>
  <si>
    <t>France</t>
  </si>
  <si>
    <t>French Polynesia</t>
  </si>
  <si>
    <t>French Guiana</t>
  </si>
  <si>
    <t>Georgia</t>
  </si>
  <si>
    <t>Germany</t>
  </si>
  <si>
    <t>Ghana</t>
  </si>
  <si>
    <t>Gibraltar</t>
  </si>
  <si>
    <t>Greece</t>
  </si>
  <si>
    <t>Guadeloupe</t>
  </si>
  <si>
    <t>Guam</t>
  </si>
  <si>
    <t>Guatemala</t>
  </si>
  <si>
    <t>Guyana</t>
  </si>
  <si>
    <t>Honduras</t>
  </si>
  <si>
    <t>Hong Kong</t>
  </si>
  <si>
    <t>Hungary</t>
  </si>
  <si>
    <t>India</t>
  </si>
  <si>
    <t>Indonesia</t>
  </si>
  <si>
    <t>Iraq</t>
  </si>
  <si>
    <t>Ireland</t>
  </si>
  <si>
    <t>Israel</t>
  </si>
  <si>
    <t>Italy</t>
  </si>
  <si>
    <t>Ivory Coast</t>
  </si>
  <si>
    <t>Jamaica</t>
  </si>
  <si>
    <t>Japan</t>
  </si>
  <si>
    <t>Jordan</t>
  </si>
  <si>
    <t>Kazakhstan</t>
  </si>
  <si>
    <t>Kenya</t>
  </si>
  <si>
    <t>Kosovo</t>
  </si>
  <si>
    <t>Kuwait</t>
  </si>
  <si>
    <t>Latvia</t>
  </si>
  <si>
    <t>Lebanon</t>
  </si>
  <si>
    <t>Lithuania</t>
  </si>
  <si>
    <t>Luxembourg</t>
  </si>
  <si>
    <t>Macedonia</t>
  </si>
  <si>
    <t>Malaysia</t>
  </si>
  <si>
    <t>Maldives</t>
  </si>
  <si>
    <t>Malta</t>
  </si>
  <si>
    <t>Martinique</t>
  </si>
  <si>
    <t>Mauritius</t>
  </si>
  <si>
    <t>Mexico</t>
  </si>
  <si>
    <r>
      <t>Military</t>
    </r>
    <r>
      <rPr>
        <vertAlign val="superscript"/>
        <sz val="10"/>
        <color theme="1"/>
        <rFont val="Hurme Geometric Sans 3"/>
        <family val="2"/>
      </rPr>
      <t>1</t>
    </r>
  </si>
  <si>
    <t>Mongolia</t>
  </si>
  <si>
    <t>Montenegro</t>
  </si>
  <si>
    <t>Morocco</t>
  </si>
  <si>
    <t>Netherlands</t>
  </si>
  <si>
    <t>New Caledonia</t>
  </si>
  <si>
    <t>New Zealand</t>
  </si>
  <si>
    <t>Nicaragua</t>
  </si>
  <si>
    <t>Nigeria</t>
  </si>
  <si>
    <t>Norway</t>
  </si>
  <si>
    <t>Oman</t>
  </si>
  <si>
    <t>Pakistan</t>
  </si>
  <si>
    <t>Palestine</t>
  </si>
  <si>
    <t>Panama</t>
  </si>
  <si>
    <t>Paraguay</t>
  </si>
  <si>
    <t>Peru</t>
  </si>
  <si>
    <t>Philippines</t>
  </si>
  <si>
    <t>Poland</t>
  </si>
  <si>
    <t>Portugal</t>
  </si>
  <si>
    <t>Puerto Rico</t>
  </si>
  <si>
    <t>Qatar</t>
  </si>
  <si>
    <t>Reunion</t>
  </si>
  <si>
    <t>Romania</t>
  </si>
  <si>
    <t>Saint Kitts and Nevis</t>
  </si>
  <si>
    <t>Saudi Arabia</t>
  </si>
  <si>
    <t>Seychelles</t>
  </si>
  <si>
    <t>Singapore</t>
  </si>
  <si>
    <t>Slovakia</t>
  </si>
  <si>
    <t>Slovenia</t>
  </si>
  <si>
    <t>South Africa</t>
  </si>
  <si>
    <t>South Korea</t>
  </si>
  <si>
    <t>Spain</t>
  </si>
  <si>
    <t>Sri Lanka</t>
  </si>
  <si>
    <t>St. Maarten</t>
  </si>
  <si>
    <t>Suriname</t>
  </si>
  <si>
    <t>Sweden</t>
  </si>
  <si>
    <t>Switzerland</t>
  </si>
  <si>
    <t>Taiwan</t>
  </si>
  <si>
    <t>Thailand</t>
  </si>
  <si>
    <t>The Bahamas</t>
  </si>
  <si>
    <t>Timor Leste</t>
  </si>
  <si>
    <t>Trinidad and Tobago</t>
  </si>
  <si>
    <t>Tunisia</t>
  </si>
  <si>
    <t>Turkey</t>
  </si>
  <si>
    <t>United Arab Emirates</t>
  </si>
  <si>
    <t>United Kingdom</t>
  </si>
  <si>
    <t>United States</t>
  </si>
  <si>
    <t>Uruguay</t>
  </si>
  <si>
    <t>Uzbekistan</t>
  </si>
  <si>
    <t>Venezuela</t>
  </si>
  <si>
    <t>Vietnam</t>
  </si>
  <si>
    <t>1. Units physically located in LAC, EMEA and APAC that are managed by the US.</t>
  </si>
  <si>
    <t>RBI</t>
  </si>
  <si>
    <t>Mc Donald's</t>
  </si>
  <si>
    <t>CAPEX</t>
  </si>
  <si>
    <t>Free Cash Flow</t>
  </si>
  <si>
    <t>CPE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</si>
</sst>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44" formatCode="_-&quot;R$&quot;\ * #,##0.00_-;\-&quot;R$&quot;\ * #,##0.00_-;_-&quot;R$&quot;\ * &quot;-&quot;??_-;_-@_-"/>
    <numFmt numFmtId="43" formatCode="_-* #,##0.00_-;\-* #,##0.00_-;_-* &quot;-&quot;??_-;_-@_-"/>
    <numFmt numFmtId="164" formatCode="0000\A"/>
    <numFmt numFmtId="165" formatCode="#,##0.0%;\(#,##0.0%\);&quot;–&quot;;@"/>
    <numFmt numFmtId="166" formatCode="#,##0;\(#,##0\);&quot;–&quot;;@"/>
    <numFmt numFmtId="167" formatCode="#,##0.00;\(#,##0.00\);&quot;–&quot;;@"/>
    <numFmt numFmtId="168" formatCode="0;\(0\);\-"/>
    <numFmt numFmtId="169" formatCode="0.0\x"/>
    <numFmt numFmtId="170" formatCode="0.0%"/>
    <numFmt numFmtId="171" formatCode="[$-409]mmm\-yy;@"/>
    <numFmt numFmtId="172" formatCode="#,##0.0;\(#,##0.0\);&quot;–&quot;;@"/>
    <numFmt numFmtId="173" formatCode="[$-416]mmm\-yy;@"/>
    <numFmt numFmtId="174" formatCode="0.0\x;\(0.0\x\);&quot;–&quot;"/>
    <numFmt numFmtId="175" formatCode="_(#,##0_)_%;\(#,##0\)_%;_(&quot;–&quot;_)_%;_(@_)_%"/>
    <numFmt numFmtId="176" formatCode="_(#,##0.0%_);\(#,##0.0%\);_(&quot;–&quot;_)_%;_(@_)_%"/>
    <numFmt numFmtId="177" formatCode="#,##0%;\(#,##0%\);&quot;–&quot;;@"/>
    <numFmt numFmtId="178" formatCode="_(#,##0%_);\(#,##0%\);_(&quot;–&quot;_)_%;_(@_)_%"/>
    <numFmt numFmtId="179" formatCode="_(* #,##0.00_);_(* \(#,##0.00\);_(* &quot;-&quot;??_);_(@_)"/>
    <numFmt numFmtId="180" formatCode="_(* #,##0.0_);_(* \(#,##0.0\);_(* &quot;-&quot;??_);_(@_)"/>
    <numFmt numFmtId="181" formatCode="_(* #,##0_);_(* \(#,##0\);_(* &quot;-&quot;??_);_(@_)"/>
    <numFmt numFmtId="182" formatCode="_-* #,##0_-;\-* #,##0_-;_-* &quot;-&quot;??_-;_-@_-"/>
    <numFmt numFmtId="183" formatCode="_(0.0\x_)_)_';_(\(0.0\x\)_'_';_(&quot;–&quot;_)_%;_(@_)_%"/>
    <numFmt numFmtId="184" formatCode="_(* #,##0_);_(* \(#,##0\);_(* &quot;-&quot;_);_(@_)"/>
    <numFmt numFmtId="185" formatCode="#,##0;\(#,##0\)"/>
    <numFmt numFmtId="186" formatCode="#,##0.00%;\(#,##0.00%\);&quot;–&quot;;@"/>
    <numFmt numFmtId="187" formatCode="#,##0.0000%;\(#,##0.0000%\);&quot;–&quot;;@"/>
    <numFmt numFmtId="188" formatCode="_-[$$-409]* #,##0.00_ ;_-[$$-409]* \-#,##0.00\ ;_-[$$-409]* &quot;-&quot;??_ ;_-@_ "/>
    <numFmt numFmtId="189" formatCode="0.00000%"/>
    <numFmt numFmtId="190" formatCode="#,##0_);\(#,##0\);\-\-_)"/>
    <numFmt numFmtId="191" formatCode="0.0000%"/>
  </numFmts>
  <fonts count="81">
    <font>
      <sz val="11"/>
      <color theme="1"/>
      <name val="Calibri"/>
      <family val="2"/>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8"/>
      <color theme="1"/>
      <name val="Verdana"/>
      <family val="2"/>
    </font>
    <font>
      <b/>
      <sz val="8"/>
      <name val="Verdana"/>
      <family val="2"/>
    </font>
    <font>
      <sz val="8"/>
      <name val="Verdana"/>
      <family val="2"/>
    </font>
    <font>
      <b/>
      <sz val="8"/>
      <color rgb="FF000000"/>
      <name val="Verdana"/>
      <family val="2"/>
    </font>
    <font>
      <sz val="8"/>
      <color rgb="FF000000"/>
      <name val="Verdana"/>
      <family val="2"/>
    </font>
    <font>
      <sz val="8"/>
      <color rgb="FF0000FF"/>
      <name val="Verdana"/>
      <family val="2"/>
    </font>
    <font>
      <b/>
      <sz val="8"/>
      <color theme="1"/>
      <name val="Verdana"/>
      <family val="2"/>
    </font>
    <font>
      <b/>
      <sz val="8"/>
      <color rgb="FF0000FF"/>
      <name val="Verdana"/>
      <family val="2"/>
    </font>
    <font>
      <b/>
      <sz val="8"/>
      <color theme="0"/>
      <name val="Verdana"/>
      <family val="2"/>
    </font>
    <font>
      <b/>
      <sz val="8"/>
      <color theme="6"/>
      <name val="Verdana"/>
      <family val="2"/>
    </font>
    <font>
      <sz val="8"/>
      <color theme="6"/>
      <name val="Verdana"/>
      <family val="2"/>
    </font>
    <font>
      <sz val="11"/>
      <color theme="1"/>
      <name val="Verdana"/>
      <family val="2"/>
    </font>
    <font>
      <sz val="8"/>
      <color rgb="FFC00000"/>
      <name val="Verdana"/>
      <family val="2"/>
    </font>
    <font>
      <b/>
      <sz val="8"/>
      <color rgb="FFC00000"/>
      <name val="Verdana"/>
      <family val="2"/>
    </font>
    <font>
      <sz val="11"/>
      <color theme="1"/>
      <name val="Calibri"/>
      <family val="2"/>
    </font>
    <font>
      <sz val="8"/>
      <name val="Tahoma"/>
      <family val="2"/>
    </font>
    <font>
      <sz val="10"/>
      <name val="Times New Roman"/>
      <family val="1"/>
    </font>
    <font>
      <b/>
      <sz val="10"/>
      <color indexed="9"/>
      <name val="Verdana"/>
      <family val="2"/>
    </font>
    <font>
      <b/>
      <sz val="9"/>
      <color indexed="9"/>
      <name val="Verdana"/>
      <family val="2"/>
    </font>
    <font>
      <sz val="10"/>
      <color theme="0"/>
      <name val="Verdana"/>
      <family val="2"/>
    </font>
    <font>
      <sz val="10"/>
      <color theme="1"/>
      <name val="Verdana"/>
      <family val="2"/>
    </font>
    <font>
      <b/>
      <sz val="9"/>
      <name val="Verdana"/>
      <family val="2"/>
    </font>
    <font>
      <sz val="9"/>
      <name val="Verdana"/>
      <family val="2"/>
    </font>
    <font>
      <sz val="10"/>
      <color rgb="FF0000FF"/>
      <name val="Verdana"/>
      <family val="2"/>
    </font>
    <font>
      <sz val="8"/>
      <color theme="0"/>
      <name val="Verdana"/>
      <family val="2"/>
    </font>
    <font>
      <sz val="9"/>
      <color rgb="FF0000FF"/>
      <name val="Verdana"/>
      <family val="2"/>
    </font>
    <font>
      <sz val="9"/>
      <color theme="1"/>
      <name val="Verdana"/>
      <family val="2"/>
    </font>
    <font>
      <sz val="9"/>
      <color rgb="FF000000"/>
      <name val="Verdana"/>
      <family val="2"/>
    </font>
    <font>
      <b/>
      <sz val="9"/>
      <color theme="1"/>
      <name val="Verdana"/>
      <family val="2"/>
    </font>
    <font>
      <sz val="9"/>
      <color theme="0"/>
      <name val="Verdana"/>
      <family val="2"/>
    </font>
    <font>
      <sz val="11"/>
      <color indexed="8"/>
      <name val="Calibri"/>
      <family val="2"/>
    </font>
    <font>
      <sz val="10"/>
      <color indexed="8"/>
      <name val="Arial"/>
      <family val="2"/>
    </font>
    <font>
      <b/>
      <sz val="9"/>
      <color theme="0"/>
      <name val="Verdana"/>
      <family val="2"/>
    </font>
    <font>
      <b/>
      <sz val="9"/>
      <color rgb="FF000000"/>
      <name val="Verdana"/>
      <family val="2"/>
    </font>
    <font>
      <sz val="9"/>
      <color indexed="8"/>
      <name val="Verdana"/>
      <family val="2"/>
    </font>
    <font>
      <b/>
      <sz val="9"/>
      <color rgb="FF0000FF"/>
      <name val="Verdana"/>
      <family val="2"/>
    </font>
    <font>
      <b/>
      <sz val="10"/>
      <color theme="1"/>
      <name val="Verdana"/>
      <family val="2"/>
    </font>
    <font>
      <b/>
      <sz val="10"/>
      <color rgb="FF0000FF"/>
      <name val="Verdana"/>
      <family val="2"/>
    </font>
    <font>
      <sz val="9"/>
      <color theme="0" tint="-0.499984740745262"/>
      <name val="Verdana"/>
      <family val="2"/>
    </font>
    <font>
      <b/>
      <sz val="11"/>
      <color theme="1"/>
      <name val="Verdana"/>
      <family val="2"/>
    </font>
    <font>
      <b/>
      <sz val="10"/>
      <color rgb="FF000000"/>
      <name val="Verdana"/>
      <family val="2"/>
    </font>
    <font>
      <sz val="10"/>
      <name val="Arial"/>
      <family val="2"/>
    </font>
    <font>
      <b/>
      <sz val="10"/>
      <name val="Verdana"/>
      <family val="2"/>
    </font>
    <font>
      <sz val="10"/>
      <name val="Verdana"/>
      <family val="2"/>
    </font>
    <font>
      <sz val="12"/>
      <name val="Verdana"/>
      <family val="2"/>
    </font>
    <font>
      <b/>
      <sz val="12"/>
      <name val="Verdana"/>
      <family val="2"/>
    </font>
    <font>
      <b/>
      <u/>
      <sz val="12"/>
      <name val="Verdana"/>
      <family val="2"/>
    </font>
    <font>
      <u/>
      <sz val="10"/>
      <name val="Verdana"/>
      <family val="2"/>
    </font>
    <font>
      <b/>
      <sz val="11"/>
      <color theme="0"/>
      <name val="Verdana"/>
      <family val="2"/>
    </font>
    <font>
      <sz val="11"/>
      <name val="Verdana"/>
      <family val="2"/>
    </font>
    <font>
      <b/>
      <sz val="8"/>
      <color rgb="FF0070C0"/>
      <name val="Verdana"/>
      <family val="2"/>
    </font>
    <font>
      <sz val="9"/>
      <color theme="1"/>
      <name val="Segoe UI"/>
      <family val="2"/>
    </font>
    <font>
      <b/>
      <sz val="11"/>
      <color theme="0"/>
      <name val="Aptos Narrow"/>
      <family val="2"/>
      <scheme val="minor"/>
    </font>
    <font>
      <b/>
      <sz val="11"/>
      <color theme="1"/>
      <name val="Aptos Narrow"/>
      <family val="2"/>
      <scheme val="minor"/>
    </font>
    <font>
      <sz val="11"/>
      <name val="Aptos Narrow"/>
      <family val="2"/>
      <scheme val="minor"/>
    </font>
    <font>
      <sz val="10"/>
      <name val="Aptos Display"/>
      <family val="2"/>
      <scheme val="major"/>
    </font>
    <font>
      <b/>
      <sz val="10"/>
      <color theme="0"/>
      <name val="Aptos Narrow"/>
      <family val="2"/>
      <scheme val="minor"/>
    </font>
    <font>
      <sz val="10"/>
      <color theme="1"/>
      <name val="Aptos Narrow"/>
      <family val="2"/>
      <scheme val="minor"/>
    </font>
    <font>
      <sz val="10"/>
      <name val="Aptos Narrow"/>
      <family val="2"/>
      <scheme val="minor"/>
    </font>
    <font>
      <b/>
      <sz val="10"/>
      <name val="Aptos Narrow"/>
      <family val="2"/>
      <scheme val="minor"/>
    </font>
    <font>
      <u/>
      <sz val="11"/>
      <color theme="10"/>
      <name val="Aptos Narrow"/>
      <family val="2"/>
      <scheme val="minor"/>
    </font>
    <font>
      <i/>
      <sz val="10"/>
      <name val="Aptos Display"/>
      <family val="2"/>
      <scheme val="major"/>
    </font>
    <font>
      <sz val="11"/>
      <color theme="1"/>
      <name val="Aptos Display"/>
      <family val="2"/>
      <scheme val="major"/>
    </font>
    <font>
      <b/>
      <sz val="16"/>
      <color theme="1"/>
      <name val="Aptos Narrow"/>
      <family val="2"/>
      <scheme val="minor"/>
    </font>
    <font>
      <sz val="11"/>
      <color theme="1"/>
      <name val="Aptos Narrow"/>
      <family val="2"/>
      <scheme val="minor"/>
    </font>
    <font>
      <b/>
      <sz val="11"/>
      <color theme="1"/>
      <name val="Calibri"/>
      <family val="2"/>
    </font>
    <font>
      <b/>
      <sz val="11"/>
      <color rgb="FFFFFFFF"/>
      <name val="Calibri"/>
      <family val="2"/>
    </font>
    <font>
      <b/>
      <sz val="12"/>
      <color rgb="FFFFFFFF"/>
      <name val="Calibri"/>
      <family val="2"/>
    </font>
    <font>
      <i/>
      <sz val="11"/>
      <color rgb="FF404040"/>
      <name val="Calibri"/>
      <family val="2"/>
    </font>
    <font>
      <b/>
      <sz val="11"/>
      <name val="Calibri"/>
      <family val="2"/>
    </font>
    <font>
      <sz val="10"/>
      <color theme="1"/>
      <name val="Hurme Geometric Sans 3"/>
      <family val="2"/>
    </font>
    <font>
      <i/>
      <sz val="10"/>
      <color theme="1"/>
      <name val="Hurme Geometric Sans 3"/>
      <family val="2"/>
    </font>
    <font>
      <b/>
      <sz val="10"/>
      <color theme="1"/>
      <name val="Hurme Geometric Sans 3"/>
      <family val="2"/>
    </font>
    <font>
      <vertAlign val="superscript"/>
      <sz val="10"/>
      <color theme="1"/>
      <name val="Hurme Geometric Sans 3"/>
      <family val="2"/>
    </font>
    <font>
      <b/>
      <sz val="10"/>
      <color theme="0"/>
      <name val="Hurme Geometric Sans 3"/>
      <family val="2"/>
    </font>
    <font>
      <sz val="11"/>
      <color theme="1"/>
      <name val="Aptos Narrow"/>
      <scheme val="minor"/>
    </font>
  </fonts>
  <fills count="39">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4"/>
        <bgColor indexed="64"/>
      </patternFill>
    </fill>
    <fill>
      <patternFill patternType="solid">
        <fgColor theme="0"/>
        <bgColor rgb="FF000000"/>
      </patternFill>
    </fill>
    <fill>
      <patternFill patternType="lightGray">
        <fgColor rgb="FF000000"/>
        <bgColor rgb="FFFFFFFF"/>
      </patternFill>
    </fill>
    <fill>
      <patternFill patternType="solid">
        <fgColor rgb="FFFFFEDD"/>
        <bgColor rgb="FF000000"/>
      </patternFill>
    </fill>
    <fill>
      <patternFill patternType="lightGray">
        <bgColor theme="0"/>
      </patternFill>
    </fill>
    <fill>
      <patternFill patternType="solid">
        <fgColor rgb="FFFFFFFF"/>
        <bgColor rgb="FF000000"/>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3" tint="0.79998168889431442"/>
        <bgColor indexed="64"/>
      </patternFill>
    </fill>
    <fill>
      <patternFill patternType="lightGray">
        <bgColor theme="8" tint="0.79998168889431442"/>
      </patternFill>
    </fill>
    <fill>
      <patternFill patternType="lightGray">
        <fgColor rgb="FF000000"/>
        <bgColor theme="0"/>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4.9989318521683403E-2"/>
        <bgColor rgb="FF000000"/>
      </patternFill>
    </fill>
    <fill>
      <patternFill patternType="solid">
        <fgColor rgb="FFF2F2F2"/>
        <bgColor rgb="FF000000"/>
      </patternFill>
    </fill>
    <fill>
      <patternFill patternType="solid">
        <fgColor rgb="FF002554"/>
        <bgColor indexed="64"/>
      </patternFill>
    </fill>
    <fill>
      <patternFill patternType="solid">
        <fgColor theme="9"/>
        <bgColor indexed="64"/>
      </patternFill>
    </fill>
    <fill>
      <patternFill patternType="solid">
        <fgColor rgb="FF6FDDCB"/>
        <bgColor indexed="64"/>
      </patternFill>
    </fill>
    <fill>
      <patternFill patternType="solid">
        <fgColor theme="4" tint="0.89999084444715716"/>
        <bgColor indexed="64"/>
      </patternFill>
    </fill>
    <fill>
      <patternFill patternType="lightUp">
        <bgColor theme="0"/>
      </patternFill>
    </fill>
    <fill>
      <patternFill patternType="solid">
        <fgColor rgb="FFEAFAF7"/>
        <bgColor indexed="64"/>
      </patternFill>
    </fill>
    <fill>
      <patternFill patternType="solid">
        <fgColor rgb="FFFFFFCC"/>
        <bgColor indexed="64"/>
      </patternFill>
    </fill>
    <fill>
      <patternFill patternType="lightGray">
        <bgColor theme="9" tint="0.79995117038483843"/>
      </patternFill>
    </fill>
    <fill>
      <patternFill patternType="solid">
        <fgColor rgb="FFD5E8FF"/>
        <bgColor rgb="FF000000"/>
      </patternFill>
    </fill>
    <fill>
      <patternFill patternType="solid">
        <fgColor theme="2" tint="-0.34998626667073579"/>
        <bgColor indexed="64"/>
      </patternFill>
    </fill>
    <fill>
      <patternFill patternType="solid">
        <fgColor rgb="FFFFFF00"/>
        <bgColor indexed="64"/>
      </patternFill>
    </fill>
    <fill>
      <patternFill patternType="solid">
        <fgColor theme="3"/>
        <bgColor indexed="64"/>
      </patternFill>
    </fill>
    <fill>
      <patternFill patternType="solid">
        <fgColor rgb="FF1F4E78"/>
        <bgColor rgb="FF1F4E78"/>
      </patternFill>
    </fill>
    <fill>
      <patternFill patternType="solid">
        <fgColor rgb="FF4472C4"/>
        <bgColor rgb="FF4472C4"/>
      </patternFill>
    </fill>
    <fill>
      <patternFill patternType="solid">
        <fgColor rgb="FF1F4E79"/>
      </patternFill>
    </fill>
    <fill>
      <patternFill patternType="solid">
        <fgColor rgb="FFEBE3DF"/>
        <bgColor indexed="64"/>
      </patternFill>
    </fill>
    <fill>
      <patternFill patternType="solid">
        <fgColor rgb="FFC8102E"/>
        <bgColor indexed="64"/>
      </patternFill>
    </fill>
  </fills>
  <borders count="72">
    <border>
      <left/>
      <right/>
      <top/>
      <bottom/>
      <diagonal/>
    </border>
    <border>
      <left style="hair">
        <color auto="1"/>
      </left>
      <right style="hair">
        <color auto="1"/>
      </right>
      <top/>
      <bottom/>
      <diagonal/>
    </border>
    <border>
      <left/>
      <right/>
      <top style="thin">
        <color auto="1"/>
      </top>
      <bottom style="thin">
        <color auto="1"/>
      </bottom>
      <diagonal/>
    </border>
    <border>
      <left style="hair">
        <color auto="1"/>
      </left>
      <right style="hair">
        <color auto="1"/>
      </right>
      <top style="thin">
        <color indexed="64"/>
      </top>
      <bottom style="thin">
        <color indexed="64"/>
      </bottom>
      <diagonal/>
    </border>
    <border>
      <left/>
      <right/>
      <top style="hair">
        <color auto="1"/>
      </top>
      <bottom/>
      <diagonal/>
    </border>
    <border>
      <left style="hair">
        <color auto="1"/>
      </left>
      <right style="hair">
        <color auto="1"/>
      </right>
      <top style="hair">
        <color indexed="64"/>
      </top>
      <bottom/>
      <diagonal/>
    </border>
    <border>
      <left/>
      <right/>
      <top/>
      <bottom style="hair">
        <color auto="1"/>
      </bottom>
      <diagonal/>
    </border>
    <border>
      <left style="hair">
        <color auto="1"/>
      </left>
      <right style="hair">
        <color auto="1"/>
      </right>
      <top/>
      <bottom style="hair">
        <color auto="1"/>
      </bottom>
      <diagonal/>
    </border>
    <border>
      <left style="hair">
        <color auto="1"/>
      </left>
      <right/>
      <top/>
      <bottom/>
      <diagonal/>
    </border>
    <border>
      <left style="hair">
        <color rgb="FF000000"/>
      </left>
      <right/>
      <top/>
      <bottom/>
      <diagonal/>
    </border>
    <border>
      <left/>
      <right style="hair">
        <color auto="1"/>
      </right>
      <top/>
      <bottom/>
      <diagonal/>
    </border>
    <border>
      <left/>
      <right style="hair">
        <color auto="1"/>
      </right>
      <top/>
      <bottom style="hair">
        <color auto="1"/>
      </bottom>
      <diagonal/>
    </border>
    <border>
      <left style="hair">
        <color auto="1"/>
      </left>
      <right/>
      <top/>
      <bottom style="hair">
        <color auto="1"/>
      </bottom>
      <diagonal/>
    </border>
    <border>
      <left/>
      <right style="hair">
        <color auto="1"/>
      </right>
      <top style="hair">
        <color auto="1"/>
      </top>
      <bottom/>
      <diagonal/>
    </border>
    <border>
      <left/>
      <right/>
      <top style="hair">
        <color auto="1"/>
      </top>
      <bottom style="thin">
        <color indexed="64"/>
      </bottom>
      <diagonal/>
    </border>
    <border>
      <left style="hair">
        <color auto="1"/>
      </left>
      <right style="hair">
        <color auto="1"/>
      </right>
      <top style="hair">
        <color auto="1"/>
      </top>
      <bottom style="thin">
        <color indexed="64"/>
      </bottom>
      <diagonal/>
    </border>
    <border>
      <left style="hair">
        <color auto="1"/>
      </left>
      <right/>
      <top style="hair">
        <color indexed="64"/>
      </top>
      <bottom/>
      <diagonal/>
    </border>
    <border>
      <left style="hair">
        <color rgb="FF000000"/>
      </left>
      <right style="hair">
        <color rgb="FF000000"/>
      </right>
      <top style="hair">
        <color rgb="FF000000"/>
      </top>
      <bottom/>
      <diagonal/>
    </border>
    <border>
      <left style="hair">
        <color rgb="FF000000"/>
      </left>
      <right/>
      <top style="hair">
        <color rgb="FF000000"/>
      </top>
      <bottom/>
      <diagonal/>
    </border>
    <border>
      <left style="hair">
        <color auto="1"/>
      </left>
      <right/>
      <top style="thin">
        <color indexed="64"/>
      </top>
      <bottom style="thin">
        <color indexed="64"/>
      </bottom>
      <diagonal/>
    </border>
    <border>
      <left style="hair">
        <color auto="1"/>
      </left>
      <right/>
      <top style="hair">
        <color auto="1"/>
      </top>
      <bottom style="thin">
        <color indexed="64"/>
      </bottom>
      <diagonal/>
    </border>
    <border>
      <left/>
      <right/>
      <top style="dotted">
        <color auto="1"/>
      </top>
      <bottom style="dotted">
        <color auto="1"/>
      </bottom>
      <diagonal/>
    </border>
    <border>
      <left style="hair">
        <color auto="1"/>
      </left>
      <right style="hair">
        <color auto="1"/>
      </right>
      <top style="dotted">
        <color auto="1"/>
      </top>
      <bottom style="dotted">
        <color auto="1"/>
      </bottom>
      <diagonal/>
    </border>
    <border>
      <left/>
      <right/>
      <top/>
      <bottom style="medium">
        <color auto="1"/>
      </bottom>
      <diagonal/>
    </border>
    <border>
      <left style="hair">
        <color auto="1"/>
      </left>
      <right style="hair">
        <color auto="1"/>
      </right>
      <top/>
      <bottom style="medium">
        <color auto="1"/>
      </bottom>
      <diagonal/>
    </border>
    <border>
      <left style="hair">
        <color auto="1"/>
      </left>
      <right style="hair">
        <color auto="1"/>
      </right>
      <top style="thin">
        <color indexed="64"/>
      </top>
      <bottom/>
      <diagonal/>
    </border>
    <border>
      <left style="hair">
        <color auto="1"/>
      </left>
      <right style="hair">
        <color auto="1"/>
      </right>
      <top/>
      <bottom style="thin">
        <color indexed="64"/>
      </bottom>
      <diagonal/>
    </border>
    <border>
      <left style="hair">
        <color rgb="FF000000"/>
      </left>
      <right/>
      <top style="thin">
        <color rgb="FF000000"/>
      </top>
      <bottom style="thin">
        <color rgb="FF000000"/>
      </bottom>
      <diagonal/>
    </border>
    <border>
      <left style="hair">
        <color rgb="FF000000"/>
      </left>
      <right style="hair">
        <color rgb="FF000000"/>
      </right>
      <top/>
      <bottom style="hair">
        <color rgb="FF000000"/>
      </bottom>
      <diagonal/>
    </border>
    <border>
      <left style="hair">
        <color rgb="FF000000"/>
      </left>
      <right/>
      <top/>
      <bottom style="hair">
        <color rgb="FF000000"/>
      </bottom>
      <diagonal/>
    </border>
    <border>
      <left style="hair">
        <color rgb="FF000000"/>
      </left>
      <right style="hair">
        <color rgb="FF000000"/>
      </right>
      <top/>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hair">
        <color rgb="FF000000"/>
      </top>
      <bottom/>
      <diagonal/>
    </border>
    <border>
      <left/>
      <right/>
      <top style="thin">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right style="medium">
        <color rgb="FF000000"/>
      </right>
      <top style="thin">
        <color rgb="FF000000"/>
      </top>
      <bottom/>
      <diagonal/>
    </border>
    <border>
      <left/>
      <right style="medium">
        <color indexed="64"/>
      </right>
      <top/>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style="medium">
        <color rgb="FF41D3BB"/>
      </top>
      <bottom style="medium">
        <color rgb="FF41D3BB"/>
      </bottom>
      <diagonal/>
    </border>
    <border>
      <left style="hair">
        <color auto="1"/>
      </left>
      <right style="hair">
        <color auto="1"/>
      </right>
      <top style="medium">
        <color auto="1"/>
      </top>
      <bottom/>
      <diagonal/>
    </border>
    <border>
      <left style="hair">
        <color auto="1"/>
      </left>
      <right/>
      <top style="medium">
        <color auto="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rgb="FF000000"/>
      </bottom>
      <diagonal/>
    </border>
    <border>
      <left/>
      <right style="hair">
        <color theme="0" tint="-0.24994659260841701"/>
      </right>
      <top/>
      <bottom/>
      <diagonal/>
    </border>
    <border>
      <left style="hair">
        <color theme="0" tint="-0.24994659260841701"/>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diagonal/>
    </border>
    <border>
      <left style="medium">
        <color rgb="FF000000"/>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B0B0B0"/>
      </left>
      <right style="thin">
        <color rgb="FFB0B0B0"/>
      </right>
      <top style="thin">
        <color rgb="FFB0B0B0"/>
      </top>
      <bottom style="thin">
        <color rgb="FFB0B0B0"/>
      </bottom>
      <diagonal/>
    </border>
  </borders>
  <cellStyleXfs count="16">
    <xf numFmtId="0" fontId="0" fillId="0" borderId="0"/>
    <xf numFmtId="0" fontId="4" fillId="0" borderId="0"/>
    <xf numFmtId="9" fontId="19" fillId="0" borderId="0" applyFont="0" applyFill="0" applyBorder="0" applyAlignment="0" applyProtection="0"/>
    <xf numFmtId="0" fontId="20" fillId="0" borderId="0"/>
    <xf numFmtId="171" fontId="21" fillId="0" borderId="0"/>
    <xf numFmtId="43" fontId="4" fillId="0" borderId="0" applyFont="0" applyFill="0" applyBorder="0" applyAlignment="0" applyProtection="0"/>
    <xf numFmtId="9" fontId="4" fillId="0" borderId="0" applyFont="0" applyFill="0" applyBorder="0" applyAlignment="0" applyProtection="0"/>
    <xf numFmtId="179" fontId="35" fillId="0" borderId="0" applyFont="0" applyFill="0" applyBorder="0" applyAlignment="0" applyProtection="0"/>
    <xf numFmtId="0" fontId="36" fillId="0" borderId="0"/>
    <xf numFmtId="9" fontId="46" fillId="0" borderId="0" applyFont="0" applyFill="0" applyBorder="0" applyAlignment="0" applyProtection="0"/>
    <xf numFmtId="0" fontId="46" fillId="0" borderId="0"/>
    <xf numFmtId="0" fontId="3" fillId="0" borderId="0"/>
    <xf numFmtId="9" fontId="3" fillId="0" borderId="0" applyFont="0" applyFill="0" applyBorder="0" applyAlignment="0" applyProtection="0"/>
    <xf numFmtId="0" fontId="65" fillId="0" borderId="0" applyNumberFormat="0" applyFill="0" applyBorder="0" applyAlignment="0" applyProtection="0"/>
    <xf numFmtId="44" fontId="19" fillId="0" borderId="0" applyFont="0" applyFill="0" applyBorder="0" applyAlignment="0" applyProtection="0"/>
    <xf numFmtId="0" fontId="2" fillId="0" borderId="0"/>
  </cellStyleXfs>
  <cellXfs count="742">
    <xf numFmtId="0" fontId="0" fillId="0" borderId="0" xfId="0"/>
    <xf numFmtId="0" fontId="5" fillId="2" borderId="0" xfId="1" applyFont="1" applyFill="1" applyAlignment="1">
      <alignment horizontal="center" vertical="center"/>
    </xf>
    <xf numFmtId="0" fontId="5" fillId="2" borderId="0" xfId="1" applyFont="1" applyFill="1" applyAlignment="1">
      <alignment vertical="center"/>
    </xf>
    <xf numFmtId="166" fontId="7" fillId="2" borderId="1" xfId="1" applyNumberFormat="1" applyFont="1" applyFill="1" applyBorder="1" applyAlignment="1">
      <alignment horizontal="right" vertical="center"/>
    </xf>
    <xf numFmtId="166" fontId="7" fillId="8" borderId="1" xfId="1" applyNumberFormat="1" applyFont="1" applyFill="1" applyBorder="1" applyAlignment="1">
      <alignment vertical="center"/>
    </xf>
    <xf numFmtId="166" fontId="10" fillId="8" borderId="1" xfId="1" applyNumberFormat="1" applyFont="1" applyFill="1" applyBorder="1" applyAlignment="1">
      <alignment vertical="center"/>
    </xf>
    <xf numFmtId="0" fontId="5" fillId="2" borderId="0" xfId="1" applyFont="1" applyFill="1" applyAlignment="1">
      <alignment horizontal="left" vertical="center" indent="1"/>
    </xf>
    <xf numFmtId="0" fontId="11" fillId="2" borderId="2" xfId="1" applyFont="1" applyFill="1" applyBorder="1" applyAlignment="1">
      <alignment vertical="center"/>
    </xf>
    <xf numFmtId="166" fontId="7" fillId="5" borderId="1" xfId="1" applyNumberFormat="1" applyFont="1" applyFill="1" applyBorder="1" applyAlignment="1">
      <alignment vertical="center"/>
    </xf>
    <xf numFmtId="0" fontId="5" fillId="2" borderId="1" xfId="1" applyFont="1" applyFill="1" applyBorder="1" applyAlignment="1">
      <alignment vertical="center"/>
    </xf>
    <xf numFmtId="0" fontId="5" fillId="10" borderId="0" xfId="1" applyFont="1" applyFill="1" applyAlignment="1">
      <alignment horizontal="center" vertical="center"/>
    </xf>
    <xf numFmtId="0" fontId="5" fillId="10" borderId="1" xfId="1" applyFont="1" applyFill="1" applyBorder="1" applyAlignment="1">
      <alignment vertical="center"/>
    </xf>
    <xf numFmtId="0" fontId="11" fillId="10" borderId="0" xfId="1" applyFont="1" applyFill="1" applyAlignment="1">
      <alignment vertical="center"/>
    </xf>
    <xf numFmtId="0" fontId="11" fillId="2" borderId="2" xfId="1" applyFont="1" applyFill="1" applyBorder="1" applyAlignment="1">
      <alignment horizontal="center" vertical="center"/>
    </xf>
    <xf numFmtId="0" fontId="5" fillId="2" borderId="4" xfId="1" applyFont="1" applyFill="1" applyBorder="1" applyAlignment="1">
      <alignment vertical="center"/>
    </xf>
    <xf numFmtId="0" fontId="5" fillId="2" borderId="4" xfId="1" applyFont="1" applyFill="1" applyBorder="1" applyAlignment="1">
      <alignment horizontal="center" vertical="center"/>
    </xf>
    <xf numFmtId="0" fontId="5" fillId="2" borderId="5" xfId="1" applyFont="1" applyFill="1" applyBorder="1" applyAlignment="1">
      <alignment vertical="center"/>
    </xf>
    <xf numFmtId="0" fontId="5" fillId="2" borderId="4" xfId="1" applyFont="1" applyFill="1" applyBorder="1" applyAlignment="1">
      <alignment horizontal="left" vertical="center" indent="1"/>
    </xf>
    <xf numFmtId="0" fontId="5" fillId="2" borderId="0" xfId="1" applyFont="1" applyFill="1" applyAlignment="1">
      <alignment horizontal="left" vertical="center" indent="2"/>
    </xf>
    <xf numFmtId="0" fontId="5" fillId="2" borderId="10" xfId="1" applyFont="1" applyFill="1" applyBorder="1" applyAlignment="1">
      <alignment vertical="center"/>
    </xf>
    <xf numFmtId="0" fontId="5" fillId="2" borderId="6" xfId="1" applyFont="1" applyFill="1" applyBorder="1" applyAlignment="1">
      <alignment horizontal="left" vertical="center" indent="2"/>
    </xf>
    <xf numFmtId="0" fontId="5" fillId="2" borderId="6" xfId="1" applyFont="1" applyFill="1" applyBorder="1" applyAlignment="1">
      <alignment horizontal="center" vertical="center"/>
    </xf>
    <xf numFmtId="166" fontId="11" fillId="2" borderId="3" xfId="1" applyNumberFormat="1" applyFont="1" applyFill="1" applyBorder="1" applyAlignment="1">
      <alignment vertical="center"/>
    </xf>
    <xf numFmtId="165" fontId="5" fillId="2" borderId="1" xfId="1" applyNumberFormat="1" applyFont="1" applyFill="1" applyBorder="1" applyAlignment="1">
      <alignment vertical="center"/>
    </xf>
    <xf numFmtId="165" fontId="5" fillId="2" borderId="1" xfId="1" applyNumberFormat="1" applyFont="1" applyFill="1" applyBorder="1" applyAlignment="1">
      <alignment horizontal="right" vertical="center" wrapText="1"/>
    </xf>
    <xf numFmtId="166" fontId="5" fillId="2" borderId="1" xfId="1" applyNumberFormat="1" applyFont="1" applyFill="1" applyBorder="1" applyAlignment="1">
      <alignment vertical="center"/>
    </xf>
    <xf numFmtId="166" fontId="5" fillId="2" borderId="1" xfId="1" applyNumberFormat="1" applyFont="1" applyFill="1" applyBorder="1" applyAlignment="1">
      <alignment horizontal="right" vertical="center"/>
    </xf>
    <xf numFmtId="166" fontId="5" fillId="2" borderId="7" xfId="1" applyNumberFormat="1" applyFont="1" applyFill="1" applyBorder="1" applyAlignment="1">
      <alignment horizontal="right" vertical="center"/>
    </xf>
    <xf numFmtId="166" fontId="5" fillId="2" borderId="8" xfId="1" applyNumberFormat="1" applyFont="1" applyFill="1" applyBorder="1" applyAlignment="1">
      <alignment horizontal="right" vertical="center"/>
    </xf>
    <xf numFmtId="0" fontId="10" fillId="2" borderId="1" xfId="1" applyFont="1" applyFill="1" applyBorder="1" applyAlignment="1">
      <alignment vertical="center"/>
    </xf>
    <xf numFmtId="166" fontId="10" fillId="7" borderId="7" xfId="1" applyNumberFormat="1" applyFont="1" applyFill="1" applyBorder="1" applyAlignment="1">
      <alignment horizontal="right" vertical="center"/>
    </xf>
    <xf numFmtId="166" fontId="5" fillId="2" borderId="5" xfId="1" applyNumberFormat="1" applyFont="1" applyFill="1" applyBorder="1" applyAlignment="1">
      <alignment vertical="center"/>
    </xf>
    <xf numFmtId="166" fontId="10" fillId="2" borderId="5" xfId="1" applyNumberFormat="1" applyFont="1" applyFill="1" applyBorder="1" applyAlignment="1">
      <alignment vertical="center"/>
    </xf>
    <xf numFmtId="166" fontId="10" fillId="7" borderId="1" xfId="1" applyNumberFormat="1" applyFont="1" applyFill="1" applyBorder="1" applyAlignment="1">
      <alignment horizontal="right" vertical="center"/>
    </xf>
    <xf numFmtId="0" fontId="7" fillId="2" borderId="4" xfId="1" applyFont="1" applyFill="1" applyBorder="1" applyAlignment="1">
      <alignment horizontal="left" vertical="center" indent="1"/>
    </xf>
    <xf numFmtId="0" fontId="7" fillId="2" borderId="4" xfId="1" applyFont="1" applyFill="1" applyBorder="1" applyAlignment="1">
      <alignment horizontal="center" vertical="center"/>
    </xf>
    <xf numFmtId="166" fontId="7" fillId="2" borderId="5" xfId="1" applyNumberFormat="1" applyFont="1" applyFill="1" applyBorder="1" applyAlignment="1">
      <alignment vertical="center"/>
    </xf>
    <xf numFmtId="0" fontId="7" fillId="2" borderId="0" xfId="1" applyFont="1" applyFill="1" applyAlignment="1">
      <alignment horizontal="left" vertical="center" indent="2"/>
    </xf>
    <xf numFmtId="0" fontId="7" fillId="2" borderId="0" xfId="1" applyFont="1" applyFill="1" applyAlignment="1">
      <alignment horizontal="center" vertical="center"/>
    </xf>
    <xf numFmtId="166" fontId="7" fillId="5" borderId="1" xfId="1" applyNumberFormat="1" applyFont="1" applyFill="1" applyBorder="1" applyAlignment="1">
      <alignment horizontal="right" vertical="center"/>
    </xf>
    <xf numFmtId="0" fontId="7" fillId="2" borderId="1" xfId="1" applyFont="1" applyFill="1" applyBorder="1" applyAlignment="1">
      <alignment vertical="center"/>
    </xf>
    <xf numFmtId="0" fontId="7" fillId="2" borderId="0" xfId="1" applyFont="1" applyFill="1" applyAlignment="1">
      <alignment horizontal="left" vertical="center" indent="1"/>
    </xf>
    <xf numFmtId="166" fontId="7" fillId="2" borderId="1" xfId="1" applyNumberFormat="1" applyFont="1" applyFill="1" applyBorder="1" applyAlignment="1">
      <alignment vertical="center"/>
    </xf>
    <xf numFmtId="166" fontId="12" fillId="2" borderId="3" xfId="1" applyNumberFormat="1" applyFont="1" applyFill="1" applyBorder="1" applyAlignment="1">
      <alignment vertical="center"/>
    </xf>
    <xf numFmtId="166" fontId="7" fillId="8" borderId="5" xfId="1" applyNumberFormat="1" applyFont="1" applyFill="1" applyBorder="1" applyAlignment="1">
      <alignment vertical="center"/>
    </xf>
    <xf numFmtId="165" fontId="7" fillId="8" borderId="1" xfId="1" applyNumberFormat="1" applyFont="1" applyFill="1" applyBorder="1" applyAlignment="1">
      <alignment horizontal="right" vertical="center" wrapText="1"/>
    </xf>
    <xf numFmtId="166" fontId="7" fillId="8" borderId="13" xfId="1" applyNumberFormat="1" applyFont="1" applyFill="1" applyBorder="1" applyAlignment="1">
      <alignment vertical="center"/>
    </xf>
    <xf numFmtId="165" fontId="7" fillId="8" borderId="7" xfId="1" applyNumberFormat="1" applyFont="1" applyFill="1" applyBorder="1" applyAlignment="1">
      <alignment horizontal="right" vertical="center" wrapText="1"/>
    </xf>
    <xf numFmtId="165" fontId="7" fillId="2" borderId="7" xfId="1" applyNumberFormat="1" applyFont="1" applyFill="1" applyBorder="1" applyAlignment="1">
      <alignment horizontal="right" vertical="center"/>
    </xf>
    <xf numFmtId="164" fontId="7" fillId="2" borderId="0" xfId="0" applyNumberFormat="1" applyFont="1" applyFill="1" applyAlignment="1">
      <alignment horizontal="left" vertical="center" indent="1"/>
    </xf>
    <xf numFmtId="164" fontId="11" fillId="2" borderId="2" xfId="0" applyNumberFormat="1" applyFont="1" applyFill="1" applyBorder="1" applyAlignment="1">
      <alignment vertical="center"/>
    </xf>
    <xf numFmtId="164" fontId="11" fillId="2" borderId="2" xfId="0" applyNumberFormat="1" applyFont="1" applyFill="1" applyBorder="1" applyAlignment="1" applyProtection="1">
      <alignment horizontal="center" vertical="center"/>
      <protection locked="0"/>
    </xf>
    <xf numFmtId="164" fontId="5" fillId="2" borderId="0" xfId="0" applyNumberFormat="1" applyFont="1" applyFill="1" applyAlignment="1" applyProtection="1">
      <alignment horizontal="center" vertical="center"/>
      <protection locked="0"/>
    </xf>
    <xf numFmtId="165" fontId="5" fillId="2" borderId="1" xfId="1" applyNumberFormat="1" applyFont="1" applyFill="1" applyBorder="1" applyAlignment="1">
      <alignment horizontal="right" vertical="center"/>
    </xf>
    <xf numFmtId="167" fontId="10" fillId="2" borderId="1" xfId="1" applyNumberFormat="1" applyFont="1" applyFill="1" applyBorder="1" applyAlignment="1">
      <alignment vertical="center"/>
    </xf>
    <xf numFmtId="165" fontId="6" fillId="2" borderId="3" xfId="1" applyNumberFormat="1" applyFont="1" applyFill="1" applyBorder="1" applyAlignment="1">
      <alignment horizontal="right" vertical="center"/>
    </xf>
    <xf numFmtId="165" fontId="6" fillId="8" borderId="3" xfId="1" applyNumberFormat="1" applyFont="1" applyFill="1" applyBorder="1" applyAlignment="1">
      <alignment horizontal="right" vertical="center"/>
    </xf>
    <xf numFmtId="165" fontId="5" fillId="8" borderId="1" xfId="1" applyNumberFormat="1" applyFont="1" applyFill="1" applyBorder="1" applyAlignment="1">
      <alignment horizontal="right" vertical="center"/>
    </xf>
    <xf numFmtId="164" fontId="7" fillId="2" borderId="0" xfId="0" applyNumberFormat="1" applyFont="1" applyFill="1" applyAlignment="1">
      <alignment horizontal="left" vertical="center" indent="2"/>
    </xf>
    <xf numFmtId="164" fontId="7" fillId="2" borderId="6" xfId="0" applyNumberFormat="1" applyFont="1" applyFill="1" applyBorder="1" applyAlignment="1">
      <alignment horizontal="left" vertical="center" indent="2"/>
    </xf>
    <xf numFmtId="164" fontId="5" fillId="2" borderId="6" xfId="0" applyNumberFormat="1" applyFont="1" applyFill="1" applyBorder="1" applyAlignment="1" applyProtection="1">
      <alignment horizontal="center" vertical="center"/>
      <protection locked="0"/>
    </xf>
    <xf numFmtId="0" fontId="5" fillId="8" borderId="5" xfId="1" applyFont="1" applyFill="1" applyBorder="1" applyAlignment="1">
      <alignment vertical="center"/>
    </xf>
    <xf numFmtId="0" fontId="5" fillId="8" borderId="1" xfId="1" applyFont="1" applyFill="1" applyBorder="1" applyAlignment="1">
      <alignment vertical="center"/>
    </xf>
    <xf numFmtId="0" fontId="5" fillId="8" borderId="7" xfId="1" applyFont="1" applyFill="1" applyBorder="1" applyAlignment="1">
      <alignment vertical="center"/>
    </xf>
    <xf numFmtId="165" fontId="10" fillId="2" borderId="5" xfId="1" applyNumberFormat="1" applyFont="1" applyFill="1" applyBorder="1" applyAlignment="1">
      <alignment vertical="center"/>
    </xf>
    <xf numFmtId="165" fontId="5" fillId="2" borderId="7" xfId="1" applyNumberFormat="1" applyFont="1" applyFill="1" applyBorder="1" applyAlignment="1">
      <alignment vertical="center"/>
    </xf>
    <xf numFmtId="165" fontId="8" fillId="7" borderId="3" xfId="1" applyNumberFormat="1" applyFont="1" applyFill="1" applyBorder="1" applyAlignment="1">
      <alignment vertical="center"/>
    </xf>
    <xf numFmtId="165" fontId="10" fillId="7" borderId="7" xfId="1" applyNumberFormat="1" applyFont="1" applyFill="1" applyBorder="1" applyAlignment="1">
      <alignment vertical="center"/>
    </xf>
    <xf numFmtId="165" fontId="10" fillId="7" borderId="5" xfId="1" applyNumberFormat="1" applyFont="1" applyFill="1" applyBorder="1" applyAlignment="1">
      <alignment vertical="center"/>
    </xf>
    <xf numFmtId="165" fontId="5" fillId="7" borderId="1" xfId="1" applyNumberFormat="1" applyFont="1" applyFill="1" applyBorder="1" applyAlignment="1">
      <alignment horizontal="right" vertical="center" wrapText="1"/>
    </xf>
    <xf numFmtId="165" fontId="5" fillId="5" borderId="1" xfId="1" applyNumberFormat="1" applyFont="1" applyFill="1" applyBorder="1" applyAlignment="1">
      <alignment horizontal="right" vertical="center" wrapText="1"/>
    </xf>
    <xf numFmtId="166" fontId="12" fillId="8" borderId="3" xfId="1" applyNumberFormat="1" applyFont="1" applyFill="1" applyBorder="1" applyAlignment="1">
      <alignment vertical="center"/>
    </xf>
    <xf numFmtId="165" fontId="5" fillId="8" borderId="1" xfId="1" applyNumberFormat="1" applyFont="1" applyFill="1" applyBorder="1" applyAlignment="1">
      <alignment horizontal="right" vertical="center" wrapText="1"/>
    </xf>
    <xf numFmtId="165" fontId="5" fillId="8" borderId="5" xfId="1" applyNumberFormat="1" applyFont="1" applyFill="1" applyBorder="1" applyAlignment="1">
      <alignment horizontal="right" vertical="center" wrapText="1"/>
    </xf>
    <xf numFmtId="165" fontId="5" fillId="8" borderId="7" xfId="1" applyNumberFormat="1" applyFont="1" applyFill="1" applyBorder="1" applyAlignment="1">
      <alignment horizontal="right" vertical="center" wrapText="1"/>
    </xf>
    <xf numFmtId="166" fontId="6" fillId="2" borderId="3" xfId="1" applyNumberFormat="1" applyFont="1" applyFill="1" applyBorder="1" applyAlignment="1">
      <alignment vertical="center"/>
    </xf>
    <xf numFmtId="165" fontId="10" fillId="7" borderId="1" xfId="1" applyNumberFormat="1" applyFont="1" applyFill="1" applyBorder="1" applyAlignment="1">
      <alignment horizontal="right" vertical="center" wrapText="1"/>
    </xf>
    <xf numFmtId="0" fontId="5" fillId="2" borderId="0" xfId="1" applyFont="1" applyFill="1" applyAlignment="1">
      <alignment horizontal="left" vertical="center" indent="3"/>
    </xf>
    <xf numFmtId="0" fontId="5" fillId="2" borderId="6" xfId="1" applyFont="1" applyFill="1" applyBorder="1" applyAlignment="1">
      <alignment horizontal="left" vertical="center" indent="3"/>
    </xf>
    <xf numFmtId="0" fontId="5" fillId="2" borderId="14" xfId="1" applyFont="1" applyFill="1" applyBorder="1" applyAlignment="1">
      <alignment vertical="center"/>
    </xf>
    <xf numFmtId="0" fontId="5" fillId="2" borderId="14" xfId="1" applyFont="1" applyFill="1" applyBorder="1" applyAlignment="1">
      <alignment horizontal="center" vertical="center"/>
    </xf>
    <xf numFmtId="0" fontId="5" fillId="2" borderId="15" xfId="1" applyFont="1" applyFill="1" applyBorder="1" applyAlignment="1">
      <alignment vertical="center"/>
    </xf>
    <xf numFmtId="166" fontId="10" fillId="2" borderId="1" xfId="1" applyNumberFormat="1" applyFont="1" applyFill="1" applyBorder="1" applyAlignment="1">
      <alignment vertical="center"/>
    </xf>
    <xf numFmtId="165" fontId="5" fillId="2" borderId="7" xfId="1" applyNumberFormat="1" applyFont="1" applyFill="1" applyBorder="1" applyAlignment="1">
      <alignment horizontal="right" vertical="center"/>
    </xf>
    <xf numFmtId="0" fontId="11" fillId="11" borderId="0" xfId="1" applyFont="1" applyFill="1" applyAlignment="1">
      <alignment vertical="center"/>
    </xf>
    <xf numFmtId="0" fontId="11" fillId="11" borderId="0" xfId="1" applyFont="1" applyFill="1" applyAlignment="1">
      <alignment horizontal="center" vertical="center"/>
    </xf>
    <xf numFmtId="0" fontId="11" fillId="11" borderId="1" xfId="1" applyFont="1" applyFill="1" applyBorder="1" applyAlignment="1">
      <alignment vertical="center"/>
    </xf>
    <xf numFmtId="165" fontId="7" fillId="2" borderId="1" xfId="1" applyNumberFormat="1" applyFont="1" applyFill="1" applyBorder="1" applyAlignment="1">
      <alignment horizontal="right" vertical="center"/>
    </xf>
    <xf numFmtId="166" fontId="6" fillId="8" borderId="3" xfId="1" applyNumberFormat="1" applyFont="1" applyFill="1" applyBorder="1" applyAlignment="1">
      <alignment vertical="center"/>
    </xf>
    <xf numFmtId="165" fontId="7" fillId="8" borderId="1" xfId="1" applyNumberFormat="1" applyFont="1" applyFill="1" applyBorder="1" applyAlignment="1">
      <alignment horizontal="right" vertical="center"/>
    </xf>
    <xf numFmtId="165" fontId="7" fillId="8" borderId="7" xfId="1" applyNumberFormat="1" applyFont="1" applyFill="1" applyBorder="1" applyAlignment="1">
      <alignment horizontal="right" vertical="center"/>
    </xf>
    <xf numFmtId="166" fontId="10" fillId="8" borderId="5" xfId="1" applyNumberFormat="1" applyFont="1" applyFill="1" applyBorder="1" applyAlignment="1">
      <alignment vertical="center"/>
    </xf>
    <xf numFmtId="166" fontId="5" fillId="8" borderId="1" xfId="1" applyNumberFormat="1" applyFont="1" applyFill="1" applyBorder="1" applyAlignment="1">
      <alignment horizontal="right" vertical="center"/>
    </xf>
    <xf numFmtId="166" fontId="11" fillId="8" borderId="3" xfId="1" applyNumberFormat="1" applyFont="1" applyFill="1" applyBorder="1" applyAlignment="1">
      <alignment vertical="center"/>
    </xf>
    <xf numFmtId="165" fontId="9" fillId="7" borderId="1" xfId="1" applyNumberFormat="1" applyFont="1" applyFill="1" applyBorder="1" applyAlignment="1">
      <alignment horizontal="right" vertical="center" wrapText="1"/>
    </xf>
    <xf numFmtId="166" fontId="7" fillId="8" borderId="8" xfId="1" applyNumberFormat="1" applyFont="1" applyFill="1" applyBorder="1" applyAlignment="1">
      <alignment vertical="center"/>
    </xf>
    <xf numFmtId="166" fontId="9" fillId="9" borderId="9" xfId="1" applyNumberFormat="1" applyFont="1" applyFill="1" applyBorder="1" applyAlignment="1">
      <alignment vertical="center"/>
    </xf>
    <xf numFmtId="165" fontId="9" fillId="9" borderId="9" xfId="1" applyNumberFormat="1" applyFont="1" applyFill="1" applyBorder="1" applyAlignment="1">
      <alignment horizontal="right" vertical="center" wrapText="1"/>
    </xf>
    <xf numFmtId="166" fontId="10" fillId="2" borderId="16" xfId="1" applyNumberFormat="1" applyFont="1" applyFill="1" applyBorder="1" applyAlignment="1">
      <alignment vertical="center"/>
    </xf>
    <xf numFmtId="166" fontId="10" fillId="9" borderId="18" xfId="1" applyNumberFormat="1" applyFont="1" applyFill="1" applyBorder="1" applyAlignment="1">
      <alignment vertical="center"/>
    </xf>
    <xf numFmtId="166" fontId="7" fillId="9" borderId="18" xfId="1" applyNumberFormat="1" applyFont="1" applyFill="1" applyBorder="1" applyAlignment="1">
      <alignment vertical="center"/>
    </xf>
    <xf numFmtId="166" fontId="7" fillId="9" borderId="17" xfId="1" applyNumberFormat="1" applyFont="1" applyFill="1" applyBorder="1" applyAlignment="1">
      <alignment vertical="center"/>
    </xf>
    <xf numFmtId="166" fontId="11" fillId="11" borderId="1" xfId="1" applyNumberFormat="1" applyFont="1" applyFill="1" applyBorder="1" applyAlignment="1">
      <alignment vertical="center"/>
    </xf>
    <xf numFmtId="0" fontId="5" fillId="3" borderId="0" xfId="1" applyFont="1" applyFill="1" applyAlignment="1">
      <alignment horizontal="center" vertical="center"/>
    </xf>
    <xf numFmtId="0" fontId="5" fillId="3" borderId="1" xfId="1" applyFont="1" applyFill="1" applyBorder="1" applyAlignment="1">
      <alignment vertical="center"/>
    </xf>
    <xf numFmtId="0" fontId="11" fillId="3" borderId="0" xfId="1" applyFont="1" applyFill="1" applyAlignment="1">
      <alignment vertical="center"/>
    </xf>
    <xf numFmtId="165" fontId="9" fillId="6" borderId="9" xfId="1" applyNumberFormat="1" applyFont="1" applyFill="1" applyBorder="1" applyAlignment="1">
      <alignment horizontal="right" vertical="center" wrapText="1"/>
    </xf>
    <xf numFmtId="166" fontId="5" fillId="8" borderId="7" xfId="1" applyNumberFormat="1" applyFont="1" applyFill="1" applyBorder="1" applyAlignment="1">
      <alignment horizontal="right" vertical="center"/>
    </xf>
    <xf numFmtId="165" fontId="6" fillId="7" borderId="3" xfId="1" applyNumberFormat="1" applyFont="1" applyFill="1" applyBorder="1" applyAlignment="1">
      <alignment horizontal="right" vertical="center"/>
    </xf>
    <xf numFmtId="166" fontId="10" fillId="9" borderId="9" xfId="1" applyNumberFormat="1" applyFont="1" applyFill="1" applyBorder="1" applyAlignment="1">
      <alignment vertical="center"/>
    </xf>
    <xf numFmtId="166" fontId="7" fillId="9" borderId="9" xfId="1" applyNumberFormat="1" applyFont="1" applyFill="1" applyBorder="1" applyAlignment="1">
      <alignment vertical="center"/>
    </xf>
    <xf numFmtId="0" fontId="5" fillId="2" borderId="8" xfId="1" applyFont="1" applyFill="1" applyBorder="1" applyAlignment="1">
      <alignment vertical="center"/>
    </xf>
    <xf numFmtId="166" fontId="6" fillId="2" borderId="19" xfId="1" applyNumberFormat="1" applyFont="1" applyFill="1" applyBorder="1" applyAlignment="1">
      <alignment vertical="center"/>
    </xf>
    <xf numFmtId="165" fontId="5" fillId="2" borderId="8" xfId="1" applyNumberFormat="1" applyFont="1" applyFill="1" applyBorder="1" applyAlignment="1">
      <alignment horizontal="right" vertical="center" wrapText="1"/>
    </xf>
    <xf numFmtId="166" fontId="5" fillId="2" borderId="16" xfId="1" applyNumberFormat="1" applyFont="1" applyFill="1" applyBorder="1" applyAlignment="1">
      <alignment vertical="center"/>
    </xf>
    <xf numFmtId="166" fontId="5" fillId="2" borderId="8" xfId="1" applyNumberFormat="1" applyFont="1" applyFill="1" applyBorder="1" applyAlignment="1">
      <alignment vertical="center"/>
    </xf>
    <xf numFmtId="165" fontId="5" fillId="2" borderId="8" xfId="1" applyNumberFormat="1" applyFont="1" applyFill="1" applyBorder="1" applyAlignment="1">
      <alignment horizontal="right" vertical="center"/>
    </xf>
    <xf numFmtId="0" fontId="5" fillId="2" borderId="20" xfId="1" applyFont="1" applyFill="1" applyBorder="1" applyAlignment="1">
      <alignment vertical="center"/>
    </xf>
    <xf numFmtId="166" fontId="11" fillId="2" borderId="19" xfId="1" applyNumberFormat="1" applyFont="1" applyFill="1" applyBorder="1" applyAlignment="1">
      <alignment vertical="center"/>
    </xf>
    <xf numFmtId="165" fontId="5" fillId="7" borderId="8" xfId="1" applyNumberFormat="1" applyFont="1" applyFill="1" applyBorder="1" applyAlignment="1">
      <alignment horizontal="right" vertical="center" wrapText="1"/>
    </xf>
    <xf numFmtId="166" fontId="7" fillId="2" borderId="16" xfId="1" applyNumberFormat="1" applyFont="1" applyFill="1" applyBorder="1" applyAlignment="1">
      <alignment vertical="center"/>
    </xf>
    <xf numFmtId="166" fontId="7" fillId="5" borderId="8" xfId="1" applyNumberFormat="1" applyFont="1" applyFill="1" applyBorder="1" applyAlignment="1">
      <alignment horizontal="right" vertical="center"/>
    </xf>
    <xf numFmtId="166" fontId="7" fillId="2" borderId="8" xfId="1" applyNumberFormat="1" applyFont="1" applyFill="1" applyBorder="1" applyAlignment="1">
      <alignment vertical="center"/>
    </xf>
    <xf numFmtId="165" fontId="7" fillId="2" borderId="8" xfId="1" applyNumberFormat="1" applyFont="1" applyFill="1" applyBorder="1" applyAlignment="1">
      <alignment horizontal="right" vertical="center"/>
    </xf>
    <xf numFmtId="165" fontId="7" fillId="2" borderId="12" xfId="1" applyNumberFormat="1" applyFont="1" applyFill="1" applyBorder="1" applyAlignment="1">
      <alignment horizontal="right" vertical="center"/>
    </xf>
    <xf numFmtId="166" fontId="10" fillId="7" borderId="8" xfId="1" applyNumberFormat="1" applyFont="1" applyFill="1" applyBorder="1" applyAlignment="1">
      <alignment horizontal="right" vertical="center"/>
    </xf>
    <xf numFmtId="166" fontId="10" fillId="7" borderId="12" xfId="1" applyNumberFormat="1" applyFont="1" applyFill="1" applyBorder="1" applyAlignment="1">
      <alignment horizontal="right" vertical="center"/>
    </xf>
    <xf numFmtId="165" fontId="8" fillId="7" borderId="19" xfId="1" applyNumberFormat="1" applyFont="1" applyFill="1" applyBorder="1" applyAlignment="1">
      <alignment vertical="center"/>
    </xf>
    <xf numFmtId="165" fontId="5" fillId="2" borderId="8" xfId="1" applyNumberFormat="1" applyFont="1" applyFill="1" applyBorder="1" applyAlignment="1">
      <alignment vertical="center"/>
    </xf>
    <xf numFmtId="0" fontId="11" fillId="11" borderId="8" xfId="1" applyFont="1" applyFill="1" applyBorder="1" applyAlignment="1">
      <alignment vertical="center"/>
    </xf>
    <xf numFmtId="0" fontId="7" fillId="2" borderId="8" xfId="1" applyFont="1" applyFill="1" applyBorder="1" applyAlignment="1">
      <alignment vertical="center"/>
    </xf>
    <xf numFmtId="165" fontId="9" fillId="7" borderId="8" xfId="1" applyNumberFormat="1" applyFont="1" applyFill="1" applyBorder="1" applyAlignment="1">
      <alignment horizontal="right" vertical="center" wrapText="1"/>
    </xf>
    <xf numFmtId="166" fontId="7" fillId="2" borderId="8" xfId="1" applyNumberFormat="1" applyFont="1" applyFill="1" applyBorder="1" applyAlignment="1">
      <alignment horizontal="right" vertical="center"/>
    </xf>
    <xf numFmtId="0" fontId="5" fillId="3" borderId="8" xfId="1" applyFont="1" applyFill="1" applyBorder="1" applyAlignment="1">
      <alignment vertical="center"/>
    </xf>
    <xf numFmtId="165" fontId="6" fillId="7" borderId="19" xfId="1" applyNumberFormat="1" applyFont="1" applyFill="1" applyBorder="1" applyAlignment="1">
      <alignment horizontal="right" vertical="center"/>
    </xf>
    <xf numFmtId="0" fontId="5" fillId="2" borderId="8" xfId="1" applyFont="1" applyFill="1" applyBorder="1" applyAlignment="1">
      <alignment horizontal="center" vertical="center"/>
    </xf>
    <xf numFmtId="165" fontId="10" fillId="7" borderId="1" xfId="1" applyNumberFormat="1" applyFont="1" applyFill="1" applyBorder="1" applyAlignment="1">
      <alignment horizontal="right" vertical="center"/>
    </xf>
    <xf numFmtId="166" fontId="5" fillId="3" borderId="1" xfId="1" applyNumberFormat="1" applyFont="1" applyFill="1" applyBorder="1" applyAlignment="1">
      <alignment vertical="center"/>
    </xf>
    <xf numFmtId="0" fontId="5" fillId="13" borderId="0" xfId="1" applyFont="1" applyFill="1" applyAlignment="1">
      <alignment horizontal="center" vertical="center"/>
    </xf>
    <xf numFmtId="0" fontId="5" fillId="13" borderId="1" xfId="1" applyFont="1" applyFill="1" applyBorder="1" applyAlignment="1">
      <alignment vertical="center"/>
    </xf>
    <xf numFmtId="0" fontId="5" fillId="13" borderId="8" xfId="1" applyFont="1" applyFill="1" applyBorder="1" applyAlignment="1">
      <alignment vertical="center"/>
    </xf>
    <xf numFmtId="0" fontId="11" fillId="13" borderId="0" xfId="1" applyFont="1" applyFill="1" applyAlignment="1">
      <alignment vertical="center"/>
    </xf>
    <xf numFmtId="166" fontId="5" fillId="13" borderId="1" xfId="1" applyNumberFormat="1" applyFont="1" applyFill="1" applyBorder="1" applyAlignment="1">
      <alignment vertical="center"/>
    </xf>
    <xf numFmtId="0" fontId="11" fillId="14" borderId="0" xfId="1" applyFont="1" applyFill="1" applyAlignment="1">
      <alignment vertical="center"/>
    </xf>
    <xf numFmtId="0" fontId="11" fillId="14" borderId="0" xfId="1" applyFont="1" applyFill="1" applyAlignment="1">
      <alignment horizontal="center" vertical="center"/>
    </xf>
    <xf numFmtId="0" fontId="11" fillId="14" borderId="1" xfId="1" applyFont="1" applyFill="1" applyBorder="1" applyAlignment="1">
      <alignment vertical="center"/>
    </xf>
    <xf numFmtId="0" fontId="11" fillId="14" borderId="8" xfId="1" applyFont="1" applyFill="1" applyBorder="1" applyAlignment="1">
      <alignment vertical="center"/>
    </xf>
    <xf numFmtId="0" fontId="5" fillId="10" borderId="8" xfId="1" applyFont="1" applyFill="1" applyBorder="1" applyAlignment="1">
      <alignment vertical="center"/>
    </xf>
    <xf numFmtId="0" fontId="13" fillId="4" borderId="0" xfId="1" applyFont="1" applyFill="1" applyAlignment="1">
      <alignment vertical="center"/>
    </xf>
    <xf numFmtId="0" fontId="13" fillId="4" borderId="0" xfId="1" applyFont="1" applyFill="1" applyAlignment="1">
      <alignment horizontal="center" vertical="center"/>
    </xf>
    <xf numFmtId="0" fontId="13" fillId="4" borderId="1" xfId="1" applyFont="1" applyFill="1" applyBorder="1" applyAlignment="1">
      <alignment horizontal="right" vertical="center"/>
    </xf>
    <xf numFmtId="0" fontId="13" fillId="12" borderId="1" xfId="1" applyFont="1" applyFill="1" applyBorder="1" applyAlignment="1">
      <alignment horizontal="right" vertical="center"/>
    </xf>
    <xf numFmtId="0" fontId="13" fillId="12" borderId="8" xfId="1" applyFont="1" applyFill="1" applyBorder="1" applyAlignment="1">
      <alignment horizontal="right" vertical="center"/>
    </xf>
    <xf numFmtId="0" fontId="5" fillId="15" borderId="0" xfId="1" applyFont="1" applyFill="1" applyAlignment="1">
      <alignment horizontal="center" vertical="center"/>
    </xf>
    <xf numFmtId="0" fontId="5" fillId="15" borderId="1" xfId="1" applyFont="1" applyFill="1" applyBorder="1" applyAlignment="1">
      <alignment vertical="center"/>
    </xf>
    <xf numFmtId="0" fontId="5" fillId="15" borderId="8" xfId="1" applyFont="1" applyFill="1" applyBorder="1" applyAlignment="1">
      <alignment vertical="center"/>
    </xf>
    <xf numFmtId="0" fontId="11" fillId="15" borderId="0" xfId="1" applyFont="1" applyFill="1" applyAlignment="1">
      <alignment vertical="center"/>
    </xf>
    <xf numFmtId="0" fontId="11" fillId="14" borderId="21" xfId="1" applyFont="1" applyFill="1" applyBorder="1" applyAlignment="1">
      <alignment horizontal="center" vertical="center"/>
    </xf>
    <xf numFmtId="0" fontId="11" fillId="14" borderId="22" xfId="1" applyFont="1" applyFill="1" applyBorder="1" applyAlignment="1">
      <alignment vertical="center"/>
    </xf>
    <xf numFmtId="0" fontId="11" fillId="11" borderId="21" xfId="1" applyFont="1" applyFill="1" applyBorder="1" applyAlignment="1">
      <alignment horizontal="center" vertical="center"/>
    </xf>
    <xf numFmtId="0" fontId="11" fillId="11" borderId="22" xfId="1" applyFont="1" applyFill="1" applyBorder="1" applyAlignment="1">
      <alignment vertical="center"/>
    </xf>
    <xf numFmtId="0" fontId="11" fillId="13" borderId="21" xfId="1" applyFont="1" applyFill="1" applyBorder="1" applyAlignment="1">
      <alignment horizontal="center" vertical="center"/>
    </xf>
    <xf numFmtId="0" fontId="11" fillId="13" borderId="22" xfId="1" applyFont="1" applyFill="1" applyBorder="1" applyAlignment="1">
      <alignment vertical="center"/>
    </xf>
    <xf numFmtId="0" fontId="11" fillId="14" borderId="21" xfId="1" applyFont="1" applyFill="1" applyBorder="1" applyAlignment="1">
      <alignment horizontal="left" vertical="center" indent="1"/>
    </xf>
    <xf numFmtId="0" fontId="11" fillId="11" borderId="21" xfId="1" applyFont="1" applyFill="1" applyBorder="1" applyAlignment="1">
      <alignment horizontal="left" vertical="center" indent="1"/>
    </xf>
    <xf numFmtId="0" fontId="11" fillId="13" borderId="21" xfId="1" applyFont="1" applyFill="1" applyBorder="1" applyAlignment="1">
      <alignment horizontal="left" vertical="center" indent="1"/>
    </xf>
    <xf numFmtId="0" fontId="11" fillId="3" borderId="21" xfId="1" applyFont="1" applyFill="1" applyBorder="1" applyAlignment="1">
      <alignment horizontal="center" vertical="center"/>
    </xf>
    <xf numFmtId="0" fontId="11" fillId="3" borderId="22" xfId="1" applyFont="1" applyFill="1" applyBorder="1" applyAlignment="1">
      <alignment vertical="center"/>
    </xf>
    <xf numFmtId="0" fontId="11" fillId="3" borderId="21" xfId="1" applyFont="1" applyFill="1" applyBorder="1" applyAlignment="1">
      <alignment horizontal="left" vertical="center" indent="1"/>
    </xf>
    <xf numFmtId="165" fontId="10" fillId="7" borderId="9" xfId="1" applyNumberFormat="1" applyFont="1" applyFill="1" applyBorder="1" applyAlignment="1">
      <alignment horizontal="right" vertical="center" wrapText="1"/>
    </xf>
    <xf numFmtId="165" fontId="10" fillId="7" borderId="7" xfId="1" applyNumberFormat="1" applyFont="1" applyFill="1" applyBorder="1" applyAlignment="1">
      <alignment horizontal="right" vertical="center"/>
    </xf>
    <xf numFmtId="0" fontId="14" fillId="2" borderId="0" xfId="1" applyFont="1" applyFill="1" applyAlignment="1">
      <alignment vertical="center"/>
    </xf>
    <xf numFmtId="166" fontId="5" fillId="8" borderId="5" xfId="1" applyNumberFormat="1" applyFont="1" applyFill="1" applyBorder="1" applyAlignment="1">
      <alignment vertical="center"/>
    </xf>
    <xf numFmtId="0" fontId="5" fillId="8" borderId="10" xfId="1" applyFont="1" applyFill="1" applyBorder="1" applyAlignment="1">
      <alignment vertical="center"/>
    </xf>
    <xf numFmtId="0" fontId="5" fillId="8" borderId="11" xfId="1" applyFont="1" applyFill="1" applyBorder="1" applyAlignment="1">
      <alignment vertical="center"/>
    </xf>
    <xf numFmtId="0" fontId="5" fillId="8" borderId="3" xfId="1" applyFont="1" applyFill="1" applyBorder="1" applyAlignment="1">
      <alignment vertical="center"/>
    </xf>
    <xf numFmtId="165" fontId="10" fillId="7" borderId="1" xfId="1" applyNumberFormat="1" applyFont="1" applyFill="1" applyBorder="1" applyAlignment="1">
      <alignment vertical="center"/>
    </xf>
    <xf numFmtId="165" fontId="10" fillId="5" borderId="1" xfId="1" applyNumberFormat="1" applyFont="1" applyFill="1" applyBorder="1" applyAlignment="1">
      <alignment vertical="center"/>
    </xf>
    <xf numFmtId="165" fontId="5" fillId="8" borderId="16" xfId="1" applyNumberFormat="1" applyFont="1" applyFill="1" applyBorder="1" applyAlignment="1">
      <alignment horizontal="right" vertical="center" wrapText="1"/>
    </xf>
    <xf numFmtId="166" fontId="15" fillId="2" borderId="5" xfId="1" applyNumberFormat="1" applyFont="1" applyFill="1" applyBorder="1" applyAlignment="1">
      <alignment vertical="center"/>
    </xf>
    <xf numFmtId="166" fontId="15" fillId="11" borderId="5" xfId="1" applyNumberFormat="1" applyFont="1" applyFill="1" applyBorder="1" applyAlignment="1">
      <alignment vertical="center"/>
    </xf>
    <xf numFmtId="166" fontId="15" fillId="11" borderId="1" xfId="1" applyNumberFormat="1" applyFont="1" applyFill="1" applyBorder="1" applyAlignment="1">
      <alignment vertical="center"/>
    </xf>
    <xf numFmtId="166" fontId="15" fillId="2" borderId="1" xfId="1" applyNumberFormat="1" applyFont="1" applyFill="1" applyBorder="1" applyAlignment="1">
      <alignment vertical="center"/>
    </xf>
    <xf numFmtId="166" fontId="5" fillId="2" borderId="13" xfId="1" applyNumberFormat="1" applyFont="1" applyFill="1" applyBorder="1" applyAlignment="1">
      <alignment vertical="center"/>
    </xf>
    <xf numFmtId="166" fontId="9" fillId="9" borderId="17" xfId="1" applyNumberFormat="1" applyFont="1" applyFill="1" applyBorder="1" applyAlignment="1">
      <alignment vertical="center"/>
    </xf>
    <xf numFmtId="166" fontId="12" fillId="7" borderId="3" xfId="1" applyNumberFormat="1" applyFont="1" applyFill="1" applyBorder="1" applyAlignment="1">
      <alignment vertical="center"/>
    </xf>
    <xf numFmtId="166" fontId="10" fillId="7" borderId="1" xfId="1" applyNumberFormat="1" applyFont="1" applyFill="1" applyBorder="1" applyAlignment="1">
      <alignment vertical="center"/>
    </xf>
    <xf numFmtId="0" fontId="16" fillId="2" borderId="0" xfId="0" applyFont="1" applyFill="1" applyAlignment="1">
      <alignment vertical="center"/>
    </xf>
    <xf numFmtId="0" fontId="11" fillId="2" borderId="2" xfId="0" applyFont="1" applyFill="1" applyBorder="1" applyAlignment="1">
      <alignment vertical="center"/>
    </xf>
    <xf numFmtId="0" fontId="11" fillId="2" borderId="2" xfId="0" applyFont="1" applyFill="1" applyBorder="1" applyAlignment="1">
      <alignment horizontal="center" vertical="center"/>
    </xf>
    <xf numFmtId="166" fontId="8" fillId="2" borderId="3" xfId="0" applyNumberFormat="1" applyFont="1" applyFill="1" applyBorder="1" applyAlignment="1">
      <alignment horizontal="right" vertical="center"/>
    </xf>
    <xf numFmtId="0" fontId="11" fillId="2" borderId="0" xfId="0" applyFont="1" applyFill="1" applyAlignment="1">
      <alignment horizontal="left" vertical="center"/>
    </xf>
    <xf numFmtId="0" fontId="11" fillId="2" borderId="0" xfId="0" applyFont="1" applyFill="1" applyAlignment="1">
      <alignment horizontal="center" vertical="center"/>
    </xf>
    <xf numFmtId="166" fontId="8" fillId="2" borderId="1" xfId="0" applyNumberFormat="1" applyFont="1" applyFill="1" applyBorder="1" applyAlignment="1">
      <alignment horizontal="right" vertical="center"/>
    </xf>
    <xf numFmtId="3" fontId="5" fillId="2" borderId="0" xfId="0" applyNumberFormat="1" applyFont="1" applyFill="1" applyAlignment="1">
      <alignment horizontal="center" vertical="center"/>
    </xf>
    <xf numFmtId="166" fontId="9" fillId="2" borderId="1" xfId="0" applyNumberFormat="1" applyFont="1" applyFill="1" applyBorder="1" applyAlignment="1">
      <alignment horizontal="right" vertical="center"/>
    </xf>
    <xf numFmtId="0" fontId="5" fillId="2" borderId="0" xfId="0" applyFont="1" applyFill="1" applyAlignment="1">
      <alignment horizontal="left" vertical="center"/>
    </xf>
    <xf numFmtId="0" fontId="5" fillId="2" borderId="0" xfId="0" applyFont="1" applyFill="1" applyAlignment="1">
      <alignment horizontal="center" vertical="center"/>
    </xf>
    <xf numFmtId="0" fontId="5" fillId="2" borderId="0" xfId="0" applyFont="1" applyFill="1" applyAlignment="1">
      <alignment vertical="center"/>
    </xf>
    <xf numFmtId="166" fontId="5" fillId="2" borderId="1" xfId="0" applyNumberFormat="1" applyFont="1" applyFill="1" applyBorder="1" applyAlignment="1">
      <alignment horizontal="right" vertical="center"/>
    </xf>
    <xf numFmtId="166" fontId="11" fillId="2" borderId="2" xfId="0" applyNumberFormat="1" applyFont="1" applyFill="1" applyBorder="1" applyAlignment="1">
      <alignment vertical="center"/>
    </xf>
    <xf numFmtId="0" fontId="11" fillId="2" borderId="0" xfId="0" applyFont="1" applyFill="1" applyAlignment="1">
      <alignment horizontal="left" vertical="center" indent="1"/>
    </xf>
    <xf numFmtId="3" fontId="5" fillId="2" borderId="0" xfId="0" applyNumberFormat="1" applyFont="1" applyFill="1" applyAlignment="1">
      <alignment horizontal="left" vertical="center" indent="1"/>
    </xf>
    <xf numFmtId="0" fontId="5" fillId="2" borderId="0" xfId="0" applyFont="1" applyFill="1" applyAlignment="1">
      <alignment horizontal="left" vertical="center" indent="1"/>
    </xf>
    <xf numFmtId="166" fontId="5" fillId="2" borderId="0" xfId="0" applyNumberFormat="1" applyFont="1" applyFill="1" applyAlignment="1">
      <alignment horizontal="left" vertical="center" indent="1"/>
    </xf>
    <xf numFmtId="0" fontId="11" fillId="2" borderId="0" xfId="1" applyFont="1" applyFill="1" applyAlignment="1">
      <alignment horizontal="left" vertical="center" indent="1"/>
    </xf>
    <xf numFmtId="166" fontId="17" fillId="2" borderId="1" xfId="1" applyNumberFormat="1" applyFont="1" applyFill="1" applyBorder="1" applyAlignment="1">
      <alignment vertical="center"/>
    </xf>
    <xf numFmtId="0" fontId="17" fillId="2" borderId="0" xfId="1" applyFont="1" applyFill="1" applyAlignment="1">
      <alignment horizontal="left" vertical="center" indent="1"/>
    </xf>
    <xf numFmtId="0" fontId="17" fillId="2" borderId="0" xfId="1" applyFont="1" applyFill="1" applyAlignment="1">
      <alignment horizontal="center" vertical="center"/>
    </xf>
    <xf numFmtId="166" fontId="10" fillId="2" borderId="1" xfId="0" applyNumberFormat="1" applyFont="1" applyFill="1" applyBorder="1" applyAlignment="1">
      <alignment horizontal="right" vertical="center"/>
    </xf>
    <xf numFmtId="166" fontId="8" fillId="8" borderId="3" xfId="0" applyNumberFormat="1" applyFont="1" applyFill="1" applyBorder="1" applyAlignment="1">
      <alignment horizontal="right" vertical="center"/>
    </xf>
    <xf numFmtId="166" fontId="8" fillId="8" borderId="1" xfId="0" applyNumberFormat="1" applyFont="1" applyFill="1" applyBorder="1" applyAlignment="1">
      <alignment horizontal="right" vertical="center"/>
    </xf>
    <xf numFmtId="166" fontId="10" fillId="8" borderId="1" xfId="0" applyNumberFormat="1" applyFont="1" applyFill="1" applyBorder="1" applyAlignment="1">
      <alignment horizontal="right" vertical="center"/>
    </xf>
    <xf numFmtId="166" fontId="11" fillId="2" borderId="1" xfId="1" applyNumberFormat="1" applyFont="1" applyFill="1" applyBorder="1" applyAlignment="1">
      <alignment vertical="center"/>
    </xf>
    <xf numFmtId="166" fontId="12" fillId="2" borderId="1" xfId="1" applyNumberFormat="1" applyFont="1" applyFill="1" applyBorder="1" applyAlignment="1">
      <alignment vertical="center"/>
    </xf>
    <xf numFmtId="166" fontId="11" fillId="2" borderId="2" xfId="1" applyNumberFormat="1" applyFont="1" applyFill="1" applyBorder="1" applyAlignment="1">
      <alignment vertical="center"/>
    </xf>
    <xf numFmtId="166" fontId="11" fillId="2" borderId="2" xfId="1" applyNumberFormat="1" applyFont="1" applyFill="1" applyBorder="1" applyAlignment="1">
      <alignment horizontal="center" vertical="center"/>
    </xf>
    <xf numFmtId="166" fontId="5" fillId="2" borderId="0" xfId="1" applyNumberFormat="1" applyFont="1" applyFill="1" applyAlignment="1">
      <alignment vertical="center"/>
    </xf>
    <xf numFmtId="166" fontId="5" fillId="2" borderId="0" xfId="1" applyNumberFormat="1" applyFont="1" applyFill="1" applyAlignment="1">
      <alignment horizontal="center" vertical="center"/>
    </xf>
    <xf numFmtId="166" fontId="11" fillId="2" borderId="0" xfId="1" applyNumberFormat="1" applyFont="1" applyFill="1" applyAlignment="1">
      <alignment vertical="center"/>
    </xf>
    <xf numFmtId="166" fontId="11" fillId="2" borderId="0" xfId="1" applyNumberFormat="1" applyFont="1" applyFill="1" applyAlignment="1">
      <alignment horizontal="center" vertical="center"/>
    </xf>
    <xf numFmtId="166" fontId="5" fillId="2" borderId="0" xfId="1" applyNumberFormat="1" applyFont="1" applyFill="1" applyAlignment="1">
      <alignment horizontal="left" vertical="center" indent="1"/>
    </xf>
    <xf numFmtId="166" fontId="8" fillId="2" borderId="1" xfId="1" applyNumberFormat="1" applyFont="1" applyFill="1" applyBorder="1" applyAlignment="1">
      <alignment horizontal="right" vertical="center"/>
    </xf>
    <xf numFmtId="166" fontId="8" fillId="2" borderId="1" xfId="1" applyNumberFormat="1" applyFont="1" applyFill="1" applyBorder="1" applyAlignment="1">
      <alignment vertical="center"/>
    </xf>
    <xf numFmtId="166" fontId="9" fillId="2" borderId="1" xfId="1" applyNumberFormat="1" applyFont="1" applyFill="1" applyBorder="1" applyAlignment="1">
      <alignment horizontal="right" vertical="center"/>
    </xf>
    <xf numFmtId="166" fontId="6" fillId="2" borderId="3" xfId="1" applyNumberFormat="1" applyFont="1" applyFill="1" applyBorder="1" applyAlignment="1">
      <alignment horizontal="right" vertical="center"/>
    </xf>
    <xf numFmtId="166" fontId="5" fillId="2" borderId="10" xfId="1" applyNumberFormat="1" applyFont="1" applyFill="1" applyBorder="1" applyAlignment="1">
      <alignment vertical="center"/>
    </xf>
    <xf numFmtId="166" fontId="17" fillId="2" borderId="1" xfId="1" applyNumberFormat="1" applyFont="1" applyFill="1" applyBorder="1" applyAlignment="1">
      <alignment horizontal="right" vertical="center"/>
    </xf>
    <xf numFmtId="0" fontId="17" fillId="2" borderId="0" xfId="1" applyFont="1" applyFill="1" applyAlignment="1">
      <alignment vertical="center"/>
    </xf>
    <xf numFmtId="166" fontId="17" fillId="2" borderId="0" xfId="1" applyNumberFormat="1" applyFont="1" applyFill="1" applyAlignment="1">
      <alignment horizontal="center" vertical="center"/>
    </xf>
    <xf numFmtId="166" fontId="18" fillId="8" borderId="1" xfId="0" applyNumberFormat="1" applyFont="1" applyFill="1" applyBorder="1" applyAlignment="1">
      <alignment horizontal="right" vertical="center"/>
    </xf>
    <xf numFmtId="166" fontId="6" fillId="2" borderId="1" xfId="1" applyNumberFormat="1" applyFont="1" applyFill="1" applyBorder="1" applyAlignment="1">
      <alignment vertical="center"/>
    </xf>
    <xf numFmtId="166" fontId="10" fillId="2" borderId="1" xfId="1" applyNumberFormat="1" applyFont="1" applyFill="1" applyBorder="1" applyAlignment="1">
      <alignment horizontal="right" vertical="center"/>
    </xf>
    <xf numFmtId="166" fontId="12" fillId="2" borderId="1" xfId="1" applyNumberFormat="1" applyFont="1" applyFill="1" applyBorder="1" applyAlignment="1">
      <alignment horizontal="right" vertical="center"/>
    </xf>
    <xf numFmtId="166" fontId="10" fillId="2" borderId="10" xfId="1" applyNumberFormat="1" applyFont="1" applyFill="1" applyBorder="1" applyAlignment="1">
      <alignment vertical="center"/>
    </xf>
    <xf numFmtId="165" fontId="7" fillId="2" borderId="1" xfId="1" applyNumberFormat="1" applyFont="1" applyFill="1" applyBorder="1" applyAlignment="1">
      <alignment vertical="center"/>
    </xf>
    <xf numFmtId="0" fontId="5" fillId="2" borderId="10" xfId="1" applyFont="1" applyFill="1" applyBorder="1" applyAlignment="1">
      <alignment horizontal="center" vertical="center"/>
    </xf>
    <xf numFmtId="166" fontId="11" fillId="3" borderId="2" xfId="1" applyNumberFormat="1" applyFont="1" applyFill="1" applyBorder="1" applyAlignment="1">
      <alignment vertical="center"/>
    </xf>
    <xf numFmtId="166" fontId="11" fillId="3" borderId="2" xfId="1" applyNumberFormat="1" applyFont="1" applyFill="1" applyBorder="1" applyAlignment="1">
      <alignment horizontal="center" vertical="center"/>
    </xf>
    <xf numFmtId="166" fontId="11" fillId="3" borderId="3" xfId="1" applyNumberFormat="1" applyFont="1" applyFill="1" applyBorder="1" applyAlignment="1">
      <alignment vertical="center"/>
    </xf>
    <xf numFmtId="166" fontId="11" fillId="2" borderId="4" xfId="0" applyNumberFormat="1" applyFont="1" applyFill="1" applyBorder="1" applyAlignment="1">
      <alignment vertical="center"/>
    </xf>
    <xf numFmtId="166" fontId="11" fillId="2" borderId="4" xfId="0" applyNumberFormat="1" applyFont="1" applyFill="1" applyBorder="1" applyAlignment="1" applyProtection="1">
      <alignment horizontal="center" vertical="center"/>
      <protection locked="0"/>
    </xf>
    <xf numFmtId="166" fontId="5" fillId="2" borderId="0" xfId="0" applyNumberFormat="1" applyFont="1" applyFill="1" applyAlignment="1" applyProtection="1">
      <alignment horizontal="center" vertical="center"/>
      <protection locked="0"/>
    </xf>
    <xf numFmtId="166" fontId="5" fillId="2" borderId="6" xfId="0" applyNumberFormat="1" applyFont="1" applyFill="1" applyBorder="1" applyAlignment="1" applyProtection="1">
      <alignment horizontal="center" vertical="center"/>
      <protection locked="0"/>
    </xf>
    <xf numFmtId="166" fontId="5" fillId="2" borderId="6" xfId="0" applyNumberFormat="1" applyFont="1" applyFill="1" applyBorder="1" applyAlignment="1">
      <alignment horizontal="left" vertical="center" indent="1"/>
    </xf>
    <xf numFmtId="0" fontId="5" fillId="2" borderId="23" xfId="1" applyFont="1" applyFill="1" applyBorder="1" applyAlignment="1">
      <alignment vertical="center"/>
    </xf>
    <xf numFmtId="0" fontId="5" fillId="2" borderId="23" xfId="1" applyFont="1" applyFill="1" applyBorder="1" applyAlignment="1">
      <alignment horizontal="center" vertical="center"/>
    </xf>
    <xf numFmtId="0" fontId="5" fillId="2" borderId="24" xfId="1" applyFont="1" applyFill="1" applyBorder="1" applyAlignment="1">
      <alignment vertical="center"/>
    </xf>
    <xf numFmtId="166" fontId="11" fillId="2" borderId="5" xfId="1" applyNumberFormat="1" applyFont="1" applyFill="1" applyBorder="1" applyAlignment="1">
      <alignment vertical="center"/>
    </xf>
    <xf numFmtId="166" fontId="10" fillId="2" borderId="7" xfId="1" applyNumberFormat="1" applyFont="1" applyFill="1" applyBorder="1" applyAlignment="1">
      <alignment vertical="center"/>
    </xf>
    <xf numFmtId="166" fontId="11" fillId="16" borderId="3" xfId="1" applyNumberFormat="1" applyFont="1" applyFill="1" applyBorder="1" applyAlignment="1">
      <alignment vertical="center"/>
    </xf>
    <xf numFmtId="166" fontId="11" fillId="8" borderId="5" xfId="1" applyNumberFormat="1" applyFont="1" applyFill="1" applyBorder="1" applyAlignment="1">
      <alignment vertical="center"/>
    </xf>
    <xf numFmtId="166" fontId="10" fillId="8" borderId="10" xfId="0" applyNumberFormat="1" applyFont="1" applyFill="1" applyBorder="1" applyAlignment="1" applyProtection="1">
      <alignment vertical="center"/>
      <protection locked="0"/>
    </xf>
    <xf numFmtId="166" fontId="10" fillId="8" borderId="11" xfId="0" applyNumberFormat="1" applyFont="1" applyFill="1" applyBorder="1" applyAlignment="1" applyProtection="1">
      <alignment vertical="center"/>
      <protection locked="0"/>
    </xf>
    <xf numFmtId="166" fontId="11" fillId="2" borderId="0" xfId="0" applyNumberFormat="1" applyFont="1" applyFill="1" applyAlignment="1" applyProtection="1">
      <alignment horizontal="center" vertical="center"/>
      <protection locked="0"/>
    </xf>
    <xf numFmtId="166" fontId="11" fillId="2" borderId="25" xfId="1" applyNumberFormat="1" applyFont="1" applyFill="1" applyBorder="1" applyAlignment="1">
      <alignment vertical="center"/>
    </xf>
    <xf numFmtId="166" fontId="11" fillId="3" borderId="26" xfId="1" applyNumberFormat="1" applyFont="1" applyFill="1" applyBorder="1" applyAlignment="1">
      <alignment vertical="center"/>
    </xf>
    <xf numFmtId="166" fontId="10" fillId="9" borderId="29" xfId="1" applyNumberFormat="1" applyFont="1" applyFill="1" applyBorder="1" applyAlignment="1">
      <alignment vertical="center"/>
    </xf>
    <xf numFmtId="166" fontId="10" fillId="9" borderId="28" xfId="1" applyNumberFormat="1" applyFont="1" applyFill="1" applyBorder="1" applyAlignment="1">
      <alignment vertical="center"/>
    </xf>
    <xf numFmtId="166" fontId="7" fillId="9" borderId="27" xfId="1" applyNumberFormat="1" applyFont="1" applyFill="1" applyBorder="1" applyAlignment="1">
      <alignment vertical="center"/>
    </xf>
    <xf numFmtId="166" fontId="10" fillId="9" borderId="30" xfId="1" applyNumberFormat="1" applyFont="1" applyFill="1" applyBorder="1" applyAlignment="1">
      <alignment vertical="center"/>
    </xf>
    <xf numFmtId="166" fontId="10" fillId="7" borderId="1" xfId="1" applyNumberFormat="1" applyFont="1" applyFill="1" applyBorder="1" applyAlignment="1">
      <alignment horizontal="right" vertical="center" wrapText="1"/>
    </xf>
    <xf numFmtId="0" fontId="11" fillId="2" borderId="0" xfId="1" applyFont="1" applyFill="1" applyAlignment="1">
      <alignment horizontal="center" vertical="center"/>
    </xf>
    <xf numFmtId="0" fontId="11" fillId="2" borderId="0" xfId="1" applyFont="1" applyFill="1" applyAlignment="1">
      <alignment vertical="center"/>
    </xf>
    <xf numFmtId="166" fontId="5" fillId="2" borderId="0" xfId="0" applyNumberFormat="1" applyFont="1" applyFill="1"/>
    <xf numFmtId="166" fontId="11" fillId="2" borderId="0" xfId="0" applyNumberFormat="1" applyFont="1" applyFill="1" applyAlignment="1">
      <alignment vertical="center"/>
    </xf>
    <xf numFmtId="166" fontId="5" fillId="2" borderId="0" xfId="0" applyNumberFormat="1" applyFont="1" applyFill="1" applyAlignment="1">
      <alignment horizontal="left" vertical="center"/>
    </xf>
    <xf numFmtId="168" fontId="6" fillId="2" borderId="0" xfId="1" applyNumberFormat="1" applyFont="1" applyFill="1" applyAlignment="1">
      <alignment horizontal="left" vertical="center"/>
    </xf>
    <xf numFmtId="166" fontId="7" fillId="2" borderId="0" xfId="1" applyNumberFormat="1" applyFont="1" applyFill="1" applyAlignment="1">
      <alignment vertical="center"/>
    </xf>
    <xf numFmtId="166" fontId="7" fillId="2" borderId="0" xfId="1" applyNumberFormat="1" applyFont="1" applyFill="1" applyAlignment="1">
      <alignment horizontal="center" vertical="center"/>
    </xf>
    <xf numFmtId="164" fontId="5" fillId="2" borderId="0" xfId="0" applyNumberFormat="1" applyFont="1" applyFill="1" applyAlignment="1">
      <alignment vertical="center"/>
    </xf>
    <xf numFmtId="164" fontId="11" fillId="2" borderId="0" xfId="0" applyNumberFormat="1" applyFont="1" applyFill="1" applyAlignment="1">
      <alignment vertical="center"/>
    </xf>
    <xf numFmtId="164" fontId="11" fillId="2" borderId="0" xfId="0" applyNumberFormat="1" applyFont="1" applyFill="1" applyAlignment="1" applyProtection="1">
      <alignment horizontal="center" vertical="center"/>
      <protection locked="0"/>
    </xf>
    <xf numFmtId="164" fontId="5" fillId="2" borderId="0" xfId="0" applyNumberFormat="1" applyFont="1" applyFill="1" applyAlignment="1">
      <alignment horizontal="left" vertical="center"/>
    </xf>
    <xf numFmtId="164" fontId="11" fillId="2" borderId="6" xfId="0" applyNumberFormat="1" applyFont="1" applyFill="1" applyBorder="1" applyAlignment="1">
      <alignment horizontal="left" vertical="center"/>
    </xf>
    <xf numFmtId="164" fontId="11" fillId="2" borderId="6" xfId="0" applyNumberFormat="1" applyFont="1" applyFill="1" applyBorder="1" applyAlignment="1" applyProtection="1">
      <alignment horizontal="center" vertical="center"/>
      <protection locked="0"/>
    </xf>
    <xf numFmtId="164" fontId="5" fillId="2" borderId="0" xfId="0" applyNumberFormat="1" applyFont="1" applyFill="1" applyAlignment="1">
      <alignment horizontal="left" vertical="center" indent="1"/>
    </xf>
    <xf numFmtId="166" fontId="6" fillId="2" borderId="0" xfId="1" applyNumberFormat="1" applyFont="1" applyFill="1" applyAlignment="1">
      <alignment horizontal="center" vertical="center"/>
    </xf>
    <xf numFmtId="166" fontId="6" fillId="2" borderId="2" xfId="1" applyNumberFormat="1" applyFont="1" applyFill="1" applyBorder="1" applyAlignment="1">
      <alignment vertical="center"/>
    </xf>
    <xf numFmtId="166" fontId="6" fillId="2" borderId="2" xfId="1" applyNumberFormat="1" applyFont="1" applyFill="1" applyBorder="1" applyAlignment="1">
      <alignment horizontal="center" vertical="center"/>
    </xf>
    <xf numFmtId="168" fontId="7" fillId="2" borderId="0" xfId="1" applyNumberFormat="1" applyFont="1" applyFill="1" applyAlignment="1">
      <alignment horizontal="center"/>
    </xf>
    <xf numFmtId="0" fontId="11" fillId="8" borderId="3" xfId="1" applyFont="1" applyFill="1" applyBorder="1" applyAlignment="1">
      <alignment vertical="center"/>
    </xf>
    <xf numFmtId="0" fontId="6" fillId="2" borderId="2" xfId="0" applyFont="1" applyFill="1" applyBorder="1" applyAlignment="1" applyProtection="1">
      <alignment horizontal="center" vertical="center"/>
      <protection locked="0"/>
    </xf>
    <xf numFmtId="0" fontId="7" fillId="2" borderId="0" xfId="0" applyFont="1" applyFill="1" applyAlignment="1" applyProtection="1">
      <alignment horizontal="center" vertical="center"/>
      <protection locked="0"/>
    </xf>
    <xf numFmtId="166" fontId="11" fillId="2" borderId="0" xfId="1" applyNumberFormat="1" applyFont="1" applyFill="1" applyAlignment="1">
      <alignment horizontal="left" vertical="center" indent="1"/>
    </xf>
    <xf numFmtId="166" fontId="5" fillId="2" borderId="0" xfId="1" applyNumberFormat="1" applyFont="1" applyFill="1" applyAlignment="1">
      <alignment horizontal="left" vertical="center" indent="2"/>
    </xf>
    <xf numFmtId="166" fontId="12" fillId="7" borderId="1" xfId="1" applyNumberFormat="1" applyFont="1" applyFill="1" applyBorder="1" applyAlignment="1">
      <alignment vertical="center"/>
    </xf>
    <xf numFmtId="166" fontId="9" fillId="8" borderId="1" xfId="1" applyNumberFormat="1" applyFont="1" applyFill="1" applyBorder="1" applyAlignment="1">
      <alignment horizontal="right" vertical="center"/>
    </xf>
    <xf numFmtId="166" fontId="8" fillId="8" borderId="1" xfId="1" applyNumberFormat="1" applyFont="1" applyFill="1" applyBorder="1" applyAlignment="1">
      <alignment vertical="center"/>
    </xf>
    <xf numFmtId="168" fontId="7" fillId="2" borderId="0" xfId="1" applyNumberFormat="1" applyFont="1" applyFill="1" applyAlignment="1">
      <alignment horizontal="left" vertical="center"/>
    </xf>
    <xf numFmtId="168" fontId="7" fillId="2" borderId="0" xfId="1" applyNumberFormat="1" applyFont="1" applyFill="1" applyAlignment="1">
      <alignment horizontal="center" vertical="center"/>
    </xf>
    <xf numFmtId="166" fontId="7" fillId="2" borderId="0" xfId="1" applyNumberFormat="1" applyFont="1" applyFill="1" applyAlignment="1">
      <alignment horizontal="left" vertical="center"/>
    </xf>
    <xf numFmtId="166" fontId="7" fillId="2" borderId="0" xfId="1" applyNumberFormat="1" applyFont="1" applyFill="1" applyAlignment="1">
      <alignment horizontal="left" vertical="center" indent="1"/>
    </xf>
    <xf numFmtId="166" fontId="7" fillId="2" borderId="0" xfId="1" applyNumberFormat="1" applyFont="1" applyFill="1" applyAlignment="1">
      <alignment horizontal="left" vertical="center" indent="2"/>
    </xf>
    <xf numFmtId="166" fontId="5" fillId="2" borderId="0" xfId="0" applyNumberFormat="1" applyFont="1" applyFill="1" applyAlignment="1">
      <alignment horizontal="left" vertical="center" indent="2"/>
    </xf>
    <xf numFmtId="166" fontId="7" fillId="8" borderId="1" xfId="3" applyNumberFormat="1" applyFont="1" applyFill="1" applyBorder="1" applyAlignment="1">
      <alignment vertical="center"/>
    </xf>
    <xf numFmtId="166" fontId="7" fillId="2" borderId="1" xfId="3" applyNumberFormat="1" applyFont="1" applyFill="1" applyBorder="1" applyAlignment="1">
      <alignment vertical="center"/>
    </xf>
    <xf numFmtId="166" fontId="6" fillId="8" borderId="3" xfId="3" applyNumberFormat="1" applyFont="1" applyFill="1" applyBorder="1" applyAlignment="1">
      <alignment vertical="center"/>
    </xf>
    <xf numFmtId="166" fontId="6" fillId="2" borderId="3" xfId="3" applyNumberFormat="1" applyFont="1" applyFill="1" applyBorder="1" applyAlignment="1">
      <alignment vertical="center"/>
    </xf>
    <xf numFmtId="165" fontId="7" fillId="8" borderId="1" xfId="3" applyNumberFormat="1" applyFont="1" applyFill="1" applyBorder="1" applyAlignment="1">
      <alignment vertical="center"/>
    </xf>
    <xf numFmtId="165" fontId="7" fillId="2" borderId="1" xfId="3" applyNumberFormat="1" applyFont="1" applyFill="1" applyBorder="1" applyAlignment="1">
      <alignment vertical="center"/>
    </xf>
    <xf numFmtId="165" fontId="7" fillId="2" borderId="1" xfId="3" applyNumberFormat="1" applyFont="1" applyFill="1" applyBorder="1" applyAlignment="1">
      <alignment horizontal="right" vertical="center"/>
    </xf>
    <xf numFmtId="0" fontId="7" fillId="2" borderId="0" xfId="3" applyFont="1" applyFill="1" applyAlignment="1">
      <alignment vertical="center"/>
    </xf>
    <xf numFmtId="0" fontId="6" fillId="2" borderId="0" xfId="0" applyFont="1" applyFill="1" applyAlignment="1" applyProtection="1">
      <alignment horizontal="center" vertical="center"/>
      <protection locked="0"/>
    </xf>
    <xf numFmtId="0" fontId="6" fillId="2" borderId="1" xfId="3" applyFont="1" applyFill="1" applyBorder="1" applyAlignment="1">
      <alignment vertical="center"/>
    </xf>
    <xf numFmtId="0" fontId="7" fillId="2" borderId="0" xfId="3" applyFont="1" applyFill="1" applyAlignment="1">
      <alignment horizontal="left" vertical="center" indent="1"/>
    </xf>
    <xf numFmtId="166" fontId="6" fillId="2" borderId="1" xfId="3" applyNumberFormat="1" applyFont="1" applyFill="1" applyBorder="1" applyAlignment="1">
      <alignment vertical="center"/>
    </xf>
    <xf numFmtId="166" fontId="9" fillId="8" borderId="1" xfId="1" applyNumberFormat="1" applyFont="1" applyFill="1" applyBorder="1" applyAlignment="1">
      <alignment horizontal="right" vertical="center" wrapText="1"/>
    </xf>
    <xf numFmtId="165" fontId="9" fillId="2" borderId="1" xfId="1" applyNumberFormat="1" applyFont="1" applyFill="1" applyBorder="1" applyAlignment="1">
      <alignment horizontal="right" vertical="center" wrapText="1"/>
    </xf>
    <xf numFmtId="166" fontId="9" fillId="2" borderId="1" xfId="1" applyNumberFormat="1" applyFont="1" applyFill="1" applyBorder="1" applyAlignment="1">
      <alignment horizontal="right" vertical="center" wrapText="1"/>
    </xf>
    <xf numFmtId="166" fontId="8" fillId="2" borderId="1" xfId="1" applyNumberFormat="1" applyFont="1" applyFill="1" applyBorder="1" applyAlignment="1">
      <alignment horizontal="right" vertical="center" wrapText="1"/>
    </xf>
    <xf numFmtId="166" fontId="7" fillId="2" borderId="1" xfId="0" applyNumberFormat="1" applyFont="1" applyFill="1" applyBorder="1" applyAlignment="1" applyProtection="1">
      <alignment vertical="center"/>
      <protection locked="0"/>
    </xf>
    <xf numFmtId="165" fontId="9" fillId="8" borderId="1" xfId="1" applyNumberFormat="1" applyFont="1" applyFill="1" applyBorder="1" applyAlignment="1">
      <alignment horizontal="right" vertical="center" wrapText="1"/>
    </xf>
    <xf numFmtId="169" fontId="8" fillId="2" borderId="30" xfId="3" applyNumberFormat="1" applyFont="1" applyFill="1" applyBorder="1" applyAlignment="1">
      <alignment horizontal="right" vertical="center"/>
    </xf>
    <xf numFmtId="166" fontId="8" fillId="2" borderId="3" xfId="1" applyNumberFormat="1" applyFont="1" applyFill="1" applyBorder="1" applyAlignment="1">
      <alignment horizontal="right" vertical="center" wrapText="1"/>
    </xf>
    <xf numFmtId="166" fontId="12" fillId="2" borderId="5" xfId="0" applyNumberFormat="1" applyFont="1" applyFill="1" applyBorder="1" applyAlignment="1" applyProtection="1">
      <alignment vertical="center"/>
      <protection locked="0"/>
    </xf>
    <xf numFmtId="165" fontId="10" fillId="2" borderId="1" xfId="0" applyNumberFormat="1" applyFont="1" applyFill="1" applyBorder="1" applyAlignment="1" applyProtection="1">
      <alignment horizontal="right" vertical="center"/>
      <protection locked="0"/>
    </xf>
    <xf numFmtId="166" fontId="12" fillId="2" borderId="1" xfId="0" applyNumberFormat="1" applyFont="1" applyFill="1" applyBorder="1" applyAlignment="1" applyProtection="1">
      <alignment vertical="center"/>
      <protection locked="0"/>
    </xf>
    <xf numFmtId="166" fontId="6" fillId="8" borderId="7" xfId="1" applyNumberFormat="1" applyFont="1" applyFill="1" applyBorder="1" applyAlignment="1">
      <alignment vertical="center"/>
    </xf>
    <xf numFmtId="166" fontId="12" fillId="2" borderId="7" xfId="0" applyNumberFormat="1" applyFont="1" applyFill="1" applyBorder="1" applyAlignment="1" applyProtection="1">
      <alignment vertical="center"/>
      <protection locked="0"/>
    </xf>
    <xf numFmtId="166" fontId="6" fillId="17" borderId="3" xfId="1" applyNumberFormat="1" applyFont="1" applyFill="1" applyBorder="1" applyAlignment="1">
      <alignment vertical="center"/>
    </xf>
    <xf numFmtId="166" fontId="6" fillId="17" borderId="1" xfId="1" applyNumberFormat="1" applyFont="1" applyFill="1" applyBorder="1" applyAlignment="1">
      <alignment vertical="center"/>
    </xf>
    <xf numFmtId="166" fontId="7" fillId="17" borderId="1" xfId="1" applyNumberFormat="1" applyFont="1" applyFill="1" applyBorder="1" applyAlignment="1">
      <alignment vertical="center"/>
    </xf>
    <xf numFmtId="0" fontId="5" fillId="8" borderId="8" xfId="1" applyFont="1" applyFill="1" applyBorder="1" applyAlignment="1">
      <alignment vertical="center"/>
    </xf>
    <xf numFmtId="165" fontId="5" fillId="8" borderId="7" xfId="1" applyNumberFormat="1" applyFont="1" applyFill="1" applyBorder="1" applyAlignment="1">
      <alignment horizontal="right" vertical="center"/>
    </xf>
    <xf numFmtId="166" fontId="10" fillId="7" borderId="10" xfId="1" applyNumberFormat="1" applyFont="1" applyFill="1" applyBorder="1" applyAlignment="1">
      <alignment vertical="center"/>
    </xf>
    <xf numFmtId="0" fontId="16" fillId="2" borderId="0" xfId="0" applyFont="1" applyFill="1"/>
    <xf numFmtId="0" fontId="31" fillId="2" borderId="0" xfId="0" applyFont="1" applyFill="1" applyAlignment="1">
      <alignment horizontal="left" indent="1"/>
    </xf>
    <xf numFmtId="166" fontId="32" fillId="21" borderId="0" xfId="0" applyNumberFormat="1" applyFont="1" applyFill="1" applyAlignment="1">
      <alignment horizontal="right"/>
    </xf>
    <xf numFmtId="166" fontId="32" fillId="5" borderId="0" xfId="0" applyNumberFormat="1" applyFont="1" applyFill="1" applyAlignment="1">
      <alignment horizontal="right"/>
    </xf>
    <xf numFmtId="171" fontId="34" fillId="4" borderId="31" xfId="4" applyFont="1" applyFill="1" applyBorder="1" applyAlignment="1">
      <alignment vertical="center"/>
    </xf>
    <xf numFmtId="9" fontId="23" fillId="22" borderId="42" xfId="4" applyNumberFormat="1" applyFont="1" applyFill="1" applyBorder="1" applyAlignment="1">
      <alignment horizontal="center" vertical="center"/>
    </xf>
    <xf numFmtId="9" fontId="23" fillId="22" borderId="46" xfId="4" applyNumberFormat="1" applyFont="1" applyFill="1" applyBorder="1" applyAlignment="1">
      <alignment horizontal="center" vertical="center"/>
    </xf>
    <xf numFmtId="171" fontId="27" fillId="0" borderId="47" xfId="4" applyFont="1" applyBorder="1" applyAlignment="1">
      <alignment vertical="center"/>
    </xf>
    <xf numFmtId="165" fontId="32" fillId="18" borderId="43" xfId="4" applyNumberFormat="1" applyFont="1" applyFill="1" applyBorder="1" applyAlignment="1">
      <alignment horizontal="left" vertical="center"/>
    </xf>
    <xf numFmtId="165" fontId="32" fillId="18" borderId="53" xfId="4" applyNumberFormat="1" applyFont="1" applyFill="1" applyBorder="1" applyAlignment="1">
      <alignment horizontal="left" vertical="center"/>
    </xf>
    <xf numFmtId="0" fontId="31" fillId="2" borderId="0" xfId="0" applyFont="1" applyFill="1"/>
    <xf numFmtId="0" fontId="31" fillId="4" borderId="0" xfId="0" applyFont="1" applyFill="1" applyAlignment="1">
      <alignment vertical="center"/>
    </xf>
    <xf numFmtId="0" fontId="37" fillId="4" borderId="0" xfId="0" applyFont="1" applyFill="1" applyAlignment="1">
      <alignment horizontal="center" vertical="center"/>
    </xf>
    <xf numFmtId="0" fontId="37" fillId="4" borderId="0" xfId="0" applyFont="1" applyFill="1" applyAlignment="1">
      <alignment horizontal="right" vertical="center"/>
    </xf>
    <xf numFmtId="0" fontId="33" fillId="2" borderId="0" xfId="0" applyFont="1" applyFill="1"/>
    <xf numFmtId="0" fontId="26" fillId="2" borderId="0" xfId="0" applyFont="1" applyFill="1" applyAlignment="1">
      <alignment horizontal="center"/>
    </xf>
    <xf numFmtId="174" fontId="33" fillId="2" borderId="0" xfId="0" applyNumberFormat="1" applyFont="1" applyFill="1" applyAlignment="1">
      <alignment vertical="center"/>
    </xf>
    <xf numFmtId="0" fontId="27" fillId="2" borderId="0" xfId="0" applyFont="1" applyFill="1" applyAlignment="1">
      <alignment horizontal="center"/>
    </xf>
    <xf numFmtId="174" fontId="31" fillId="2" borderId="0" xfId="0" applyNumberFormat="1" applyFont="1" applyFill="1" applyAlignment="1">
      <alignment vertical="center"/>
    </xf>
    <xf numFmtId="174" fontId="31" fillId="19" borderId="0" xfId="0" applyNumberFormat="1" applyFont="1" applyFill="1" applyAlignment="1">
      <alignment vertical="center"/>
    </xf>
    <xf numFmtId="165" fontId="31" fillId="2" borderId="0" xfId="0" applyNumberFormat="1" applyFont="1" applyFill="1"/>
    <xf numFmtId="165" fontId="31" fillId="2" borderId="0" xfId="6" applyNumberFormat="1" applyFont="1" applyFill="1" applyAlignment="1">
      <alignment vertical="center"/>
    </xf>
    <xf numFmtId="165" fontId="31" fillId="19" borderId="0" xfId="6" applyNumberFormat="1" applyFont="1" applyFill="1" applyAlignment="1">
      <alignment vertical="center"/>
    </xf>
    <xf numFmtId="165" fontId="31" fillId="2" borderId="0" xfId="6" applyNumberFormat="1" applyFont="1" applyFill="1" applyAlignment="1">
      <alignment horizontal="right" vertical="center"/>
    </xf>
    <xf numFmtId="165" fontId="31" fillId="19" borderId="0" xfId="6" applyNumberFormat="1" applyFont="1" applyFill="1" applyAlignment="1">
      <alignment horizontal="right" vertical="center"/>
    </xf>
    <xf numFmtId="165" fontId="31" fillId="2" borderId="0" xfId="0" applyNumberFormat="1" applyFont="1" applyFill="1" applyAlignment="1">
      <alignment vertical="center"/>
    </xf>
    <xf numFmtId="172" fontId="32" fillId="20" borderId="0" xfId="0" applyNumberFormat="1" applyFont="1" applyFill="1"/>
    <xf numFmtId="172" fontId="31" fillId="2" borderId="0" xfId="0" applyNumberFormat="1" applyFont="1" applyFill="1"/>
    <xf numFmtId="172" fontId="31" fillId="19" borderId="0" xfId="0" applyNumberFormat="1" applyFont="1" applyFill="1"/>
    <xf numFmtId="166" fontId="31" fillId="2" borderId="0" xfId="0" applyNumberFormat="1" applyFont="1" applyFill="1"/>
    <xf numFmtId="166" fontId="31" fillId="19" borderId="0" xfId="0" applyNumberFormat="1" applyFont="1" applyFill="1"/>
    <xf numFmtId="0" fontId="33" fillId="2" borderId="2" xfId="0" applyFont="1" applyFill="1" applyBorder="1" applyAlignment="1">
      <alignment vertical="center"/>
    </xf>
    <xf numFmtId="0" fontId="33" fillId="2" borderId="2" xfId="0" applyFont="1" applyFill="1" applyBorder="1" applyAlignment="1">
      <alignment horizontal="center" vertical="center"/>
    </xf>
    <xf numFmtId="166" fontId="33" fillId="2" borderId="2" xfId="0" applyNumberFormat="1" applyFont="1" applyFill="1" applyBorder="1"/>
    <xf numFmtId="166" fontId="33" fillId="19" borderId="2" xfId="0" applyNumberFormat="1" applyFont="1" applyFill="1" applyBorder="1"/>
    <xf numFmtId="176" fontId="33" fillId="2" borderId="2" xfId="0" applyNumberFormat="1" applyFont="1" applyFill="1" applyBorder="1" applyAlignment="1">
      <alignment horizontal="center" vertical="center"/>
    </xf>
    <xf numFmtId="0" fontId="43" fillId="2" borderId="0" xfId="0" applyFont="1" applyFill="1" applyAlignment="1">
      <alignment horizontal="left" vertical="center" indent="1"/>
    </xf>
    <xf numFmtId="0" fontId="43" fillId="2" borderId="0" xfId="0" applyFont="1" applyFill="1" applyAlignment="1">
      <alignment horizontal="center" vertical="center"/>
    </xf>
    <xf numFmtId="177" fontId="43" fillId="2" borderId="0" xfId="0" applyNumberFormat="1" applyFont="1" applyFill="1" applyAlignment="1">
      <alignment horizontal="right"/>
    </xf>
    <xf numFmtId="177" fontId="43" fillId="19" borderId="0" xfId="0" applyNumberFormat="1" applyFont="1" applyFill="1" applyAlignment="1">
      <alignment horizontal="right"/>
    </xf>
    <xf numFmtId="176" fontId="33" fillId="2" borderId="0" xfId="0" applyNumberFormat="1" applyFont="1" applyFill="1" applyAlignment="1">
      <alignment horizontal="center" vertical="center"/>
    </xf>
    <xf numFmtId="9" fontId="43" fillId="2" borderId="0" xfId="2" applyFont="1" applyFill="1" applyAlignment="1">
      <alignment horizontal="left" vertical="center" indent="1"/>
    </xf>
    <xf numFmtId="9" fontId="43" fillId="2" borderId="0" xfId="2" applyFont="1" applyFill="1" applyAlignment="1">
      <alignment horizontal="center" vertical="center"/>
    </xf>
    <xf numFmtId="9" fontId="43" fillId="2" borderId="0" xfId="2" applyFont="1" applyFill="1" applyAlignment="1">
      <alignment horizontal="right"/>
    </xf>
    <xf numFmtId="9" fontId="43" fillId="19" borderId="0" xfId="2" applyFont="1" applyFill="1" applyAlignment="1">
      <alignment horizontal="right"/>
    </xf>
    <xf numFmtId="9" fontId="16" fillId="2" borderId="0" xfId="2" applyFont="1" applyFill="1"/>
    <xf numFmtId="9" fontId="33" fillId="2" borderId="0" xfId="2" applyFont="1" applyFill="1" applyAlignment="1">
      <alignment horizontal="center" vertical="center"/>
    </xf>
    <xf numFmtId="0" fontId="27" fillId="2" borderId="4" xfId="0" applyFont="1" applyFill="1" applyBorder="1" applyAlignment="1">
      <alignment horizontal="center" vertical="center"/>
    </xf>
    <xf numFmtId="0" fontId="43" fillId="2" borderId="0" xfId="0" applyFont="1" applyFill="1" applyAlignment="1">
      <alignment horizontal="left" vertical="center" indent="2"/>
    </xf>
    <xf numFmtId="0" fontId="27" fillId="2" borderId="0" xfId="0" applyFont="1" applyFill="1" applyAlignment="1">
      <alignment horizontal="center" vertical="center"/>
    </xf>
    <xf numFmtId="0" fontId="43" fillId="2" borderId="0" xfId="0" applyFont="1" applyFill="1" applyAlignment="1">
      <alignment horizontal="left" vertical="center" indent="3"/>
    </xf>
    <xf numFmtId="0" fontId="43" fillId="2" borderId="6" xfId="0" applyFont="1" applyFill="1" applyBorder="1" applyAlignment="1">
      <alignment horizontal="center" vertical="center"/>
    </xf>
    <xf numFmtId="0" fontId="33" fillId="2" borderId="0" xfId="0" applyFont="1" applyFill="1" applyAlignment="1">
      <alignment horizontal="center" vertical="center"/>
    </xf>
    <xf numFmtId="0" fontId="27" fillId="2" borderId="4" xfId="0" applyFont="1" applyFill="1" applyBorder="1" applyAlignment="1">
      <alignment horizontal="left" vertical="center" indent="2"/>
    </xf>
    <xf numFmtId="0" fontId="27" fillId="2" borderId="0" xfId="0" applyFont="1" applyFill="1" applyAlignment="1">
      <alignment horizontal="left" vertical="center" indent="2"/>
    </xf>
    <xf numFmtId="0" fontId="43" fillId="2" borderId="6" xfId="0" applyFont="1" applyFill="1" applyBorder="1" applyAlignment="1">
      <alignment horizontal="left" vertical="center" indent="3"/>
    </xf>
    <xf numFmtId="172" fontId="33" fillId="2" borderId="0" xfId="0" applyNumberFormat="1" applyFont="1" applyFill="1" applyAlignment="1">
      <alignment horizontal="center" vertical="center"/>
    </xf>
    <xf numFmtId="176" fontId="31" fillId="2" borderId="0" xfId="0" applyNumberFormat="1" applyFont="1" applyFill="1" applyAlignment="1">
      <alignment vertical="center"/>
    </xf>
    <xf numFmtId="165" fontId="43" fillId="2" borderId="0" xfId="0" applyNumberFormat="1" applyFont="1" applyFill="1" applyAlignment="1">
      <alignment horizontal="right"/>
    </xf>
    <xf numFmtId="165" fontId="43" fillId="19" borderId="0" xfId="0" applyNumberFormat="1" applyFont="1" applyFill="1" applyAlignment="1">
      <alignment horizontal="right"/>
    </xf>
    <xf numFmtId="0" fontId="31" fillId="2" borderId="0" xfId="0" applyFont="1" applyFill="1" applyAlignment="1">
      <alignment horizontal="center" vertical="center"/>
    </xf>
    <xf numFmtId="178" fontId="43" fillId="2" borderId="0" xfId="0" applyNumberFormat="1" applyFont="1" applyFill="1" applyAlignment="1">
      <alignment horizontal="right"/>
    </xf>
    <xf numFmtId="178" fontId="43" fillId="19" borderId="0" xfId="0" applyNumberFormat="1" applyFont="1" applyFill="1" applyAlignment="1">
      <alignment horizontal="right"/>
    </xf>
    <xf numFmtId="0" fontId="37" fillId="2" borderId="0" xfId="0" applyFont="1" applyFill="1" applyAlignment="1">
      <alignment horizontal="right"/>
    </xf>
    <xf numFmtId="0" fontId="31" fillId="2" borderId="0" xfId="0" applyFont="1" applyFill="1" applyAlignment="1">
      <alignment horizontal="center"/>
    </xf>
    <xf numFmtId="166" fontId="38" fillId="21" borderId="38" xfId="0" applyNumberFormat="1" applyFont="1" applyFill="1" applyBorder="1" applyAlignment="1">
      <alignment horizontal="right"/>
    </xf>
    <xf numFmtId="166" fontId="38" fillId="5" borderId="0" xfId="0" applyNumberFormat="1" applyFont="1" applyFill="1" applyAlignment="1">
      <alignment horizontal="right"/>
    </xf>
    <xf numFmtId="165" fontId="31" fillId="19" borderId="0" xfId="0" applyNumberFormat="1" applyFont="1" applyFill="1" applyAlignment="1">
      <alignment horizontal="right"/>
    </xf>
    <xf numFmtId="165" fontId="31" fillId="2" borderId="0" xfId="0" applyNumberFormat="1" applyFont="1" applyFill="1" applyAlignment="1">
      <alignment horizontal="right"/>
    </xf>
    <xf numFmtId="166" fontId="33" fillId="2" borderId="0" xfId="0" applyNumberFormat="1" applyFont="1" applyFill="1" applyAlignment="1">
      <alignment horizontal="right"/>
    </xf>
    <xf numFmtId="166" fontId="33" fillId="19" borderId="0" xfId="0" applyNumberFormat="1" applyFont="1" applyFill="1" applyAlignment="1">
      <alignment horizontal="right"/>
    </xf>
    <xf numFmtId="175" fontId="33" fillId="19" borderId="0" xfId="0" applyNumberFormat="1" applyFont="1" applyFill="1" applyAlignment="1">
      <alignment horizontal="right"/>
    </xf>
    <xf numFmtId="175" fontId="33" fillId="2" borderId="0" xfId="0" applyNumberFormat="1" applyFont="1" applyFill="1" applyAlignment="1">
      <alignment horizontal="right"/>
    </xf>
    <xf numFmtId="166" fontId="33" fillId="2" borderId="2" xfId="0" applyNumberFormat="1" applyFont="1" applyFill="1" applyBorder="1" applyAlignment="1">
      <alignment horizontal="right"/>
    </xf>
    <xf numFmtId="166" fontId="33" fillId="19" borderId="2" xfId="0" applyNumberFormat="1" applyFont="1" applyFill="1" applyBorder="1" applyAlignment="1">
      <alignment horizontal="right"/>
    </xf>
    <xf numFmtId="175" fontId="31" fillId="19" borderId="0" xfId="0" applyNumberFormat="1" applyFont="1" applyFill="1" applyAlignment="1">
      <alignment horizontal="center" vertical="center"/>
    </xf>
    <xf numFmtId="165" fontId="31" fillId="19" borderId="0" xfId="0" applyNumberFormat="1" applyFont="1" applyFill="1" applyAlignment="1">
      <alignment horizontal="center" vertical="center"/>
    </xf>
    <xf numFmtId="175" fontId="31" fillId="2" borderId="0" xfId="0" applyNumberFormat="1" applyFont="1" applyFill="1" applyAlignment="1">
      <alignment horizontal="center" vertical="center"/>
    </xf>
    <xf numFmtId="0" fontId="31" fillId="19" borderId="0" xfId="0" applyFont="1" applyFill="1"/>
    <xf numFmtId="165" fontId="31" fillId="19" borderId="0" xfId="0" applyNumberFormat="1" applyFont="1" applyFill="1"/>
    <xf numFmtId="184" fontId="44" fillId="2" borderId="0" xfId="0" applyNumberFormat="1" applyFont="1" applyFill="1"/>
    <xf numFmtId="0" fontId="31" fillId="2" borderId="0" xfId="0" applyFont="1" applyFill="1" applyAlignment="1">
      <alignment vertical="center"/>
    </xf>
    <xf numFmtId="9" fontId="31" fillId="2" borderId="0" xfId="2" applyFont="1" applyFill="1"/>
    <xf numFmtId="173" fontId="29" fillId="2" borderId="0" xfId="0" applyNumberFormat="1" applyFont="1" applyFill="1" applyAlignment="1">
      <alignment horizontal="center" vertical="center"/>
    </xf>
    <xf numFmtId="166" fontId="16" fillId="2" borderId="0" xfId="0" applyNumberFormat="1" applyFont="1" applyFill="1"/>
    <xf numFmtId="172" fontId="32" fillId="5" borderId="0" xfId="0" applyNumberFormat="1" applyFont="1" applyFill="1"/>
    <xf numFmtId="0" fontId="31" fillId="2" borderId="4" xfId="0" applyFont="1" applyFill="1" applyBorder="1"/>
    <xf numFmtId="0" fontId="27" fillId="2" borderId="4" xfId="0" applyFont="1" applyFill="1" applyBorder="1" applyAlignment="1">
      <alignment horizontal="center"/>
    </xf>
    <xf numFmtId="175" fontId="31" fillId="2" borderId="0" xfId="0" applyNumberFormat="1" applyFont="1" applyFill="1"/>
    <xf numFmtId="172" fontId="16" fillId="2" borderId="0" xfId="0" applyNumberFormat="1" applyFont="1" applyFill="1"/>
    <xf numFmtId="0" fontId="25" fillId="2" borderId="0" xfId="0" applyFont="1" applyFill="1"/>
    <xf numFmtId="166" fontId="31" fillId="2" borderId="0" xfId="0" applyNumberFormat="1" applyFont="1" applyFill="1" applyAlignment="1">
      <alignment horizontal="center"/>
    </xf>
    <xf numFmtId="166" fontId="32" fillId="2" borderId="0" xfId="0" applyNumberFormat="1" applyFont="1" applyFill="1"/>
    <xf numFmtId="9" fontId="31" fillId="2" borderId="0" xfId="0" applyNumberFormat="1" applyFont="1" applyFill="1"/>
    <xf numFmtId="177" fontId="31" fillId="2" borderId="0" xfId="5" applyNumberFormat="1" applyFont="1" applyFill="1"/>
    <xf numFmtId="171" fontId="27" fillId="2" borderId="35" xfId="4" applyFont="1" applyFill="1" applyBorder="1" applyAlignment="1">
      <alignment vertical="center"/>
    </xf>
    <xf numFmtId="180" fontId="27" fillId="2" borderId="34" xfId="7" applyNumberFormat="1" applyFont="1" applyFill="1" applyBorder="1" applyAlignment="1">
      <alignment vertical="center"/>
    </xf>
    <xf numFmtId="180" fontId="27" fillId="2" borderId="36" xfId="7" applyNumberFormat="1" applyFont="1" applyFill="1" applyBorder="1" applyAlignment="1">
      <alignment vertical="center"/>
    </xf>
    <xf numFmtId="170" fontId="31" fillId="2" borderId="0" xfId="5" applyNumberFormat="1" applyFont="1" applyFill="1"/>
    <xf numFmtId="170" fontId="31" fillId="2" borderId="0" xfId="5" applyNumberFormat="1" applyFont="1" applyFill="1" applyAlignment="1">
      <alignment horizontal="center"/>
    </xf>
    <xf numFmtId="166" fontId="31" fillId="2" borderId="0" xfId="5" applyNumberFormat="1" applyFont="1" applyFill="1"/>
    <xf numFmtId="0" fontId="33" fillId="2" borderId="2" xfId="0" applyFont="1" applyFill="1" applyBorder="1"/>
    <xf numFmtId="166" fontId="38" fillId="5" borderId="38" xfId="0" applyNumberFormat="1" applyFont="1" applyFill="1" applyBorder="1" applyAlignment="1">
      <alignment horizontal="right"/>
    </xf>
    <xf numFmtId="184" fontId="33" fillId="2" borderId="0" xfId="0" applyNumberFormat="1" applyFont="1" applyFill="1"/>
    <xf numFmtId="0" fontId="37" fillId="12" borderId="0" xfId="0" applyFont="1" applyFill="1" applyAlignment="1">
      <alignment horizontal="right" vertical="center"/>
    </xf>
    <xf numFmtId="172" fontId="27" fillId="26" borderId="4" xfId="0" applyNumberFormat="1" applyFont="1" applyFill="1" applyBorder="1" applyAlignment="1">
      <alignment horizontal="right"/>
    </xf>
    <xf numFmtId="177" fontId="43" fillId="26" borderId="0" xfId="0" applyNumberFormat="1" applyFont="1" applyFill="1" applyAlignment="1">
      <alignment horizontal="right"/>
    </xf>
    <xf numFmtId="177" fontId="43" fillId="26" borderId="6" xfId="0" applyNumberFormat="1" applyFont="1" applyFill="1" applyBorder="1" applyAlignment="1">
      <alignment horizontal="right"/>
    </xf>
    <xf numFmtId="166" fontId="27" fillId="2" borderId="4" xfId="0" applyNumberFormat="1" applyFont="1" applyFill="1" applyBorder="1" applyAlignment="1">
      <alignment horizontal="right"/>
    </xf>
    <xf numFmtId="166" fontId="27" fillId="19" borderId="4" xfId="0" applyNumberFormat="1" applyFont="1" applyFill="1" applyBorder="1" applyAlignment="1">
      <alignment horizontal="right"/>
    </xf>
    <xf numFmtId="165" fontId="43" fillId="2" borderId="6" xfId="0" applyNumberFormat="1" applyFont="1" applyFill="1" applyBorder="1" applyAlignment="1">
      <alignment horizontal="right"/>
    </xf>
    <xf numFmtId="165" fontId="43" fillId="19" borderId="6" xfId="0" applyNumberFormat="1" applyFont="1" applyFill="1" applyBorder="1" applyAlignment="1">
      <alignment horizontal="right"/>
    </xf>
    <xf numFmtId="166" fontId="27" fillId="2" borderId="0" xfId="0" applyNumberFormat="1" applyFont="1" applyFill="1" applyAlignment="1">
      <alignment horizontal="right"/>
    </xf>
    <xf numFmtId="166" fontId="27" fillId="19" borderId="0" xfId="0" applyNumberFormat="1" applyFont="1" applyFill="1" applyAlignment="1">
      <alignment horizontal="right"/>
    </xf>
    <xf numFmtId="166" fontId="7" fillId="2" borderId="7" xfId="1" applyNumberFormat="1" applyFont="1" applyFill="1" applyBorder="1" applyAlignment="1">
      <alignment vertical="center"/>
    </xf>
    <xf numFmtId="166" fontId="7" fillId="5" borderId="7" xfId="1" applyNumberFormat="1" applyFont="1" applyFill="1" applyBorder="1" applyAlignment="1">
      <alignment vertical="center"/>
    </xf>
    <xf numFmtId="166" fontId="7" fillId="5" borderId="9" xfId="1" applyNumberFormat="1" applyFont="1" applyFill="1" applyBorder="1" applyAlignment="1">
      <alignment vertical="center"/>
    </xf>
    <xf numFmtId="166" fontId="7" fillId="5" borderId="30" xfId="1" applyNumberFormat="1" applyFont="1" applyFill="1" applyBorder="1" applyAlignment="1">
      <alignment vertical="center"/>
    </xf>
    <xf numFmtId="166" fontId="7" fillId="5" borderId="10" xfId="1" applyNumberFormat="1" applyFont="1" applyFill="1" applyBorder="1" applyAlignment="1">
      <alignment vertical="center"/>
    </xf>
    <xf numFmtId="166" fontId="7" fillId="5" borderId="29" xfId="1" applyNumberFormat="1" applyFont="1" applyFill="1" applyBorder="1" applyAlignment="1">
      <alignment vertical="center"/>
    </xf>
    <xf numFmtId="166" fontId="7" fillId="5" borderId="11" xfId="1" applyNumberFormat="1" applyFont="1" applyFill="1" applyBorder="1" applyAlignment="1">
      <alignment vertical="center"/>
    </xf>
    <xf numFmtId="166" fontId="43" fillId="2" borderId="0" xfId="0" applyNumberFormat="1" applyFont="1" applyFill="1" applyAlignment="1">
      <alignment horizontal="right"/>
    </xf>
    <xf numFmtId="166" fontId="43" fillId="19" borderId="0" xfId="0" applyNumberFormat="1" applyFont="1" applyFill="1" applyAlignment="1">
      <alignment horizontal="right"/>
    </xf>
    <xf numFmtId="177" fontId="31" fillId="2" borderId="0" xfId="0" applyNumberFormat="1" applyFont="1" applyFill="1" applyAlignment="1">
      <alignment horizontal="right"/>
    </xf>
    <xf numFmtId="177" fontId="31" fillId="19" borderId="0" xfId="0" applyNumberFormat="1" applyFont="1" applyFill="1" applyAlignment="1">
      <alignment horizontal="right"/>
    </xf>
    <xf numFmtId="0" fontId="37" fillId="22" borderId="39" xfId="8" applyFont="1" applyFill="1" applyBorder="1" applyAlignment="1">
      <alignment horizontal="left" vertical="center"/>
    </xf>
    <xf numFmtId="0" fontId="25" fillId="2" borderId="0" xfId="0" applyFont="1" applyFill="1" applyAlignment="1">
      <alignment vertical="center"/>
    </xf>
    <xf numFmtId="166" fontId="6" fillId="8" borderId="1" xfId="1" applyNumberFormat="1" applyFont="1" applyFill="1" applyBorder="1" applyAlignment="1">
      <alignment vertical="center"/>
    </xf>
    <xf numFmtId="166" fontId="12" fillId="2" borderId="0" xfId="1" applyNumberFormat="1" applyFont="1" applyFill="1" applyAlignment="1">
      <alignment vertical="center"/>
    </xf>
    <xf numFmtId="166" fontId="38" fillId="23" borderId="43" xfId="4" applyNumberFormat="1" applyFont="1" applyFill="1" applyBorder="1" applyAlignment="1">
      <alignment horizontal="left" vertical="center"/>
    </xf>
    <xf numFmtId="0" fontId="37" fillId="12" borderId="41" xfId="8" applyFont="1" applyFill="1" applyBorder="1" applyAlignment="1">
      <alignment horizontal="center" vertical="center"/>
    </xf>
    <xf numFmtId="182" fontId="26" fillId="11" borderId="45" xfId="4" applyNumberFormat="1" applyFont="1" applyFill="1" applyBorder="1" applyAlignment="1">
      <alignment horizontal="center" vertical="center"/>
    </xf>
    <xf numFmtId="0" fontId="23" fillId="22" borderId="40" xfId="8" applyFont="1" applyFill="1" applyBorder="1" applyAlignment="1">
      <alignment horizontal="center" vertical="center"/>
    </xf>
    <xf numFmtId="181" fontId="26" fillId="24" borderId="40" xfId="7" applyNumberFormat="1" applyFont="1" applyFill="1" applyBorder="1" applyAlignment="1">
      <alignment horizontal="center" vertical="center"/>
    </xf>
    <xf numFmtId="165" fontId="32" fillId="2" borderId="38" xfId="4" applyNumberFormat="1" applyFont="1" applyFill="1" applyBorder="1" applyAlignment="1">
      <alignment horizontal="center" vertical="center"/>
    </xf>
    <xf numFmtId="165" fontId="27" fillId="2" borderId="2" xfId="4" applyNumberFormat="1" applyFont="1" applyFill="1" applyBorder="1" applyAlignment="1">
      <alignment horizontal="center" vertical="center"/>
    </xf>
    <xf numFmtId="0" fontId="39" fillId="2" borderId="2" xfId="8" applyFont="1" applyFill="1" applyBorder="1" applyAlignment="1">
      <alignment horizontal="center"/>
    </xf>
    <xf numFmtId="171" fontId="27" fillId="0" borderId="49" xfId="4" applyFont="1" applyBorder="1" applyAlignment="1">
      <alignment horizontal="center" vertical="center"/>
    </xf>
    <xf numFmtId="9" fontId="27" fillId="0" borderId="49" xfId="4" applyNumberFormat="1" applyFont="1" applyBorder="1" applyAlignment="1">
      <alignment horizontal="center" vertical="center"/>
    </xf>
    <xf numFmtId="166" fontId="32" fillId="2" borderId="0" xfId="7" applyNumberFormat="1" applyFont="1" applyFill="1" applyBorder="1" applyAlignment="1">
      <alignment horizontal="center" vertical="center"/>
    </xf>
    <xf numFmtId="166" fontId="32" fillId="2" borderId="50" xfId="7" applyNumberFormat="1" applyFont="1" applyFill="1" applyBorder="1" applyAlignment="1">
      <alignment horizontal="center" vertical="center"/>
    </xf>
    <xf numFmtId="166" fontId="32" fillId="2" borderId="51" xfId="7" applyNumberFormat="1" applyFont="1" applyFill="1" applyBorder="1" applyAlignment="1">
      <alignment horizontal="center"/>
    </xf>
    <xf numFmtId="165" fontId="32" fillId="2" borderId="51" xfId="7" applyNumberFormat="1" applyFont="1" applyFill="1" applyBorder="1" applyAlignment="1">
      <alignment horizontal="center" vertical="center"/>
    </xf>
    <xf numFmtId="166" fontId="32" fillId="2" borderId="51" xfId="7" applyNumberFormat="1" applyFont="1" applyFill="1" applyBorder="1" applyAlignment="1">
      <alignment horizontal="center" vertical="center"/>
    </xf>
    <xf numFmtId="166" fontId="32" fillId="2" borderId="52" xfId="7" applyNumberFormat="1" applyFont="1" applyFill="1" applyBorder="1" applyAlignment="1">
      <alignment horizontal="center"/>
    </xf>
    <xf numFmtId="165" fontId="32" fillId="2" borderId="52" xfId="7" applyNumberFormat="1" applyFont="1" applyFill="1" applyBorder="1" applyAlignment="1">
      <alignment horizontal="center" vertical="center"/>
    </xf>
    <xf numFmtId="166" fontId="38" fillId="25" borderId="0" xfId="7" applyNumberFormat="1" applyFont="1" applyFill="1" applyBorder="1" applyAlignment="1">
      <alignment horizontal="center" vertical="center"/>
    </xf>
    <xf numFmtId="166" fontId="38" fillId="25" borderId="51" xfId="7" applyNumberFormat="1" applyFont="1" applyFill="1" applyBorder="1" applyAlignment="1">
      <alignment horizontal="center" vertical="center"/>
    </xf>
    <xf numFmtId="166" fontId="38" fillId="25" borderId="52" xfId="7" applyNumberFormat="1" applyFont="1" applyFill="1" applyBorder="1" applyAlignment="1">
      <alignment horizontal="center"/>
    </xf>
    <xf numFmtId="165" fontId="38" fillId="25" borderId="52" xfId="7" applyNumberFormat="1" applyFont="1" applyFill="1" applyBorder="1" applyAlignment="1">
      <alignment horizontal="center" vertical="center"/>
    </xf>
    <xf numFmtId="166" fontId="32" fillId="2" borderId="23" xfId="7" applyNumberFormat="1" applyFont="1" applyFill="1" applyBorder="1" applyAlignment="1">
      <alignment horizontal="center" vertical="center"/>
    </xf>
    <xf numFmtId="166" fontId="32" fillId="2" borderId="54" xfId="7" applyNumberFormat="1" applyFont="1" applyFill="1" applyBorder="1" applyAlignment="1">
      <alignment horizontal="center" vertical="center"/>
    </xf>
    <xf numFmtId="166" fontId="32" fillId="2" borderId="55" xfId="7" applyNumberFormat="1" applyFont="1" applyFill="1" applyBorder="1" applyAlignment="1">
      <alignment horizontal="center"/>
    </xf>
    <xf numFmtId="165" fontId="32" fillId="2" borderId="55" xfId="7" applyNumberFormat="1" applyFont="1" applyFill="1" applyBorder="1" applyAlignment="1">
      <alignment horizontal="center" vertical="center"/>
    </xf>
    <xf numFmtId="184" fontId="33" fillId="2" borderId="0" xfId="0" applyNumberFormat="1" applyFont="1" applyFill="1" applyAlignment="1">
      <alignment horizontal="center"/>
    </xf>
    <xf numFmtId="181" fontId="26" fillId="24" borderId="44" xfId="7" applyNumberFormat="1" applyFont="1" applyFill="1" applyBorder="1" applyAlignment="1">
      <alignment horizontal="center" vertical="center"/>
    </xf>
    <xf numFmtId="4" fontId="24" fillId="2" borderId="0" xfId="0" applyNumberFormat="1" applyFont="1" applyFill="1" applyAlignment="1">
      <alignment vertical="center"/>
    </xf>
    <xf numFmtId="3" fontId="25" fillId="2" borderId="0" xfId="0" applyNumberFormat="1" applyFont="1" applyFill="1" applyAlignment="1">
      <alignment horizontal="center" vertical="center"/>
    </xf>
    <xf numFmtId="3" fontId="28" fillId="5" borderId="0" xfId="0" applyNumberFormat="1" applyFont="1" applyFill="1" applyAlignment="1">
      <alignment horizontal="center" vertical="center"/>
    </xf>
    <xf numFmtId="4" fontId="25" fillId="2" borderId="0" xfId="0" applyNumberFormat="1" applyFont="1" applyFill="1"/>
    <xf numFmtId="9" fontId="37" fillId="4" borderId="0" xfId="9" applyFont="1" applyFill="1" applyAlignment="1">
      <alignment horizontal="center" vertical="center"/>
    </xf>
    <xf numFmtId="165" fontId="31" fillId="2" borderId="0" xfId="0" applyNumberFormat="1" applyFont="1" applyFill="1" applyAlignment="1">
      <alignment horizontal="center" vertical="center"/>
    </xf>
    <xf numFmtId="170" fontId="31" fillId="2" borderId="0" xfId="6" applyNumberFormat="1" applyFont="1" applyFill="1" applyBorder="1" applyAlignment="1">
      <alignment horizontal="center" vertical="center"/>
    </xf>
    <xf numFmtId="176" fontId="38" fillId="27" borderId="56" xfId="4" applyNumberFormat="1" applyFont="1" applyFill="1" applyBorder="1" applyAlignment="1">
      <alignment horizontal="center"/>
    </xf>
    <xf numFmtId="172" fontId="31" fillId="2" borderId="0" xfId="6" applyNumberFormat="1" applyFont="1" applyFill="1" applyBorder="1" applyAlignment="1">
      <alignment horizontal="center" vertical="center"/>
    </xf>
    <xf numFmtId="172" fontId="31" fillId="2" borderId="0" xfId="0" applyNumberFormat="1" applyFont="1" applyFill="1" applyAlignment="1">
      <alignment horizontal="center"/>
    </xf>
    <xf numFmtId="165" fontId="31" fillId="2" borderId="23" xfId="0" applyNumberFormat="1" applyFont="1" applyFill="1" applyBorder="1" applyAlignment="1">
      <alignment horizontal="center" vertical="center"/>
    </xf>
    <xf numFmtId="172" fontId="31" fillId="2" borderId="23" xfId="0" applyNumberFormat="1" applyFont="1" applyFill="1" applyBorder="1" applyAlignment="1">
      <alignment horizontal="center"/>
    </xf>
    <xf numFmtId="170" fontId="31" fillId="2" borderId="23" xfId="6" applyNumberFormat="1" applyFont="1" applyFill="1" applyBorder="1" applyAlignment="1">
      <alignment horizontal="center" vertical="center"/>
    </xf>
    <xf numFmtId="0" fontId="37" fillId="12" borderId="0" xfId="0" applyFont="1" applyFill="1" applyAlignment="1">
      <alignment horizontal="center" vertical="center"/>
    </xf>
    <xf numFmtId="171" fontId="34" fillId="4" borderId="32" xfId="4" applyFont="1" applyFill="1" applyBorder="1" applyAlignment="1">
      <alignment vertical="center"/>
    </xf>
    <xf numFmtId="171" fontId="34" fillId="4" borderId="33" xfId="4" applyFont="1" applyFill="1" applyBorder="1" applyAlignment="1">
      <alignment vertical="center"/>
    </xf>
    <xf numFmtId="171" fontId="23" fillId="4" borderId="33" xfId="4" applyFont="1" applyFill="1" applyBorder="1" applyAlignment="1">
      <alignment horizontal="center" vertical="center"/>
    </xf>
    <xf numFmtId="166" fontId="5" fillId="2" borderId="1" xfId="1" applyNumberFormat="1" applyFont="1" applyFill="1" applyBorder="1" applyAlignment="1">
      <alignment horizontal="right" vertical="center" wrapText="1"/>
    </xf>
    <xf numFmtId="0" fontId="5" fillId="2" borderId="40" xfId="1" applyFont="1" applyFill="1" applyBorder="1" applyAlignment="1">
      <alignment vertical="center"/>
    </xf>
    <xf numFmtId="0" fontId="5" fillId="2" borderId="40" xfId="1" applyFont="1" applyFill="1" applyBorder="1" applyAlignment="1">
      <alignment horizontal="center" vertical="center"/>
    </xf>
    <xf numFmtId="0" fontId="5" fillId="2" borderId="57" xfId="1" applyFont="1" applyFill="1" applyBorder="1" applyAlignment="1">
      <alignment vertical="center"/>
    </xf>
    <xf numFmtId="0" fontId="5" fillId="2" borderId="58" xfId="1" applyFont="1" applyFill="1" applyBorder="1" applyAlignment="1">
      <alignment vertical="center"/>
    </xf>
    <xf numFmtId="0" fontId="5" fillId="2" borderId="0" xfId="1" applyFont="1" applyFill="1" applyAlignment="1">
      <alignment horizontal="left" vertical="center"/>
    </xf>
    <xf numFmtId="0" fontId="11" fillId="2" borderId="2" xfId="1" applyFont="1" applyFill="1" applyBorder="1" applyAlignment="1">
      <alignment horizontal="left" vertical="center"/>
    </xf>
    <xf numFmtId="165" fontId="5" fillId="8" borderId="3" xfId="1" applyNumberFormat="1" applyFont="1" applyFill="1" applyBorder="1" applyAlignment="1">
      <alignment horizontal="right" vertical="center" wrapText="1"/>
    </xf>
    <xf numFmtId="166" fontId="11" fillId="2" borderId="3" xfId="1" applyNumberFormat="1" applyFont="1" applyFill="1" applyBorder="1" applyAlignment="1">
      <alignment horizontal="right" vertical="center" wrapText="1"/>
    </xf>
    <xf numFmtId="166" fontId="11" fillId="2" borderId="2" xfId="1" applyNumberFormat="1" applyFont="1" applyFill="1" applyBorder="1" applyAlignment="1">
      <alignment horizontal="left" vertical="center"/>
    </xf>
    <xf numFmtId="166" fontId="5" fillId="8" borderId="3" xfId="1" applyNumberFormat="1" applyFont="1" applyFill="1" applyBorder="1" applyAlignment="1">
      <alignment horizontal="right" vertical="center" wrapText="1"/>
    </xf>
    <xf numFmtId="165" fontId="7" fillId="7" borderId="1" xfId="1" applyNumberFormat="1" applyFont="1" applyFill="1" applyBorder="1" applyAlignment="1">
      <alignment vertical="center"/>
    </xf>
    <xf numFmtId="172" fontId="30" fillId="2" borderId="0" xfId="0" applyNumberFormat="1" applyFont="1" applyFill="1" applyAlignment="1">
      <alignment horizontal="right"/>
    </xf>
    <xf numFmtId="172" fontId="30" fillId="21" borderId="0" xfId="0" applyNumberFormat="1" applyFont="1" applyFill="1" applyAlignment="1">
      <alignment horizontal="right"/>
    </xf>
    <xf numFmtId="172" fontId="31" fillId="2" borderId="0" xfId="0" applyNumberFormat="1" applyFont="1" applyFill="1" applyAlignment="1">
      <alignment horizontal="center" vertical="center"/>
    </xf>
    <xf numFmtId="183" fontId="27" fillId="2" borderId="48" xfId="4" applyNumberFormat="1" applyFont="1" applyFill="1" applyBorder="1" applyAlignment="1">
      <alignment horizontal="right" vertical="center"/>
    </xf>
    <xf numFmtId="0" fontId="33" fillId="2" borderId="59" xfId="0" applyFont="1" applyFill="1" applyBorder="1" applyAlignment="1">
      <alignment vertical="center"/>
    </xf>
    <xf numFmtId="170" fontId="40" fillId="7" borderId="60" xfId="5" applyNumberFormat="1" applyFont="1" applyFill="1" applyBorder="1" applyAlignment="1">
      <alignment vertical="center"/>
    </xf>
    <xf numFmtId="0" fontId="25" fillId="2" borderId="0" xfId="0" applyFont="1" applyFill="1" applyAlignment="1">
      <alignment horizontal="center" vertical="center"/>
    </xf>
    <xf numFmtId="9" fontId="25" fillId="2" borderId="0" xfId="6" applyFont="1" applyFill="1" applyBorder="1" applyAlignment="1">
      <alignment horizontal="center" vertical="center"/>
    </xf>
    <xf numFmtId="9" fontId="25" fillId="2" borderId="0" xfId="0" applyNumberFormat="1" applyFont="1" applyFill="1" applyAlignment="1">
      <alignment horizontal="center" vertical="center"/>
    </xf>
    <xf numFmtId="9" fontId="41" fillId="2" borderId="0" xfId="0" applyNumberFormat="1" applyFont="1" applyFill="1" applyAlignment="1">
      <alignment horizontal="center" vertical="center"/>
    </xf>
    <xf numFmtId="170" fontId="45" fillId="2" borderId="0" xfId="0" applyNumberFormat="1" applyFont="1" applyFill="1" applyAlignment="1">
      <alignment horizontal="center" vertical="center"/>
    </xf>
    <xf numFmtId="0" fontId="41" fillId="2" borderId="0" xfId="0" applyFont="1" applyFill="1" applyAlignment="1">
      <alignment horizontal="center" vertical="center"/>
    </xf>
    <xf numFmtId="170" fontId="42" fillId="5" borderId="0" xfId="0" applyNumberFormat="1" applyFont="1" applyFill="1" applyAlignment="1">
      <alignment horizontal="center" vertical="center"/>
    </xf>
    <xf numFmtId="0" fontId="47" fillId="2" borderId="0" xfId="0" applyFont="1" applyFill="1" applyAlignment="1">
      <alignment horizontal="center" vertical="center"/>
    </xf>
    <xf numFmtId="176" fontId="47" fillId="2" borderId="0" xfId="0" applyNumberFormat="1" applyFont="1" applyFill="1" applyAlignment="1">
      <alignment horizontal="center" vertical="center"/>
    </xf>
    <xf numFmtId="165" fontId="31" fillId="2" borderId="0" xfId="0" applyNumberFormat="1" applyFont="1" applyFill="1" applyAlignment="1">
      <alignment horizontal="center"/>
    </xf>
    <xf numFmtId="166" fontId="31" fillId="2" borderId="36" xfId="0" applyNumberFormat="1" applyFont="1" applyFill="1" applyBorder="1" applyAlignment="1">
      <alignment horizontal="center"/>
    </xf>
    <xf numFmtId="166" fontId="30" fillId="2" borderId="37" xfId="0" applyNumberFormat="1" applyFont="1" applyFill="1" applyBorder="1" applyAlignment="1">
      <alignment horizontal="right"/>
    </xf>
    <xf numFmtId="166" fontId="30" fillId="21" borderId="37" xfId="0" applyNumberFormat="1" applyFont="1" applyFill="1" applyBorder="1" applyAlignment="1">
      <alignment horizontal="right"/>
    </xf>
    <xf numFmtId="166" fontId="30" fillId="20" borderId="37" xfId="0" applyNumberFormat="1" applyFont="1" applyFill="1" applyBorder="1" applyAlignment="1">
      <alignment horizontal="right"/>
    </xf>
    <xf numFmtId="166" fontId="10" fillId="5" borderId="1" xfId="1" applyNumberFormat="1" applyFont="1" applyFill="1" applyBorder="1" applyAlignment="1">
      <alignment vertical="center"/>
    </xf>
    <xf numFmtId="166" fontId="12" fillId="8" borderId="1" xfId="1" applyNumberFormat="1" applyFont="1" applyFill="1" applyBorder="1" applyAlignment="1">
      <alignment vertical="center"/>
    </xf>
    <xf numFmtId="166" fontId="6" fillId="5" borderId="3" xfId="1" applyNumberFormat="1" applyFont="1" applyFill="1" applyBorder="1" applyAlignment="1">
      <alignment vertical="center"/>
    </xf>
    <xf numFmtId="4" fontId="5" fillId="2" borderId="1" xfId="1" applyNumberFormat="1" applyFont="1" applyFill="1" applyBorder="1" applyAlignment="1">
      <alignment vertical="center"/>
    </xf>
    <xf numFmtId="167" fontId="10" fillId="7" borderId="1" xfId="1" applyNumberFormat="1" applyFont="1" applyFill="1" applyBorder="1" applyAlignment="1">
      <alignment vertical="center"/>
    </xf>
    <xf numFmtId="167" fontId="10" fillId="5" borderId="1" xfId="1" applyNumberFormat="1" applyFont="1" applyFill="1" applyBorder="1" applyAlignment="1">
      <alignment vertical="center"/>
    </xf>
    <xf numFmtId="0" fontId="5" fillId="2" borderId="6" xfId="1" applyFont="1" applyFill="1" applyBorder="1" applyAlignment="1">
      <alignment vertical="center"/>
    </xf>
    <xf numFmtId="165" fontId="10" fillId="8" borderId="7" xfId="1" applyNumberFormat="1" applyFont="1" applyFill="1" applyBorder="1" applyAlignment="1">
      <alignment vertical="center"/>
    </xf>
    <xf numFmtId="165" fontId="10" fillId="2" borderId="7" xfId="1" applyNumberFormat="1" applyFont="1" applyFill="1" applyBorder="1" applyAlignment="1">
      <alignment vertical="center"/>
    </xf>
    <xf numFmtId="165" fontId="10" fillId="5" borderId="7" xfId="1" applyNumberFormat="1" applyFont="1" applyFill="1" applyBorder="1" applyAlignment="1">
      <alignment vertical="center"/>
    </xf>
    <xf numFmtId="170" fontId="7" fillId="2" borderId="7" xfId="1" applyNumberFormat="1" applyFont="1" applyFill="1" applyBorder="1" applyAlignment="1">
      <alignment vertical="center"/>
    </xf>
    <xf numFmtId="170" fontId="7" fillId="2" borderId="7" xfId="1" applyNumberFormat="1" applyFont="1" applyFill="1" applyBorder="1" applyAlignment="1">
      <alignment horizontal="right" vertical="center"/>
    </xf>
    <xf numFmtId="172" fontId="27" fillId="21" borderId="0" xfId="0" applyNumberFormat="1" applyFont="1" applyFill="1" applyAlignment="1">
      <alignment horizontal="right"/>
    </xf>
    <xf numFmtId="166" fontId="30" fillId="7" borderId="33" xfId="0" applyNumberFormat="1" applyFont="1" applyFill="1" applyBorder="1" applyAlignment="1">
      <alignment horizontal="center"/>
    </xf>
    <xf numFmtId="0" fontId="37" fillId="4" borderId="31" xfId="0" applyFont="1" applyFill="1" applyBorder="1" applyAlignment="1">
      <alignment horizontal="left"/>
    </xf>
    <xf numFmtId="0" fontId="37" fillId="4" borderId="35" xfId="0" applyFont="1" applyFill="1" applyBorder="1" applyAlignment="1">
      <alignment horizontal="left"/>
    </xf>
    <xf numFmtId="0" fontId="48" fillId="0" borderId="0" xfId="10" applyFont="1"/>
    <xf numFmtId="0" fontId="48" fillId="0" borderId="0" xfId="10" applyFont="1" applyAlignment="1">
      <alignment horizontal="left" vertical="center"/>
    </xf>
    <xf numFmtId="0" fontId="52" fillId="0" borderId="0" xfId="10" applyFont="1"/>
    <xf numFmtId="0" fontId="16" fillId="0" borderId="0" xfId="1" applyFont="1"/>
    <xf numFmtId="169" fontId="31" fillId="2" borderId="0" xfId="0" applyNumberFormat="1" applyFont="1" applyFill="1" applyAlignment="1">
      <alignment horizontal="center" vertical="center"/>
    </xf>
    <xf numFmtId="0" fontId="37" fillId="2" borderId="0" xfId="0" applyFont="1" applyFill="1" applyAlignment="1">
      <alignment horizontal="center" vertical="center"/>
    </xf>
    <xf numFmtId="169" fontId="40" fillId="2" borderId="0" xfId="0" applyNumberFormat="1" applyFont="1" applyFill="1" applyAlignment="1">
      <alignment horizontal="center" vertical="center"/>
    </xf>
    <xf numFmtId="170" fontId="33" fillId="2" borderId="0" xfId="6" applyNumberFormat="1" applyFont="1" applyFill="1" applyBorder="1" applyAlignment="1">
      <alignment horizontal="center" vertical="center"/>
    </xf>
    <xf numFmtId="185" fontId="5" fillId="2" borderId="0" xfId="0" applyNumberFormat="1" applyFont="1" applyFill="1"/>
    <xf numFmtId="185" fontId="5" fillId="2" borderId="62" xfId="0" applyNumberFormat="1" applyFont="1" applyFill="1" applyBorder="1" applyAlignment="1">
      <alignment horizontal="center"/>
    </xf>
    <xf numFmtId="185" fontId="5" fillId="2" borderId="0" xfId="0" applyNumberFormat="1" applyFont="1" applyFill="1" applyAlignment="1">
      <alignment horizontal="center"/>
    </xf>
    <xf numFmtId="185" fontId="5" fillId="2" borderId="0" xfId="0" applyNumberFormat="1" applyFont="1" applyFill="1" applyAlignment="1">
      <alignment horizontal="center" vertical="center"/>
    </xf>
    <xf numFmtId="0" fontId="5" fillId="2" borderId="0" xfId="0" applyFont="1" applyFill="1"/>
    <xf numFmtId="185" fontId="5" fillId="2" borderId="63" xfId="0" applyNumberFormat="1" applyFont="1" applyFill="1" applyBorder="1" applyAlignment="1">
      <alignment horizontal="center"/>
    </xf>
    <xf numFmtId="9" fontId="55" fillId="28" borderId="64" xfId="0" applyNumberFormat="1" applyFont="1" applyFill="1" applyBorder="1" applyAlignment="1">
      <alignment horizontal="center" vertical="center"/>
    </xf>
    <xf numFmtId="0" fontId="7" fillId="2" borderId="65" xfId="0" applyFont="1" applyFill="1" applyBorder="1" applyAlignment="1">
      <alignment horizontal="left" vertical="center"/>
    </xf>
    <xf numFmtId="0" fontId="6" fillId="2" borderId="65" xfId="0" applyFont="1" applyFill="1" applyBorder="1" applyAlignment="1">
      <alignment horizontal="right" vertical="center"/>
    </xf>
    <xf numFmtId="0" fontId="6" fillId="2" borderId="65" xfId="0" applyFont="1" applyFill="1" applyBorder="1" applyAlignment="1">
      <alignment horizontal="right"/>
    </xf>
    <xf numFmtId="0" fontId="6" fillId="2" borderId="66" xfId="0" applyFont="1" applyFill="1" applyBorder="1" applyAlignment="1">
      <alignment horizontal="right"/>
    </xf>
    <xf numFmtId="185" fontId="5" fillId="2" borderId="67" xfId="0" applyNumberFormat="1" applyFont="1" applyFill="1" applyBorder="1" applyAlignment="1">
      <alignment horizontal="center" vertical="center"/>
    </xf>
    <xf numFmtId="185" fontId="5" fillId="2" borderId="67" xfId="0" applyNumberFormat="1" applyFont="1" applyFill="1" applyBorder="1" applyAlignment="1">
      <alignment horizontal="center"/>
    </xf>
    <xf numFmtId="9" fontId="55" fillId="17" borderId="64" xfId="0" applyNumberFormat="1" applyFont="1" applyFill="1" applyBorder="1" applyAlignment="1">
      <alignment horizontal="center" vertical="center"/>
    </xf>
    <xf numFmtId="166" fontId="12" fillId="2" borderId="64" xfId="0" applyNumberFormat="1" applyFont="1" applyFill="1" applyBorder="1" applyAlignment="1">
      <alignment horizontal="center" vertical="center"/>
    </xf>
    <xf numFmtId="9" fontId="11" fillId="2" borderId="64" xfId="0" applyNumberFormat="1" applyFont="1" applyFill="1" applyBorder="1" applyAlignment="1">
      <alignment horizontal="left" vertical="center"/>
    </xf>
    <xf numFmtId="0" fontId="6" fillId="2" borderId="65" xfId="0" applyFont="1" applyFill="1" applyBorder="1" applyAlignment="1">
      <alignment horizontal="left" vertical="center"/>
    </xf>
    <xf numFmtId="0" fontId="16" fillId="0" borderId="0" xfId="1" applyFont="1" applyAlignment="1">
      <alignment vertical="center"/>
    </xf>
    <xf numFmtId="0" fontId="53" fillId="22" borderId="0" xfId="1" applyFont="1" applyFill="1" applyAlignment="1">
      <alignment vertical="center"/>
    </xf>
    <xf numFmtId="0" fontId="54" fillId="0" borderId="0" xfId="1" applyFont="1" applyAlignment="1">
      <alignment vertical="center"/>
    </xf>
    <xf numFmtId="0" fontId="16" fillId="2" borderId="0" xfId="1" applyFont="1" applyFill="1" applyAlignment="1">
      <alignment vertical="center"/>
    </xf>
    <xf numFmtId="0" fontId="54" fillId="2" borderId="0" xfId="1" applyFont="1" applyFill="1" applyAlignment="1">
      <alignment vertical="center"/>
    </xf>
    <xf numFmtId="0" fontId="16" fillId="2" borderId="61" xfId="1" applyFont="1" applyFill="1" applyBorder="1" applyAlignment="1">
      <alignment vertical="center"/>
    </xf>
    <xf numFmtId="0" fontId="7" fillId="2" borderId="0" xfId="1" applyFont="1" applyFill="1" applyAlignment="1">
      <alignment vertical="center"/>
    </xf>
    <xf numFmtId="166" fontId="14" fillId="2" borderId="1" xfId="3" applyNumberFormat="1" applyFont="1" applyFill="1" applyBorder="1" applyAlignment="1">
      <alignment vertical="center"/>
    </xf>
    <xf numFmtId="166" fontId="7" fillId="2" borderId="4" xfId="1" applyNumberFormat="1" applyFont="1" applyFill="1" applyBorder="1" applyAlignment="1">
      <alignment horizontal="center" vertical="center"/>
    </xf>
    <xf numFmtId="166" fontId="7" fillId="2" borderId="6" xfId="1" applyNumberFormat="1" applyFont="1" applyFill="1" applyBorder="1" applyAlignment="1">
      <alignment horizontal="center" vertical="center"/>
    </xf>
    <xf numFmtId="166" fontId="5" fillId="2" borderId="4" xfId="1" applyNumberFormat="1" applyFont="1" applyFill="1" applyBorder="1" applyAlignment="1">
      <alignment horizontal="left" vertical="center" indent="2"/>
    </xf>
    <xf numFmtId="166" fontId="5" fillId="2" borderId="0" xfId="1" applyNumberFormat="1" applyFont="1" applyFill="1" applyAlignment="1">
      <alignment horizontal="left" vertical="center" indent="3"/>
    </xf>
    <xf numFmtId="166" fontId="7" fillId="17" borderId="5" xfId="1" applyNumberFormat="1" applyFont="1" applyFill="1" applyBorder="1" applyAlignment="1">
      <alignment vertical="center"/>
    </xf>
    <xf numFmtId="166" fontId="5" fillId="2" borderId="6" xfId="1" applyNumberFormat="1" applyFont="1" applyFill="1" applyBorder="1" applyAlignment="1">
      <alignment horizontal="left" vertical="center" indent="3"/>
    </xf>
    <xf numFmtId="166" fontId="7" fillId="17" borderId="7" xfId="1" applyNumberFormat="1" applyFont="1" applyFill="1" applyBorder="1" applyAlignment="1">
      <alignment vertical="center"/>
    </xf>
    <xf numFmtId="0" fontId="11" fillId="10" borderId="2" xfId="1" applyFont="1" applyFill="1" applyBorder="1" applyAlignment="1">
      <alignment vertical="center"/>
    </xf>
    <xf numFmtId="0" fontId="11" fillId="10" borderId="2" xfId="1" applyFont="1" applyFill="1" applyBorder="1" applyAlignment="1">
      <alignment horizontal="center" vertical="center"/>
    </xf>
    <xf numFmtId="0" fontId="11" fillId="29" borderId="3" xfId="1" applyFont="1" applyFill="1" applyBorder="1" applyAlignment="1">
      <alignment vertical="center"/>
    </xf>
    <xf numFmtId="169" fontId="9" fillId="2" borderId="30" xfId="3" applyNumberFormat="1" applyFont="1" applyFill="1" applyBorder="1" applyAlignment="1">
      <alignment horizontal="right" vertical="center"/>
    </xf>
    <xf numFmtId="165" fontId="11" fillId="10" borderId="3" xfId="1" applyNumberFormat="1" applyFont="1" applyFill="1" applyBorder="1" applyAlignment="1">
      <alignment vertical="center"/>
    </xf>
    <xf numFmtId="9" fontId="37" fillId="2" borderId="0" xfId="9" applyFont="1" applyFill="1" applyBorder="1" applyAlignment="1">
      <alignment horizontal="center" vertical="center"/>
    </xf>
    <xf numFmtId="165" fontId="9" fillId="7" borderId="1" xfId="1" applyNumberFormat="1" applyFont="1" applyFill="1" applyBorder="1" applyAlignment="1">
      <alignment horizontal="right" vertical="center"/>
    </xf>
    <xf numFmtId="166" fontId="9" fillId="7" borderId="1" xfId="0" applyNumberFormat="1" applyFont="1" applyFill="1" applyBorder="1" applyAlignment="1">
      <alignment horizontal="right" vertical="center"/>
    </xf>
    <xf numFmtId="166" fontId="9" fillId="5" borderId="1" xfId="0" applyNumberFormat="1" applyFont="1" applyFill="1" applyBorder="1" applyAlignment="1">
      <alignment horizontal="right" vertical="center"/>
    </xf>
    <xf numFmtId="166" fontId="9" fillId="2" borderId="1" xfId="1" applyNumberFormat="1" applyFont="1" applyFill="1" applyBorder="1" applyAlignment="1">
      <alignment vertical="center"/>
    </xf>
    <xf numFmtId="166" fontId="8" fillId="7" borderId="1" xfId="0" applyNumberFormat="1" applyFont="1" applyFill="1" applyBorder="1" applyAlignment="1">
      <alignment horizontal="right" vertical="center"/>
    </xf>
    <xf numFmtId="166" fontId="8" fillId="7" borderId="5" xfId="0" applyNumberFormat="1" applyFont="1" applyFill="1" applyBorder="1" applyAlignment="1" applyProtection="1">
      <alignment vertical="center"/>
      <protection locked="0"/>
    </xf>
    <xf numFmtId="165" fontId="9" fillId="2" borderId="1" xfId="0" applyNumberFormat="1" applyFont="1" applyFill="1" applyBorder="1" applyAlignment="1" applyProtection="1">
      <alignment vertical="center"/>
      <protection locked="0"/>
    </xf>
    <xf numFmtId="165" fontId="9" fillId="2" borderId="1" xfId="0" applyNumberFormat="1" applyFont="1" applyFill="1" applyBorder="1" applyAlignment="1" applyProtection="1">
      <alignment horizontal="right" vertical="center"/>
      <protection locked="0"/>
    </xf>
    <xf numFmtId="166" fontId="9" fillId="2" borderId="1" xfId="0" applyNumberFormat="1" applyFont="1" applyFill="1" applyBorder="1" applyAlignment="1" applyProtection="1">
      <alignment vertical="center"/>
      <protection locked="0"/>
    </xf>
    <xf numFmtId="166" fontId="8" fillId="7" borderId="1" xfId="0" applyNumberFormat="1" applyFont="1" applyFill="1" applyBorder="1" applyAlignment="1" applyProtection="1">
      <alignment vertical="center"/>
      <protection locked="0"/>
    </xf>
    <xf numFmtId="166" fontId="8" fillId="7" borderId="7" xfId="0" applyNumberFormat="1" applyFont="1" applyFill="1" applyBorder="1" applyAlignment="1" applyProtection="1">
      <alignment vertical="center"/>
      <protection locked="0"/>
    </xf>
    <xf numFmtId="165" fontId="9" fillId="7" borderId="1" xfId="1" applyNumberFormat="1" applyFont="1" applyFill="1" applyBorder="1" applyAlignment="1">
      <alignment vertical="center"/>
    </xf>
    <xf numFmtId="174" fontId="33" fillId="19" borderId="0" xfId="0" applyNumberFormat="1" applyFont="1" applyFill="1" applyAlignment="1">
      <alignment horizontal="center" vertical="center"/>
    </xf>
    <xf numFmtId="177" fontId="31" fillId="19" borderId="0" xfId="0" applyNumberFormat="1" applyFont="1" applyFill="1"/>
    <xf numFmtId="0" fontId="56" fillId="2" borderId="0" xfId="0" applyFont="1" applyFill="1" applyAlignment="1">
      <alignment vertical="center"/>
    </xf>
    <xf numFmtId="0" fontId="0" fillId="2" borderId="0" xfId="0" applyFill="1" applyAlignment="1">
      <alignment vertical="center"/>
    </xf>
    <xf numFmtId="165" fontId="40" fillId="30" borderId="68" xfId="4" applyNumberFormat="1" applyFont="1" applyFill="1" applyBorder="1" applyAlignment="1">
      <alignment horizontal="left" vertical="center"/>
    </xf>
    <xf numFmtId="10" fontId="5" fillId="2" borderId="0" xfId="2" applyNumberFormat="1" applyFont="1" applyFill="1" applyAlignment="1">
      <alignment horizontal="center"/>
    </xf>
    <xf numFmtId="165" fontId="5" fillId="2" borderId="12" xfId="1" applyNumberFormat="1" applyFont="1" applyFill="1" applyBorder="1" applyAlignment="1">
      <alignment vertical="center"/>
    </xf>
    <xf numFmtId="187" fontId="5" fillId="2" borderId="1" xfId="1" applyNumberFormat="1" applyFont="1" applyFill="1" applyBorder="1" applyAlignment="1">
      <alignment vertical="center"/>
    </xf>
    <xf numFmtId="186" fontId="10" fillId="7" borderId="1" xfId="1" applyNumberFormat="1" applyFont="1" applyFill="1" applyBorder="1" applyAlignment="1">
      <alignment horizontal="right" vertical="center" wrapText="1"/>
    </xf>
    <xf numFmtId="186" fontId="6" fillId="2" borderId="3" xfId="1" applyNumberFormat="1" applyFont="1" applyFill="1" applyBorder="1" applyAlignment="1">
      <alignment horizontal="right" vertical="center"/>
    </xf>
    <xf numFmtId="9" fontId="5" fillId="2" borderId="1" xfId="2" applyFont="1" applyFill="1" applyBorder="1" applyAlignment="1">
      <alignment vertical="center"/>
    </xf>
    <xf numFmtId="170" fontId="5" fillId="2" borderId="1" xfId="2" applyNumberFormat="1" applyFont="1" applyFill="1" applyBorder="1" applyAlignment="1">
      <alignment vertical="center"/>
    </xf>
    <xf numFmtId="0" fontId="3" fillId="0" borderId="0" xfId="11"/>
    <xf numFmtId="3" fontId="59" fillId="15" borderId="0" xfId="11" applyNumberFormat="1" applyFont="1" applyFill="1"/>
    <xf numFmtId="10" fontId="60" fillId="0" borderId="36" xfId="11" applyNumberFormat="1" applyFont="1" applyBorder="1" applyAlignment="1">
      <alignment horizontal="center"/>
    </xf>
    <xf numFmtId="0" fontId="60" fillId="0" borderId="36" xfId="11" applyFont="1" applyBorder="1" applyAlignment="1">
      <alignment horizontal="center"/>
    </xf>
    <xf numFmtId="0" fontId="60" fillId="0" borderId="69" xfId="11" applyFont="1" applyBorder="1" applyAlignment="1">
      <alignment horizontal="center"/>
    </xf>
    <xf numFmtId="3" fontId="59" fillId="2" borderId="0" xfId="11" applyNumberFormat="1" applyFont="1" applyFill="1"/>
    <xf numFmtId="170" fontId="61" fillId="31" borderId="0" xfId="12" applyNumberFormat="1" applyFont="1" applyFill="1"/>
    <xf numFmtId="0" fontId="61" fillId="31" borderId="0" xfId="11" applyFont="1" applyFill="1"/>
    <xf numFmtId="0" fontId="3" fillId="0" borderId="0" xfId="11" quotePrefix="1"/>
    <xf numFmtId="0" fontId="3" fillId="2" borderId="0" xfId="11" applyFill="1"/>
    <xf numFmtId="170" fontId="0" fillId="0" borderId="0" xfId="12" applyNumberFormat="1" applyFont="1" applyFill="1"/>
    <xf numFmtId="0" fontId="62" fillId="0" borderId="0" xfId="11" applyFont="1"/>
    <xf numFmtId="0" fontId="63" fillId="0" borderId="0" xfId="11" applyFont="1" applyAlignment="1">
      <alignment horizontal="left" indent="1"/>
    </xf>
    <xf numFmtId="170" fontId="3" fillId="15" borderId="0" xfId="11" applyNumberFormat="1" applyFill="1"/>
    <xf numFmtId="170" fontId="64" fillId="0" borderId="0" xfId="12" applyNumberFormat="1" applyFont="1"/>
    <xf numFmtId="0" fontId="64" fillId="0" borderId="0" xfId="11" applyFont="1"/>
    <xf numFmtId="0" fontId="65" fillId="0" borderId="0" xfId="13"/>
    <xf numFmtId="2" fontId="3" fillId="15" borderId="0" xfId="11" applyNumberFormat="1" applyFill="1"/>
    <xf numFmtId="170" fontId="3" fillId="32" borderId="0" xfId="11" applyNumberFormat="1" applyFill="1"/>
    <xf numFmtId="0" fontId="62" fillId="32" borderId="0" xfId="11" applyFont="1" applyFill="1"/>
    <xf numFmtId="0" fontId="63" fillId="32" borderId="0" xfId="11" applyFont="1" applyFill="1" applyAlignment="1">
      <alignment horizontal="left" indent="1"/>
    </xf>
    <xf numFmtId="10" fontId="3" fillId="0" borderId="0" xfId="11" applyNumberFormat="1"/>
    <xf numFmtId="0" fontId="66" fillId="0" borderId="60" xfId="11" applyFont="1" applyBorder="1" applyAlignment="1">
      <alignment horizontal="center"/>
    </xf>
    <xf numFmtId="0" fontId="66" fillId="0" borderId="70" xfId="11" applyFont="1" applyBorder="1" applyAlignment="1">
      <alignment horizontal="center"/>
    </xf>
    <xf numFmtId="0" fontId="67" fillId="0" borderId="0" xfId="11" applyFont="1"/>
    <xf numFmtId="0" fontId="58" fillId="0" borderId="0" xfId="11" applyFont="1"/>
    <xf numFmtId="0" fontId="3" fillId="33" borderId="0" xfId="11" applyFill="1"/>
    <xf numFmtId="0" fontId="57" fillId="33" borderId="0" xfId="11" applyFont="1" applyFill="1"/>
    <xf numFmtId="0" fontId="3" fillId="0" borderId="34" xfId="11" applyBorder="1"/>
    <xf numFmtId="0" fontId="68" fillId="0" borderId="34" xfId="11" applyFont="1" applyBorder="1"/>
    <xf numFmtId="0" fontId="3" fillId="0" borderId="70" xfId="11" applyBorder="1" applyAlignment="1">
      <alignment horizontal="center"/>
    </xf>
    <xf numFmtId="1" fontId="3" fillId="0" borderId="70" xfId="11" applyNumberFormat="1" applyBorder="1" applyAlignment="1">
      <alignment horizontal="center"/>
    </xf>
    <xf numFmtId="37" fontId="3" fillId="0" borderId="0" xfId="11" applyNumberFormat="1"/>
    <xf numFmtId="9" fontId="3" fillId="0" borderId="0" xfId="11" applyNumberFormat="1"/>
    <xf numFmtId="0" fontId="70" fillId="0" borderId="70" xfId="0" applyFont="1" applyBorder="1" applyAlignment="1">
      <alignment horizontal="center" vertical="center" wrapText="1"/>
    </xf>
    <xf numFmtId="0" fontId="0" fillId="0" borderId="70" xfId="0" applyBorder="1" applyAlignment="1">
      <alignment horizontal="center" vertical="center" wrapText="1"/>
    </xf>
    <xf numFmtId="9" fontId="0" fillId="0" borderId="70" xfId="0" applyNumberFormat="1" applyBorder="1" applyAlignment="1">
      <alignment horizontal="center" vertical="center" wrapText="1"/>
    </xf>
    <xf numFmtId="0" fontId="69" fillId="0" borderId="0" xfId="11" applyFont="1"/>
    <xf numFmtId="0" fontId="71" fillId="34" borderId="70" xfId="11" applyFont="1" applyFill="1" applyBorder="1" applyAlignment="1">
      <alignment horizontal="center" vertical="center" wrapText="1"/>
    </xf>
    <xf numFmtId="0" fontId="72" fillId="34" borderId="0" xfId="11" applyFont="1" applyFill="1" applyAlignment="1">
      <alignment horizontal="left" vertical="top" wrapText="1"/>
    </xf>
    <xf numFmtId="0" fontId="71" fillId="35" borderId="0" xfId="11" applyFont="1" applyFill="1" applyAlignment="1">
      <alignment horizontal="left" vertical="top" wrapText="1"/>
    </xf>
    <xf numFmtId="165" fontId="5" fillId="2" borderId="0" xfId="1" applyNumberFormat="1" applyFont="1" applyFill="1" applyAlignment="1">
      <alignment vertical="center"/>
    </xf>
    <xf numFmtId="0" fontId="5" fillId="32" borderId="0" xfId="1" applyFont="1" applyFill="1" applyAlignment="1">
      <alignment vertical="center"/>
    </xf>
    <xf numFmtId="9" fontId="7" fillId="7" borderId="1" xfId="2" applyFont="1" applyFill="1" applyBorder="1" applyAlignment="1">
      <alignment vertical="center"/>
    </xf>
    <xf numFmtId="167" fontId="8" fillId="7" borderId="5" xfId="0" applyNumberFormat="1" applyFont="1" applyFill="1" applyBorder="1" applyAlignment="1" applyProtection="1">
      <alignment vertical="center"/>
      <protection locked="0"/>
    </xf>
    <xf numFmtId="170" fontId="5" fillId="2" borderId="0" xfId="1" applyNumberFormat="1" applyFont="1" applyFill="1" applyAlignment="1">
      <alignment vertical="center"/>
    </xf>
    <xf numFmtId="10" fontId="5" fillId="2" borderId="0" xfId="1" applyNumberFormat="1" applyFont="1" applyFill="1" applyAlignment="1">
      <alignment vertical="center"/>
    </xf>
    <xf numFmtId="9" fontId="5" fillId="2" borderId="0" xfId="2" applyFont="1" applyFill="1" applyAlignment="1">
      <alignment vertical="center"/>
    </xf>
    <xf numFmtId="10" fontId="5" fillId="2" borderId="0" xfId="2" applyNumberFormat="1" applyFont="1" applyFill="1" applyAlignment="1">
      <alignment vertical="center"/>
    </xf>
    <xf numFmtId="189" fontId="5" fillId="2" borderId="0" xfId="1" applyNumberFormat="1" applyFont="1" applyFill="1" applyAlignment="1">
      <alignment vertical="center"/>
    </xf>
    <xf numFmtId="167" fontId="30" fillId="7" borderId="36" xfId="5" applyNumberFormat="1" applyFont="1" applyFill="1" applyBorder="1" applyAlignment="1">
      <alignment horizontal="center" vertical="center"/>
    </xf>
    <xf numFmtId="0" fontId="0" fillId="0" borderId="71" xfId="0" applyBorder="1" applyAlignment="1">
      <alignment horizontal="left" vertical="top" wrapText="1"/>
    </xf>
    <xf numFmtId="10" fontId="0" fillId="0" borderId="71" xfId="0" applyNumberFormat="1" applyBorder="1" applyAlignment="1">
      <alignment horizontal="center" vertical="center" wrapText="1"/>
    </xf>
    <xf numFmtId="0" fontId="0" fillId="0" borderId="71" xfId="0" applyBorder="1" applyAlignment="1">
      <alignment horizontal="center" vertical="center" wrapText="1"/>
    </xf>
    <xf numFmtId="2" fontId="0" fillId="0" borderId="71" xfId="0" applyNumberFormat="1" applyBorder="1" applyAlignment="1">
      <alignment horizontal="center" vertical="center" wrapText="1"/>
    </xf>
    <xf numFmtId="170" fontId="0" fillId="0" borderId="71" xfId="0" applyNumberFormat="1" applyBorder="1" applyAlignment="1">
      <alignment horizontal="center" vertical="center" wrapText="1"/>
    </xf>
    <xf numFmtId="3" fontId="0" fillId="0" borderId="71" xfId="0" applyNumberFormat="1" applyBorder="1" applyAlignment="1">
      <alignment horizontal="center" vertical="center" wrapText="1"/>
    </xf>
    <xf numFmtId="0" fontId="75" fillId="0" borderId="0" xfId="15" applyFont="1"/>
    <xf numFmtId="190" fontId="75" fillId="0" borderId="0" xfId="15" applyNumberFormat="1" applyFont="1"/>
    <xf numFmtId="0" fontId="76" fillId="0" borderId="0" xfId="15" applyFont="1"/>
    <xf numFmtId="190" fontId="77" fillId="37" borderId="0" xfId="15" applyNumberFormat="1" applyFont="1" applyFill="1"/>
    <xf numFmtId="0" fontId="77" fillId="37" borderId="0" xfId="15" applyFont="1" applyFill="1" applyAlignment="1">
      <alignment horizontal="left" vertical="center"/>
    </xf>
    <xf numFmtId="190" fontId="75" fillId="0" borderId="0" xfId="15" applyNumberFormat="1" applyFont="1" applyAlignment="1">
      <alignment vertical="center"/>
    </xf>
    <xf numFmtId="0" fontId="75" fillId="0" borderId="0" xfId="15" applyFont="1" applyAlignment="1">
      <alignment horizontal="left" vertical="center" indent="1"/>
    </xf>
    <xf numFmtId="0" fontId="79" fillId="38" borderId="0" xfId="15" applyFont="1" applyFill="1" applyAlignment="1">
      <alignment horizontal="center" vertical="center"/>
    </xf>
    <xf numFmtId="0" fontId="79" fillId="38" borderId="0" xfId="15" applyFont="1" applyFill="1"/>
    <xf numFmtId="0" fontId="77" fillId="0" borderId="0" xfId="15" applyFont="1" applyAlignment="1">
      <alignment horizontal="left" vertical="center"/>
    </xf>
    <xf numFmtId="10" fontId="0" fillId="0" borderId="0" xfId="0" applyNumberFormat="1"/>
    <xf numFmtId="10" fontId="5" fillId="2" borderId="1" xfId="2" applyNumberFormat="1" applyFont="1" applyFill="1" applyBorder="1" applyAlignment="1">
      <alignment horizontal="right" vertical="center"/>
    </xf>
    <xf numFmtId="167" fontId="38" fillId="27" borderId="56" xfId="4" applyNumberFormat="1" applyFont="1" applyFill="1" applyBorder="1" applyAlignment="1">
      <alignment horizontal="center"/>
    </xf>
    <xf numFmtId="0" fontId="80" fillId="0" borderId="70" xfId="11" applyFont="1" applyBorder="1" applyAlignment="1">
      <alignment horizontal="center"/>
    </xf>
    <xf numFmtId="37" fontId="80" fillId="0" borderId="0" xfId="11" applyNumberFormat="1" applyFont="1"/>
    <xf numFmtId="9" fontId="80" fillId="0" borderId="0" xfId="2" applyFont="1"/>
    <xf numFmtId="37" fontId="46" fillId="0" borderId="0" xfId="0" applyNumberFormat="1" applyFont="1" applyAlignment="1">
      <alignment vertical="top"/>
    </xf>
    <xf numFmtId="0" fontId="71" fillId="36" borderId="71" xfId="0" applyFont="1" applyFill="1" applyBorder="1" applyAlignment="1">
      <alignment horizontal="center" vertical="center" wrapText="1"/>
    </xf>
    <xf numFmtId="1" fontId="3" fillId="0" borderId="0" xfId="11" applyNumberFormat="1"/>
    <xf numFmtId="10" fontId="0" fillId="0" borderId="0" xfId="2" applyNumberFormat="1" applyFont="1"/>
    <xf numFmtId="1" fontId="80" fillId="0" borderId="0" xfId="11" applyNumberFormat="1" applyFont="1"/>
    <xf numFmtId="1" fontId="3" fillId="32" borderId="0" xfId="11" applyNumberFormat="1" applyFill="1"/>
    <xf numFmtId="1" fontId="3" fillId="11" borderId="0" xfId="11" applyNumberFormat="1" applyFill="1"/>
    <xf numFmtId="0" fontId="0" fillId="0" borderId="0" xfId="0" applyAlignment="1">
      <alignment horizontal="center" vertical="center" wrapText="1"/>
    </xf>
    <xf numFmtId="0" fontId="70" fillId="0" borderId="0" xfId="0" applyFont="1" applyAlignment="1">
      <alignment horizontal="center" vertical="center" wrapText="1"/>
    </xf>
    <xf numFmtId="0" fontId="0" fillId="0" borderId="0" xfId="0" applyAlignment="1">
      <alignment vertical="center" wrapText="1"/>
    </xf>
    <xf numFmtId="0" fontId="70" fillId="0" borderId="0" xfId="0" applyFont="1" applyAlignment="1">
      <alignment vertical="center" wrapText="1"/>
    </xf>
    <xf numFmtId="188" fontId="0" fillId="0" borderId="0" xfId="0" applyNumberFormat="1"/>
    <xf numFmtId="9" fontId="0" fillId="0" borderId="0" xfId="2" applyFont="1"/>
    <xf numFmtId="191" fontId="5" fillId="2" borderId="0" xfId="2" applyNumberFormat="1" applyFont="1" applyFill="1" applyAlignment="1">
      <alignment horizontal="center"/>
    </xf>
    <xf numFmtId="166" fontId="3" fillId="0" borderId="0" xfId="11" applyNumberFormat="1"/>
    <xf numFmtId="188" fontId="3" fillId="0" borderId="0" xfId="11" applyNumberFormat="1"/>
    <xf numFmtId="4" fontId="80" fillId="32" borderId="70" xfId="11" applyNumberFormat="1" applyFont="1" applyFill="1" applyBorder="1" applyAlignment="1">
      <alignment horizontal="right" vertical="center"/>
    </xf>
    <xf numFmtId="10" fontId="80" fillId="0" borderId="0" xfId="2" applyNumberFormat="1" applyFont="1"/>
    <xf numFmtId="0" fontId="1" fillId="0" borderId="0" xfId="11" applyFont="1"/>
    <xf numFmtId="9" fontId="0" fillId="0" borderId="0" xfId="0" applyNumberFormat="1"/>
    <xf numFmtId="0" fontId="49" fillId="0" borderId="0" xfId="10" applyFont="1" applyAlignment="1">
      <alignment horizontal="left" vertical="center" wrapText="1" indent="1"/>
    </xf>
    <xf numFmtId="0" fontId="50" fillId="0" borderId="0" xfId="10" applyFont="1" applyAlignment="1">
      <alignment horizontal="left" vertical="center" wrapText="1" indent="1"/>
    </xf>
    <xf numFmtId="171" fontId="22" fillId="0" borderId="31" xfId="4" applyFont="1" applyBorder="1" applyAlignment="1">
      <alignment horizontal="center" vertical="center"/>
    </xf>
    <xf numFmtId="171" fontId="22" fillId="0" borderId="35" xfId="4" applyFont="1" applyBorder="1" applyAlignment="1">
      <alignment horizontal="center" vertical="center"/>
    </xf>
    <xf numFmtId="9" fontId="37" fillId="4" borderId="0" xfId="9" applyFont="1" applyFill="1" applyAlignment="1">
      <alignment horizontal="center" vertical="center"/>
    </xf>
    <xf numFmtId="0" fontId="73" fillId="0" borderId="0" xfId="0" applyFont="1" applyAlignment="1">
      <alignment horizontal="left" vertical="top" wrapText="1"/>
    </xf>
    <xf numFmtId="0" fontId="1" fillId="0" borderId="70" xfId="11" applyFont="1" applyBorder="1" applyAlignment="1">
      <alignment horizontal="center"/>
    </xf>
    <xf numFmtId="9" fontId="1" fillId="0" borderId="0" xfId="2" applyFont="1"/>
    <xf numFmtId="10" fontId="1" fillId="0" borderId="0" xfId="2" applyNumberFormat="1" applyFont="1"/>
    <xf numFmtId="0" fontId="1" fillId="0" borderId="70" xfId="11" applyFont="1" applyBorder="1" applyAlignment="1">
      <alignment horizontal="left" vertical="center"/>
    </xf>
    <xf numFmtId="4" fontId="1" fillId="0" borderId="70" xfId="11" applyNumberFormat="1" applyFont="1" applyBorder="1" applyAlignment="1">
      <alignment horizontal="right" vertical="center"/>
    </xf>
    <xf numFmtId="2" fontId="1" fillId="0" borderId="70" xfId="11" applyNumberFormat="1" applyFont="1" applyBorder="1" applyAlignment="1">
      <alignment horizontal="right" vertical="center"/>
    </xf>
    <xf numFmtId="0" fontId="1" fillId="0" borderId="70" xfId="11" applyFont="1" applyBorder="1" applyAlignment="1">
      <alignment horizontal="right" vertical="center"/>
    </xf>
    <xf numFmtId="10" fontId="1" fillId="0" borderId="70" xfId="2" applyNumberFormat="1" applyFont="1" applyBorder="1" applyAlignment="1">
      <alignment horizontal="right" vertical="center"/>
    </xf>
    <xf numFmtId="188" fontId="1" fillId="0" borderId="70" xfId="11" applyNumberFormat="1" applyFont="1" applyBorder="1" applyAlignment="1">
      <alignment horizontal="right" vertical="center"/>
    </xf>
    <xf numFmtId="0" fontId="1" fillId="32" borderId="70" xfId="11" applyFont="1" applyFill="1" applyBorder="1" applyAlignment="1">
      <alignment horizontal="left" vertical="center"/>
    </xf>
    <xf numFmtId="4" fontId="1" fillId="32" borderId="70" xfId="11" applyNumberFormat="1" applyFont="1" applyFill="1" applyBorder="1" applyAlignment="1">
      <alignment horizontal="right" vertical="center"/>
    </xf>
    <xf numFmtId="2" fontId="1" fillId="32" borderId="70" xfId="11" applyNumberFormat="1" applyFont="1" applyFill="1" applyBorder="1" applyAlignment="1">
      <alignment horizontal="right" vertical="center"/>
    </xf>
    <xf numFmtId="0" fontId="1" fillId="32" borderId="70" xfId="11" applyFont="1" applyFill="1" applyBorder="1" applyAlignment="1">
      <alignment horizontal="right" vertical="center"/>
    </xf>
    <xf numFmtId="10" fontId="1" fillId="32" borderId="70" xfId="2" applyNumberFormat="1" applyFont="1" applyFill="1" applyBorder="1" applyAlignment="1">
      <alignment horizontal="right" vertical="center"/>
    </xf>
    <xf numFmtId="188" fontId="1" fillId="32" borderId="70" xfId="11" applyNumberFormat="1" applyFont="1" applyFill="1" applyBorder="1" applyAlignment="1">
      <alignment horizontal="right" vertical="center"/>
    </xf>
    <xf numFmtId="188" fontId="1" fillId="0" borderId="70" xfId="14" applyNumberFormat="1" applyFont="1" applyBorder="1" applyAlignment="1">
      <alignment horizontal="right" vertical="center"/>
    </xf>
    <xf numFmtId="10" fontId="1" fillId="0" borderId="70" xfId="11" applyNumberFormat="1" applyFont="1" applyBorder="1" applyAlignment="1">
      <alignment horizontal="right" vertical="center"/>
    </xf>
    <xf numFmtId="9" fontId="1" fillId="0" borderId="70" xfId="2" applyFont="1" applyBorder="1" applyAlignment="1">
      <alignment horizontal="right" vertical="center"/>
    </xf>
    <xf numFmtId="44" fontId="1" fillId="0" borderId="70" xfId="14" applyFont="1" applyBorder="1" applyAlignment="1">
      <alignment horizontal="right" vertical="center"/>
    </xf>
    <xf numFmtId="188" fontId="1" fillId="32" borderId="70" xfId="14" applyNumberFormat="1" applyFont="1" applyFill="1" applyBorder="1" applyAlignment="1">
      <alignment horizontal="right" vertical="center"/>
    </xf>
    <xf numFmtId="10" fontId="1" fillId="32" borderId="70" xfId="11" applyNumberFormat="1" applyFont="1" applyFill="1" applyBorder="1" applyAlignment="1">
      <alignment horizontal="right" vertical="center"/>
    </xf>
    <xf numFmtId="9" fontId="1" fillId="32" borderId="70" xfId="2" applyFont="1" applyFill="1" applyBorder="1" applyAlignment="1">
      <alignment horizontal="right" vertical="center"/>
    </xf>
    <xf numFmtId="44" fontId="1" fillId="32" borderId="70" xfId="14" applyFont="1" applyFill="1" applyBorder="1" applyAlignment="1">
      <alignment horizontal="right" vertical="center"/>
    </xf>
    <xf numFmtId="0" fontId="1" fillId="0" borderId="0" xfId="11" applyFont="1" applyAlignment="1">
      <alignment horizontal="left" vertical="top" wrapText="1"/>
    </xf>
    <xf numFmtId="0" fontId="74" fillId="0" borderId="0" xfId="0" applyFont="1" applyAlignment="1"/>
    <xf numFmtId="0" fontId="0" fillId="0" borderId="0" xfId="0" applyAlignment="1"/>
  </cellXfs>
  <cellStyles count="16">
    <cellStyle name="Comma 13 3" xfId="7" xr:uid="{50256BB0-0FCD-45B3-B290-00D809079A71}"/>
    <cellStyle name="Comma 2" xfId="5" xr:uid="{A83C373A-D878-44C6-B020-D3EB34A74187}"/>
    <cellStyle name="Hiperlink" xfId="13" builtinId="8"/>
    <cellStyle name="Moeda" xfId="14" builtinId="4"/>
    <cellStyle name="Normal" xfId="0" builtinId="0"/>
    <cellStyle name="Normal - Style1" xfId="10" xr:uid="{A0AE0698-33F3-4672-B5E4-3CEA444FBDCE}"/>
    <cellStyle name="Normal 2" xfId="1" xr:uid="{BD1F3915-EFD2-4229-BF74-DE8EEFEAE29C}"/>
    <cellStyle name="Normal 3" xfId="11" xr:uid="{C6BDCB0D-29B0-4F4B-8377-C8F29F5EED2D}"/>
    <cellStyle name="Normal 4" xfId="15" xr:uid="{2AD852CC-7B80-43B6-948B-E5AD934B2A48}"/>
    <cellStyle name="Normal_Modelo SEB" xfId="8" xr:uid="{596EFA21-99EB-4EBD-929A-AFCAB5E62E5B}"/>
    <cellStyle name="Normal_Números de 2006 a 2007" xfId="3" xr:uid="{E1ABC6E6-8E15-45AD-8004-F20F79FFEAF7}"/>
    <cellStyle name="Normal_TCP-3Q03" xfId="4" xr:uid="{BC1EDF52-765A-4DB3-973A-FD0D55054135}"/>
    <cellStyle name="Percent 10 2" xfId="9" xr:uid="{6621AEE6-AEA3-4EC1-8B84-D94E6253343A}"/>
    <cellStyle name="Percent 2" xfId="6" xr:uid="{3772F700-5F84-4843-B0AD-27A3B2EC71C8}"/>
    <cellStyle name="Porcentagem" xfId="2" builtinId="5"/>
    <cellStyle name="Porcentagem 2" xfId="12" xr:uid="{FA01C350-BB56-48CD-B0D8-3C77E65616F5}"/>
  </cellStyles>
  <dxfs count="4">
    <dxf>
      <font>
        <b/>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spPr>
            <a:ln w="28575" cap="rnd">
              <a:solidFill>
                <a:schemeClr val="accent1"/>
              </a:solidFill>
              <a:round/>
            </a:ln>
            <a:effectLst/>
          </c:spPr>
          <c:marker>
            <c:symbol val="none"/>
          </c:marker>
          <c:cat>
            <c:strRef>
              <c:f>Model!$D$12:$X$12</c:f>
              <c:strCache>
                <c:ptCount val="21"/>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pt idx="15">
                  <c:v>2026E</c:v>
                </c:pt>
                <c:pt idx="16">
                  <c:v>2027E</c:v>
                </c:pt>
                <c:pt idx="17">
                  <c:v>2028E</c:v>
                </c:pt>
                <c:pt idx="18">
                  <c:v>2029E</c:v>
                </c:pt>
                <c:pt idx="19">
                  <c:v>2030E</c:v>
                </c:pt>
                <c:pt idx="20">
                  <c:v>2031E</c:v>
                </c:pt>
              </c:strCache>
            </c:strRef>
          </c:cat>
          <c:val>
            <c:numRef>
              <c:f>Model!$Z$59:$AS$59</c:f>
              <c:numCache>
                <c:formatCode>General</c:formatCode>
                <c:ptCount val="20"/>
                <c:pt idx="0">
                  <c:v>1.6356219980448339</c:v>
                </c:pt>
                <c:pt idx="1">
                  <c:v>1.6002371528157053</c:v>
                </c:pt>
                <c:pt idx="2">
                  <c:v>1.4663874997972124</c:v>
                </c:pt>
                <c:pt idx="3">
                  <c:v>1.3950558213716107</c:v>
                </c:pt>
                <c:pt idx="4">
                  <c:v>1.3678664921465966</c:v>
                </c:pt>
                <c:pt idx="5">
                  <c:v>1.4060991105463785</c:v>
                </c:pt>
                <c:pt idx="6">
                  <c:v>1.4163159779407253</c:v>
                </c:pt>
                <c:pt idx="7">
                  <c:v>1.3585901824438049</c:v>
                </c:pt>
                <c:pt idx="8">
                  <c:v>1.1986706993176879</c:v>
                </c:pt>
                <c:pt idx="9">
                  <c:v>1.3669805123713596</c:v>
                </c:pt>
                <c:pt idx="10">
                  <c:v>1.4920212765957446</c:v>
                </c:pt>
                <c:pt idx="11">
                  <c:v>1.6041536284613571</c:v>
                </c:pt>
                <c:pt idx="12">
                  <c:v>1.6506290002207018</c:v>
                </c:pt>
                <c:pt idx="13">
                  <c:v>1.7579315065372703</c:v>
                </c:pt>
                <c:pt idx="14">
                  <c:v>1.9256619912519919</c:v>
                </c:pt>
                <c:pt idx="15">
                  <c:v>2.2187103860318418</c:v>
                </c:pt>
                <c:pt idx="16">
                  <c:v>2.433573860136943</c:v>
                </c:pt>
                <c:pt idx="17">
                  <c:v>2.7339630661354088</c:v>
                </c:pt>
                <c:pt idx="18">
                  <c:v>3.1207021943417188</c:v>
                </c:pt>
                <c:pt idx="19">
                  <c:v>3.6312243130100557</c:v>
                </c:pt>
              </c:numCache>
            </c:numRef>
          </c:val>
          <c:smooth val="0"/>
          <c:extLst>
            <c:ext xmlns:c16="http://schemas.microsoft.com/office/drawing/2014/chart" uri="{C3380CC4-5D6E-409C-BE32-E72D297353CC}">
              <c16:uniqueId val="{00000000-3196-41B4-97E2-B54D339F5496}"/>
            </c:ext>
          </c:extLst>
        </c:ser>
        <c:dLbls>
          <c:showLegendKey val="0"/>
          <c:showVal val="0"/>
          <c:showCatName val="0"/>
          <c:showSerName val="0"/>
          <c:showPercent val="0"/>
          <c:showBubbleSize val="0"/>
        </c:dLbls>
        <c:smooth val="0"/>
        <c:axId val="25884991"/>
        <c:axId val="25885471"/>
      </c:lineChart>
      <c:catAx>
        <c:axId val="2588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5885471"/>
        <c:crosses val="autoZero"/>
        <c:auto val="1"/>
        <c:lblAlgn val="ctr"/>
        <c:lblOffset val="100"/>
        <c:noMultiLvlLbl val="0"/>
      </c:catAx>
      <c:valAx>
        <c:axId val="25885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58849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v>BK INT</c:v>
          </c:tx>
          <c:spPr>
            <a:ln w="28575" cap="rnd">
              <a:solidFill>
                <a:srgbClr val="00B0F0"/>
              </a:solidFill>
              <a:round/>
            </a:ln>
            <a:effectLst/>
          </c:spPr>
          <c:marker>
            <c:symbol val="none"/>
          </c:marker>
          <c:cat>
            <c:strRef>
              <c:f>Model!$O$12:$X$12</c:f>
              <c:strCache>
                <c:ptCount val="10"/>
                <c:pt idx="0">
                  <c:v>2022</c:v>
                </c:pt>
                <c:pt idx="1">
                  <c:v>2023</c:v>
                </c:pt>
                <c:pt idx="2">
                  <c:v>2024</c:v>
                </c:pt>
                <c:pt idx="3">
                  <c:v>2025</c:v>
                </c:pt>
                <c:pt idx="4">
                  <c:v>2026E</c:v>
                </c:pt>
                <c:pt idx="5">
                  <c:v>2027E</c:v>
                </c:pt>
                <c:pt idx="6">
                  <c:v>2028E</c:v>
                </c:pt>
                <c:pt idx="7">
                  <c:v>2029E</c:v>
                </c:pt>
                <c:pt idx="8">
                  <c:v>2030E</c:v>
                </c:pt>
                <c:pt idx="9">
                  <c:v>2031E</c:v>
                </c:pt>
              </c:strCache>
            </c:strRef>
          </c:cat>
          <c:val>
            <c:numRef>
              <c:f>Model!$O$360:$Q$360</c:f>
              <c:numCache>
                <c:formatCode>#,##0.0%;\(#,##0.0%\);"–";@</c:formatCode>
                <c:ptCount val="3"/>
                <c:pt idx="0">
                  <c:v>0.153</c:v>
                </c:pt>
                <c:pt idx="1">
                  <c:v>8.8999999999999996E-2</c:v>
                </c:pt>
                <c:pt idx="2">
                  <c:v>3.3000000000000002E-2</c:v>
                </c:pt>
              </c:numCache>
            </c:numRef>
          </c:val>
          <c:smooth val="0"/>
          <c:extLst>
            <c:ext xmlns:c16="http://schemas.microsoft.com/office/drawing/2014/chart" uri="{C3380CC4-5D6E-409C-BE32-E72D297353CC}">
              <c16:uniqueId val="{00000007-8257-4EDD-AD93-E432EDED7E59}"/>
            </c:ext>
          </c:extLst>
        </c:ser>
        <c:ser>
          <c:idx val="1"/>
          <c:order val="1"/>
          <c:tx>
            <c:v>BK INT E</c:v>
          </c:tx>
          <c:spPr>
            <a:ln w="28575" cap="rnd">
              <a:solidFill>
                <a:schemeClr val="accent1">
                  <a:lumMod val="50000"/>
                  <a:lumOff val="50000"/>
                </a:schemeClr>
              </a:solidFill>
              <a:prstDash val="sysDot"/>
              <a:round/>
            </a:ln>
            <a:effectLst/>
          </c:spPr>
          <c:marker>
            <c:symbol val="none"/>
          </c:marker>
          <c:cat>
            <c:strRef>
              <c:f>Model!$O$12:$X$12</c:f>
              <c:strCache>
                <c:ptCount val="10"/>
                <c:pt idx="0">
                  <c:v>2022</c:v>
                </c:pt>
                <c:pt idx="1">
                  <c:v>2023</c:v>
                </c:pt>
                <c:pt idx="2">
                  <c:v>2024</c:v>
                </c:pt>
                <c:pt idx="3">
                  <c:v>2025</c:v>
                </c:pt>
                <c:pt idx="4">
                  <c:v>2026E</c:v>
                </c:pt>
                <c:pt idx="5">
                  <c:v>2027E</c:v>
                </c:pt>
                <c:pt idx="6">
                  <c:v>2028E</c:v>
                </c:pt>
                <c:pt idx="7">
                  <c:v>2029E</c:v>
                </c:pt>
                <c:pt idx="8">
                  <c:v>2030E</c:v>
                </c:pt>
                <c:pt idx="9">
                  <c:v>2031E</c:v>
                </c:pt>
              </c:strCache>
            </c:strRef>
          </c:cat>
          <c:val>
            <c:numRef>
              <c:f>Model!$O$360:$X$360</c:f>
              <c:numCache>
                <c:formatCode>#,##0.0%;\(#,##0.0%\);"–";@</c:formatCode>
                <c:ptCount val="10"/>
                <c:pt idx="0">
                  <c:v>0.153</c:v>
                </c:pt>
                <c:pt idx="1">
                  <c:v>8.8999999999999996E-2</c:v>
                </c:pt>
                <c:pt idx="2">
                  <c:v>3.3000000000000002E-2</c:v>
                </c:pt>
                <c:pt idx="3">
                  <c:v>0.04</c:v>
                </c:pt>
                <c:pt idx="4">
                  <c:v>4.5999999999999999E-2</c:v>
                </c:pt>
                <c:pt idx="5">
                  <c:v>5.0600000000000006E-2</c:v>
                </c:pt>
                <c:pt idx="6">
                  <c:v>5.3383E-2</c:v>
                </c:pt>
                <c:pt idx="7">
                  <c:v>5.4450659999999998E-2</c:v>
                </c:pt>
                <c:pt idx="8">
                  <c:v>5.55396732E-2</c:v>
                </c:pt>
                <c:pt idx="9">
                  <c:v>5.6650466664000004E-2</c:v>
                </c:pt>
              </c:numCache>
            </c:numRef>
          </c:val>
          <c:smooth val="0"/>
          <c:extLst>
            <c:ext xmlns:c16="http://schemas.microsoft.com/office/drawing/2014/chart" uri="{C3380CC4-5D6E-409C-BE32-E72D297353CC}">
              <c16:uniqueId val="{00000008-8257-4EDD-AD93-E432EDED7E59}"/>
            </c:ext>
          </c:extLst>
        </c:ser>
        <c:ser>
          <c:idx val="2"/>
          <c:order val="2"/>
          <c:tx>
            <c:v>BK US</c:v>
          </c:tx>
          <c:spPr>
            <a:ln w="28575" cap="rnd">
              <a:solidFill>
                <a:srgbClr val="C00000"/>
              </a:solidFill>
              <a:round/>
            </a:ln>
            <a:effectLst/>
          </c:spPr>
          <c:marker>
            <c:symbol val="none"/>
          </c:marker>
          <c:cat>
            <c:strRef>
              <c:f>Model!$O$12:$X$12</c:f>
              <c:strCache>
                <c:ptCount val="10"/>
                <c:pt idx="0">
                  <c:v>2022</c:v>
                </c:pt>
                <c:pt idx="1">
                  <c:v>2023</c:v>
                </c:pt>
                <c:pt idx="2">
                  <c:v>2024</c:v>
                </c:pt>
                <c:pt idx="3">
                  <c:v>2025</c:v>
                </c:pt>
                <c:pt idx="4">
                  <c:v>2026E</c:v>
                </c:pt>
                <c:pt idx="5">
                  <c:v>2027E</c:v>
                </c:pt>
                <c:pt idx="6">
                  <c:v>2028E</c:v>
                </c:pt>
                <c:pt idx="7">
                  <c:v>2029E</c:v>
                </c:pt>
                <c:pt idx="8">
                  <c:v>2030E</c:v>
                </c:pt>
                <c:pt idx="9">
                  <c:v>2031E</c:v>
                </c:pt>
              </c:strCache>
            </c:strRef>
          </c:cat>
          <c:val>
            <c:numRef>
              <c:f>Model!$O$133:$Q$133</c:f>
              <c:numCache>
                <c:formatCode>#,##0.0%;\(#,##0.0%\);"–";@</c:formatCode>
                <c:ptCount val="3"/>
                <c:pt idx="0">
                  <c:v>2.3E-2</c:v>
                </c:pt>
                <c:pt idx="1">
                  <c:v>7.3999999999999996E-2</c:v>
                </c:pt>
                <c:pt idx="2">
                  <c:v>1.0249999999999999E-2</c:v>
                </c:pt>
              </c:numCache>
            </c:numRef>
          </c:val>
          <c:smooth val="0"/>
          <c:extLst>
            <c:ext xmlns:c16="http://schemas.microsoft.com/office/drawing/2014/chart" uri="{C3380CC4-5D6E-409C-BE32-E72D297353CC}">
              <c16:uniqueId val="{00000009-8257-4EDD-AD93-E432EDED7E59}"/>
            </c:ext>
          </c:extLst>
        </c:ser>
        <c:ser>
          <c:idx val="3"/>
          <c:order val="3"/>
          <c:tx>
            <c:v>BK US E</c:v>
          </c:tx>
          <c:spPr>
            <a:ln w="28575" cap="rnd">
              <a:solidFill>
                <a:srgbClr val="C00000"/>
              </a:solidFill>
              <a:prstDash val="sysDot"/>
              <a:round/>
            </a:ln>
            <a:effectLst/>
          </c:spPr>
          <c:marker>
            <c:symbol val="none"/>
          </c:marker>
          <c:cat>
            <c:strRef>
              <c:f>Model!$O$12:$X$12</c:f>
              <c:strCache>
                <c:ptCount val="10"/>
                <c:pt idx="0">
                  <c:v>2022</c:v>
                </c:pt>
                <c:pt idx="1">
                  <c:v>2023</c:v>
                </c:pt>
                <c:pt idx="2">
                  <c:v>2024</c:v>
                </c:pt>
                <c:pt idx="3">
                  <c:v>2025</c:v>
                </c:pt>
                <c:pt idx="4">
                  <c:v>2026E</c:v>
                </c:pt>
                <c:pt idx="5">
                  <c:v>2027E</c:v>
                </c:pt>
                <c:pt idx="6">
                  <c:v>2028E</c:v>
                </c:pt>
                <c:pt idx="7">
                  <c:v>2029E</c:v>
                </c:pt>
                <c:pt idx="8">
                  <c:v>2030E</c:v>
                </c:pt>
                <c:pt idx="9">
                  <c:v>2031E</c:v>
                </c:pt>
              </c:strCache>
            </c:strRef>
          </c:cat>
          <c:val>
            <c:numRef>
              <c:f>Model!$O$133:$X$133</c:f>
              <c:numCache>
                <c:formatCode>#,##0.0%;\(#,##0.0%\);"–";@</c:formatCode>
                <c:ptCount val="10"/>
                <c:pt idx="0">
                  <c:v>2.3E-2</c:v>
                </c:pt>
                <c:pt idx="1">
                  <c:v>7.3999999999999996E-2</c:v>
                </c:pt>
                <c:pt idx="2">
                  <c:v>1.0249999999999999E-2</c:v>
                </c:pt>
                <c:pt idx="3">
                  <c:v>2.5999999999999999E-2</c:v>
                </c:pt>
                <c:pt idx="4">
                  <c:v>2.8080000000000001E-2</c:v>
                </c:pt>
                <c:pt idx="5">
                  <c:v>3.1449600000000001E-2</c:v>
                </c:pt>
                <c:pt idx="6">
                  <c:v>3.3179328000000001E-2</c:v>
                </c:pt>
                <c:pt idx="7">
                  <c:v>3.351112128E-2</c:v>
                </c:pt>
                <c:pt idx="8">
                  <c:v>3.3846232492799999E-2</c:v>
                </c:pt>
                <c:pt idx="9">
                  <c:v>3.4184694817727998E-2</c:v>
                </c:pt>
              </c:numCache>
            </c:numRef>
          </c:val>
          <c:smooth val="0"/>
          <c:extLst>
            <c:ext xmlns:c16="http://schemas.microsoft.com/office/drawing/2014/chart" uri="{C3380CC4-5D6E-409C-BE32-E72D297353CC}">
              <c16:uniqueId val="{0000000A-8257-4EDD-AD93-E432EDED7E59}"/>
            </c:ext>
          </c:extLst>
        </c:ser>
        <c:dLbls>
          <c:showLegendKey val="0"/>
          <c:showVal val="0"/>
          <c:showCatName val="0"/>
          <c:showSerName val="0"/>
          <c:showPercent val="0"/>
          <c:showBubbleSize val="0"/>
        </c:dLbls>
        <c:smooth val="0"/>
        <c:axId val="29390159"/>
        <c:axId val="29390639"/>
      </c:lineChart>
      <c:catAx>
        <c:axId val="2939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9390639"/>
        <c:crosses val="autoZero"/>
        <c:auto val="1"/>
        <c:lblAlgn val="ctr"/>
        <c:lblOffset val="100"/>
        <c:noMultiLvlLbl val="0"/>
      </c:catAx>
      <c:valAx>
        <c:axId val="29390639"/>
        <c:scaling>
          <c:orientation val="minMax"/>
        </c:scaling>
        <c:delete val="0"/>
        <c:axPos val="l"/>
        <c:majorGridlines>
          <c:spPr>
            <a:ln w="9525" cap="flat" cmpd="sng" algn="ctr">
              <a:solidFill>
                <a:schemeClr val="tx1">
                  <a:lumMod val="15000"/>
                  <a:lumOff val="85000"/>
                </a:schemeClr>
              </a:solidFill>
              <a:round/>
            </a:ln>
            <a:effectLst/>
          </c:spPr>
        </c:majorGridlines>
        <c:numFmt formatCode="#,##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9390159"/>
        <c:crosses val="autoZero"/>
        <c:crossBetween val="between"/>
      </c:valAx>
      <c:spPr>
        <a:noFill/>
        <a:ln>
          <a:noFill/>
        </a:ln>
        <a:effectLst/>
      </c:spPr>
    </c:plotArea>
    <c:legend>
      <c:legendPos val="b"/>
      <c:legendEntry>
        <c:idx val="1"/>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spPr>
            <a:ln w="28575" cap="rnd">
              <a:solidFill>
                <a:schemeClr val="accent1"/>
              </a:solidFill>
              <a:round/>
            </a:ln>
            <a:effectLst/>
          </c:spPr>
          <c:marker>
            <c:symbol val="none"/>
          </c:marker>
          <c:val>
            <c:numRef>
              <c:f>Model!$N$522:$R$522</c:f>
              <c:numCache>
                <c:formatCode>#,##0;\(#,##0\);"–";@</c:formatCode>
                <c:ptCount val="5"/>
                <c:pt idx="0">
                  <c:v>-986</c:v>
                </c:pt>
                <c:pt idx="1">
                  <c:v>-1077</c:v>
                </c:pt>
                <c:pt idx="2">
                  <c:v>-1273</c:v>
                </c:pt>
                <c:pt idx="3">
                  <c:v>-1330</c:v>
                </c:pt>
                <c:pt idx="4">
                  <c:v>-1074.4432732495554</c:v>
                </c:pt>
              </c:numCache>
            </c:numRef>
          </c:val>
          <c:smooth val="0"/>
          <c:extLst>
            <c:ext xmlns:c16="http://schemas.microsoft.com/office/drawing/2014/chart" uri="{C3380CC4-5D6E-409C-BE32-E72D297353CC}">
              <c16:uniqueId val="{00000000-DC99-44BB-9F16-49358EB6DC53}"/>
            </c:ext>
          </c:extLst>
        </c:ser>
        <c:dLbls>
          <c:showLegendKey val="0"/>
          <c:showVal val="0"/>
          <c:showCatName val="0"/>
          <c:showSerName val="0"/>
          <c:showPercent val="0"/>
          <c:showBubbleSize val="0"/>
        </c:dLbls>
        <c:smooth val="0"/>
        <c:axId val="1740829360"/>
        <c:axId val="1740831760"/>
      </c:lineChart>
      <c:catAx>
        <c:axId val="174082936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40831760"/>
        <c:crosses val="autoZero"/>
        <c:auto val="1"/>
        <c:lblAlgn val="ctr"/>
        <c:lblOffset val="100"/>
        <c:noMultiLvlLbl val="0"/>
      </c:catAx>
      <c:valAx>
        <c:axId val="1740831760"/>
        <c:scaling>
          <c:orientation val="minMax"/>
        </c:scaling>
        <c:delete val="0"/>
        <c:axPos val="l"/>
        <c:majorGridlines>
          <c:spPr>
            <a:ln w="9525" cap="flat" cmpd="sng" algn="ctr">
              <a:solidFill>
                <a:schemeClr val="tx1">
                  <a:lumMod val="15000"/>
                  <a:lumOff val="85000"/>
                </a:schemeClr>
              </a:solidFill>
              <a:round/>
            </a:ln>
            <a:effectLst/>
          </c:spPr>
        </c:majorGridlines>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40829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v>Return to ShareHolders</c:v>
          </c:tx>
          <c:spPr>
            <a:solidFill>
              <a:schemeClr val="accent1"/>
            </a:solidFill>
            <a:ln>
              <a:noFill/>
            </a:ln>
            <a:effectLst/>
          </c:spPr>
          <c:invertIfNegative val="0"/>
          <c:cat>
            <c:strRef>
              <c:f>Model!$R$922:$X$922</c:f>
              <c:strCache>
                <c:ptCount val="7"/>
                <c:pt idx="0">
                  <c:v>2025</c:v>
                </c:pt>
                <c:pt idx="1">
                  <c:v>2026E</c:v>
                </c:pt>
                <c:pt idx="2">
                  <c:v>2027E</c:v>
                </c:pt>
                <c:pt idx="3">
                  <c:v>2028E</c:v>
                </c:pt>
                <c:pt idx="4">
                  <c:v>2029E</c:v>
                </c:pt>
                <c:pt idx="5">
                  <c:v>2030E</c:v>
                </c:pt>
                <c:pt idx="6">
                  <c:v>2031E</c:v>
                </c:pt>
              </c:strCache>
            </c:strRef>
          </c:cat>
          <c:val>
            <c:numRef>
              <c:f>Model!$R$924:$X$924</c:f>
              <c:numCache>
                <c:formatCode>#,##0;\(#,##0\);"–";@</c:formatCode>
                <c:ptCount val="7"/>
                <c:pt idx="0">
                  <c:v>1124.0102038611301</c:v>
                </c:pt>
                <c:pt idx="1">
                  <c:v>1271.8908032040163</c:v>
                </c:pt>
                <c:pt idx="2">
                  <c:v>1543.0132609434233</c:v>
                </c:pt>
                <c:pt idx="3">
                  <c:v>1755.5639663984382</c:v>
                </c:pt>
                <c:pt idx="4">
                  <c:v>2056.9749355365243</c:v>
                </c:pt>
                <c:pt idx="5">
                  <c:v>2441.6789562034264</c:v>
                </c:pt>
                <c:pt idx="6">
                  <c:v>2963.3550190771089</c:v>
                </c:pt>
              </c:numCache>
            </c:numRef>
          </c:val>
          <c:extLst>
            <c:ext xmlns:c16="http://schemas.microsoft.com/office/drawing/2014/chart" uri="{C3380CC4-5D6E-409C-BE32-E72D297353CC}">
              <c16:uniqueId val="{00000000-04C2-4E4E-9AA1-5E4E8ADEE2DB}"/>
            </c:ext>
          </c:extLst>
        </c:ser>
        <c:dLbls>
          <c:showLegendKey val="0"/>
          <c:showVal val="0"/>
          <c:showCatName val="0"/>
          <c:showSerName val="0"/>
          <c:showPercent val="0"/>
          <c:showBubbleSize val="0"/>
        </c:dLbls>
        <c:gapWidth val="150"/>
        <c:axId val="1935972063"/>
        <c:axId val="1935973983"/>
      </c:barChart>
      <c:lineChart>
        <c:grouping val="standard"/>
        <c:varyColors val="0"/>
        <c:ser>
          <c:idx val="1"/>
          <c:order val="1"/>
          <c:tx>
            <c:v>Payout (%)</c:v>
          </c:tx>
          <c:spPr>
            <a:ln w="28575" cap="rnd">
              <a:solidFill>
                <a:schemeClr val="accent2"/>
              </a:solidFill>
              <a:round/>
            </a:ln>
            <a:effectLst/>
          </c:spPr>
          <c:marker>
            <c:symbol val="none"/>
          </c:marker>
          <c:val>
            <c:numRef>
              <c:f>Model!$R$925:$X$925</c:f>
              <c:numCache>
                <c:formatCode>#,##0.0%;\(#,##0.0%\);"–";@</c:formatCode>
                <c:ptCount val="7"/>
                <c:pt idx="0">
                  <c:v>0.65</c:v>
                </c:pt>
                <c:pt idx="1">
                  <c:v>0.625</c:v>
                </c:pt>
                <c:pt idx="2">
                  <c:v>0.62</c:v>
                </c:pt>
                <c:pt idx="3">
                  <c:v>0.61</c:v>
                </c:pt>
                <c:pt idx="4">
                  <c:v>0.60499999999999998</c:v>
                </c:pt>
                <c:pt idx="5">
                  <c:v>0.6</c:v>
                </c:pt>
                <c:pt idx="6">
                  <c:v>0.6</c:v>
                </c:pt>
              </c:numCache>
            </c:numRef>
          </c:val>
          <c:smooth val="0"/>
          <c:extLst>
            <c:ext xmlns:c16="http://schemas.microsoft.com/office/drawing/2014/chart" uri="{C3380CC4-5D6E-409C-BE32-E72D297353CC}">
              <c16:uniqueId val="{00000001-04C2-4E4E-9AA1-5E4E8ADEE2DB}"/>
            </c:ext>
          </c:extLst>
        </c:ser>
        <c:dLbls>
          <c:showLegendKey val="0"/>
          <c:showVal val="0"/>
          <c:showCatName val="0"/>
          <c:showSerName val="0"/>
          <c:showPercent val="0"/>
          <c:showBubbleSize val="0"/>
        </c:dLbls>
        <c:marker val="1"/>
        <c:smooth val="0"/>
        <c:axId val="1673781103"/>
        <c:axId val="1673791663"/>
      </c:lineChart>
      <c:catAx>
        <c:axId val="193597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35973983"/>
        <c:crosses val="autoZero"/>
        <c:auto val="1"/>
        <c:lblAlgn val="ctr"/>
        <c:lblOffset val="100"/>
        <c:noMultiLvlLbl val="0"/>
      </c:catAx>
      <c:valAx>
        <c:axId val="1935973983"/>
        <c:scaling>
          <c:orientation val="minMax"/>
        </c:scaling>
        <c:delete val="0"/>
        <c:axPos val="l"/>
        <c:majorGridlines>
          <c:spPr>
            <a:ln w="9525" cap="flat" cmpd="sng" algn="ctr">
              <a:solidFill>
                <a:schemeClr val="tx1">
                  <a:lumMod val="15000"/>
                  <a:lumOff val="85000"/>
                </a:schemeClr>
              </a:solidFill>
              <a:round/>
            </a:ln>
            <a:effectLst/>
          </c:spPr>
        </c:majorGridlines>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35972063"/>
        <c:crosses val="autoZero"/>
        <c:crossBetween val="between"/>
      </c:valAx>
      <c:valAx>
        <c:axId val="1673791663"/>
        <c:scaling>
          <c:orientation val="minMax"/>
        </c:scaling>
        <c:delete val="0"/>
        <c:axPos val="r"/>
        <c:numFmt formatCode="#,##0.0%;\(#,##0.0%\);&quot;–&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673781103"/>
        <c:crosses val="max"/>
        <c:crossBetween val="between"/>
      </c:valAx>
      <c:catAx>
        <c:axId val="1673781103"/>
        <c:scaling>
          <c:orientation val="minMax"/>
        </c:scaling>
        <c:delete val="1"/>
        <c:axPos val="b"/>
        <c:majorTickMark val="out"/>
        <c:minorTickMark val="none"/>
        <c:tickLblPos val="nextTo"/>
        <c:crossAx val="167379166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spPr>
            <a:ln w="28575" cap="rnd">
              <a:solidFill>
                <a:schemeClr val="accent1"/>
              </a:solidFill>
              <a:round/>
            </a:ln>
            <a:effectLst/>
          </c:spPr>
          <c:marker>
            <c:symbol val="none"/>
          </c:marker>
          <c:cat>
            <c:strRef>
              <c:f>Summary!$J$23:$T$23</c:f>
              <c:strCache>
                <c:ptCount val="11"/>
                <c:pt idx="0">
                  <c:v>2021</c:v>
                </c:pt>
                <c:pt idx="1">
                  <c:v>2022</c:v>
                </c:pt>
                <c:pt idx="2">
                  <c:v>2023</c:v>
                </c:pt>
                <c:pt idx="3">
                  <c:v>2024</c:v>
                </c:pt>
                <c:pt idx="4">
                  <c:v>2025</c:v>
                </c:pt>
                <c:pt idx="5">
                  <c:v>2026E</c:v>
                </c:pt>
                <c:pt idx="6">
                  <c:v>2027E</c:v>
                </c:pt>
                <c:pt idx="7">
                  <c:v>2028E</c:v>
                </c:pt>
                <c:pt idx="8">
                  <c:v>2029E</c:v>
                </c:pt>
                <c:pt idx="9">
                  <c:v>2030E</c:v>
                </c:pt>
                <c:pt idx="10">
                  <c:v>2031E</c:v>
                </c:pt>
              </c:strCache>
            </c:strRef>
          </c:cat>
          <c:val>
            <c:numRef>
              <c:f>Summary!$J$53:$T$53</c:f>
              <c:numCache>
                <c:formatCode>#,##0.0%;\(#,##0.0%\);"–";@</c:formatCode>
                <c:ptCount val="11"/>
                <c:pt idx="0">
                  <c:v>0.28227914270778881</c:v>
                </c:pt>
                <c:pt idx="1">
                  <c:v>0.21368178324365872</c:v>
                </c:pt>
                <c:pt idx="2">
                  <c:v>0.17131871261748791</c:v>
                </c:pt>
                <c:pt idx="3">
                  <c:v>9.0649536045681656E-2</c:v>
                </c:pt>
                <c:pt idx="4">
                  <c:v>0.19014840535953992</c:v>
                </c:pt>
                <c:pt idx="5">
                  <c:v>0.1705861743863446</c:v>
                </c:pt>
                <c:pt idx="6">
                  <c:v>0.19409996983300409</c:v>
                </c:pt>
                <c:pt idx="7">
                  <c:v>0.20395280510629848</c:v>
                </c:pt>
                <c:pt idx="8">
                  <c:v>0.21358730695894046</c:v>
                </c:pt>
                <c:pt idx="9">
                  <c:v>0.22458604852724454</c:v>
                </c:pt>
                <c:pt idx="10">
                  <c:v>0.23415250030050577</c:v>
                </c:pt>
              </c:numCache>
            </c:numRef>
          </c:val>
          <c:smooth val="0"/>
          <c:extLst>
            <c:ext xmlns:c16="http://schemas.microsoft.com/office/drawing/2014/chart" uri="{C3380CC4-5D6E-409C-BE32-E72D297353CC}">
              <c16:uniqueId val="{00000000-C536-431E-9F25-EBB90FAA625C}"/>
            </c:ext>
          </c:extLst>
        </c:ser>
        <c:dLbls>
          <c:showLegendKey val="0"/>
          <c:showVal val="0"/>
          <c:showCatName val="0"/>
          <c:showSerName val="0"/>
          <c:showPercent val="0"/>
          <c:showBubbleSize val="0"/>
        </c:dLbls>
        <c:smooth val="0"/>
        <c:axId val="1938714911"/>
        <c:axId val="1938708191"/>
      </c:lineChart>
      <c:catAx>
        <c:axId val="193871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38708191"/>
        <c:crosses val="autoZero"/>
        <c:auto val="1"/>
        <c:lblAlgn val="ctr"/>
        <c:lblOffset val="100"/>
        <c:noMultiLvlLbl val="0"/>
      </c:catAx>
      <c:valAx>
        <c:axId val="1938708191"/>
        <c:scaling>
          <c:orientation val="minMax"/>
        </c:scaling>
        <c:delete val="0"/>
        <c:axPos val="l"/>
        <c:majorGridlines>
          <c:spPr>
            <a:ln w="9525" cap="flat" cmpd="sng" algn="ctr">
              <a:solidFill>
                <a:schemeClr val="tx1">
                  <a:lumMod val="15000"/>
                  <a:lumOff val="85000"/>
                </a:schemeClr>
              </a:solidFill>
              <a:round/>
            </a:ln>
            <a:effectLst/>
          </c:spPr>
        </c:majorGridlines>
        <c:numFmt formatCode="#,##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38714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cat>
            <c:strRef>
              <c:f>Model!$Q$12:$X$12</c:f>
              <c:strCache>
                <c:ptCount val="8"/>
                <c:pt idx="0">
                  <c:v>2024</c:v>
                </c:pt>
                <c:pt idx="1">
                  <c:v>2025</c:v>
                </c:pt>
                <c:pt idx="2">
                  <c:v>2026E</c:v>
                </c:pt>
                <c:pt idx="3">
                  <c:v>2027E</c:v>
                </c:pt>
                <c:pt idx="4">
                  <c:v>2028E</c:v>
                </c:pt>
                <c:pt idx="5">
                  <c:v>2029E</c:v>
                </c:pt>
                <c:pt idx="6">
                  <c:v>2030E</c:v>
                </c:pt>
                <c:pt idx="7">
                  <c:v>2031E</c:v>
                </c:pt>
              </c:strCache>
            </c:strRef>
          </c:cat>
          <c:val>
            <c:numRef>
              <c:f>WACC!$T$95:$AA$95</c:f>
              <c:numCache>
                <c:formatCode>General</c:formatCode>
                <c:ptCount val="8"/>
                <c:pt idx="0">
                  <c:v>1017</c:v>
                </c:pt>
                <c:pt idx="1">
                  <c:v>939</c:v>
                </c:pt>
                <c:pt idx="2">
                  <c:v>639</c:v>
                </c:pt>
                <c:pt idx="3">
                  <c:v>239</c:v>
                </c:pt>
                <c:pt idx="4" formatCode="0">
                  <c:v>215.1</c:v>
                </c:pt>
                <c:pt idx="5" formatCode="0">
                  <c:v>193.59</c:v>
                </c:pt>
                <c:pt idx="6" formatCode="0">
                  <c:v>174.23099999999999</c:v>
                </c:pt>
                <c:pt idx="7" formatCode="0">
                  <c:v>156.80789999999999</c:v>
                </c:pt>
              </c:numCache>
            </c:numRef>
          </c:val>
          <c:extLst>
            <c:ext xmlns:c16="http://schemas.microsoft.com/office/drawing/2014/chart" uri="{C3380CC4-5D6E-409C-BE32-E72D297353CC}">
              <c16:uniqueId val="{00000000-39E9-4B7A-8074-00CFD7C96E95}"/>
            </c:ext>
          </c:extLst>
        </c:ser>
        <c:dLbls>
          <c:showLegendKey val="0"/>
          <c:showVal val="0"/>
          <c:showCatName val="0"/>
          <c:showSerName val="0"/>
          <c:showPercent val="0"/>
          <c:showBubbleSize val="0"/>
        </c:dLbls>
        <c:gapWidth val="219"/>
        <c:overlap val="-27"/>
        <c:axId val="586409328"/>
        <c:axId val="586409808"/>
      </c:barChart>
      <c:catAx>
        <c:axId val="58640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86409808"/>
        <c:crosses val="autoZero"/>
        <c:auto val="1"/>
        <c:lblAlgn val="ctr"/>
        <c:lblOffset val="100"/>
        <c:noMultiLvlLbl val="0"/>
      </c:catAx>
      <c:valAx>
        <c:axId val="586409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8640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v>SG&amp;A</c:v>
          </c:tx>
          <c:spPr>
            <a:solidFill>
              <a:schemeClr val="accent1"/>
            </a:solidFill>
            <a:ln>
              <a:noFill/>
            </a:ln>
            <a:effectLst/>
          </c:spPr>
          <c:invertIfNegative val="0"/>
          <c:cat>
            <c:strRef>
              <c:f>WACC!$S$35:$AC$35</c:f>
              <c:strCache>
                <c:ptCount val="11"/>
                <c:pt idx="0">
                  <c:v>2021</c:v>
                </c:pt>
                <c:pt idx="1">
                  <c:v>2022</c:v>
                </c:pt>
                <c:pt idx="2">
                  <c:v>2023</c:v>
                </c:pt>
                <c:pt idx="3">
                  <c:v>2024</c:v>
                </c:pt>
                <c:pt idx="4">
                  <c:v>2025</c:v>
                </c:pt>
                <c:pt idx="5">
                  <c:v>2026E</c:v>
                </c:pt>
                <c:pt idx="6">
                  <c:v>2027E</c:v>
                </c:pt>
                <c:pt idx="7">
                  <c:v>2028E</c:v>
                </c:pt>
                <c:pt idx="8">
                  <c:v>2029E</c:v>
                </c:pt>
                <c:pt idx="9">
                  <c:v>2030E</c:v>
                </c:pt>
                <c:pt idx="10">
                  <c:v>2031E</c:v>
                </c:pt>
              </c:strCache>
            </c:strRef>
          </c:cat>
          <c:val>
            <c:numRef>
              <c:f>WACC!$S$110:$AC$110</c:f>
              <c:numCache>
                <c:formatCode>_-[$$-409]* #,##0.00_ ;_-[$$-409]* \-#,##0.00\ ;_-[$$-409]* "-"??_ ;_-@_ </c:formatCode>
                <c:ptCount val="11"/>
                <c:pt idx="0">
                  <c:v>1470</c:v>
                </c:pt>
                <c:pt idx="1">
                  <c:v>1708</c:v>
                </c:pt>
                <c:pt idx="2">
                  <c:v>1977</c:v>
                </c:pt>
                <c:pt idx="3">
                  <c:v>2063</c:v>
                </c:pt>
                <c:pt idx="4">
                  <c:v>1947.0228481765776</c:v>
                </c:pt>
                <c:pt idx="5">
                  <c:v>2186.1455674962467</c:v>
                </c:pt>
                <c:pt idx="6">
                  <c:v>2368.8354717862312</c:v>
                </c:pt>
                <c:pt idx="7">
                  <c:v>2562.4988243765429</c:v>
                </c:pt>
                <c:pt idx="8">
                  <c:v>2766.5583150888415</c:v>
                </c:pt>
                <c:pt idx="9">
                  <c:v>2989.9146755771721</c:v>
                </c:pt>
                <c:pt idx="10">
                  <c:v>3251.8088935717233</c:v>
                </c:pt>
              </c:numCache>
            </c:numRef>
          </c:val>
          <c:extLst>
            <c:ext xmlns:c16="http://schemas.microsoft.com/office/drawing/2014/chart" uri="{C3380CC4-5D6E-409C-BE32-E72D297353CC}">
              <c16:uniqueId val="{00000000-BEBD-48FA-B49E-FB347778D592}"/>
            </c:ext>
          </c:extLst>
        </c:ser>
        <c:dLbls>
          <c:showLegendKey val="0"/>
          <c:showVal val="0"/>
          <c:showCatName val="0"/>
          <c:showSerName val="0"/>
          <c:showPercent val="0"/>
          <c:showBubbleSize val="0"/>
        </c:dLbls>
        <c:gapWidth val="219"/>
        <c:axId val="1457939600"/>
        <c:axId val="1457936240"/>
      </c:barChart>
      <c:lineChart>
        <c:grouping val="standard"/>
        <c:varyColors val="0"/>
        <c:ser>
          <c:idx val="1"/>
          <c:order val="1"/>
          <c:tx>
            <c:v>% of Systemwide Sales</c:v>
          </c:tx>
          <c:spPr>
            <a:ln w="28575" cap="rnd">
              <a:solidFill>
                <a:schemeClr val="accent2"/>
              </a:solidFill>
              <a:round/>
            </a:ln>
            <a:effectLst/>
          </c:spPr>
          <c:marker>
            <c:symbol val="none"/>
          </c:marker>
          <c:val>
            <c:numRef>
              <c:f>WACC!$S$111:$AC$111</c:f>
              <c:numCache>
                <c:formatCode>0.00%</c:formatCode>
                <c:ptCount val="11"/>
                <c:pt idx="0">
                  <c:v>4.1414618124646807E-2</c:v>
                </c:pt>
                <c:pt idx="1">
                  <c:v>4.4167207000961467E-2</c:v>
                </c:pt>
                <c:pt idx="2">
                  <c:v>4.6090880994476488E-2</c:v>
                </c:pt>
                <c:pt idx="3">
                  <c:v>4.6384566957460203E-2</c:v>
                </c:pt>
                <c:pt idx="4">
                  <c:v>4.1181472511243558E-2</c:v>
                </c:pt>
                <c:pt idx="5">
                  <c:v>4.2574026846183458E-2</c:v>
                </c:pt>
                <c:pt idx="6">
                  <c:v>4.1686628577488949E-2</c:v>
                </c:pt>
                <c:pt idx="7">
                  <c:v>4.0718017038066823E-2</c:v>
                </c:pt>
                <c:pt idx="8">
                  <c:v>3.9240451462476622E-2</c:v>
                </c:pt>
                <c:pt idx="9">
                  <c:v>3.7340777238174597E-2</c:v>
                </c:pt>
                <c:pt idx="10">
                  <c:v>3.5083209315238791E-2</c:v>
                </c:pt>
              </c:numCache>
            </c:numRef>
          </c:val>
          <c:smooth val="0"/>
          <c:extLst>
            <c:ext xmlns:c16="http://schemas.microsoft.com/office/drawing/2014/chart" uri="{C3380CC4-5D6E-409C-BE32-E72D297353CC}">
              <c16:uniqueId val="{00000001-BEBD-48FA-B49E-FB347778D592}"/>
            </c:ext>
          </c:extLst>
        </c:ser>
        <c:dLbls>
          <c:showLegendKey val="0"/>
          <c:showVal val="0"/>
          <c:showCatName val="0"/>
          <c:showSerName val="0"/>
          <c:showPercent val="0"/>
          <c:showBubbleSize val="0"/>
        </c:dLbls>
        <c:marker val="1"/>
        <c:smooth val="0"/>
        <c:axId val="1790683199"/>
        <c:axId val="1790685119"/>
      </c:lineChart>
      <c:catAx>
        <c:axId val="145793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57936240"/>
        <c:crosses val="autoZero"/>
        <c:auto val="1"/>
        <c:lblAlgn val="ctr"/>
        <c:lblOffset val="100"/>
        <c:noMultiLvlLbl val="0"/>
      </c:catAx>
      <c:valAx>
        <c:axId val="1457936240"/>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57939600"/>
        <c:crosses val="autoZero"/>
        <c:crossBetween val="between"/>
      </c:valAx>
      <c:valAx>
        <c:axId val="179068511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90683199"/>
        <c:crosses val="max"/>
        <c:crossBetween val="between"/>
      </c:valAx>
      <c:catAx>
        <c:axId val="1790683199"/>
        <c:scaling>
          <c:orientation val="minMax"/>
        </c:scaling>
        <c:delete val="1"/>
        <c:axPos val="b"/>
        <c:majorTickMark val="out"/>
        <c:minorTickMark val="none"/>
        <c:tickLblPos val="nextTo"/>
        <c:crossAx val="179068511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1"/>
          <c:order val="0"/>
          <c:tx>
            <c:strRef>
              <c:f>WACC!$Q$131</c:f>
              <c:strCache>
                <c:ptCount val="1"/>
                <c:pt idx="0">
                  <c:v>Shares Outstanding (M)</c:v>
                </c:pt>
              </c:strCache>
            </c:strRef>
          </c:tx>
          <c:spPr>
            <a:ln w="28575" cap="rnd">
              <a:solidFill>
                <a:schemeClr val="accent2"/>
              </a:solidFill>
              <a:round/>
            </a:ln>
            <a:effectLst/>
          </c:spPr>
          <c:marker>
            <c:symbol val="none"/>
          </c:marker>
          <c:cat>
            <c:strRef>
              <c:extLst>
                <c:ext xmlns:c15="http://schemas.microsoft.com/office/drawing/2012/chart" uri="{02D57815-91ED-43cb-92C2-25804820EDAC}">
                  <c15:fullRef>
                    <c15:sqref>WACC!$P$132:$P$134</c15:sqref>
                  </c15:fullRef>
                </c:ext>
              </c:extLst>
              <c:f>WACC!$P$133:$P$134</c:f>
              <c:strCache>
                <c:ptCount val="2"/>
                <c:pt idx="0">
                  <c:v>2026E (Pre-Buyback)</c:v>
                </c:pt>
                <c:pt idx="1">
                  <c:v>2026E (Post-Buyback)</c:v>
                </c:pt>
              </c:strCache>
            </c:strRef>
          </c:cat>
          <c:val>
            <c:numRef>
              <c:extLst>
                <c:ext xmlns:c15="http://schemas.microsoft.com/office/drawing/2012/chart" uri="{02D57815-91ED-43cb-92C2-25804820EDAC}">
                  <c15:fullRef>
                    <c15:sqref>WACC!$Q$132:$Q$134</c15:sqref>
                  </c15:fullRef>
                </c:ext>
              </c:extLst>
              <c:f>WACC!$Q$133:$Q$134</c:f>
              <c:numCache>
                <c:formatCode>General</c:formatCode>
                <c:ptCount val="2"/>
                <c:pt idx="0">
                  <c:v>329</c:v>
                </c:pt>
                <c:pt idx="1">
                  <c:v>322.2</c:v>
                </c:pt>
              </c:numCache>
            </c:numRef>
          </c:val>
          <c:smooth val="0"/>
          <c:extLst>
            <c:ext xmlns:c16="http://schemas.microsoft.com/office/drawing/2014/chart" uri="{C3380CC4-5D6E-409C-BE32-E72D297353CC}">
              <c16:uniqueId val="{00000001-BC4D-4B45-8E22-0A7753ED4554}"/>
            </c:ext>
          </c:extLst>
        </c:ser>
        <c:dLbls>
          <c:showLegendKey val="0"/>
          <c:showVal val="0"/>
          <c:showCatName val="0"/>
          <c:showSerName val="0"/>
          <c:showPercent val="0"/>
          <c:showBubbleSize val="0"/>
        </c:dLbls>
        <c:smooth val="0"/>
        <c:axId val="1856127999"/>
        <c:axId val="1856122719"/>
      </c:lineChart>
      <c:catAx>
        <c:axId val="1856127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856122719"/>
        <c:crosses val="autoZero"/>
        <c:auto val="1"/>
        <c:lblAlgn val="ctr"/>
        <c:lblOffset val="100"/>
        <c:noMultiLvlLbl val="0"/>
      </c:catAx>
      <c:valAx>
        <c:axId val="1856122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856127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2C-48B9-A072-AB83447817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2C-48B9-A072-AB83447817E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42C-48B9-A072-AB83447817EF}"/>
              </c:ext>
            </c:extLst>
          </c:dPt>
          <c:val>
            <c:numRef>
              <c:f>Planilha1!$A$1:$A$3</c:f>
              <c:numCache>
                <c:formatCode>General</c:formatCode>
                <c:ptCount val="3"/>
                <c:pt idx="0">
                  <c:v>25</c:v>
                </c:pt>
                <c:pt idx="1">
                  <c:v>25</c:v>
                </c:pt>
                <c:pt idx="2">
                  <c:v>90</c:v>
                </c:pt>
              </c:numCache>
            </c:numRef>
          </c:val>
          <c:extLst>
            <c:ext xmlns:c16="http://schemas.microsoft.com/office/drawing/2014/chart" uri="{C3380CC4-5D6E-409C-BE32-E72D297353CC}">
              <c16:uniqueId val="{00000000-866C-4CDF-81EA-2BA7AA957E83}"/>
            </c:ext>
          </c:extLst>
        </c:ser>
        <c:dLbls>
          <c:showLegendKey val="0"/>
          <c:showVal val="0"/>
          <c:showCatName val="0"/>
          <c:showSerName val="0"/>
          <c:showPercent val="0"/>
          <c:showBubbleSize val="0"/>
          <c:showLeaderLines val="1"/>
        </c:dLbls>
        <c:firstSliceAng val="32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C3-43AA-989C-CD09DE98A0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C3-43AA-989C-CD09DE98A0F4}"/>
              </c:ext>
            </c:extLst>
          </c:dPt>
          <c:val>
            <c:numRef>
              <c:f>Planilha1!$A$6:$A$7</c:f>
              <c:numCache>
                <c:formatCode>General</c:formatCode>
                <c:ptCount val="2"/>
                <c:pt idx="0">
                  <c:v>97</c:v>
                </c:pt>
                <c:pt idx="1">
                  <c:v>3</c:v>
                </c:pt>
              </c:numCache>
            </c:numRef>
          </c:val>
          <c:extLst>
            <c:ext xmlns:c16="http://schemas.microsoft.com/office/drawing/2014/chart" uri="{C3380CC4-5D6E-409C-BE32-E72D297353CC}">
              <c16:uniqueId val="{00000000-4BB7-4CC3-831F-A1874FA375A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Planilha2!$A$3</c:f>
              <c:strCache>
                <c:ptCount val="1"/>
                <c:pt idx="0">
                  <c:v>Mc Donald's</c:v>
                </c:pt>
              </c:strCache>
            </c:strRef>
          </c:tx>
          <c:spPr>
            <a:solidFill>
              <a:schemeClr val="accent1"/>
            </a:solidFill>
            <a:ln>
              <a:noFill/>
            </a:ln>
            <a:effectLst/>
          </c:spPr>
          <c:invertIfNegative val="0"/>
          <c:cat>
            <c:numRef>
              <c:f>Planilha2!$B$1:$C$1</c:f>
              <c:numCache>
                <c:formatCode>General</c:formatCode>
                <c:ptCount val="2"/>
                <c:pt idx="0">
                  <c:v>2024</c:v>
                </c:pt>
                <c:pt idx="1">
                  <c:v>2025</c:v>
                </c:pt>
              </c:numCache>
            </c:numRef>
          </c:cat>
          <c:val>
            <c:numRef>
              <c:f>Planilha2!$B$3:$C$3</c:f>
              <c:numCache>
                <c:formatCode>_-[$$-409]* #,##0.00_ ;_-[$$-409]* \-#,##0.00\ ;_-[$$-409]* "-"??_ ;_-@_ </c:formatCode>
                <c:ptCount val="2"/>
                <c:pt idx="0">
                  <c:v>25920</c:v>
                </c:pt>
                <c:pt idx="1">
                  <c:v>26685</c:v>
                </c:pt>
              </c:numCache>
            </c:numRef>
          </c:val>
          <c:extLst>
            <c:ext xmlns:c16="http://schemas.microsoft.com/office/drawing/2014/chart" uri="{C3380CC4-5D6E-409C-BE32-E72D297353CC}">
              <c16:uniqueId val="{00000000-8AC1-46F1-AAC2-19D32CAC36AC}"/>
            </c:ext>
          </c:extLst>
        </c:ser>
        <c:ser>
          <c:idx val="1"/>
          <c:order val="1"/>
          <c:tx>
            <c:strRef>
              <c:f>Planilha2!$A$2</c:f>
              <c:strCache>
                <c:ptCount val="1"/>
                <c:pt idx="0">
                  <c:v>RBI</c:v>
                </c:pt>
              </c:strCache>
            </c:strRef>
          </c:tx>
          <c:spPr>
            <a:solidFill>
              <a:schemeClr val="accent2"/>
            </a:solidFill>
            <a:ln>
              <a:noFill/>
            </a:ln>
            <a:effectLst/>
          </c:spPr>
          <c:invertIfNegative val="0"/>
          <c:cat>
            <c:numRef>
              <c:f>Planilha2!$B$1:$C$1</c:f>
              <c:numCache>
                <c:formatCode>General</c:formatCode>
                <c:ptCount val="2"/>
                <c:pt idx="0">
                  <c:v>2024</c:v>
                </c:pt>
                <c:pt idx="1">
                  <c:v>2025</c:v>
                </c:pt>
              </c:numCache>
            </c:numRef>
          </c:cat>
          <c:val>
            <c:numRef>
              <c:f>Planilha2!$B$2:$C$2</c:f>
              <c:numCache>
                <c:formatCode>_-[$$-409]* #,##0.00_ ;_-[$$-409]* \-#,##0.00\ ;_-[$$-409]* "-"??_ ;_-@_ </c:formatCode>
                <c:ptCount val="2"/>
                <c:pt idx="0">
                  <c:v>8406</c:v>
                </c:pt>
                <c:pt idx="1">
                  <c:v>13623.7018477293</c:v>
                </c:pt>
              </c:numCache>
            </c:numRef>
          </c:val>
          <c:extLst>
            <c:ext xmlns:c16="http://schemas.microsoft.com/office/drawing/2014/chart" uri="{C3380CC4-5D6E-409C-BE32-E72D297353CC}">
              <c16:uniqueId val="{00000001-8AC1-46F1-AAC2-19D32CAC36AC}"/>
            </c:ext>
          </c:extLst>
        </c:ser>
        <c:dLbls>
          <c:showLegendKey val="0"/>
          <c:showVal val="0"/>
          <c:showCatName val="0"/>
          <c:showSerName val="0"/>
          <c:showPercent val="0"/>
          <c:showBubbleSize val="0"/>
        </c:dLbls>
        <c:gapWidth val="219"/>
        <c:overlap val="-27"/>
        <c:axId val="199535247"/>
        <c:axId val="199535727"/>
      </c:barChart>
      <c:catAx>
        <c:axId val="19953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9535727"/>
        <c:crosses val="autoZero"/>
        <c:auto val="1"/>
        <c:lblAlgn val="ctr"/>
        <c:lblOffset val="100"/>
        <c:noMultiLvlLbl val="0"/>
      </c:catAx>
      <c:valAx>
        <c:axId val="199535727"/>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00" b="0" i="0" u="none" strike="noStrike" kern="1200" baseline="0">
                <a:solidFill>
                  <a:schemeClr val="bg1"/>
                </a:solidFill>
                <a:latin typeface="Montserrat" pitchFamily="2" charset="0"/>
                <a:ea typeface="+mn-ea"/>
                <a:cs typeface="+mn-cs"/>
              </a:defRPr>
            </a:pPr>
            <a:endParaRPr lang="pt-BR"/>
          </a:p>
        </c:txPr>
        <c:crossAx val="1995352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Planilha2!$A$3</c:f>
              <c:strCache>
                <c:ptCount val="1"/>
                <c:pt idx="0">
                  <c:v>Mc Donald's</c:v>
                </c:pt>
              </c:strCache>
            </c:strRef>
          </c:tx>
          <c:spPr>
            <a:solidFill>
              <a:schemeClr val="accent1"/>
            </a:solidFill>
            <a:ln>
              <a:noFill/>
            </a:ln>
            <a:effectLst/>
          </c:spPr>
          <c:invertIfNegative val="0"/>
          <c:cat>
            <c:numRef>
              <c:f>Planilha2!$B$1:$C$1</c:f>
              <c:numCache>
                <c:formatCode>General</c:formatCode>
                <c:ptCount val="2"/>
                <c:pt idx="0">
                  <c:v>2024</c:v>
                </c:pt>
                <c:pt idx="1">
                  <c:v>2025</c:v>
                </c:pt>
              </c:numCache>
            </c:numRef>
          </c:cat>
          <c:val>
            <c:numRef>
              <c:f>Planilha2!$I$3:$J$3</c:f>
              <c:numCache>
                <c:formatCode>_-[$$-409]* #,##0.00_ ;_-[$$-409]* \-#,##0.00\ ;_-[$$-409]* "-"??_ ;_-@_ </c:formatCode>
                <c:ptCount val="2"/>
                <c:pt idx="0">
                  <c:v>602.79069767441865</c:v>
                </c:pt>
                <c:pt idx="1">
                  <c:v>593</c:v>
                </c:pt>
              </c:numCache>
            </c:numRef>
          </c:val>
          <c:extLst>
            <c:ext xmlns:c16="http://schemas.microsoft.com/office/drawing/2014/chart" uri="{C3380CC4-5D6E-409C-BE32-E72D297353CC}">
              <c16:uniqueId val="{00000000-8AC1-46F1-AAC2-19D32CAC36AC}"/>
            </c:ext>
          </c:extLst>
        </c:ser>
        <c:ser>
          <c:idx val="1"/>
          <c:order val="1"/>
          <c:tx>
            <c:strRef>
              <c:f>Planilha2!$A$2</c:f>
              <c:strCache>
                <c:ptCount val="1"/>
                <c:pt idx="0">
                  <c:v>RBI</c:v>
                </c:pt>
              </c:strCache>
            </c:strRef>
          </c:tx>
          <c:spPr>
            <a:solidFill>
              <a:schemeClr val="accent2"/>
            </a:solidFill>
            <a:ln>
              <a:noFill/>
            </a:ln>
            <a:effectLst/>
          </c:spPr>
          <c:invertIfNegative val="0"/>
          <c:cat>
            <c:numRef>
              <c:f>Planilha2!$B$1:$C$1</c:f>
              <c:numCache>
                <c:formatCode>General</c:formatCode>
                <c:ptCount val="2"/>
                <c:pt idx="0">
                  <c:v>2024</c:v>
                </c:pt>
                <c:pt idx="1">
                  <c:v>2025</c:v>
                </c:pt>
              </c:numCache>
            </c:numRef>
          </c:cat>
          <c:val>
            <c:numRef>
              <c:f>Planilha2!$I$2:$J$2</c:f>
              <c:numCache>
                <c:formatCode>_-[$$-409]* #,##0.00_ ;_-[$$-409]* \-#,##0.00\ ;_-[$$-409]* "-"??_ ;_-@_ </c:formatCode>
                <c:ptCount val="2"/>
                <c:pt idx="0">
                  <c:v>261.73054768502664</c:v>
                </c:pt>
                <c:pt idx="1">
                  <c:v>412.32716466599987</c:v>
                </c:pt>
              </c:numCache>
            </c:numRef>
          </c:val>
          <c:extLst>
            <c:ext xmlns:c16="http://schemas.microsoft.com/office/drawing/2014/chart" uri="{C3380CC4-5D6E-409C-BE32-E72D297353CC}">
              <c16:uniqueId val="{00000001-8AC1-46F1-AAC2-19D32CAC36AC}"/>
            </c:ext>
          </c:extLst>
        </c:ser>
        <c:dLbls>
          <c:showLegendKey val="0"/>
          <c:showVal val="0"/>
          <c:showCatName val="0"/>
          <c:showSerName val="0"/>
          <c:showPercent val="0"/>
          <c:showBubbleSize val="0"/>
        </c:dLbls>
        <c:gapWidth val="219"/>
        <c:overlap val="-27"/>
        <c:axId val="199535247"/>
        <c:axId val="199535727"/>
      </c:barChart>
      <c:catAx>
        <c:axId val="19953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9535727"/>
        <c:crosses val="autoZero"/>
        <c:auto val="1"/>
        <c:lblAlgn val="ctr"/>
        <c:lblOffset val="100"/>
        <c:noMultiLvlLbl val="0"/>
      </c:catAx>
      <c:valAx>
        <c:axId val="199535727"/>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00" b="0" i="0" u="none" strike="noStrike" kern="1200" baseline="0">
                <a:solidFill>
                  <a:schemeClr val="bg1"/>
                </a:solidFill>
                <a:latin typeface="Montserrat" pitchFamily="2" charset="0"/>
                <a:ea typeface="+mn-ea"/>
                <a:cs typeface="+mn-cs"/>
              </a:defRPr>
            </a:pPr>
            <a:endParaRPr lang="pt-BR"/>
          </a:p>
        </c:txPr>
        <c:crossAx val="1995352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spPr>
            <a:ln w="28575" cap="rnd">
              <a:solidFill>
                <a:schemeClr val="accent1"/>
              </a:solidFill>
              <a:round/>
            </a:ln>
            <a:effectLst/>
          </c:spPr>
          <c:marker>
            <c:symbol val="none"/>
          </c:marker>
          <c:cat>
            <c:numRef>
              <c:f>Planilha2!$B$30:$B$36</c:f>
              <c:numCache>
                <c:formatCode>General</c:formatCode>
                <c:ptCount val="7"/>
                <c:pt idx="0">
                  <c:v>2025</c:v>
                </c:pt>
                <c:pt idx="1">
                  <c:v>2026</c:v>
                </c:pt>
                <c:pt idx="2">
                  <c:v>2027</c:v>
                </c:pt>
                <c:pt idx="3">
                  <c:v>2028</c:v>
                </c:pt>
                <c:pt idx="4">
                  <c:v>2029</c:v>
                </c:pt>
                <c:pt idx="5">
                  <c:v>2030</c:v>
                </c:pt>
                <c:pt idx="6">
                  <c:v>2031</c:v>
                </c:pt>
              </c:numCache>
            </c:numRef>
          </c:cat>
          <c:val>
            <c:numRef>
              <c:f>Planilha2!$C$30:$C$36</c:f>
              <c:numCache>
                <c:formatCode>0.00%</c:formatCode>
                <c:ptCount val="7"/>
                <c:pt idx="0">
                  <c:v>7.6509069697727972E-2</c:v>
                </c:pt>
                <c:pt idx="1">
                  <c:v>5.4708540846580958E-2</c:v>
                </c:pt>
                <c:pt idx="2">
                  <c:v>7.5510089225924545E-2</c:v>
                </c:pt>
                <c:pt idx="3">
                  <c:v>9.0201520635836169E-2</c:v>
                </c:pt>
                <c:pt idx="4">
                  <c:v>0.10861446645698898</c:v>
                </c:pt>
                <c:pt idx="5">
                  <c:v>0.13304645446356669</c:v>
                </c:pt>
                <c:pt idx="6">
                  <c:v>0.16398492362904235</c:v>
                </c:pt>
              </c:numCache>
            </c:numRef>
          </c:val>
          <c:smooth val="0"/>
          <c:extLst>
            <c:ext xmlns:c16="http://schemas.microsoft.com/office/drawing/2014/chart" uri="{C3380CC4-5D6E-409C-BE32-E72D297353CC}">
              <c16:uniqueId val="{00000000-E57E-4E59-8171-97F8ADF733FA}"/>
            </c:ext>
          </c:extLst>
        </c:ser>
        <c:dLbls>
          <c:showLegendKey val="0"/>
          <c:showVal val="0"/>
          <c:showCatName val="0"/>
          <c:showSerName val="0"/>
          <c:showPercent val="0"/>
          <c:showBubbleSize val="0"/>
        </c:dLbls>
        <c:smooth val="0"/>
        <c:axId val="94027599"/>
        <c:axId val="94024239"/>
      </c:lineChart>
      <c:catAx>
        <c:axId val="9402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4024239"/>
        <c:crosses val="autoZero"/>
        <c:auto val="1"/>
        <c:lblAlgn val="ctr"/>
        <c:lblOffset val="100"/>
        <c:noMultiLvlLbl val="0"/>
      </c:catAx>
      <c:valAx>
        <c:axId val="940242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40275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50-4862-975F-52501EE890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50-4862-975F-52501EE890C4}"/>
              </c:ext>
            </c:extLst>
          </c:dPt>
          <c:cat>
            <c:strRef>
              <c:f>Planilha2!$M$49:$M$50</c:f>
              <c:strCache>
                <c:ptCount val="2"/>
                <c:pt idx="0">
                  <c:v>CPE</c:v>
                </c:pt>
                <c:pt idx="1">
                  <c:v>RBI</c:v>
                </c:pt>
              </c:strCache>
            </c:strRef>
          </c:cat>
          <c:val>
            <c:numRef>
              <c:f>Planilha2!$N$49:$N$50</c:f>
              <c:numCache>
                <c:formatCode>0%</c:formatCode>
                <c:ptCount val="2"/>
                <c:pt idx="0">
                  <c:v>0.83</c:v>
                </c:pt>
                <c:pt idx="1">
                  <c:v>0.17</c:v>
                </c:pt>
              </c:numCache>
            </c:numRef>
          </c:val>
          <c:extLst>
            <c:ext xmlns:c16="http://schemas.microsoft.com/office/drawing/2014/chart" uri="{C3380CC4-5D6E-409C-BE32-E72D297353CC}">
              <c16:uniqueId val="{00000000-E825-4C3C-A405-CD7553290032}"/>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cat>
            <c:strRef>
              <c:f>Planilha2!$C$57:$J$57</c:f>
              <c:strCache>
                <c:ptCount val="8"/>
                <c:pt idx="0">
                  <c:v>2024</c:v>
                </c:pt>
                <c:pt idx="1">
                  <c:v>2025</c:v>
                </c:pt>
                <c:pt idx="2">
                  <c:v>2026E</c:v>
                </c:pt>
                <c:pt idx="3">
                  <c:v>2027E</c:v>
                </c:pt>
                <c:pt idx="4">
                  <c:v>2028E</c:v>
                </c:pt>
                <c:pt idx="5">
                  <c:v>2029E</c:v>
                </c:pt>
                <c:pt idx="6">
                  <c:v>2030E</c:v>
                </c:pt>
                <c:pt idx="7">
                  <c:v>2031E</c:v>
                </c:pt>
              </c:strCache>
            </c:strRef>
          </c:cat>
          <c:val>
            <c:numRef>
              <c:f>Planilha2!$C$58:$J$58</c:f>
              <c:numCache>
                <c:formatCode>General</c:formatCode>
                <c:ptCount val="8"/>
                <c:pt idx="0">
                  <c:v>22000</c:v>
                </c:pt>
                <c:pt idx="1">
                  <c:v>37000</c:v>
                </c:pt>
                <c:pt idx="2">
                  <c:v>38850</c:v>
                </c:pt>
                <c:pt idx="3">
                  <c:v>40792.500000000007</c:v>
                </c:pt>
                <c:pt idx="4">
                  <c:v>42832.125000000007</c:v>
                </c:pt>
                <c:pt idx="5">
                  <c:v>36407.306250000001</c:v>
                </c:pt>
                <c:pt idx="6">
                  <c:v>30946.210312500003</c:v>
                </c:pt>
                <c:pt idx="7">
                  <c:v>26304.278765625004</c:v>
                </c:pt>
              </c:numCache>
            </c:numRef>
          </c:val>
          <c:smooth val="0"/>
          <c:extLst>
            <c:ext xmlns:c16="http://schemas.microsoft.com/office/drawing/2014/chart" uri="{C3380CC4-5D6E-409C-BE32-E72D297353CC}">
              <c16:uniqueId val="{00000000-894C-488E-8044-8F2E79E973BB}"/>
            </c:ext>
          </c:extLst>
        </c:ser>
        <c:dLbls>
          <c:showLegendKey val="0"/>
          <c:showVal val="0"/>
          <c:showCatName val="0"/>
          <c:showSerName val="0"/>
          <c:showPercent val="0"/>
          <c:showBubbleSize val="0"/>
        </c:dLbls>
        <c:smooth val="0"/>
        <c:axId val="37173407"/>
        <c:axId val="37174367"/>
      </c:lineChart>
      <c:catAx>
        <c:axId val="3717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ontserrat" pitchFamily="2" charset="0"/>
                <a:ea typeface="+mn-ea"/>
                <a:cs typeface="+mn-cs"/>
              </a:defRPr>
            </a:pPr>
            <a:endParaRPr lang="pt-BR"/>
          </a:p>
        </c:txPr>
        <c:crossAx val="37174367"/>
        <c:crosses val="autoZero"/>
        <c:auto val="1"/>
        <c:lblAlgn val="ctr"/>
        <c:lblOffset val="100"/>
        <c:noMultiLvlLbl val="0"/>
      </c:catAx>
      <c:valAx>
        <c:axId val="37174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 b="0" i="0" u="none" strike="noStrike" kern="1200" baseline="0">
                <a:solidFill>
                  <a:schemeClr val="bg1"/>
                </a:solidFill>
                <a:latin typeface="+mn-lt"/>
                <a:ea typeface="+mn-ea"/>
                <a:cs typeface="+mn-cs"/>
              </a:defRPr>
            </a:pPr>
            <a:endParaRPr lang="pt-BR"/>
          </a:p>
        </c:txPr>
        <c:crossAx val="371734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cat>
            <c:strRef>
              <c:f>Planilha2!$P$58:$W$58</c:f>
              <c:strCache>
                <c:ptCount val="8"/>
                <c:pt idx="0">
                  <c:v>2024</c:v>
                </c:pt>
                <c:pt idx="1">
                  <c:v>2025</c:v>
                </c:pt>
                <c:pt idx="2">
                  <c:v>2026E</c:v>
                </c:pt>
                <c:pt idx="3">
                  <c:v>2027E</c:v>
                </c:pt>
                <c:pt idx="4">
                  <c:v>2028E</c:v>
                </c:pt>
                <c:pt idx="5">
                  <c:v>2029E</c:v>
                </c:pt>
                <c:pt idx="6">
                  <c:v>2030E</c:v>
                </c:pt>
                <c:pt idx="7">
                  <c:v>2031E</c:v>
                </c:pt>
              </c:strCache>
            </c:strRef>
          </c:cat>
          <c:val>
            <c:numRef>
              <c:f>Planilha2!$P$59:$W$59</c:f>
              <c:numCache>
                <c:formatCode>General</c:formatCode>
                <c:ptCount val="8"/>
                <c:pt idx="0">
                  <c:v>660</c:v>
                </c:pt>
                <c:pt idx="1">
                  <c:v>359.96815356768099</c:v>
                </c:pt>
                <c:pt idx="2">
                  <c:v>370.121964882231</c:v>
                </c:pt>
                <c:pt idx="3">
                  <c:v>368.15179728821801</c:v>
                </c:pt>
                <c:pt idx="4">
                  <c:v>272.04762715659501</c:v>
                </c:pt>
                <c:pt idx="5">
                  <c:v>264.31980685623898</c:v>
                </c:pt>
                <c:pt idx="6">
                  <c:v>260.19246501449197</c:v>
                </c:pt>
                <c:pt idx="7">
                  <c:v>269.14564648170301</c:v>
                </c:pt>
              </c:numCache>
            </c:numRef>
          </c:val>
          <c:smooth val="0"/>
          <c:extLst>
            <c:ext xmlns:c16="http://schemas.microsoft.com/office/drawing/2014/chart" uri="{C3380CC4-5D6E-409C-BE32-E72D297353CC}">
              <c16:uniqueId val="{00000000-BE6E-4061-B9B2-6DEC13946AB0}"/>
            </c:ext>
          </c:extLst>
        </c:ser>
        <c:dLbls>
          <c:showLegendKey val="0"/>
          <c:showVal val="0"/>
          <c:showCatName val="0"/>
          <c:showSerName val="0"/>
          <c:showPercent val="0"/>
          <c:showBubbleSize val="0"/>
        </c:dLbls>
        <c:smooth val="0"/>
        <c:axId val="279697775"/>
        <c:axId val="279698735"/>
      </c:lineChart>
      <c:catAx>
        <c:axId val="27969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9698735"/>
        <c:crosses val="autoZero"/>
        <c:auto val="1"/>
        <c:lblAlgn val="ctr"/>
        <c:lblOffset val="100"/>
        <c:noMultiLvlLbl val="0"/>
      </c:catAx>
      <c:valAx>
        <c:axId val="279698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 b="0" i="0" u="none" strike="noStrike" kern="1200" baseline="0">
                <a:solidFill>
                  <a:schemeClr val="bg1"/>
                </a:solidFill>
                <a:latin typeface="+mn-lt"/>
                <a:ea typeface="+mn-ea"/>
                <a:cs typeface="+mn-cs"/>
              </a:defRPr>
            </a:pPr>
            <a:endParaRPr lang="pt-BR"/>
          </a:p>
        </c:txPr>
        <c:crossAx val="27969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series layoutId="waterfall" uniqueId="{538666C6-F49B-427F-B1BD-F421699595EC}" formatIdx="0">
          <cx:spPr>
            <a:solidFill>
              <a:srgbClr val="002060"/>
            </a:solidFill>
          </cx:spPr>
          <cx:dataPt idx="1">
            <cx:spPr>
              <a:solidFill>
                <a:srgbClr val="C00000"/>
              </a:solidFill>
            </cx:spPr>
          </cx:dataPt>
          <cx:dataPt idx="2">
            <cx:spPr>
              <a:solidFill>
                <a:srgbClr val="C00000"/>
              </a:solidFill>
            </cx:spPr>
          </cx:dataPt>
          <cx:dataPt idx="4">
            <cx:spPr>
              <a:solidFill>
                <a:sysClr val="windowText" lastClr="000000">
                  <a:lumMod val="50000"/>
                  <a:lumOff val="50000"/>
                </a:sysClr>
              </a:solidFill>
            </cx:spPr>
          </cx:dataPt>
          <cx:dataPt idx="6">
            <cx:spPr>
              <a:solidFill>
                <a:sysClr val="windowText" lastClr="000000">
                  <a:lumMod val="75000"/>
                  <a:lumOff val="25000"/>
                </a:sysClr>
              </a:solidFill>
            </cx:spPr>
          </cx:dataPt>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layoutPr>
            <cx:visibility connectorLines="0"/>
            <cx:subtotals>
              <cx:idx val="4"/>
              <cx:idx val="6"/>
            </cx:subtotals>
          </cx:layoutPr>
        </cx:series>
      </cx:plotAreaRegion>
      <cx:axis id="0">
        <cx:catScaling gapWidth="0.5"/>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hidden="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2.png"/><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3.xml"/><Relationship Id="rId7" Type="http://schemas.openxmlformats.org/officeDocument/2006/relationships/chart" Target="../charts/chart16.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5.xml"/><Relationship Id="rId5" Type="http://schemas.openxmlformats.org/officeDocument/2006/relationships/chart" Target="../charts/chart1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0</xdr:colOff>
      <xdr:row>0</xdr:row>
      <xdr:rowOff>2129118</xdr:rowOff>
    </xdr:to>
    <xdr:sp macro="" textlink="">
      <xdr:nvSpPr>
        <xdr:cNvPr id="2" name="Rectangle 1">
          <a:extLst>
            <a:ext uri="{FF2B5EF4-FFF2-40B4-BE49-F238E27FC236}">
              <a16:creationId xmlns:a16="http://schemas.microsoft.com/office/drawing/2014/main" id="{A069456F-8EA1-40C7-9520-1E523D90CE52}"/>
            </a:ext>
          </a:extLst>
        </xdr:cNvPr>
        <xdr:cNvSpPr/>
      </xdr:nvSpPr>
      <xdr:spPr bwMode="auto">
        <a:xfrm>
          <a:off x="0" y="0"/>
          <a:ext cx="8801100" cy="2110068"/>
        </a:xfrm>
        <a:prstGeom prst="rect">
          <a:avLst/>
        </a:prstGeom>
        <a:solidFill>
          <a:schemeClr val="accent1">
            <a:alpha val="90000"/>
          </a:schemeClr>
        </a:solidFill>
        <a:ln w="3175" cap="flat">
          <a:noFill/>
          <a:miter lim="400000"/>
        </a:ln>
        <a:effectLst/>
        <a:sp3d/>
      </xdr:spPr>
      <xdr:style>
        <a:lnRef idx="0">
          <a:scrgbClr r="0" g="0" b="0"/>
        </a:lnRef>
        <a:fillRef idx="0">
          <a:scrgbClr r="0" g="0" b="0"/>
        </a:fillRef>
        <a:effectRef idx="0">
          <a:scrgbClr r="0" g="0" b="0"/>
        </a:effectRef>
        <a:fontRef idx="none"/>
      </xdr:style>
      <xdr:txBody>
        <a:bodyPr rot="0" spcFirstLastPara="1" vert="horz" wrap="square" lIns="38100" tIns="38100" rIns="38100" bIns="38100" numCol="1" spcCol="38100" rtlCol="0" anchor="ctr">
          <a:noAutofit/>
        </a:bodyPr>
        <a:lstStyle>
          <a:defPPr marL="0" marR="0" indent="0" algn="l" defTabSz="1446398" rtl="0" fontAlgn="auto" latinLnBrk="1" hangingPunct="0">
            <a:lnSpc>
              <a:spcPct val="100000"/>
            </a:lnSpc>
            <a:spcBef>
              <a:spcPts val="0"/>
            </a:spcBef>
            <a:spcAft>
              <a:spcPts val="0"/>
            </a:spcAft>
            <a:buClrTx/>
            <a:buSzTx/>
            <a:buFontTx/>
            <a:buNone/>
            <a:tabLst/>
            <a:defRPr kumimoji="0" sz="2847" b="0" i="0" u="none" strike="noStrike" cap="none" spc="0" normalizeH="0" baseline="0">
              <a:ln>
                <a:noFill/>
              </a:ln>
              <a:solidFill>
                <a:srgbClr val="000000"/>
              </a:solidFill>
              <a:effectLst/>
              <a:uFillTx/>
            </a:defRPr>
          </a:defPPr>
          <a:lvl1pPr marL="0" marR="0" indent="0"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1pPr>
          <a:lvl2pPr marL="0" marR="0" indent="361599"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2pPr>
          <a:lvl3pPr marL="0" marR="0" indent="723199"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3pPr>
          <a:lvl4pPr marL="0" marR="0" indent="1084798"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4pPr>
          <a:lvl5pPr marL="0" marR="0" indent="1446398"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5pPr>
          <a:lvl6pPr marL="0" marR="0" indent="1807997"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6pPr>
          <a:lvl7pPr marL="0" marR="0" indent="2169597"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7pPr>
          <a:lvl8pPr marL="0" marR="0" indent="2531196"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8pPr>
          <a:lvl9pPr marL="0" marR="0" indent="2892796"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9pPr>
        </a:lstStyle>
        <a:p>
          <a:pPr defTabSz="584200"/>
          <a:endParaRPr lang="pt-BR" sz="2000" b="0">
            <a:solidFill>
              <a:srgbClr val="FFFFFF"/>
            </a:solidFill>
          </a:endParaRPr>
        </a:p>
      </xdr:txBody>
    </xdr:sp>
    <xdr:clientData/>
  </xdr:twoCellAnchor>
  <xdr:twoCellAnchor editAs="oneCell">
    <xdr:from>
      <xdr:col>1</xdr:col>
      <xdr:colOff>549089</xdr:colOff>
      <xdr:row>0</xdr:row>
      <xdr:rowOff>332413</xdr:rowOff>
    </xdr:from>
    <xdr:to>
      <xdr:col>10</xdr:col>
      <xdr:colOff>179294</xdr:colOff>
      <xdr:row>0</xdr:row>
      <xdr:rowOff>1097416</xdr:rowOff>
    </xdr:to>
    <xdr:pic>
      <xdr:nvPicPr>
        <xdr:cNvPr id="3" name="Picture 2">
          <a:extLst>
            <a:ext uri="{FF2B5EF4-FFF2-40B4-BE49-F238E27FC236}">
              <a16:creationId xmlns:a16="http://schemas.microsoft.com/office/drawing/2014/main" id="{9A1DB137-C1AA-44E3-8488-7C786225378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b="27649"/>
        <a:stretch>
          <a:fillRect/>
        </a:stretch>
      </xdr:blipFill>
      <xdr:spPr bwMode="auto">
        <a:xfrm>
          <a:off x="1282514" y="332413"/>
          <a:ext cx="6231030" cy="7650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11206</xdr:colOff>
      <xdr:row>0</xdr:row>
      <xdr:rowOff>895947</xdr:rowOff>
    </xdr:from>
    <xdr:to>
      <xdr:col>11</xdr:col>
      <xdr:colOff>717176</xdr:colOff>
      <xdr:row>0</xdr:row>
      <xdr:rowOff>1770995</xdr:rowOff>
    </xdr:to>
    <xdr:sp macro="" textlink="">
      <xdr:nvSpPr>
        <xdr:cNvPr id="4" name="TextBox 15">
          <a:extLst>
            <a:ext uri="{FF2B5EF4-FFF2-40B4-BE49-F238E27FC236}">
              <a16:creationId xmlns:a16="http://schemas.microsoft.com/office/drawing/2014/main" id="{8178B9D5-435F-4660-B786-8E33E56B3A0F}"/>
            </a:ext>
          </a:extLst>
        </xdr:cNvPr>
        <xdr:cNvSpPr txBox="1">
          <a:spLocks noChangeArrowheads="1"/>
        </xdr:cNvSpPr>
      </xdr:nvSpPr>
      <xdr:spPr bwMode="auto">
        <a:xfrm>
          <a:off x="11206" y="895947"/>
          <a:ext cx="8773645" cy="875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marL="0" marR="0" indent="0" algn="l" defTabSz="1446398" rtl="0" fontAlgn="auto" latinLnBrk="1" hangingPunct="0">
            <a:lnSpc>
              <a:spcPct val="100000"/>
            </a:lnSpc>
            <a:spcBef>
              <a:spcPts val="0"/>
            </a:spcBef>
            <a:spcAft>
              <a:spcPts val="0"/>
            </a:spcAft>
            <a:buClrTx/>
            <a:buSzTx/>
            <a:buFontTx/>
            <a:buNone/>
            <a:tabLst/>
            <a:defRPr kumimoji="0" sz="2847" b="0" i="0" u="none" strike="noStrike" cap="none" spc="0" normalizeH="0" baseline="0">
              <a:ln>
                <a:noFill/>
              </a:ln>
              <a:solidFill>
                <a:srgbClr val="000000"/>
              </a:solidFill>
              <a:effectLst/>
              <a:uFillTx/>
            </a:defRPr>
          </a:defPPr>
          <a:lvl1pPr marL="0" marR="0" indent="0"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1pPr>
          <a:lvl2pPr marL="0" marR="0" indent="361599"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2pPr>
          <a:lvl3pPr marL="0" marR="0" indent="723199"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3pPr>
          <a:lvl4pPr marL="0" marR="0" indent="1084798"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4pPr>
          <a:lvl5pPr marL="0" marR="0" indent="1446398"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5pPr>
          <a:lvl6pPr marL="0" marR="0" indent="1807997"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6pPr>
          <a:lvl7pPr marL="0" marR="0" indent="2169597"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7pPr>
          <a:lvl8pPr marL="0" marR="0" indent="2531196"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8pPr>
          <a:lvl9pPr marL="0" marR="0" indent="2892796"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9pPr>
        </a:lstStyle>
        <a:p>
          <a:pPr eaLnBrk="1" hangingPunct="1">
            <a:lnSpc>
              <a:spcPct val="100000"/>
            </a:lnSpc>
            <a:spcBef>
              <a:spcPct val="0"/>
            </a:spcBef>
            <a:buFontTx/>
            <a:buNone/>
          </a:pPr>
          <a:r>
            <a:rPr lang="pt-BR" altLang="en-US" sz="5000" i="1">
              <a:solidFill>
                <a:schemeClr val="bg2"/>
              </a:solidFill>
              <a:latin typeface="Madera" panose="020B0504020204020204"/>
              <a:ea typeface="Verdana" panose="020B0604030504040204" pitchFamily="34" charset="0"/>
              <a:cs typeface="Verdana" panose="020B0604030504040204" pitchFamily="34" charset="0"/>
            </a:rPr>
            <a:t>CHALLENGE 2026</a:t>
          </a:r>
        </a:p>
      </xdr:txBody>
    </xdr:sp>
    <xdr:clientData/>
  </xdr:twoCellAnchor>
  <xdr:twoCellAnchor>
    <xdr:from>
      <xdr:col>0</xdr:col>
      <xdr:colOff>0</xdr:colOff>
      <xdr:row>6</xdr:row>
      <xdr:rowOff>302565</xdr:rowOff>
    </xdr:from>
    <xdr:to>
      <xdr:col>12</xdr:col>
      <xdr:colOff>0</xdr:colOff>
      <xdr:row>7</xdr:row>
      <xdr:rowOff>235665</xdr:rowOff>
    </xdr:to>
    <xdr:grpSp>
      <xdr:nvGrpSpPr>
        <xdr:cNvPr id="5" name="Group 4">
          <a:extLst>
            <a:ext uri="{FF2B5EF4-FFF2-40B4-BE49-F238E27FC236}">
              <a16:creationId xmlns:a16="http://schemas.microsoft.com/office/drawing/2014/main" id="{BFD95E34-8A8E-4B10-8CFA-B35EF87A1D5D}"/>
            </a:ext>
          </a:extLst>
        </xdr:cNvPr>
        <xdr:cNvGrpSpPr/>
      </xdr:nvGrpSpPr>
      <xdr:grpSpPr>
        <a:xfrm>
          <a:off x="0" y="5817540"/>
          <a:ext cx="8801100" cy="1800000"/>
          <a:chOff x="-216693" y="14288120"/>
          <a:chExt cx="18217356" cy="3712543"/>
        </a:xfrm>
      </xdr:grpSpPr>
      <xdr:sp macro="" textlink="">
        <xdr:nvSpPr>
          <xdr:cNvPr id="6" name="Right Triangle 5">
            <a:extLst>
              <a:ext uri="{FF2B5EF4-FFF2-40B4-BE49-F238E27FC236}">
                <a16:creationId xmlns:a16="http://schemas.microsoft.com/office/drawing/2014/main" id="{9FF5D7E8-D5BB-6458-601F-7216121F1A18}"/>
              </a:ext>
            </a:extLst>
          </xdr:cNvPr>
          <xdr:cNvSpPr/>
        </xdr:nvSpPr>
        <xdr:spPr>
          <a:xfrm flipH="1">
            <a:off x="-216692" y="14288120"/>
            <a:ext cx="18217355" cy="3708000"/>
          </a:xfrm>
          <a:prstGeom prst="rtTriangle">
            <a:avLst/>
          </a:prstGeom>
          <a:solidFill>
            <a:srgbClr val="D4E7FF">
              <a:alpha val="34902"/>
            </a:srgbClr>
          </a:solidFill>
          <a:ln w="3175" cap="flat">
            <a:noFill/>
            <a:miter lim="400000"/>
          </a:ln>
          <a:effectLst/>
          <a:sp3d/>
        </xdr:spPr>
        <xdr:style>
          <a:lnRef idx="0">
            <a:scrgbClr r="0" g="0" b="0"/>
          </a:lnRef>
          <a:fillRef idx="0">
            <a:scrgbClr r="0" g="0" b="0"/>
          </a:fillRef>
          <a:effectRef idx="0">
            <a:scrgbClr r="0" g="0" b="0"/>
          </a:effectRef>
          <a:fontRef idx="none"/>
        </xdr:style>
        <xdr:txBody>
          <a:bodyPr rot="0" spcFirstLastPara="1" vert="horz" wrap="square" lIns="38100" tIns="38100" rIns="38100" bIns="38100" numCol="1" spcCol="38100" rtlCol="0" anchor="ctr">
            <a:spAutoFit/>
          </a:bodyPr>
          <a:lstStyle>
            <a:defPPr marL="0" marR="0" indent="0" algn="l" defTabSz="1446398" rtl="0" fontAlgn="auto" latinLnBrk="1" hangingPunct="0">
              <a:lnSpc>
                <a:spcPct val="100000"/>
              </a:lnSpc>
              <a:spcBef>
                <a:spcPts val="0"/>
              </a:spcBef>
              <a:spcAft>
                <a:spcPts val="0"/>
              </a:spcAft>
              <a:buClrTx/>
              <a:buSzTx/>
              <a:buFontTx/>
              <a:buNone/>
              <a:tabLst/>
              <a:defRPr kumimoji="0" sz="2847" b="0" i="0" u="none" strike="noStrike" cap="none" spc="0" normalizeH="0" baseline="0">
                <a:ln>
                  <a:noFill/>
                </a:ln>
                <a:solidFill>
                  <a:srgbClr val="000000"/>
                </a:solidFill>
                <a:effectLst/>
                <a:uFillTx/>
              </a:defRPr>
            </a:defPPr>
            <a:lvl1pPr marL="0" marR="0" indent="0"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1pPr>
            <a:lvl2pPr marL="0" marR="0" indent="361599"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2pPr>
            <a:lvl3pPr marL="0" marR="0" indent="723199"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3pPr>
            <a:lvl4pPr marL="0" marR="0" indent="1084798"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4pPr>
            <a:lvl5pPr marL="0" marR="0" indent="1446398"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5pPr>
            <a:lvl6pPr marL="0" marR="0" indent="1807997"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6pPr>
            <a:lvl7pPr marL="0" marR="0" indent="2169597"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7pPr>
            <a:lvl8pPr marL="0" marR="0" indent="2531196"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8pPr>
            <a:lvl9pPr marL="0" marR="0" indent="2892796"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9pPr>
          </a:lstStyle>
          <a:p>
            <a:pPr marL="0" marR="0" indent="0" algn="ctr" defTabSz="584200" rtl="0" fontAlgn="auto" latinLnBrk="0" hangingPunct="0">
              <a:lnSpc>
                <a:spcPct val="100000"/>
              </a:lnSpc>
              <a:spcBef>
                <a:spcPts val="0"/>
              </a:spcBef>
              <a:spcAft>
                <a:spcPts val="0"/>
              </a:spcAft>
              <a:buClrTx/>
              <a:buSzTx/>
              <a:buFontTx/>
              <a:buNone/>
              <a:tabLst/>
            </a:pPr>
            <a:endParaRPr kumimoji="0" lang="pt-BR" sz="2000" b="0" i="0" u="none" strike="noStrike" cap="none" spc="0" normalizeH="0" baseline="0">
              <a:ln>
                <a:noFill/>
              </a:ln>
              <a:solidFill>
                <a:srgbClr val="FFFFFF"/>
              </a:solidFill>
              <a:effectLst/>
              <a:uFillTx/>
              <a:latin typeface="+mn-lt"/>
              <a:ea typeface="+mn-ea"/>
              <a:cs typeface="+mn-cs"/>
              <a:sym typeface="Helvetica Neue Medium"/>
            </a:endParaRPr>
          </a:p>
        </xdr:txBody>
      </xdr:sp>
      <xdr:sp macro="" textlink="">
        <xdr:nvSpPr>
          <xdr:cNvPr id="7" name="Right Triangle 6">
            <a:extLst>
              <a:ext uri="{FF2B5EF4-FFF2-40B4-BE49-F238E27FC236}">
                <a16:creationId xmlns:a16="http://schemas.microsoft.com/office/drawing/2014/main" id="{F733F41F-4B7A-4FC5-0A33-C70BF6957DDF}"/>
              </a:ext>
            </a:extLst>
          </xdr:cNvPr>
          <xdr:cNvSpPr/>
        </xdr:nvSpPr>
        <xdr:spPr>
          <a:xfrm flipH="1">
            <a:off x="-216693" y="15192663"/>
            <a:ext cx="18217355" cy="2808000"/>
          </a:xfrm>
          <a:prstGeom prst="rtTriangle">
            <a:avLst/>
          </a:prstGeom>
          <a:solidFill>
            <a:srgbClr val="C9E1FF">
              <a:alpha val="52549"/>
            </a:srgbClr>
          </a:solidFill>
          <a:ln w="3175" cap="flat">
            <a:noFill/>
            <a:miter lim="400000"/>
          </a:ln>
          <a:effectLst/>
          <a:sp3d/>
        </xdr:spPr>
        <xdr:style>
          <a:lnRef idx="0">
            <a:scrgbClr r="0" g="0" b="0"/>
          </a:lnRef>
          <a:fillRef idx="0">
            <a:scrgbClr r="0" g="0" b="0"/>
          </a:fillRef>
          <a:effectRef idx="0">
            <a:scrgbClr r="0" g="0" b="0"/>
          </a:effectRef>
          <a:fontRef idx="none"/>
        </xdr:style>
        <xdr:txBody>
          <a:bodyPr rot="0" spcFirstLastPara="1" vert="horz" wrap="square" lIns="38100" tIns="38100" rIns="38100" bIns="38100" numCol="1" spcCol="38100" rtlCol="0" anchor="ctr">
            <a:spAutoFit/>
          </a:bodyPr>
          <a:lstStyle>
            <a:defPPr marL="0" marR="0" indent="0" algn="l" defTabSz="1446398" rtl="0" fontAlgn="auto" latinLnBrk="1" hangingPunct="0">
              <a:lnSpc>
                <a:spcPct val="100000"/>
              </a:lnSpc>
              <a:spcBef>
                <a:spcPts val="0"/>
              </a:spcBef>
              <a:spcAft>
                <a:spcPts val="0"/>
              </a:spcAft>
              <a:buClrTx/>
              <a:buSzTx/>
              <a:buFontTx/>
              <a:buNone/>
              <a:tabLst/>
              <a:defRPr kumimoji="0" sz="2847" b="0" i="0" u="none" strike="noStrike" cap="none" spc="0" normalizeH="0" baseline="0">
                <a:ln>
                  <a:noFill/>
                </a:ln>
                <a:solidFill>
                  <a:srgbClr val="000000"/>
                </a:solidFill>
                <a:effectLst/>
                <a:uFillTx/>
              </a:defRPr>
            </a:defPPr>
            <a:lvl1pPr marL="0" marR="0" indent="0"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1pPr>
            <a:lvl2pPr marL="0" marR="0" indent="361599"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2pPr>
            <a:lvl3pPr marL="0" marR="0" indent="723199"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3pPr>
            <a:lvl4pPr marL="0" marR="0" indent="1084798"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4pPr>
            <a:lvl5pPr marL="0" marR="0" indent="1446398"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5pPr>
            <a:lvl6pPr marL="0" marR="0" indent="1807997"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6pPr>
            <a:lvl7pPr marL="0" marR="0" indent="2169597"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7pPr>
            <a:lvl8pPr marL="0" marR="0" indent="2531196"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8pPr>
            <a:lvl9pPr marL="0" marR="0" indent="2892796"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9pPr>
          </a:lstStyle>
          <a:p>
            <a:pPr marL="0" marR="0" indent="0" algn="ctr" defTabSz="584200" rtl="0" fontAlgn="auto" latinLnBrk="0" hangingPunct="0">
              <a:lnSpc>
                <a:spcPct val="100000"/>
              </a:lnSpc>
              <a:spcBef>
                <a:spcPts val="0"/>
              </a:spcBef>
              <a:spcAft>
                <a:spcPts val="0"/>
              </a:spcAft>
              <a:buClrTx/>
              <a:buSzTx/>
              <a:buFontTx/>
              <a:buNone/>
              <a:tabLst/>
            </a:pPr>
            <a:endParaRPr kumimoji="0" lang="pt-BR" sz="2000" b="0" i="0" u="none" strike="noStrike" cap="none" spc="0" normalizeH="0" baseline="0">
              <a:ln>
                <a:noFill/>
              </a:ln>
              <a:solidFill>
                <a:srgbClr val="FFFFFF"/>
              </a:solidFill>
              <a:effectLst/>
              <a:uFillTx/>
              <a:latin typeface="+mn-lt"/>
              <a:ea typeface="+mn-ea"/>
              <a:cs typeface="+mn-cs"/>
              <a:sym typeface="Helvetica Neue Medium"/>
            </a:endParaRPr>
          </a:p>
        </xdr:txBody>
      </xdr:sp>
      <xdr:sp macro="" textlink="">
        <xdr:nvSpPr>
          <xdr:cNvPr id="8" name="Right Triangle 7">
            <a:extLst>
              <a:ext uri="{FF2B5EF4-FFF2-40B4-BE49-F238E27FC236}">
                <a16:creationId xmlns:a16="http://schemas.microsoft.com/office/drawing/2014/main" id="{8E9A031F-EB5E-3023-D566-D90A7DF01F7C}"/>
              </a:ext>
            </a:extLst>
          </xdr:cNvPr>
          <xdr:cNvSpPr/>
        </xdr:nvSpPr>
        <xdr:spPr>
          <a:xfrm flipH="1">
            <a:off x="-216692" y="16092663"/>
            <a:ext cx="18217355" cy="1908000"/>
          </a:xfrm>
          <a:prstGeom prst="rtTriangle">
            <a:avLst/>
          </a:prstGeom>
          <a:solidFill>
            <a:srgbClr val="C5DFFF"/>
          </a:solidFill>
          <a:ln w="3175" cap="flat">
            <a:noFill/>
            <a:miter lim="400000"/>
          </a:ln>
          <a:effectLst/>
          <a:sp3d/>
        </xdr:spPr>
        <xdr:style>
          <a:lnRef idx="0">
            <a:scrgbClr r="0" g="0" b="0"/>
          </a:lnRef>
          <a:fillRef idx="0">
            <a:scrgbClr r="0" g="0" b="0"/>
          </a:fillRef>
          <a:effectRef idx="0">
            <a:scrgbClr r="0" g="0" b="0"/>
          </a:effectRef>
          <a:fontRef idx="none"/>
        </xdr:style>
        <xdr:txBody>
          <a:bodyPr rot="0" spcFirstLastPara="1" vert="horz" wrap="square" lIns="38100" tIns="38100" rIns="38100" bIns="38100" numCol="1" spcCol="38100" rtlCol="0" anchor="ctr">
            <a:spAutoFit/>
          </a:bodyPr>
          <a:lstStyle>
            <a:defPPr marL="0" marR="0" indent="0" algn="l" defTabSz="1446398" rtl="0" fontAlgn="auto" latinLnBrk="1" hangingPunct="0">
              <a:lnSpc>
                <a:spcPct val="100000"/>
              </a:lnSpc>
              <a:spcBef>
                <a:spcPts val="0"/>
              </a:spcBef>
              <a:spcAft>
                <a:spcPts val="0"/>
              </a:spcAft>
              <a:buClrTx/>
              <a:buSzTx/>
              <a:buFontTx/>
              <a:buNone/>
              <a:tabLst/>
              <a:defRPr kumimoji="0" sz="2847" b="0" i="0" u="none" strike="noStrike" cap="none" spc="0" normalizeH="0" baseline="0">
                <a:ln>
                  <a:noFill/>
                </a:ln>
                <a:solidFill>
                  <a:srgbClr val="000000"/>
                </a:solidFill>
                <a:effectLst/>
                <a:uFillTx/>
              </a:defRPr>
            </a:defPPr>
            <a:lvl1pPr marL="0" marR="0" indent="0"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1pPr>
            <a:lvl2pPr marL="0" marR="0" indent="361599"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2pPr>
            <a:lvl3pPr marL="0" marR="0" indent="723199"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3pPr>
            <a:lvl4pPr marL="0" marR="0" indent="1084798"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4pPr>
            <a:lvl5pPr marL="0" marR="0" indent="1446398"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5pPr>
            <a:lvl6pPr marL="0" marR="0" indent="1807997"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6pPr>
            <a:lvl7pPr marL="0" marR="0" indent="2169597"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7pPr>
            <a:lvl8pPr marL="0" marR="0" indent="2531196"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8pPr>
            <a:lvl9pPr marL="0" marR="0" indent="2892796"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9pPr>
          </a:lstStyle>
          <a:p>
            <a:pPr marL="0" marR="0" indent="0" algn="ctr" defTabSz="584200" rtl="0" fontAlgn="auto" latinLnBrk="0" hangingPunct="0">
              <a:lnSpc>
                <a:spcPct val="100000"/>
              </a:lnSpc>
              <a:spcBef>
                <a:spcPts val="0"/>
              </a:spcBef>
              <a:spcAft>
                <a:spcPts val="0"/>
              </a:spcAft>
              <a:buClrTx/>
              <a:buSzTx/>
              <a:buFontTx/>
              <a:buNone/>
              <a:tabLst/>
            </a:pPr>
            <a:endParaRPr kumimoji="0" lang="pt-BR" sz="2000" b="0" i="0" u="none" strike="noStrike" cap="none" spc="0" normalizeH="0" baseline="0">
              <a:ln>
                <a:noFill/>
              </a:ln>
              <a:solidFill>
                <a:srgbClr val="FFFFFF"/>
              </a:solidFill>
              <a:effectLst/>
              <a:uFillTx/>
              <a:latin typeface="+mn-lt"/>
              <a:ea typeface="+mn-ea"/>
              <a:cs typeface="+mn-cs"/>
              <a:sym typeface="Helvetica Neue Medium"/>
            </a:endParaRPr>
          </a:p>
        </xdr:txBody>
      </xdr:sp>
    </xdr:grpSp>
    <xdr:clientData/>
  </xdr:twoCellAnchor>
  <xdr:twoCellAnchor>
    <xdr:from>
      <xdr:col>0</xdr:col>
      <xdr:colOff>0</xdr:colOff>
      <xdr:row>6</xdr:row>
      <xdr:rowOff>306706</xdr:rowOff>
    </xdr:from>
    <xdr:to>
      <xdr:col>12</xdr:col>
      <xdr:colOff>0</xdr:colOff>
      <xdr:row>7</xdr:row>
      <xdr:rowOff>235324</xdr:rowOff>
    </xdr:to>
    <xdr:grpSp>
      <xdr:nvGrpSpPr>
        <xdr:cNvPr id="9" name="Group 8">
          <a:extLst>
            <a:ext uri="{FF2B5EF4-FFF2-40B4-BE49-F238E27FC236}">
              <a16:creationId xmlns:a16="http://schemas.microsoft.com/office/drawing/2014/main" id="{3541F7C1-72A4-4601-B41B-DAD0A644CA0D}"/>
            </a:ext>
          </a:extLst>
        </xdr:cNvPr>
        <xdr:cNvGrpSpPr/>
      </xdr:nvGrpSpPr>
      <xdr:grpSpPr>
        <a:xfrm flipH="1">
          <a:off x="0" y="5821681"/>
          <a:ext cx="8801100" cy="1795518"/>
          <a:chOff x="-216693" y="14288120"/>
          <a:chExt cx="18217356" cy="3712543"/>
        </a:xfrm>
      </xdr:grpSpPr>
      <xdr:sp macro="" textlink="">
        <xdr:nvSpPr>
          <xdr:cNvPr id="10" name="Right Triangle 9">
            <a:extLst>
              <a:ext uri="{FF2B5EF4-FFF2-40B4-BE49-F238E27FC236}">
                <a16:creationId xmlns:a16="http://schemas.microsoft.com/office/drawing/2014/main" id="{B8419501-C628-3122-E933-993BA74DF35A}"/>
              </a:ext>
            </a:extLst>
          </xdr:cNvPr>
          <xdr:cNvSpPr/>
        </xdr:nvSpPr>
        <xdr:spPr>
          <a:xfrm flipH="1">
            <a:off x="-216692" y="14288120"/>
            <a:ext cx="18217355" cy="3708000"/>
          </a:xfrm>
          <a:prstGeom prst="rtTriangle">
            <a:avLst/>
          </a:prstGeom>
          <a:solidFill>
            <a:schemeClr val="accent6">
              <a:lumMod val="40000"/>
              <a:lumOff val="60000"/>
              <a:alpha val="34902"/>
            </a:schemeClr>
          </a:solidFill>
          <a:ln w="3175" cap="flat">
            <a:noFill/>
            <a:miter lim="400000"/>
          </a:ln>
          <a:effectLst/>
          <a:sp3d/>
        </xdr:spPr>
        <xdr:style>
          <a:lnRef idx="0">
            <a:scrgbClr r="0" g="0" b="0"/>
          </a:lnRef>
          <a:fillRef idx="0">
            <a:scrgbClr r="0" g="0" b="0"/>
          </a:fillRef>
          <a:effectRef idx="0">
            <a:scrgbClr r="0" g="0" b="0"/>
          </a:effectRef>
          <a:fontRef idx="none"/>
        </xdr:style>
        <xdr:txBody>
          <a:bodyPr rot="0" spcFirstLastPara="1" vert="horz" wrap="square" lIns="38100" tIns="38100" rIns="38100" bIns="38100" numCol="1" spcCol="38100" rtlCol="0" anchor="ctr">
            <a:spAutoFit/>
          </a:bodyPr>
          <a:lstStyle>
            <a:defPPr marL="0" marR="0" indent="0" algn="l" defTabSz="1446398" rtl="0" fontAlgn="auto" latinLnBrk="1" hangingPunct="0">
              <a:lnSpc>
                <a:spcPct val="100000"/>
              </a:lnSpc>
              <a:spcBef>
                <a:spcPts val="0"/>
              </a:spcBef>
              <a:spcAft>
                <a:spcPts val="0"/>
              </a:spcAft>
              <a:buClrTx/>
              <a:buSzTx/>
              <a:buFontTx/>
              <a:buNone/>
              <a:tabLst/>
              <a:defRPr kumimoji="0" sz="2847" b="0" i="0" u="none" strike="noStrike" cap="none" spc="0" normalizeH="0" baseline="0">
                <a:ln>
                  <a:noFill/>
                </a:ln>
                <a:solidFill>
                  <a:srgbClr val="000000"/>
                </a:solidFill>
                <a:effectLst/>
                <a:uFillTx/>
              </a:defRPr>
            </a:defPPr>
            <a:lvl1pPr marL="0" marR="0" indent="0"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1pPr>
            <a:lvl2pPr marL="0" marR="0" indent="361599"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2pPr>
            <a:lvl3pPr marL="0" marR="0" indent="723199"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3pPr>
            <a:lvl4pPr marL="0" marR="0" indent="1084798"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4pPr>
            <a:lvl5pPr marL="0" marR="0" indent="1446398"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5pPr>
            <a:lvl6pPr marL="0" marR="0" indent="1807997"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6pPr>
            <a:lvl7pPr marL="0" marR="0" indent="2169597"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7pPr>
            <a:lvl8pPr marL="0" marR="0" indent="2531196"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8pPr>
            <a:lvl9pPr marL="0" marR="0" indent="2892796"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9pPr>
          </a:lstStyle>
          <a:p>
            <a:pPr marL="0" marR="0" indent="0" algn="ctr" defTabSz="584200" rtl="0" fontAlgn="auto" latinLnBrk="0" hangingPunct="0">
              <a:lnSpc>
                <a:spcPct val="100000"/>
              </a:lnSpc>
              <a:spcBef>
                <a:spcPts val="0"/>
              </a:spcBef>
              <a:spcAft>
                <a:spcPts val="0"/>
              </a:spcAft>
              <a:buClrTx/>
              <a:buSzTx/>
              <a:buFontTx/>
              <a:buNone/>
              <a:tabLst/>
            </a:pPr>
            <a:endParaRPr kumimoji="0" lang="pt-BR" sz="2000" b="0" i="0" u="none" strike="noStrike" cap="none" spc="0" normalizeH="0" baseline="0">
              <a:ln>
                <a:noFill/>
              </a:ln>
              <a:solidFill>
                <a:srgbClr val="FFFFFF"/>
              </a:solidFill>
              <a:effectLst/>
              <a:uFillTx/>
              <a:latin typeface="+mn-lt"/>
              <a:ea typeface="+mn-ea"/>
              <a:cs typeface="+mn-cs"/>
              <a:sym typeface="Helvetica Neue Medium"/>
            </a:endParaRPr>
          </a:p>
        </xdr:txBody>
      </xdr:sp>
      <xdr:sp macro="" textlink="">
        <xdr:nvSpPr>
          <xdr:cNvPr id="11" name="Right Triangle 10">
            <a:extLst>
              <a:ext uri="{FF2B5EF4-FFF2-40B4-BE49-F238E27FC236}">
                <a16:creationId xmlns:a16="http://schemas.microsoft.com/office/drawing/2014/main" id="{4CA32A93-44FE-5325-02D9-0C1FD0A889AA}"/>
              </a:ext>
            </a:extLst>
          </xdr:cNvPr>
          <xdr:cNvSpPr/>
        </xdr:nvSpPr>
        <xdr:spPr>
          <a:xfrm flipH="1">
            <a:off x="-216693" y="15192663"/>
            <a:ext cx="18217355" cy="2808000"/>
          </a:xfrm>
          <a:prstGeom prst="rtTriangle">
            <a:avLst/>
          </a:prstGeom>
          <a:solidFill>
            <a:srgbClr val="B8EEE5">
              <a:alpha val="52157"/>
            </a:srgbClr>
          </a:solidFill>
          <a:ln w="3175" cap="flat">
            <a:noFill/>
            <a:miter lim="400000"/>
          </a:ln>
          <a:effectLst/>
          <a:sp3d/>
        </xdr:spPr>
        <xdr:style>
          <a:lnRef idx="0">
            <a:scrgbClr r="0" g="0" b="0"/>
          </a:lnRef>
          <a:fillRef idx="0">
            <a:scrgbClr r="0" g="0" b="0"/>
          </a:fillRef>
          <a:effectRef idx="0">
            <a:scrgbClr r="0" g="0" b="0"/>
          </a:effectRef>
          <a:fontRef idx="none"/>
        </xdr:style>
        <xdr:txBody>
          <a:bodyPr rot="0" spcFirstLastPara="1" vert="horz" wrap="square" lIns="38100" tIns="38100" rIns="38100" bIns="38100" numCol="1" spcCol="38100" rtlCol="0" anchor="ctr">
            <a:spAutoFit/>
          </a:bodyPr>
          <a:lstStyle>
            <a:defPPr marL="0" marR="0" indent="0" algn="l" defTabSz="1446398" rtl="0" fontAlgn="auto" latinLnBrk="1" hangingPunct="0">
              <a:lnSpc>
                <a:spcPct val="100000"/>
              </a:lnSpc>
              <a:spcBef>
                <a:spcPts val="0"/>
              </a:spcBef>
              <a:spcAft>
                <a:spcPts val="0"/>
              </a:spcAft>
              <a:buClrTx/>
              <a:buSzTx/>
              <a:buFontTx/>
              <a:buNone/>
              <a:tabLst/>
              <a:defRPr kumimoji="0" sz="2847" b="0" i="0" u="none" strike="noStrike" cap="none" spc="0" normalizeH="0" baseline="0">
                <a:ln>
                  <a:noFill/>
                </a:ln>
                <a:solidFill>
                  <a:srgbClr val="000000"/>
                </a:solidFill>
                <a:effectLst/>
                <a:uFillTx/>
              </a:defRPr>
            </a:defPPr>
            <a:lvl1pPr marL="0" marR="0" indent="0"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1pPr>
            <a:lvl2pPr marL="0" marR="0" indent="361599"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2pPr>
            <a:lvl3pPr marL="0" marR="0" indent="723199"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3pPr>
            <a:lvl4pPr marL="0" marR="0" indent="1084798"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4pPr>
            <a:lvl5pPr marL="0" marR="0" indent="1446398"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5pPr>
            <a:lvl6pPr marL="0" marR="0" indent="1807997"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6pPr>
            <a:lvl7pPr marL="0" marR="0" indent="2169597"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7pPr>
            <a:lvl8pPr marL="0" marR="0" indent="2531196"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8pPr>
            <a:lvl9pPr marL="0" marR="0" indent="2892796"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9pPr>
          </a:lstStyle>
          <a:p>
            <a:pPr marL="0" marR="0" indent="0" algn="ctr" defTabSz="584200" rtl="0" fontAlgn="auto" latinLnBrk="0" hangingPunct="0">
              <a:lnSpc>
                <a:spcPct val="100000"/>
              </a:lnSpc>
              <a:spcBef>
                <a:spcPts val="0"/>
              </a:spcBef>
              <a:spcAft>
                <a:spcPts val="0"/>
              </a:spcAft>
              <a:buClrTx/>
              <a:buSzTx/>
              <a:buFontTx/>
              <a:buNone/>
              <a:tabLst/>
            </a:pPr>
            <a:endParaRPr kumimoji="0" lang="pt-BR" sz="2000" b="0" i="0" u="none" strike="noStrike" cap="none" spc="0" normalizeH="0" baseline="0">
              <a:ln>
                <a:noFill/>
              </a:ln>
              <a:solidFill>
                <a:srgbClr val="FFFFFF"/>
              </a:solidFill>
              <a:effectLst/>
              <a:uFillTx/>
              <a:latin typeface="+mn-lt"/>
              <a:ea typeface="+mn-ea"/>
              <a:cs typeface="+mn-cs"/>
              <a:sym typeface="Helvetica Neue Medium"/>
            </a:endParaRPr>
          </a:p>
        </xdr:txBody>
      </xdr:sp>
      <xdr:sp macro="" textlink="">
        <xdr:nvSpPr>
          <xdr:cNvPr id="12" name="Right Triangle 11">
            <a:extLst>
              <a:ext uri="{FF2B5EF4-FFF2-40B4-BE49-F238E27FC236}">
                <a16:creationId xmlns:a16="http://schemas.microsoft.com/office/drawing/2014/main" id="{2A23FA7F-961F-5D7E-9E5B-40D12C3749B6}"/>
              </a:ext>
            </a:extLst>
          </xdr:cNvPr>
          <xdr:cNvSpPr/>
        </xdr:nvSpPr>
        <xdr:spPr>
          <a:xfrm flipH="1">
            <a:off x="-216692" y="16092663"/>
            <a:ext cx="18217355" cy="1908000"/>
          </a:xfrm>
          <a:prstGeom prst="rtTriangle">
            <a:avLst/>
          </a:prstGeom>
          <a:solidFill>
            <a:schemeClr val="accent6">
              <a:lumMod val="60000"/>
              <a:lumOff val="40000"/>
            </a:schemeClr>
          </a:solidFill>
          <a:ln w="3175" cap="flat">
            <a:noFill/>
            <a:miter lim="400000"/>
          </a:ln>
          <a:effectLst/>
          <a:sp3d/>
        </xdr:spPr>
        <xdr:style>
          <a:lnRef idx="0">
            <a:scrgbClr r="0" g="0" b="0"/>
          </a:lnRef>
          <a:fillRef idx="0">
            <a:scrgbClr r="0" g="0" b="0"/>
          </a:fillRef>
          <a:effectRef idx="0">
            <a:scrgbClr r="0" g="0" b="0"/>
          </a:effectRef>
          <a:fontRef idx="none"/>
        </xdr:style>
        <xdr:txBody>
          <a:bodyPr rot="0" spcFirstLastPara="1" vert="horz" wrap="square" lIns="38100" tIns="38100" rIns="38100" bIns="38100" numCol="1" spcCol="38100" rtlCol="0" anchor="ctr">
            <a:spAutoFit/>
          </a:bodyPr>
          <a:lstStyle>
            <a:defPPr marL="0" marR="0" indent="0" algn="l" defTabSz="1446398" rtl="0" fontAlgn="auto" latinLnBrk="1" hangingPunct="0">
              <a:lnSpc>
                <a:spcPct val="100000"/>
              </a:lnSpc>
              <a:spcBef>
                <a:spcPts val="0"/>
              </a:spcBef>
              <a:spcAft>
                <a:spcPts val="0"/>
              </a:spcAft>
              <a:buClrTx/>
              <a:buSzTx/>
              <a:buFontTx/>
              <a:buNone/>
              <a:tabLst/>
              <a:defRPr kumimoji="0" sz="2847" b="0" i="0" u="none" strike="noStrike" cap="none" spc="0" normalizeH="0" baseline="0">
                <a:ln>
                  <a:noFill/>
                </a:ln>
                <a:solidFill>
                  <a:srgbClr val="000000"/>
                </a:solidFill>
                <a:effectLst/>
                <a:uFillTx/>
              </a:defRPr>
            </a:defPPr>
            <a:lvl1pPr marL="0" marR="0" indent="0"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1pPr>
            <a:lvl2pPr marL="0" marR="0" indent="361599"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2pPr>
            <a:lvl3pPr marL="0" marR="0" indent="723199"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3pPr>
            <a:lvl4pPr marL="0" marR="0" indent="1084798"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4pPr>
            <a:lvl5pPr marL="0" marR="0" indent="1446398"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5pPr>
            <a:lvl6pPr marL="0" marR="0" indent="1807997"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6pPr>
            <a:lvl7pPr marL="0" marR="0" indent="2169597"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7pPr>
            <a:lvl8pPr marL="0" marR="0" indent="2531196"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8pPr>
            <a:lvl9pPr marL="0" marR="0" indent="2892796" algn="ctr" defTabSz="924088" rtl="0" fontAlgn="auto" latinLnBrk="0" hangingPunct="0">
              <a:lnSpc>
                <a:spcPct val="100000"/>
              </a:lnSpc>
              <a:spcBef>
                <a:spcPts val="0"/>
              </a:spcBef>
              <a:spcAft>
                <a:spcPts val="0"/>
              </a:spcAft>
              <a:buClrTx/>
              <a:buSzTx/>
              <a:buFontTx/>
              <a:buNone/>
              <a:tabLst/>
              <a:defRPr kumimoji="0" sz="3480" b="1" i="0" u="none" strike="noStrike" cap="none" spc="0" normalizeH="0" baseline="0">
                <a:ln>
                  <a:noFill/>
                </a:ln>
                <a:solidFill>
                  <a:srgbClr val="000000"/>
                </a:solidFill>
                <a:effectLst/>
                <a:uFillTx/>
                <a:latin typeface="Helvetica Neue"/>
                <a:ea typeface="Helvetica Neue"/>
                <a:cs typeface="Helvetica Neue"/>
                <a:sym typeface="Helvetica Neue"/>
              </a:defRPr>
            </a:lvl9pPr>
          </a:lstStyle>
          <a:p>
            <a:pPr marL="0" marR="0" indent="0" algn="ctr" defTabSz="584200" rtl="0" fontAlgn="auto" latinLnBrk="0" hangingPunct="0">
              <a:lnSpc>
                <a:spcPct val="100000"/>
              </a:lnSpc>
              <a:spcBef>
                <a:spcPts val="0"/>
              </a:spcBef>
              <a:spcAft>
                <a:spcPts val="0"/>
              </a:spcAft>
              <a:buClrTx/>
              <a:buSzTx/>
              <a:buFontTx/>
              <a:buNone/>
              <a:tabLst/>
            </a:pPr>
            <a:endParaRPr kumimoji="0" lang="pt-BR" sz="2000" b="0" i="0" u="none" strike="noStrike" cap="none" spc="0" normalizeH="0" baseline="0">
              <a:ln>
                <a:noFill/>
              </a:ln>
              <a:solidFill>
                <a:srgbClr val="FFFFFF"/>
              </a:solidFill>
              <a:effectLst/>
              <a:uFillTx/>
              <a:latin typeface="+mn-lt"/>
              <a:ea typeface="+mn-ea"/>
              <a:cs typeface="+mn-cs"/>
              <a:sym typeface="Helvetica Neue Medium"/>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466725</xdr:colOff>
      <xdr:row>1</xdr:row>
      <xdr:rowOff>0</xdr:rowOff>
    </xdr:from>
    <xdr:to>
      <xdr:col>2</xdr:col>
      <xdr:colOff>131172</xdr:colOff>
      <xdr:row>4</xdr:row>
      <xdr:rowOff>113026</xdr:rowOff>
    </xdr:to>
    <xdr:pic>
      <xdr:nvPicPr>
        <xdr:cNvPr id="4" name="Picture 3">
          <a:extLst>
            <a:ext uri="{FF2B5EF4-FFF2-40B4-BE49-F238E27FC236}">
              <a16:creationId xmlns:a16="http://schemas.microsoft.com/office/drawing/2014/main" id="{5FBE1FC9-10B9-4565-BBD6-317E297D43D1}"/>
            </a:ext>
          </a:extLst>
        </xdr:cNvPr>
        <xdr:cNvPicPr>
          <a:picLocks noChangeAspect="1"/>
        </xdr:cNvPicPr>
      </xdr:nvPicPr>
      <xdr:blipFill>
        <a:blip xmlns:r="http://schemas.openxmlformats.org/officeDocument/2006/relationships" r:embed="rId1"/>
        <a:stretch>
          <a:fillRect/>
        </a:stretch>
      </xdr:blipFill>
      <xdr:spPr>
        <a:xfrm>
          <a:off x="619125" y="142875"/>
          <a:ext cx="2868657" cy="694051"/>
        </a:xfrm>
        <a:prstGeom prst="rect">
          <a:avLst/>
        </a:prstGeom>
      </xdr:spPr>
    </xdr:pic>
    <xdr:clientData/>
  </xdr:twoCellAnchor>
  <xdr:twoCellAnchor>
    <xdr:from>
      <xdr:col>36</xdr:col>
      <xdr:colOff>542925</xdr:colOff>
      <xdr:row>47</xdr:row>
      <xdr:rowOff>128588</xdr:rowOff>
    </xdr:from>
    <xdr:to>
      <xdr:col>41</xdr:col>
      <xdr:colOff>828675</xdr:colOff>
      <xdr:row>62</xdr:row>
      <xdr:rowOff>14288</xdr:rowOff>
    </xdr:to>
    <xdr:graphicFrame macro="">
      <xdr:nvGraphicFramePr>
        <xdr:cNvPr id="6" name="Gráfico 2">
          <a:extLst>
            <a:ext uri="{FF2B5EF4-FFF2-40B4-BE49-F238E27FC236}">
              <a16:creationId xmlns:a16="http://schemas.microsoft.com/office/drawing/2014/main" id="{86EF19E7-3135-45B8-15DE-1D6EC7E5B2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371475</xdr:colOff>
      <xdr:row>62</xdr:row>
      <xdr:rowOff>61913</xdr:rowOff>
    </xdr:from>
    <xdr:to>
      <xdr:col>31</xdr:col>
      <xdr:colOff>657225</xdr:colOff>
      <xdr:row>76</xdr:row>
      <xdr:rowOff>138113</xdr:rowOff>
    </xdr:to>
    <xdr:graphicFrame macro="">
      <xdr:nvGraphicFramePr>
        <xdr:cNvPr id="19" name="Gráfico 4">
          <a:extLst>
            <a:ext uri="{FF2B5EF4-FFF2-40B4-BE49-F238E27FC236}">
              <a16:creationId xmlns:a16="http://schemas.microsoft.com/office/drawing/2014/main" id="{0B89D02F-2CFB-A868-4DA3-39D44C0397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251011</xdr:colOff>
      <xdr:row>517</xdr:row>
      <xdr:rowOff>53789</xdr:rowOff>
    </xdr:from>
    <xdr:to>
      <xdr:col>13</xdr:col>
      <xdr:colOff>35859</xdr:colOff>
      <xdr:row>531</xdr:row>
      <xdr:rowOff>161365</xdr:rowOff>
    </xdr:to>
    <xdr:graphicFrame macro="">
      <xdr:nvGraphicFramePr>
        <xdr:cNvPr id="2" name="Gráfico 1">
          <a:extLst>
            <a:ext uri="{FF2B5EF4-FFF2-40B4-BE49-F238E27FC236}">
              <a16:creationId xmlns:a16="http://schemas.microsoft.com/office/drawing/2014/main" id="{1B754169-4E95-D53C-6DCE-DF7C21643C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385483</xdr:colOff>
      <xdr:row>925</xdr:row>
      <xdr:rowOff>62753</xdr:rowOff>
    </xdr:from>
    <xdr:to>
      <xdr:col>30</xdr:col>
      <xdr:colOff>654424</xdr:colOff>
      <xdr:row>939</xdr:row>
      <xdr:rowOff>170329</xdr:rowOff>
    </xdr:to>
    <xdr:graphicFrame macro="">
      <xdr:nvGraphicFramePr>
        <xdr:cNvPr id="5" name="Gráfico 4">
          <a:extLst>
            <a:ext uri="{FF2B5EF4-FFF2-40B4-BE49-F238E27FC236}">
              <a16:creationId xmlns:a16="http://schemas.microsoft.com/office/drawing/2014/main" id="{69393F87-8883-1AC4-7469-309B8287FD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398441</xdr:colOff>
      <xdr:row>0</xdr:row>
      <xdr:rowOff>175198</xdr:rowOff>
    </xdr:from>
    <xdr:to>
      <xdr:col>1</xdr:col>
      <xdr:colOff>1692497</xdr:colOff>
      <xdr:row>2</xdr:row>
      <xdr:rowOff>174760</xdr:rowOff>
    </xdr:to>
    <xdr:pic>
      <xdr:nvPicPr>
        <xdr:cNvPr id="2" name="Picture 1" descr="Restaurant Brands International 2026 Company Profile: Stock Performance &amp;  Earnings | PitchBook">
          <a:extLst>
            <a:ext uri="{FF2B5EF4-FFF2-40B4-BE49-F238E27FC236}">
              <a16:creationId xmlns:a16="http://schemas.microsoft.com/office/drawing/2014/main" id="{F2467D67-6FC0-D160-3DAC-09D0D66363D3}"/>
            </a:ext>
          </a:extLst>
        </xdr:cNvPr>
        <xdr:cNvPicPr>
          <a:picLocks noChangeAspect="1" noChangeArrowheads="1"/>
        </xdr:cNvPicPr>
      </xdr:nvPicPr>
      <xdr:blipFill rotWithShape="1">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t="32766" b="32766"/>
        <a:stretch>
          <a:fillRect/>
        </a:stretch>
      </xdr:blipFill>
      <xdr:spPr bwMode="auto">
        <a:xfrm>
          <a:off x="555323" y="175198"/>
          <a:ext cx="1301676" cy="4461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699247</xdr:colOff>
      <xdr:row>42</xdr:row>
      <xdr:rowOff>26894</xdr:rowOff>
    </xdr:from>
    <xdr:to>
      <xdr:col>14</xdr:col>
      <xdr:colOff>627529</xdr:colOff>
      <xdr:row>59</xdr:row>
      <xdr:rowOff>0</xdr:rowOff>
    </xdr:to>
    <xdr:graphicFrame macro="">
      <xdr:nvGraphicFramePr>
        <xdr:cNvPr id="4" name="Gráfico 3">
          <a:extLst>
            <a:ext uri="{FF2B5EF4-FFF2-40B4-BE49-F238E27FC236}">
              <a16:creationId xmlns:a16="http://schemas.microsoft.com/office/drawing/2014/main" id="{5770A42C-009D-477B-361F-900B1D882F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129540</xdr:colOff>
      <xdr:row>13</xdr:row>
      <xdr:rowOff>38100</xdr:rowOff>
    </xdr:from>
    <xdr:to>
      <xdr:col>10</xdr:col>
      <xdr:colOff>510541</xdr:colOff>
      <xdr:row>14</xdr:row>
      <xdr:rowOff>40004</xdr:rowOff>
    </xdr:to>
    <xdr:sp macro="" textlink="">
      <xdr:nvSpPr>
        <xdr:cNvPr id="2" name="Seta: para a Direita 1" descr="93fc9c90-7182-4e32-a810-9baec5692d85">
          <a:extLst>
            <a:ext uri="{FF2B5EF4-FFF2-40B4-BE49-F238E27FC236}">
              <a16:creationId xmlns:a16="http://schemas.microsoft.com/office/drawing/2014/main" id="{A9E7D704-B2C3-417B-AEAC-D4C76A7A1EDC}"/>
            </a:ext>
          </a:extLst>
        </xdr:cNvPr>
        <xdr:cNvSpPr/>
      </xdr:nvSpPr>
      <xdr:spPr>
        <a:xfrm>
          <a:off x="4396740" y="2415540"/>
          <a:ext cx="2209801" cy="18478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17</xdr:col>
      <xdr:colOff>488576</xdr:colOff>
      <xdr:row>84</xdr:row>
      <xdr:rowOff>44823</xdr:rowOff>
    </xdr:from>
    <xdr:to>
      <xdr:col>22</xdr:col>
      <xdr:colOff>748553</xdr:colOff>
      <xdr:row>96</xdr:row>
      <xdr:rowOff>80682</xdr:rowOff>
    </xdr:to>
    <xdr:graphicFrame macro="">
      <xdr:nvGraphicFramePr>
        <xdr:cNvPr id="3" name="Gráfico 2">
          <a:extLst>
            <a:ext uri="{FF2B5EF4-FFF2-40B4-BE49-F238E27FC236}">
              <a16:creationId xmlns:a16="http://schemas.microsoft.com/office/drawing/2014/main" id="{0AF8D547-3EFE-6BFC-EC9E-FA57AF5F50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142212</xdr:colOff>
      <xdr:row>68</xdr:row>
      <xdr:rowOff>171145</xdr:rowOff>
    </xdr:from>
    <xdr:to>
      <xdr:col>33</xdr:col>
      <xdr:colOff>499171</xdr:colOff>
      <xdr:row>79</xdr:row>
      <xdr:rowOff>225747</xdr:rowOff>
    </xdr:to>
    <xdr:graphicFrame macro="">
      <xdr:nvGraphicFramePr>
        <xdr:cNvPr id="5" name="Gráfico 4">
          <a:extLst>
            <a:ext uri="{FF2B5EF4-FFF2-40B4-BE49-F238E27FC236}">
              <a16:creationId xmlns:a16="http://schemas.microsoft.com/office/drawing/2014/main" id="{D69A3AD1-7E8C-AD76-3C7E-21AEFDBA44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304800</xdr:colOff>
      <xdr:row>124</xdr:row>
      <xdr:rowOff>174172</xdr:rowOff>
    </xdr:from>
    <xdr:to>
      <xdr:col>27</xdr:col>
      <xdr:colOff>468086</xdr:colOff>
      <xdr:row>133</xdr:row>
      <xdr:rowOff>533401</xdr:rowOff>
    </xdr:to>
    <xdr:graphicFrame macro="">
      <xdr:nvGraphicFramePr>
        <xdr:cNvPr id="8" name="Gráfico 7">
          <a:extLst>
            <a:ext uri="{FF2B5EF4-FFF2-40B4-BE49-F238E27FC236}">
              <a16:creationId xmlns:a16="http://schemas.microsoft.com/office/drawing/2014/main" id="{81B85980-8093-75E9-353F-021CFD5FF8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533400</xdr:colOff>
      <xdr:row>5</xdr:row>
      <xdr:rowOff>133350</xdr:rowOff>
    </xdr:from>
    <xdr:to>
      <xdr:col>15</xdr:col>
      <xdr:colOff>228600</xdr:colOff>
      <xdr:row>20</xdr:row>
      <xdr:rowOff>133350</xdr:rowOff>
    </xdr:to>
    <xdr:graphicFrame macro="">
      <xdr:nvGraphicFramePr>
        <xdr:cNvPr id="13" name="Gráfico 1">
          <a:extLst>
            <a:ext uri="{FF2B5EF4-FFF2-40B4-BE49-F238E27FC236}">
              <a16:creationId xmlns:a16="http://schemas.microsoft.com/office/drawing/2014/main" id="{BE49F1F9-A57A-438B-E3C9-CB597F0C2F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502920</xdr:colOff>
      <xdr:row>3</xdr:row>
      <xdr:rowOff>140970</xdr:rowOff>
    </xdr:from>
    <xdr:to>
      <xdr:col>10</xdr:col>
      <xdr:colOff>198120</xdr:colOff>
      <xdr:row>18</xdr:row>
      <xdr:rowOff>140970</xdr:rowOff>
    </xdr:to>
    <xdr:graphicFrame macro="">
      <xdr:nvGraphicFramePr>
        <xdr:cNvPr id="2" name="Gráfico 1">
          <a:extLst>
            <a:ext uri="{FF2B5EF4-FFF2-40B4-BE49-F238E27FC236}">
              <a16:creationId xmlns:a16="http://schemas.microsoft.com/office/drawing/2014/main" id="{7A006F1F-7B29-5BB8-D735-9F536021FC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441960</xdr:colOff>
      <xdr:row>7</xdr:row>
      <xdr:rowOff>102870</xdr:rowOff>
    </xdr:from>
    <xdr:to>
      <xdr:col>6</xdr:col>
      <xdr:colOff>342900</xdr:colOff>
      <xdr:row>22</xdr:row>
      <xdr:rowOff>102870</xdr:rowOff>
    </xdr:to>
    <xdr:graphicFrame macro="">
      <xdr:nvGraphicFramePr>
        <xdr:cNvPr id="62" name="Gráfico 3">
          <a:extLst>
            <a:ext uri="{FF2B5EF4-FFF2-40B4-BE49-F238E27FC236}">
              <a16:creationId xmlns:a16="http://schemas.microsoft.com/office/drawing/2014/main" id="{29BCA766-9BC7-0B64-C993-EDE7C62105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457200</xdr:colOff>
      <xdr:row>7</xdr:row>
      <xdr:rowOff>125730</xdr:rowOff>
    </xdr:from>
    <xdr:to>
      <xdr:col>15</xdr:col>
      <xdr:colOff>7620</xdr:colOff>
      <xdr:row>22</xdr:row>
      <xdr:rowOff>125730</xdr:rowOff>
    </xdr:to>
    <xdr:graphicFrame macro="">
      <xdr:nvGraphicFramePr>
        <xdr:cNvPr id="60" name="Gráfico 5">
          <a:extLst>
            <a:ext uri="{FF2B5EF4-FFF2-40B4-BE49-F238E27FC236}">
              <a16:creationId xmlns:a16="http://schemas.microsoft.com/office/drawing/2014/main" id="{27F83FCF-2211-0B27-69BB-97F52A5BBF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495300</xdr:colOff>
      <xdr:row>28</xdr:row>
      <xdr:rowOff>140970</xdr:rowOff>
    </xdr:from>
    <xdr:to>
      <xdr:col>9</xdr:col>
      <xdr:colOff>701040</xdr:colOff>
      <xdr:row>41</xdr:row>
      <xdr:rowOff>140970</xdr:rowOff>
    </xdr:to>
    <xdr:graphicFrame macro="">
      <xdr:nvGraphicFramePr>
        <xdr:cNvPr id="64" name="Gráfico 7">
          <a:extLst>
            <a:ext uri="{FF2B5EF4-FFF2-40B4-BE49-F238E27FC236}">
              <a16:creationId xmlns:a16="http://schemas.microsoft.com/office/drawing/2014/main" id="{C8C83BE3-16C7-9F2B-9ABD-BC1DE2E496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1264920</xdr:colOff>
      <xdr:row>39</xdr:row>
      <xdr:rowOff>118110</xdr:rowOff>
    </xdr:from>
    <xdr:to>
      <xdr:col>7</xdr:col>
      <xdr:colOff>518160</xdr:colOff>
      <xdr:row>54</xdr:row>
      <xdr:rowOff>118110</xdr:rowOff>
    </xdr:to>
    <mc:AlternateContent xmlns:mc="http://schemas.openxmlformats.org/markup-compatibility/2006">
      <mc:Choice xmlns:cx1="http://schemas.microsoft.com/office/drawing/2015/9/8/chartex" Requires="cx1">
        <xdr:graphicFrame macro="">
          <xdr:nvGraphicFramePr>
            <xdr:cNvPr id="73" name="Gráfico 72">
              <a:extLst>
                <a:ext uri="{FF2B5EF4-FFF2-40B4-BE49-F238E27FC236}">
                  <a16:creationId xmlns:a16="http://schemas.microsoft.com/office/drawing/2014/main" id="{16E9358B-9FB6-22F2-F3C5-124DBEA6D4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Este gráfico não está disponível na sua versão do Excel.
Editar esta forma ou salvar esta pasta de trabalho em um formato de arquivo diferente dividirá o gráfico permanentemente.</a:t>
              </a:r>
            </a:p>
          </xdr:txBody>
        </xdr:sp>
      </mc:Fallback>
    </mc:AlternateContent>
    <xdr:clientData/>
  </xdr:twoCellAnchor>
  <xdr:twoCellAnchor>
    <xdr:from>
      <xdr:col>13</xdr:col>
      <xdr:colOff>103094</xdr:colOff>
      <xdr:row>38</xdr:row>
      <xdr:rowOff>17929</xdr:rowOff>
    </xdr:from>
    <xdr:to>
      <xdr:col>20</xdr:col>
      <xdr:colOff>407894</xdr:colOff>
      <xdr:row>53</xdr:row>
      <xdr:rowOff>71717</xdr:rowOff>
    </xdr:to>
    <xdr:graphicFrame macro="">
      <xdr:nvGraphicFramePr>
        <xdr:cNvPr id="80" name="Gráfico 10">
          <a:extLst>
            <a:ext uri="{FF2B5EF4-FFF2-40B4-BE49-F238E27FC236}">
              <a16:creationId xmlns:a16="http://schemas.microsoft.com/office/drawing/2014/main" id="{29AADAA1-AE25-148A-6732-57B7C362E4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183776</xdr:colOff>
      <xdr:row>60</xdr:row>
      <xdr:rowOff>8965</xdr:rowOff>
    </xdr:from>
    <xdr:to>
      <xdr:col>12</xdr:col>
      <xdr:colOff>416859</xdr:colOff>
      <xdr:row>75</xdr:row>
      <xdr:rowOff>62753</xdr:rowOff>
    </xdr:to>
    <xdr:graphicFrame macro="">
      <xdr:nvGraphicFramePr>
        <xdr:cNvPr id="101" name="Gráfico 11">
          <a:extLst>
            <a:ext uri="{FF2B5EF4-FFF2-40B4-BE49-F238E27FC236}">
              <a16:creationId xmlns:a16="http://schemas.microsoft.com/office/drawing/2014/main" id="{E1C3412E-7489-292D-778D-A04C16033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183776</xdr:colOff>
      <xdr:row>63</xdr:row>
      <xdr:rowOff>98612</xdr:rowOff>
    </xdr:from>
    <xdr:to>
      <xdr:col>22</xdr:col>
      <xdr:colOff>488576</xdr:colOff>
      <xdr:row>78</xdr:row>
      <xdr:rowOff>152400</xdr:rowOff>
    </xdr:to>
    <xdr:graphicFrame macro="">
      <xdr:nvGraphicFramePr>
        <xdr:cNvPr id="118" name="Gráfico 12">
          <a:extLst>
            <a:ext uri="{FF2B5EF4-FFF2-40B4-BE49-F238E27FC236}">
              <a16:creationId xmlns:a16="http://schemas.microsoft.com/office/drawing/2014/main" id="{D5F9A4C8-3514-3867-E3A9-B299285B26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ufubr-my.sharepoint.com/personal/luciano_silveira_ufu_br/Documents/Valuation%20SMFT3.xlsx" TargetMode="External"/><Relationship Id="rId1" Type="http://schemas.openxmlformats.org/officeDocument/2006/relationships/externalLinkPath" Target="Valuation%20SMFT3.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RBIVM002\Downloads\RBI-Trending-Schedule-January-8-2024%20(6).xlsx" TargetMode="External"/><Relationship Id="rId1" Type="http://schemas.openxmlformats.org/officeDocument/2006/relationships/externalLinkPath" Target="file:///C:\Users\RBIVM002\Downloads\RBI-Trending-Schedule-January-8-2024%20(6).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D:\Downloads\RBI_Financial_Model_2026Scenario.xlsx" TargetMode="External"/><Relationship Id="rId1" Type="http://schemas.openxmlformats.org/officeDocument/2006/relationships/externalLinkPath" Target="file:///D:\Downloads\RBI_Financial_Model_2026Scenari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iscounted Cash Flow (DCF)"/>
      <sheetName val="RI"/>
      <sheetName val="FCFE"/>
      <sheetName val="EV ACAd"/>
      <sheetName val="ff"/>
      <sheetName val="Cálculo Beta"/>
      <sheetName val="matriz de risco"/>
      <sheetName val="Planilha1"/>
      <sheetName val="BETA"/>
      <sheetName val="Balanço Patrimonial "/>
    </sheetNames>
    <sheetDataSet>
      <sheetData sheetId="0">
        <row r="4">
          <cell r="C4" t="e">
            <v>#VALUE!</v>
          </cell>
        </row>
        <row r="9">
          <cell r="D9">
            <v>0.16124653635852054</v>
          </cell>
        </row>
        <row r="10">
          <cell r="D10">
            <v>3.5000000000000003E-2</v>
          </cell>
        </row>
      </sheetData>
      <sheetData sheetId="1"/>
      <sheetData sheetId="2"/>
      <sheetData sheetId="3"/>
      <sheetData sheetId="4"/>
      <sheetData sheetId="5">
        <row r="9">
          <cell r="B9">
            <v>0.92743363530751588</v>
          </cell>
        </row>
      </sheetData>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Page 1"/>
      <sheetName val="Page 2"/>
      <sheetName val="Page 3"/>
      <sheetName val="Page 4"/>
      <sheetName val="Page 5"/>
      <sheetName val="Page 6"/>
      <sheetName val="Page 7"/>
      <sheetName val="Page 8"/>
      <sheetName val="Page 9"/>
      <sheetName val="Page 10"/>
      <sheetName val="Page 11"/>
      <sheetName val="Page 12"/>
      <sheetName val="Page 13"/>
      <sheetName val="Page 14"/>
      <sheetName val="Page 1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Challenge"/>
      <sheetName val="Summary"/>
      <sheetName val="Model"/>
      <sheetName val="Glossary"/>
      <sheetName val="Scenario_2026"/>
      <sheetName val="Zamp_2026_Scenario"/>
    </sheetNames>
    <sheetDataSet>
      <sheetData sheetId="0"/>
      <sheetData sheetId="1">
        <row r="95">
          <cell r="B95">
            <v>8.5000000000000006E-2</v>
          </cell>
        </row>
      </sheetData>
      <sheetData sheetId="2">
        <row r="14">
          <cell r="S14">
            <v>0.72</v>
          </cell>
        </row>
        <row r="16">
          <cell r="S16">
            <v>3.15E-2</v>
          </cell>
        </row>
        <row r="74">
          <cell r="S74">
            <v>2.1000000000000001E-2</v>
          </cell>
        </row>
        <row r="124">
          <cell r="S124">
            <v>550</v>
          </cell>
        </row>
        <row r="133">
          <cell r="S133">
            <v>2.5000000000000001E-2</v>
          </cell>
        </row>
        <row r="181">
          <cell r="S181">
            <v>420</v>
          </cell>
        </row>
        <row r="190">
          <cell r="S190">
            <v>0.04</v>
          </cell>
        </row>
        <row r="247">
          <cell r="S247">
            <v>1.7000000000000001E-2</v>
          </cell>
        </row>
        <row r="925">
          <cell r="S925">
            <v>0.45</v>
          </cell>
          <cell r="T925">
            <v>0.45</v>
          </cell>
        </row>
      </sheetData>
      <sheetData sheetId="3"/>
      <sheetData sheetId="4"/>
      <sheetData sheetId="5"/>
    </sheetDataSet>
  </externalBook>
</externalLink>
</file>

<file path=xl/persons/person.xml><?xml version="1.0" encoding="utf-8"?>
<personList xmlns="http://schemas.microsoft.com/office/spreadsheetml/2018/threadedcomments" xmlns:x="http://schemas.openxmlformats.org/spreadsheetml/2006/main">
  <person displayName="João Paulo Ferreira Alves" id="{957B4A0E-A89C-457C-B1BC-16F408F26564}" userId="acc875b3f9d25ef4" providerId="Windows Live"/>
  <person displayName="Andre Martins" id="{B5380B67-8D21-45CA-8AC4-3AC3435C2DA4}" userId="S::am@const.com.br::401bbb38-b999-4f32-ae6d-21ece37d4254" providerId="AD"/>
  <person displayName="Matheus Guarato de Almeida" id="{B7EDC3D6-4CBE-4F0C-A956-B0730C62FB79}" userId="S::matheus.guarato@ufu.br::e1e6bea2-e859-45f3-bbb8-1f947668f401"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51BD6D-EE63-4F67-BF39-521F0116E03E}" name="Tabela1" displayName="Tabela1" ref="V76:Y80" totalsRowShown="0" headerRowDxfId="3">
  <autoFilter ref="V76:Y80" xr:uid="{BC51BD6D-EE63-4F67-BF39-521F0116E03E}"/>
  <tableColumns count="4">
    <tableColumn id="1" xr3:uid="{412F825B-CDAE-4DFE-B324-4703A3FE7033}" name="Period" dataDxfId="2"/>
    <tableColumn id="2" xr3:uid="{75552758-E3A0-4852-8CB5-036FF3A53DD9}" name="Phase" dataDxfId="1"/>
    <tableColumn id="3" xr3:uid="{21584A27-DF53-4A58-BD07-AD6AF2FFE0E3}" name="NPS INDEX" dataDxfId="0"/>
    <tableColumn id="4" xr3:uid="{C4F3733D-5364-43FE-A608-B264D0E7ACFE}" name="Change" dataCellStyle="Normal 3">
      <calculatedColumnFormula>X77-X76</calculatedColumnFormula>
    </tableColumn>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Const">
      <a:dk1>
        <a:sysClr val="windowText" lastClr="000000"/>
      </a:dk1>
      <a:lt1>
        <a:sysClr val="window" lastClr="FFFFFF"/>
      </a:lt1>
      <a:dk2>
        <a:srgbClr val="7F7F7F"/>
      </a:dk2>
      <a:lt2>
        <a:srgbClr val="FFFFFF"/>
      </a:lt2>
      <a:accent1>
        <a:srgbClr val="002554"/>
      </a:accent1>
      <a:accent2>
        <a:srgbClr val="5A0F4A"/>
      </a:accent2>
      <a:accent3>
        <a:srgbClr val="FF4F6C"/>
      </a:accent3>
      <a:accent4>
        <a:srgbClr val="18A6F1"/>
      </a:accent4>
      <a:accent5>
        <a:srgbClr val="5B9BD5"/>
      </a:accent5>
      <a:accent6>
        <a:srgbClr val="6FDDCB"/>
      </a:accent6>
      <a:hlink>
        <a:srgbClr val="7F7F7F"/>
      </a:hlink>
      <a:folHlink>
        <a:srgbClr val="00000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77" dT="2026-01-18T01:11:40.84" personId="{B5380B67-8D21-45CA-8AC4-3AC3435C2DA4}" id="{CB31BDB0-C579-4B7E-96FE-943038ED03A3}">
    <text xml:space="preserve">Considering that approximately 85% of the units are in Canada </text>
  </threadedComment>
  <threadedComment ref="F77" dT="2026-01-18T01:11:40.84" personId="{B5380B67-8D21-45CA-8AC4-3AC3435C2DA4}" id="{964D432C-3E0F-48C7-8EC9-78BD1FA6C072}">
    <text xml:space="preserve">Considering that approximately 85% of the units are in Canada </text>
  </threadedComment>
  <threadedComment ref="G77" dT="2026-01-18T01:11:40.84" personId="{B5380B67-8D21-45CA-8AC4-3AC3435C2DA4}" id="{1CFCB75C-4A66-4807-8E25-A3117CC57441}">
    <text xml:space="preserve">Considering that approximately 85% of the units are in Canada </text>
  </threadedComment>
  <threadedComment ref="H77" dT="2026-01-18T01:11:40.84" personId="{B5380B67-8D21-45CA-8AC4-3AC3435C2DA4}" id="{961B6431-F385-47A3-9579-8505706EBBBD}">
    <text xml:space="preserve">Considering that approximately 85% of the units are in Canada </text>
  </threadedComment>
  <threadedComment ref="I77" dT="2026-01-18T01:11:40.84" personId="{B5380B67-8D21-45CA-8AC4-3AC3435C2DA4}" id="{6DB81F93-A101-436B-87FA-DB6649BC10A3}">
    <text xml:space="preserve">Considering that approximately 85% of the units are in Canada </text>
  </threadedComment>
  <threadedComment ref="J77" dT="2026-01-18T01:11:40.84" personId="{B5380B67-8D21-45CA-8AC4-3AC3435C2DA4}" id="{4F6442CD-FD7B-4E1D-838F-D6936B852486}">
    <text xml:space="preserve">Considering that approximately 85% of the units are in Canada </text>
  </threadedComment>
  <threadedComment ref="K77" dT="2026-01-18T01:11:40.84" personId="{B5380B67-8D21-45CA-8AC4-3AC3435C2DA4}" id="{73D58391-93C2-41FC-A3A8-A76E1348FCBE}">
    <text xml:space="preserve">Considering that approximately 85% of the units are in Canada </text>
  </threadedComment>
  <threadedComment ref="L77" dT="2026-01-18T01:11:40.84" personId="{B5380B67-8D21-45CA-8AC4-3AC3435C2DA4}" id="{617CD4C3-96EB-475D-B3B2-8BFF5F885691}">
    <text xml:space="preserve">Considering that approximately 85% of the units are in Canada </text>
  </threadedComment>
  <threadedComment ref="M77" dT="2026-01-18T01:11:40.84" personId="{B5380B67-8D21-45CA-8AC4-3AC3435C2DA4}" id="{D67EE87C-03E9-4E79-B56D-B8119615F0F7}">
    <text xml:space="preserve">Considering that approximately 85% of the units are in Canada </text>
  </threadedComment>
  <threadedComment ref="N77" dT="2026-01-18T01:11:40.84" personId="{B5380B67-8D21-45CA-8AC4-3AC3435C2DA4}" id="{B064E050-1DFF-4EA9-95F5-5458397E2CEA}">
    <text xml:space="preserve">Considering that approximately 85% of the units are in Canada </text>
  </threadedComment>
  <threadedComment ref="O77" dT="2026-01-18T01:11:40.84" personId="{B5380B67-8D21-45CA-8AC4-3AC3435C2DA4}" id="{DBA6576A-8D9A-46DD-8FB7-70B1630FE235}">
    <text xml:space="preserve">Considering that approximately 85% of the units are in Canada </text>
  </threadedComment>
  <threadedComment ref="P77" dT="2026-01-18T01:11:40.84" personId="{B5380B67-8D21-45CA-8AC4-3AC3435C2DA4}" id="{F592AC81-7787-4CC4-9BF2-54144921CD37}">
    <text xml:space="preserve">Considering that approximately 85% of the units are in Canada </text>
  </threadedComment>
  <threadedComment ref="Q77" dT="2026-01-18T01:11:40.84" personId="{B5380B67-8D21-45CA-8AC4-3AC3435C2DA4}" id="{0D98A5E5-5E4E-436E-8E3F-EC89BD806135}">
    <text xml:space="preserve">Considering that approximately 85% of the units are in Canada </text>
  </threadedComment>
  <threadedComment ref="R77" dT="2026-01-18T01:11:40.84" personId="{B5380B67-8D21-45CA-8AC4-3AC3435C2DA4}" id="{AA5DA87D-34C1-47DB-BCDD-3910F3DCD269}">
    <text xml:space="preserve">Considering that approximately 85% of the units are in Canada </text>
  </threadedComment>
  <threadedComment ref="S77" dT="2026-01-18T01:11:40.84" personId="{B5380B67-8D21-45CA-8AC4-3AC3435C2DA4}" id="{7491329D-95DE-4923-BA36-81409B2F014A}">
    <text xml:space="preserve">Considering that approximately 85% of the units are in Canada </text>
  </threadedComment>
  <threadedComment ref="T77" dT="2026-01-18T01:11:40.84" personId="{B5380B67-8D21-45CA-8AC4-3AC3435C2DA4}" id="{B5223216-2CE3-447C-A4D9-E3474415AF38}">
    <text xml:space="preserve">Considering that approximately 85% of the units are in Canada </text>
  </threadedComment>
  <threadedComment ref="U77" dT="2026-01-18T01:11:40.84" personId="{B5380B67-8D21-45CA-8AC4-3AC3435C2DA4}" id="{BF8BBDD3-8E23-4ECD-92A4-2E51ABEA2B66}">
    <text xml:space="preserve">Considering that approximately 85% of the units are in Canada </text>
  </threadedComment>
  <threadedComment ref="V77" dT="2026-01-18T01:11:40.84" personId="{B5380B67-8D21-45CA-8AC4-3AC3435C2DA4}" id="{8F747C51-0CF1-4C71-874C-3B877B2E49D7}">
    <text xml:space="preserve">Considering that approximately 85% of the units are in Canada </text>
  </threadedComment>
  <threadedComment ref="W77" dT="2026-01-18T01:11:40.84" personId="{B5380B67-8D21-45CA-8AC4-3AC3435C2DA4}" id="{3142662C-8CA8-40DE-87B1-6CB94381E5F4}">
    <text xml:space="preserve">Considering that approximately 85% of the units are in Canada </text>
  </threadedComment>
  <threadedComment ref="X77" dT="2026-01-18T01:11:40.84" personId="{B5380B67-8D21-45CA-8AC4-3AC3435C2DA4}" id="{0DA52CE8-6C7D-4A33-9D9E-1658EAE5831F}">
    <text xml:space="preserve">Considering that approximately 85% of the units are in Canada </text>
  </threadedComment>
  <threadedComment ref="K432" dT="2026-01-22T17:31:13.34" personId="{B5380B67-8D21-45CA-8AC4-3AC3435C2DA4}" id="{414106BC-690A-43EB-ABDB-D10922CA4F9F}">
    <text>"Additionally, effective January 1, 2018, we adopted the new revenue recognition accounting standard ("New Standard"). Our consolidated financial statements for 2018 reflect the application of the New Standard, while our consolidated financial statements for 2017 were prepared under the guidance of previously applicable accounting standards ("Previous Standards"). Our results presented herein indicate which revenue recognition methodology applies in each respective period.
The implementation of the New Standard impacted our year-over-year results on a consolidated basis and for each segment as follows:
Total Revenues increased primarily as a result of the inclusion of advertising fund contributions
Selling, General, and Administrative Expenses increased as a result of the inclusion of advertising fund expenditures"</text>
  </threadedComment>
  <threadedComment ref="Q452" dT="2026-01-18T20:28:10.37" personId="{B5380B67-8D21-45CA-8AC4-3AC3435C2DA4}" id="{F46FADBC-374F-4BE6-8AD4-2300B4A30F82}">
    <text xml:space="preserve">RH was consolidated starting on May 16 </text>
  </threadedComment>
  <threadedComment ref="O467" dT="2026-01-18T20:55:41.66" personId="{B5380B67-8D21-45CA-8AC4-3AC3435C2DA4}" id="{B4209460-9477-40A2-B5C0-3372FED76E32}">
    <text>Including Firehouse</text>
  </threadedComment>
  <threadedComment ref="Q467" dT="2026-01-18T20:55:41.66" personId="{B5380B67-8D21-45CA-8AC4-3AC3435C2DA4}" id="{69C68F1F-5275-459D-A75C-AA274506AA5E}">
    <text xml:space="preserve">Including RH - consolidated starting on May 16 </text>
  </threadedComment>
  <threadedComment ref="O479" dT="2026-01-18T20:55:41.66" personId="{B5380B67-8D21-45CA-8AC4-3AC3435C2DA4}" id="{E3A97A12-EBA8-4B1D-9E8C-DAA4229C345E}">
    <text>Including Firehouse</text>
  </threadedComment>
  <threadedComment ref="Q479" dT="2026-01-18T23:27:34.22" personId="{B5380B67-8D21-45CA-8AC4-3AC3435C2DA4}" id="{46DF5827-5FD7-480C-A0A9-A7A9FEEE33AC}">
    <text>Including the Intersegment adjustment</text>
  </threadedComment>
  <threadedComment ref="O483" dT="2026-01-18T20:55:41.66" personId="{B5380B67-8D21-45CA-8AC4-3AC3435C2DA4}" id="{5E910C39-E99A-4770-973C-488B05752E88}">
    <text>Including Firehouse</text>
  </threadedComment>
  <threadedComment ref="Q483" dT="2026-01-18T23:27:34.22" personId="{B5380B67-8D21-45CA-8AC4-3AC3435C2DA4}" id="{66CA9166-6F5B-4AF6-B260-58B8370F7F80}">
    <text>Including the Intersegment adjustment</text>
  </threadedComment>
  <threadedComment ref="K504" dT="2026-01-22T17:31:13.34" personId="{B5380B67-8D21-45CA-8AC4-3AC3435C2DA4}" id="{8032537F-C8EB-4702-B6F4-6E5B1C04047B}">
    <text>"Additionally, effective January 1, 2018, we adopted the new revenue recognition accounting standard ("New Standard"). Our consolidated financial statements for 2018 reflect the application of the New Standard, while our consolidated financial statements for 2017 were prepared under the guidance of previously applicable accounting standards ("Previous Standards"). Our results presented herein indicate which revenue recognition methodology applies in each respective period.
The implementation of the New Standard impacted our year-over-year results on a consolidated basis and for each segment as follows:
Total Revenues increased primarily as a result of the inclusion of advertising fund contributions
Selling, General, and Administrative Expenses increased as a result of the inclusion of advertising fund expenditures"</text>
  </threadedComment>
  <threadedComment ref="B538" dT="2026-01-25T19:33:43.72" personId="{B5380B67-8D21-45CA-8AC4-3AC3435C2DA4}" id="{498862DA-6601-43E3-ABFE-4C535ADDDE98}">
    <text xml:space="preserve">= cash distributions received from equity method investments </text>
  </threadedComment>
  <threadedComment ref="R695" dT="2026-01-23T14:29:51.77" personId="{B5380B67-8D21-45CA-8AC4-3AC3435C2DA4}" id="{8409F2A1-41CF-48A0-8266-B5D3AC545645}">
    <text xml:space="preserve">All debt was consolidated into long-term debt. </text>
  </threadedComment>
  <threadedComment ref="S695" dT="2026-01-23T14:29:51.77" personId="{B5380B67-8D21-45CA-8AC4-3AC3435C2DA4}" id="{7A84D688-24BB-46C4-BAAD-8AB2F86B072C}">
    <text xml:space="preserve">All debt was consolidated into long-term debt. </text>
  </threadedComment>
  <threadedComment ref="T695" dT="2026-01-23T14:29:51.77" personId="{B5380B67-8D21-45CA-8AC4-3AC3435C2DA4}" id="{850AA762-2A97-44E5-9A2A-317FF2F9D33B}">
    <text xml:space="preserve">All debt was consolidated into long-term debt. </text>
  </threadedComment>
  <threadedComment ref="U695" dT="2026-01-23T14:29:51.77" personId="{B5380B67-8D21-45CA-8AC4-3AC3435C2DA4}" id="{4938DEB2-2E26-4BF2-8CC9-1E100E3D5C73}">
    <text xml:space="preserve">All debt was consolidated into long-term debt. </text>
  </threadedComment>
  <threadedComment ref="V695" dT="2026-01-23T14:29:51.77" personId="{B5380B67-8D21-45CA-8AC4-3AC3435C2DA4}" id="{4BFA78A7-5AD9-4D31-98A2-96D970CA71AD}">
    <text xml:space="preserve">All debt was consolidated into long-term debt. </text>
  </threadedComment>
  <threadedComment ref="W695" dT="2026-01-23T14:29:51.77" personId="{B5380B67-8D21-45CA-8AC4-3AC3435C2DA4}" id="{443D676B-54C5-4E14-A8FB-5935DA16CFFF}">
    <text xml:space="preserve">All debt was consolidated into long-term debt. </text>
  </threadedComment>
  <threadedComment ref="X695" dT="2026-01-23T14:29:51.77" personId="{B5380B67-8D21-45CA-8AC4-3AC3435C2DA4}" id="{86BBAD1E-B9F8-4A26-A794-9618DB9A3E06}">
    <text xml:space="preserve">All debt was consolidated into long-term debt. </text>
  </threadedComment>
  <threadedComment ref="R698" dT="2026-01-23T14:29:51.77" personId="{B5380B67-8D21-45CA-8AC4-3AC3435C2DA4}" id="{4B02B981-BE7A-4169-960D-C0FC340739CC}">
    <text xml:space="preserve">All debt was consolidated into long-term debt. </text>
  </threadedComment>
  <threadedComment ref="S698" dT="2026-01-23T14:29:51.77" personId="{B5380B67-8D21-45CA-8AC4-3AC3435C2DA4}" id="{ABB47C31-F43A-4ED6-B531-539891479C7F}">
    <text xml:space="preserve">All debt was consolidated into long-term debt. </text>
  </threadedComment>
  <threadedComment ref="T698" dT="2026-01-23T14:29:51.77" personId="{B5380B67-8D21-45CA-8AC4-3AC3435C2DA4}" id="{840EC3DD-611E-4321-B851-7FE8F9429BBB}">
    <text xml:space="preserve">All debt was consolidated into long-term debt. </text>
  </threadedComment>
  <threadedComment ref="U698" dT="2026-01-23T14:29:51.77" personId="{B5380B67-8D21-45CA-8AC4-3AC3435C2DA4}" id="{0D4BAD3D-35EA-4046-99BA-81E0C88C5BCC}">
    <text xml:space="preserve">All debt was consolidated into long-term debt. </text>
  </threadedComment>
  <threadedComment ref="V698" dT="2026-01-23T14:29:51.77" personId="{B5380B67-8D21-45CA-8AC4-3AC3435C2DA4}" id="{69C959DD-0141-45E1-BF83-0929471C0626}">
    <text xml:space="preserve">All debt was consolidated into long-term debt. </text>
  </threadedComment>
  <threadedComment ref="W698" dT="2026-01-23T14:29:51.77" personId="{B5380B67-8D21-45CA-8AC4-3AC3435C2DA4}" id="{C3C53AE7-AA45-43EF-8ECC-1F5DBA1F39B8}">
    <text xml:space="preserve">All debt was consolidated into long-term debt. </text>
  </threadedComment>
  <threadedComment ref="X698" dT="2026-01-23T14:29:51.77" personId="{B5380B67-8D21-45CA-8AC4-3AC3435C2DA4}" id="{973A999C-B21F-4412-8D41-7A4A28977C82}">
    <text xml:space="preserve">All debt was consolidated into long-term debt. </text>
  </threadedComment>
  <threadedComment ref="G785" dT="2026-01-31T14:35:36.75" personId="{B5380B67-8D21-45CA-8AC4-3AC3435C2DA4}" id="{B70C6991-58E6-40E0-A66C-EAA783782B1E}">
    <text>We used 2015 adj. tax rate</text>
  </threadedComment>
  <threadedComment ref="R796" dT="2026-01-23T03:00:07.49" personId="{B5380B67-8D21-45CA-8AC4-3AC3435C2DA4}" id="{DC061311-BF63-46BB-852A-FDF96516173C}">
    <text xml:space="preserve">We used the 3Q25 debt data </text>
  </threadedComment>
  <threadedComment ref="B936" dT="2026-01-31T14:54:10.74" personId="{B5380B67-8D21-45CA-8AC4-3AC3435C2DA4}" id="{5B7DD03C-EF70-447A-9E22-23C6FF0660E9}">
    <text>Adjusted EBIT = Adjusted EBITDA + D&amp;A excluding Franchise Agreement Amortization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C3" dT="2026-02-02T20:02:16.65" personId="{B5380B67-8D21-45CA-8AC4-3AC3435C2DA4}" id="{13DC4F28-3A5A-4C17-9C2C-CC7F90D1C9A7}">
    <text>Final price to be considered
Students must input the stock closing price of March 20th</text>
  </threadedComment>
  <threadedComment ref="B20" dT="2026-01-25T13:26:43.72" personId="{B5380B67-8D21-45CA-8AC4-3AC3435C2DA4}" id="{7C23E64B-9247-4741-AF79-2B9E2FFE46BA}">
    <text xml:space="preserve">Price not adjusted for dividends </text>
  </threadedComment>
</ThreadedComments>
</file>

<file path=xl/threadedComments/threadedComment3.xml><?xml version="1.0" encoding="utf-8"?>
<ThreadedComments xmlns="http://schemas.microsoft.com/office/spreadsheetml/2018/threadedcomments" xmlns:x="http://schemas.openxmlformats.org/spreadsheetml/2006/main">
  <threadedComment ref="E9" dT="2023-11-04T12:21:44.02" personId="{957B4A0E-A89C-457C-B1BC-16F408F26564}" id="{58F16444-BF75-4174-A4B4-7AC8DB0E4366}">
    <text>É a remuneração que o capital próprio, sempre vai ser maior que o custo da dívida</text>
  </threadedComment>
  <threadedComment ref="B10" dT="2023-11-04T12:22:10.12" personId="{957B4A0E-A89C-457C-B1BC-16F408F26564}" id="{C0769A99-C222-45D2-A24B-9DA351F8F098}">
    <text>Bond de 10 anos do governo onde a empresa está localizada, no caso, Bond Brasileiro</text>
  </threadedComment>
  <threadedComment ref="B11" dT="2023-11-04T12:26:04.38" personId="{957B4A0E-A89C-457C-B1BC-16F408F26564}" id="{1634E9B7-3809-4063-96A4-698EF6C62134}">
    <text>Remuneração mínima que os acionistas esperam ao investir em um país</text>
  </threadedComment>
  <threadedComment ref="B13" dT="2023-11-04T12:28:12.46" personId="{957B4A0E-A89C-457C-B1BC-16F408F26564}" id="{1A8D683B-2D0B-4E90-8841-FE4A150429C7}">
    <text>Prêmio que os acionistas esperam receber  por investir em uma bolsa</text>
  </threadedComment>
  <threadedComment ref="B16" dT="2025-11-13T21:00:11.00" personId="{B7EDC3D6-4CBE-4F0C-A956-B0730C62FB79}" id="{A0B18A54-59F6-4723-B99B-287360D9E610}">
    <text xml:space="preserve">Jeito simples:
Despesas financeiras / Dívida bruta
ou
Pegar o valor divulgado pela empresa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hyperlink" Target="http://pages.stern.nyu.edu/~adamodar/New_Home_Page/datafile/ctryprem.html" TargetMode="External"/><Relationship Id="rId7" Type="http://schemas.openxmlformats.org/officeDocument/2006/relationships/table" Target="../tables/table1.xml"/><Relationship Id="rId2" Type="http://schemas.openxmlformats.org/officeDocument/2006/relationships/hyperlink" Target="http://www.stern.nyu.edu/~adamodar/pc/datasets/betaGlobal.xls" TargetMode="External"/><Relationship Id="rId1" Type="http://schemas.openxmlformats.org/officeDocument/2006/relationships/hyperlink" Target="https://tradingeconomics.com/brazil/government-bond-yield" TargetMode="External"/><Relationship Id="rId6" Type="http://schemas.openxmlformats.org/officeDocument/2006/relationships/vmlDrawing" Target="../drawings/vmlDrawing3.vml"/><Relationship Id="rId5" Type="http://schemas.openxmlformats.org/officeDocument/2006/relationships/drawing" Target="../drawings/drawing4.xml"/><Relationship Id="rId4" Type="http://schemas.openxmlformats.org/officeDocument/2006/relationships/hyperlink" Target="http://pages.stern.nyu.edu/~adamodar/New_Home_Page/datafile/ctryprem.html" TargetMode="External"/><Relationship Id="rId9"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CEDA9-F8A5-4174-B0D9-398356B81708}">
  <sheetPr>
    <tabColor rgb="FF002554"/>
  </sheetPr>
  <dimension ref="A1:O8"/>
  <sheetViews>
    <sheetView showGridLines="0" workbookViewId="0">
      <selection activeCell="A6" sqref="A6:L6"/>
    </sheetView>
  </sheetViews>
  <sheetFormatPr defaultColWidth="0" defaultRowHeight="20.100000000000001" customHeight="1" zeroHeight="1"/>
  <cols>
    <col min="1" max="12" width="11" style="549" customWidth="1"/>
    <col min="13" max="15" width="3.28515625" style="549" hidden="1" customWidth="1"/>
    <col min="16" max="16384" width="0" style="549" hidden="1"/>
  </cols>
  <sheetData>
    <row r="1" spans="1:12" s="547" customFormat="1" ht="166.5" customHeight="1"/>
    <row r="2" spans="1:12" s="547" customFormat="1" ht="5.0999999999999996" customHeight="1"/>
    <row r="3" spans="1:12" s="548" customFormat="1" ht="69.95" customHeight="1">
      <c r="A3" s="710" t="s">
        <v>0</v>
      </c>
      <c r="B3" s="710"/>
      <c r="C3" s="710"/>
      <c r="D3" s="710"/>
      <c r="E3" s="710"/>
      <c r="F3" s="710"/>
      <c r="G3" s="710"/>
      <c r="H3" s="710"/>
      <c r="I3" s="710"/>
      <c r="J3" s="710"/>
      <c r="K3" s="710"/>
      <c r="L3" s="710"/>
    </row>
    <row r="4" spans="1:12" s="548" customFormat="1" ht="54" customHeight="1">
      <c r="A4" s="710" t="s">
        <v>1</v>
      </c>
      <c r="B4" s="710"/>
      <c r="C4" s="710"/>
      <c r="D4" s="710"/>
      <c r="E4" s="710"/>
      <c r="F4" s="710"/>
      <c r="G4" s="710"/>
      <c r="H4" s="710"/>
      <c r="I4" s="710"/>
      <c r="J4" s="710"/>
      <c r="K4" s="710"/>
      <c r="L4" s="710"/>
    </row>
    <row r="5" spans="1:12" s="548" customFormat="1" ht="69.95" customHeight="1">
      <c r="A5" s="710" t="s">
        <v>2</v>
      </c>
      <c r="B5" s="710"/>
      <c r="C5" s="710"/>
      <c r="D5" s="710"/>
      <c r="E5" s="710"/>
      <c r="F5" s="710"/>
      <c r="G5" s="710"/>
      <c r="H5" s="710"/>
      <c r="I5" s="710"/>
      <c r="J5" s="710"/>
      <c r="K5" s="710"/>
      <c r="L5" s="710"/>
    </row>
    <row r="6" spans="1:12" s="548" customFormat="1" ht="69.95" customHeight="1">
      <c r="A6" s="711" t="s">
        <v>3</v>
      </c>
      <c r="B6" s="711"/>
      <c r="C6" s="711"/>
      <c r="D6" s="711"/>
      <c r="E6" s="711"/>
      <c r="F6" s="711"/>
      <c r="G6" s="711"/>
      <c r="H6" s="711"/>
      <c r="I6" s="711"/>
      <c r="J6" s="711"/>
      <c r="K6" s="711"/>
      <c r="L6" s="711"/>
    </row>
    <row r="7" spans="1:12" s="547" customFormat="1" ht="147" customHeight="1"/>
    <row r="8" spans="1:12" ht="20.100000000000001" customHeight="1"/>
  </sheetData>
  <mergeCells count="4">
    <mergeCell ref="A3:L3"/>
    <mergeCell ref="A4:L4"/>
    <mergeCell ref="A5:L5"/>
    <mergeCell ref="A6:L6"/>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EBE9B-008F-440D-AC7C-46A1A77A8292}">
  <sheetPr>
    <tabColor theme="9"/>
  </sheetPr>
  <dimension ref="A1:BH977"/>
  <sheetViews>
    <sheetView zoomScale="85" zoomScaleNormal="85" workbookViewId="0">
      <pane xSplit="3" ySplit="16" topLeftCell="D919" activePane="bottomRight" state="frozen"/>
      <selection pane="bottomRight" activeCell="AF936" sqref="AF936"/>
      <selection pane="bottomLeft" activeCell="A7" sqref="A7"/>
      <selection pane="topRight" activeCell="D1" sqref="D1"/>
    </sheetView>
  </sheetViews>
  <sheetFormatPr defaultColWidth="12.5703125" defaultRowHeight="15" customHeight="1" outlineLevelRow="4"/>
  <cols>
    <col min="1" max="1" width="2.28515625" style="1" customWidth="1"/>
    <col min="2" max="2" width="48" style="2" customWidth="1"/>
    <col min="3" max="3" width="12.7109375" style="1" customWidth="1"/>
    <col min="4" max="14" width="11.7109375" style="9" customWidth="1"/>
    <col min="15" max="15" width="19.7109375" style="9" customWidth="1"/>
    <col min="16" max="20" width="11.7109375" style="9" customWidth="1"/>
    <col min="21" max="21" width="17.28515625" style="9" customWidth="1"/>
    <col min="22" max="22" width="11.7109375" style="9" customWidth="1"/>
    <col min="23" max="24" width="11.7109375" style="111" customWidth="1"/>
    <col min="25" max="25" width="2" style="135" bestFit="1" customWidth="1"/>
    <col min="26" max="16384" width="12.5703125" style="2"/>
  </cols>
  <sheetData>
    <row r="1" spans="1:33" s="559" customFormat="1" ht="10.9" thickBot="1">
      <c r="A1" s="264"/>
      <c r="B1" s="555"/>
      <c r="C1" s="556"/>
      <c r="D1" s="557"/>
      <c r="E1" s="557"/>
      <c r="F1" s="557"/>
      <c r="G1" s="557"/>
      <c r="H1" s="557"/>
      <c r="I1" s="557"/>
      <c r="J1" s="557"/>
      <c r="K1" s="557"/>
      <c r="L1" s="557"/>
      <c r="M1" s="557"/>
      <c r="N1" s="557"/>
      <c r="O1" s="557"/>
      <c r="P1" s="557"/>
      <c r="Q1" s="557"/>
      <c r="R1" s="557"/>
      <c r="S1" s="557"/>
      <c r="T1" s="557"/>
      <c r="U1" s="557"/>
      <c r="V1" s="557"/>
      <c r="W1" s="557"/>
      <c r="X1" s="557"/>
      <c r="Y1" s="557"/>
      <c r="Z1" s="557"/>
      <c r="AA1" s="557"/>
      <c r="AB1" s="557"/>
      <c r="AC1" s="557"/>
      <c r="AD1" s="557"/>
      <c r="AE1" s="557"/>
      <c r="AF1" s="557"/>
      <c r="AG1" s="558" t="s">
        <v>4</v>
      </c>
    </row>
    <row r="2" spans="1:33" s="559" customFormat="1" ht="18" customHeight="1" thickBot="1">
      <c r="A2" s="264"/>
      <c r="B2" s="555"/>
      <c r="C2" s="556"/>
      <c r="D2" s="560"/>
      <c r="E2" s="561"/>
      <c r="F2" s="562" t="s">
        <v>5</v>
      </c>
      <c r="G2" s="563"/>
      <c r="H2" s="563"/>
      <c r="I2" s="563"/>
      <c r="J2" s="563"/>
      <c r="K2" s="563"/>
      <c r="L2" s="563"/>
      <c r="M2" s="563"/>
      <c r="N2" s="563"/>
      <c r="O2" s="563"/>
      <c r="P2" s="563"/>
      <c r="Q2" s="563"/>
      <c r="R2" s="563"/>
      <c r="S2" s="564"/>
      <c r="T2" s="565"/>
      <c r="U2" s="557"/>
      <c r="V2" s="557"/>
      <c r="W2" s="557"/>
      <c r="X2" s="557"/>
      <c r="Y2" s="557"/>
      <c r="Z2" s="557"/>
      <c r="AA2" s="557"/>
      <c r="AB2" s="557"/>
      <c r="AC2" s="557"/>
      <c r="AD2" s="557"/>
      <c r="AE2" s="557"/>
      <c r="AF2" s="557"/>
      <c r="AG2" s="558"/>
    </row>
    <row r="3" spans="1:33" s="559" customFormat="1" ht="9.75" customHeight="1" thickBot="1">
      <c r="A3" s="264"/>
      <c r="B3" s="555"/>
      <c r="C3" s="556"/>
      <c r="D3" s="557"/>
      <c r="E3" s="566"/>
      <c r="F3" s="566"/>
      <c r="G3" s="566"/>
      <c r="H3" s="566"/>
      <c r="I3" s="566"/>
      <c r="J3" s="566"/>
      <c r="K3" s="566"/>
      <c r="L3" s="566"/>
      <c r="M3" s="566"/>
      <c r="N3" s="566"/>
      <c r="O3" s="566"/>
      <c r="P3" s="566"/>
      <c r="Q3" s="566"/>
      <c r="R3" s="566"/>
      <c r="S3" s="567"/>
      <c r="T3" s="567"/>
      <c r="U3" s="557"/>
      <c r="V3" s="557"/>
      <c r="W3" s="557"/>
      <c r="X3" s="557"/>
      <c r="Y3" s="557"/>
      <c r="Z3" s="557"/>
      <c r="AA3" s="557"/>
      <c r="AB3" s="557"/>
      <c r="AC3" s="557"/>
      <c r="AD3" s="557"/>
      <c r="AE3" s="557"/>
      <c r="AF3" s="557"/>
      <c r="AG3" s="558" t="s">
        <v>4</v>
      </c>
    </row>
    <row r="4" spans="1:33" s="559" customFormat="1" ht="18" customHeight="1" thickBot="1">
      <c r="A4" s="264"/>
      <c r="B4" s="555"/>
      <c r="C4" s="556"/>
      <c r="D4" s="560"/>
      <c r="E4" s="568"/>
      <c r="F4" s="562" t="s">
        <v>6</v>
      </c>
      <c r="G4" s="563"/>
      <c r="H4" s="563"/>
      <c r="I4" s="563"/>
      <c r="J4" s="563"/>
      <c r="K4" s="563"/>
      <c r="L4" s="563"/>
      <c r="M4" s="563"/>
      <c r="N4" s="563"/>
      <c r="O4" s="563"/>
      <c r="P4" s="563"/>
      <c r="Q4" s="563"/>
      <c r="R4" s="563"/>
      <c r="S4" s="564"/>
      <c r="T4" s="565"/>
      <c r="U4" s="557"/>
      <c r="V4" s="557"/>
      <c r="W4" s="557"/>
      <c r="X4" s="557"/>
      <c r="Y4" s="557"/>
      <c r="Z4" s="557"/>
      <c r="AA4" s="557"/>
      <c r="AB4" s="557"/>
      <c r="AC4" s="557"/>
      <c r="AD4" s="557"/>
      <c r="AE4" s="557"/>
      <c r="AF4" s="557"/>
      <c r="AG4" s="558"/>
    </row>
    <row r="5" spans="1:33" s="559" customFormat="1" ht="9.75" customHeight="1" thickBot="1">
      <c r="A5" s="264"/>
      <c r="B5" s="555"/>
      <c r="C5" s="556"/>
      <c r="D5" s="557"/>
      <c r="E5" s="566"/>
      <c r="F5" s="566"/>
      <c r="G5" s="566"/>
      <c r="H5" s="566"/>
      <c r="I5" s="566"/>
      <c r="J5" s="566"/>
      <c r="K5" s="566"/>
      <c r="L5" s="566"/>
      <c r="M5" s="566"/>
      <c r="N5" s="566"/>
      <c r="O5" s="566"/>
      <c r="P5" s="566"/>
      <c r="Q5" s="566"/>
      <c r="R5" s="566"/>
      <c r="S5" s="567"/>
      <c r="T5" s="567"/>
      <c r="U5" s="557"/>
      <c r="V5" s="557"/>
      <c r="W5" s="557"/>
      <c r="X5" s="557"/>
      <c r="Y5" s="557"/>
      <c r="Z5" s="557"/>
      <c r="AA5" s="557"/>
      <c r="AB5" s="557"/>
      <c r="AC5" s="557"/>
      <c r="AD5" s="557"/>
      <c r="AE5" s="557"/>
      <c r="AF5" s="557"/>
      <c r="AG5" s="558" t="s">
        <v>4</v>
      </c>
    </row>
    <row r="6" spans="1:33" s="559" customFormat="1" ht="18" customHeight="1" thickBot="1">
      <c r="A6" s="264"/>
      <c r="B6" s="555"/>
      <c r="C6" s="556"/>
      <c r="D6" s="560"/>
      <c r="E6" s="569">
        <v>1000</v>
      </c>
      <c r="F6" s="562" t="s">
        <v>7</v>
      </c>
      <c r="G6" s="563"/>
      <c r="H6" s="563"/>
      <c r="I6" s="563"/>
      <c r="J6" s="563"/>
      <c r="K6" s="563"/>
      <c r="L6" s="563"/>
      <c r="M6" s="563"/>
      <c r="N6" s="563"/>
      <c r="O6" s="563"/>
      <c r="P6" s="563"/>
      <c r="Q6" s="563"/>
      <c r="R6" s="563"/>
      <c r="S6" s="564"/>
      <c r="T6" s="565"/>
      <c r="U6" s="557"/>
      <c r="V6" s="557"/>
      <c r="W6" s="557"/>
      <c r="X6" s="557"/>
      <c r="Y6" s="557"/>
      <c r="Z6" s="557"/>
      <c r="AA6" s="557"/>
      <c r="AB6" s="557"/>
      <c r="AC6" s="557"/>
      <c r="AD6" s="557"/>
      <c r="AE6" s="557"/>
      <c r="AF6" s="557"/>
      <c r="AG6" s="558"/>
    </row>
    <row r="7" spans="1:33" s="559" customFormat="1" ht="9.75" customHeight="1" thickBot="1">
      <c r="A7" s="264"/>
      <c r="B7" s="555"/>
      <c r="C7" s="556"/>
      <c r="D7" s="557"/>
      <c r="E7" s="566"/>
      <c r="F7" s="566"/>
      <c r="G7" s="566"/>
      <c r="H7" s="566"/>
      <c r="I7" s="566"/>
      <c r="J7" s="566"/>
      <c r="K7" s="566"/>
      <c r="L7" s="566"/>
      <c r="M7" s="566"/>
      <c r="N7" s="566"/>
      <c r="O7" s="566"/>
      <c r="P7" s="566"/>
      <c r="Q7" s="566"/>
      <c r="R7" s="566"/>
      <c r="S7" s="567"/>
      <c r="T7" s="567"/>
      <c r="U7" s="557"/>
      <c r="V7" s="557"/>
      <c r="W7" s="557"/>
      <c r="X7" s="557"/>
      <c r="Y7" s="557"/>
      <c r="Z7" s="557"/>
      <c r="AA7" s="557"/>
      <c r="AB7" s="557"/>
      <c r="AC7" s="557"/>
      <c r="AD7" s="557"/>
      <c r="AE7" s="557"/>
      <c r="AF7" s="557"/>
      <c r="AG7" s="558" t="s">
        <v>4</v>
      </c>
    </row>
    <row r="8" spans="1:33" s="559" customFormat="1" ht="18" customHeight="1" thickBot="1">
      <c r="A8" s="264"/>
      <c r="B8" s="555"/>
      <c r="C8" s="556"/>
      <c r="D8" s="560"/>
      <c r="E8" s="570" t="s">
        <v>8</v>
      </c>
      <c r="F8" s="563"/>
      <c r="G8" s="563"/>
      <c r="H8" s="563"/>
      <c r="I8" s="563"/>
      <c r="J8" s="563"/>
      <c r="K8" s="563"/>
      <c r="L8" s="563"/>
      <c r="M8" s="563"/>
      <c r="N8" s="563"/>
      <c r="O8" s="563"/>
      <c r="P8" s="563"/>
      <c r="Q8" s="563"/>
      <c r="R8" s="563"/>
      <c r="S8" s="564"/>
      <c r="T8" s="565"/>
      <c r="U8" s="557"/>
      <c r="V8" s="703"/>
      <c r="W8" s="557"/>
      <c r="X8" s="557"/>
      <c r="Y8" s="557"/>
      <c r="Z8" s="557"/>
      <c r="AA8" s="557"/>
      <c r="AB8" s="557"/>
      <c r="AC8" s="557"/>
      <c r="AD8" s="557"/>
      <c r="AE8" s="557"/>
      <c r="AF8" s="557"/>
      <c r="AG8" s="558"/>
    </row>
    <row r="9" spans="1:33" s="559" customFormat="1" ht="9.75" customHeight="1" thickBot="1">
      <c r="A9" s="264"/>
      <c r="B9" s="555"/>
      <c r="C9" s="556"/>
      <c r="D9" s="557"/>
      <c r="E9" s="566"/>
      <c r="F9" s="566"/>
      <c r="G9" s="566"/>
      <c r="H9" s="566"/>
      <c r="I9" s="566"/>
      <c r="J9" s="566"/>
      <c r="K9" s="566"/>
      <c r="L9" s="566"/>
      <c r="M9" s="566"/>
      <c r="N9" s="566"/>
      <c r="O9" s="566"/>
      <c r="P9" s="566"/>
      <c r="Q9" s="566"/>
      <c r="R9" s="566"/>
      <c r="S9" s="567"/>
      <c r="T9" s="567"/>
      <c r="U9" s="557"/>
      <c r="V9" s="557"/>
      <c r="W9" s="557"/>
      <c r="X9" s="557"/>
      <c r="Y9" s="557"/>
      <c r="Z9" s="557"/>
      <c r="AA9" s="557"/>
      <c r="AB9" s="557"/>
      <c r="AC9" s="557"/>
      <c r="AD9" s="557"/>
      <c r="AE9" s="557"/>
      <c r="AF9" s="557"/>
      <c r="AG9" s="558" t="s">
        <v>4</v>
      </c>
    </row>
    <row r="10" spans="1:33" s="559" customFormat="1" ht="18" customHeight="1" thickBot="1">
      <c r="A10" s="264"/>
      <c r="C10" s="556"/>
      <c r="D10" s="560"/>
      <c r="E10" s="570" t="s">
        <v>9</v>
      </c>
      <c r="F10" s="571"/>
      <c r="G10" s="563"/>
      <c r="H10" s="563"/>
      <c r="I10" s="563"/>
      <c r="J10" s="563"/>
      <c r="K10" s="563"/>
      <c r="L10" s="563"/>
      <c r="M10" s="563"/>
      <c r="N10" s="563"/>
      <c r="O10" s="563"/>
      <c r="P10" s="563"/>
      <c r="Q10" s="563"/>
      <c r="R10" s="563"/>
      <c r="S10" s="564"/>
      <c r="T10" s="565"/>
      <c r="U10" s="557"/>
      <c r="V10" s="557"/>
      <c r="W10" s="557"/>
      <c r="X10" s="610"/>
      <c r="Y10" s="557"/>
      <c r="Z10" s="557"/>
      <c r="AA10" s="557"/>
      <c r="AB10" s="557"/>
      <c r="AC10" s="557"/>
      <c r="AD10" s="557"/>
      <c r="AE10" s="557"/>
      <c r="AF10" s="557"/>
      <c r="AG10" s="558"/>
    </row>
    <row r="11" spans="1:33" s="559" customFormat="1" ht="10.15">
      <c r="A11" s="264"/>
      <c r="B11" s="555"/>
      <c r="C11" s="556"/>
      <c r="D11" s="557"/>
      <c r="E11" s="558"/>
      <c r="F11" s="558"/>
      <c r="G11" s="558"/>
      <c r="H11" s="558"/>
      <c r="I11" s="558"/>
      <c r="J11" s="558"/>
      <c r="K11" s="558"/>
      <c r="L11" s="558"/>
      <c r="M11" s="558"/>
      <c r="N11" s="558"/>
      <c r="O11" s="558"/>
      <c r="P11" s="558"/>
      <c r="Q11" s="558"/>
      <c r="R11" s="558"/>
      <c r="S11" s="557"/>
      <c r="T11" s="557"/>
      <c r="U11" s="557"/>
      <c r="V11" s="557"/>
      <c r="W11" s="557"/>
      <c r="X11" s="557"/>
      <c r="Y11" s="557"/>
      <c r="Z11" s="557"/>
      <c r="AA11" s="557"/>
      <c r="AB11" s="557"/>
      <c r="AC11" s="557"/>
      <c r="AD11" s="557"/>
      <c r="AE11" s="557"/>
      <c r="AF11" s="557"/>
      <c r="AG11" s="558"/>
    </row>
    <row r="12" spans="1:33" ht="15" customHeight="1">
      <c r="A12" s="1" t="s">
        <v>4</v>
      </c>
      <c r="B12" s="148" t="s">
        <v>10</v>
      </c>
      <c r="C12" s="149" t="s">
        <v>11</v>
      </c>
      <c r="D12" s="150">
        <v>2011</v>
      </c>
      <c r="E12" s="150">
        <v>2012</v>
      </c>
      <c r="F12" s="150">
        <v>2013</v>
      </c>
      <c r="G12" s="150">
        <v>2014</v>
      </c>
      <c r="H12" s="150">
        <v>2015</v>
      </c>
      <c r="I12" s="150">
        <v>2016</v>
      </c>
      <c r="J12" s="150">
        <v>2017</v>
      </c>
      <c r="K12" s="150">
        <v>2018</v>
      </c>
      <c r="L12" s="150">
        <v>2019</v>
      </c>
      <c r="M12" s="150">
        <v>2020</v>
      </c>
      <c r="N12" s="150">
        <v>2021</v>
      </c>
      <c r="O12" s="150">
        <v>2022</v>
      </c>
      <c r="P12" s="150">
        <v>2023</v>
      </c>
      <c r="Q12" s="150">
        <v>2024</v>
      </c>
      <c r="R12" s="151">
        <v>2025</v>
      </c>
      <c r="S12" s="151" t="s">
        <v>12</v>
      </c>
      <c r="T12" s="151" t="s">
        <v>13</v>
      </c>
      <c r="U12" s="151" t="s">
        <v>14</v>
      </c>
      <c r="V12" s="151" t="s">
        <v>15</v>
      </c>
      <c r="W12" s="151" t="s">
        <v>16</v>
      </c>
      <c r="X12" s="151" t="s">
        <v>17</v>
      </c>
      <c r="Y12" s="1" t="s">
        <v>4</v>
      </c>
    </row>
    <row r="13" spans="1:33" ht="15" customHeight="1" outlineLevel="1">
      <c r="Y13" s="135" t="s">
        <v>4</v>
      </c>
    </row>
    <row r="14" spans="1:33" ht="15" customHeight="1" outlineLevel="1">
      <c r="B14" s="2" t="s">
        <v>18</v>
      </c>
      <c r="C14" s="1" t="s">
        <v>19</v>
      </c>
      <c r="D14" s="54">
        <v>1.0116286475529082</v>
      </c>
      <c r="E14" s="54">
        <v>1.0005647600751484</v>
      </c>
      <c r="F14" s="54">
        <v>0.97079916387308252</v>
      </c>
      <c r="G14" s="54">
        <v>0.90623158808565818</v>
      </c>
      <c r="H14" s="54">
        <v>0.78307908758725453</v>
      </c>
      <c r="I14" s="54">
        <v>0.75633076138908839</v>
      </c>
      <c r="J14" s="54">
        <v>0.77099300999999998</v>
      </c>
      <c r="K14" s="54">
        <v>0.77198953999999997</v>
      </c>
      <c r="L14" s="54">
        <v>0.75352947000000003</v>
      </c>
      <c r="M14" s="54">
        <v>0.746125645</v>
      </c>
      <c r="N14" s="54">
        <v>0.79774053999999994</v>
      </c>
      <c r="O14" s="54">
        <v>0.76895386500000007</v>
      </c>
      <c r="P14" s="54">
        <v>0.74111046749999998</v>
      </c>
      <c r="Q14" s="54">
        <v>0.73009999999999997</v>
      </c>
      <c r="R14" s="536">
        <v>0.73</v>
      </c>
      <c r="S14" s="535">
        <v>0.74</v>
      </c>
      <c r="T14" s="535">
        <v>0.76</v>
      </c>
      <c r="U14" s="535">
        <v>0.76</v>
      </c>
      <c r="V14" s="535">
        <v>0.76</v>
      </c>
      <c r="W14" s="535">
        <v>0.76</v>
      </c>
      <c r="X14" s="535">
        <v>0.76</v>
      </c>
      <c r="Y14" s="135" t="s">
        <v>4</v>
      </c>
    </row>
    <row r="15" spans="1:33" ht="15" customHeight="1" outlineLevel="1">
      <c r="P15" s="534"/>
      <c r="Q15" s="534"/>
      <c r="R15" s="534"/>
      <c r="Y15" s="135" t="s">
        <v>4</v>
      </c>
    </row>
    <row r="16" spans="1:33" ht="15" customHeight="1" outlineLevel="1">
      <c r="B16" s="537" t="s">
        <v>20</v>
      </c>
      <c r="C16" s="21" t="s">
        <v>21</v>
      </c>
      <c r="D16" s="63"/>
      <c r="E16" s="63"/>
      <c r="F16" s="63"/>
      <c r="G16" s="63"/>
      <c r="H16" s="63"/>
      <c r="I16" s="63"/>
      <c r="J16" s="538"/>
      <c r="K16" s="538"/>
      <c r="L16" s="538"/>
      <c r="M16" s="538"/>
      <c r="N16" s="538"/>
      <c r="O16" s="539">
        <v>1.6359437751004013E-2</v>
      </c>
      <c r="P16" s="539">
        <v>5.0072690763051958E-2</v>
      </c>
      <c r="Q16" s="539">
        <v>5.1484399999999875E-2</v>
      </c>
      <c r="R16" s="540">
        <v>4.243493975903613E-2</v>
      </c>
      <c r="S16" s="67">
        <f>AVERAGE(3.53%,3.32%,3.2%,3.16%)</f>
        <v>3.3024999999999999E-2</v>
      </c>
      <c r="T16" s="67">
        <f>AVERAGE(3.18%,3.16%,3.17%,3.18%)</f>
        <v>3.1725000000000003E-2</v>
      </c>
      <c r="U16" s="67">
        <v>3.2099999999999997E-2</v>
      </c>
      <c r="V16" s="67">
        <v>3.2099999999999997E-2</v>
      </c>
      <c r="W16" s="67">
        <v>3.2099999999999997E-2</v>
      </c>
      <c r="X16" s="67">
        <v>3.2099999999999997E-2</v>
      </c>
      <c r="Y16" s="135" t="s">
        <v>4</v>
      </c>
    </row>
    <row r="17" spans="1:25" ht="15" customHeight="1">
      <c r="H17" s="23"/>
      <c r="I17" s="23"/>
      <c r="J17" s="23"/>
      <c r="K17" s="23"/>
      <c r="L17" s="23"/>
      <c r="M17" s="23"/>
      <c r="N17" s="23"/>
      <c r="O17" s="23"/>
      <c r="P17" s="23"/>
      <c r="Q17" s="23"/>
      <c r="Y17" s="135" t="s">
        <v>4</v>
      </c>
    </row>
    <row r="18" spans="1:25" ht="15" customHeight="1">
      <c r="A18" s="1" t="s">
        <v>4</v>
      </c>
      <c r="B18" s="148" t="s">
        <v>22</v>
      </c>
      <c r="C18" s="149" t="s">
        <v>11</v>
      </c>
      <c r="D18" s="150">
        <v>2011</v>
      </c>
      <c r="E18" s="150">
        <v>2012</v>
      </c>
      <c r="F18" s="150">
        <v>2013</v>
      </c>
      <c r="G18" s="150">
        <v>2014</v>
      </c>
      <c r="H18" s="150">
        <v>2015</v>
      </c>
      <c r="I18" s="150">
        <v>2016</v>
      </c>
      <c r="J18" s="150">
        <v>2017</v>
      </c>
      <c r="K18" s="150">
        <v>2018</v>
      </c>
      <c r="L18" s="150">
        <v>2019</v>
      </c>
      <c r="M18" s="150">
        <v>2020</v>
      </c>
      <c r="N18" s="150">
        <v>2021</v>
      </c>
      <c r="O18" s="150">
        <v>2022</v>
      </c>
      <c r="P18" s="150">
        <v>2023</v>
      </c>
      <c r="Q18" s="150">
        <v>2024</v>
      </c>
      <c r="R18" s="151" t="s">
        <v>23</v>
      </c>
      <c r="S18" s="151" t="s">
        <v>12</v>
      </c>
      <c r="T18" s="151" t="s">
        <v>13</v>
      </c>
      <c r="U18" s="151" t="s">
        <v>14</v>
      </c>
      <c r="V18" s="151" t="s">
        <v>15</v>
      </c>
      <c r="W18" s="152" t="s">
        <v>16</v>
      </c>
      <c r="X18" s="151" t="s">
        <v>17</v>
      </c>
      <c r="Y18" s="135" t="s">
        <v>4</v>
      </c>
    </row>
    <row r="19" spans="1:25" ht="15" customHeight="1" outlineLevel="1"/>
    <row r="20" spans="1:25" ht="15" customHeight="1" outlineLevel="1">
      <c r="B20" s="143" t="s">
        <v>24</v>
      </c>
      <c r="C20" s="144"/>
      <c r="D20" s="145"/>
      <c r="E20" s="145"/>
      <c r="F20" s="145"/>
      <c r="G20" s="145"/>
      <c r="H20" s="145"/>
      <c r="I20" s="145"/>
      <c r="J20" s="145"/>
      <c r="K20" s="145"/>
      <c r="L20" s="145"/>
      <c r="M20" s="145"/>
      <c r="N20" s="145"/>
      <c r="O20" s="145"/>
      <c r="P20" s="145"/>
      <c r="Q20" s="145"/>
      <c r="R20" s="145"/>
      <c r="S20" s="145"/>
      <c r="T20" s="145"/>
      <c r="U20" s="145"/>
      <c r="V20" s="145"/>
      <c r="W20" s="146"/>
      <c r="X20" s="146"/>
      <c r="Y20" s="135" t="s">
        <v>4</v>
      </c>
    </row>
    <row r="21" spans="1:25" ht="15" customHeight="1" outlineLevel="2">
      <c r="R21" s="25"/>
      <c r="S21" s="25"/>
      <c r="T21" s="25"/>
      <c r="U21" s="25"/>
      <c r="V21" s="25"/>
      <c r="W21" s="25"/>
      <c r="X21" s="25"/>
      <c r="Y21" s="135" t="s">
        <v>4</v>
      </c>
    </row>
    <row r="22" spans="1:25" ht="15" customHeight="1" outlineLevel="2">
      <c r="B22" s="7" t="s">
        <v>25</v>
      </c>
      <c r="C22" s="13" t="s">
        <v>26</v>
      </c>
      <c r="D22" s="71"/>
      <c r="E22" s="71"/>
      <c r="F22" s="71"/>
      <c r="G22" s="75">
        <f>G25+G29+G33</f>
        <v>3140.8</v>
      </c>
      <c r="H22" s="75">
        <f t="shared" ref="H22:W22" si="0">H25+H29+H33</f>
        <v>2956.9</v>
      </c>
      <c r="I22" s="75">
        <f t="shared" si="0"/>
        <v>3001.4</v>
      </c>
      <c r="J22" s="75">
        <f t="shared" si="0"/>
        <v>3154.5999999999995</v>
      </c>
      <c r="K22" s="75">
        <f t="shared" si="0"/>
        <v>3292.3999999999996</v>
      </c>
      <c r="L22" s="75">
        <f t="shared" si="0"/>
        <v>3344</v>
      </c>
      <c r="M22" s="75">
        <f t="shared" si="0"/>
        <v>2810</v>
      </c>
      <c r="N22" s="75">
        <f t="shared" si="0"/>
        <v>3331</v>
      </c>
      <c r="O22" s="75">
        <f t="shared" si="0"/>
        <v>3801</v>
      </c>
      <c r="P22" s="75">
        <f t="shared" si="0"/>
        <v>3972</v>
      </c>
      <c r="Q22" s="75">
        <f t="shared" si="0"/>
        <v>4038</v>
      </c>
      <c r="R22" s="75">
        <f>R25+R29+R33</f>
        <v>4278.5711116955508</v>
      </c>
      <c r="S22" s="75">
        <f t="shared" si="0"/>
        <v>4705.8092779024901</v>
      </c>
      <c r="T22" s="75">
        <f t="shared" si="0"/>
        <v>5204.84613943978</v>
      </c>
      <c r="U22" s="75">
        <f t="shared" si="0"/>
        <v>5665.4898332355579</v>
      </c>
      <c r="V22" s="75">
        <f t="shared" si="0"/>
        <v>6220.6441384595773</v>
      </c>
      <c r="W22" s="112">
        <f t="shared" si="0"/>
        <v>6880.1813888110655</v>
      </c>
      <c r="X22" s="112">
        <f t="shared" ref="X22" si="1">X25+X29+X33</f>
        <v>7679.1166961322633</v>
      </c>
      <c r="Y22" s="135" t="s">
        <v>4</v>
      </c>
    </row>
    <row r="23" spans="1:25" ht="15" customHeight="1" outlineLevel="2">
      <c r="B23" s="6" t="s">
        <v>27</v>
      </c>
      <c r="C23" s="1" t="s">
        <v>21</v>
      </c>
      <c r="D23" s="72"/>
      <c r="E23" s="72"/>
      <c r="F23" s="72"/>
      <c r="G23" s="24" t="str">
        <f t="shared" ref="G23:Q23" si="2">IFERROR(G22/F22-1,"n.m.")</f>
        <v>n.m.</v>
      </c>
      <c r="H23" s="24">
        <f t="shared" si="2"/>
        <v>-5.8551961283749399E-2</v>
      </c>
      <c r="I23" s="24">
        <f t="shared" si="2"/>
        <v>1.504954513172585E-2</v>
      </c>
      <c r="J23" s="24">
        <f t="shared" si="2"/>
        <v>5.1042846671553121E-2</v>
      </c>
      <c r="K23" s="24">
        <f t="shared" si="2"/>
        <v>4.3682241805617306E-2</v>
      </c>
      <c r="L23" s="24">
        <f t="shared" si="2"/>
        <v>1.567245778155768E-2</v>
      </c>
      <c r="M23" s="24">
        <f t="shared" si="2"/>
        <v>-0.15968899521531099</v>
      </c>
      <c r="N23" s="24">
        <f t="shared" si="2"/>
        <v>0.18540925266903918</v>
      </c>
      <c r="O23" s="24">
        <f t="shared" si="2"/>
        <v>0.14109876913839692</v>
      </c>
      <c r="P23" s="24">
        <f t="shared" si="2"/>
        <v>4.4988161010260486E-2</v>
      </c>
      <c r="Q23" s="24">
        <f t="shared" si="2"/>
        <v>1.6616314199395799E-2</v>
      </c>
      <c r="R23" s="24">
        <f t="shared" ref="R23:W23" si="3">IFERROR(R22/Q22-1,"n.m.")</f>
        <v>5.9576798339660897E-2</v>
      </c>
      <c r="S23" s="24">
        <f t="shared" si="3"/>
        <v>9.9855338395352655E-2</v>
      </c>
      <c r="T23" s="24">
        <f t="shared" si="3"/>
        <v>0.10604697982144407</v>
      </c>
      <c r="U23" s="24">
        <f t="shared" si="3"/>
        <v>8.8502845512616668E-2</v>
      </c>
      <c r="V23" s="24">
        <f t="shared" si="3"/>
        <v>9.7988756765091889E-2</v>
      </c>
      <c r="W23" s="113">
        <f t="shared" si="3"/>
        <v>0.10602394794999626</v>
      </c>
      <c r="X23" s="113">
        <f t="shared" ref="X23" si="4">IFERROR(X22/W22-1,"n.m.")</f>
        <v>0.11612125642798765</v>
      </c>
      <c r="Y23" s="135" t="s">
        <v>4</v>
      </c>
    </row>
    <row r="24" spans="1:25" ht="15" customHeight="1" outlineLevel="2">
      <c r="Y24" s="135" t="s">
        <v>4</v>
      </c>
    </row>
    <row r="25" spans="1:25" ht="15" customHeight="1" outlineLevel="3">
      <c r="B25" s="17" t="s">
        <v>28</v>
      </c>
      <c r="C25" s="15" t="s">
        <v>26</v>
      </c>
      <c r="D25" s="73"/>
      <c r="E25" s="73"/>
      <c r="F25" s="73"/>
      <c r="G25" s="32">
        <v>1844.1560195431666</v>
      </c>
      <c r="H25" s="32">
        <v>1847.4</v>
      </c>
      <c r="I25" s="32">
        <v>1977.2</v>
      </c>
      <c r="J25" s="32">
        <v>2151.1999999999998</v>
      </c>
      <c r="K25" s="32">
        <v>2158.0430136742943</v>
      </c>
      <c r="L25" s="32">
        <v>2153.243435069307</v>
      </c>
      <c r="M25" s="32">
        <v>1808.6990061770948</v>
      </c>
      <c r="N25" s="32">
        <v>2193</v>
      </c>
      <c r="O25" s="32">
        <v>2583</v>
      </c>
      <c r="P25" s="32">
        <v>2678</v>
      </c>
      <c r="Q25" s="32">
        <v>2708</v>
      </c>
      <c r="R25" s="31">
        <f>Q25*(1+R26)</f>
        <v>2908.9336000000003</v>
      </c>
      <c r="S25" s="31">
        <f t="shared" ref="S25:W25" si="5">R25*(1+S26)</f>
        <v>3124.7764731200004</v>
      </c>
      <c r="T25" s="31">
        <f t="shared" si="5"/>
        <v>3356.6348874255045</v>
      </c>
      <c r="U25" s="31">
        <f t="shared" si="5"/>
        <v>3605.6971960724773</v>
      </c>
      <c r="V25" s="31">
        <f t="shared" si="5"/>
        <v>3873.2399280210552</v>
      </c>
      <c r="W25" s="114">
        <f t="shared" si="5"/>
        <v>4160.6343306802173</v>
      </c>
      <c r="X25" s="114">
        <f t="shared" ref="X25" si="6">W25*(1+X26)</f>
        <v>4469.3533980166894</v>
      </c>
      <c r="Y25" s="135" t="s">
        <v>4</v>
      </c>
    </row>
    <row r="26" spans="1:25" ht="15" customHeight="1" outlineLevel="3">
      <c r="B26" s="18" t="s">
        <v>27</v>
      </c>
      <c r="C26" s="1" t="s">
        <v>21</v>
      </c>
      <c r="D26" s="72"/>
      <c r="E26" s="72"/>
      <c r="F26" s="72"/>
      <c r="G26" s="24" t="str">
        <f t="shared" ref="G26:Q26" si="7">IFERROR(G25/F25-1,"n.m.")</f>
        <v>n.m.</v>
      </c>
      <c r="H26" s="24">
        <f t="shared" si="7"/>
        <v>1.7590596578900275E-3</v>
      </c>
      <c r="I26" s="24">
        <f t="shared" si="7"/>
        <v>7.0260907220959234E-2</v>
      </c>
      <c r="J26" s="24">
        <f t="shared" si="7"/>
        <v>8.8003236900667581E-2</v>
      </c>
      <c r="K26" s="24">
        <f t="shared" si="7"/>
        <v>3.1810216038929973E-3</v>
      </c>
      <c r="L26" s="24">
        <f t="shared" si="7"/>
        <v>-2.2240421412247358E-3</v>
      </c>
      <c r="M26" s="24">
        <f t="shared" si="7"/>
        <v>-0.16001183297750177</v>
      </c>
      <c r="N26" s="24">
        <f t="shared" si="7"/>
        <v>0.21247371315538688</v>
      </c>
      <c r="O26" s="24">
        <f t="shared" si="7"/>
        <v>0.17783857729138175</v>
      </c>
      <c r="P26" s="24">
        <f t="shared" si="7"/>
        <v>3.6778939217963602E-2</v>
      </c>
      <c r="Q26" s="24">
        <f t="shared" si="7"/>
        <v>1.1202389843166571E-2</v>
      </c>
      <c r="R26" s="76">
        <v>7.4200000000000002E-2</v>
      </c>
      <c r="S26" s="76">
        <v>7.4200000000000002E-2</v>
      </c>
      <c r="T26" s="76">
        <v>7.4200000000000002E-2</v>
      </c>
      <c r="U26" s="76">
        <v>7.4200000000000002E-2</v>
      </c>
      <c r="V26" s="76">
        <v>7.4200000000000002E-2</v>
      </c>
      <c r="W26" s="76">
        <v>7.4200000000000002E-2</v>
      </c>
      <c r="X26" s="76">
        <v>7.4200000000000002E-2</v>
      </c>
      <c r="Y26" s="135" t="s">
        <v>4</v>
      </c>
    </row>
    <row r="27" spans="1:25" ht="15" customHeight="1" outlineLevel="3">
      <c r="B27" s="18" t="s">
        <v>29</v>
      </c>
      <c r="C27" s="1" t="s">
        <v>21</v>
      </c>
      <c r="D27" s="72"/>
      <c r="E27" s="72"/>
      <c r="F27" s="72"/>
      <c r="G27" s="24">
        <f>G25/G$22</f>
        <v>0.58716123902928119</v>
      </c>
      <c r="H27" s="24">
        <f t="shared" ref="H27:W27" si="8">H25/H$22</f>
        <v>0.62477594778315126</v>
      </c>
      <c r="I27" s="24">
        <f t="shared" si="8"/>
        <v>0.65875924568534683</v>
      </c>
      <c r="J27" s="24">
        <f t="shared" si="8"/>
        <v>0.68192480821657264</v>
      </c>
      <c r="K27" s="24">
        <f t="shared" si="8"/>
        <v>0.65546197718208432</v>
      </c>
      <c r="L27" s="24">
        <f t="shared" si="8"/>
        <v>0.64391251048723297</v>
      </c>
      <c r="M27" s="24">
        <f t="shared" si="8"/>
        <v>0.64366512675341447</v>
      </c>
      <c r="N27" s="24">
        <f t="shared" si="8"/>
        <v>0.65836085259681776</v>
      </c>
      <c r="O27" s="24">
        <f t="shared" si="8"/>
        <v>0.6795580110497238</v>
      </c>
      <c r="P27" s="24">
        <f t="shared" si="8"/>
        <v>0.67421953675730106</v>
      </c>
      <c r="Q27" s="24">
        <f t="shared" si="8"/>
        <v>0.67062902426944027</v>
      </c>
      <c r="R27" s="24">
        <f t="shared" si="8"/>
        <v>0.67988436420943854</v>
      </c>
      <c r="S27" s="24">
        <f t="shared" si="8"/>
        <v>0.66402531181901192</v>
      </c>
      <c r="T27" s="24">
        <f t="shared" si="8"/>
        <v>0.64490568933259451</v>
      </c>
      <c r="U27" s="24">
        <f t="shared" si="8"/>
        <v>0.63643167708470949</v>
      </c>
      <c r="V27" s="24">
        <f t="shared" si="8"/>
        <v>0.62264290350166029</v>
      </c>
      <c r="W27" s="113">
        <f t="shared" si="8"/>
        <v>0.60472741858906121</v>
      </c>
      <c r="X27" s="113">
        <f t="shared" ref="X27" si="9">X25/X$22</f>
        <v>0.58201399651443853</v>
      </c>
    </row>
    <row r="28" spans="1:25" ht="15" customHeight="1" outlineLevel="3">
      <c r="Y28" s="135" t="s">
        <v>4</v>
      </c>
    </row>
    <row r="29" spans="1:25" ht="15" customHeight="1" outlineLevel="3">
      <c r="B29" s="6" t="s">
        <v>30</v>
      </c>
      <c r="C29" s="1" t="s">
        <v>26</v>
      </c>
      <c r="D29" s="72"/>
      <c r="E29" s="72"/>
      <c r="F29" s="72"/>
      <c r="G29" s="25">
        <f>G51</f>
        <v>344.44398045683351</v>
      </c>
      <c r="H29" s="25">
        <f t="shared" ref="H29:W29" si="10">H51</f>
        <v>226.9</v>
      </c>
      <c r="I29" s="25">
        <f t="shared" si="10"/>
        <v>134.9</v>
      </c>
      <c r="J29" s="25">
        <f t="shared" si="10"/>
        <v>77.7</v>
      </c>
      <c r="K29" s="25">
        <f t="shared" si="10"/>
        <v>43.156986325705446</v>
      </c>
      <c r="L29" s="25">
        <f t="shared" si="10"/>
        <v>50.756564930693045</v>
      </c>
      <c r="M29" s="25">
        <f t="shared" si="10"/>
        <v>67.300993822905241</v>
      </c>
      <c r="N29" s="25">
        <f t="shared" si="10"/>
        <v>56</v>
      </c>
      <c r="O29" s="25">
        <f t="shared" si="10"/>
        <v>48</v>
      </c>
      <c r="P29" s="25">
        <f t="shared" si="10"/>
        <v>47</v>
      </c>
      <c r="Q29" s="25">
        <f t="shared" si="10"/>
        <v>44</v>
      </c>
      <c r="R29" s="25">
        <f t="shared" si="10"/>
        <v>12.515725298936513</v>
      </c>
      <c r="S29" s="25">
        <f t="shared" si="10"/>
        <v>13.046997692702085</v>
      </c>
      <c r="T29" s="25">
        <f t="shared" si="10"/>
        <v>13.785646449905382</v>
      </c>
      <c r="U29" s="25">
        <f t="shared" si="10"/>
        <v>14.284336695972129</v>
      </c>
      <c r="V29" s="25">
        <f t="shared" si="10"/>
        <v>14.865658132994506</v>
      </c>
      <c r="W29" s="115">
        <f t="shared" si="10"/>
        <v>15.482736857105259</v>
      </c>
      <c r="X29" s="115">
        <f t="shared" ref="X29" si="11">X51</f>
        <v>16.138284614792894</v>
      </c>
      <c r="Y29" s="135" t="s">
        <v>4</v>
      </c>
    </row>
    <row r="30" spans="1:25" ht="15" customHeight="1" outlineLevel="3">
      <c r="B30" s="18" t="s">
        <v>27</v>
      </c>
      <c r="C30" s="1" t="s">
        <v>21</v>
      </c>
      <c r="D30" s="72"/>
      <c r="E30" s="72"/>
      <c r="F30" s="72"/>
      <c r="G30" s="24" t="str">
        <f t="shared" ref="G30:Q30" si="12">IFERROR(G29/F29-1,"n.m.")</f>
        <v>n.m.</v>
      </c>
      <c r="H30" s="24">
        <f t="shared" si="12"/>
        <v>-0.34125717714949122</v>
      </c>
      <c r="I30" s="24">
        <f t="shared" si="12"/>
        <v>-0.40546496253856323</v>
      </c>
      <c r="J30" s="24">
        <f t="shared" si="12"/>
        <v>-0.42401779095626391</v>
      </c>
      <c r="K30" s="24">
        <f t="shared" si="12"/>
        <v>-0.44456903055720143</v>
      </c>
      <c r="L30" s="24">
        <f t="shared" si="12"/>
        <v>0.17609150341577684</v>
      </c>
      <c r="M30" s="24">
        <f t="shared" si="12"/>
        <v>0.32595643371065885</v>
      </c>
      <c r="N30" s="24">
        <f t="shared" si="12"/>
        <v>-0.16791719083142365</v>
      </c>
      <c r="O30" s="24">
        <f t="shared" si="12"/>
        <v>-0.1428571428571429</v>
      </c>
      <c r="P30" s="24">
        <f t="shared" si="12"/>
        <v>-2.083333333333337E-2</v>
      </c>
      <c r="Q30" s="24">
        <f t="shared" si="12"/>
        <v>-6.3829787234042534E-2</v>
      </c>
      <c r="R30" s="24">
        <f t="shared" ref="R30:W30" si="13">IFERROR(R29/Q29-1,"n.m.")</f>
        <v>-0.71555169775144289</v>
      </c>
      <c r="S30" s="24">
        <f t="shared" si="13"/>
        <v>4.2448390410958936E-2</v>
      </c>
      <c r="T30" s="24">
        <f t="shared" si="13"/>
        <v>5.6614462162162038E-2</v>
      </c>
      <c r="U30" s="24">
        <f t="shared" si="13"/>
        <v>3.6174600000000057E-2</v>
      </c>
      <c r="V30" s="24">
        <f t="shared" si="13"/>
        <v>4.0696424999999925E-2</v>
      </c>
      <c r="W30" s="113">
        <f t="shared" si="13"/>
        <v>4.1510353500000097E-2</v>
      </c>
      <c r="X30" s="113">
        <f t="shared" ref="X30" si="14">IFERROR(X29/W29-1,"n.m.")</f>
        <v>4.2340560570000019E-2</v>
      </c>
      <c r="Y30" s="135" t="s">
        <v>4</v>
      </c>
    </row>
    <row r="31" spans="1:25" ht="15" customHeight="1" outlineLevel="3">
      <c r="B31" s="18" t="s">
        <v>29</v>
      </c>
      <c r="C31" s="1" t="s">
        <v>21</v>
      </c>
      <c r="D31" s="72"/>
      <c r="E31" s="72"/>
      <c r="F31" s="72"/>
      <c r="G31" s="24">
        <f>G29/G$22</f>
        <v>0.10966759438895615</v>
      </c>
      <c r="H31" s="24">
        <f t="shared" ref="H31:W31" si="15">H29/H$22</f>
        <v>7.6735770570529951E-2</v>
      </c>
      <c r="I31" s="24">
        <f t="shared" si="15"/>
        <v>4.4945692010395152E-2</v>
      </c>
      <c r="J31" s="24">
        <f t="shared" si="15"/>
        <v>2.4630698028276173E-2</v>
      </c>
      <c r="K31" s="24">
        <f t="shared" si="15"/>
        <v>1.3108062910249499E-2</v>
      </c>
      <c r="L31" s="24">
        <f t="shared" si="15"/>
        <v>1.517839860367615E-2</v>
      </c>
      <c r="M31" s="24">
        <f t="shared" si="15"/>
        <v>2.3950531609574818E-2</v>
      </c>
      <c r="N31" s="24">
        <f t="shared" si="15"/>
        <v>1.6811768237766436E-2</v>
      </c>
      <c r="O31" s="24">
        <f t="shared" si="15"/>
        <v>1.2628255722178374E-2</v>
      </c>
      <c r="P31" s="24">
        <f t="shared" si="15"/>
        <v>1.1832829808660624E-2</v>
      </c>
      <c r="Q31" s="24">
        <f t="shared" si="15"/>
        <v>1.0896483407627538E-2</v>
      </c>
      <c r="R31" s="24">
        <f t="shared" si="15"/>
        <v>2.9252114718216447E-3</v>
      </c>
      <c r="S31" s="24">
        <f t="shared" si="15"/>
        <v>2.7725300627817824E-3</v>
      </c>
      <c r="T31" s="24">
        <f t="shared" si="15"/>
        <v>2.6486174769787124E-3</v>
      </c>
      <c r="U31" s="24">
        <f t="shared" si="15"/>
        <v>2.5212889117152211E-3</v>
      </c>
      <c r="V31" s="24">
        <f t="shared" si="15"/>
        <v>2.3897297132119341E-3</v>
      </c>
      <c r="W31" s="113">
        <f t="shared" si="15"/>
        <v>2.2503384696054888E-3</v>
      </c>
      <c r="X31" s="113">
        <f t="shared" ref="X31" si="16">X29/X$22</f>
        <v>2.1015808527719412E-3</v>
      </c>
      <c r="Y31" s="135" t="s">
        <v>4</v>
      </c>
    </row>
    <row r="32" spans="1:25" ht="15" customHeight="1" outlineLevel="3">
      <c r="Y32" s="135" t="s">
        <v>4</v>
      </c>
    </row>
    <row r="33" spans="2:25" ht="15" customHeight="1" outlineLevel="3">
      <c r="B33" s="6" t="s">
        <v>31</v>
      </c>
      <c r="C33" s="1" t="s">
        <v>26</v>
      </c>
      <c r="D33" s="72"/>
      <c r="E33" s="72"/>
      <c r="F33" s="72"/>
      <c r="G33" s="82">
        <v>952.2</v>
      </c>
      <c r="H33" s="82">
        <v>882.6</v>
      </c>
      <c r="I33" s="82">
        <v>889.30000000000007</v>
      </c>
      <c r="J33" s="82">
        <v>925.7</v>
      </c>
      <c r="K33" s="82">
        <v>1091.2</v>
      </c>
      <c r="L33" s="82">
        <v>1140</v>
      </c>
      <c r="M33" s="82">
        <v>934</v>
      </c>
      <c r="N33" s="82">
        <v>1082</v>
      </c>
      <c r="O33" s="82">
        <v>1170</v>
      </c>
      <c r="P33" s="82">
        <v>1247</v>
      </c>
      <c r="Q33" s="82">
        <v>1286</v>
      </c>
      <c r="R33" s="25">
        <f>R38+R43</f>
        <v>1357.1217863966142</v>
      </c>
      <c r="S33" s="25">
        <f t="shared" ref="S33:W33" si="17">S38+S43</f>
        <v>1567.9858070897872</v>
      </c>
      <c r="T33" s="25">
        <f t="shared" si="17"/>
        <v>1834.4256055643705</v>
      </c>
      <c r="U33" s="25">
        <f t="shared" si="17"/>
        <v>2045.5083004671085</v>
      </c>
      <c r="V33" s="25">
        <f t="shared" si="17"/>
        <v>2332.5385523055274</v>
      </c>
      <c r="W33" s="115">
        <f t="shared" si="17"/>
        <v>2704.0643212737432</v>
      </c>
      <c r="X33" s="115">
        <f t="shared" ref="X33" si="18">X38+X43</f>
        <v>3193.6250135007817</v>
      </c>
      <c r="Y33" s="135" t="s">
        <v>4</v>
      </c>
    </row>
    <row r="34" spans="2:25" ht="15" customHeight="1" outlineLevel="3">
      <c r="B34" s="18" t="s">
        <v>27</v>
      </c>
      <c r="C34" s="1" t="s">
        <v>21</v>
      </c>
      <c r="D34" s="72"/>
      <c r="E34" s="72"/>
      <c r="F34" s="72"/>
      <c r="G34" s="24" t="str">
        <f t="shared" ref="G34:Q34" si="19">IFERROR(G33/F33-1,"n.m.")</f>
        <v>n.m.</v>
      </c>
      <c r="H34" s="24">
        <f t="shared" si="19"/>
        <v>-7.309388783868942E-2</v>
      </c>
      <c r="I34" s="24">
        <f t="shared" si="19"/>
        <v>7.5912077951507673E-3</v>
      </c>
      <c r="J34" s="24">
        <f t="shared" si="19"/>
        <v>4.0931069380411467E-2</v>
      </c>
      <c r="K34" s="24">
        <f t="shared" si="19"/>
        <v>0.17878362320406183</v>
      </c>
      <c r="L34" s="24">
        <f t="shared" si="19"/>
        <v>4.4721407624633391E-2</v>
      </c>
      <c r="M34" s="24">
        <f t="shared" si="19"/>
        <v>-0.18070175438596492</v>
      </c>
      <c r="N34" s="24">
        <f t="shared" si="19"/>
        <v>0.15845824411134912</v>
      </c>
      <c r="O34" s="24">
        <f t="shared" si="19"/>
        <v>8.1330868761552599E-2</v>
      </c>
      <c r="P34" s="24">
        <f t="shared" si="19"/>
        <v>6.58119658119658E-2</v>
      </c>
      <c r="Q34" s="24">
        <f t="shared" si="19"/>
        <v>3.1275060144346334E-2</v>
      </c>
      <c r="R34" s="24">
        <f t="shared" ref="R34:W34" si="20">IFERROR(R33/Q33-1,"n.m.")</f>
        <v>5.5304655051799489E-2</v>
      </c>
      <c r="S34" s="24">
        <f t="shared" si="20"/>
        <v>0.1553759012690028</v>
      </c>
      <c r="T34" s="24">
        <f t="shared" si="20"/>
        <v>0.16992487895607988</v>
      </c>
      <c r="U34" s="24">
        <f t="shared" si="20"/>
        <v>0.11506745995174739</v>
      </c>
      <c r="V34" s="24">
        <f t="shared" si="20"/>
        <v>0.1403222131989752</v>
      </c>
      <c r="W34" s="113">
        <f t="shared" si="20"/>
        <v>0.15927958343967874</v>
      </c>
      <c r="X34" s="113">
        <f t="shared" ref="X34" si="21">IFERROR(X33/W33-1,"n.m.")</f>
        <v>0.18104624523000701</v>
      </c>
      <c r="Y34" s="135" t="s">
        <v>4</v>
      </c>
    </row>
    <row r="35" spans="2:25" ht="15" customHeight="1" outlineLevel="3">
      <c r="B35" s="18" t="s">
        <v>29</v>
      </c>
      <c r="C35" s="1" t="s">
        <v>21</v>
      </c>
      <c r="D35" s="72"/>
      <c r="E35" s="72"/>
      <c r="F35" s="72"/>
      <c r="G35" s="24">
        <f>G33/G$22</f>
        <v>0.30317116658176263</v>
      </c>
      <c r="H35" s="24">
        <f t="shared" ref="H35:Q35" si="22">H33/H$22</f>
        <v>0.2984882816463188</v>
      </c>
      <c r="I35" s="24">
        <f t="shared" si="22"/>
        <v>0.29629506230425801</v>
      </c>
      <c r="J35" s="24">
        <f t="shared" si="22"/>
        <v>0.29344449375515125</v>
      </c>
      <c r="K35" s="24">
        <f t="shared" si="22"/>
        <v>0.33142995990766622</v>
      </c>
      <c r="L35" s="24">
        <f t="shared" si="22"/>
        <v>0.34090909090909088</v>
      </c>
      <c r="M35" s="24">
        <f t="shared" si="22"/>
        <v>0.33238434163701069</v>
      </c>
      <c r="N35" s="24">
        <f t="shared" si="22"/>
        <v>0.32482737916541576</v>
      </c>
      <c r="O35" s="24">
        <f t="shared" si="22"/>
        <v>0.30781373322809785</v>
      </c>
      <c r="P35" s="24">
        <f t="shared" si="22"/>
        <v>0.31394763343403825</v>
      </c>
      <c r="Q35" s="24">
        <f t="shared" si="22"/>
        <v>0.31847449232293212</v>
      </c>
      <c r="R35" s="24">
        <f t="shared" ref="R35:W35" si="23">R33/R$22</f>
        <v>0.31719042431873984</v>
      </c>
      <c r="S35" s="24">
        <f t="shared" si="23"/>
        <v>0.33320215811820619</v>
      </c>
      <c r="T35" s="24">
        <f t="shared" si="23"/>
        <v>0.35244569319042685</v>
      </c>
      <c r="U35" s="24">
        <f t="shared" si="23"/>
        <v>0.3610470340035753</v>
      </c>
      <c r="V35" s="24">
        <f t="shared" si="23"/>
        <v>0.37496736678512776</v>
      </c>
      <c r="W35" s="113">
        <f t="shared" si="23"/>
        <v>0.39302224294133342</v>
      </c>
      <c r="X35" s="113">
        <f t="shared" ref="X35" si="24">X33/X$22</f>
        <v>0.41588442263278969</v>
      </c>
    </row>
    <row r="36" spans="2:25" ht="15" customHeight="1" outlineLevel="3">
      <c r="B36" s="18" t="s">
        <v>32</v>
      </c>
      <c r="C36" s="1" t="s">
        <v>21</v>
      </c>
      <c r="D36" s="72"/>
      <c r="E36" s="72"/>
      <c r="F36" s="72"/>
      <c r="G36" s="53">
        <f t="shared" ref="G36:L36" si="25">G33/G$55</f>
        <v>0.16192855979585843</v>
      </c>
      <c r="H36" s="53">
        <f t="shared" si="25"/>
        <v>0.14969470827679784</v>
      </c>
      <c r="I36" s="53">
        <f t="shared" si="25"/>
        <v>0.14494572481011836</v>
      </c>
      <c r="J36" s="53">
        <f t="shared" si="25"/>
        <v>0.14107194562550482</v>
      </c>
      <c r="K36" s="53">
        <f t="shared" si="25"/>
        <v>0.16086124385023745</v>
      </c>
      <c r="L36" s="53">
        <f t="shared" si="25"/>
        <v>0.17234897012897241</v>
      </c>
      <c r="M36" s="53">
        <f>M33/M$55</f>
        <v>0.17446862681320938</v>
      </c>
      <c r="N36" s="53">
        <f t="shared" ref="N36:Q36" si="26">N33/N$55</f>
        <v>0.17488281881364151</v>
      </c>
      <c r="O36" s="53">
        <f t="shared" si="26"/>
        <v>0.17504488330341114</v>
      </c>
      <c r="P36" s="53">
        <f t="shared" si="26"/>
        <v>0.17321941835986165</v>
      </c>
      <c r="Q36" s="53">
        <f t="shared" si="26"/>
        <v>0.17296570275722933</v>
      </c>
      <c r="R36" s="53">
        <f t="shared" ref="R36:W36" si="27">R33/R$55</f>
        <v>0.16860000000000003</v>
      </c>
      <c r="S36" s="53">
        <f t="shared" si="27"/>
        <v>0.17386696618398906</v>
      </c>
      <c r="T36" s="53">
        <f t="shared" si="27"/>
        <v>0.17355901844792004</v>
      </c>
      <c r="U36" s="53">
        <f t="shared" si="27"/>
        <v>0.17287417501777766</v>
      </c>
      <c r="V36" s="53">
        <f t="shared" si="27"/>
        <v>0.17233126899421913</v>
      </c>
      <c r="W36" s="116">
        <f t="shared" si="27"/>
        <v>0.17224367801202953</v>
      </c>
      <c r="X36" s="116">
        <f t="shared" ref="X36" si="28">X33/X$55</f>
        <v>0.17236187812073339</v>
      </c>
      <c r="Y36" s="135" t="s">
        <v>4</v>
      </c>
    </row>
    <row r="37" spans="2:25" ht="15" customHeight="1" outlineLevel="4">
      <c r="Y37" s="135" t="s">
        <v>4</v>
      </c>
    </row>
    <row r="38" spans="2:25" ht="15" customHeight="1" outlineLevel="4">
      <c r="B38" s="18" t="s">
        <v>33</v>
      </c>
      <c r="C38" s="1" t="s">
        <v>26</v>
      </c>
      <c r="D38" s="72"/>
      <c r="E38" s="72"/>
      <c r="F38" s="72"/>
      <c r="G38" s="72"/>
      <c r="H38" s="72"/>
      <c r="I38" s="72"/>
      <c r="J38" s="72"/>
      <c r="K38" s="72"/>
      <c r="L38" s="72"/>
      <c r="M38" s="29">
        <v>745</v>
      </c>
      <c r="N38" s="29">
        <v>853</v>
      </c>
      <c r="O38" s="29">
        <v>904</v>
      </c>
      <c r="P38" s="29">
        <v>954</v>
      </c>
      <c r="Q38" s="29">
        <v>987</v>
      </c>
      <c r="R38" s="25">
        <f>R41*R$55</f>
        <v>1044.0017538294239</v>
      </c>
      <c r="S38" s="25">
        <f t="shared" ref="S38:W38" si="29">S41*S$55</f>
        <v>1213.340617457771</v>
      </c>
      <c r="T38" s="25">
        <f t="shared" si="29"/>
        <v>1413.8940176771528</v>
      </c>
      <c r="U38" s="25">
        <f t="shared" si="29"/>
        <v>1574.7511458095098</v>
      </c>
      <c r="V38" s="25">
        <f t="shared" si="29"/>
        <v>1796.5087406402795</v>
      </c>
      <c r="W38" s="115">
        <f t="shared" si="29"/>
        <v>2084.2632009133617</v>
      </c>
      <c r="X38" s="115">
        <f t="shared" ref="X38" si="30">X41*X$55</f>
        <v>2459.96339992807</v>
      </c>
      <c r="Y38" s="135" t="s">
        <v>4</v>
      </c>
    </row>
    <row r="39" spans="2:25" ht="15" customHeight="1" outlineLevel="4">
      <c r="B39" s="77" t="s">
        <v>27</v>
      </c>
      <c r="C39" s="1" t="s">
        <v>21</v>
      </c>
      <c r="D39" s="72"/>
      <c r="E39" s="72"/>
      <c r="F39" s="72"/>
      <c r="G39" s="72"/>
      <c r="H39" s="72"/>
      <c r="I39" s="72"/>
      <c r="J39" s="72"/>
      <c r="K39" s="72"/>
      <c r="L39" s="72"/>
      <c r="M39" s="24" t="str">
        <f>IFERROR(M38/L38-1,"n.m.")</f>
        <v>n.m.</v>
      </c>
      <c r="N39" s="24">
        <f>IFERROR(N38/M38-1,"n.m.")</f>
        <v>0.14496644295302019</v>
      </c>
      <c r="O39" s="24">
        <f>IFERROR(O38/N38-1,"n.m.")</f>
        <v>5.9788980070339948E-2</v>
      </c>
      <c r="P39" s="24">
        <f>IFERROR(P38/O38-1,"n.m.")</f>
        <v>5.5309734513274256E-2</v>
      </c>
      <c r="Q39" s="24">
        <f>IFERROR(Q38/P38-1,"n.m.")</f>
        <v>3.4591194968553562E-2</v>
      </c>
      <c r="R39" s="24">
        <f t="shared" ref="R39" si="31">IFERROR(R38/Q38-1,"n.m.")</f>
        <v>5.7752536807927024E-2</v>
      </c>
      <c r="S39" s="24">
        <f t="shared" ref="S39" si="32">IFERROR(S38/R38-1,"n.m.")</f>
        <v>0.16220170417071422</v>
      </c>
      <c r="T39" s="24">
        <f t="shared" ref="T39" si="33">IFERROR(T38/S38-1,"n.m.")</f>
        <v>0.16529027161357823</v>
      </c>
      <c r="U39" s="24">
        <f t="shared" ref="U39" si="34">IFERROR(U38/T38-1,"n.m.")</f>
        <v>0.11376887243403488</v>
      </c>
      <c r="V39" s="24">
        <f t="shared" ref="V39" si="35">IFERROR(V38/U38-1,"n.m.")</f>
        <v>0.14082072295732417</v>
      </c>
      <c r="W39" s="113">
        <f t="shared" ref="W39" si="36">IFERROR(W38/V38-1,"n.m.")</f>
        <v>0.16017426120093692</v>
      </c>
      <c r="X39" s="113">
        <f t="shared" ref="X39" si="37">IFERROR(X38/W38-1,"n.m.")</f>
        <v>0.18025564086631163</v>
      </c>
      <c r="Y39" s="135" t="s">
        <v>4</v>
      </c>
    </row>
    <row r="40" spans="2:25" ht="15" customHeight="1" outlineLevel="4">
      <c r="B40" s="77" t="s">
        <v>29</v>
      </c>
      <c r="C40" s="1" t="s">
        <v>21</v>
      </c>
      <c r="D40" s="72"/>
      <c r="E40" s="72"/>
      <c r="F40" s="72"/>
      <c r="G40" s="72"/>
      <c r="H40" s="72"/>
      <c r="I40" s="72"/>
      <c r="J40" s="72"/>
      <c r="K40" s="72"/>
      <c r="L40" s="72"/>
      <c r="M40" s="24">
        <f t="shared" ref="M40:W40" si="38">M38/M$22</f>
        <v>0.26512455516014233</v>
      </c>
      <c r="N40" s="24">
        <f t="shared" si="38"/>
        <v>0.2560792554788352</v>
      </c>
      <c r="O40" s="24">
        <f t="shared" si="38"/>
        <v>0.23783214943435937</v>
      </c>
      <c r="P40" s="24">
        <f t="shared" si="38"/>
        <v>0.24018126888217523</v>
      </c>
      <c r="Q40" s="24">
        <f t="shared" si="38"/>
        <v>0.24442793462109955</v>
      </c>
      <c r="R40" s="24">
        <f t="shared" si="38"/>
        <v>0.24400710577782064</v>
      </c>
      <c r="S40" s="24">
        <f t="shared" si="38"/>
        <v>0.2578388850469075</v>
      </c>
      <c r="T40" s="24">
        <f t="shared" si="38"/>
        <v>0.27164953195510527</v>
      </c>
      <c r="U40" s="24">
        <f t="shared" si="38"/>
        <v>0.27795498574042454</v>
      </c>
      <c r="V40" s="24">
        <f t="shared" si="38"/>
        <v>0.28879786412041086</v>
      </c>
      <c r="W40" s="113">
        <f t="shared" si="38"/>
        <v>0.30293724585559717</v>
      </c>
      <c r="X40" s="113">
        <f t="shared" ref="X40" si="39">X38/X$22</f>
        <v>0.32034457832462404</v>
      </c>
    </row>
    <row r="41" spans="2:25" ht="15" customHeight="1" outlineLevel="4">
      <c r="B41" s="77" t="s">
        <v>32</v>
      </c>
      <c r="C41" s="1" t="s">
        <v>21</v>
      </c>
      <c r="D41" s="72"/>
      <c r="E41" s="72"/>
      <c r="F41" s="72"/>
      <c r="G41" s="72"/>
      <c r="H41" s="72"/>
      <c r="I41" s="72"/>
      <c r="J41" s="72"/>
      <c r="K41" s="72"/>
      <c r="L41" s="72"/>
      <c r="M41" s="53">
        <f>M38/M$55</f>
        <v>0.13916394751160704</v>
      </c>
      <c r="N41" s="53">
        <f t="shared" ref="N41:Q41" si="40">N38/N$55</f>
        <v>0.13786972684661386</v>
      </c>
      <c r="O41" s="53">
        <f t="shared" si="40"/>
        <v>0.13524835427887494</v>
      </c>
      <c r="P41" s="53">
        <f t="shared" si="40"/>
        <v>0.13251910594651806</v>
      </c>
      <c r="Q41" s="53">
        <f t="shared" si="40"/>
        <v>0.13275050437121722</v>
      </c>
      <c r="R41" s="613">
        <v>0.12970000000000001</v>
      </c>
      <c r="S41" s="76">
        <f>AVERAGE(M41:R41)</f>
        <v>0.13454193982580517</v>
      </c>
      <c r="T41" s="76">
        <f t="shared" ref="T41:X41" si="41">AVERAGE(N41:S41)</f>
        <v>0.13377160521150488</v>
      </c>
      <c r="U41" s="76">
        <f t="shared" si="41"/>
        <v>0.1330885849389867</v>
      </c>
      <c r="V41" s="76">
        <f t="shared" si="41"/>
        <v>0.13272862338233868</v>
      </c>
      <c r="W41" s="76">
        <f t="shared" si="41"/>
        <v>0.13276354295497544</v>
      </c>
      <c r="X41" s="76">
        <f t="shared" si="41"/>
        <v>0.1327657160522685</v>
      </c>
      <c r="Y41" s="135" t="s">
        <v>4</v>
      </c>
    </row>
    <row r="42" spans="2:25" ht="15" customHeight="1" outlineLevel="4">
      <c r="B42" s="6"/>
      <c r="Y42" s="135" t="s">
        <v>4</v>
      </c>
    </row>
    <row r="43" spans="2:25" ht="15" customHeight="1" outlineLevel="4">
      <c r="B43" s="18" t="s">
        <v>34</v>
      </c>
      <c r="C43" s="1" t="s">
        <v>26</v>
      </c>
      <c r="D43" s="72"/>
      <c r="E43" s="72"/>
      <c r="F43" s="72"/>
      <c r="G43" s="72"/>
      <c r="H43" s="72"/>
      <c r="I43" s="72"/>
      <c r="J43" s="72"/>
      <c r="K43" s="72"/>
      <c r="L43" s="72"/>
      <c r="M43" s="25">
        <f>M33-M38</f>
        <v>189</v>
      </c>
      <c r="N43" s="25">
        <f t="shared" ref="N43:Q43" si="42">N33-N38</f>
        <v>229</v>
      </c>
      <c r="O43" s="25">
        <f t="shared" si="42"/>
        <v>266</v>
      </c>
      <c r="P43" s="25">
        <f t="shared" si="42"/>
        <v>293</v>
      </c>
      <c r="Q43" s="25">
        <f t="shared" si="42"/>
        <v>299</v>
      </c>
      <c r="R43" s="25">
        <f>R46*R$55</f>
        <v>313.12003256719026</v>
      </c>
      <c r="S43" s="25">
        <f t="shared" ref="S43:W43" si="43">S46*S$55</f>
        <v>354.64518963201618</v>
      </c>
      <c r="T43" s="25">
        <f t="shared" si="43"/>
        <v>420.53158788721777</v>
      </c>
      <c r="U43" s="25">
        <f t="shared" si="43"/>
        <v>470.75715465759868</v>
      </c>
      <c r="V43" s="25">
        <f t="shared" si="43"/>
        <v>536.02981166524773</v>
      </c>
      <c r="W43" s="115">
        <f t="shared" si="43"/>
        <v>619.80112036038133</v>
      </c>
      <c r="X43" s="115">
        <f t="shared" ref="X43" si="44">X46*X$55</f>
        <v>733.66161357271187</v>
      </c>
      <c r="Y43" s="135" t="s">
        <v>4</v>
      </c>
    </row>
    <row r="44" spans="2:25" ht="15" customHeight="1" outlineLevel="4">
      <c r="B44" s="77" t="s">
        <v>27</v>
      </c>
      <c r="C44" s="1" t="s">
        <v>21</v>
      </c>
      <c r="D44" s="72"/>
      <c r="E44" s="72"/>
      <c r="F44" s="72"/>
      <c r="G44" s="72"/>
      <c r="H44" s="72"/>
      <c r="I44" s="72"/>
      <c r="J44" s="72"/>
      <c r="K44" s="72"/>
      <c r="L44" s="72"/>
      <c r="M44" s="53" t="str">
        <f>IFERROR(M43/L43-1,"n.m.")</f>
        <v>n.m.</v>
      </c>
      <c r="N44" s="53">
        <f>IFERROR(N43/M43-1,"n.m.")</f>
        <v>0.21164021164021163</v>
      </c>
      <c r="O44" s="53">
        <f>IFERROR(O43/N43-1,"n.m.")</f>
        <v>0.16157205240174677</v>
      </c>
      <c r="P44" s="53">
        <f>IFERROR(P43/O43-1,"n.m.")</f>
        <v>0.10150375939849621</v>
      </c>
      <c r="Q44" s="53">
        <f>IFERROR(Q43/P43-1,"n.m.")</f>
        <v>2.0477815699658786E-2</v>
      </c>
      <c r="R44" s="24">
        <f t="shared" ref="R44" si="45">IFERROR(R43/Q43-1,"n.m.")</f>
        <v>4.7224189187927257E-2</v>
      </c>
      <c r="S44" s="24">
        <f t="shared" ref="S44" si="46">IFERROR(S43/R43-1,"n.m.")</f>
        <v>0.13261737591291078</v>
      </c>
      <c r="T44" s="24">
        <f t="shared" ref="T44" si="47">IFERROR(T43/S43-1,"n.m.")</f>
        <v>0.18578116997319505</v>
      </c>
      <c r="U44" s="24">
        <f t="shared" ref="U44" si="48">IFERROR(U43/T43-1,"n.m.")</f>
        <v>0.11943351752175846</v>
      </c>
      <c r="V44" s="24">
        <f t="shared" ref="V44" si="49">IFERROR(V43/U43-1,"n.m.")</f>
        <v>0.13865462555768193</v>
      </c>
      <c r="W44" s="113">
        <f t="shared" ref="W44" si="50">IFERROR(W43/V43-1,"n.m.")</f>
        <v>0.15628106286642329</v>
      </c>
      <c r="X44" s="113">
        <f t="shared" ref="X44" si="51">IFERROR(X43/W43-1,"n.m.")</f>
        <v>0.183704884473469</v>
      </c>
      <c r="Y44" s="135" t="s">
        <v>4</v>
      </c>
    </row>
    <row r="45" spans="2:25" ht="15" customHeight="1" outlineLevel="4">
      <c r="B45" s="77" t="s">
        <v>29</v>
      </c>
      <c r="C45" s="1" t="s">
        <v>21</v>
      </c>
      <c r="D45" s="72"/>
      <c r="E45" s="72"/>
      <c r="F45" s="72"/>
      <c r="G45" s="72"/>
      <c r="H45" s="72"/>
      <c r="I45" s="72"/>
      <c r="J45" s="72"/>
      <c r="K45" s="72"/>
      <c r="L45" s="72"/>
      <c r="M45" s="24">
        <f t="shared" ref="M45:W45" si="52">M43/M$22</f>
        <v>6.7259786476868325E-2</v>
      </c>
      <c r="N45" s="24">
        <f t="shared" si="52"/>
        <v>6.8748123686580606E-2</v>
      </c>
      <c r="O45" s="24">
        <f t="shared" si="52"/>
        <v>6.9981583793738492E-2</v>
      </c>
      <c r="P45" s="24">
        <f t="shared" si="52"/>
        <v>7.3766364551863042E-2</v>
      </c>
      <c r="Q45" s="24">
        <f t="shared" si="52"/>
        <v>7.4046557701832591E-2</v>
      </c>
      <c r="R45" s="24">
        <f t="shared" si="52"/>
        <v>7.3183318540919196E-2</v>
      </c>
      <c r="S45" s="24">
        <f t="shared" si="52"/>
        <v>7.536327307129867E-2</v>
      </c>
      <c r="T45" s="24">
        <f t="shared" si="52"/>
        <v>8.0796161235321629E-2</v>
      </c>
      <c r="U45" s="24">
        <f t="shared" si="52"/>
        <v>8.3092048263150711E-2</v>
      </c>
      <c r="V45" s="24">
        <f t="shared" si="52"/>
        <v>8.6169502664716832E-2</v>
      </c>
      <c r="W45" s="113">
        <f t="shared" si="52"/>
        <v>9.008499708573621E-2</v>
      </c>
      <c r="X45" s="113">
        <f t="shared" ref="X45" si="53">X43/X$22</f>
        <v>9.5539844308165658E-2</v>
      </c>
    </row>
    <row r="46" spans="2:25" ht="15" customHeight="1" outlineLevel="4">
      <c r="B46" s="77" t="s">
        <v>32</v>
      </c>
      <c r="C46" s="1" t="s">
        <v>21</v>
      </c>
      <c r="D46" s="72"/>
      <c r="E46" s="72"/>
      <c r="F46" s="72"/>
      <c r="G46" s="72"/>
      <c r="H46" s="72"/>
      <c r="I46" s="72"/>
      <c r="J46" s="72"/>
      <c r="K46" s="72"/>
      <c r="L46" s="72"/>
      <c r="M46" s="53">
        <f>M43/M$55</f>
        <v>3.5304679301602325E-2</v>
      </c>
      <c r="N46" s="53">
        <f t="shared" ref="N46:Q46" si="54">N43/N$55</f>
        <v>3.7013091967027636E-2</v>
      </c>
      <c r="O46" s="53">
        <f t="shared" si="54"/>
        <v>3.9796529024536204E-2</v>
      </c>
      <c r="P46" s="53">
        <f t="shared" si="54"/>
        <v>4.0700312413343598E-2</v>
      </c>
      <c r="Q46" s="53">
        <f t="shared" si="54"/>
        <v>4.0215198386012105E-2</v>
      </c>
      <c r="R46" s="76">
        <v>3.8899999999999997E-2</v>
      </c>
      <c r="S46" s="76">
        <f t="shared" ref="S46:X46" si="55">AVERAGE(N46:R46)</f>
        <v>3.9325026358183905E-2</v>
      </c>
      <c r="T46" s="76">
        <f t="shared" si="55"/>
        <v>3.9787413236415166E-2</v>
      </c>
      <c r="U46" s="76">
        <f t="shared" si="55"/>
        <v>3.9785590078790956E-2</v>
      </c>
      <c r="V46" s="76">
        <f t="shared" si="55"/>
        <v>3.9602645611880427E-2</v>
      </c>
      <c r="W46" s="76">
        <f t="shared" si="55"/>
        <v>3.948013505705409E-2</v>
      </c>
      <c r="X46" s="76">
        <f t="shared" si="55"/>
        <v>3.9596162068464905E-2</v>
      </c>
      <c r="Y46" s="135" t="s">
        <v>4</v>
      </c>
    </row>
    <row r="47" spans="2:25" ht="15" customHeight="1" outlineLevel="3">
      <c r="B47" s="79"/>
      <c r="C47" s="80"/>
      <c r="D47" s="81"/>
      <c r="E47" s="81"/>
      <c r="F47" s="81"/>
      <c r="G47" s="81"/>
      <c r="H47" s="81"/>
      <c r="I47" s="81"/>
      <c r="J47" s="81"/>
      <c r="K47" s="81"/>
      <c r="L47" s="81"/>
      <c r="M47" s="81"/>
      <c r="N47" s="81"/>
      <c r="O47" s="81"/>
      <c r="P47" s="81"/>
      <c r="Q47" s="81"/>
      <c r="R47" s="81"/>
      <c r="S47" s="81"/>
      <c r="T47" s="81"/>
      <c r="U47" s="81"/>
      <c r="V47" s="81"/>
      <c r="W47" s="117"/>
      <c r="X47" s="117"/>
      <c r="Y47" s="135" t="s">
        <v>4</v>
      </c>
    </row>
    <row r="48" spans="2:25" ht="15" customHeight="1" outlineLevel="2">
      <c r="B48" s="7" t="s">
        <v>35</v>
      </c>
      <c r="C48" s="13" t="s">
        <v>26</v>
      </c>
      <c r="D48" s="43">
        <v>6099.8966388258996</v>
      </c>
      <c r="E48" s="43">
        <v>6442.7150502986005</v>
      </c>
      <c r="F48" s="43">
        <v>6557.7718522387604</v>
      </c>
      <c r="G48" s="43">
        <v>6224.8149366391663</v>
      </c>
      <c r="H48" s="43">
        <v>6122.9</v>
      </c>
      <c r="I48" s="43">
        <v>6270.2999999999993</v>
      </c>
      <c r="J48" s="43">
        <v>6639.5999999999995</v>
      </c>
      <c r="K48" s="43">
        <v>6826.6430136742956</v>
      </c>
      <c r="L48" s="43">
        <v>6665.2434350693065</v>
      </c>
      <c r="M48" s="43">
        <v>5420.6990061770948</v>
      </c>
      <c r="N48" s="43">
        <v>6243</v>
      </c>
      <c r="O48" s="43">
        <v>6732</v>
      </c>
      <c r="P48" s="43">
        <v>7245.9619397599499</v>
      </c>
      <c r="Q48" s="43">
        <v>7479</v>
      </c>
      <c r="R48" s="22">
        <f>Q48*(1+R49)</f>
        <v>8061.8738889799215</v>
      </c>
      <c r="S48" s="22">
        <f>R48*(1+S49)</f>
        <v>9031.3547389718424</v>
      </c>
      <c r="T48" s="22">
        <f t="shared" ref="T48:W48" si="56">S48*(1+T49)</f>
        <v>10583.248541371886</v>
      </c>
      <c r="U48" s="22">
        <f>T48*(1+U49)</f>
        <v>11846.637551146638</v>
      </c>
      <c r="V48" s="22">
        <f>U48*(1+V49)</f>
        <v>13550.067748380312</v>
      </c>
      <c r="W48" s="118">
        <f t="shared" si="56"/>
        <v>15714.545555783272</v>
      </c>
      <c r="X48" s="118">
        <f>W48*(1+X49)</f>
        <v>18544.74245347724</v>
      </c>
      <c r="Y48" s="135" t="s">
        <v>4</v>
      </c>
    </row>
    <row r="49" spans="2:60" ht="15" customHeight="1" outlineLevel="2">
      <c r="B49" s="6" t="s">
        <v>27</v>
      </c>
      <c r="C49" s="1" t="s">
        <v>21</v>
      </c>
      <c r="D49" s="24" t="str">
        <f t="shared" ref="D49:Q49" si="57">IFERROR(D48/C48-1,"n.m.")</f>
        <v>n.m.</v>
      </c>
      <c r="E49" s="24">
        <f t="shared" si="57"/>
        <v>5.6200691875770259E-2</v>
      </c>
      <c r="F49" s="24">
        <f t="shared" si="57"/>
        <v>1.7858434067300033E-2</v>
      </c>
      <c r="G49" s="24">
        <f t="shared" si="57"/>
        <v>-5.077287272290909E-2</v>
      </c>
      <c r="H49" s="24">
        <f t="shared" si="57"/>
        <v>-1.637236410664944E-2</v>
      </c>
      <c r="I49" s="24">
        <f t="shared" si="57"/>
        <v>2.4073559914419507E-2</v>
      </c>
      <c r="J49" s="24">
        <f t="shared" si="57"/>
        <v>5.8896703507009374E-2</v>
      </c>
      <c r="K49" s="24">
        <f t="shared" si="57"/>
        <v>2.817082560309303E-2</v>
      </c>
      <c r="L49" s="24">
        <f t="shared" si="57"/>
        <v>-2.364259831394333E-2</v>
      </c>
      <c r="M49" s="24">
        <f t="shared" si="57"/>
        <v>-0.1867215265303015</v>
      </c>
      <c r="N49" s="24">
        <f t="shared" si="57"/>
        <v>0.1516964865390722</v>
      </c>
      <c r="O49" s="24">
        <f t="shared" si="57"/>
        <v>7.83277270543008E-2</v>
      </c>
      <c r="P49" s="24">
        <f t="shared" si="57"/>
        <v>7.634609919191182E-2</v>
      </c>
      <c r="Q49" s="24">
        <f t="shared" si="57"/>
        <v>3.2161093610128866E-2</v>
      </c>
      <c r="R49" s="69">
        <f>R71</f>
        <v>7.7934735790870624E-2</v>
      </c>
      <c r="S49" s="69">
        <f t="shared" ref="S49:T49" si="58">S71</f>
        <v>0.12025502548695788</v>
      </c>
      <c r="T49" s="69">
        <f t="shared" si="58"/>
        <v>0.17183399913452146</v>
      </c>
      <c r="U49" s="69">
        <f>U71</f>
        <v>0.11937629592992449</v>
      </c>
      <c r="V49" s="69">
        <f>V71</f>
        <v>0.14379018433536861</v>
      </c>
      <c r="W49" s="119">
        <f>W71</f>
        <v>0.15973926090972412</v>
      </c>
      <c r="X49" s="119">
        <f>X71</f>
        <v>0.18010046091675869</v>
      </c>
      <c r="Y49" s="135" t="s">
        <v>4</v>
      </c>
    </row>
    <row r="50" spans="2:60" ht="15" customHeight="1" outlineLevel="3">
      <c r="Y50" s="135" t="s">
        <v>4</v>
      </c>
    </row>
    <row r="51" spans="2:60" ht="15" customHeight="1" outlineLevel="3">
      <c r="B51" s="34" t="s">
        <v>36</v>
      </c>
      <c r="C51" s="35" t="s">
        <v>26</v>
      </c>
      <c r="D51" s="44"/>
      <c r="E51" s="44"/>
      <c r="F51" s="44"/>
      <c r="G51" s="32">
        <v>344.44398045683351</v>
      </c>
      <c r="H51" s="32">
        <v>226.9</v>
      </c>
      <c r="I51" s="32">
        <v>134.9</v>
      </c>
      <c r="J51" s="32">
        <v>77.7</v>
      </c>
      <c r="K51" s="32">
        <v>43.156986325705446</v>
      </c>
      <c r="L51" s="32">
        <v>50.756564930693045</v>
      </c>
      <c r="M51" s="32">
        <v>67.300993822905241</v>
      </c>
      <c r="N51" s="32">
        <v>56</v>
      </c>
      <c r="O51" s="32">
        <v>48</v>
      </c>
      <c r="P51" s="32">
        <v>47</v>
      </c>
      <c r="Q51" s="32">
        <v>44</v>
      </c>
      <c r="R51" s="36">
        <f t="shared" ref="R51:V51" si="59">Q51*(1+R52)</f>
        <v>12.515725298936513</v>
      </c>
      <c r="S51" s="36">
        <f t="shared" si="59"/>
        <v>13.046997692702085</v>
      </c>
      <c r="T51" s="36">
        <f t="shared" si="59"/>
        <v>13.785646449905382</v>
      </c>
      <c r="U51" s="36">
        <f t="shared" si="59"/>
        <v>14.284336695972129</v>
      </c>
      <c r="V51" s="36">
        <f t="shared" si="59"/>
        <v>14.865658132994506</v>
      </c>
      <c r="W51" s="120">
        <f>V51*(1+W52)</f>
        <v>15.482736857105259</v>
      </c>
      <c r="X51" s="120">
        <f t="shared" ref="X51" si="60">W51*(1+X52)</f>
        <v>16.138284614792894</v>
      </c>
      <c r="Y51" s="135" t="s">
        <v>4</v>
      </c>
    </row>
    <row r="52" spans="2:60" ht="15" customHeight="1" outlineLevel="3">
      <c r="B52" s="18" t="s">
        <v>27</v>
      </c>
      <c r="C52" s="1" t="s">
        <v>21</v>
      </c>
      <c r="D52" s="45"/>
      <c r="E52" s="45"/>
      <c r="F52" s="45"/>
      <c r="G52" s="24" t="str">
        <f t="shared" ref="G52:Q52" si="61">IFERROR(G51/F51-1,"n.m.")</f>
        <v>n.m.</v>
      </c>
      <c r="H52" s="24">
        <f t="shared" si="61"/>
        <v>-0.34125717714949122</v>
      </c>
      <c r="I52" s="24">
        <f t="shared" si="61"/>
        <v>-0.40546496253856323</v>
      </c>
      <c r="J52" s="24">
        <f t="shared" si="61"/>
        <v>-0.42401779095626391</v>
      </c>
      <c r="K52" s="24">
        <f t="shared" si="61"/>
        <v>-0.44456903055720143</v>
      </c>
      <c r="L52" s="24">
        <f t="shared" si="61"/>
        <v>0.17609150341577684</v>
      </c>
      <c r="M52" s="24">
        <f t="shared" si="61"/>
        <v>0.32595643371065885</v>
      </c>
      <c r="N52" s="24">
        <f t="shared" si="61"/>
        <v>-0.16791719083142365</v>
      </c>
      <c r="O52" s="24">
        <f t="shared" si="61"/>
        <v>-0.1428571428571429</v>
      </c>
      <c r="P52" s="24">
        <f t="shared" si="61"/>
        <v>-2.083333333333337E-2</v>
      </c>
      <c r="Q52" s="24">
        <f t="shared" si="61"/>
        <v>-6.3829787234042534E-2</v>
      </c>
      <c r="R52" s="69">
        <f t="shared" ref="R52:X52" si="62">(1+R74)*(1+R77)*(1+R68*R80)-1</f>
        <v>-0.71555169775144289</v>
      </c>
      <c r="S52" s="69">
        <f t="shared" si="62"/>
        <v>4.2448390410958936E-2</v>
      </c>
      <c r="T52" s="69">
        <f t="shared" si="62"/>
        <v>5.6614462162162038E-2</v>
      </c>
      <c r="U52" s="69">
        <f t="shared" si="62"/>
        <v>3.6174600000000057E-2</v>
      </c>
      <c r="V52" s="69">
        <f t="shared" si="62"/>
        <v>4.0696424999999925E-2</v>
      </c>
      <c r="W52" s="69">
        <f t="shared" si="62"/>
        <v>4.1510353500000097E-2</v>
      </c>
      <c r="X52" s="69">
        <f t="shared" si="62"/>
        <v>4.2340560570000019E-2</v>
      </c>
      <c r="Y52" s="135" t="s">
        <v>4</v>
      </c>
    </row>
    <row r="53" spans="2:60" ht="15" customHeight="1" outlineLevel="3">
      <c r="B53" s="18" t="s">
        <v>29</v>
      </c>
      <c r="C53" s="1" t="s">
        <v>21</v>
      </c>
      <c r="D53" s="45"/>
      <c r="E53" s="45"/>
      <c r="F53" s="45"/>
      <c r="G53" s="24">
        <f t="shared" ref="G53:T53" si="63">G51/G$48</f>
        <v>5.5334011366256285E-2</v>
      </c>
      <c r="H53" s="24">
        <f t="shared" si="63"/>
        <v>3.7057603423214493E-2</v>
      </c>
      <c r="I53" s="24">
        <f t="shared" si="63"/>
        <v>2.1514122131317485E-2</v>
      </c>
      <c r="J53" s="24">
        <f t="shared" si="63"/>
        <v>1.1702512199530094E-2</v>
      </c>
      <c r="K53" s="24">
        <f t="shared" si="63"/>
        <v>6.3218460726976134E-3</v>
      </c>
      <c r="L53" s="24">
        <f t="shared" si="63"/>
        <v>7.6151104494753185E-3</v>
      </c>
      <c r="M53" s="24">
        <f t="shared" si="63"/>
        <v>1.241555632331055E-2</v>
      </c>
      <c r="N53" s="24">
        <f t="shared" si="63"/>
        <v>8.9700464520262695E-3</v>
      </c>
      <c r="O53" s="24">
        <f t="shared" si="63"/>
        <v>7.1301247771836003E-3</v>
      </c>
      <c r="P53" s="24">
        <f t="shared" si="63"/>
        <v>6.4863713597641467E-3</v>
      </c>
      <c r="Q53" s="24">
        <f t="shared" si="63"/>
        <v>5.8831394571466772E-3</v>
      </c>
      <c r="R53" s="24">
        <f t="shared" si="63"/>
        <v>1.5524585811302169E-3</v>
      </c>
      <c r="S53" s="24">
        <f t="shared" si="63"/>
        <v>1.4446335095666275E-3</v>
      </c>
      <c r="T53" s="24">
        <f t="shared" si="63"/>
        <v>1.3025912030710351E-3</v>
      </c>
      <c r="U53" s="24">
        <f>U51/U$48</f>
        <v>1.2057713958328663E-3</v>
      </c>
      <c r="V53" s="24">
        <f>V51/V$48</f>
        <v>1.097091055856267E-3</v>
      </c>
      <c r="W53" s="113">
        <f>W51/W$48</f>
        <v>9.8524878127368419E-4</v>
      </c>
      <c r="X53" s="113">
        <f t="shared" ref="X53" si="64">X51/X$48</f>
        <v>8.7023503590188055E-4</v>
      </c>
      <c r="Y53" s="135" t="s">
        <v>4</v>
      </c>
    </row>
    <row r="54" spans="2:60" ht="15" customHeight="1" outlineLevel="3">
      <c r="B54" s="37"/>
      <c r="C54" s="38"/>
      <c r="D54" s="3"/>
      <c r="E54" s="3"/>
      <c r="F54" s="3"/>
      <c r="G54" s="3"/>
      <c r="H54" s="3"/>
      <c r="I54" s="3"/>
      <c r="J54" s="3"/>
      <c r="K54" s="3"/>
      <c r="L54" s="3"/>
      <c r="M54" s="3"/>
      <c r="N54" s="3"/>
      <c r="O54" s="3"/>
      <c r="P54" s="3"/>
      <c r="Q54" s="3"/>
      <c r="R54" s="39"/>
      <c r="S54" s="39"/>
      <c r="T54" s="39"/>
      <c r="U54" s="39"/>
      <c r="V54" s="39"/>
      <c r="W54" s="121"/>
      <c r="X54" s="121"/>
      <c r="Y54" s="135" t="s">
        <v>4</v>
      </c>
    </row>
    <row r="55" spans="2:60" ht="15" customHeight="1" outlineLevel="3">
      <c r="B55" s="41" t="s">
        <v>37</v>
      </c>
      <c r="C55" s="38" t="s">
        <v>26</v>
      </c>
      <c r="D55" s="46"/>
      <c r="E55" s="44"/>
      <c r="F55" s="44"/>
      <c r="G55" s="42">
        <f>G48-G51</f>
        <v>5880.3709561823325</v>
      </c>
      <c r="H55" s="42">
        <f t="shared" ref="H55:Q55" si="65">H48-H51</f>
        <v>5896</v>
      </c>
      <c r="I55" s="42">
        <f t="shared" si="65"/>
        <v>6135.4</v>
      </c>
      <c r="J55" s="42">
        <f t="shared" si="65"/>
        <v>6561.9</v>
      </c>
      <c r="K55" s="42">
        <f t="shared" si="65"/>
        <v>6783.4860273485901</v>
      </c>
      <c r="L55" s="42">
        <f t="shared" si="65"/>
        <v>6614.4868701386131</v>
      </c>
      <c r="M55" s="42">
        <f t="shared" si="65"/>
        <v>5353.3980123541896</v>
      </c>
      <c r="N55" s="42">
        <f t="shared" si="65"/>
        <v>6187</v>
      </c>
      <c r="O55" s="42">
        <f t="shared" si="65"/>
        <v>6684</v>
      </c>
      <c r="P55" s="42">
        <f t="shared" si="65"/>
        <v>7198.9619397599499</v>
      </c>
      <c r="Q55" s="42">
        <f t="shared" si="65"/>
        <v>7435</v>
      </c>
      <c r="R55" s="42">
        <f>R48-R51</f>
        <v>8049.3581636809849</v>
      </c>
      <c r="S55" s="42">
        <f t="shared" ref="S55:T55" si="66">S48-S51</f>
        <v>9018.3077412791408</v>
      </c>
      <c r="T55" s="42">
        <f t="shared" si="66"/>
        <v>10569.46289492198</v>
      </c>
      <c r="U55" s="42">
        <f>U48-U51</f>
        <v>11832.353214450666</v>
      </c>
      <c r="V55" s="42">
        <f>V48-V51</f>
        <v>13535.202090247318</v>
      </c>
      <c r="W55" s="122">
        <f>W48-W51</f>
        <v>15699.062818926166</v>
      </c>
      <c r="X55" s="122">
        <f t="shared" ref="X55" si="67">X48-X51</f>
        <v>18528.604168862446</v>
      </c>
      <c r="Y55" s="135" t="s">
        <v>4</v>
      </c>
    </row>
    <row r="56" spans="2:60" ht="15" customHeight="1" outlineLevel="3">
      <c r="B56" s="18" t="s">
        <v>27</v>
      </c>
      <c r="C56" s="1" t="s">
        <v>21</v>
      </c>
      <c r="D56" s="45"/>
      <c r="E56" s="45"/>
      <c r="F56" s="45"/>
      <c r="G56" s="87" t="str">
        <f t="shared" ref="G56:W56" si="68">IFERROR(G55/F55-1,"n.m.")</f>
        <v>n.m.</v>
      </c>
      <c r="H56" s="87">
        <f t="shared" si="68"/>
        <v>2.6578329724651351E-3</v>
      </c>
      <c r="I56" s="87">
        <f t="shared" si="68"/>
        <v>4.0603799185888745E-2</v>
      </c>
      <c r="J56" s="87">
        <f t="shared" si="68"/>
        <v>6.951462007367093E-2</v>
      </c>
      <c r="K56" s="87">
        <f t="shared" si="68"/>
        <v>3.3768577294471136E-2</v>
      </c>
      <c r="L56" s="87">
        <f t="shared" si="68"/>
        <v>-2.4913319866604389E-2</v>
      </c>
      <c r="M56" s="87">
        <f t="shared" si="68"/>
        <v>-0.19065558410549788</v>
      </c>
      <c r="N56" s="87">
        <f t="shared" si="68"/>
        <v>0.15571455470377571</v>
      </c>
      <c r="O56" s="87">
        <f t="shared" si="68"/>
        <v>8.0329723614029458E-2</v>
      </c>
      <c r="P56" s="87">
        <f t="shared" si="68"/>
        <v>7.704397662476814E-2</v>
      </c>
      <c r="Q56" s="87">
        <f t="shared" si="68"/>
        <v>3.2787791103104702E-2</v>
      </c>
      <c r="R56" s="87">
        <f t="shared" si="68"/>
        <v>8.263055328594282E-2</v>
      </c>
      <c r="S56" s="87">
        <f t="shared" si="68"/>
        <v>0.12037600488074851</v>
      </c>
      <c r="T56" s="87">
        <f t="shared" si="68"/>
        <v>0.17200068994572004</v>
      </c>
      <c r="U56" s="87">
        <f t="shared" si="68"/>
        <v>0.11948481508321795</v>
      </c>
      <c r="V56" s="87">
        <f t="shared" si="68"/>
        <v>0.14391464190884617</v>
      </c>
      <c r="W56" s="123">
        <f t="shared" si="68"/>
        <v>0.15986911124422742</v>
      </c>
      <c r="X56" s="123">
        <f t="shared" ref="X56" si="69">IFERROR(X55/W55-1,"n.m.")</f>
        <v>0.18023632254819044</v>
      </c>
      <c r="Y56" s="135" t="s">
        <v>4</v>
      </c>
    </row>
    <row r="57" spans="2:60" ht="15" customHeight="1" outlineLevel="3">
      <c r="B57" s="20" t="s">
        <v>29</v>
      </c>
      <c r="C57" s="21" t="s">
        <v>21</v>
      </c>
      <c r="D57" s="47"/>
      <c r="E57" s="47"/>
      <c r="F57" s="47"/>
      <c r="G57" s="48">
        <f t="shared" ref="G57:T57" si="70">G55/G$48</f>
        <v>0.94466598863374363</v>
      </c>
      <c r="H57" s="48">
        <f t="shared" si="70"/>
        <v>0.9629423965767856</v>
      </c>
      <c r="I57" s="48">
        <f t="shared" si="70"/>
        <v>0.97848587786868257</v>
      </c>
      <c r="J57" s="48">
        <f t="shared" si="70"/>
        <v>0.98829748780046989</v>
      </c>
      <c r="K57" s="48">
        <f t="shared" si="70"/>
        <v>0.99367815392730241</v>
      </c>
      <c r="L57" s="48">
        <f t="shared" si="70"/>
        <v>0.99238488955052462</v>
      </c>
      <c r="M57" s="48">
        <f t="shared" si="70"/>
        <v>0.98758444367668952</v>
      </c>
      <c r="N57" s="48">
        <f t="shared" si="70"/>
        <v>0.99102995354797374</v>
      </c>
      <c r="O57" s="48">
        <f t="shared" si="70"/>
        <v>0.99286987522281644</v>
      </c>
      <c r="P57" s="48">
        <f t="shared" si="70"/>
        <v>0.99351362864023585</v>
      </c>
      <c r="Q57" s="48">
        <f t="shared" si="70"/>
        <v>0.99411686054285331</v>
      </c>
      <c r="R57" s="48">
        <f t="shared" si="70"/>
        <v>0.99844754141886982</v>
      </c>
      <c r="S57" s="48">
        <f t="shared" si="70"/>
        <v>0.99855536649043342</v>
      </c>
      <c r="T57" s="48">
        <f t="shared" si="70"/>
        <v>0.99869740879692892</v>
      </c>
      <c r="U57" s="48">
        <f>U55/U$48</f>
        <v>0.99879422860416722</v>
      </c>
      <c r="V57" s="48">
        <f>V55/V$48</f>
        <v>0.9989029089441438</v>
      </c>
      <c r="W57" s="124">
        <f>W55/W$48</f>
        <v>0.99901475121872629</v>
      </c>
      <c r="X57" s="124">
        <f t="shared" ref="X57" si="71">X55/X$48</f>
        <v>0.99912976496409811</v>
      </c>
      <c r="Y57" s="135" t="s">
        <v>4</v>
      </c>
    </row>
    <row r="58" spans="2:60" ht="15" customHeight="1" outlineLevel="2">
      <c r="Y58" s="135" t="s">
        <v>4</v>
      </c>
    </row>
    <row r="59" spans="2:60" ht="15" customHeight="1" outlineLevel="2">
      <c r="B59" s="7" t="s">
        <v>38</v>
      </c>
      <c r="C59" s="13" t="s">
        <v>39</v>
      </c>
      <c r="D59" s="22">
        <f>D63+D67</f>
        <v>3713</v>
      </c>
      <c r="E59" s="22">
        <f t="shared" ref="E59:W59" si="72">E63+E67</f>
        <v>3939</v>
      </c>
      <c r="F59" s="22">
        <f t="shared" si="72"/>
        <v>4098</v>
      </c>
      <c r="G59" s="22">
        <f t="shared" si="72"/>
        <v>4245</v>
      </c>
      <c r="H59" s="22">
        <f t="shared" si="72"/>
        <v>4389</v>
      </c>
      <c r="I59" s="22">
        <f t="shared" si="72"/>
        <v>4584</v>
      </c>
      <c r="J59" s="22">
        <f t="shared" si="72"/>
        <v>4722</v>
      </c>
      <c r="K59" s="22">
        <f t="shared" si="72"/>
        <v>4820</v>
      </c>
      <c r="L59" s="22">
        <f t="shared" si="72"/>
        <v>4906</v>
      </c>
      <c r="M59" s="22">
        <f t="shared" si="72"/>
        <v>4522.2587064676618</v>
      </c>
      <c r="N59" s="22">
        <f t="shared" si="72"/>
        <v>4567</v>
      </c>
      <c r="O59" s="22">
        <f t="shared" si="72"/>
        <v>4512</v>
      </c>
      <c r="P59" s="22">
        <f t="shared" si="72"/>
        <v>4517</v>
      </c>
      <c r="Q59" s="22">
        <f t="shared" si="72"/>
        <v>4531</v>
      </c>
      <c r="R59" s="22">
        <f t="shared" si="72"/>
        <v>4586</v>
      </c>
      <c r="S59" s="22">
        <f t="shared" si="72"/>
        <v>4690</v>
      </c>
      <c r="T59" s="22">
        <f t="shared" si="72"/>
        <v>4770</v>
      </c>
      <c r="U59" s="22">
        <f t="shared" si="72"/>
        <v>4868</v>
      </c>
      <c r="V59" s="22">
        <f t="shared" si="72"/>
        <v>4956.2</v>
      </c>
      <c r="W59" s="118">
        <f t="shared" si="72"/>
        <v>5035.58</v>
      </c>
      <c r="X59" s="118">
        <f t="shared" ref="X59" si="73">X63+X67</f>
        <v>5107.0219999999999</v>
      </c>
      <c r="Y59" s="135" t="s">
        <v>4</v>
      </c>
      <c r="Z59" s="2">
        <f t="shared" ref="Z59:AS59" si="74">E48/E59</f>
        <v>1.6356219980448339</v>
      </c>
      <c r="AA59" s="2">
        <f t="shared" si="74"/>
        <v>1.6002371528157053</v>
      </c>
      <c r="AB59" s="2">
        <f t="shared" si="74"/>
        <v>1.4663874997972124</v>
      </c>
      <c r="AC59" s="2">
        <f t="shared" si="74"/>
        <v>1.3950558213716107</v>
      </c>
      <c r="AD59" s="2">
        <f t="shared" si="74"/>
        <v>1.3678664921465966</v>
      </c>
      <c r="AE59" s="2">
        <f t="shared" si="74"/>
        <v>1.4060991105463785</v>
      </c>
      <c r="AF59" s="2">
        <f t="shared" si="74"/>
        <v>1.4163159779407253</v>
      </c>
      <c r="AG59" s="2">
        <f t="shared" si="74"/>
        <v>1.3585901824438049</v>
      </c>
      <c r="AH59" s="2">
        <f t="shared" si="74"/>
        <v>1.1986706993176879</v>
      </c>
      <c r="AI59" s="2">
        <f t="shared" si="74"/>
        <v>1.3669805123713596</v>
      </c>
      <c r="AJ59" s="2">
        <f t="shared" si="74"/>
        <v>1.4920212765957446</v>
      </c>
      <c r="AK59" s="2">
        <f t="shared" si="74"/>
        <v>1.6041536284613571</v>
      </c>
      <c r="AL59" s="2">
        <f t="shared" si="74"/>
        <v>1.6506290002207018</v>
      </c>
      <c r="AM59" s="2">
        <f t="shared" si="74"/>
        <v>1.7579315065372703</v>
      </c>
      <c r="AN59" s="2">
        <f t="shared" si="74"/>
        <v>1.9256619912519919</v>
      </c>
      <c r="AO59" s="2">
        <f t="shared" si="74"/>
        <v>2.2187103860318418</v>
      </c>
      <c r="AP59" s="2">
        <f t="shared" si="74"/>
        <v>2.433573860136943</v>
      </c>
      <c r="AQ59" s="2">
        <f t="shared" si="74"/>
        <v>2.7339630661354088</v>
      </c>
      <c r="AR59" s="2">
        <f t="shared" si="74"/>
        <v>3.1207021943417188</v>
      </c>
      <c r="AS59" s="2">
        <f t="shared" si="74"/>
        <v>3.6312243130100557</v>
      </c>
      <c r="BE59" s="2">
        <f>AJ48/AJ59</f>
        <v>0</v>
      </c>
      <c r="BF59" s="2">
        <f>AK48/AK59</f>
        <v>0</v>
      </c>
      <c r="BG59" s="2">
        <f>AL48/AL59</f>
        <v>0</v>
      </c>
      <c r="BH59" s="2">
        <f>AM48/AM59</f>
        <v>0</v>
      </c>
    </row>
    <row r="60" spans="2:60" ht="15" customHeight="1" outlineLevel="2">
      <c r="B60" s="6" t="s">
        <v>27</v>
      </c>
      <c r="C60" s="1" t="s">
        <v>21</v>
      </c>
      <c r="D60" s="24" t="str">
        <f t="shared" ref="D60:W60" si="75">IFERROR(D59/C59-1,"n.m.")</f>
        <v>n.m.</v>
      </c>
      <c r="E60" s="24">
        <f t="shared" si="75"/>
        <v>6.0867223269593262E-2</v>
      </c>
      <c r="F60" s="24">
        <f t="shared" si="75"/>
        <v>4.0365575019040367E-2</v>
      </c>
      <c r="G60" s="24">
        <f t="shared" si="75"/>
        <v>3.5871156661786197E-2</v>
      </c>
      <c r="H60" s="24">
        <f t="shared" si="75"/>
        <v>3.3922261484099048E-2</v>
      </c>
      <c r="I60" s="24">
        <f t="shared" si="75"/>
        <v>4.4429254955570707E-2</v>
      </c>
      <c r="J60" s="24">
        <f t="shared" si="75"/>
        <v>3.0104712041884918E-2</v>
      </c>
      <c r="K60" s="24">
        <f t="shared" si="75"/>
        <v>2.0753917831427326E-2</v>
      </c>
      <c r="L60" s="24">
        <f t="shared" si="75"/>
        <v>1.7842323651452219E-2</v>
      </c>
      <c r="M60" s="24">
        <f t="shared" si="75"/>
        <v>-7.8218771612788007E-2</v>
      </c>
      <c r="N60" s="24">
        <f t="shared" si="75"/>
        <v>9.8935723133994902E-3</v>
      </c>
      <c r="O60" s="24">
        <f t="shared" si="75"/>
        <v>-1.2042916575432439E-2</v>
      </c>
      <c r="P60" s="24">
        <f t="shared" si="75"/>
        <v>1.1081560283687786E-3</v>
      </c>
      <c r="Q60" s="24">
        <f t="shared" si="75"/>
        <v>3.0994022581358749E-3</v>
      </c>
      <c r="R60" s="24">
        <f t="shared" si="75"/>
        <v>1.2138600750386308E-2</v>
      </c>
      <c r="S60" s="24">
        <f t="shared" si="75"/>
        <v>2.2677714784125502E-2</v>
      </c>
      <c r="T60" s="24">
        <f t="shared" si="75"/>
        <v>1.7057569296375252E-2</v>
      </c>
      <c r="U60" s="24">
        <f t="shared" si="75"/>
        <v>2.0545073375262124E-2</v>
      </c>
      <c r="V60" s="24">
        <f t="shared" si="75"/>
        <v>1.8118323746918685E-2</v>
      </c>
      <c r="W60" s="113">
        <f t="shared" si="75"/>
        <v>1.6016302812638772E-2</v>
      </c>
      <c r="X60" s="113">
        <f t="shared" ref="X60" si="76">IFERROR(X59/W59-1,"n.m.")</f>
        <v>1.418744216157819E-2</v>
      </c>
      <c r="Y60" s="135" t="s">
        <v>4</v>
      </c>
    </row>
    <row r="61" spans="2:60" ht="15" customHeight="1" outlineLevel="2">
      <c r="B61" s="6" t="s">
        <v>27</v>
      </c>
      <c r="C61" s="1" t="s">
        <v>39</v>
      </c>
      <c r="D61" s="26" t="str">
        <f t="shared" ref="D61:W61" si="77">IFERROR(D59-C59,"n.m.")</f>
        <v>n.m.</v>
      </c>
      <c r="E61" s="26">
        <f t="shared" si="77"/>
        <v>226</v>
      </c>
      <c r="F61" s="26">
        <f t="shared" si="77"/>
        <v>159</v>
      </c>
      <c r="G61" s="26">
        <f t="shared" si="77"/>
        <v>147</v>
      </c>
      <c r="H61" s="26">
        <f t="shared" si="77"/>
        <v>144</v>
      </c>
      <c r="I61" s="26">
        <f t="shared" si="77"/>
        <v>195</v>
      </c>
      <c r="J61" s="26">
        <f t="shared" si="77"/>
        <v>138</v>
      </c>
      <c r="K61" s="26">
        <f t="shared" si="77"/>
        <v>98</v>
      </c>
      <c r="L61" s="26">
        <f t="shared" si="77"/>
        <v>86</v>
      </c>
      <c r="M61" s="26">
        <f t="shared" si="77"/>
        <v>-383.7412935323382</v>
      </c>
      <c r="N61" s="26">
        <f t="shared" si="77"/>
        <v>44.741293532338204</v>
      </c>
      <c r="O61" s="26">
        <f t="shared" si="77"/>
        <v>-55</v>
      </c>
      <c r="P61" s="26">
        <f t="shared" si="77"/>
        <v>5</v>
      </c>
      <c r="Q61" s="26">
        <f t="shared" si="77"/>
        <v>14</v>
      </c>
      <c r="R61" s="26">
        <f t="shared" si="77"/>
        <v>55</v>
      </c>
      <c r="S61" s="26">
        <f t="shared" si="77"/>
        <v>104</v>
      </c>
      <c r="T61" s="26">
        <f t="shared" si="77"/>
        <v>80</v>
      </c>
      <c r="U61" s="26">
        <f t="shared" si="77"/>
        <v>98</v>
      </c>
      <c r="V61" s="26">
        <f t="shared" si="77"/>
        <v>88.199999999999818</v>
      </c>
      <c r="W61" s="28">
        <f t="shared" si="77"/>
        <v>79.380000000000109</v>
      </c>
      <c r="X61" s="28">
        <f t="shared" ref="X61" si="78">IFERROR(X59-W59,"n.m.")</f>
        <v>71.442000000000007</v>
      </c>
      <c r="Y61" s="135" t="s">
        <v>4</v>
      </c>
    </row>
    <row r="62" spans="2:60" ht="15" customHeight="1" outlineLevel="3">
      <c r="Y62" s="135" t="s">
        <v>4</v>
      </c>
    </row>
    <row r="63" spans="2:60" ht="15" customHeight="1" outlineLevel="3">
      <c r="B63" s="17" t="s">
        <v>40</v>
      </c>
      <c r="C63" s="15" t="s">
        <v>39</v>
      </c>
      <c r="D63" s="32">
        <v>3404</v>
      </c>
      <c r="E63" s="32">
        <v>3574</v>
      </c>
      <c r="F63" s="32">
        <v>3767</v>
      </c>
      <c r="G63" s="32">
        <v>3975</v>
      </c>
      <c r="H63" s="32">
        <v>4248</v>
      </c>
      <c r="I63" s="32">
        <v>4488</v>
      </c>
      <c r="J63" s="32">
        <v>4691</v>
      </c>
      <c r="K63" s="32">
        <v>4803</v>
      </c>
      <c r="L63" s="32">
        <v>4871</v>
      </c>
      <c r="M63" s="32">
        <v>4484.2587064676618</v>
      </c>
      <c r="N63" s="32">
        <v>4521</v>
      </c>
      <c r="O63" s="32">
        <v>4471</v>
      </c>
      <c r="P63" s="32">
        <v>4479</v>
      </c>
      <c r="Q63" s="32">
        <v>4493</v>
      </c>
      <c r="R63" s="31">
        <f>Q63+R65</f>
        <v>4555</v>
      </c>
      <c r="S63" s="31">
        <f t="shared" ref="S63:W63" si="79">R63+S65</f>
        <v>4659</v>
      </c>
      <c r="T63" s="31">
        <f t="shared" si="79"/>
        <v>4739</v>
      </c>
      <c r="U63" s="31">
        <f t="shared" si="79"/>
        <v>4837</v>
      </c>
      <c r="V63" s="31">
        <f t="shared" si="79"/>
        <v>4925.2</v>
      </c>
      <c r="W63" s="114">
        <f t="shared" si="79"/>
        <v>5004.58</v>
      </c>
      <c r="X63" s="114">
        <f t="shared" ref="X63" si="80">W63+X65</f>
        <v>5076.0219999999999</v>
      </c>
      <c r="Y63" s="135" t="s">
        <v>4</v>
      </c>
    </row>
    <row r="64" spans="2:60" ht="15" customHeight="1" outlineLevel="3">
      <c r="B64" s="18" t="s">
        <v>27</v>
      </c>
      <c r="C64" s="1" t="s">
        <v>21</v>
      </c>
      <c r="D64" s="24" t="str">
        <f t="shared" ref="D64:W64" si="81">IFERROR(D63/C63-1,"n.m.")</f>
        <v>n.m.</v>
      </c>
      <c r="E64" s="24">
        <f t="shared" si="81"/>
        <v>4.9941245593419614E-2</v>
      </c>
      <c r="F64" s="24">
        <f t="shared" si="81"/>
        <v>5.4001119194180269E-2</v>
      </c>
      <c r="G64" s="24">
        <f t="shared" si="81"/>
        <v>5.5216352535173874E-2</v>
      </c>
      <c r="H64" s="24">
        <f t="shared" si="81"/>
        <v>6.8679245283018941E-2</v>
      </c>
      <c r="I64" s="24">
        <f t="shared" si="81"/>
        <v>5.6497175141242861E-2</v>
      </c>
      <c r="J64" s="24">
        <f t="shared" si="81"/>
        <v>4.5231729055258407E-2</v>
      </c>
      <c r="K64" s="24">
        <f t="shared" si="81"/>
        <v>2.3875506288637771E-2</v>
      </c>
      <c r="L64" s="24">
        <f t="shared" si="81"/>
        <v>1.4157818030397618E-2</v>
      </c>
      <c r="M64" s="24">
        <f t="shared" si="81"/>
        <v>-7.9396693396086682E-2</v>
      </c>
      <c r="N64" s="24">
        <f t="shared" si="81"/>
        <v>8.1933929189559329E-3</v>
      </c>
      <c r="O64" s="24">
        <f t="shared" si="81"/>
        <v>-1.1059500110594978E-2</v>
      </c>
      <c r="P64" s="24">
        <f t="shared" si="81"/>
        <v>1.7893088794453949E-3</v>
      </c>
      <c r="Q64" s="24">
        <f t="shared" si="81"/>
        <v>3.125697700379515E-3</v>
      </c>
      <c r="R64" s="24">
        <f t="shared" si="81"/>
        <v>1.3799243267304639E-2</v>
      </c>
      <c r="S64" s="24">
        <f t="shared" si="81"/>
        <v>2.28320526893524E-2</v>
      </c>
      <c r="T64" s="24">
        <f t="shared" si="81"/>
        <v>1.7171066752522002E-2</v>
      </c>
      <c r="U64" s="24">
        <f t="shared" si="81"/>
        <v>2.0679468242245092E-2</v>
      </c>
      <c r="V64" s="24">
        <f t="shared" si="81"/>
        <v>1.8234442836468912E-2</v>
      </c>
      <c r="W64" s="113">
        <f t="shared" si="81"/>
        <v>1.611711199545196E-2</v>
      </c>
      <c r="X64" s="113">
        <f t="shared" ref="X64" si="82">IFERROR(X63/W63-1,"n.m.")</f>
        <v>1.4275323803396134E-2</v>
      </c>
      <c r="Y64" s="135" t="s">
        <v>4</v>
      </c>
    </row>
    <row r="65" spans="2:25" ht="15" customHeight="1" outlineLevel="3">
      <c r="B65" s="18" t="s">
        <v>27</v>
      </c>
      <c r="C65" s="1" t="s">
        <v>39</v>
      </c>
      <c r="D65" s="26" t="str">
        <f t="shared" ref="D65:Q65" si="83">IFERROR(D63-C63,"n.m.")</f>
        <v>n.m.</v>
      </c>
      <c r="E65" s="26">
        <f t="shared" si="83"/>
        <v>170</v>
      </c>
      <c r="F65" s="26">
        <f t="shared" si="83"/>
        <v>193</v>
      </c>
      <c r="G65" s="26">
        <f t="shared" si="83"/>
        <v>208</v>
      </c>
      <c r="H65" s="26">
        <f t="shared" si="83"/>
        <v>273</v>
      </c>
      <c r="I65" s="26">
        <f t="shared" si="83"/>
        <v>240</v>
      </c>
      <c r="J65" s="26">
        <f t="shared" si="83"/>
        <v>203</v>
      </c>
      <c r="K65" s="26">
        <f t="shared" si="83"/>
        <v>112</v>
      </c>
      <c r="L65" s="26">
        <f t="shared" si="83"/>
        <v>68</v>
      </c>
      <c r="M65" s="26">
        <f t="shared" si="83"/>
        <v>-386.7412935323382</v>
      </c>
      <c r="N65" s="26">
        <f t="shared" si="83"/>
        <v>36.741293532338204</v>
      </c>
      <c r="O65" s="26">
        <f t="shared" si="83"/>
        <v>-50</v>
      </c>
      <c r="P65" s="26">
        <f t="shared" si="83"/>
        <v>8</v>
      </c>
      <c r="Q65" s="26">
        <f t="shared" si="83"/>
        <v>14</v>
      </c>
      <c r="R65" s="33">
        <v>62</v>
      </c>
      <c r="S65" s="33">
        <f>WACC!C36</f>
        <v>104</v>
      </c>
      <c r="T65" s="33">
        <f>WACC!D36</f>
        <v>80</v>
      </c>
      <c r="U65" s="33">
        <f>WACC!E36</f>
        <v>98</v>
      </c>
      <c r="V65" s="33">
        <f>U65*(1-10%)</f>
        <v>88.2</v>
      </c>
      <c r="W65" s="33">
        <f t="shared" ref="W65:X65" si="84">V65*(1-10%)</f>
        <v>79.38000000000001</v>
      </c>
      <c r="X65" s="33">
        <f t="shared" si="84"/>
        <v>71.442000000000007</v>
      </c>
      <c r="Y65" s="135" t="s">
        <v>4</v>
      </c>
    </row>
    <row r="66" spans="2:25" ht="15" customHeight="1" outlineLevel="3">
      <c r="Y66" s="135" t="s">
        <v>4</v>
      </c>
    </row>
    <row r="67" spans="2:25" ht="15" customHeight="1" outlineLevel="3">
      <c r="B67" s="6" t="s">
        <v>41</v>
      </c>
      <c r="C67" s="1" t="s">
        <v>39</v>
      </c>
      <c r="D67" s="29">
        <v>309</v>
      </c>
      <c r="E67" s="29">
        <v>365</v>
      </c>
      <c r="F67" s="29">
        <v>331</v>
      </c>
      <c r="G67" s="29">
        <v>270</v>
      </c>
      <c r="H67" s="29">
        <v>141</v>
      </c>
      <c r="I67" s="29">
        <v>96</v>
      </c>
      <c r="J67" s="29">
        <v>31</v>
      </c>
      <c r="K67" s="29">
        <v>17</v>
      </c>
      <c r="L67" s="29">
        <v>35</v>
      </c>
      <c r="M67" s="29">
        <v>38</v>
      </c>
      <c r="N67" s="29">
        <v>46</v>
      </c>
      <c r="O67" s="29">
        <v>41</v>
      </c>
      <c r="P67" s="29">
        <v>38</v>
      </c>
      <c r="Q67" s="29">
        <v>38</v>
      </c>
      <c r="R67" s="25">
        <f>Q67+R69</f>
        <v>31</v>
      </c>
      <c r="S67" s="25">
        <f t="shared" ref="S67:W67" si="85">R67+S69</f>
        <v>31</v>
      </c>
      <c r="T67" s="25">
        <f t="shared" si="85"/>
        <v>31</v>
      </c>
      <c r="U67" s="25">
        <f t="shared" si="85"/>
        <v>31</v>
      </c>
      <c r="V67" s="25">
        <f t="shared" si="85"/>
        <v>31</v>
      </c>
      <c r="W67" s="115">
        <f t="shared" si="85"/>
        <v>31</v>
      </c>
      <c r="X67" s="115">
        <f t="shared" ref="X67" si="86">W67+X69</f>
        <v>31</v>
      </c>
      <c r="Y67" s="135" t="s">
        <v>4</v>
      </c>
    </row>
    <row r="68" spans="2:25" ht="15" customHeight="1" outlineLevel="3">
      <c r="B68" s="18" t="s">
        <v>27</v>
      </c>
      <c r="C68" s="1" t="s">
        <v>21</v>
      </c>
      <c r="D68" s="24" t="str">
        <f t="shared" ref="D68:W68" si="87">IFERROR(D67/C67-1,"n.m.")</f>
        <v>n.m.</v>
      </c>
      <c r="E68" s="24">
        <f t="shared" si="87"/>
        <v>0.18122977346278324</v>
      </c>
      <c r="F68" s="24">
        <f t="shared" si="87"/>
        <v>-9.31506849315068E-2</v>
      </c>
      <c r="G68" s="24">
        <f t="shared" si="87"/>
        <v>-0.18429003021148038</v>
      </c>
      <c r="H68" s="24">
        <f t="shared" si="87"/>
        <v>-0.47777777777777775</v>
      </c>
      <c r="I68" s="24">
        <f t="shared" si="87"/>
        <v>-0.31914893617021278</v>
      </c>
      <c r="J68" s="24">
        <f t="shared" si="87"/>
        <v>-0.67708333333333326</v>
      </c>
      <c r="K68" s="24">
        <f t="shared" si="87"/>
        <v>-0.45161290322580649</v>
      </c>
      <c r="L68" s="24">
        <f t="shared" si="87"/>
        <v>1.0588235294117645</v>
      </c>
      <c r="M68" s="24">
        <f t="shared" si="87"/>
        <v>8.5714285714285632E-2</v>
      </c>
      <c r="N68" s="24">
        <f t="shared" si="87"/>
        <v>0.21052631578947367</v>
      </c>
      <c r="O68" s="24">
        <f t="shared" si="87"/>
        <v>-0.10869565217391308</v>
      </c>
      <c r="P68" s="24">
        <f t="shared" si="87"/>
        <v>-7.3170731707317027E-2</v>
      </c>
      <c r="Q68" s="24">
        <f t="shared" si="87"/>
        <v>0</v>
      </c>
      <c r="R68" s="24">
        <f t="shared" si="87"/>
        <v>-0.18421052631578949</v>
      </c>
      <c r="S68" s="24">
        <f t="shared" si="87"/>
        <v>0</v>
      </c>
      <c r="T68" s="24">
        <f t="shared" si="87"/>
        <v>0</v>
      </c>
      <c r="U68" s="24">
        <f t="shared" si="87"/>
        <v>0</v>
      </c>
      <c r="V68" s="24">
        <f t="shared" si="87"/>
        <v>0</v>
      </c>
      <c r="W68" s="113">
        <f t="shared" si="87"/>
        <v>0</v>
      </c>
      <c r="X68" s="113">
        <f t="shared" ref="X68" si="88">IFERROR(X67/W67-1,"n.m.")</f>
        <v>0</v>
      </c>
      <c r="Y68" s="135" t="s">
        <v>4</v>
      </c>
    </row>
    <row r="69" spans="2:25" ht="15" customHeight="1" outlineLevel="3">
      <c r="B69" s="20" t="s">
        <v>27</v>
      </c>
      <c r="C69" s="21" t="s">
        <v>39</v>
      </c>
      <c r="D69" s="27" t="str">
        <f t="shared" ref="D69:Q69" si="89">IFERROR(D67-C67,"n.m.")</f>
        <v>n.m.</v>
      </c>
      <c r="E69" s="27">
        <f t="shared" si="89"/>
        <v>56</v>
      </c>
      <c r="F69" s="27">
        <f t="shared" si="89"/>
        <v>-34</v>
      </c>
      <c r="G69" s="27">
        <f t="shared" si="89"/>
        <v>-61</v>
      </c>
      <c r="H69" s="27">
        <f t="shared" si="89"/>
        <v>-129</v>
      </c>
      <c r="I69" s="27">
        <f t="shared" si="89"/>
        <v>-45</v>
      </c>
      <c r="J69" s="27">
        <f t="shared" si="89"/>
        <v>-65</v>
      </c>
      <c r="K69" s="27">
        <f t="shared" si="89"/>
        <v>-14</v>
      </c>
      <c r="L69" s="27">
        <f t="shared" si="89"/>
        <v>18</v>
      </c>
      <c r="M69" s="27">
        <f t="shared" si="89"/>
        <v>3</v>
      </c>
      <c r="N69" s="27">
        <f t="shared" si="89"/>
        <v>8</v>
      </c>
      <c r="O69" s="27">
        <f t="shared" si="89"/>
        <v>-5</v>
      </c>
      <c r="P69" s="27">
        <f t="shared" si="89"/>
        <v>-3</v>
      </c>
      <c r="Q69" s="27">
        <f t="shared" si="89"/>
        <v>0</v>
      </c>
      <c r="R69" s="30">
        <v>-7</v>
      </c>
      <c r="S69" s="30"/>
      <c r="T69" s="30"/>
      <c r="U69" s="30"/>
      <c r="V69" s="30"/>
      <c r="W69" s="126"/>
      <c r="X69" s="126"/>
      <c r="Y69" s="135" t="s">
        <v>4</v>
      </c>
    </row>
    <row r="70" spans="2:25" ht="15" customHeight="1" outlineLevel="2">
      <c r="R70" s="23"/>
      <c r="Y70" s="135" t="s">
        <v>4</v>
      </c>
    </row>
    <row r="71" spans="2:25" ht="15" customHeight="1" outlineLevel="2">
      <c r="B71" s="50" t="s">
        <v>42</v>
      </c>
      <c r="C71" s="51" t="s">
        <v>21</v>
      </c>
      <c r="D71" s="56"/>
      <c r="E71" s="55">
        <f t="shared" ref="E71:Q71" si="90">E49</f>
        <v>5.6200691875770259E-2</v>
      </c>
      <c r="F71" s="55">
        <f t="shared" si="90"/>
        <v>1.7858434067300033E-2</v>
      </c>
      <c r="G71" s="55">
        <f t="shared" si="90"/>
        <v>-5.077287272290909E-2</v>
      </c>
      <c r="H71" s="55">
        <f t="shared" si="90"/>
        <v>-1.637236410664944E-2</v>
      </c>
      <c r="I71" s="55">
        <f t="shared" si="90"/>
        <v>2.4073559914419507E-2</v>
      </c>
      <c r="J71" s="55">
        <f t="shared" si="90"/>
        <v>5.8896703507009374E-2</v>
      </c>
      <c r="K71" s="55">
        <f t="shared" si="90"/>
        <v>2.817082560309303E-2</v>
      </c>
      <c r="L71" s="55">
        <f t="shared" si="90"/>
        <v>-2.364259831394333E-2</v>
      </c>
      <c r="M71" s="55">
        <f t="shared" si="90"/>
        <v>-0.1867215265303015</v>
      </c>
      <c r="N71" s="55">
        <f t="shared" si="90"/>
        <v>0.1516964865390722</v>
      </c>
      <c r="O71" s="55">
        <f t="shared" si="90"/>
        <v>7.83277270543008E-2</v>
      </c>
      <c r="P71" s="55">
        <f t="shared" si="90"/>
        <v>7.634609919191182E-2</v>
      </c>
      <c r="Q71" s="55">
        <f t="shared" si="90"/>
        <v>3.2161093610128866E-2</v>
      </c>
      <c r="R71" s="66">
        <f>(1+R74)*(1+R77)*(1+R79)-1</f>
        <v>7.7934735790870624E-2</v>
      </c>
      <c r="S71" s="66">
        <f t="shared" ref="S71:W71" si="91">(1+S74)*(1+S77)*(1+S79)-1</f>
        <v>0.12025502548695788</v>
      </c>
      <c r="T71" s="66">
        <f t="shared" si="91"/>
        <v>0.17183399913452146</v>
      </c>
      <c r="U71" s="66">
        <f t="shared" si="91"/>
        <v>0.11937629592992449</v>
      </c>
      <c r="V71" s="66">
        <f>(1+V74)*(1+V77)*(1+V79)-1</f>
        <v>0.14379018433536861</v>
      </c>
      <c r="W71" s="127">
        <f t="shared" si="91"/>
        <v>0.15973926090972412</v>
      </c>
      <c r="X71" s="127">
        <f t="shared" ref="X71" si="92">(1+X74)*(1+X77)*(1+X79)-1</f>
        <v>0.18010046091675869</v>
      </c>
      <c r="Y71" s="135" t="s">
        <v>4</v>
      </c>
    </row>
    <row r="72" spans="2:25" ht="15" customHeight="1" outlineLevel="2">
      <c r="B72" s="49" t="s">
        <v>43</v>
      </c>
      <c r="C72" s="52" t="s">
        <v>21</v>
      </c>
      <c r="D72" s="57"/>
      <c r="E72" s="53" t="s">
        <v>44</v>
      </c>
      <c r="F72" s="53">
        <f t="shared" ref="F72:Q72" si="93">IFERROR((1+F71)*(1+E71)-1,"n.m.")</f>
        <v>7.5062782293470409E-2</v>
      </c>
      <c r="G72" s="53">
        <f t="shared" si="93"/>
        <v>-3.3821162655538584E-2</v>
      </c>
      <c r="H72" s="53">
        <f t="shared" si="93"/>
        <v>-6.6313964870598485E-2</v>
      </c>
      <c r="I72" s="53">
        <f t="shared" si="93"/>
        <v>7.3070547195079882E-3</v>
      </c>
      <c r="J72" s="53">
        <f t="shared" si="93"/>
        <v>8.4388116742066588E-2</v>
      </c>
      <c r="K72" s="53">
        <f t="shared" si="93"/>
        <v>8.8726697873195537E-2</v>
      </c>
      <c r="L72" s="53">
        <f t="shared" si="93"/>
        <v>3.8621957752436042E-3</v>
      </c>
      <c r="M72" s="53">
        <f t="shared" si="93"/>
        <v>-0.20594954279592259</v>
      </c>
      <c r="N72" s="53">
        <f t="shared" si="93"/>
        <v>-6.3350039527088176E-2</v>
      </c>
      <c r="O72" s="53">
        <f t="shared" si="93"/>
        <v>0.24190625458610193</v>
      </c>
      <c r="P72" s="53">
        <f t="shared" si="93"/>
        <v>0.16065384266537719</v>
      </c>
      <c r="Q72" s="53">
        <f t="shared" si="93"/>
        <v>0.1109625668449199</v>
      </c>
      <c r="R72" s="53">
        <f t="shared" ref="R72:W72" si="94">IFERROR((1+R71)*(1+Q71)-1,"n.m.")</f>
        <v>0.11260229573425029</v>
      </c>
      <c r="S72" s="53">
        <f t="shared" si="94"/>
        <v>0.20756180491667897</v>
      </c>
      <c r="T72" s="53">
        <f t="shared" si="94"/>
        <v>0.3127529265669271</v>
      </c>
      <c r="U72" s="53">
        <f t="shared" si="94"/>
        <v>0.311723201395951</v>
      </c>
      <c r="V72" s="53">
        <f t="shared" si="94"/>
        <v>0.28033161986233046</v>
      </c>
      <c r="W72" s="116">
        <f t="shared" si="94"/>
        <v>0.32649838301689749</v>
      </c>
      <c r="X72" s="116">
        <f t="shared" ref="X72" si="95">IFERROR((1+X71)*(1+W71)-1,"n.m.")</f>
        <v>0.3686088363428266</v>
      </c>
      <c r="Y72" s="135" t="s">
        <v>4</v>
      </c>
    </row>
    <row r="73" spans="2:25" ht="15" customHeight="1" outlineLevel="3">
      <c r="Y73" s="135" t="s">
        <v>4</v>
      </c>
    </row>
    <row r="74" spans="2:25" ht="15" customHeight="1" outlineLevel="3">
      <c r="B74" s="17" t="s">
        <v>45</v>
      </c>
      <c r="C74" s="15" t="s">
        <v>21</v>
      </c>
      <c r="D74" s="61"/>
      <c r="E74" s="64">
        <v>2.9488593701877029E-2</v>
      </c>
      <c r="F74" s="64">
        <v>1.1623601470297859E-2</v>
      </c>
      <c r="G74" s="64">
        <v>3.1586732210144339E-2</v>
      </c>
      <c r="H74" s="64">
        <v>5.6000000000000001E-2</v>
      </c>
      <c r="I74" s="64">
        <v>2.5266877182909913E-2</v>
      </c>
      <c r="J74" s="64">
        <v>-1E-3</v>
      </c>
      <c r="K74" s="64">
        <v>6.0000000000000001E-3</v>
      </c>
      <c r="L74" s="64">
        <v>-1.4531973460085118E-2</v>
      </c>
      <c r="M74" s="64">
        <v>-0.16056640350877194</v>
      </c>
      <c r="N74" s="64">
        <v>0.106</v>
      </c>
      <c r="O74" s="64">
        <v>0.104</v>
      </c>
      <c r="P74" s="64">
        <v>0.104</v>
      </c>
      <c r="Q74" s="64">
        <v>0.04</v>
      </c>
      <c r="R74" s="68">
        <v>2.9000000000000001E-2</v>
      </c>
      <c r="S74" s="68">
        <f>R74*(1+5%)</f>
        <v>3.0450000000000001E-2</v>
      </c>
      <c r="T74" s="68">
        <f>S74*(1+8%)</f>
        <v>3.2886000000000006E-2</v>
      </c>
      <c r="U74" s="68">
        <f>T74*(1+10%)</f>
        <v>3.6174600000000008E-2</v>
      </c>
      <c r="V74" s="68">
        <f>U74*(1+12.5%)</f>
        <v>4.0696425000000008E-2</v>
      </c>
      <c r="W74" s="68">
        <f>V74*(1+2%)</f>
        <v>4.1510353500000007E-2</v>
      </c>
      <c r="X74" s="68">
        <f t="shared" ref="X74" si="96">W74*(1+2%)</f>
        <v>4.2340560570000005E-2</v>
      </c>
      <c r="Y74" s="135" t="s">
        <v>4</v>
      </c>
    </row>
    <row r="75" spans="2:25" ht="15" customHeight="1" outlineLevel="3">
      <c r="B75" s="58" t="s">
        <v>43</v>
      </c>
      <c r="C75" s="52" t="s">
        <v>21</v>
      </c>
      <c r="D75" s="62"/>
      <c r="E75" s="53" t="s">
        <v>44</v>
      </c>
      <c r="F75" s="23">
        <f>(1+F74)*(1+E74)-1</f>
        <v>4.1454958833285094E-2</v>
      </c>
      <c r="G75" s="23">
        <f t="shared" ref="G75:Q75" si="97">(1+G74)*(1+F74)-1</f>
        <v>4.3577485267402016E-2</v>
      </c>
      <c r="H75" s="23">
        <f t="shared" si="97"/>
        <v>8.9355589213912623E-2</v>
      </c>
      <c r="I75" s="23">
        <f t="shared" si="97"/>
        <v>8.2681822305152863E-2</v>
      </c>
      <c r="J75" s="23">
        <f t="shared" si="97"/>
        <v>2.4241610305727024E-2</v>
      </c>
      <c r="K75" s="23">
        <f t="shared" si="97"/>
        <v>4.9939999999999429E-3</v>
      </c>
      <c r="L75" s="23">
        <f t="shared" si="97"/>
        <v>-8.6191653008457214E-3</v>
      </c>
      <c r="M75" s="23">
        <f t="shared" si="97"/>
        <v>-0.17276503025448631</v>
      </c>
      <c r="N75" s="23">
        <f t="shared" si="97"/>
        <v>-7.1586442280701656E-2</v>
      </c>
      <c r="O75" s="23">
        <f t="shared" si="97"/>
        <v>0.22102400000000011</v>
      </c>
      <c r="P75" s="23">
        <f t="shared" si="97"/>
        <v>0.21881600000000012</v>
      </c>
      <c r="Q75" s="23">
        <f t="shared" si="97"/>
        <v>0.14816000000000007</v>
      </c>
      <c r="R75" s="23">
        <f t="shared" ref="R75" si="98">(1+R74)*(1+Q74)-1</f>
        <v>7.016E-2</v>
      </c>
      <c r="S75" s="23">
        <f t="shared" ref="S75" si="99">(1+S74)*(1+R74)-1</f>
        <v>6.033305000000011E-2</v>
      </c>
      <c r="T75" s="23">
        <f t="shared" ref="T75" si="100">(1+T74)*(1+S74)-1</f>
        <v>6.4337378700000114E-2</v>
      </c>
      <c r="U75" s="23">
        <f t="shared" ref="U75" si="101">(1+U74)*(1+T74)-1</f>
        <v>7.0250237895600032E-2</v>
      </c>
      <c r="V75" s="23">
        <f t="shared" ref="V75" si="102">(1+V74)*(1+U74)-1</f>
        <v>7.8343201895805015E-2</v>
      </c>
      <c r="W75" s="128">
        <f t="shared" ref="W75" si="103">(1+W74)*(1+V74)-1</f>
        <v>8.3896101487936248E-2</v>
      </c>
      <c r="X75" s="128">
        <f t="shared" ref="X75" si="104">(1+X74)*(1+W74)-1</f>
        <v>8.5608485706649029E-2</v>
      </c>
      <c r="Y75" s="135" t="s">
        <v>4</v>
      </c>
    </row>
    <row r="76" spans="2:25" ht="15" customHeight="1" outlineLevel="3">
      <c r="Y76" s="135" t="s">
        <v>4</v>
      </c>
    </row>
    <row r="77" spans="2:25" ht="15" customHeight="1" outlineLevel="3">
      <c r="B77" s="6" t="s">
        <v>46</v>
      </c>
      <c r="C77" s="1" t="s">
        <v>21</v>
      </c>
      <c r="D77" s="62"/>
      <c r="E77" s="23">
        <f t="shared" ref="E77:X77" si="105">(E14/D14-1)*0.85</f>
        <v>-9.2962020983138761E-3</v>
      </c>
      <c r="F77" s="23">
        <f t="shared" si="105"/>
        <v>-2.5286475979681439E-2</v>
      </c>
      <c r="G77" s="23">
        <f t="shared" si="105"/>
        <v>-5.6533257816532019E-2</v>
      </c>
      <c r="H77" s="23">
        <f t="shared" si="105"/>
        <v>-0.11551089897977457</v>
      </c>
      <c r="I77" s="23">
        <f t="shared" si="105"/>
        <v>-2.9034203094981576E-2</v>
      </c>
      <c r="J77" s="23">
        <f t="shared" si="105"/>
        <v>1.6478123005846345E-2</v>
      </c>
      <c r="K77" s="23">
        <f t="shared" si="105"/>
        <v>1.0986487413161105E-3</v>
      </c>
      <c r="L77" s="23">
        <f t="shared" si="105"/>
        <v>-2.0325482000701615E-2</v>
      </c>
      <c r="M77" s="23">
        <f t="shared" si="105"/>
        <v>-8.3516989056844782E-3</v>
      </c>
      <c r="N77" s="23">
        <f t="shared" si="105"/>
        <v>5.88006337056005E-2</v>
      </c>
      <c r="O77" s="23">
        <f t="shared" si="105"/>
        <v>-3.0672471214763464E-2</v>
      </c>
      <c r="P77" s="23">
        <f t="shared" si="105"/>
        <v>-3.0778033575525436E-2</v>
      </c>
      <c r="Q77" s="23">
        <f t="shared" si="105"/>
        <v>-1.2628208324422302E-2</v>
      </c>
      <c r="R77" s="612">
        <f t="shared" si="105"/>
        <v>-1.1642240788930502E-4</v>
      </c>
      <c r="S77" s="23">
        <f t="shared" si="105"/>
        <v>1.1643835616438402E-2</v>
      </c>
      <c r="T77" s="23">
        <f t="shared" si="105"/>
        <v>2.2972972972972926E-2</v>
      </c>
      <c r="U77" s="23">
        <f t="shared" si="105"/>
        <v>0</v>
      </c>
      <c r="V77" s="23">
        <f t="shared" si="105"/>
        <v>0</v>
      </c>
      <c r="W77" s="128">
        <f t="shared" si="105"/>
        <v>0</v>
      </c>
      <c r="X77" s="128">
        <f t="shared" si="105"/>
        <v>0</v>
      </c>
      <c r="Y77" s="135" t="s">
        <v>4</v>
      </c>
    </row>
    <row r="78" spans="2:25" ht="15" customHeight="1" outlineLevel="3">
      <c r="Y78" s="135" t="s">
        <v>4</v>
      </c>
    </row>
    <row r="79" spans="2:25" ht="15" customHeight="1" outlineLevel="3">
      <c r="B79" s="6" t="s">
        <v>47</v>
      </c>
      <c r="C79" s="1" t="s">
        <v>21</v>
      </c>
      <c r="D79" s="62"/>
      <c r="E79" s="23">
        <f>(1+E71)/((1+E74)*(1+E77))-1</f>
        <v>3.5573862762637631E-2</v>
      </c>
      <c r="F79" s="23">
        <f t="shared" ref="F79:P79" si="106">(1+F71)/((1+F74)*(1+F77))-1</f>
        <v>3.2265552174895129E-2</v>
      </c>
      <c r="G79" s="23">
        <f t="shared" si="106"/>
        <v>-2.4700957840210647E-2</v>
      </c>
      <c r="H79" s="23">
        <f t="shared" si="106"/>
        <v>5.311140998632391E-2</v>
      </c>
      <c r="I79" s="23">
        <f t="shared" si="106"/>
        <v>2.8703682724128488E-2</v>
      </c>
      <c r="J79" s="23">
        <f t="shared" si="106"/>
        <v>4.2773706759924091E-2</v>
      </c>
      <c r="K79" s="23">
        <f t="shared" si="106"/>
        <v>2.0916964900383972E-2</v>
      </c>
      <c r="L79" s="23">
        <f t="shared" si="106"/>
        <v>1.1310398757479634E-2</v>
      </c>
      <c r="M79" s="23">
        <f t="shared" si="106"/>
        <v>-2.2998437904522384E-2</v>
      </c>
      <c r="N79" s="23">
        <f t="shared" si="106"/>
        <v>-1.6512776384977168E-2</v>
      </c>
      <c r="O79" s="23">
        <f t="shared" si="106"/>
        <v>7.6533478856535275E-3</v>
      </c>
      <c r="P79" s="23">
        <f t="shared" si="106"/>
        <v>5.9111437609371542E-3</v>
      </c>
      <c r="Q79" s="23">
        <f>(1+Q71)/((1+Q74)*(1+Q77))-1</f>
        <v>5.1559082172305537E-3</v>
      </c>
      <c r="R79" s="23">
        <f t="shared" ref="R79:X79" si="107">R80*R60</f>
        <v>4.7677595880056926E-2</v>
      </c>
      <c r="S79" s="23">
        <f t="shared" si="107"/>
        <v>7.4638356960123206E-2</v>
      </c>
      <c r="T79" s="23">
        <f t="shared" si="107"/>
        <v>0.10904595867123057</v>
      </c>
      <c r="U79" s="23">
        <f t="shared" si="107"/>
        <v>8.0296984629737389E-2</v>
      </c>
      <c r="V79" s="23">
        <f t="shared" si="107"/>
        <v>9.9062278738363735E-2</v>
      </c>
      <c r="W79" s="128">
        <f t="shared" si="107"/>
        <v>0.11351678551482032</v>
      </c>
      <c r="X79" s="128">
        <f t="shared" si="107"/>
        <v>0.13216400239805043</v>
      </c>
      <c r="Y79" s="135" t="s">
        <v>4</v>
      </c>
    </row>
    <row r="80" spans="2:25" ht="15" customHeight="1" outlineLevel="3">
      <c r="B80" s="59" t="s">
        <v>48</v>
      </c>
      <c r="C80" s="60" t="s">
        <v>21</v>
      </c>
      <c r="D80" s="63"/>
      <c r="E80" s="65">
        <f t="shared" ref="E80:F80" si="108">E79/E60</f>
        <v>0.5844502320251046</v>
      </c>
      <c r="F80" s="65">
        <f t="shared" si="108"/>
        <v>0.79933339633277933</v>
      </c>
      <c r="G80" s="65">
        <f t="shared" ref="G80:Q80" si="109">G79/G60</f>
        <v>-0.68860221244342412</v>
      </c>
      <c r="H80" s="65">
        <f t="shared" si="109"/>
        <v>1.565680106888502</v>
      </c>
      <c r="I80" s="65">
        <f t="shared" si="109"/>
        <v>0.64605365885230792</v>
      </c>
      <c r="J80" s="65">
        <f t="shared" si="109"/>
        <v>1.4208309549818214</v>
      </c>
      <c r="K80" s="65">
        <f t="shared" si="109"/>
        <v>1.0078562067307477</v>
      </c>
      <c r="L80" s="65">
        <f t="shared" si="109"/>
        <v>0.63390839547734912</v>
      </c>
      <c r="M80" s="65">
        <f t="shared" si="109"/>
        <v>0.294027091327555</v>
      </c>
      <c r="N80" s="65">
        <f t="shared" si="109"/>
        <v>-1.6690408541930675</v>
      </c>
      <c r="O80" s="65">
        <f t="shared" si="109"/>
        <v>-0.63550617806872167</v>
      </c>
      <c r="P80" s="65">
        <f t="shared" si="109"/>
        <v>5.3342161298697635</v>
      </c>
      <c r="Q80" s="611">
        <f t="shared" si="109"/>
        <v>1.6635169583736309</v>
      </c>
      <c r="R80" s="67">
        <f>(Q49+Q48*R77+Q48*R74+Q48*R74*R77)/R61</f>
        <v>3.9277670351370277</v>
      </c>
      <c r="S80" s="67">
        <f t="shared" ref="S80:X80" si="110">(R49+R48*S77+R48*S74+R48*S74*S77)/S61</f>
        <v>3.291264471337755</v>
      </c>
      <c r="T80" s="67">
        <f t="shared" si="110"/>
        <v>6.3928193271008977</v>
      </c>
      <c r="U80" s="67">
        <f t="shared" si="110"/>
        <v>3.9083328233045513</v>
      </c>
      <c r="V80" s="67">
        <f t="shared" si="110"/>
        <v>5.4675189671015172</v>
      </c>
      <c r="W80" s="67">
        <f t="shared" si="110"/>
        <v>7.0875773792964285</v>
      </c>
      <c r="X80" s="67">
        <f t="shared" si="110"/>
        <v>9.3155623750115577</v>
      </c>
      <c r="Y80" s="135" t="s">
        <v>4</v>
      </c>
    </row>
    <row r="81" spans="2:25" ht="15" customHeight="1" outlineLevel="2">
      <c r="O81" s="615"/>
      <c r="P81" s="615"/>
      <c r="Q81" s="615"/>
      <c r="R81" s="616"/>
      <c r="Y81" s="135" t="s">
        <v>4</v>
      </c>
    </row>
    <row r="82" spans="2:25" ht="15" customHeight="1" outlineLevel="1">
      <c r="R82" s="23"/>
      <c r="S82" s="23"/>
      <c r="T82" s="23"/>
      <c r="U82" s="23"/>
      <c r="Y82" s="135" t="s">
        <v>4</v>
      </c>
    </row>
    <row r="83" spans="2:25" ht="15" customHeight="1" outlineLevel="1">
      <c r="B83" s="84" t="s">
        <v>49</v>
      </c>
      <c r="C83" s="85"/>
      <c r="D83" s="86"/>
      <c r="E83" s="86"/>
      <c r="F83" s="86"/>
      <c r="G83" s="86"/>
      <c r="H83" s="86"/>
      <c r="I83" s="86"/>
      <c r="J83" s="86"/>
      <c r="K83" s="86"/>
      <c r="L83" s="86"/>
      <c r="M83" s="86"/>
      <c r="N83" s="86"/>
      <c r="O83" s="86"/>
      <c r="P83" s="86"/>
      <c r="Q83" s="86"/>
      <c r="R83" s="102"/>
      <c r="S83" s="102"/>
      <c r="T83" s="102"/>
      <c r="U83" s="102"/>
      <c r="V83" s="86"/>
      <c r="W83" s="129"/>
      <c r="X83" s="129"/>
      <c r="Y83" s="135" t="s">
        <v>4</v>
      </c>
    </row>
    <row r="84" spans="2:25" ht="15" customHeight="1" outlineLevel="2">
      <c r="Y84" s="135" t="s">
        <v>4</v>
      </c>
    </row>
    <row r="85" spans="2:25" ht="15" customHeight="1" outlineLevel="2">
      <c r="B85" s="7" t="s">
        <v>25</v>
      </c>
      <c r="C85" s="13" t="s">
        <v>26</v>
      </c>
      <c r="D85" s="71"/>
      <c r="E85" s="71"/>
      <c r="F85" s="71"/>
      <c r="G85" s="71"/>
      <c r="H85" s="71"/>
      <c r="I85" s="71"/>
      <c r="J85" s="71"/>
      <c r="K85" s="71"/>
      <c r="L85" s="71"/>
      <c r="M85" s="71"/>
      <c r="N85" s="75">
        <f>N88+N92</f>
        <v>1156</v>
      </c>
      <c r="O85" s="75">
        <f t="shared" ref="O85:W85" si="111">O88+O92</f>
        <v>1195</v>
      </c>
      <c r="P85" s="75">
        <f t="shared" si="111"/>
        <v>1297</v>
      </c>
      <c r="Q85" s="75">
        <f t="shared" si="111"/>
        <v>1450</v>
      </c>
      <c r="R85" s="75">
        <f t="shared" si="111"/>
        <v>5511.8205279701542</v>
      </c>
      <c r="S85" s="75">
        <f t="shared" si="111"/>
        <v>1276.228260493999</v>
      </c>
      <c r="T85" s="75">
        <f>T88+T92</f>
        <v>1314.2903766652951</v>
      </c>
      <c r="U85" s="75">
        <f t="shared" si="111"/>
        <v>1369.4499103931589</v>
      </c>
      <c r="V85" s="75">
        <f t="shared" si="111"/>
        <v>1426.1358710870632</v>
      </c>
      <c r="W85" s="112">
        <f t="shared" si="111"/>
        <v>1481.0873438734088</v>
      </c>
      <c r="X85" s="112">
        <f t="shared" ref="X85" si="112">X88+X92</f>
        <v>1541.1433227009161</v>
      </c>
      <c r="Y85" s="135" t="s">
        <v>4</v>
      </c>
    </row>
    <row r="86" spans="2:25" ht="15" customHeight="1" outlineLevel="2">
      <c r="B86" s="6" t="s">
        <v>27</v>
      </c>
      <c r="C86" s="1" t="s">
        <v>21</v>
      </c>
      <c r="D86" s="72"/>
      <c r="E86" s="72"/>
      <c r="F86" s="72"/>
      <c r="G86" s="72"/>
      <c r="H86" s="72"/>
      <c r="I86" s="72"/>
      <c r="J86" s="72"/>
      <c r="K86" s="72"/>
      <c r="L86" s="72"/>
      <c r="M86" s="72"/>
      <c r="N86" s="24" t="str">
        <f>IFERROR(N85/M85-1,"n.m.")</f>
        <v>n.m.</v>
      </c>
      <c r="O86" s="24">
        <f>IFERROR(O85/N85-1,"n.m.")</f>
        <v>3.3737024221453193E-2</v>
      </c>
      <c r="P86" s="24">
        <f>IFERROR(P85/O85-1,"n.m.")</f>
        <v>8.5355648535564876E-2</v>
      </c>
      <c r="Q86" s="24">
        <f>IFERROR(Q85/P85-1,"n.m.")</f>
        <v>0.1179645335389361</v>
      </c>
      <c r="R86" s="24">
        <f t="shared" ref="R86" si="113">IFERROR(R85/Q85-1,"n.m.")</f>
        <v>2.8012555365311407</v>
      </c>
      <c r="S86" s="24">
        <f t="shared" ref="S86" si="114">IFERROR(S85/R85-1,"n.m.")</f>
        <v>-0.76845612914686146</v>
      </c>
      <c r="T86" s="24">
        <f t="shared" ref="T86" si="115">IFERROR(T85/S85-1,"n.m.")</f>
        <v>2.982390952270797E-2</v>
      </c>
      <c r="U86" s="24">
        <f t="shared" ref="U86" si="116">IFERROR(U85/T85-1,"n.m.")</f>
        <v>4.1969061561432319E-2</v>
      </c>
      <c r="V86" s="24">
        <f t="shared" ref="V86" si="117">IFERROR(V85/U85-1,"n.m.")</f>
        <v>4.1393234074278862E-2</v>
      </c>
      <c r="W86" s="113">
        <f t="shared" ref="W86" si="118">IFERROR(W85/V85-1,"n.m.")</f>
        <v>3.8531723309406241E-2</v>
      </c>
      <c r="X86" s="113">
        <f t="shared" ref="X86" si="119">IFERROR(X85/W85-1,"n.m.")</f>
        <v>4.0548573368027085E-2</v>
      </c>
      <c r="Y86" s="135" t="s">
        <v>4</v>
      </c>
    </row>
    <row r="87" spans="2:25" ht="15" customHeight="1" outlineLevel="2">
      <c r="Y87" s="135" t="s">
        <v>4</v>
      </c>
    </row>
    <row r="88" spans="2:25" ht="15" customHeight="1" outlineLevel="3">
      <c r="B88" s="17" t="s">
        <v>50</v>
      </c>
      <c r="C88" s="15" t="s">
        <v>26</v>
      </c>
      <c r="D88" s="36">
        <f>D110</f>
        <v>1638.7</v>
      </c>
      <c r="E88" s="36">
        <f t="shared" ref="E88:W88" si="120">E110</f>
        <v>1169</v>
      </c>
      <c r="F88" s="36">
        <f t="shared" si="120"/>
        <v>222.70000000000002</v>
      </c>
      <c r="G88" s="36">
        <f t="shared" si="120"/>
        <v>74.599999999999994</v>
      </c>
      <c r="H88" s="36">
        <f t="shared" si="120"/>
        <v>94.7</v>
      </c>
      <c r="I88" s="36">
        <f t="shared" si="120"/>
        <v>92.6</v>
      </c>
      <c r="J88" s="36">
        <f t="shared" si="120"/>
        <v>93.699999999999989</v>
      </c>
      <c r="K88" s="36">
        <f t="shared" si="120"/>
        <v>75</v>
      </c>
      <c r="L88" s="36">
        <f t="shared" si="120"/>
        <v>76</v>
      </c>
      <c r="M88" s="36">
        <f t="shared" ref="M88" si="121">M110</f>
        <v>64</v>
      </c>
      <c r="N88" s="36">
        <f t="shared" si="120"/>
        <v>64</v>
      </c>
      <c r="O88" s="36">
        <f t="shared" si="120"/>
        <v>70</v>
      </c>
      <c r="P88" s="36">
        <f t="shared" si="120"/>
        <v>97</v>
      </c>
      <c r="Q88" s="36">
        <f t="shared" si="120"/>
        <v>242</v>
      </c>
      <c r="R88" s="36">
        <f t="shared" si="120"/>
        <v>4752.0678873191482</v>
      </c>
      <c r="S88" s="36">
        <f t="shared" si="120"/>
        <v>7.9048898870442059</v>
      </c>
      <c r="T88" s="36">
        <f t="shared" si="120"/>
        <v>-3.4987407520614631</v>
      </c>
      <c r="U88" s="36">
        <f t="shared" si="120"/>
        <v>-0.56824681159570778</v>
      </c>
      <c r="V88" s="36">
        <f t="shared" si="120"/>
        <v>6.5932366638660395E-2</v>
      </c>
      <c r="W88" s="120">
        <f t="shared" si="120"/>
        <v>-3.9299408687825541E-2</v>
      </c>
      <c r="X88" s="120">
        <f t="shared" ref="X88" si="122">X110</f>
        <v>-9.4639685422526175E-3</v>
      </c>
      <c r="Y88" s="135" t="s">
        <v>4</v>
      </c>
    </row>
    <row r="89" spans="2:25" ht="15" customHeight="1" outlineLevel="3">
      <c r="B89" s="18" t="s">
        <v>27</v>
      </c>
      <c r="C89" s="1" t="s">
        <v>21</v>
      </c>
      <c r="D89" s="24" t="str">
        <f t="shared" ref="D89" si="123">IFERROR(D88/C88-1,"n.m.")</f>
        <v>n.m.</v>
      </c>
      <c r="E89" s="24">
        <f t="shared" ref="E89" si="124">IFERROR(E88/D88-1,"n.m.")</f>
        <v>-0.28662964545066216</v>
      </c>
      <c r="F89" s="24">
        <f t="shared" ref="F89" si="125">IFERROR(F88/E88-1,"n.m.")</f>
        <v>-0.80949529512403762</v>
      </c>
      <c r="G89" s="24">
        <f t="shared" ref="G89:L89" si="126">IFERROR(G88/F88-1,"n.m.")</f>
        <v>-0.66502020655590488</v>
      </c>
      <c r="H89" s="24">
        <f t="shared" si="126"/>
        <v>0.26943699731903492</v>
      </c>
      <c r="I89" s="24">
        <f t="shared" si="126"/>
        <v>-2.2175290390707536E-2</v>
      </c>
      <c r="J89" s="24">
        <f t="shared" si="126"/>
        <v>1.1879049676025932E-2</v>
      </c>
      <c r="K89" s="24">
        <f t="shared" si="126"/>
        <v>-0.19957310565635</v>
      </c>
      <c r="L89" s="24">
        <f t="shared" si="126"/>
        <v>1.3333333333333419E-2</v>
      </c>
      <c r="M89" s="24">
        <f t="shared" ref="M89" si="127">IFERROR(M88/L88-1,"n.m.")</f>
        <v>-0.15789473684210531</v>
      </c>
      <c r="N89" s="24">
        <f>IFERROR(N88/M88-1,"n.m.")</f>
        <v>0</v>
      </c>
      <c r="O89" s="24">
        <f>IFERROR(O88/N88-1,"n.m.")</f>
        <v>9.375E-2</v>
      </c>
      <c r="P89" s="24">
        <f>IFERROR(P88/O88-1,"n.m.")</f>
        <v>0.38571428571428568</v>
      </c>
      <c r="Q89" s="24">
        <f>IFERROR(Q88/P88-1,"n.m.")</f>
        <v>1.4948453608247423</v>
      </c>
      <c r="R89" s="24">
        <f t="shared" ref="R89:W89" si="128">IFERROR(R88/Q88-1,"n.m.")</f>
        <v>18.636644162475818</v>
      </c>
      <c r="S89" s="24">
        <f t="shared" si="128"/>
        <v>-0.99833653683522949</v>
      </c>
      <c r="T89" s="24">
        <f t="shared" si="128"/>
        <v>-1.4426046158841197</v>
      </c>
      <c r="U89" s="24">
        <f t="shared" si="128"/>
        <v>-0.83758533373445976</v>
      </c>
      <c r="V89" s="24">
        <f t="shared" si="128"/>
        <v>-1.1160276930608974</v>
      </c>
      <c r="W89" s="113">
        <f t="shared" si="128"/>
        <v>-1.5960563937163719</v>
      </c>
      <c r="X89" s="113">
        <f t="shared" ref="X89" si="129">IFERROR(X88/W88-1,"n.m.")</f>
        <v>-0.75918292772724505</v>
      </c>
      <c r="Y89" s="135" t="s">
        <v>4</v>
      </c>
    </row>
    <row r="90" spans="2:25" ht="15" customHeight="1" outlineLevel="3">
      <c r="B90" s="18" t="s">
        <v>29</v>
      </c>
      <c r="C90" s="1" t="s">
        <v>21</v>
      </c>
      <c r="D90" s="97" t="str">
        <f t="shared" ref="D90:W90" si="130">IFERROR(D88/D$85,"n.m.")</f>
        <v>n.m.</v>
      </c>
      <c r="E90" s="97" t="str">
        <f t="shared" si="130"/>
        <v>n.m.</v>
      </c>
      <c r="F90" s="97" t="str">
        <f t="shared" si="130"/>
        <v>n.m.</v>
      </c>
      <c r="G90" s="97" t="str">
        <f t="shared" si="130"/>
        <v>n.m.</v>
      </c>
      <c r="H90" s="97" t="str">
        <f t="shared" si="130"/>
        <v>n.m.</v>
      </c>
      <c r="I90" s="97" t="str">
        <f t="shared" si="130"/>
        <v>n.m.</v>
      </c>
      <c r="J90" s="97" t="str">
        <f t="shared" si="130"/>
        <v>n.m.</v>
      </c>
      <c r="K90" s="97" t="str">
        <f t="shared" si="130"/>
        <v>n.m.</v>
      </c>
      <c r="L90" s="97" t="str">
        <f t="shared" si="130"/>
        <v>n.m.</v>
      </c>
      <c r="M90" s="97" t="str">
        <f t="shared" si="130"/>
        <v>n.m.</v>
      </c>
      <c r="N90" s="97">
        <f t="shared" si="130"/>
        <v>5.536332179930796E-2</v>
      </c>
      <c r="O90" s="97">
        <f t="shared" si="130"/>
        <v>5.8577405857740586E-2</v>
      </c>
      <c r="P90" s="97">
        <f t="shared" si="130"/>
        <v>7.4787972243639173E-2</v>
      </c>
      <c r="Q90" s="97">
        <f t="shared" si="130"/>
        <v>0.16689655172413792</v>
      </c>
      <c r="R90" s="97">
        <f t="shared" si="130"/>
        <v>0.86215940145445902</v>
      </c>
      <c r="S90" s="97">
        <f t="shared" si="130"/>
        <v>6.1939467505479021E-3</v>
      </c>
      <c r="T90" s="97">
        <f t="shared" si="130"/>
        <v>-2.6620759112143092E-3</v>
      </c>
      <c r="U90" s="97">
        <f t="shared" si="130"/>
        <v>-4.1494530561732507E-4</v>
      </c>
      <c r="V90" s="97">
        <f t="shared" si="130"/>
        <v>4.623147623964038E-5</v>
      </c>
      <c r="W90" s="97">
        <f t="shared" si="130"/>
        <v>-2.6534160088795231E-5</v>
      </c>
      <c r="X90" s="97">
        <f t="shared" ref="X90" si="131">IFERROR(X88/X$85,"n.m.")</f>
        <v>-6.1408750262542935E-6</v>
      </c>
      <c r="Y90" s="135" t="s">
        <v>4</v>
      </c>
    </row>
    <row r="91" spans="2:25" ht="15" customHeight="1" outlineLevel="3">
      <c r="D91" s="40"/>
      <c r="E91" s="40"/>
      <c r="F91" s="40"/>
      <c r="G91" s="40"/>
      <c r="H91" s="40"/>
      <c r="I91" s="40"/>
      <c r="J91" s="40"/>
      <c r="K91" s="40"/>
      <c r="L91" s="40"/>
      <c r="M91" s="40"/>
      <c r="N91" s="40"/>
      <c r="O91" s="40"/>
      <c r="P91" s="40"/>
      <c r="Q91" s="40"/>
      <c r="R91" s="40"/>
      <c r="S91" s="40"/>
      <c r="T91" s="40"/>
      <c r="U91" s="40"/>
      <c r="V91" s="40"/>
      <c r="W91" s="130"/>
      <c r="X91" s="130"/>
      <c r="Y91" s="135" t="s">
        <v>4</v>
      </c>
    </row>
    <row r="92" spans="2:25" ht="15" customHeight="1" outlineLevel="3">
      <c r="B92" s="6" t="s">
        <v>51</v>
      </c>
      <c r="C92" s="1" t="s">
        <v>26</v>
      </c>
      <c r="D92" s="4"/>
      <c r="E92" s="4"/>
      <c r="F92" s="4"/>
      <c r="G92" s="4"/>
      <c r="H92" s="4"/>
      <c r="I92" s="4"/>
      <c r="J92" s="4"/>
      <c r="K92" s="4"/>
      <c r="L92" s="4"/>
      <c r="M92" s="95"/>
      <c r="N92" s="96">
        <f>N97+N102</f>
        <v>1092</v>
      </c>
      <c r="O92" s="96">
        <f t="shared" ref="O92:W92" si="132">O97+O102</f>
        <v>1125</v>
      </c>
      <c r="P92" s="96">
        <f t="shared" si="132"/>
        <v>1200</v>
      </c>
      <c r="Q92" s="96">
        <f t="shared" si="132"/>
        <v>1208</v>
      </c>
      <c r="R92" s="96">
        <f t="shared" si="132"/>
        <v>759.75264065100555</v>
      </c>
      <c r="S92" s="96">
        <f t="shared" si="132"/>
        <v>1268.3233706069548</v>
      </c>
      <c r="T92" s="96">
        <f t="shared" si="132"/>
        <v>1317.7891174173565</v>
      </c>
      <c r="U92" s="96">
        <f t="shared" si="132"/>
        <v>1370.0181572047545</v>
      </c>
      <c r="V92" s="96">
        <f t="shared" si="132"/>
        <v>1426.0699387204245</v>
      </c>
      <c r="W92" s="96">
        <f t="shared" si="132"/>
        <v>1481.1266432820967</v>
      </c>
      <c r="X92" s="96">
        <f t="shared" ref="X92" si="133">X97+X102</f>
        <v>1541.1527866694582</v>
      </c>
      <c r="Y92" s="135" t="s">
        <v>4</v>
      </c>
    </row>
    <row r="93" spans="2:25" ht="15" customHeight="1" outlineLevel="3">
      <c r="B93" s="18" t="s">
        <v>27</v>
      </c>
      <c r="C93" s="1" t="s">
        <v>21</v>
      </c>
      <c r="D93" s="45"/>
      <c r="E93" s="45"/>
      <c r="F93" s="45"/>
      <c r="G93" s="45"/>
      <c r="H93" s="45"/>
      <c r="I93" s="45"/>
      <c r="J93" s="45"/>
      <c r="K93" s="45"/>
      <c r="L93" s="45"/>
      <c r="M93" s="45"/>
      <c r="N93" s="24" t="str">
        <f>IFERROR(N92/M92-1,"n.m.")</f>
        <v>n.m.</v>
      </c>
      <c r="O93" s="24">
        <f>IFERROR(O92/N92-1,"n.m.")</f>
        <v>3.0219780219780112E-2</v>
      </c>
      <c r="P93" s="24">
        <f>IFERROR(P92/O92-1,"n.m.")</f>
        <v>6.6666666666666652E-2</v>
      </c>
      <c r="Q93" s="24">
        <f>IFERROR(Q92/P92-1,"n.m.")</f>
        <v>6.6666666666665986E-3</v>
      </c>
      <c r="R93" s="24">
        <f t="shared" ref="R93" si="134">IFERROR(R92/Q92-1,"n.m.")</f>
        <v>-0.37106569482532659</v>
      </c>
      <c r="S93" s="24">
        <f t="shared" ref="S93" si="135">IFERROR(S92/R92-1,"n.m.")</f>
        <v>0.66938988131738864</v>
      </c>
      <c r="T93" s="24">
        <f t="shared" ref="T93" si="136">IFERROR(T92/S92-1,"n.m.")</f>
        <v>3.9000895163455063E-2</v>
      </c>
      <c r="U93" s="24">
        <f t="shared" ref="U93" si="137">IFERROR(U92/T92-1,"n.m.")</f>
        <v>3.9633837536735772E-2</v>
      </c>
      <c r="V93" s="24">
        <f t="shared" ref="V93" si="138">IFERROR(V92/U92-1,"n.m.")</f>
        <v>4.0913166895563124E-2</v>
      </c>
      <c r="W93" s="113">
        <f t="shared" ref="W93" si="139">IFERROR(W92/V92-1,"n.m.")</f>
        <v>3.8607296224947518E-2</v>
      </c>
      <c r="X93" s="113">
        <f t="shared" ref="X93" si="140">IFERROR(X92/W92-1,"n.m.")</f>
        <v>4.0527353727394244E-2</v>
      </c>
      <c r="Y93" s="135" t="s">
        <v>4</v>
      </c>
    </row>
    <row r="94" spans="2:25" ht="15" customHeight="1" outlineLevel="3">
      <c r="B94" s="18" t="s">
        <v>29</v>
      </c>
      <c r="C94" s="1" t="s">
        <v>21</v>
      </c>
      <c r="D94" s="45"/>
      <c r="E94" s="45"/>
      <c r="F94" s="45"/>
      <c r="G94" s="45"/>
      <c r="H94" s="45"/>
      <c r="I94" s="45"/>
      <c r="J94" s="45"/>
      <c r="K94" s="45"/>
      <c r="L94" s="45"/>
      <c r="M94" s="45"/>
      <c r="N94" s="97">
        <f>IFERROR(N92/N$85,"n.m.")</f>
        <v>0.94463667820069208</v>
      </c>
      <c r="O94" s="97">
        <f>IFERROR(O92/O$85,"n.m.")</f>
        <v>0.94142259414225937</v>
      </c>
      <c r="P94" s="97">
        <f>IFERROR(P92/P$85,"n.m.")</f>
        <v>0.9252120277563608</v>
      </c>
      <c r="Q94" s="97">
        <f>IFERROR(Q92/Q$85,"n.m.")</f>
        <v>0.83310344827586202</v>
      </c>
      <c r="R94" s="97">
        <f t="shared" ref="R94" si="141">IFERROR(R92/R$85,"n.m.")</f>
        <v>0.13784059854554095</v>
      </c>
      <c r="S94" s="97">
        <f t="shared" ref="S94:V94" si="142">IFERROR(S92/S$85,"n.m.")</f>
        <v>0.99380605324945215</v>
      </c>
      <c r="T94" s="97">
        <f t="shared" si="142"/>
        <v>1.0026620759112144</v>
      </c>
      <c r="U94" s="97">
        <f t="shared" si="142"/>
        <v>1.0004149453056173</v>
      </c>
      <c r="V94" s="97">
        <f t="shared" si="142"/>
        <v>0.99995376852376039</v>
      </c>
      <c r="W94" s="97">
        <f t="shared" ref="W94:X94" si="143">IFERROR(W92/W$85,"n.m.")</f>
        <v>1.0000265341600889</v>
      </c>
      <c r="X94" s="97">
        <f t="shared" si="143"/>
        <v>1.0000061408750263</v>
      </c>
    </row>
    <row r="95" spans="2:25" ht="15" customHeight="1" outlineLevel="3">
      <c r="B95" s="18" t="s">
        <v>32</v>
      </c>
      <c r="C95" s="1" t="s">
        <v>21</v>
      </c>
      <c r="D95" s="89"/>
      <c r="E95" s="89"/>
      <c r="F95" s="89"/>
      <c r="G95" s="89"/>
      <c r="H95" s="89"/>
      <c r="I95" s="89"/>
      <c r="J95" s="89"/>
      <c r="K95" s="89"/>
      <c r="L95" s="89"/>
      <c r="M95" s="89"/>
      <c r="N95" s="87">
        <f>N92/N$114</f>
        <v>0.10488905964844876</v>
      </c>
      <c r="O95" s="87">
        <f t="shared" ref="O95:Q95" si="144">O92/O$114</f>
        <v>0.10536667603259342</v>
      </c>
      <c r="P95" s="87">
        <f t="shared" si="144"/>
        <v>0.10547325261728921</v>
      </c>
      <c r="Q95" s="87">
        <f t="shared" si="144"/>
        <v>0.10745418964597046</v>
      </c>
      <c r="R95" s="87">
        <f t="shared" ref="R95" si="145">R92/R$114</f>
        <v>0.11260000000000002</v>
      </c>
      <c r="S95" s="87">
        <f t="shared" ref="S95:V95" si="146">S92/S$114</f>
        <v>0.10715663558886036</v>
      </c>
      <c r="T95" s="87">
        <f t="shared" si="146"/>
        <v>0.10761015077694269</v>
      </c>
      <c r="U95" s="87">
        <f t="shared" si="146"/>
        <v>0.10805884572581254</v>
      </c>
      <c r="V95" s="87">
        <f t="shared" si="146"/>
        <v>0.10857596434751721</v>
      </c>
      <c r="W95" s="123">
        <f t="shared" ref="W95:X95" si="147">W92/W$114</f>
        <v>0.10880031928782657</v>
      </c>
      <c r="X95" s="123">
        <f t="shared" si="147"/>
        <v>0.10804038314539187</v>
      </c>
      <c r="Y95" s="135" t="s">
        <v>4</v>
      </c>
    </row>
    <row r="96" spans="2:25" ht="15" customHeight="1" outlineLevel="4">
      <c r="Y96" s="135" t="s">
        <v>4</v>
      </c>
    </row>
    <row r="97" spans="2:25" ht="15" customHeight="1" outlineLevel="4">
      <c r="B97" s="18" t="s">
        <v>52</v>
      </c>
      <c r="C97" s="1" t="s">
        <v>26</v>
      </c>
      <c r="D97" s="72"/>
      <c r="E97" s="72"/>
      <c r="F97" s="72"/>
      <c r="G97" s="72"/>
      <c r="H97" s="72"/>
      <c r="I97" s="72"/>
      <c r="J97" s="72"/>
      <c r="K97" s="72"/>
      <c r="L97" s="72"/>
      <c r="M97" s="72"/>
      <c r="N97" s="29">
        <v>673</v>
      </c>
      <c r="O97" s="29">
        <v>688</v>
      </c>
      <c r="P97" s="29">
        <v>730</v>
      </c>
      <c r="Q97" s="29">
        <v>720</v>
      </c>
      <c r="R97" s="96">
        <f>R100*R114</f>
        <v>429.1320421439072</v>
      </c>
      <c r="S97" s="96">
        <f t="shared" ref="S97:W97" si="148">S100*S$114</f>
        <v>759.61930900984976</v>
      </c>
      <c r="T97" s="96">
        <f t="shared" si="148"/>
        <v>784.77924414099755</v>
      </c>
      <c r="U97" s="96">
        <f t="shared" si="148"/>
        <v>811.60064334821607</v>
      </c>
      <c r="V97" s="96">
        <f t="shared" si="148"/>
        <v>840.39163093202399</v>
      </c>
      <c r="W97" s="96">
        <f t="shared" si="148"/>
        <v>870.87074330144515</v>
      </c>
      <c r="X97" s="96">
        <f t="shared" ref="X97" si="149">X100*X$114</f>
        <v>913.60064702827117</v>
      </c>
      <c r="Y97" s="135" t="s">
        <v>4</v>
      </c>
    </row>
    <row r="98" spans="2:25" ht="15" customHeight="1" outlineLevel="4">
      <c r="B98" s="77" t="s">
        <v>27</v>
      </c>
      <c r="C98" s="1" t="s">
        <v>21</v>
      </c>
      <c r="D98" s="72"/>
      <c r="E98" s="72"/>
      <c r="F98" s="72"/>
      <c r="G98" s="72"/>
      <c r="H98" s="72"/>
      <c r="I98" s="72"/>
      <c r="J98" s="72"/>
      <c r="K98" s="72"/>
      <c r="L98" s="72"/>
      <c r="M98" s="72"/>
      <c r="N98" s="24" t="str">
        <f>IFERROR(N97/M97-1,"n.m.")</f>
        <v>n.m.</v>
      </c>
      <c r="O98" s="24">
        <f>IFERROR(O97/N97-1,"n.m.")</f>
        <v>2.2288261515601704E-2</v>
      </c>
      <c r="P98" s="24">
        <f>IFERROR(P97/O97-1,"n.m.")</f>
        <v>6.1046511627907085E-2</v>
      </c>
      <c r="Q98" s="24">
        <f>IFERROR(Q97/P97-1,"n.m.")</f>
        <v>-1.3698630136986356E-2</v>
      </c>
      <c r="R98" s="24">
        <f t="shared" ref="R98" si="150">IFERROR(R97/Q97-1,"n.m.")</f>
        <v>-0.40398327480012886</v>
      </c>
      <c r="S98" s="24">
        <f t="shared" ref="S98" si="151">IFERROR(S97/R97-1,"n.m.")</f>
        <v>0.77012955083674539</v>
      </c>
      <c r="T98" s="24">
        <f t="shared" ref="T98" si="152">IFERROR(T97/S97-1,"n.m.")</f>
        <v>3.3121768802774731E-2</v>
      </c>
      <c r="U98" s="24">
        <f t="shared" ref="U98" si="153">IFERROR(U97/T97-1,"n.m.")</f>
        <v>3.4176998700541139E-2</v>
      </c>
      <c r="V98" s="24">
        <f t="shared" ref="V98" si="154">IFERROR(V97/U97-1,"n.m.")</f>
        <v>3.5474328193028759E-2</v>
      </c>
      <c r="W98" s="113">
        <f t="shared" ref="W98" si="155">IFERROR(W97/V97-1,"n.m.")</f>
        <v>3.6267748568151292E-2</v>
      </c>
      <c r="X98" s="113">
        <f t="shared" ref="X98" si="156">IFERROR(X97/W97-1,"n.m.")</f>
        <v>4.9065724225432428E-2</v>
      </c>
      <c r="Y98" s="135" t="s">
        <v>4</v>
      </c>
    </row>
    <row r="99" spans="2:25" ht="15" customHeight="1" outlineLevel="4">
      <c r="B99" s="77" t="s">
        <v>29</v>
      </c>
      <c r="C99" s="1" t="s">
        <v>21</v>
      </c>
      <c r="D99" s="72"/>
      <c r="E99" s="72"/>
      <c r="F99" s="72"/>
      <c r="G99" s="72"/>
      <c r="H99" s="72"/>
      <c r="I99" s="72"/>
      <c r="J99" s="72"/>
      <c r="K99" s="72"/>
      <c r="L99" s="72"/>
      <c r="M99" s="72"/>
      <c r="N99" s="97">
        <f t="shared" ref="N99:W99" si="157">IFERROR(N97/N$85,"n.m.")</f>
        <v>0.58217993079584773</v>
      </c>
      <c r="O99" s="97">
        <f t="shared" si="157"/>
        <v>0.57573221757322179</v>
      </c>
      <c r="P99" s="97">
        <f t="shared" si="157"/>
        <v>0.56283731688511951</v>
      </c>
      <c r="Q99" s="97">
        <f t="shared" si="157"/>
        <v>0.49655172413793103</v>
      </c>
      <c r="R99" s="97">
        <f t="shared" si="157"/>
        <v>7.7856679107428092E-2</v>
      </c>
      <c r="S99" s="97">
        <f t="shared" si="157"/>
        <v>0.59520646307880565</v>
      </c>
      <c r="T99" s="97">
        <f t="shared" si="157"/>
        <v>0.5971125240467724</v>
      </c>
      <c r="U99" s="97">
        <f t="shared" si="157"/>
        <v>0.59264719153927403</v>
      </c>
      <c r="V99" s="97">
        <f t="shared" si="157"/>
        <v>0.58927879732205368</v>
      </c>
      <c r="W99" s="97">
        <f t="shared" si="157"/>
        <v>0.58799418339765386</v>
      </c>
      <c r="X99" s="97">
        <f t="shared" ref="X99" si="158">IFERROR(X97/X$85,"n.m.")</f>
        <v>0.59280706315305509</v>
      </c>
    </row>
    <row r="100" spans="2:25" ht="15" customHeight="1" outlineLevel="4">
      <c r="B100" s="77" t="s">
        <v>32</v>
      </c>
      <c r="C100" s="1" t="s">
        <v>21</v>
      </c>
      <c r="D100" s="72"/>
      <c r="E100" s="72"/>
      <c r="F100" s="72"/>
      <c r="G100" s="72"/>
      <c r="H100" s="72"/>
      <c r="I100" s="72"/>
      <c r="J100" s="72"/>
      <c r="K100" s="72"/>
      <c r="L100" s="72"/>
      <c r="M100" s="72"/>
      <c r="N100" s="87">
        <f>N97/N$114</f>
        <v>6.4643165882239936E-2</v>
      </c>
      <c r="O100" s="87">
        <f t="shared" ref="O100:Q100" si="159">O97/O$114</f>
        <v>6.4437576098154911E-2</v>
      </c>
      <c r="P100" s="87">
        <f t="shared" si="159"/>
        <v>6.4162895342184265E-2</v>
      </c>
      <c r="Q100" s="87">
        <f t="shared" si="159"/>
        <v>6.4045543497598292E-2</v>
      </c>
      <c r="R100" s="76">
        <v>6.3600000000000004E-2</v>
      </c>
      <c r="S100" s="76">
        <f>AVERAGE(N100:R100)</f>
        <v>6.4177836164035468E-2</v>
      </c>
      <c r="T100" s="76">
        <f t="shared" ref="T100:X100" si="160">AVERAGE(O100:S100)</f>
        <v>6.4084770220394577E-2</v>
      </c>
      <c r="U100" s="76">
        <f t="shared" si="160"/>
        <v>6.4014209044842521E-2</v>
      </c>
      <c r="V100" s="76">
        <f t="shared" si="160"/>
        <v>6.398447178537417E-2</v>
      </c>
      <c r="W100" s="76">
        <f t="shared" si="160"/>
        <v>6.3972257442929364E-2</v>
      </c>
      <c r="X100" s="76">
        <f t="shared" si="160"/>
        <v>6.4046708931515206E-2</v>
      </c>
      <c r="Y100" s="135" t="s">
        <v>4</v>
      </c>
    </row>
    <row r="101" spans="2:25" ht="15" customHeight="1" outlineLevel="4">
      <c r="B101" s="6"/>
      <c r="Y101" s="135" t="s">
        <v>4</v>
      </c>
    </row>
    <row r="102" spans="2:25" ht="15" customHeight="1" outlineLevel="4">
      <c r="B102" s="18" t="s">
        <v>53</v>
      </c>
      <c r="C102" s="1" t="s">
        <v>26</v>
      </c>
      <c r="D102" s="72"/>
      <c r="E102" s="72"/>
      <c r="F102" s="72"/>
      <c r="G102" s="72"/>
      <c r="H102" s="72"/>
      <c r="I102" s="72"/>
      <c r="J102" s="72"/>
      <c r="K102" s="72"/>
      <c r="L102" s="72"/>
      <c r="M102" s="72"/>
      <c r="N102" s="82">
        <v>419</v>
      </c>
      <c r="O102" s="82">
        <v>437</v>
      </c>
      <c r="P102" s="82">
        <v>470</v>
      </c>
      <c r="Q102" s="82">
        <v>488</v>
      </c>
      <c r="R102" s="25">
        <f>R105*R$114</f>
        <v>330.62059850709829</v>
      </c>
      <c r="S102" s="25">
        <f t="shared" ref="S102:W102" si="161">S105*S$114</f>
        <v>508.70406159710495</v>
      </c>
      <c r="T102" s="25">
        <f t="shared" si="161"/>
        <v>533.0098732763588</v>
      </c>
      <c r="U102" s="25">
        <f t="shared" si="161"/>
        <v>558.41751385653845</v>
      </c>
      <c r="V102" s="25">
        <f t="shared" si="161"/>
        <v>585.67830778840062</v>
      </c>
      <c r="W102" s="115">
        <f t="shared" si="161"/>
        <v>610.25589998065141</v>
      </c>
      <c r="X102" s="115">
        <f t="shared" ref="X102" si="162">X105*X$114</f>
        <v>627.55213964118695</v>
      </c>
      <c r="Y102" s="135" t="s">
        <v>4</v>
      </c>
    </row>
    <row r="103" spans="2:25" ht="15" customHeight="1" outlineLevel="4">
      <c r="B103" s="77" t="s">
        <v>27</v>
      </c>
      <c r="C103" s="1" t="s">
        <v>21</v>
      </c>
      <c r="D103" s="72"/>
      <c r="E103" s="72"/>
      <c r="F103" s="72"/>
      <c r="G103" s="72"/>
      <c r="H103" s="72"/>
      <c r="I103" s="72"/>
      <c r="J103" s="72"/>
      <c r="K103" s="72"/>
      <c r="L103" s="72"/>
      <c r="M103" s="72"/>
      <c r="N103" s="24" t="str">
        <f>IFERROR(N102/M102-1,"n.m.")</f>
        <v>n.m.</v>
      </c>
      <c r="O103" s="24">
        <f>IFERROR(O102/N102-1,"n.m.")</f>
        <v>4.2959427207637235E-2</v>
      </c>
      <c r="P103" s="24">
        <f>IFERROR(P102/O102-1,"n.m.")</f>
        <v>7.551487414187652E-2</v>
      </c>
      <c r="Q103" s="24">
        <f>IFERROR(Q102/P102-1,"n.m.")</f>
        <v>3.8297872340425476E-2</v>
      </c>
      <c r="R103" s="24">
        <f t="shared" ref="R103" si="163">IFERROR(R102/Q102-1,"n.m.")</f>
        <v>-0.32249877355102807</v>
      </c>
      <c r="S103" s="24">
        <f t="shared" ref="S103" si="164">IFERROR(S102/R102-1,"n.m.")</f>
        <v>0.53863390210450923</v>
      </c>
      <c r="T103" s="24">
        <f t="shared" ref="T103" si="165">IFERROR(T102/S102-1,"n.m.")</f>
        <v>4.7779865572420199E-2</v>
      </c>
      <c r="U103" s="24">
        <f t="shared" ref="U103" si="166">IFERROR(U102/T102-1,"n.m.")</f>
        <v>4.7668236282381482E-2</v>
      </c>
      <c r="V103" s="24">
        <f t="shared" ref="V103" si="167">IFERROR(V102/U102-1,"n.m.")</f>
        <v>4.8817942230346523E-2</v>
      </c>
      <c r="W103" s="113">
        <f t="shared" ref="W103" si="168">IFERROR(W102/V102-1,"n.m.")</f>
        <v>4.1964320456154613E-2</v>
      </c>
      <c r="X103" s="113">
        <f t="shared" ref="X103" si="169">IFERROR(X102/W102-1,"n.m.")</f>
        <v>2.8342601294119252E-2</v>
      </c>
      <c r="Y103" s="135" t="s">
        <v>4</v>
      </c>
    </row>
    <row r="104" spans="2:25" ht="15" customHeight="1" outlineLevel="4">
      <c r="B104" s="77" t="s">
        <v>29</v>
      </c>
      <c r="C104" s="1" t="s">
        <v>21</v>
      </c>
      <c r="D104" s="72"/>
      <c r="E104" s="72"/>
      <c r="F104" s="72"/>
      <c r="G104" s="72"/>
      <c r="H104" s="72"/>
      <c r="I104" s="72"/>
      <c r="J104" s="72"/>
      <c r="K104" s="72"/>
      <c r="L104" s="72"/>
      <c r="M104" s="72"/>
      <c r="N104" s="97">
        <f t="shared" ref="N104:W104" si="170">IFERROR(N102/N$85,"n.m.")</f>
        <v>0.36245674740484429</v>
      </c>
      <c r="O104" s="97">
        <f t="shared" si="170"/>
        <v>0.36569037656903763</v>
      </c>
      <c r="P104" s="97">
        <f t="shared" si="170"/>
        <v>0.36237471087124135</v>
      </c>
      <c r="Q104" s="97">
        <f t="shared" si="170"/>
        <v>0.33655172413793105</v>
      </c>
      <c r="R104" s="97">
        <f t="shared" si="170"/>
        <v>5.9983919438112834E-2</v>
      </c>
      <c r="S104" s="97">
        <f t="shared" si="170"/>
        <v>0.39859959017064639</v>
      </c>
      <c r="T104" s="97">
        <f t="shared" si="170"/>
        <v>0.4055495518644418</v>
      </c>
      <c r="U104" s="97">
        <f t="shared" si="170"/>
        <v>0.40776775376634322</v>
      </c>
      <c r="V104" s="97">
        <f t="shared" si="170"/>
        <v>0.41067497120170676</v>
      </c>
      <c r="W104" s="97">
        <f t="shared" si="170"/>
        <v>0.41203235076243488</v>
      </c>
      <c r="X104" s="97">
        <f t="shared" ref="X104" si="171">IFERROR(X102/X$85,"n.m.")</f>
        <v>0.407199077721971</v>
      </c>
    </row>
    <row r="105" spans="2:25" ht="15" customHeight="1" outlineLevel="4">
      <c r="B105" s="77" t="s">
        <v>32</v>
      </c>
      <c r="C105" s="1" t="s">
        <v>21</v>
      </c>
      <c r="D105" s="72"/>
      <c r="E105" s="72"/>
      <c r="F105" s="72"/>
      <c r="G105" s="72"/>
      <c r="H105" s="72"/>
      <c r="I105" s="72"/>
      <c r="J105" s="72"/>
      <c r="K105" s="72"/>
      <c r="L105" s="72"/>
      <c r="M105" s="72"/>
      <c r="N105" s="87">
        <f>N102/N$114</f>
        <v>4.0245893766208816E-2</v>
      </c>
      <c r="O105" s="87">
        <f t="shared" ref="O105:Q105" si="172">O102/O$114</f>
        <v>4.0929099934438509E-2</v>
      </c>
      <c r="P105" s="87">
        <f t="shared" si="172"/>
        <v>4.1310357275104938E-2</v>
      </c>
      <c r="Q105" s="87">
        <f t="shared" si="172"/>
        <v>4.3408646148372178E-2</v>
      </c>
      <c r="R105" s="76">
        <v>4.9000000000000002E-2</v>
      </c>
      <c r="S105" s="76">
        <f>AVERAGE(N105:R105)</f>
        <v>4.2978799424824889E-2</v>
      </c>
      <c r="T105" s="76">
        <f t="shared" ref="T105:X105" si="173">AVERAGE(O105:S105)</f>
        <v>4.3525380556548102E-2</v>
      </c>
      <c r="U105" s="76">
        <f t="shared" si="173"/>
        <v>4.4044636680970015E-2</v>
      </c>
      <c r="V105" s="76">
        <f t="shared" si="173"/>
        <v>4.4591492562143044E-2</v>
      </c>
      <c r="W105" s="76">
        <f t="shared" si="173"/>
        <v>4.482806184489721E-2</v>
      </c>
      <c r="X105" s="76">
        <f t="shared" si="173"/>
        <v>4.3993674213876656E-2</v>
      </c>
      <c r="Y105" s="135" t="s">
        <v>4</v>
      </c>
    </row>
    <row r="106" spans="2:25" ht="15" customHeight="1" outlineLevel="3">
      <c r="B106" s="79"/>
      <c r="C106" s="80"/>
      <c r="D106" s="81"/>
      <c r="E106" s="81"/>
      <c r="F106" s="81"/>
      <c r="G106" s="81"/>
      <c r="H106" s="81"/>
      <c r="I106" s="81"/>
      <c r="J106" s="81"/>
      <c r="K106" s="81"/>
      <c r="L106" s="81"/>
      <c r="M106" s="81"/>
      <c r="N106" s="81"/>
      <c r="O106" s="81"/>
      <c r="P106" s="81"/>
      <c r="Q106" s="81"/>
      <c r="R106" s="81"/>
      <c r="S106" s="81"/>
      <c r="T106" s="81"/>
      <c r="U106" s="81"/>
      <c r="V106" s="81"/>
      <c r="W106" s="117"/>
      <c r="X106" s="117"/>
      <c r="Y106" s="135" t="s">
        <v>4</v>
      </c>
    </row>
    <row r="107" spans="2:25" ht="15" customHeight="1" outlineLevel="2">
      <c r="B107" s="7" t="s">
        <v>35</v>
      </c>
      <c r="C107" s="13" t="s">
        <v>26</v>
      </c>
      <c r="D107" s="88"/>
      <c r="E107" s="88"/>
      <c r="F107" s="88"/>
      <c r="G107" s="88"/>
      <c r="H107" s="88"/>
      <c r="I107" s="88"/>
      <c r="J107" s="88"/>
      <c r="K107" s="88"/>
      <c r="L107" s="88"/>
      <c r="M107" s="88"/>
      <c r="N107" s="75">
        <f t="shared" ref="N107:Q107" si="174">N110+N114</f>
        <v>10475</v>
      </c>
      <c r="O107" s="75">
        <f t="shared" si="174"/>
        <v>10747</v>
      </c>
      <c r="P107" s="75">
        <f t="shared" si="174"/>
        <v>11474.292064313333</v>
      </c>
      <c r="Q107" s="75">
        <f t="shared" si="174"/>
        <v>11484</v>
      </c>
      <c r="R107" s="75">
        <f>Q107*(1+R108)</f>
        <v>11499.427040525235</v>
      </c>
      <c r="S107" s="75">
        <f t="shared" ref="S107:W107" si="175">R107*(1+S108)</f>
        <v>11844.067565554376</v>
      </c>
      <c r="T107" s="75">
        <f t="shared" si="175"/>
        <v>12242.456756038444</v>
      </c>
      <c r="U107" s="75">
        <f t="shared" si="175"/>
        <v>12677.876983679069</v>
      </c>
      <c r="V107" s="75">
        <f t="shared" si="175"/>
        <v>13134.371920716207</v>
      </c>
      <c r="W107" s="112">
        <f t="shared" si="175"/>
        <v>13613.217104406081</v>
      </c>
      <c r="X107" s="112">
        <f t="shared" ref="X107" si="176">W107*(1+X108)</f>
        <v>14264.58995526437</v>
      </c>
      <c r="Y107" s="135" t="s">
        <v>4</v>
      </c>
    </row>
    <row r="108" spans="2:25" ht="15" customHeight="1" outlineLevel="2">
      <c r="B108" s="6" t="s">
        <v>27</v>
      </c>
      <c r="C108" s="1" t="s">
        <v>21</v>
      </c>
      <c r="D108" s="72"/>
      <c r="E108" s="72"/>
      <c r="F108" s="72"/>
      <c r="G108" s="72"/>
      <c r="H108" s="72"/>
      <c r="I108" s="72"/>
      <c r="J108" s="72"/>
      <c r="K108" s="72"/>
      <c r="L108" s="72"/>
      <c r="M108" s="72"/>
      <c r="N108" s="24" t="str">
        <f t="shared" ref="N108:Q108" si="177">IFERROR(N107/M107-1,"n.m.")</f>
        <v>n.m.</v>
      </c>
      <c r="O108" s="24">
        <f t="shared" si="177"/>
        <v>2.5966587112171924E-2</v>
      </c>
      <c r="P108" s="24">
        <f t="shared" si="177"/>
        <v>6.7673961506776958E-2</v>
      </c>
      <c r="Q108" s="24">
        <f t="shared" si="177"/>
        <v>8.4605966383399789E-4</v>
      </c>
      <c r="R108" s="94">
        <f>R130</f>
        <v>1.3433507946043477E-3</v>
      </c>
      <c r="S108" s="94">
        <f t="shared" ref="S108:W108" si="178">S130</f>
        <v>2.9970234500779069E-2</v>
      </c>
      <c r="T108" s="94">
        <f t="shared" si="178"/>
        <v>3.363618016184633E-2</v>
      </c>
      <c r="U108" s="94">
        <f t="shared" si="178"/>
        <v>3.5566409285118228E-2</v>
      </c>
      <c r="V108" s="94">
        <f t="shared" si="178"/>
        <v>3.6007206697525884E-2</v>
      </c>
      <c r="W108" s="131">
        <f t="shared" si="178"/>
        <v>3.6457410112973543E-2</v>
      </c>
      <c r="X108" s="131">
        <f t="shared" ref="X108" si="179">X130</f>
        <v>4.7848561134565593E-2</v>
      </c>
      <c r="Y108" s="135" t="s">
        <v>4</v>
      </c>
    </row>
    <row r="109" spans="2:25" ht="15" customHeight="1" outlineLevel="2">
      <c r="Y109" s="135" t="s">
        <v>4</v>
      </c>
    </row>
    <row r="110" spans="2:25" ht="15" customHeight="1" outlineLevel="3">
      <c r="B110" s="34" t="s">
        <v>36</v>
      </c>
      <c r="C110" s="35" t="s">
        <v>26</v>
      </c>
      <c r="D110" s="32">
        <v>1638.7</v>
      </c>
      <c r="E110" s="32">
        <v>1169</v>
      </c>
      <c r="F110" s="32">
        <v>222.70000000000002</v>
      </c>
      <c r="G110" s="32">
        <v>74.599999999999994</v>
      </c>
      <c r="H110" s="32">
        <v>94.7</v>
      </c>
      <c r="I110" s="32">
        <v>92.6</v>
      </c>
      <c r="J110" s="32">
        <v>93.699999999999989</v>
      </c>
      <c r="K110" s="32">
        <v>75</v>
      </c>
      <c r="L110" s="32">
        <v>76</v>
      </c>
      <c r="M110" s="32">
        <v>64</v>
      </c>
      <c r="N110" s="32">
        <v>64</v>
      </c>
      <c r="O110" s="32">
        <v>70</v>
      </c>
      <c r="P110" s="32">
        <v>97</v>
      </c>
      <c r="Q110" s="98">
        <v>242</v>
      </c>
      <c r="R110" s="100">
        <f>Q110*(1+R111)</f>
        <v>4752.0678873191482</v>
      </c>
      <c r="S110" s="100">
        <f t="shared" ref="S110:W110" si="180">R110*(1+S111)</f>
        <v>7.9048898870442059</v>
      </c>
      <c r="T110" s="100">
        <f t="shared" si="180"/>
        <v>-3.4987407520614631</v>
      </c>
      <c r="U110" s="100">
        <f t="shared" si="180"/>
        <v>-0.56824681159570778</v>
      </c>
      <c r="V110" s="100">
        <f t="shared" si="180"/>
        <v>6.5932366638660395E-2</v>
      </c>
      <c r="W110" s="100">
        <f t="shared" si="180"/>
        <v>-3.9299408687825541E-2</v>
      </c>
      <c r="X110" s="100">
        <f t="shared" ref="X110" si="181">W110*(1+X111)</f>
        <v>-9.4639685422526175E-3</v>
      </c>
      <c r="Y110" s="135" t="s">
        <v>4</v>
      </c>
    </row>
    <row r="111" spans="2:25" ht="15" customHeight="1" outlineLevel="3">
      <c r="B111" s="18" t="s">
        <v>27</v>
      </c>
      <c r="C111" s="1" t="s">
        <v>21</v>
      </c>
      <c r="D111" s="24" t="str">
        <f t="shared" ref="D111:F111" si="182">IFERROR(D110/C110-1,"n.m.")</f>
        <v>n.m.</v>
      </c>
      <c r="E111" s="24">
        <f t="shared" si="182"/>
        <v>-0.28662964545066216</v>
      </c>
      <c r="F111" s="24">
        <f t="shared" si="182"/>
        <v>-0.80949529512403762</v>
      </c>
      <c r="G111" s="24">
        <f t="shared" ref="G111:Q111" si="183">IFERROR(G110/F110-1,"n.m.")</f>
        <v>-0.66502020655590488</v>
      </c>
      <c r="H111" s="24">
        <f t="shared" si="183"/>
        <v>0.26943699731903492</v>
      </c>
      <c r="I111" s="24">
        <f t="shared" si="183"/>
        <v>-2.2175290390707536E-2</v>
      </c>
      <c r="J111" s="24">
        <f t="shared" si="183"/>
        <v>1.1879049676025932E-2</v>
      </c>
      <c r="K111" s="24">
        <f t="shared" si="183"/>
        <v>-0.19957310565635</v>
      </c>
      <c r="L111" s="24">
        <f t="shared" si="183"/>
        <v>1.3333333333333419E-2</v>
      </c>
      <c r="M111" s="24">
        <f t="shared" si="183"/>
        <v>-0.15789473684210531</v>
      </c>
      <c r="N111" s="24">
        <f t="shared" si="183"/>
        <v>0</v>
      </c>
      <c r="O111" s="24">
        <f t="shared" si="183"/>
        <v>9.375E-2</v>
      </c>
      <c r="P111" s="24">
        <f t="shared" si="183"/>
        <v>0.38571428571428568</v>
      </c>
      <c r="Q111" s="24">
        <f t="shared" si="183"/>
        <v>1.4948453608247423</v>
      </c>
      <c r="R111" s="69">
        <f>(1+R133)*(1+R127*R137)-1</f>
        <v>18.636644162475818</v>
      </c>
      <c r="S111" s="69">
        <f t="shared" ref="S111:X111" si="184">(1+S133)*(1+S127*S137)-1</f>
        <v>-0.99833653683522949</v>
      </c>
      <c r="T111" s="69">
        <f t="shared" si="184"/>
        <v>-1.4426046158841197</v>
      </c>
      <c r="U111" s="69">
        <f t="shared" si="184"/>
        <v>-0.83758533373445976</v>
      </c>
      <c r="V111" s="69">
        <f t="shared" si="184"/>
        <v>-1.1160276930608974</v>
      </c>
      <c r="W111" s="69">
        <f t="shared" si="184"/>
        <v>-1.5960563937163719</v>
      </c>
      <c r="X111" s="69">
        <f t="shared" si="184"/>
        <v>-0.75918292772724505</v>
      </c>
      <c r="Y111" s="135" t="s">
        <v>4</v>
      </c>
    </row>
    <row r="112" spans="2:25" ht="15" customHeight="1" outlineLevel="3">
      <c r="B112" s="37" t="s">
        <v>29</v>
      </c>
      <c r="C112" s="38" t="s">
        <v>21</v>
      </c>
      <c r="D112" s="87" t="str">
        <f t="shared" ref="D112:W112" si="185">IFERROR(D110/D$107,"n.m.")</f>
        <v>n.m.</v>
      </c>
      <c r="E112" s="87" t="str">
        <f t="shared" si="185"/>
        <v>n.m.</v>
      </c>
      <c r="F112" s="87" t="str">
        <f t="shared" si="185"/>
        <v>n.m.</v>
      </c>
      <c r="G112" s="87" t="str">
        <f t="shared" si="185"/>
        <v>n.m.</v>
      </c>
      <c r="H112" s="87" t="str">
        <f t="shared" si="185"/>
        <v>n.m.</v>
      </c>
      <c r="I112" s="87" t="str">
        <f t="shared" si="185"/>
        <v>n.m.</v>
      </c>
      <c r="J112" s="87" t="str">
        <f t="shared" si="185"/>
        <v>n.m.</v>
      </c>
      <c r="K112" s="87" t="str">
        <f t="shared" si="185"/>
        <v>n.m.</v>
      </c>
      <c r="L112" s="87" t="str">
        <f t="shared" si="185"/>
        <v>n.m.</v>
      </c>
      <c r="M112" s="87" t="str">
        <f t="shared" si="185"/>
        <v>n.m.</v>
      </c>
      <c r="N112" s="87">
        <f t="shared" si="185"/>
        <v>6.1097852028639621E-3</v>
      </c>
      <c r="O112" s="87">
        <f t="shared" si="185"/>
        <v>6.5134456127291336E-3</v>
      </c>
      <c r="P112" s="87">
        <f t="shared" si="185"/>
        <v>8.4536805805809738E-3</v>
      </c>
      <c r="Q112" s="87">
        <f t="shared" si="185"/>
        <v>2.1072796934865901E-2</v>
      </c>
      <c r="R112" s="87">
        <f t="shared" si="185"/>
        <v>0.41324388341891666</v>
      </c>
      <c r="S112" s="87">
        <f t="shared" si="185"/>
        <v>6.6741344080421144E-4</v>
      </c>
      <c r="T112" s="87">
        <f t="shared" si="185"/>
        <v>-2.8578747074893703E-4</v>
      </c>
      <c r="U112" s="87">
        <f t="shared" si="185"/>
        <v>-4.4821921866511503E-5</v>
      </c>
      <c r="V112" s="87">
        <f t="shared" si="185"/>
        <v>5.0198339925694105E-6</v>
      </c>
      <c r="W112" s="123">
        <f t="shared" si="185"/>
        <v>-2.8868568235135112E-6</v>
      </c>
      <c r="X112" s="123">
        <f t="shared" ref="X112" si="186">IFERROR(X110/X$107,"n.m.")</f>
        <v>-6.6345885664662412E-7</v>
      </c>
      <c r="Y112" s="135" t="s">
        <v>4</v>
      </c>
    </row>
    <row r="113" spans="2:25" ht="15" customHeight="1" outlineLevel="3">
      <c r="B113" s="37"/>
      <c r="C113" s="38"/>
      <c r="D113" s="3"/>
      <c r="E113" s="3"/>
      <c r="F113" s="3"/>
      <c r="G113" s="3"/>
      <c r="H113" s="3"/>
      <c r="I113" s="3"/>
      <c r="J113" s="3"/>
      <c r="K113" s="3"/>
      <c r="L113" s="3"/>
      <c r="M113" s="3"/>
      <c r="N113" s="3"/>
      <c r="O113" s="3"/>
      <c r="P113" s="3"/>
      <c r="Q113" s="87"/>
      <c r="R113" s="3"/>
      <c r="S113" s="3"/>
      <c r="T113" s="3"/>
      <c r="U113" s="3"/>
      <c r="V113" s="3"/>
      <c r="W113" s="132"/>
      <c r="X113" s="132"/>
    </row>
    <row r="114" spans="2:25" ht="15" customHeight="1" outlineLevel="3">
      <c r="B114" s="41" t="s">
        <v>37</v>
      </c>
      <c r="C114" s="38" t="s">
        <v>26</v>
      </c>
      <c r="D114" s="4"/>
      <c r="E114" s="4"/>
      <c r="F114" s="4"/>
      <c r="G114" s="4"/>
      <c r="H114" s="4"/>
      <c r="I114" s="4"/>
      <c r="J114" s="4"/>
      <c r="K114" s="4"/>
      <c r="L114" s="4"/>
      <c r="M114" s="4"/>
      <c r="N114" s="82">
        <v>10411</v>
      </c>
      <c r="O114" s="82">
        <v>10677</v>
      </c>
      <c r="P114" s="82">
        <v>11377.292064313333</v>
      </c>
      <c r="Q114" s="82">
        <v>11242</v>
      </c>
      <c r="R114" s="42">
        <f>R107-R110</f>
        <v>6747.3591532060873</v>
      </c>
      <c r="S114" s="42">
        <f t="shared" ref="S114:W114" si="187">S107-S110</f>
        <v>11836.162675667332</v>
      </c>
      <c r="T114" s="42">
        <f t="shared" si="187"/>
        <v>12245.955496790506</v>
      </c>
      <c r="U114" s="42">
        <f t="shared" si="187"/>
        <v>12678.445230490664</v>
      </c>
      <c r="V114" s="42">
        <f t="shared" si="187"/>
        <v>13134.305988349568</v>
      </c>
      <c r="W114" s="122">
        <f t="shared" si="187"/>
        <v>13613.256403814768</v>
      </c>
      <c r="X114" s="122">
        <f t="shared" ref="X114" si="188">X107-X110</f>
        <v>14264.599419232913</v>
      </c>
      <c r="Y114" s="135" t="s">
        <v>4</v>
      </c>
    </row>
    <row r="115" spans="2:25" ht="15" customHeight="1" outlineLevel="3">
      <c r="B115" s="18" t="s">
        <v>27</v>
      </c>
      <c r="C115" s="1" t="s">
        <v>21</v>
      </c>
      <c r="D115" s="89"/>
      <c r="E115" s="89"/>
      <c r="F115" s="89"/>
      <c r="G115" s="89"/>
      <c r="H115" s="89"/>
      <c r="I115" s="89"/>
      <c r="J115" s="89"/>
      <c r="K115" s="89"/>
      <c r="L115" s="89"/>
      <c r="M115" s="89"/>
      <c r="N115" s="87" t="str">
        <f t="shared" ref="N115:W115" si="189">IFERROR(N114/M114-1,"n.m.")</f>
        <v>n.m.</v>
      </c>
      <c r="O115" s="87">
        <f t="shared" si="189"/>
        <v>2.5549899145135058E-2</v>
      </c>
      <c r="P115" s="87">
        <f t="shared" si="189"/>
        <v>6.5588841838843503E-2</v>
      </c>
      <c r="Q115" s="87">
        <f t="shared" si="189"/>
        <v>-1.1891411730362234E-2</v>
      </c>
      <c r="R115" s="87">
        <f t="shared" si="189"/>
        <v>-0.39980793869364106</v>
      </c>
      <c r="S115" s="87">
        <f t="shared" si="189"/>
        <v>0.75419188558285644</v>
      </c>
      <c r="T115" s="87">
        <f t="shared" si="189"/>
        <v>3.4622101127895322E-2</v>
      </c>
      <c r="U115" s="87">
        <f t="shared" si="189"/>
        <v>3.5316944750738877E-2</v>
      </c>
      <c r="V115" s="87">
        <f t="shared" si="189"/>
        <v>3.5955572593601159E-2</v>
      </c>
      <c r="W115" s="123">
        <f t="shared" si="189"/>
        <v>3.6465605102396825E-2</v>
      </c>
      <c r="X115" s="123">
        <f t="shared" ref="X115" si="190">IFERROR(X114/W114-1,"n.m.")</f>
        <v>4.7846231356931002E-2</v>
      </c>
      <c r="Y115" s="135" t="s">
        <v>4</v>
      </c>
    </row>
    <row r="116" spans="2:25" ht="15" customHeight="1" outlineLevel="3">
      <c r="B116" s="20" t="s">
        <v>29</v>
      </c>
      <c r="C116" s="21" t="s">
        <v>21</v>
      </c>
      <c r="D116" s="90"/>
      <c r="E116" s="90"/>
      <c r="F116" s="90"/>
      <c r="G116" s="90"/>
      <c r="H116" s="90"/>
      <c r="I116" s="90"/>
      <c r="J116" s="90"/>
      <c r="K116" s="90"/>
      <c r="L116" s="90"/>
      <c r="M116" s="90"/>
      <c r="N116" s="48">
        <f t="shared" ref="N116:W116" si="191">N114/N$107</f>
        <v>0.99389021479713602</v>
      </c>
      <c r="O116" s="48">
        <f t="shared" si="191"/>
        <v>0.99348655438727085</v>
      </c>
      <c r="P116" s="48">
        <f t="shared" si="191"/>
        <v>0.99154631941941906</v>
      </c>
      <c r="Q116" s="48">
        <f t="shared" si="191"/>
        <v>0.97892720306513414</v>
      </c>
      <c r="R116" s="48">
        <f t="shared" si="191"/>
        <v>0.5867561165810834</v>
      </c>
      <c r="S116" s="48">
        <f t="shared" si="191"/>
        <v>0.99933258655919577</v>
      </c>
      <c r="T116" s="48">
        <f t="shared" si="191"/>
        <v>1.0002857874707489</v>
      </c>
      <c r="U116" s="48">
        <f t="shared" si="191"/>
        <v>1.0000448219218665</v>
      </c>
      <c r="V116" s="48">
        <f t="shared" si="191"/>
        <v>0.99999498016600741</v>
      </c>
      <c r="W116" s="124">
        <f t="shared" si="191"/>
        <v>1.0000028868568234</v>
      </c>
      <c r="X116" s="124">
        <f t="shared" ref="X116" si="192">X114/X$107</f>
        <v>1.0000006634588567</v>
      </c>
      <c r="Y116" s="135" t="s">
        <v>4</v>
      </c>
    </row>
    <row r="117" spans="2:25" ht="15" customHeight="1" outlineLevel="3">
      <c r="Y117" s="135" t="s">
        <v>4</v>
      </c>
    </row>
    <row r="118" spans="2:25" ht="15" customHeight="1" outlineLevel="2">
      <c r="B118" s="7" t="s">
        <v>38</v>
      </c>
      <c r="C118" s="13" t="s">
        <v>39</v>
      </c>
      <c r="D118" s="93"/>
      <c r="E118" s="93"/>
      <c r="F118" s="93"/>
      <c r="G118" s="93"/>
      <c r="H118" s="93"/>
      <c r="I118" s="93"/>
      <c r="J118" s="93"/>
      <c r="K118" s="93"/>
      <c r="L118" s="93"/>
      <c r="M118" s="93"/>
      <c r="N118" s="22">
        <f t="shared" ref="N118:W118" si="193">N122+N126</f>
        <v>7433</v>
      </c>
      <c r="O118" s="22">
        <f t="shared" si="193"/>
        <v>7389</v>
      </c>
      <c r="P118" s="22">
        <f t="shared" si="193"/>
        <v>7144</v>
      </c>
      <c r="Q118" s="22">
        <f t="shared" si="193"/>
        <v>7082</v>
      </c>
      <c r="R118" s="22">
        <f t="shared" si="193"/>
        <v>7025</v>
      </c>
      <c r="S118" s="22">
        <f t="shared" si="193"/>
        <v>7029</v>
      </c>
      <c r="T118" s="22">
        <f t="shared" si="193"/>
        <v>7033</v>
      </c>
      <c r="U118" s="22">
        <f t="shared" si="193"/>
        <v>7037</v>
      </c>
      <c r="V118" s="22">
        <f t="shared" si="193"/>
        <v>7041</v>
      </c>
      <c r="W118" s="118">
        <f t="shared" si="193"/>
        <v>7045</v>
      </c>
      <c r="X118" s="118">
        <f t="shared" ref="X118" si="194">X122+X126</f>
        <v>7065</v>
      </c>
      <c r="Y118" s="135" t="s">
        <v>4</v>
      </c>
    </row>
    <row r="119" spans="2:25" ht="15" customHeight="1" outlineLevel="2">
      <c r="B119" s="6" t="s">
        <v>27</v>
      </c>
      <c r="C119" s="1" t="s">
        <v>21</v>
      </c>
      <c r="D119" s="72"/>
      <c r="E119" s="72"/>
      <c r="F119" s="72"/>
      <c r="G119" s="72"/>
      <c r="H119" s="72"/>
      <c r="I119" s="72"/>
      <c r="J119" s="72"/>
      <c r="K119" s="72"/>
      <c r="L119" s="72"/>
      <c r="M119" s="72"/>
      <c r="N119" s="24" t="str">
        <f t="shared" ref="N119:W119" si="195">IFERROR(N118/M118-1,"n.m.")</f>
        <v>n.m.</v>
      </c>
      <c r="O119" s="24">
        <f t="shared" si="195"/>
        <v>-5.9195479617920599E-3</v>
      </c>
      <c r="P119" s="24">
        <f t="shared" si="195"/>
        <v>-3.3157396129381511E-2</v>
      </c>
      <c r="Q119" s="24">
        <f t="shared" si="195"/>
        <v>-8.6786114221724109E-3</v>
      </c>
      <c r="R119" s="24">
        <f t="shared" si="195"/>
        <v>-8.0485738491951064E-3</v>
      </c>
      <c r="S119" s="24">
        <f t="shared" si="195"/>
        <v>5.69395017793628E-4</v>
      </c>
      <c r="T119" s="24">
        <f t="shared" si="195"/>
        <v>5.690709916061909E-4</v>
      </c>
      <c r="U119" s="24">
        <f t="shared" si="195"/>
        <v>5.6874733399681077E-4</v>
      </c>
      <c r="V119" s="24">
        <f t="shared" si="195"/>
        <v>5.6842404433710136E-4</v>
      </c>
      <c r="W119" s="113">
        <f t="shared" si="195"/>
        <v>5.6810112199978668E-4</v>
      </c>
      <c r="X119" s="113">
        <f t="shared" ref="X119" si="196">IFERROR(X118/W118-1,"n.m.")</f>
        <v>2.8388928317955031E-3</v>
      </c>
      <c r="Y119" s="135" t="s">
        <v>4</v>
      </c>
    </row>
    <row r="120" spans="2:25" ht="15" customHeight="1" outlineLevel="2">
      <c r="B120" s="6" t="s">
        <v>27</v>
      </c>
      <c r="C120" s="1" t="s">
        <v>39</v>
      </c>
      <c r="D120" s="92"/>
      <c r="E120" s="92"/>
      <c r="F120" s="92"/>
      <c r="G120" s="92"/>
      <c r="H120" s="92"/>
      <c r="I120" s="92"/>
      <c r="J120" s="92"/>
      <c r="K120" s="92"/>
      <c r="L120" s="92"/>
      <c r="M120" s="92"/>
      <c r="N120" s="26">
        <f t="shared" ref="N120:W120" si="197">IFERROR(N118-M118,"n.m.")</f>
        <v>7433</v>
      </c>
      <c r="O120" s="26">
        <f t="shared" si="197"/>
        <v>-44</v>
      </c>
      <c r="P120" s="26">
        <f t="shared" si="197"/>
        <v>-245</v>
      </c>
      <c r="Q120" s="26">
        <f t="shared" si="197"/>
        <v>-62</v>
      </c>
      <c r="R120" s="26">
        <f t="shared" si="197"/>
        <v>-57</v>
      </c>
      <c r="S120" s="26">
        <f t="shared" si="197"/>
        <v>4</v>
      </c>
      <c r="T120" s="26">
        <f t="shared" si="197"/>
        <v>4</v>
      </c>
      <c r="U120" s="26">
        <f t="shared" si="197"/>
        <v>4</v>
      </c>
      <c r="V120" s="26">
        <f t="shared" si="197"/>
        <v>4</v>
      </c>
      <c r="W120" s="28">
        <f t="shared" si="197"/>
        <v>4</v>
      </c>
      <c r="X120" s="28">
        <f t="shared" ref="X120" si="198">IFERROR(X118-W118,"n.m.")</f>
        <v>20</v>
      </c>
      <c r="Y120" s="135" t="s">
        <v>4</v>
      </c>
    </row>
    <row r="121" spans="2:25" ht="15" customHeight="1" outlineLevel="3">
      <c r="Y121" s="135" t="s">
        <v>4</v>
      </c>
    </row>
    <row r="122" spans="2:25" ht="15" customHeight="1" outlineLevel="3">
      <c r="B122" s="17" t="s">
        <v>40</v>
      </c>
      <c r="C122" s="15" t="s">
        <v>39</v>
      </c>
      <c r="D122" s="91"/>
      <c r="E122" s="91"/>
      <c r="F122" s="91"/>
      <c r="G122" s="91"/>
      <c r="H122" s="91"/>
      <c r="I122" s="91"/>
      <c r="J122" s="91"/>
      <c r="K122" s="91"/>
      <c r="L122" s="91"/>
      <c r="M122" s="91"/>
      <c r="N122" s="32">
        <v>7382</v>
      </c>
      <c r="O122" s="32">
        <v>7339</v>
      </c>
      <c r="P122" s="32">
        <v>7006</v>
      </c>
      <c r="Q122" s="32">
        <v>6922</v>
      </c>
      <c r="R122" s="36">
        <f>Q122+R124</f>
        <v>5893</v>
      </c>
      <c r="S122" s="36">
        <f t="shared" ref="S122:W122" si="199">R122+S124</f>
        <v>6247</v>
      </c>
      <c r="T122" s="36">
        <f t="shared" si="199"/>
        <v>6551</v>
      </c>
      <c r="U122" s="36">
        <f t="shared" si="199"/>
        <v>6655</v>
      </c>
      <c r="V122" s="36">
        <f t="shared" si="199"/>
        <v>6759</v>
      </c>
      <c r="W122" s="120">
        <f t="shared" si="199"/>
        <v>6863</v>
      </c>
      <c r="X122" s="120">
        <f t="shared" ref="X122" si="200">W122+X124</f>
        <v>6913</v>
      </c>
      <c r="Y122" s="135" t="s">
        <v>4</v>
      </c>
    </row>
    <row r="123" spans="2:25" ht="15" customHeight="1" outlineLevel="3">
      <c r="B123" s="18" t="s">
        <v>27</v>
      </c>
      <c r="C123" s="1" t="s">
        <v>21</v>
      </c>
      <c r="D123" s="72"/>
      <c r="E123" s="72"/>
      <c r="F123" s="72"/>
      <c r="G123" s="72"/>
      <c r="H123" s="72"/>
      <c r="I123" s="72"/>
      <c r="J123" s="72"/>
      <c r="K123" s="72"/>
      <c r="L123" s="72"/>
      <c r="M123" s="72"/>
      <c r="N123" s="24" t="str">
        <f t="shared" ref="N123:W123" si="201">IFERROR(N122/M122-1,"n.m.")</f>
        <v>n.m.</v>
      </c>
      <c r="O123" s="24">
        <f t="shared" si="201"/>
        <v>-5.8249796803034881E-3</v>
      </c>
      <c r="P123" s="24">
        <f t="shared" si="201"/>
        <v>-4.5374029159286011E-2</v>
      </c>
      <c r="Q123" s="24">
        <f t="shared" si="201"/>
        <v>-1.1989723094490423E-2</v>
      </c>
      <c r="R123" s="24">
        <f t="shared" si="201"/>
        <v>-0.14865645767119329</v>
      </c>
      <c r="S123" s="24">
        <f t="shared" si="201"/>
        <v>6.0071270999490833E-2</v>
      </c>
      <c r="T123" s="24">
        <f t="shared" si="201"/>
        <v>4.8663358412037727E-2</v>
      </c>
      <c r="U123" s="24">
        <f t="shared" si="201"/>
        <v>1.5875438864295432E-2</v>
      </c>
      <c r="V123" s="24">
        <f t="shared" si="201"/>
        <v>1.5627347858752749E-2</v>
      </c>
      <c r="W123" s="113">
        <f t="shared" si="201"/>
        <v>1.5386891552004789E-2</v>
      </c>
      <c r="X123" s="113">
        <f t="shared" ref="X123" si="202">IFERROR(X122/W122-1,"n.m.")</f>
        <v>7.285443683520354E-3</v>
      </c>
      <c r="Y123" s="135" t="s">
        <v>4</v>
      </c>
    </row>
    <row r="124" spans="2:25" ht="15" customHeight="1" outlineLevel="3">
      <c r="B124" s="18" t="s">
        <v>27</v>
      </c>
      <c r="C124" s="1" t="s">
        <v>39</v>
      </c>
      <c r="D124" s="92"/>
      <c r="E124" s="92"/>
      <c r="F124" s="92"/>
      <c r="G124" s="92"/>
      <c r="H124" s="92"/>
      <c r="I124" s="92"/>
      <c r="J124" s="92"/>
      <c r="K124" s="92"/>
      <c r="L124" s="92"/>
      <c r="M124" s="92"/>
      <c r="N124" s="26">
        <f>IFERROR(N122-M122,"n.m.")</f>
        <v>7382</v>
      </c>
      <c r="O124" s="26">
        <f>IFERROR(O122-N122,"n.m.")</f>
        <v>-43</v>
      </c>
      <c r="P124" s="26">
        <f>IFERROR(P122-O122,"n.m.")</f>
        <v>-333</v>
      </c>
      <c r="Q124" s="26">
        <f>IFERROR(Q122-P122,"n.m.")</f>
        <v>-84</v>
      </c>
      <c r="R124" s="33">
        <v>-1029</v>
      </c>
      <c r="S124" s="33">
        <f>WACC!C38+350</f>
        <v>354</v>
      </c>
      <c r="T124" s="33">
        <f>WACC!D38+300</f>
        <v>304</v>
      </c>
      <c r="U124" s="33">
        <f>WACC!E38+100</f>
        <v>104</v>
      </c>
      <c r="V124" s="33">
        <f>WACC!F38+104</f>
        <v>104</v>
      </c>
      <c r="W124" s="33">
        <f>104</f>
        <v>104</v>
      </c>
      <c r="X124" s="125">
        <f>50</f>
        <v>50</v>
      </c>
      <c r="Y124" s="135" t="s">
        <v>4</v>
      </c>
    </row>
    <row r="125" spans="2:25" ht="15" customHeight="1" outlineLevel="3">
      <c r="Y125" s="135" t="s">
        <v>4</v>
      </c>
    </row>
    <row r="126" spans="2:25" ht="15" customHeight="1" outlineLevel="3">
      <c r="B126" s="6" t="s">
        <v>54</v>
      </c>
      <c r="C126" s="1" t="s">
        <v>39</v>
      </c>
      <c r="D126" s="82">
        <v>1295</v>
      </c>
      <c r="E126" s="82">
        <v>418</v>
      </c>
      <c r="F126" s="82">
        <v>52</v>
      </c>
      <c r="G126" s="82">
        <v>52</v>
      </c>
      <c r="H126" s="82">
        <v>76</v>
      </c>
      <c r="I126" s="82">
        <v>76</v>
      </c>
      <c r="J126" s="82">
        <v>50</v>
      </c>
      <c r="K126" s="82">
        <v>50</v>
      </c>
      <c r="L126" s="82">
        <v>50</v>
      </c>
      <c r="M126" s="82">
        <v>52</v>
      </c>
      <c r="N126" s="82">
        <v>51</v>
      </c>
      <c r="O126" s="82">
        <v>50</v>
      </c>
      <c r="P126" s="82">
        <v>138</v>
      </c>
      <c r="Q126" s="82">
        <v>160</v>
      </c>
      <c r="R126" s="42">
        <f>Q126+R128</f>
        <v>1132</v>
      </c>
      <c r="S126" s="42">
        <f t="shared" ref="S126:T126" si="203">R126+S128</f>
        <v>782</v>
      </c>
      <c r="T126" s="42">
        <f t="shared" si="203"/>
        <v>482</v>
      </c>
      <c r="U126" s="42">
        <f>T126+U128</f>
        <v>382</v>
      </c>
      <c r="V126" s="42">
        <f>U126+V128</f>
        <v>282</v>
      </c>
      <c r="W126" s="122">
        <f>V126+W128</f>
        <v>182</v>
      </c>
      <c r="X126" s="122">
        <f>W126+X128</f>
        <v>152</v>
      </c>
      <c r="Y126" s="135" t="s">
        <v>4</v>
      </c>
    </row>
    <row r="127" spans="2:25" ht="15" customHeight="1" outlineLevel="3">
      <c r="B127" s="18" t="s">
        <v>27</v>
      </c>
      <c r="C127" s="1" t="s">
        <v>21</v>
      </c>
      <c r="D127" s="24" t="str">
        <f t="shared" ref="D127:W127" si="204">IFERROR(D126/C126-1,"n.m.")</f>
        <v>n.m.</v>
      </c>
      <c r="E127" s="24">
        <f t="shared" si="204"/>
        <v>-0.67722007722007715</v>
      </c>
      <c r="F127" s="24">
        <f t="shared" si="204"/>
        <v>-0.87559808612440193</v>
      </c>
      <c r="G127" s="24">
        <f t="shared" si="204"/>
        <v>0</v>
      </c>
      <c r="H127" s="24">
        <f t="shared" si="204"/>
        <v>0.46153846153846145</v>
      </c>
      <c r="I127" s="24">
        <f t="shared" si="204"/>
        <v>0</v>
      </c>
      <c r="J127" s="24">
        <f t="shared" si="204"/>
        <v>-0.34210526315789469</v>
      </c>
      <c r="K127" s="24">
        <f t="shared" si="204"/>
        <v>0</v>
      </c>
      <c r="L127" s="24">
        <f t="shared" si="204"/>
        <v>0</v>
      </c>
      <c r="M127" s="24">
        <f t="shared" si="204"/>
        <v>4.0000000000000036E-2</v>
      </c>
      <c r="N127" s="24">
        <f t="shared" si="204"/>
        <v>-1.9230769230769273E-2</v>
      </c>
      <c r="O127" s="24">
        <f t="shared" si="204"/>
        <v>-1.9607843137254943E-2</v>
      </c>
      <c r="P127" s="24">
        <f t="shared" si="204"/>
        <v>1.7599999999999998</v>
      </c>
      <c r="Q127" s="24">
        <f t="shared" si="204"/>
        <v>0.15942028985507251</v>
      </c>
      <c r="R127" s="24">
        <f t="shared" si="204"/>
        <v>6.0750000000000002</v>
      </c>
      <c r="S127" s="24">
        <f t="shared" si="204"/>
        <v>-0.30918727915194344</v>
      </c>
      <c r="T127" s="24">
        <f t="shared" si="204"/>
        <v>-0.38363171355498726</v>
      </c>
      <c r="U127" s="24">
        <f t="shared" si="204"/>
        <v>-0.20746887966804983</v>
      </c>
      <c r="V127" s="24">
        <f t="shared" si="204"/>
        <v>-0.26178010471204194</v>
      </c>
      <c r="W127" s="113">
        <f t="shared" si="204"/>
        <v>-0.35460992907801414</v>
      </c>
      <c r="X127" s="113">
        <f t="shared" ref="X127" si="205">IFERROR(X126/W126-1,"n.m.")</f>
        <v>-0.1648351648351648</v>
      </c>
      <c r="Y127" s="135" t="s">
        <v>4</v>
      </c>
    </row>
    <row r="128" spans="2:25" ht="15" customHeight="1" outlineLevel="3">
      <c r="B128" s="20" t="s">
        <v>27</v>
      </c>
      <c r="C128" s="21" t="s">
        <v>39</v>
      </c>
      <c r="D128" s="27" t="str">
        <f t="shared" ref="D128:Q128" si="206">IFERROR(D126-C126,"n.m.")</f>
        <v>n.m.</v>
      </c>
      <c r="E128" s="27">
        <f t="shared" si="206"/>
        <v>-877</v>
      </c>
      <c r="F128" s="27">
        <f t="shared" si="206"/>
        <v>-366</v>
      </c>
      <c r="G128" s="27">
        <f t="shared" si="206"/>
        <v>0</v>
      </c>
      <c r="H128" s="27">
        <f t="shared" si="206"/>
        <v>24</v>
      </c>
      <c r="I128" s="27">
        <f t="shared" si="206"/>
        <v>0</v>
      </c>
      <c r="J128" s="27">
        <f t="shared" si="206"/>
        <v>-26</v>
      </c>
      <c r="K128" s="27">
        <f t="shared" si="206"/>
        <v>0</v>
      </c>
      <c r="L128" s="27">
        <f t="shared" si="206"/>
        <v>0</v>
      </c>
      <c r="M128" s="27">
        <f t="shared" si="206"/>
        <v>2</v>
      </c>
      <c r="N128" s="27">
        <f t="shared" si="206"/>
        <v>-1</v>
      </c>
      <c r="O128" s="27">
        <f t="shared" si="206"/>
        <v>-1</v>
      </c>
      <c r="P128" s="27">
        <f t="shared" si="206"/>
        <v>88</v>
      </c>
      <c r="Q128" s="27">
        <f t="shared" si="206"/>
        <v>22</v>
      </c>
      <c r="R128" s="30">
        <v>972</v>
      </c>
      <c r="S128" s="30">
        <v>-350</v>
      </c>
      <c r="T128" s="30">
        <v>-300</v>
      </c>
      <c r="U128" s="30">
        <v>-100</v>
      </c>
      <c r="V128" s="30">
        <v>-100</v>
      </c>
      <c r="W128" s="30">
        <v>-100</v>
      </c>
      <c r="X128" s="30">
        <v>-30</v>
      </c>
      <c r="Y128" s="135" t="s">
        <v>4</v>
      </c>
    </row>
    <row r="129" spans="2:25" ht="15" customHeight="1" outlineLevel="2">
      <c r="Y129" s="135" t="s">
        <v>4</v>
      </c>
    </row>
    <row r="130" spans="2:25" ht="15" customHeight="1" outlineLevel="2">
      <c r="B130" s="50" t="s">
        <v>42</v>
      </c>
      <c r="C130" s="51" t="s">
        <v>21</v>
      </c>
      <c r="D130" s="56"/>
      <c r="E130" s="56"/>
      <c r="F130" s="56"/>
      <c r="G130" s="56"/>
      <c r="H130" s="56"/>
      <c r="I130" s="56"/>
      <c r="J130" s="56"/>
      <c r="K130" s="56"/>
      <c r="L130" s="56"/>
      <c r="M130" s="56"/>
      <c r="N130" s="56"/>
      <c r="O130" s="55">
        <f>O108</f>
        <v>2.5966587112171924E-2</v>
      </c>
      <c r="P130" s="55">
        <f t="shared" ref="P130:Q130" si="207">P108</f>
        <v>6.7673961506776958E-2</v>
      </c>
      <c r="Q130" s="614">
        <f t="shared" si="207"/>
        <v>8.4605966383399789E-4</v>
      </c>
      <c r="R130" s="66">
        <f>(1+R133)*(1+R136)-1</f>
        <v>1.3433507946043477E-3</v>
      </c>
      <c r="S130" s="66">
        <f t="shared" ref="S130:W130" si="208">(1+S133)*(1+S136)-1</f>
        <v>2.9970234500779069E-2</v>
      </c>
      <c r="T130" s="66">
        <f t="shared" si="208"/>
        <v>3.363618016184633E-2</v>
      </c>
      <c r="U130" s="66">
        <f t="shared" si="208"/>
        <v>3.5566409285118228E-2</v>
      </c>
      <c r="V130" s="66">
        <f t="shared" si="208"/>
        <v>3.6007206697525884E-2</v>
      </c>
      <c r="W130" s="127">
        <f t="shared" si="208"/>
        <v>3.6457410112973543E-2</v>
      </c>
      <c r="X130" s="127">
        <f t="shared" ref="X130" si="209">(1+X133)*(1+X136)-1</f>
        <v>4.7848561134565593E-2</v>
      </c>
      <c r="Y130" s="135" t="s">
        <v>4</v>
      </c>
    </row>
    <row r="131" spans="2:25" ht="15" customHeight="1" outlineLevel="2">
      <c r="B131" s="49" t="s">
        <v>43</v>
      </c>
      <c r="C131" s="52" t="s">
        <v>21</v>
      </c>
      <c r="D131" s="57"/>
      <c r="E131" s="57"/>
      <c r="F131" s="57"/>
      <c r="G131" s="57"/>
      <c r="H131" s="57"/>
      <c r="I131" s="57"/>
      <c r="J131" s="57"/>
      <c r="K131" s="57"/>
      <c r="L131" s="57"/>
      <c r="M131" s="57"/>
      <c r="N131" s="57"/>
      <c r="O131" s="53" t="s">
        <v>44</v>
      </c>
      <c r="P131" s="23">
        <f t="shared" ref="P131" si="210">(1+P130)*(1+O130)-1</f>
        <v>9.5397810435640329E-2</v>
      </c>
      <c r="Q131" s="23">
        <f t="shared" ref="Q131" si="211">(1+Q130)*(1+P130)-1</f>
        <v>6.8577277379733736E-2</v>
      </c>
      <c r="R131" s="23">
        <f t="shared" ref="R131" si="212">(1+R130)*(1+Q130)-1</f>
        <v>2.190547013360078E-3</v>
      </c>
      <c r="S131" s="23">
        <f t="shared" ref="S131" si="213">(1+S130)*(1+R130)-1</f>
        <v>3.1353845833714589E-2</v>
      </c>
      <c r="T131" s="23">
        <f t="shared" ref="T131" si="214">(1+T130)*(1+S130)-1</f>
        <v>6.4614498869786319E-2</v>
      </c>
      <c r="U131" s="23">
        <f t="shared" ref="U131" si="215">(1+U130)*(1+T130)-1</f>
        <v>7.039890759738876E-2</v>
      </c>
      <c r="V131" s="23">
        <f t="shared" ref="V131" si="216">(1+V130)*(1+U130)-1</f>
        <v>7.2854263033262256E-2</v>
      </c>
      <c r="W131" s="128">
        <f t="shared" ref="W131" si="217">(1+W130)*(1+V130)-1</f>
        <v>7.377734631209365E-2</v>
      </c>
      <c r="X131" s="128">
        <f t="shared" ref="X131" si="218">(1+X130)*(1+W130)-1</f>
        <v>8.6050405864137591E-2</v>
      </c>
      <c r="Y131" s="135" t="s">
        <v>4</v>
      </c>
    </row>
    <row r="132" spans="2:25" ht="15" customHeight="1" outlineLevel="3">
      <c r="Y132" s="135" t="s">
        <v>4</v>
      </c>
    </row>
    <row r="133" spans="2:25" ht="15" customHeight="1" outlineLevel="3">
      <c r="B133" s="17" t="s">
        <v>45</v>
      </c>
      <c r="C133" s="15" t="s">
        <v>21</v>
      </c>
      <c r="D133" s="61"/>
      <c r="E133" s="61"/>
      <c r="F133" s="61"/>
      <c r="G133" s="61"/>
      <c r="H133" s="61"/>
      <c r="I133" s="61"/>
      <c r="J133" s="61"/>
      <c r="K133" s="61"/>
      <c r="L133" s="61"/>
      <c r="M133" s="61"/>
      <c r="N133" s="61"/>
      <c r="O133" s="64">
        <v>2.3E-2</v>
      </c>
      <c r="P133" s="64">
        <v>7.3999999999999996E-2</v>
      </c>
      <c r="Q133" s="64">
        <v>1.0249999999999999E-2</v>
      </c>
      <c r="R133" s="68">
        <v>2.5999999999999999E-2</v>
      </c>
      <c r="S133" s="68">
        <f>R133*(1+8%)</f>
        <v>2.8080000000000001E-2</v>
      </c>
      <c r="T133" s="68">
        <f>S133*(1+12%)</f>
        <v>3.1449600000000001E-2</v>
      </c>
      <c r="U133" s="68">
        <f>T133*(1+5.5%)</f>
        <v>3.3179328000000001E-2</v>
      </c>
      <c r="V133" s="68">
        <f>U133*(1+1%)</f>
        <v>3.351112128E-2</v>
      </c>
      <c r="W133" s="68">
        <f t="shared" ref="W133:X133" si="219">V133*(1+1%)</f>
        <v>3.3846232492799999E-2</v>
      </c>
      <c r="X133" s="68">
        <f t="shared" si="219"/>
        <v>3.4184694817727998E-2</v>
      </c>
      <c r="Y133" s="135" t="s">
        <v>4</v>
      </c>
    </row>
    <row r="134" spans="2:25" ht="15" customHeight="1" outlineLevel="3">
      <c r="B134" s="58" t="s">
        <v>43</v>
      </c>
      <c r="C134" s="52" t="s">
        <v>21</v>
      </c>
      <c r="D134" s="62"/>
      <c r="E134" s="62"/>
      <c r="F134" s="62"/>
      <c r="G134" s="62"/>
      <c r="H134" s="62"/>
      <c r="I134" s="62"/>
      <c r="J134" s="62"/>
      <c r="K134" s="62"/>
      <c r="L134" s="62"/>
      <c r="M134" s="62"/>
      <c r="N134" s="62"/>
      <c r="O134" s="53" t="s">
        <v>44</v>
      </c>
      <c r="P134" s="23">
        <f t="shared" ref="P134:Q134" si="220">(1+P133)*(1+O133)-1</f>
        <v>9.8702000000000067E-2</v>
      </c>
      <c r="Q134" s="23">
        <f t="shared" si="220"/>
        <v>8.5008500000000264E-2</v>
      </c>
      <c r="R134" s="23">
        <f t="shared" ref="R134" si="221">(1+R133)*(1+Q133)-1</f>
        <v>3.6516500000000063E-2</v>
      </c>
      <c r="S134" s="23">
        <f t="shared" ref="S134" si="222">(1+S133)*(1+R133)-1</f>
        <v>5.4810080000000205E-2</v>
      </c>
      <c r="T134" s="23">
        <f t="shared" ref="T134" si="223">(1+T133)*(1+S133)-1</f>
        <v>6.0412704768000092E-2</v>
      </c>
      <c r="U134" s="23">
        <f t="shared" ref="U134" si="224">(1+U133)*(1+T133)-1</f>
        <v>6.5672404593868583E-2</v>
      </c>
      <c r="V134" s="23">
        <f t="shared" ref="V134" si="225">(1+V133)*(1+U133)-1</f>
        <v>6.7802325764596993E-2</v>
      </c>
      <c r="W134" s="128">
        <f t="shared" ref="W134" si="226">(1+W133)*(1+V133)-1</f>
        <v>6.8491578974737344E-2</v>
      </c>
      <c r="X134" s="128">
        <f t="shared" ref="X134" si="227">(1+X133)*(1+W133)-1</f>
        <v>6.9187950439024259E-2</v>
      </c>
      <c r="Y134" s="135" t="s">
        <v>4</v>
      </c>
    </row>
    <row r="135" spans="2:25" ht="15" customHeight="1" outlineLevel="3">
      <c r="Y135" s="135" t="s">
        <v>4</v>
      </c>
    </row>
    <row r="136" spans="2:25" ht="15" customHeight="1" outlineLevel="3">
      <c r="B136" s="6" t="s">
        <v>55</v>
      </c>
      <c r="C136" s="1" t="s">
        <v>21</v>
      </c>
      <c r="D136" s="62"/>
      <c r="E136" s="62"/>
      <c r="F136" s="62"/>
      <c r="G136" s="62"/>
      <c r="H136" s="62"/>
      <c r="I136" s="62"/>
      <c r="J136" s="62"/>
      <c r="K136" s="62"/>
      <c r="L136" s="62"/>
      <c r="M136" s="62"/>
      <c r="N136" s="62"/>
      <c r="O136" s="23">
        <f>((1+O130)/(1+O133))-1</f>
        <v>2.8998896502170357E-3</v>
      </c>
      <c r="P136" s="23">
        <f t="shared" ref="P136:Q136" si="228">((1+P130)/(1+P133))-1</f>
        <v>-5.8901661948073114E-3</v>
      </c>
      <c r="Q136" s="23">
        <f t="shared" si="228"/>
        <v>-9.3085279249355279E-3</v>
      </c>
      <c r="R136" s="23">
        <f>R137*R119</f>
        <v>-2.4031821837617571E-2</v>
      </c>
      <c r="S136" s="23">
        <f t="shared" ref="S136:W136" si="229">S137*S119</f>
        <v>1.8386064321637714E-3</v>
      </c>
      <c r="T136" s="23">
        <f t="shared" si="229"/>
        <v>2.1199098451794101E-3</v>
      </c>
      <c r="U136" s="23">
        <f t="shared" si="229"/>
        <v>2.3104230024998365E-3</v>
      </c>
      <c r="V136" s="23">
        <f t="shared" si="229"/>
        <v>2.4151509994730391E-3</v>
      </c>
      <c r="W136" s="128">
        <f t="shared" si="229"/>
        <v>2.5256924464264604E-3</v>
      </c>
      <c r="X136" s="128">
        <f t="shared" ref="X136" si="230">X137*X119</f>
        <v>1.3212210918713808E-2</v>
      </c>
      <c r="Y136" s="135" t="s">
        <v>4</v>
      </c>
    </row>
    <row r="137" spans="2:25" ht="15" customHeight="1" outlineLevel="3">
      <c r="B137" s="59" t="s">
        <v>48</v>
      </c>
      <c r="C137" s="60" t="s">
        <v>21</v>
      </c>
      <c r="D137" s="63"/>
      <c r="E137" s="63"/>
      <c r="F137" s="63"/>
      <c r="G137" s="63"/>
      <c r="H137" s="63"/>
      <c r="I137" s="63"/>
      <c r="J137" s="63"/>
      <c r="K137" s="63"/>
      <c r="L137" s="63"/>
      <c r="M137" s="63"/>
      <c r="N137" s="63"/>
      <c r="O137" s="65">
        <f>O136/O119</f>
        <v>-0.48988363113779637</v>
      </c>
      <c r="P137" s="65">
        <f t="shared" ref="P137:Q137" si="231">P136/P119</f>
        <v>0.177642604136454</v>
      </c>
      <c r="Q137" s="65">
        <f t="shared" si="231"/>
        <v>1.0725826370280602</v>
      </c>
      <c r="R137" s="67">
        <f>((Q108+Q107*R133)/100)*1</f>
        <v>2.9858484605966384</v>
      </c>
      <c r="S137" s="67">
        <f t="shared" ref="S137:X137" si="232">(R108+R107*S133)/100</f>
        <v>3.2290525464874325</v>
      </c>
      <c r="T137" s="67">
        <f t="shared" si="232"/>
        <v>3.7252115754415969</v>
      </c>
      <c r="U137" s="67">
        <f t="shared" si="232"/>
        <v>4.0623012441457744</v>
      </c>
      <c r="V137" s="67">
        <f t="shared" si="232"/>
        <v>4.2488543958227503</v>
      </c>
      <c r="W137" s="67">
        <f t="shared" si="232"/>
        <v>4.4458501288216237</v>
      </c>
      <c r="X137" s="67">
        <f t="shared" si="232"/>
        <v>4.6540012961170971</v>
      </c>
      <c r="Y137" s="135" t="s">
        <v>4</v>
      </c>
    </row>
    <row r="138" spans="2:25" ht="15" customHeight="1" outlineLevel="2">
      <c r="Y138" s="135" t="s">
        <v>4</v>
      </c>
    </row>
    <row r="139" spans="2:25" ht="15" customHeight="1" outlineLevel="1">
      <c r="R139" s="23"/>
      <c r="S139" s="23"/>
      <c r="T139" s="23"/>
      <c r="U139" s="23"/>
      <c r="Y139" s="135" t="s">
        <v>4</v>
      </c>
    </row>
    <row r="140" spans="2:25" ht="15" customHeight="1" outlineLevel="1">
      <c r="B140" s="141" t="s">
        <v>56</v>
      </c>
      <c r="C140" s="138"/>
      <c r="D140" s="139"/>
      <c r="E140" s="139"/>
      <c r="F140" s="139"/>
      <c r="G140" s="139"/>
      <c r="H140" s="139"/>
      <c r="I140" s="139"/>
      <c r="J140" s="139"/>
      <c r="K140" s="139"/>
      <c r="L140" s="139"/>
      <c r="M140" s="142"/>
      <c r="N140" s="142"/>
      <c r="O140" s="142"/>
      <c r="P140" s="142"/>
      <c r="Q140" s="142"/>
      <c r="R140" s="142"/>
      <c r="S140" s="142"/>
      <c r="T140" s="142"/>
      <c r="U140" s="142"/>
      <c r="V140" s="139"/>
      <c r="W140" s="140"/>
      <c r="X140" s="140"/>
      <c r="Y140" s="135" t="s">
        <v>4</v>
      </c>
    </row>
    <row r="141" spans="2:25" ht="15" customHeight="1" outlineLevel="2">
      <c r="M141" s="23"/>
      <c r="N141" s="23"/>
      <c r="O141" s="23"/>
      <c r="P141" s="23"/>
      <c r="Q141" s="23"/>
      <c r="R141" s="23"/>
      <c r="S141" s="23"/>
      <c r="T141" s="23"/>
      <c r="U141" s="23"/>
      <c r="Y141" s="135" t="s">
        <v>4</v>
      </c>
    </row>
    <row r="142" spans="2:25" ht="15" customHeight="1" outlineLevel="2">
      <c r="B142" s="7" t="s">
        <v>25</v>
      </c>
      <c r="C142" s="13" t="s">
        <v>26</v>
      </c>
      <c r="D142" s="71"/>
      <c r="E142" s="75">
        <f>E145+E149</f>
        <v>178.8</v>
      </c>
      <c r="F142" s="75">
        <f t="shared" ref="F142:W142" si="233">F145+F149</f>
        <v>206</v>
      </c>
      <c r="G142" s="75">
        <f t="shared" si="233"/>
        <v>235.59999999999997</v>
      </c>
      <c r="H142" s="75">
        <f t="shared" si="233"/>
        <v>259</v>
      </c>
      <c r="I142" s="75">
        <f t="shared" si="233"/>
        <v>268.90000000000003</v>
      </c>
      <c r="J142" s="75">
        <f t="shared" si="233"/>
        <v>266.40040635611047</v>
      </c>
      <c r="K142" s="75">
        <f t="shared" si="233"/>
        <v>413.70000000000005</v>
      </c>
      <c r="L142" s="75">
        <f t="shared" si="233"/>
        <v>482</v>
      </c>
      <c r="M142" s="75">
        <f t="shared" si="233"/>
        <v>556</v>
      </c>
      <c r="N142" s="75">
        <f t="shared" si="233"/>
        <v>559</v>
      </c>
      <c r="O142" s="75">
        <f t="shared" si="233"/>
        <v>619</v>
      </c>
      <c r="P142" s="75">
        <f t="shared" si="233"/>
        <v>692</v>
      </c>
      <c r="Q142" s="75">
        <f t="shared" si="233"/>
        <v>768</v>
      </c>
      <c r="R142" s="75">
        <f t="shared" si="233"/>
        <v>741.51022390655544</v>
      </c>
      <c r="S142" s="75">
        <f t="shared" si="233"/>
        <v>781.97392991387346</v>
      </c>
      <c r="T142" s="75">
        <f t="shared" si="233"/>
        <v>820.46808837665367</v>
      </c>
      <c r="U142" s="75">
        <f t="shared" si="233"/>
        <v>858.12679119284917</v>
      </c>
      <c r="V142" s="75">
        <f t="shared" si="233"/>
        <v>891.11337204097504</v>
      </c>
      <c r="W142" s="112">
        <f t="shared" si="233"/>
        <v>926.33292132497866</v>
      </c>
      <c r="X142" s="112">
        <f t="shared" ref="X142" si="234">X145+X149</f>
        <v>963.71534869412756</v>
      </c>
      <c r="Y142" s="135" t="s">
        <v>4</v>
      </c>
    </row>
    <row r="143" spans="2:25" ht="15" customHeight="1" outlineLevel="2">
      <c r="B143" s="6" t="s">
        <v>27</v>
      </c>
      <c r="C143" s="1" t="s">
        <v>21</v>
      </c>
      <c r="D143" s="72"/>
      <c r="E143" s="24" t="str">
        <f t="shared" ref="E143:Q143" si="235">IFERROR(E142/D142-1,"n.m.")</f>
        <v>n.m.</v>
      </c>
      <c r="F143" s="24">
        <f t="shared" si="235"/>
        <v>0.15212527964205802</v>
      </c>
      <c r="G143" s="24">
        <f t="shared" si="235"/>
        <v>0.14368932038834936</v>
      </c>
      <c r="H143" s="24">
        <f t="shared" si="235"/>
        <v>9.9320882852292236E-2</v>
      </c>
      <c r="I143" s="24">
        <f t="shared" si="235"/>
        <v>3.8223938223938436E-2</v>
      </c>
      <c r="J143" s="24">
        <f t="shared" si="235"/>
        <v>-9.2956253026759139E-3</v>
      </c>
      <c r="K143" s="24">
        <f t="shared" si="235"/>
        <v>0.55292555915619368</v>
      </c>
      <c r="L143" s="24">
        <f t="shared" si="235"/>
        <v>0.1650954798162918</v>
      </c>
      <c r="M143" s="24">
        <f t="shared" si="235"/>
        <v>0.15352697095435675</v>
      </c>
      <c r="N143" s="24">
        <f t="shared" si="235"/>
        <v>5.3956834532373765E-3</v>
      </c>
      <c r="O143" s="24">
        <f t="shared" si="235"/>
        <v>0.10733452593917714</v>
      </c>
      <c r="P143" s="24">
        <f t="shared" si="235"/>
        <v>0.11793214862681745</v>
      </c>
      <c r="Q143" s="24">
        <f t="shared" si="235"/>
        <v>0.10982658959537561</v>
      </c>
      <c r="R143" s="24">
        <f t="shared" ref="R143" si="236">IFERROR(R142/Q142-1,"n.m.")</f>
        <v>-3.4491895955005902E-2</v>
      </c>
      <c r="S143" s="24">
        <f t="shared" ref="S143" si="237">IFERROR(S142/R142-1,"n.m.")</f>
        <v>5.4569316379941446E-2</v>
      </c>
      <c r="T143" s="24">
        <f t="shared" ref="T143" si="238">IFERROR(T142/S142-1,"n.m.")</f>
        <v>4.9226907688623367E-2</v>
      </c>
      <c r="U143" s="24">
        <f t="shared" ref="U143" si="239">IFERROR(U142/T142-1,"n.m.")</f>
        <v>4.5899046348902628E-2</v>
      </c>
      <c r="V143" s="24">
        <f t="shared" ref="V143" si="240">IFERROR(V142/U142-1,"n.m.")</f>
        <v>3.8440217910307162E-2</v>
      </c>
      <c r="W143" s="113">
        <f t="shared" ref="W143" si="241">IFERROR(W142/V142-1,"n.m.")</f>
        <v>3.9523084703956268E-2</v>
      </c>
      <c r="X143" s="113">
        <f t="shared" ref="X143" si="242">IFERROR(X142/W142-1,"n.m.")</f>
        <v>4.0355283190927738E-2</v>
      </c>
      <c r="Y143" s="135" t="s">
        <v>4</v>
      </c>
    </row>
    <row r="144" spans="2:25" ht="15" customHeight="1" outlineLevel="2">
      <c r="Y144" s="135" t="s">
        <v>4</v>
      </c>
    </row>
    <row r="145" spans="2:25" ht="15" customHeight="1" outlineLevel="3">
      <c r="B145" s="17" t="s">
        <v>50</v>
      </c>
      <c r="C145" s="15" t="s">
        <v>26</v>
      </c>
      <c r="D145" s="44"/>
      <c r="E145" s="36">
        <f>E167</f>
        <v>64</v>
      </c>
      <c r="F145" s="36">
        <f t="shared" ref="F145:W145" si="243">F167</f>
        <v>78.599999999999994</v>
      </c>
      <c r="G145" s="36">
        <f t="shared" si="243"/>
        <v>97.2</v>
      </c>
      <c r="H145" s="36">
        <f t="shared" si="243"/>
        <v>109.5</v>
      </c>
      <c r="I145" s="36">
        <f t="shared" si="243"/>
        <v>108.30000000000001</v>
      </c>
      <c r="J145" s="36">
        <f t="shared" si="243"/>
        <v>90.908832653061225</v>
      </c>
      <c r="K145" s="36">
        <f t="shared" si="243"/>
        <v>78.900000000000006</v>
      </c>
      <c r="L145" s="36">
        <f t="shared" si="243"/>
        <v>82</v>
      </c>
      <c r="M145" s="36">
        <f t="shared" si="243"/>
        <v>73</v>
      </c>
      <c r="N145" s="36">
        <f t="shared" si="243"/>
        <v>64</v>
      </c>
      <c r="O145" s="36">
        <f t="shared" si="243"/>
        <v>78</v>
      </c>
      <c r="P145" s="36">
        <f t="shared" si="243"/>
        <v>89</v>
      </c>
      <c r="Q145" s="36">
        <f t="shared" si="243"/>
        <v>148</v>
      </c>
      <c r="R145" s="36">
        <f>R167</f>
        <v>168.11154302873288</v>
      </c>
      <c r="S145" s="36">
        <f t="shared" si="243"/>
        <v>170.9837287413788</v>
      </c>
      <c r="T145" s="36">
        <f t="shared" si="243"/>
        <v>173.97801717206394</v>
      </c>
      <c r="U145" s="36">
        <f t="shared" si="243"/>
        <v>177.13137732347221</v>
      </c>
      <c r="V145" s="36">
        <f t="shared" si="243"/>
        <v>180.35794485812113</v>
      </c>
      <c r="W145" s="120">
        <f t="shared" si="243"/>
        <v>183.65971320532176</v>
      </c>
      <c r="X145" s="120">
        <f t="shared" ref="X145" si="244">X167</f>
        <v>187.03873727512516</v>
      </c>
      <c r="Y145" s="135" t="s">
        <v>4</v>
      </c>
    </row>
    <row r="146" spans="2:25" ht="15" customHeight="1" outlineLevel="3">
      <c r="B146" s="18" t="s">
        <v>27</v>
      </c>
      <c r="C146" s="1" t="s">
        <v>21</v>
      </c>
      <c r="D146" s="72"/>
      <c r="E146" s="24" t="str">
        <f t="shared" ref="E146:Q146" si="245">IFERROR(E145/D145-1,"n.m.")</f>
        <v>n.m.</v>
      </c>
      <c r="F146" s="24">
        <f t="shared" si="245"/>
        <v>0.22812499999999991</v>
      </c>
      <c r="G146" s="24">
        <f t="shared" si="245"/>
        <v>0.23664122137404586</v>
      </c>
      <c r="H146" s="24">
        <f t="shared" si="245"/>
        <v>0.12654320987654311</v>
      </c>
      <c r="I146" s="24">
        <f t="shared" si="245"/>
        <v>-1.0958904109588885E-2</v>
      </c>
      <c r="J146" s="24">
        <f t="shared" si="245"/>
        <v>-0.1605832626679482</v>
      </c>
      <c r="K146" s="24">
        <f t="shared" si="245"/>
        <v>-0.13209753444850592</v>
      </c>
      <c r="L146" s="24">
        <f t="shared" si="245"/>
        <v>3.9290240811153287E-2</v>
      </c>
      <c r="M146" s="24">
        <f t="shared" si="245"/>
        <v>-0.1097560975609756</v>
      </c>
      <c r="N146" s="24">
        <f t="shared" si="245"/>
        <v>-0.12328767123287676</v>
      </c>
      <c r="O146" s="24">
        <f t="shared" si="245"/>
        <v>0.21875</v>
      </c>
      <c r="P146" s="24">
        <f t="shared" si="245"/>
        <v>0.14102564102564097</v>
      </c>
      <c r="Q146" s="24">
        <f t="shared" si="245"/>
        <v>0.66292134831460681</v>
      </c>
      <c r="R146" s="24">
        <f t="shared" ref="R146:W146" si="246">IFERROR(R145/Q145-1,"n.m.")</f>
        <v>0.13588880424819516</v>
      </c>
      <c r="S146" s="24">
        <f t="shared" si="246"/>
        <v>1.7085000000000017E-2</v>
      </c>
      <c r="T146" s="24">
        <f t="shared" si="246"/>
        <v>1.7512125000000101E-2</v>
      </c>
      <c r="U146" s="24">
        <f t="shared" si="246"/>
        <v>1.8125049375000035E-2</v>
      </c>
      <c r="V146" s="24">
        <f t="shared" si="246"/>
        <v>1.82156746218749E-2</v>
      </c>
      <c r="W146" s="113">
        <f t="shared" si="246"/>
        <v>1.8306752994984299E-2</v>
      </c>
      <c r="X146" s="113">
        <f t="shared" ref="X146" si="247">IFERROR(X145/W145-1,"n.m.")</f>
        <v>1.8398286759959248E-2</v>
      </c>
      <c r="Y146" s="135" t="s">
        <v>4</v>
      </c>
    </row>
    <row r="147" spans="2:25" ht="15" customHeight="1" outlineLevel="3">
      <c r="B147" s="18" t="s">
        <v>29</v>
      </c>
      <c r="C147" s="1" t="s">
        <v>21</v>
      </c>
      <c r="D147" s="106"/>
      <c r="E147" s="97">
        <f t="shared" ref="E147:V147" si="248">E145/E$142</f>
        <v>0.35794183445190153</v>
      </c>
      <c r="F147" s="97">
        <f t="shared" si="248"/>
        <v>0.38155339805825239</v>
      </c>
      <c r="G147" s="97">
        <f t="shared" si="248"/>
        <v>0.41256366723259769</v>
      </c>
      <c r="H147" s="97">
        <f t="shared" si="248"/>
        <v>0.42277992277992277</v>
      </c>
      <c r="I147" s="97">
        <f t="shared" si="248"/>
        <v>0.40275195239866118</v>
      </c>
      <c r="J147" s="97">
        <f t="shared" si="248"/>
        <v>0.3412488512931881</v>
      </c>
      <c r="K147" s="97">
        <f t="shared" si="248"/>
        <v>0.19071791153009426</v>
      </c>
      <c r="L147" s="97">
        <f t="shared" si="248"/>
        <v>0.17012448132780084</v>
      </c>
      <c r="M147" s="97">
        <f t="shared" si="248"/>
        <v>0.13129496402877697</v>
      </c>
      <c r="N147" s="97">
        <f t="shared" si="248"/>
        <v>0.11449016100178891</v>
      </c>
      <c r="O147" s="97">
        <f t="shared" si="248"/>
        <v>0.12600969305331181</v>
      </c>
      <c r="P147" s="97">
        <f t="shared" si="248"/>
        <v>0.12861271676300579</v>
      </c>
      <c r="Q147" s="97">
        <f t="shared" si="248"/>
        <v>0.19270833333333334</v>
      </c>
      <c r="R147" s="97">
        <f t="shared" si="248"/>
        <v>0.22671507095756266</v>
      </c>
      <c r="S147" s="97">
        <f t="shared" si="248"/>
        <v>0.21865655899834274</v>
      </c>
      <c r="T147" s="97">
        <f t="shared" si="248"/>
        <v>0.21204726867109494</v>
      </c>
      <c r="U147" s="97">
        <f t="shared" si="248"/>
        <v>0.20641632348670605</v>
      </c>
      <c r="V147" s="97">
        <f t="shared" si="248"/>
        <v>0.20239618270460422</v>
      </c>
      <c r="W147" s="97">
        <f>W145/W$142</f>
        <v>0.19826534173332025</v>
      </c>
      <c r="X147" s="97">
        <f t="shared" ref="X147" si="249">X145/X$142</f>
        <v>0.19408089487063795</v>
      </c>
      <c r="Y147" s="135" t="s">
        <v>4</v>
      </c>
    </row>
    <row r="148" spans="2:25" ht="15" customHeight="1" outlineLevel="3">
      <c r="D148" s="40"/>
      <c r="E148" s="40"/>
      <c r="F148" s="40"/>
      <c r="G148" s="40"/>
      <c r="H148" s="40"/>
      <c r="I148" s="40"/>
      <c r="J148" s="40"/>
      <c r="K148" s="40"/>
      <c r="L148" s="40"/>
      <c r="M148" s="40"/>
      <c r="N148" s="40"/>
      <c r="O148" s="40"/>
      <c r="P148" s="40"/>
      <c r="Q148" s="40"/>
      <c r="R148" s="40"/>
      <c r="S148" s="40"/>
      <c r="T148" s="40"/>
      <c r="U148" s="40"/>
      <c r="V148" s="40"/>
      <c r="W148" s="130"/>
      <c r="X148" s="130"/>
      <c r="Y148" s="135" t="s">
        <v>4</v>
      </c>
    </row>
    <row r="149" spans="2:25" ht="15" customHeight="1" outlineLevel="3">
      <c r="B149" s="6" t="s">
        <v>51</v>
      </c>
      <c r="C149" s="1" t="s">
        <v>26</v>
      </c>
      <c r="D149" s="4"/>
      <c r="E149" s="109">
        <v>114.8</v>
      </c>
      <c r="F149" s="109">
        <v>127.4</v>
      </c>
      <c r="G149" s="109">
        <v>138.39999999999998</v>
      </c>
      <c r="H149" s="109">
        <v>149.5</v>
      </c>
      <c r="I149" s="109">
        <v>160.60000000000002</v>
      </c>
      <c r="J149" s="109">
        <v>175.49157370304923</v>
      </c>
      <c r="K149" s="109">
        <v>334.8</v>
      </c>
      <c r="L149" s="109">
        <v>400</v>
      </c>
      <c r="M149" s="110">
        <f>M154+M159</f>
        <v>483</v>
      </c>
      <c r="N149" s="110">
        <f t="shared" ref="N149:W149" si="250">N154+N159</f>
        <v>495</v>
      </c>
      <c r="O149" s="110">
        <f t="shared" si="250"/>
        <v>541</v>
      </c>
      <c r="P149" s="110">
        <f t="shared" si="250"/>
        <v>603</v>
      </c>
      <c r="Q149" s="110">
        <f t="shared" si="250"/>
        <v>620</v>
      </c>
      <c r="R149" s="110">
        <f t="shared" si="250"/>
        <v>573.39868087782258</v>
      </c>
      <c r="S149" s="110">
        <f t="shared" si="250"/>
        <v>610.99020117249461</v>
      </c>
      <c r="T149" s="110">
        <f t="shared" si="250"/>
        <v>646.49007120458975</v>
      </c>
      <c r="U149" s="110">
        <f t="shared" si="250"/>
        <v>680.99541386937699</v>
      </c>
      <c r="V149" s="110">
        <f t="shared" si="250"/>
        <v>710.75542718285385</v>
      </c>
      <c r="W149" s="110">
        <f t="shared" si="250"/>
        <v>742.67320811965692</v>
      </c>
      <c r="X149" s="110">
        <f t="shared" ref="X149" si="251">X154+X159</f>
        <v>776.67661141900237</v>
      </c>
      <c r="Y149" s="135" t="s">
        <v>4</v>
      </c>
    </row>
    <row r="150" spans="2:25" ht="15" customHeight="1" outlineLevel="3">
      <c r="B150" s="18" t="s">
        <v>27</v>
      </c>
      <c r="C150" s="1" t="s">
        <v>21</v>
      </c>
      <c r="D150" s="45"/>
      <c r="E150" s="24" t="str">
        <f t="shared" ref="E150:Q150" si="252">IFERROR(E149/D149-1,"n.m.")</f>
        <v>n.m.</v>
      </c>
      <c r="F150" s="24">
        <f t="shared" si="252"/>
        <v>0.10975609756097571</v>
      </c>
      <c r="G150" s="24">
        <f t="shared" si="252"/>
        <v>8.6342229199371845E-2</v>
      </c>
      <c r="H150" s="24">
        <f t="shared" si="252"/>
        <v>8.0202312138728526E-2</v>
      </c>
      <c r="I150" s="24">
        <f t="shared" si="252"/>
        <v>7.424749163879607E-2</v>
      </c>
      <c r="J150" s="24">
        <f t="shared" si="252"/>
        <v>9.2724618325337405E-2</v>
      </c>
      <c r="K150" s="24">
        <f t="shared" si="252"/>
        <v>0.907783906288959</v>
      </c>
      <c r="L150" s="24">
        <f t="shared" si="252"/>
        <v>0.19474313022700107</v>
      </c>
      <c r="M150" s="24">
        <f t="shared" si="252"/>
        <v>0.20750000000000002</v>
      </c>
      <c r="N150" s="24">
        <f t="shared" si="252"/>
        <v>2.4844720496894457E-2</v>
      </c>
      <c r="O150" s="24">
        <f t="shared" si="252"/>
        <v>9.2929292929292862E-2</v>
      </c>
      <c r="P150" s="24">
        <f t="shared" si="252"/>
        <v>0.11460258780036958</v>
      </c>
      <c r="Q150" s="24">
        <f t="shared" si="252"/>
        <v>2.8192371475953548E-2</v>
      </c>
      <c r="R150" s="24">
        <f t="shared" ref="R150" si="253">IFERROR(R149/Q149-1,"n.m.")</f>
        <v>-7.5163417938995836E-2</v>
      </c>
      <c r="S150" s="24">
        <f t="shared" ref="S150" si="254">IFERROR(S149/R149-1,"n.m.")</f>
        <v>6.5559132848235224E-2</v>
      </c>
      <c r="T150" s="24">
        <f t="shared" ref="T150" si="255">IFERROR(T149/S149-1,"n.m.")</f>
        <v>5.8102192087484683E-2</v>
      </c>
      <c r="U150" s="24">
        <f t="shared" ref="U150" si="256">IFERROR(U149/T149-1,"n.m.")</f>
        <v>5.3373352819625186E-2</v>
      </c>
      <c r="V150" s="24">
        <f t="shared" ref="V150" si="257">IFERROR(V149/U149-1,"n.m.")</f>
        <v>4.3700754377158146E-2</v>
      </c>
      <c r="W150" s="113">
        <f t="shared" ref="W150" si="258">IFERROR(W149/V149-1,"n.m.")</f>
        <v>4.4906840969631601E-2</v>
      </c>
      <c r="X150" s="113">
        <f t="shared" ref="X150" si="259">IFERROR(X149/W149-1,"n.m.")</f>
        <v>4.5785148740503656E-2</v>
      </c>
      <c r="Y150" s="135" t="s">
        <v>4</v>
      </c>
    </row>
    <row r="151" spans="2:25" ht="15" customHeight="1" outlineLevel="3">
      <c r="B151" s="18" t="s">
        <v>29</v>
      </c>
      <c r="C151" s="1" t="s">
        <v>21</v>
      </c>
      <c r="D151" s="45"/>
      <c r="E151" s="97">
        <f t="shared" ref="E151:V151" si="260">E149/E$142</f>
        <v>0.64205816554809836</v>
      </c>
      <c r="F151" s="97">
        <f t="shared" si="260"/>
        <v>0.61844660194174761</v>
      </c>
      <c r="G151" s="97">
        <f t="shared" si="260"/>
        <v>0.58743633276740237</v>
      </c>
      <c r="H151" s="97">
        <f t="shared" si="260"/>
        <v>0.57722007722007718</v>
      </c>
      <c r="I151" s="97">
        <f t="shared" si="260"/>
        <v>0.59724804760133876</v>
      </c>
      <c r="J151" s="97">
        <f t="shared" si="260"/>
        <v>0.65875114870681184</v>
      </c>
      <c r="K151" s="97">
        <f t="shared" si="260"/>
        <v>0.80928208846990568</v>
      </c>
      <c r="L151" s="97">
        <f t="shared" si="260"/>
        <v>0.82987551867219922</v>
      </c>
      <c r="M151" s="97">
        <f t="shared" si="260"/>
        <v>0.86870503597122306</v>
      </c>
      <c r="N151" s="97">
        <f t="shared" si="260"/>
        <v>0.88550983899821112</v>
      </c>
      <c r="O151" s="97">
        <f t="shared" si="260"/>
        <v>0.87399030694668822</v>
      </c>
      <c r="P151" s="97">
        <f t="shared" si="260"/>
        <v>0.87138728323699421</v>
      </c>
      <c r="Q151" s="97">
        <f t="shared" si="260"/>
        <v>0.80729166666666663</v>
      </c>
      <c r="R151" s="97">
        <f t="shared" si="260"/>
        <v>0.7732849290424374</v>
      </c>
      <c r="S151" s="97">
        <f t="shared" si="260"/>
        <v>0.7813434410016572</v>
      </c>
      <c r="T151" s="97">
        <f t="shared" si="260"/>
        <v>0.78795273132890509</v>
      </c>
      <c r="U151" s="97">
        <f t="shared" si="260"/>
        <v>0.79358367651329398</v>
      </c>
      <c r="V151" s="97">
        <f t="shared" si="260"/>
        <v>0.79760381729539576</v>
      </c>
      <c r="W151" s="97">
        <f>W149/W$142</f>
        <v>0.80173465826667978</v>
      </c>
      <c r="X151" s="97">
        <f t="shared" ref="X151" si="261">X149/X$142</f>
        <v>0.80591910512936205</v>
      </c>
    </row>
    <row r="152" spans="2:25" ht="15" customHeight="1" outlineLevel="3">
      <c r="B152" s="18" t="s">
        <v>32</v>
      </c>
      <c r="C152" s="1" t="s">
        <v>21</v>
      </c>
      <c r="D152" s="89"/>
      <c r="E152" s="87">
        <f>E149/E$171</f>
        <v>5.2444038373686615E-2</v>
      </c>
      <c r="F152" s="87">
        <f t="shared" ref="F152:W152" si="262">F149/F$171</f>
        <v>5.4028837998303651E-2</v>
      </c>
      <c r="G152" s="87">
        <f t="shared" si="262"/>
        <v>5.2424242424242415E-2</v>
      </c>
      <c r="H152" s="87">
        <f t="shared" si="262"/>
        <v>5.0677966101694914E-2</v>
      </c>
      <c r="I152" s="87">
        <f t="shared" si="262"/>
        <v>5.053492762743865E-2</v>
      </c>
      <c r="J152" s="87">
        <f t="shared" si="262"/>
        <v>5.1304457363480563E-2</v>
      </c>
      <c r="K152" s="87">
        <f t="shared" si="262"/>
        <v>9.165571616294349E-2</v>
      </c>
      <c r="L152" s="87">
        <f t="shared" si="262"/>
        <v>9.2699884125144849E-2</v>
      </c>
      <c r="M152" s="87">
        <f t="shared" si="262"/>
        <v>9.5266272189349119E-2</v>
      </c>
      <c r="N152" s="87">
        <f t="shared" si="262"/>
        <v>9.8566308243727599E-2</v>
      </c>
      <c r="O152" s="87">
        <f t="shared" si="262"/>
        <v>0.10285171102661597</v>
      </c>
      <c r="P152" s="87">
        <f t="shared" si="262"/>
        <v>0.10403510987039541</v>
      </c>
      <c r="Q152" s="87">
        <f t="shared" si="262"/>
        <v>0.1037483266398929</v>
      </c>
      <c r="R152" s="87">
        <f t="shared" si="262"/>
        <v>9.4048326639892904E-2</v>
      </c>
      <c r="S152" s="87">
        <f t="shared" si="262"/>
        <v>9.5791902374729287E-2</v>
      </c>
      <c r="T152" s="87">
        <f t="shared" si="262"/>
        <v>9.6000904367569737E-2</v>
      </c>
      <c r="U152" s="87">
        <f t="shared" si="262"/>
        <v>9.6095730971443069E-2</v>
      </c>
      <c r="V152" s="87">
        <f t="shared" si="262"/>
        <v>9.597058068918235E-2</v>
      </c>
      <c r="W152" s="123">
        <f t="shared" si="262"/>
        <v>9.5825961947118385E-2</v>
      </c>
      <c r="X152" s="123">
        <f t="shared" ref="X152" si="263">X149/X$171</f>
        <v>9.562223449832262E-2</v>
      </c>
      <c r="Y152" s="135" t="s">
        <v>4</v>
      </c>
    </row>
    <row r="153" spans="2:25" ht="15" customHeight="1" outlineLevel="4">
      <c r="Y153" s="135" t="s">
        <v>4</v>
      </c>
    </row>
    <row r="154" spans="2:25" ht="15" customHeight="1" outlineLevel="4">
      <c r="B154" s="18" t="s">
        <v>52</v>
      </c>
      <c r="C154" s="1" t="s">
        <v>26</v>
      </c>
      <c r="D154" s="72"/>
      <c r="E154" s="72"/>
      <c r="F154" s="72"/>
      <c r="G154" s="72"/>
      <c r="H154" s="72"/>
      <c r="I154" s="72"/>
      <c r="J154" s="72"/>
      <c r="K154" s="72"/>
      <c r="L154" s="72"/>
      <c r="M154" s="29">
        <v>263</v>
      </c>
      <c r="N154" s="29">
        <v>265</v>
      </c>
      <c r="O154" s="29">
        <v>285</v>
      </c>
      <c r="P154" s="29">
        <v>314</v>
      </c>
      <c r="Q154" s="29">
        <v>325</v>
      </c>
      <c r="R154" s="42">
        <f>R157*R$171</f>
        <v>313.28185781063797</v>
      </c>
      <c r="S154" s="42">
        <f t="shared" ref="S154:W154" si="264">S157*S$171</f>
        <v>338.86530808938193</v>
      </c>
      <c r="T154" s="42">
        <f t="shared" si="264"/>
        <v>359.18098593250073</v>
      </c>
      <c r="U154" s="42">
        <f t="shared" si="264"/>
        <v>378.65032616846469</v>
      </c>
      <c r="V154" s="42">
        <f t="shared" si="264"/>
        <v>394.78612842783474</v>
      </c>
      <c r="W154" s="42">
        <f t="shared" si="264"/>
        <v>412.01645733412306</v>
      </c>
      <c r="X154" s="42">
        <f t="shared" ref="X154" si="265">X157*X$171</f>
        <v>430.1439584395074</v>
      </c>
      <c r="Y154" s="135" t="s">
        <v>4</v>
      </c>
    </row>
    <row r="155" spans="2:25" ht="15" customHeight="1" outlineLevel="4">
      <c r="B155" s="77" t="s">
        <v>27</v>
      </c>
      <c r="C155" s="1" t="s">
        <v>21</v>
      </c>
      <c r="D155" s="72"/>
      <c r="E155" s="72"/>
      <c r="F155" s="72"/>
      <c r="G155" s="72"/>
      <c r="H155" s="72"/>
      <c r="I155" s="72"/>
      <c r="J155" s="72"/>
      <c r="K155" s="72"/>
      <c r="L155" s="72"/>
      <c r="M155" s="24" t="str">
        <f>IFERROR(M154/L154-1,"n.m.")</f>
        <v>n.m.</v>
      </c>
      <c r="N155" s="24">
        <f>IFERROR(N154/M154-1,"n.m.")</f>
        <v>7.6045627376426506E-3</v>
      </c>
      <c r="O155" s="24">
        <f>IFERROR(O154/N154-1,"n.m.")</f>
        <v>7.547169811320753E-2</v>
      </c>
      <c r="P155" s="24">
        <f>IFERROR(P154/O154-1,"n.m.")</f>
        <v>0.10175438596491237</v>
      </c>
      <c r="Q155" s="24">
        <f>IFERROR(Q154/P154-1,"n.m.")</f>
        <v>3.5031847133758065E-2</v>
      </c>
      <c r="R155" s="24">
        <f t="shared" ref="R155" si="266">IFERROR(R154/Q154-1,"n.m.")</f>
        <v>-3.6055822121113912E-2</v>
      </c>
      <c r="S155" s="24">
        <f t="shared" ref="S155" si="267">IFERROR(S154/R154-1,"n.m.")</f>
        <v>8.1662725245353229E-2</v>
      </c>
      <c r="T155" s="24">
        <f t="shared" ref="T155" si="268">IFERROR(T154/S154-1,"n.m.")</f>
        <v>5.9952073458520605E-2</v>
      </c>
      <c r="U155" s="24">
        <f t="shared" ref="U155" si="269">IFERROR(U154/T154-1,"n.m.")</f>
        <v>5.4204818736208749E-2</v>
      </c>
      <c r="V155" s="24">
        <f t="shared" ref="V155" si="270">IFERROR(V154/U154-1,"n.m.")</f>
        <v>4.2613992763843811E-2</v>
      </c>
      <c r="W155" s="113">
        <f t="shared" ref="W155" si="271">IFERROR(W154/V154-1,"n.m.")</f>
        <v>4.3644717140657985E-2</v>
      </c>
      <c r="X155" s="113">
        <f t="shared" ref="X155" si="272">IFERROR(X154/W154-1,"n.m.")</f>
        <v>4.3997031629937844E-2</v>
      </c>
      <c r="Y155" s="135" t="s">
        <v>4</v>
      </c>
    </row>
    <row r="156" spans="2:25" ht="15" customHeight="1" outlineLevel="4">
      <c r="B156" s="77" t="s">
        <v>29</v>
      </c>
      <c r="C156" s="1" t="s">
        <v>21</v>
      </c>
      <c r="D156" s="72"/>
      <c r="E156" s="72"/>
      <c r="F156" s="72"/>
      <c r="G156" s="72"/>
      <c r="H156" s="72"/>
      <c r="I156" s="72"/>
      <c r="J156" s="72"/>
      <c r="K156" s="72"/>
      <c r="L156" s="72"/>
      <c r="M156" s="97">
        <f t="shared" ref="M156:V156" si="273">M154/M$142</f>
        <v>0.47302158273381295</v>
      </c>
      <c r="N156" s="97">
        <f t="shared" si="273"/>
        <v>0.4740608228980322</v>
      </c>
      <c r="O156" s="97">
        <f t="shared" si="273"/>
        <v>0.4604200323101777</v>
      </c>
      <c r="P156" s="97">
        <f t="shared" si="273"/>
        <v>0.45375722543352603</v>
      </c>
      <c r="Q156" s="97">
        <f t="shared" si="273"/>
        <v>0.42317708333333331</v>
      </c>
      <c r="R156" s="97">
        <f t="shared" si="273"/>
        <v>0.42249162278592872</v>
      </c>
      <c r="S156" s="97">
        <f t="shared" si="273"/>
        <v>0.43334604278521732</v>
      </c>
      <c r="T156" s="97">
        <f t="shared" si="273"/>
        <v>0.43777569295006014</v>
      </c>
      <c r="U156" s="97">
        <f t="shared" si="273"/>
        <v>0.44125219029942808</v>
      </c>
      <c r="V156" s="97">
        <f t="shared" si="273"/>
        <v>0.44302570336659897</v>
      </c>
      <c r="W156" s="97">
        <f>W154/W$142</f>
        <v>0.44478226763742357</v>
      </c>
      <c r="X156" s="97">
        <f t="shared" ref="X156" si="274">X154/X$142</f>
        <v>0.44633922145410415</v>
      </c>
    </row>
    <row r="157" spans="2:25" ht="15" customHeight="1" outlineLevel="4">
      <c r="B157" s="77" t="s">
        <v>32</v>
      </c>
      <c r="C157" s="1" t="s">
        <v>21</v>
      </c>
      <c r="D157" s="72"/>
      <c r="E157" s="72"/>
      <c r="F157" s="72"/>
      <c r="G157" s="72"/>
      <c r="H157" s="72"/>
      <c r="I157" s="72"/>
      <c r="J157" s="72"/>
      <c r="K157" s="72"/>
      <c r="L157" s="72"/>
      <c r="M157" s="87">
        <f t="shared" ref="M157:Q157" si="275">M154/M$171</f>
        <v>5.1873767258382643E-2</v>
      </c>
      <c r="N157" s="87">
        <f t="shared" si="275"/>
        <v>5.2767821585025888E-2</v>
      </c>
      <c r="O157" s="87">
        <f t="shared" si="275"/>
        <v>5.418250950570342E-2</v>
      </c>
      <c r="P157" s="87">
        <f t="shared" si="275"/>
        <v>5.4174169982262287E-2</v>
      </c>
      <c r="Q157" s="87">
        <f t="shared" si="275"/>
        <v>5.4384203480589026E-2</v>
      </c>
      <c r="R157" s="136">
        <f>Q157-0.3%</f>
        <v>5.1384203480589023E-2</v>
      </c>
      <c r="S157" s="136">
        <f>AVERAGE(M157:R157)</f>
        <v>5.3127779215425386E-2</v>
      </c>
      <c r="T157" s="136">
        <f t="shared" ref="T157:X157" si="276">AVERAGE(N157:S157)</f>
        <v>5.3336781208265842E-2</v>
      </c>
      <c r="U157" s="136">
        <f t="shared" si="276"/>
        <v>5.3431607812139174E-2</v>
      </c>
      <c r="V157" s="136">
        <f t="shared" si="276"/>
        <v>5.3306457529878455E-2</v>
      </c>
      <c r="W157" s="136">
        <f t="shared" si="276"/>
        <v>5.316183878781449E-2</v>
      </c>
      <c r="X157" s="136">
        <f t="shared" si="276"/>
        <v>5.2958111339018732E-2</v>
      </c>
      <c r="Y157" s="135" t="s">
        <v>4</v>
      </c>
    </row>
    <row r="158" spans="2:25" ht="15" customHeight="1" outlineLevel="4">
      <c r="B158" s="6"/>
      <c r="Y158" s="135" t="s">
        <v>4</v>
      </c>
    </row>
    <row r="159" spans="2:25" ht="15" customHeight="1" outlineLevel="4">
      <c r="B159" s="18" t="s">
        <v>53</v>
      </c>
      <c r="C159" s="1" t="s">
        <v>26</v>
      </c>
      <c r="D159" s="72"/>
      <c r="E159" s="72"/>
      <c r="F159" s="72"/>
      <c r="G159" s="72"/>
      <c r="H159" s="72"/>
      <c r="I159" s="72"/>
      <c r="J159" s="72"/>
      <c r="K159" s="72"/>
      <c r="L159" s="72"/>
      <c r="M159" s="82">
        <v>220</v>
      </c>
      <c r="N159" s="82">
        <v>230</v>
      </c>
      <c r="O159" s="82">
        <v>256</v>
      </c>
      <c r="P159" s="82">
        <v>289</v>
      </c>
      <c r="Q159" s="82">
        <v>295</v>
      </c>
      <c r="R159" s="42">
        <f>R162*R$171</f>
        <v>260.11682306718461</v>
      </c>
      <c r="S159" s="42">
        <f t="shared" ref="S159:W159" si="277">S162*S$171</f>
        <v>272.12489308311262</v>
      </c>
      <c r="T159" s="42">
        <f t="shared" si="277"/>
        <v>287.30908527208902</v>
      </c>
      <c r="U159" s="42">
        <f t="shared" si="277"/>
        <v>302.34508770091225</v>
      </c>
      <c r="V159" s="42">
        <f t="shared" si="277"/>
        <v>315.96929875501911</v>
      </c>
      <c r="W159" s="122">
        <f t="shared" si="277"/>
        <v>330.6567507855338</v>
      </c>
      <c r="X159" s="122">
        <f t="shared" ref="X159" si="278">X162*X$171</f>
        <v>346.53265297949497</v>
      </c>
      <c r="Y159" s="135" t="s">
        <v>4</v>
      </c>
    </row>
    <row r="160" spans="2:25" ht="15" customHeight="1" outlineLevel="4">
      <c r="B160" s="77" t="s">
        <v>27</v>
      </c>
      <c r="C160" s="1" t="s">
        <v>21</v>
      </c>
      <c r="D160" s="72"/>
      <c r="E160" s="72"/>
      <c r="F160" s="72"/>
      <c r="G160" s="72"/>
      <c r="H160" s="72"/>
      <c r="I160" s="72"/>
      <c r="J160" s="72"/>
      <c r="K160" s="72"/>
      <c r="L160" s="72"/>
      <c r="M160" s="24" t="str">
        <f t="shared" ref="M160:R160" si="279">IFERROR(M159/L159-1,"n.m.")</f>
        <v>n.m.</v>
      </c>
      <c r="N160" s="24">
        <f t="shared" si="279"/>
        <v>4.5454545454545414E-2</v>
      </c>
      <c r="O160" s="24">
        <f t="shared" si="279"/>
        <v>0.11304347826086958</v>
      </c>
      <c r="P160" s="24">
        <f t="shared" si="279"/>
        <v>0.12890625</v>
      </c>
      <c r="Q160" s="24">
        <f t="shared" si="279"/>
        <v>2.076124567474058E-2</v>
      </c>
      <c r="R160" s="24">
        <f t="shared" si="279"/>
        <v>-0.11824805739937416</v>
      </c>
      <c r="S160" s="24">
        <f t="shared" ref="S160" si="280">IFERROR(S159/R159-1,"n.m.")</f>
        <v>4.6164142227842264E-2</v>
      </c>
      <c r="T160" s="24">
        <f t="shared" ref="T160" si="281">IFERROR(T159/S159-1,"n.m.")</f>
        <v>5.5798615176079647E-2</v>
      </c>
      <c r="U160" s="24">
        <f t="shared" ref="U160" si="282">IFERROR(U159/T159-1,"n.m.")</f>
        <v>5.2333891267600352E-2</v>
      </c>
      <c r="V160" s="24">
        <f t="shared" ref="V160" si="283">IFERROR(V159/U159-1,"n.m.")</f>
        <v>4.5061790676699465E-2</v>
      </c>
      <c r="W160" s="113">
        <f t="shared" ref="W160" si="284">IFERROR(W159/V159-1,"n.m.")</f>
        <v>4.6483794749635932E-2</v>
      </c>
      <c r="X160" s="113">
        <f t="shared" ref="X160" si="285">IFERROR(X159/W159-1,"n.m.")</f>
        <v>4.8013240788960632E-2</v>
      </c>
      <c r="Y160" s="135" t="s">
        <v>4</v>
      </c>
    </row>
    <row r="161" spans="2:25" ht="15" customHeight="1" outlineLevel="4">
      <c r="B161" s="77" t="s">
        <v>29</v>
      </c>
      <c r="C161" s="1" t="s">
        <v>21</v>
      </c>
      <c r="D161" s="72"/>
      <c r="E161" s="72"/>
      <c r="F161" s="72"/>
      <c r="G161" s="72"/>
      <c r="H161" s="72"/>
      <c r="I161" s="72"/>
      <c r="J161" s="72"/>
      <c r="K161" s="72"/>
      <c r="L161" s="72"/>
      <c r="M161" s="97">
        <f t="shared" ref="M161:V161" si="286">M159/M$142</f>
        <v>0.39568345323741005</v>
      </c>
      <c r="N161" s="97">
        <f t="shared" si="286"/>
        <v>0.41144901610017887</v>
      </c>
      <c r="O161" s="97">
        <f t="shared" si="286"/>
        <v>0.41357027463651053</v>
      </c>
      <c r="P161" s="97">
        <f t="shared" si="286"/>
        <v>0.41763005780346824</v>
      </c>
      <c r="Q161" s="97">
        <f t="shared" si="286"/>
        <v>0.38411458333333331</v>
      </c>
      <c r="R161" s="97">
        <f t="shared" si="286"/>
        <v>0.35079330625650867</v>
      </c>
      <c r="S161" s="97">
        <f t="shared" si="286"/>
        <v>0.34799739821643982</v>
      </c>
      <c r="T161" s="97">
        <f t="shared" si="286"/>
        <v>0.35017703837884495</v>
      </c>
      <c r="U161" s="97">
        <f t="shared" si="286"/>
        <v>0.35233148621386584</v>
      </c>
      <c r="V161" s="97">
        <f t="shared" si="286"/>
        <v>0.35457811392879679</v>
      </c>
      <c r="W161" s="97">
        <f>W159/W$142</f>
        <v>0.35695239062925616</v>
      </c>
      <c r="X161" s="97">
        <f t="shared" ref="X161" si="287">X159/X$142</f>
        <v>0.35957988367525789</v>
      </c>
    </row>
    <row r="162" spans="2:25" ht="15" customHeight="1" outlineLevel="4">
      <c r="B162" s="77" t="s">
        <v>32</v>
      </c>
      <c r="C162" s="1" t="s">
        <v>21</v>
      </c>
      <c r="D162" s="72"/>
      <c r="E162" s="72"/>
      <c r="F162" s="72"/>
      <c r="G162" s="72"/>
      <c r="H162" s="72"/>
      <c r="I162" s="72"/>
      <c r="J162" s="72"/>
      <c r="K162" s="72"/>
      <c r="L162" s="72"/>
      <c r="M162" s="87">
        <f t="shared" ref="M162:Q162" si="288">M159/M$171</f>
        <v>4.3392504930966469E-2</v>
      </c>
      <c r="N162" s="87">
        <f t="shared" si="288"/>
        <v>4.5798486658701711E-2</v>
      </c>
      <c r="O162" s="87">
        <f t="shared" si="288"/>
        <v>4.8669201520912544E-2</v>
      </c>
      <c r="P162" s="87">
        <f t="shared" si="288"/>
        <v>4.9860939888133129E-2</v>
      </c>
      <c r="Q162" s="87">
        <f t="shared" si="288"/>
        <v>4.9364123159303885E-2</v>
      </c>
      <c r="R162" s="136">
        <f>Q162-0.67%</f>
        <v>4.2664123159303888E-2</v>
      </c>
      <c r="S162" s="593">
        <f t="shared" ref="S162:W162" si="289">R162</f>
        <v>4.2664123159303888E-2</v>
      </c>
      <c r="T162" s="593">
        <f t="shared" si="289"/>
        <v>4.2664123159303888E-2</v>
      </c>
      <c r="U162" s="593">
        <f t="shared" si="289"/>
        <v>4.2664123159303888E-2</v>
      </c>
      <c r="V162" s="593">
        <f t="shared" si="289"/>
        <v>4.2664123159303888E-2</v>
      </c>
      <c r="W162" s="593">
        <f t="shared" si="289"/>
        <v>4.2664123159303888E-2</v>
      </c>
      <c r="X162" s="593">
        <f t="shared" ref="X162" si="290">W162</f>
        <v>4.2664123159303888E-2</v>
      </c>
      <c r="Y162" s="135" t="s">
        <v>4</v>
      </c>
    </row>
    <row r="163" spans="2:25" ht="15" customHeight="1" outlineLevel="3">
      <c r="B163" s="79"/>
      <c r="C163" s="80"/>
      <c r="D163" s="81"/>
      <c r="E163" s="81"/>
      <c r="F163" s="81"/>
      <c r="G163" s="81"/>
      <c r="H163" s="81"/>
      <c r="I163" s="81"/>
      <c r="J163" s="81"/>
      <c r="K163" s="81"/>
      <c r="L163" s="81"/>
      <c r="M163" s="81"/>
      <c r="N163" s="81"/>
      <c r="O163" s="81"/>
      <c r="P163" s="81"/>
      <c r="Q163" s="81"/>
      <c r="R163" s="81"/>
      <c r="S163" s="81"/>
      <c r="T163" s="81"/>
      <c r="U163" s="81"/>
      <c r="V163" s="81"/>
      <c r="W163" s="117"/>
      <c r="X163" s="117"/>
      <c r="Y163" s="135" t="s">
        <v>4</v>
      </c>
    </row>
    <row r="164" spans="2:25" ht="15" customHeight="1" outlineLevel="2">
      <c r="B164" s="7" t="s">
        <v>35</v>
      </c>
      <c r="C164" s="13" t="s">
        <v>26</v>
      </c>
      <c r="D164" s="88"/>
      <c r="E164" s="75">
        <f>E167+E171</f>
        <v>2253</v>
      </c>
      <c r="F164" s="75">
        <f t="shared" ref="F164:Q164" si="291">F167+F171</f>
        <v>2436.6</v>
      </c>
      <c r="G164" s="75">
        <f t="shared" si="291"/>
        <v>2737.2</v>
      </c>
      <c r="H164" s="75">
        <f t="shared" si="291"/>
        <v>3059.5</v>
      </c>
      <c r="I164" s="75">
        <f t="shared" si="291"/>
        <v>3286.3</v>
      </c>
      <c r="J164" s="75">
        <f t="shared" si="291"/>
        <v>3511.5</v>
      </c>
      <c r="K164" s="75">
        <f t="shared" si="291"/>
        <v>3731.7000000000003</v>
      </c>
      <c r="L164" s="75">
        <f t="shared" si="291"/>
        <v>4397</v>
      </c>
      <c r="M164" s="75">
        <f t="shared" si="291"/>
        <v>5143</v>
      </c>
      <c r="N164" s="75">
        <f t="shared" si="291"/>
        <v>5086</v>
      </c>
      <c r="O164" s="75">
        <f t="shared" si="291"/>
        <v>5338</v>
      </c>
      <c r="P164" s="75">
        <f t="shared" si="291"/>
        <v>5885.1201824192212</v>
      </c>
      <c r="Q164" s="75">
        <f t="shared" si="291"/>
        <v>6124</v>
      </c>
      <c r="R164" s="75">
        <f>Q164*(1+R165)</f>
        <v>6264.963038040888</v>
      </c>
      <c r="S164" s="75">
        <f t="shared" ref="S164" si="292">R164*(1+S165)</f>
        <v>6549.2911433113077</v>
      </c>
      <c r="T164" s="75">
        <f t="shared" ref="T164" si="293">S164*(1+T165)</f>
        <v>6908.1861526423163</v>
      </c>
      <c r="U164" s="75">
        <f t="shared" ref="U164" si="294">T164*(1+U165)</f>
        <v>7263.7668291288137</v>
      </c>
      <c r="V164" s="75">
        <f t="shared" ref="V164" si="295">U164*(1+V165)</f>
        <v>7586.3298799947925</v>
      </c>
      <c r="W164" s="112">
        <f t="shared" ref="W164" si="296">V164*(1+W165)</f>
        <v>7933.8893276964509</v>
      </c>
      <c r="X164" s="112">
        <f t="shared" ref="X164" si="297">W164*(1+X165)</f>
        <v>8309.3819924165491</v>
      </c>
      <c r="Y164" s="135" t="s">
        <v>4</v>
      </c>
    </row>
    <row r="165" spans="2:25" ht="15" customHeight="1" outlineLevel="2">
      <c r="B165" s="6" t="s">
        <v>27</v>
      </c>
      <c r="C165" s="1" t="s">
        <v>21</v>
      </c>
      <c r="D165" s="72"/>
      <c r="E165" s="24" t="str">
        <f t="shared" ref="E165:Q165" si="298">IFERROR(E164/D164-1,"n.m.")</f>
        <v>n.m.</v>
      </c>
      <c r="F165" s="24">
        <f t="shared" si="298"/>
        <v>8.1491344873501959E-2</v>
      </c>
      <c r="G165" s="24">
        <f t="shared" si="298"/>
        <v>0.1233686284166462</v>
      </c>
      <c r="H165" s="24">
        <f t="shared" si="298"/>
        <v>0.117748063714745</v>
      </c>
      <c r="I165" s="24">
        <f t="shared" si="298"/>
        <v>7.4129759764667513E-2</v>
      </c>
      <c r="J165" s="24">
        <f t="shared" si="298"/>
        <v>6.8526914767367497E-2</v>
      </c>
      <c r="K165" s="24">
        <f t="shared" si="298"/>
        <v>6.2708244340025754E-2</v>
      </c>
      <c r="L165" s="24">
        <f t="shared" si="298"/>
        <v>0.17828335611115564</v>
      </c>
      <c r="M165" s="24">
        <f t="shared" si="298"/>
        <v>0.1696611325904025</v>
      </c>
      <c r="N165" s="24">
        <f t="shared" si="298"/>
        <v>-1.1083025471514629E-2</v>
      </c>
      <c r="O165" s="24">
        <f t="shared" si="298"/>
        <v>4.9547778214707128E-2</v>
      </c>
      <c r="P165" s="24">
        <f t="shared" si="298"/>
        <v>0.10249535077167882</v>
      </c>
      <c r="Q165" s="24">
        <f t="shared" si="298"/>
        <v>4.059047397101434E-2</v>
      </c>
      <c r="R165" s="69">
        <f>R187</f>
        <v>2.3018131620001325E-2</v>
      </c>
      <c r="S165" s="69">
        <f t="shared" ref="S165:W165" si="299">S187</f>
        <v>4.5383844013759944E-2</v>
      </c>
      <c r="T165" s="69">
        <f t="shared" si="299"/>
        <v>5.4799061681284789E-2</v>
      </c>
      <c r="U165" s="69">
        <f t="shared" si="299"/>
        <v>5.14723646163604E-2</v>
      </c>
      <c r="V165" s="69">
        <f t="shared" si="299"/>
        <v>4.4407131789039767E-2</v>
      </c>
      <c r="W165" s="119">
        <f t="shared" si="299"/>
        <v>4.5813911759647441E-2</v>
      </c>
      <c r="X165" s="119">
        <f t="shared" ref="X165" si="300">X187</f>
        <v>4.7327691276117134E-2</v>
      </c>
      <c r="Y165" s="135" t="s">
        <v>4</v>
      </c>
    </row>
    <row r="166" spans="2:25" ht="15" customHeight="1" outlineLevel="2">
      <c r="Y166" s="135" t="s">
        <v>4</v>
      </c>
    </row>
    <row r="167" spans="2:25" ht="15" customHeight="1" outlineLevel="3">
      <c r="B167" s="34" t="s">
        <v>36</v>
      </c>
      <c r="C167" s="35" t="s">
        <v>26</v>
      </c>
      <c r="D167" s="91"/>
      <c r="E167" s="32">
        <v>64</v>
      </c>
      <c r="F167" s="32">
        <v>78.599999999999994</v>
      </c>
      <c r="G167" s="32">
        <v>97.2</v>
      </c>
      <c r="H167" s="32">
        <v>109.5</v>
      </c>
      <c r="I167" s="32">
        <v>108.30000000000001</v>
      </c>
      <c r="J167" s="32">
        <v>90.908832653061225</v>
      </c>
      <c r="K167" s="32">
        <v>78.900000000000006</v>
      </c>
      <c r="L167" s="32">
        <v>82</v>
      </c>
      <c r="M167" s="32">
        <v>73</v>
      </c>
      <c r="N167" s="32">
        <v>64</v>
      </c>
      <c r="O167" s="32">
        <v>78</v>
      </c>
      <c r="P167" s="32">
        <v>89</v>
      </c>
      <c r="Q167" s="32">
        <v>148</v>
      </c>
      <c r="R167" s="36">
        <f>Q167*(1+R168)</f>
        <v>168.11154302873288</v>
      </c>
      <c r="S167" s="36">
        <f t="shared" ref="S167:W167" si="301">R167*(1+S168)</f>
        <v>170.9837287413788</v>
      </c>
      <c r="T167" s="36">
        <f t="shared" si="301"/>
        <v>173.97801717206394</v>
      </c>
      <c r="U167" s="36">
        <f t="shared" si="301"/>
        <v>177.13137732347221</v>
      </c>
      <c r="V167" s="36">
        <f t="shared" si="301"/>
        <v>180.35794485812113</v>
      </c>
      <c r="W167" s="120">
        <f t="shared" si="301"/>
        <v>183.65971320532176</v>
      </c>
      <c r="X167" s="120">
        <f t="shared" ref="X167" si="302">W167*(1+X168)</f>
        <v>187.03873727512516</v>
      </c>
      <c r="Y167" s="135" t="s">
        <v>4</v>
      </c>
    </row>
    <row r="168" spans="2:25" ht="15" customHeight="1" outlineLevel="3">
      <c r="B168" s="18" t="s">
        <v>27</v>
      </c>
      <c r="C168" s="1" t="s">
        <v>21</v>
      </c>
      <c r="D168" s="72"/>
      <c r="E168" s="24" t="str">
        <f t="shared" ref="E168:Q168" si="303">IFERROR(E167/D167-1,"n.m.")</f>
        <v>n.m.</v>
      </c>
      <c r="F168" s="24">
        <f t="shared" si="303"/>
        <v>0.22812499999999991</v>
      </c>
      <c r="G168" s="24">
        <f t="shared" si="303"/>
        <v>0.23664122137404586</v>
      </c>
      <c r="H168" s="24">
        <f t="shared" si="303"/>
        <v>0.12654320987654311</v>
      </c>
      <c r="I168" s="24">
        <f t="shared" si="303"/>
        <v>-1.0958904109588885E-2</v>
      </c>
      <c r="J168" s="24">
        <f t="shared" si="303"/>
        <v>-0.1605832626679482</v>
      </c>
      <c r="K168" s="24">
        <f t="shared" si="303"/>
        <v>-0.13209753444850592</v>
      </c>
      <c r="L168" s="24">
        <f t="shared" si="303"/>
        <v>3.9290240811153287E-2</v>
      </c>
      <c r="M168" s="24">
        <f t="shared" si="303"/>
        <v>-0.1097560975609756</v>
      </c>
      <c r="N168" s="24">
        <f t="shared" si="303"/>
        <v>-0.12328767123287676</v>
      </c>
      <c r="O168" s="24">
        <f t="shared" si="303"/>
        <v>0.21875</v>
      </c>
      <c r="P168" s="24">
        <f t="shared" si="303"/>
        <v>0.14102564102564097</v>
      </c>
      <c r="Q168" s="24">
        <f t="shared" si="303"/>
        <v>0.66292134831460681</v>
      </c>
      <c r="R168" s="69">
        <f>(1+R190)*(1+R194*R184)-1</f>
        <v>0.13588880424819516</v>
      </c>
      <c r="S168" s="69">
        <f t="shared" ref="S168:X168" si="304">(1+S190)*(1+S194*S184)-1</f>
        <v>1.7085000000000017E-2</v>
      </c>
      <c r="T168" s="69">
        <f t="shared" si="304"/>
        <v>1.7512125000000101E-2</v>
      </c>
      <c r="U168" s="69">
        <f t="shared" si="304"/>
        <v>1.8125049375000035E-2</v>
      </c>
      <c r="V168" s="69">
        <f t="shared" si="304"/>
        <v>1.82156746218749E-2</v>
      </c>
      <c r="W168" s="69">
        <f t="shared" si="304"/>
        <v>1.8306752994984299E-2</v>
      </c>
      <c r="X168" s="69">
        <f t="shared" si="304"/>
        <v>1.8398286759959248E-2</v>
      </c>
      <c r="Y168" s="135" t="s">
        <v>4</v>
      </c>
    </row>
    <row r="169" spans="2:25" ht="15" customHeight="1" outlineLevel="3">
      <c r="B169" s="37" t="s">
        <v>29</v>
      </c>
      <c r="C169" s="38" t="s">
        <v>21</v>
      </c>
      <c r="D169" s="89"/>
      <c r="E169" s="87">
        <f t="shared" ref="E169:W169" si="305">E167/E$164</f>
        <v>2.8406569019085663E-2</v>
      </c>
      <c r="F169" s="87">
        <f t="shared" si="305"/>
        <v>3.2258064516129031E-2</v>
      </c>
      <c r="G169" s="87">
        <f t="shared" si="305"/>
        <v>3.5510740903112674E-2</v>
      </c>
      <c r="H169" s="87">
        <f t="shared" si="305"/>
        <v>3.5790161791142347E-2</v>
      </c>
      <c r="I169" s="87">
        <f t="shared" si="305"/>
        <v>3.295499497915589E-2</v>
      </c>
      <c r="J169" s="87">
        <f t="shared" si="305"/>
        <v>2.5888888695161962E-2</v>
      </c>
      <c r="K169" s="87">
        <f t="shared" si="305"/>
        <v>2.1143178712115122E-2</v>
      </c>
      <c r="L169" s="87">
        <f t="shared" si="305"/>
        <v>1.8649078917443711E-2</v>
      </c>
      <c r="M169" s="87">
        <f t="shared" si="305"/>
        <v>1.4194050165273187E-2</v>
      </c>
      <c r="N169" s="87">
        <f t="shared" si="305"/>
        <v>1.2583562721195438E-2</v>
      </c>
      <c r="O169" s="87">
        <f t="shared" si="305"/>
        <v>1.4612214312476583E-2</v>
      </c>
      <c r="P169" s="87">
        <f t="shared" si="305"/>
        <v>1.5122885725574834E-2</v>
      </c>
      <c r="Q169" s="87">
        <f t="shared" si="305"/>
        <v>2.4167210973220117E-2</v>
      </c>
      <c r="R169" s="87">
        <f t="shared" si="305"/>
        <v>2.6833604924395998E-2</v>
      </c>
      <c r="S169" s="87">
        <f t="shared" si="305"/>
        <v>2.6107211452341968E-2</v>
      </c>
      <c r="T169" s="87">
        <f t="shared" si="305"/>
        <v>2.5184326728879328E-2</v>
      </c>
      <c r="U169" s="87">
        <f t="shared" si="305"/>
        <v>2.4385608939586047E-2</v>
      </c>
      <c r="V169" s="87">
        <f t="shared" si="305"/>
        <v>2.3774070955407088E-2</v>
      </c>
      <c r="W169" s="123">
        <f t="shared" si="305"/>
        <v>2.3148761675334091E-2</v>
      </c>
      <c r="X169" s="123">
        <f t="shared" ref="X169" si="306">X167/X$164</f>
        <v>2.2509343949504747E-2</v>
      </c>
      <c r="Y169" s="135" t="s">
        <v>4</v>
      </c>
    </row>
    <row r="170" spans="2:25" ht="15" customHeight="1" outlineLevel="3">
      <c r="B170" s="37"/>
      <c r="C170" s="38"/>
      <c r="D170" s="3"/>
      <c r="E170" s="3"/>
      <c r="F170" s="3"/>
      <c r="G170" s="3"/>
      <c r="H170" s="3"/>
      <c r="I170" s="3"/>
      <c r="J170" s="3"/>
      <c r="K170" s="3"/>
      <c r="L170" s="3"/>
      <c r="M170" s="3"/>
      <c r="N170" s="3"/>
      <c r="O170" s="3"/>
      <c r="P170" s="3"/>
      <c r="Q170" s="3"/>
      <c r="R170" s="3"/>
      <c r="S170" s="3"/>
      <c r="T170" s="3"/>
      <c r="U170" s="3"/>
      <c r="V170" s="3"/>
      <c r="W170" s="132"/>
      <c r="X170" s="132"/>
    </row>
    <row r="171" spans="2:25" ht="15" customHeight="1" outlineLevel="3">
      <c r="B171" s="41" t="s">
        <v>37</v>
      </c>
      <c r="C171" s="38" t="s">
        <v>26</v>
      </c>
      <c r="D171" s="4"/>
      <c r="E171" s="82">
        <v>2189</v>
      </c>
      <c r="F171" s="82">
        <v>2358</v>
      </c>
      <c r="G171" s="82">
        <v>2640</v>
      </c>
      <c r="H171" s="82">
        <v>2950</v>
      </c>
      <c r="I171" s="82">
        <v>3178</v>
      </c>
      <c r="J171" s="82">
        <v>3420.5911673469386</v>
      </c>
      <c r="K171" s="82">
        <v>3652.8</v>
      </c>
      <c r="L171" s="82">
        <v>4315</v>
      </c>
      <c r="M171" s="82">
        <v>5070</v>
      </c>
      <c r="N171" s="82">
        <v>5022</v>
      </c>
      <c r="O171" s="82">
        <v>5260</v>
      </c>
      <c r="P171" s="82">
        <v>5796.1201824192212</v>
      </c>
      <c r="Q171" s="82">
        <v>5976</v>
      </c>
      <c r="R171" s="42">
        <f>R164-R167</f>
        <v>6096.8514950121553</v>
      </c>
      <c r="S171" s="42">
        <f t="shared" ref="S171:W171" si="307">S164-S167</f>
        <v>6378.3074145699293</v>
      </c>
      <c r="T171" s="42">
        <f t="shared" si="307"/>
        <v>6734.2081354702523</v>
      </c>
      <c r="U171" s="42">
        <f t="shared" si="307"/>
        <v>7086.6354518053413</v>
      </c>
      <c r="V171" s="42">
        <f t="shared" si="307"/>
        <v>7405.9719351366712</v>
      </c>
      <c r="W171" s="122">
        <f t="shared" si="307"/>
        <v>7750.2296144911288</v>
      </c>
      <c r="X171" s="122">
        <f t="shared" ref="X171" si="308">X164-X167</f>
        <v>8122.3432551414244</v>
      </c>
      <c r="Y171" s="135" t="s">
        <v>4</v>
      </c>
    </row>
    <row r="172" spans="2:25" ht="15" customHeight="1" outlineLevel="3">
      <c r="B172" s="18" t="s">
        <v>27</v>
      </c>
      <c r="C172" s="1" t="s">
        <v>21</v>
      </c>
      <c r="D172" s="89"/>
      <c r="E172" s="24" t="str">
        <f t="shared" ref="E172:Q172" si="309">IFERROR(E171/D171-1,"n.m.")</f>
        <v>n.m.</v>
      </c>
      <c r="F172" s="24">
        <f t="shared" si="309"/>
        <v>7.7204202832343638E-2</v>
      </c>
      <c r="G172" s="24">
        <f t="shared" si="309"/>
        <v>0.11959287531806617</v>
      </c>
      <c r="H172" s="24">
        <f t="shared" si="309"/>
        <v>0.11742424242424243</v>
      </c>
      <c r="I172" s="24">
        <f t="shared" si="309"/>
        <v>7.7288135593220231E-2</v>
      </c>
      <c r="J172" s="24">
        <f t="shared" si="309"/>
        <v>7.6334539756745867E-2</v>
      </c>
      <c r="K172" s="24">
        <f t="shared" si="309"/>
        <v>6.7885585061943088E-2</v>
      </c>
      <c r="L172" s="24">
        <f t="shared" si="309"/>
        <v>0.18128558913710036</v>
      </c>
      <c r="M172" s="24">
        <f t="shared" si="309"/>
        <v>0.17497103128621094</v>
      </c>
      <c r="N172" s="24">
        <f t="shared" si="309"/>
        <v>-9.4674556213018013E-3</v>
      </c>
      <c r="O172" s="24">
        <f t="shared" si="309"/>
        <v>4.7391477499004298E-2</v>
      </c>
      <c r="P172" s="24">
        <f t="shared" si="309"/>
        <v>0.10192398905308386</v>
      </c>
      <c r="Q172" s="24">
        <f t="shared" si="309"/>
        <v>3.1034521700635143E-2</v>
      </c>
      <c r="R172" s="24">
        <f t="shared" ref="R172" si="310">IFERROR(R171/Q171-1,"n.m.")</f>
        <v>2.0222807063613679E-2</v>
      </c>
      <c r="S172" s="24">
        <f t="shared" ref="S172" si="311">IFERROR(S171/R171-1,"n.m.")</f>
        <v>4.6164142227842264E-2</v>
      </c>
      <c r="T172" s="24">
        <f t="shared" ref="T172" si="312">IFERROR(T171/S171-1,"n.m.")</f>
        <v>5.5798615176079647E-2</v>
      </c>
      <c r="U172" s="24">
        <f t="shared" ref="U172" si="313">IFERROR(U171/T171-1,"n.m.")</f>
        <v>5.233389126760013E-2</v>
      </c>
      <c r="V172" s="24">
        <f t="shared" ref="V172" si="314">IFERROR(V171/U171-1,"n.m.")</f>
        <v>4.5061790676699465E-2</v>
      </c>
      <c r="W172" s="113">
        <f t="shared" ref="W172" si="315">IFERROR(W171/V171-1,"n.m.")</f>
        <v>4.6483794749635932E-2</v>
      </c>
      <c r="X172" s="113">
        <f t="shared" ref="X172" si="316">IFERROR(X171/W171-1,"n.m.")</f>
        <v>4.8013240788960632E-2</v>
      </c>
      <c r="Y172" s="135" t="s">
        <v>4</v>
      </c>
    </row>
    <row r="173" spans="2:25" ht="15" customHeight="1" outlineLevel="3">
      <c r="B173" s="20" t="s">
        <v>29</v>
      </c>
      <c r="C173" s="21" t="s">
        <v>21</v>
      </c>
      <c r="D173" s="90"/>
      <c r="E173" s="48">
        <f t="shared" ref="E173:W173" si="317">E171/E$164</f>
        <v>0.97159343098091433</v>
      </c>
      <c r="F173" s="48">
        <f t="shared" si="317"/>
        <v>0.967741935483871</v>
      </c>
      <c r="G173" s="48">
        <f t="shared" si="317"/>
        <v>0.96448925909688743</v>
      </c>
      <c r="H173" s="48">
        <f t="shared" si="317"/>
        <v>0.96420983820885764</v>
      </c>
      <c r="I173" s="48">
        <f t="shared" si="317"/>
        <v>0.96704500502084401</v>
      </c>
      <c r="J173" s="48">
        <f t="shared" si="317"/>
        <v>0.97411111130483796</v>
      </c>
      <c r="K173" s="48">
        <f t="shared" si="317"/>
        <v>0.97885682128788487</v>
      </c>
      <c r="L173" s="48">
        <f t="shared" si="317"/>
        <v>0.98135092108255628</v>
      </c>
      <c r="M173" s="48">
        <f t="shared" si="317"/>
        <v>0.9858059498347268</v>
      </c>
      <c r="N173" s="48">
        <f t="shared" si="317"/>
        <v>0.98741643727880457</v>
      </c>
      <c r="O173" s="48">
        <f t="shared" si="317"/>
        <v>0.98538778568752339</v>
      </c>
      <c r="P173" s="48">
        <f t="shared" si="317"/>
        <v>0.98487711427442515</v>
      </c>
      <c r="Q173" s="48">
        <f t="shared" si="317"/>
        <v>0.97583278902677983</v>
      </c>
      <c r="R173" s="48">
        <f t="shared" si="317"/>
        <v>0.97316639507560398</v>
      </c>
      <c r="S173" s="48">
        <f t="shared" si="317"/>
        <v>0.97389278854765804</v>
      </c>
      <c r="T173" s="48">
        <f t="shared" si="317"/>
        <v>0.97481567327112062</v>
      </c>
      <c r="U173" s="48">
        <f t="shared" si="317"/>
        <v>0.97561439106041392</v>
      </c>
      <c r="V173" s="48">
        <f t="shared" si="317"/>
        <v>0.97622592904459293</v>
      </c>
      <c r="W173" s="124">
        <f t="shared" si="317"/>
        <v>0.97685123832466592</v>
      </c>
      <c r="X173" s="124">
        <f t="shared" ref="X173" si="318">X171/X$164</f>
        <v>0.97749065605049534</v>
      </c>
      <c r="Y173" s="135" t="s">
        <v>4</v>
      </c>
    </row>
    <row r="174" spans="2:25" ht="15" customHeight="1" outlineLevel="3">
      <c r="Y174" s="135" t="s">
        <v>4</v>
      </c>
    </row>
    <row r="175" spans="2:25" ht="15" customHeight="1" outlineLevel="2">
      <c r="B175" s="7" t="s">
        <v>38</v>
      </c>
      <c r="C175" s="13" t="s">
        <v>39</v>
      </c>
      <c r="D175" s="93"/>
      <c r="E175" s="22">
        <f t="shared" ref="E175:W175" si="319">E179+E183</f>
        <v>2104</v>
      </c>
      <c r="F175" s="22">
        <f t="shared" si="319"/>
        <v>2225</v>
      </c>
      <c r="G175" s="22">
        <f t="shared" si="319"/>
        <v>2379</v>
      </c>
      <c r="H175" s="22">
        <f t="shared" si="319"/>
        <v>2539</v>
      </c>
      <c r="I175" s="22">
        <f t="shared" si="319"/>
        <v>2688</v>
      </c>
      <c r="J175" s="22">
        <f t="shared" si="319"/>
        <v>2892</v>
      </c>
      <c r="K175" s="22">
        <f t="shared" si="319"/>
        <v>3102</v>
      </c>
      <c r="L175" s="22">
        <f t="shared" si="319"/>
        <v>3316</v>
      </c>
      <c r="M175" s="22">
        <f t="shared" si="319"/>
        <v>2849</v>
      </c>
      <c r="N175" s="22">
        <f t="shared" si="319"/>
        <v>3031</v>
      </c>
      <c r="O175" s="22">
        <f t="shared" si="319"/>
        <v>3235</v>
      </c>
      <c r="P175" s="22">
        <f t="shared" si="319"/>
        <v>3394</v>
      </c>
      <c r="Q175" s="22">
        <f t="shared" si="319"/>
        <v>3520</v>
      </c>
      <c r="R175" s="22">
        <f t="shared" si="319"/>
        <v>3540</v>
      </c>
      <c r="S175" s="22">
        <f t="shared" si="319"/>
        <v>3632</v>
      </c>
      <c r="T175" s="22">
        <f t="shared" si="319"/>
        <v>3748</v>
      </c>
      <c r="U175" s="22">
        <f t="shared" si="319"/>
        <v>3846</v>
      </c>
      <c r="V175" s="22">
        <f t="shared" si="319"/>
        <v>3920.74</v>
      </c>
      <c r="W175" s="118">
        <f t="shared" si="319"/>
        <v>3996.9748</v>
      </c>
      <c r="X175" s="118">
        <f t="shared" ref="X175" si="320">X179+X183</f>
        <v>4074.7342960000001</v>
      </c>
      <c r="Y175" s="135" t="s">
        <v>4</v>
      </c>
    </row>
    <row r="176" spans="2:25" ht="15" customHeight="1" outlineLevel="2">
      <c r="B176" s="6" t="s">
        <v>27</v>
      </c>
      <c r="C176" s="1" t="s">
        <v>21</v>
      </c>
      <c r="D176" s="72"/>
      <c r="E176" s="24" t="str">
        <f t="shared" ref="E176:Q176" si="321">IFERROR(E175/D175-1,"n.m.")</f>
        <v>n.m.</v>
      </c>
      <c r="F176" s="24">
        <f t="shared" si="321"/>
        <v>5.7509505703422059E-2</v>
      </c>
      <c r="G176" s="24">
        <f t="shared" si="321"/>
        <v>6.9213483146067345E-2</v>
      </c>
      <c r="H176" s="24">
        <f t="shared" si="321"/>
        <v>6.7255149222362309E-2</v>
      </c>
      <c r="I176" s="24">
        <f t="shared" si="321"/>
        <v>5.8684521465143691E-2</v>
      </c>
      <c r="J176" s="24">
        <f t="shared" si="321"/>
        <v>7.5892857142857206E-2</v>
      </c>
      <c r="K176" s="24">
        <f t="shared" si="321"/>
        <v>7.2614107883817391E-2</v>
      </c>
      <c r="L176" s="24">
        <f t="shared" si="321"/>
        <v>6.8987749838813617E-2</v>
      </c>
      <c r="M176" s="24">
        <f t="shared" si="321"/>
        <v>-0.14083232810615198</v>
      </c>
      <c r="N176" s="24">
        <f t="shared" si="321"/>
        <v>6.3882063882063855E-2</v>
      </c>
      <c r="O176" s="24">
        <f t="shared" si="321"/>
        <v>6.7304519960409204E-2</v>
      </c>
      <c r="P176" s="24">
        <f t="shared" si="321"/>
        <v>4.9149922720247208E-2</v>
      </c>
      <c r="Q176" s="24">
        <f t="shared" si="321"/>
        <v>3.7124337065409518E-2</v>
      </c>
      <c r="R176" s="24">
        <f t="shared" ref="R176:W176" si="322">IFERROR(R175/Q175-1,"n.m.")</f>
        <v>5.6818181818181213E-3</v>
      </c>
      <c r="S176" s="24">
        <f t="shared" si="322"/>
        <v>2.5988700564971712E-2</v>
      </c>
      <c r="T176" s="24">
        <f t="shared" si="322"/>
        <v>3.1938325991189398E-2</v>
      </c>
      <c r="U176" s="24">
        <f t="shared" si="322"/>
        <v>2.614727854855925E-2</v>
      </c>
      <c r="V176" s="24">
        <f t="shared" si="322"/>
        <v>1.9433177327093043E-2</v>
      </c>
      <c r="W176" s="113">
        <f t="shared" si="322"/>
        <v>1.9443982513505098E-2</v>
      </c>
      <c r="X176" s="113">
        <f t="shared" ref="X176" si="323">IFERROR(X175/W175-1,"n.m.")</f>
        <v>1.9454587504529774E-2</v>
      </c>
      <c r="Y176" s="135" t="s">
        <v>4</v>
      </c>
    </row>
    <row r="177" spans="2:25" ht="15" customHeight="1" outlineLevel="2">
      <c r="B177" s="6" t="s">
        <v>27</v>
      </c>
      <c r="C177" s="1" t="s">
        <v>39</v>
      </c>
      <c r="D177" s="92"/>
      <c r="E177" s="26">
        <f t="shared" ref="E177:Q177" si="324">IFERROR(E175-D175,"n.m.")</f>
        <v>2104</v>
      </c>
      <c r="F177" s="26">
        <f t="shared" si="324"/>
        <v>121</v>
      </c>
      <c r="G177" s="26">
        <f t="shared" si="324"/>
        <v>154</v>
      </c>
      <c r="H177" s="26">
        <f t="shared" si="324"/>
        <v>160</v>
      </c>
      <c r="I177" s="26">
        <f t="shared" si="324"/>
        <v>149</v>
      </c>
      <c r="J177" s="26">
        <f t="shared" si="324"/>
        <v>204</v>
      </c>
      <c r="K177" s="26">
        <f t="shared" si="324"/>
        <v>210</v>
      </c>
      <c r="L177" s="26">
        <f t="shared" si="324"/>
        <v>214</v>
      </c>
      <c r="M177" s="26">
        <f t="shared" si="324"/>
        <v>-467</v>
      </c>
      <c r="N177" s="26">
        <f t="shared" si="324"/>
        <v>182</v>
      </c>
      <c r="O177" s="26">
        <f t="shared" si="324"/>
        <v>204</v>
      </c>
      <c r="P177" s="26">
        <f t="shared" si="324"/>
        <v>159</v>
      </c>
      <c r="Q177" s="26">
        <f t="shared" si="324"/>
        <v>126</v>
      </c>
      <c r="R177" s="26">
        <f t="shared" ref="R177:W177" si="325">IFERROR(R175-Q175,"n.m.")</f>
        <v>20</v>
      </c>
      <c r="S177" s="26">
        <f t="shared" si="325"/>
        <v>92</v>
      </c>
      <c r="T177" s="26">
        <f t="shared" si="325"/>
        <v>116</v>
      </c>
      <c r="U177" s="26">
        <f t="shared" si="325"/>
        <v>98</v>
      </c>
      <c r="V177" s="26">
        <f t="shared" si="325"/>
        <v>74.739999999999782</v>
      </c>
      <c r="W177" s="28">
        <f t="shared" si="325"/>
        <v>76.234800000000178</v>
      </c>
      <c r="X177" s="28">
        <f t="shared" ref="X177" si="326">IFERROR(X175-W175,"n.m.")</f>
        <v>77.759496000000127</v>
      </c>
      <c r="Y177" s="135" t="s">
        <v>4</v>
      </c>
    </row>
    <row r="178" spans="2:25" ht="15" customHeight="1" outlineLevel="3">
      <c r="Y178" s="135" t="s">
        <v>4</v>
      </c>
    </row>
    <row r="179" spans="2:25" ht="15" customHeight="1" outlineLevel="3">
      <c r="B179" s="17" t="s">
        <v>40</v>
      </c>
      <c r="C179" s="15" t="s">
        <v>39</v>
      </c>
      <c r="D179" s="91"/>
      <c r="E179" s="32">
        <v>2059</v>
      </c>
      <c r="F179" s="32">
        <v>2172</v>
      </c>
      <c r="G179" s="32">
        <v>2314</v>
      </c>
      <c r="H179" s="32">
        <v>2469</v>
      </c>
      <c r="I179" s="32">
        <v>2633</v>
      </c>
      <c r="J179" s="32">
        <v>2839</v>
      </c>
      <c r="K179" s="32">
        <v>3061</v>
      </c>
      <c r="L179" s="32">
        <v>3275</v>
      </c>
      <c r="M179" s="32">
        <v>2808</v>
      </c>
      <c r="N179" s="32">
        <v>2990</v>
      </c>
      <c r="O179" s="32">
        <v>3194</v>
      </c>
      <c r="P179" s="32">
        <v>3353</v>
      </c>
      <c r="Q179" s="32">
        <v>3422</v>
      </c>
      <c r="R179" s="36">
        <f>Q179+R181</f>
        <v>3431</v>
      </c>
      <c r="S179" s="36">
        <f t="shared" ref="S179:W179" si="327">R179+S181</f>
        <v>3523</v>
      </c>
      <c r="T179" s="36">
        <f t="shared" si="327"/>
        <v>3639</v>
      </c>
      <c r="U179" s="36">
        <f t="shared" si="327"/>
        <v>3737</v>
      </c>
      <c r="V179" s="36">
        <f t="shared" si="327"/>
        <v>3811.74</v>
      </c>
      <c r="W179" s="120">
        <f t="shared" si="327"/>
        <v>3887.9748</v>
      </c>
      <c r="X179" s="120">
        <f t="shared" ref="X179" si="328">W179+X181</f>
        <v>3965.7342960000001</v>
      </c>
      <c r="Y179" s="135" t="s">
        <v>4</v>
      </c>
    </row>
    <row r="180" spans="2:25" ht="15" customHeight="1" outlineLevel="3">
      <c r="B180" s="18" t="s">
        <v>27</v>
      </c>
      <c r="C180" s="1" t="s">
        <v>21</v>
      </c>
      <c r="D180" s="72"/>
      <c r="E180" s="24" t="str">
        <f t="shared" ref="E180:Q180" si="329">IFERROR(E179/D179-1,"n.m.")</f>
        <v>n.m.</v>
      </c>
      <c r="F180" s="24">
        <f t="shared" si="329"/>
        <v>5.4881010199125724E-2</v>
      </c>
      <c r="G180" s="24">
        <f t="shared" si="329"/>
        <v>6.5377532228360957E-2</v>
      </c>
      <c r="H180" s="24">
        <f t="shared" si="329"/>
        <v>6.698357821953338E-2</v>
      </c>
      <c r="I180" s="24">
        <f t="shared" si="329"/>
        <v>6.6423653300931473E-2</v>
      </c>
      <c r="J180" s="24">
        <f t="shared" si="329"/>
        <v>7.8237751614128381E-2</v>
      </c>
      <c r="K180" s="24">
        <f t="shared" si="329"/>
        <v>7.8196548080309958E-2</v>
      </c>
      <c r="L180" s="24">
        <f t="shared" si="329"/>
        <v>6.9911793531525657E-2</v>
      </c>
      <c r="M180" s="24">
        <f t="shared" si="329"/>
        <v>-0.14259541984732826</v>
      </c>
      <c r="N180" s="24">
        <f t="shared" si="329"/>
        <v>6.4814814814814881E-2</v>
      </c>
      <c r="O180" s="24">
        <f t="shared" si="329"/>
        <v>6.8227424749163879E-2</v>
      </c>
      <c r="P180" s="24">
        <f t="shared" si="329"/>
        <v>4.9780839073262362E-2</v>
      </c>
      <c r="Q180" s="24">
        <f t="shared" si="329"/>
        <v>2.057858634059051E-2</v>
      </c>
      <c r="R180" s="24">
        <f t="shared" ref="R180" si="330">IFERROR(R179/Q179-1,"n.m.")</f>
        <v>2.6300409117474555E-3</v>
      </c>
      <c r="S180" s="24">
        <f t="shared" ref="S180" si="331">IFERROR(S179/R179-1,"n.m.")</f>
        <v>2.6814339842611501E-2</v>
      </c>
      <c r="T180" s="24">
        <f t="shared" ref="T180" si="332">IFERROR(T179/S179-1,"n.m.")</f>
        <v>3.2926483110985005E-2</v>
      </c>
      <c r="U180" s="24">
        <f t="shared" ref="U180" si="333">IFERROR(U179/T179-1,"n.m.")</f>
        <v>2.6930475405331222E-2</v>
      </c>
      <c r="V180" s="24">
        <f t="shared" ref="V180" si="334">IFERROR(V179/U179-1,"n.m.")</f>
        <v>2.0000000000000018E-2</v>
      </c>
      <c r="W180" s="24">
        <f t="shared" ref="W180" si="335">IFERROR(W179/V179-1,"n.m.")</f>
        <v>2.0000000000000018E-2</v>
      </c>
      <c r="X180" s="24">
        <f t="shared" ref="X180" si="336">IFERROR(X179/W179-1,"n.m.")</f>
        <v>2.0000000000000018E-2</v>
      </c>
      <c r="Y180" s="135" t="s">
        <v>4</v>
      </c>
    </row>
    <row r="181" spans="2:25" ht="15" customHeight="1" outlineLevel="3">
      <c r="B181" s="18" t="s">
        <v>27</v>
      </c>
      <c r="C181" s="1" t="s">
        <v>39</v>
      </c>
      <c r="D181" s="92"/>
      <c r="E181" s="26">
        <f t="shared" ref="E181:Q181" si="337">IFERROR(E179-D179,"n.m.")</f>
        <v>2059</v>
      </c>
      <c r="F181" s="26">
        <f t="shared" si="337"/>
        <v>113</v>
      </c>
      <c r="G181" s="26">
        <f t="shared" si="337"/>
        <v>142</v>
      </c>
      <c r="H181" s="26">
        <f t="shared" si="337"/>
        <v>155</v>
      </c>
      <c r="I181" s="26">
        <f t="shared" si="337"/>
        <v>164</v>
      </c>
      <c r="J181" s="26">
        <f t="shared" si="337"/>
        <v>206</v>
      </c>
      <c r="K181" s="26">
        <f t="shared" si="337"/>
        <v>222</v>
      </c>
      <c r="L181" s="26">
        <f t="shared" si="337"/>
        <v>214</v>
      </c>
      <c r="M181" s="26">
        <f t="shared" si="337"/>
        <v>-467</v>
      </c>
      <c r="N181" s="26">
        <f t="shared" si="337"/>
        <v>182</v>
      </c>
      <c r="O181" s="26">
        <f t="shared" si="337"/>
        <v>204</v>
      </c>
      <c r="P181" s="26">
        <f t="shared" si="337"/>
        <v>159</v>
      </c>
      <c r="Q181" s="26">
        <f t="shared" si="337"/>
        <v>69</v>
      </c>
      <c r="R181" s="33">
        <v>9</v>
      </c>
      <c r="S181" s="33">
        <f>WACC!C37</f>
        <v>92</v>
      </c>
      <c r="T181" s="33">
        <f>WACC!D37</f>
        <v>115.99999999999999</v>
      </c>
      <c r="U181" s="33">
        <f>WACC!E37</f>
        <v>98</v>
      </c>
      <c r="V181" s="33">
        <f>U179*2%</f>
        <v>74.739999999999995</v>
      </c>
      <c r="W181" s="33">
        <f t="shared" ref="W181:X181" si="338">V179*2%</f>
        <v>76.234799999999993</v>
      </c>
      <c r="X181" s="33">
        <f t="shared" si="338"/>
        <v>77.759495999999999</v>
      </c>
      <c r="Y181" s="135" t="s">
        <v>4</v>
      </c>
    </row>
    <row r="182" spans="2:25" ht="15" customHeight="1" outlineLevel="3">
      <c r="Y182" s="135" t="s">
        <v>4</v>
      </c>
    </row>
    <row r="183" spans="2:25" ht="15" customHeight="1" outlineLevel="3">
      <c r="B183" s="6" t="s">
        <v>54</v>
      </c>
      <c r="C183" s="1" t="s">
        <v>39</v>
      </c>
      <c r="D183" s="5"/>
      <c r="E183" s="82">
        <v>45</v>
      </c>
      <c r="F183" s="82">
        <v>53</v>
      </c>
      <c r="G183" s="82">
        <v>65</v>
      </c>
      <c r="H183" s="82">
        <v>70</v>
      </c>
      <c r="I183" s="82">
        <v>55</v>
      </c>
      <c r="J183" s="82">
        <v>53</v>
      </c>
      <c r="K183" s="82">
        <v>41</v>
      </c>
      <c r="L183" s="82">
        <v>41</v>
      </c>
      <c r="M183" s="82">
        <v>41</v>
      </c>
      <c r="N183" s="82">
        <v>41</v>
      </c>
      <c r="O183" s="82">
        <v>41</v>
      </c>
      <c r="P183" s="82">
        <v>41</v>
      </c>
      <c r="Q183" s="82">
        <v>98</v>
      </c>
      <c r="R183" s="42">
        <f>Q183+R185</f>
        <v>109</v>
      </c>
      <c r="S183" s="42">
        <f t="shared" ref="S183:W183" si="339">R183+S185</f>
        <v>109</v>
      </c>
      <c r="T183" s="42">
        <f t="shared" si="339"/>
        <v>109</v>
      </c>
      <c r="U183" s="42">
        <f t="shared" si="339"/>
        <v>109</v>
      </c>
      <c r="V183" s="42">
        <f t="shared" si="339"/>
        <v>109</v>
      </c>
      <c r="W183" s="122">
        <f t="shared" si="339"/>
        <v>109</v>
      </c>
      <c r="X183" s="122">
        <f t="shared" ref="X183" si="340">W183+X185</f>
        <v>109</v>
      </c>
      <c r="Y183" s="135" t="s">
        <v>4</v>
      </c>
    </row>
    <row r="184" spans="2:25" ht="15" customHeight="1" outlineLevel="3">
      <c r="B184" s="18" t="s">
        <v>27</v>
      </c>
      <c r="C184" s="1" t="s">
        <v>21</v>
      </c>
      <c r="D184" s="72"/>
      <c r="E184" s="24" t="str">
        <f t="shared" ref="E184:Q184" si="341">IFERROR(E183/D183-1,"n.m.")</f>
        <v>n.m.</v>
      </c>
      <c r="F184" s="24">
        <f t="shared" si="341"/>
        <v>0.17777777777777781</v>
      </c>
      <c r="G184" s="24">
        <f t="shared" si="341"/>
        <v>0.22641509433962259</v>
      </c>
      <c r="H184" s="24">
        <f t="shared" si="341"/>
        <v>7.6923076923076872E-2</v>
      </c>
      <c r="I184" s="24">
        <f t="shared" si="341"/>
        <v>-0.2142857142857143</v>
      </c>
      <c r="J184" s="24">
        <f t="shared" si="341"/>
        <v>-3.6363636363636376E-2</v>
      </c>
      <c r="K184" s="24">
        <f t="shared" si="341"/>
        <v>-0.22641509433962259</v>
      </c>
      <c r="L184" s="24">
        <f t="shared" si="341"/>
        <v>0</v>
      </c>
      <c r="M184" s="24">
        <f t="shared" si="341"/>
        <v>0</v>
      </c>
      <c r="N184" s="24">
        <f t="shared" si="341"/>
        <v>0</v>
      </c>
      <c r="O184" s="24">
        <f t="shared" si="341"/>
        <v>0</v>
      </c>
      <c r="P184" s="24">
        <f t="shared" si="341"/>
        <v>0</v>
      </c>
      <c r="Q184" s="24">
        <f t="shared" si="341"/>
        <v>1.3902439024390243</v>
      </c>
      <c r="R184" s="24">
        <f t="shared" ref="R184" si="342">IFERROR(R183/Q183-1,"n.m.")</f>
        <v>0.11224489795918369</v>
      </c>
      <c r="S184" s="24">
        <f t="shared" ref="S184" si="343">IFERROR(S183/R183-1,"n.m.")</f>
        <v>0</v>
      </c>
      <c r="T184" s="24">
        <f t="shared" ref="T184" si="344">IFERROR(T183/S183-1,"n.m.")</f>
        <v>0</v>
      </c>
      <c r="U184" s="24">
        <f t="shared" ref="U184" si="345">IFERROR(U183/T183-1,"n.m.")</f>
        <v>0</v>
      </c>
      <c r="V184" s="24">
        <f t="shared" ref="V184" si="346">IFERROR(V183/U183-1,"n.m.")</f>
        <v>0</v>
      </c>
      <c r="W184" s="24">
        <f t="shared" ref="W184" si="347">IFERROR(W183/V183-1,"n.m.")</f>
        <v>0</v>
      </c>
      <c r="X184" s="24">
        <f t="shared" ref="X184" si="348">IFERROR(X183/W183-1,"n.m.")</f>
        <v>0</v>
      </c>
      <c r="Y184" s="135" t="s">
        <v>4</v>
      </c>
    </row>
    <row r="185" spans="2:25" ht="15" customHeight="1" outlineLevel="3">
      <c r="B185" s="20" t="s">
        <v>27</v>
      </c>
      <c r="C185" s="21" t="s">
        <v>39</v>
      </c>
      <c r="D185" s="107"/>
      <c r="E185" s="27">
        <f t="shared" ref="E185:Q185" si="349">IFERROR(E183-D183,"n.m.")</f>
        <v>45</v>
      </c>
      <c r="F185" s="27">
        <f t="shared" si="349"/>
        <v>8</v>
      </c>
      <c r="G185" s="27">
        <f t="shared" si="349"/>
        <v>12</v>
      </c>
      <c r="H185" s="27">
        <f t="shared" si="349"/>
        <v>5</v>
      </c>
      <c r="I185" s="27">
        <f t="shared" si="349"/>
        <v>-15</v>
      </c>
      <c r="J185" s="27">
        <f t="shared" si="349"/>
        <v>-2</v>
      </c>
      <c r="K185" s="27">
        <f t="shared" si="349"/>
        <v>-12</v>
      </c>
      <c r="L185" s="27">
        <f t="shared" si="349"/>
        <v>0</v>
      </c>
      <c r="M185" s="27">
        <f t="shared" si="349"/>
        <v>0</v>
      </c>
      <c r="N185" s="27">
        <f t="shared" si="349"/>
        <v>0</v>
      </c>
      <c r="O185" s="27">
        <f t="shared" si="349"/>
        <v>0</v>
      </c>
      <c r="P185" s="27">
        <f t="shared" si="349"/>
        <v>0</v>
      </c>
      <c r="Q185" s="27">
        <f t="shared" si="349"/>
        <v>57</v>
      </c>
      <c r="R185" s="30">
        <v>11</v>
      </c>
      <c r="S185" s="30">
        <v>0</v>
      </c>
      <c r="T185" s="30">
        <v>0</v>
      </c>
      <c r="U185" s="30">
        <v>0</v>
      </c>
      <c r="V185" s="30">
        <v>0</v>
      </c>
      <c r="W185" s="126">
        <v>0</v>
      </c>
      <c r="X185" s="126">
        <v>0</v>
      </c>
      <c r="Y185" s="135" t="s">
        <v>4</v>
      </c>
    </row>
    <row r="186" spans="2:25" ht="15" customHeight="1" outlineLevel="2">
      <c r="Y186" s="135" t="s">
        <v>4</v>
      </c>
    </row>
    <row r="187" spans="2:25" ht="15" customHeight="1" outlineLevel="2">
      <c r="B187" s="50" t="s">
        <v>42</v>
      </c>
      <c r="C187" s="51" t="s">
        <v>21</v>
      </c>
      <c r="D187" s="56"/>
      <c r="E187" s="56"/>
      <c r="F187" s="55">
        <f t="shared" ref="F187:Q187" si="350">F165</f>
        <v>8.1491344873501959E-2</v>
      </c>
      <c r="G187" s="55">
        <f t="shared" si="350"/>
        <v>0.1233686284166462</v>
      </c>
      <c r="H187" s="55">
        <f t="shared" si="350"/>
        <v>0.117748063714745</v>
      </c>
      <c r="I187" s="55">
        <f t="shared" si="350"/>
        <v>7.4129759764667513E-2</v>
      </c>
      <c r="J187" s="55">
        <f t="shared" si="350"/>
        <v>6.8526914767367497E-2</v>
      </c>
      <c r="K187" s="55">
        <f t="shared" si="350"/>
        <v>6.2708244340025754E-2</v>
      </c>
      <c r="L187" s="55">
        <f t="shared" si="350"/>
        <v>0.17828335611115564</v>
      </c>
      <c r="M187" s="55">
        <f t="shared" si="350"/>
        <v>0.1696611325904025</v>
      </c>
      <c r="N187" s="55">
        <f t="shared" si="350"/>
        <v>-1.1083025471514629E-2</v>
      </c>
      <c r="O187" s="55">
        <f t="shared" si="350"/>
        <v>4.9547778214707128E-2</v>
      </c>
      <c r="P187" s="55">
        <f t="shared" si="350"/>
        <v>0.10249535077167882</v>
      </c>
      <c r="Q187" s="55">
        <f t="shared" si="350"/>
        <v>4.059047397101434E-2</v>
      </c>
      <c r="R187" s="108">
        <f>(1+R190)*(1+R193)-1</f>
        <v>2.3018131620001325E-2</v>
      </c>
      <c r="S187" s="108">
        <f t="shared" ref="S187:W187" si="351">(1+S190)*(1+S193)-1</f>
        <v>4.5383844013759944E-2</v>
      </c>
      <c r="T187" s="108">
        <f t="shared" si="351"/>
        <v>5.4799061681284789E-2</v>
      </c>
      <c r="U187" s="108">
        <f t="shared" si="351"/>
        <v>5.14723646163604E-2</v>
      </c>
      <c r="V187" s="108">
        <f t="shared" si="351"/>
        <v>4.4407131789039767E-2</v>
      </c>
      <c r="W187" s="134">
        <f t="shared" si="351"/>
        <v>4.5813911759647441E-2</v>
      </c>
      <c r="X187" s="134">
        <f t="shared" ref="X187" si="352">(1+X190)*(1+X193)-1</f>
        <v>4.7327691276117134E-2</v>
      </c>
      <c r="Y187" s="135" t="s">
        <v>4</v>
      </c>
    </row>
    <row r="188" spans="2:25" ht="15" customHeight="1" outlineLevel="2">
      <c r="B188" s="49" t="s">
        <v>43</v>
      </c>
      <c r="C188" s="52" t="s">
        <v>21</v>
      </c>
      <c r="D188" s="57"/>
      <c r="E188" s="57"/>
      <c r="F188" s="53">
        <f t="shared" ref="F188" si="353">(1+F187)*(1+E187)-1</f>
        <v>8.1491344873501959E-2</v>
      </c>
      <c r="G188" s="53">
        <f t="shared" ref="G188" si="354">(1+G187)*(1+F187)-1</f>
        <v>0.21491344873501994</v>
      </c>
      <c r="H188" s="53">
        <f t="shared" ref="H188" si="355">(1+H187)*(1+G187)-1</f>
        <v>0.25564310925059508</v>
      </c>
      <c r="I188" s="53">
        <f t="shared" ref="I188" si="356">(1+I187)*(1+H187)-1</f>
        <v>0.20060645915534137</v>
      </c>
      <c r="J188" s="53">
        <f t="shared" ref="J188" si="357">(1+J187)*(1+I187)-1</f>
        <v>0.14773655826115384</v>
      </c>
      <c r="K188" s="53">
        <f t="shared" ref="K188" si="358">(1+K187)*(1+J187)-1</f>
        <v>0.13553236162249349</v>
      </c>
      <c r="L188" s="53">
        <f t="shared" ref="L188" si="359">(1+L187)*(1+K187)-1</f>
        <v>0.2521714367079595</v>
      </c>
      <c r="M188" s="53">
        <f t="shared" ref="M188" si="360">(1+M187)*(1+L187)-1</f>
        <v>0.3781922448213948</v>
      </c>
      <c r="N188" s="53">
        <f t="shared" ref="N188" si="361">(1+N187)*(1+M187)-1</f>
        <v>0.1566977484648624</v>
      </c>
      <c r="O188" s="53">
        <f t="shared" ref="O188" si="362">(1+O187)*(1+N187)-1</f>
        <v>3.7915613455181907E-2</v>
      </c>
      <c r="P188" s="53">
        <f t="shared" ref="P188" si="363">(1+P187)*(1+O187)-1</f>
        <v>0.1571215458944597</v>
      </c>
      <c r="Q188" s="53">
        <f>(1+Q187)*(1+P187)-1</f>
        <v>0.14724615961034093</v>
      </c>
      <c r="R188" s="53">
        <f t="shared" ref="R188" si="364">(1+R187)*(1+Q187)-1</f>
        <v>6.4542922463398655E-2</v>
      </c>
      <c r="S188" s="53">
        <f t="shared" ref="S188" si="365">(1+S187)*(1+R187)-1</f>
        <v>6.9446626928691524E-2</v>
      </c>
      <c r="T188" s="53">
        <f t="shared" ref="T188" si="366">(1+T187)*(1+S187)-1</f>
        <v>0.10266989776248847</v>
      </c>
      <c r="U188" s="53">
        <f t="shared" ref="U188" si="367">(1+U187)*(1+T187)-1</f>
        <v>0.10909206358113877</v>
      </c>
      <c r="V188" s="53">
        <f t="shared" ref="V188" si="368">(1+V187)*(1+U187)-1</f>
        <v>9.8165236484412333E-2</v>
      </c>
      <c r="W188" s="116">
        <f t="shared" ref="W188" si="369">(1+W187)*(1+V187)-1</f>
        <v>9.2255507965969263E-2</v>
      </c>
      <c r="X188" s="116">
        <f t="shared" ref="X188" si="370">(1+X187)*(1+W187)-1</f>
        <v>9.5309869707676409E-2</v>
      </c>
      <c r="Y188" s="135" t="s">
        <v>4</v>
      </c>
    </row>
    <row r="189" spans="2:25" ht="15" customHeight="1" outlineLevel="3">
      <c r="Y189" s="135" t="s">
        <v>4</v>
      </c>
    </row>
    <row r="190" spans="2:25" ht="15" customHeight="1" outlineLevel="3">
      <c r="B190" s="17" t="s">
        <v>45</v>
      </c>
      <c r="C190" s="15" t="s">
        <v>21</v>
      </c>
      <c r="D190" s="91"/>
      <c r="E190" s="64">
        <v>6.9000000000000006E-2</v>
      </c>
      <c r="F190" s="64">
        <v>3.6999999999999998E-2</v>
      </c>
      <c r="G190" s="64">
        <v>6.2E-2</v>
      </c>
      <c r="H190" s="64">
        <v>5.8999999999999997E-2</v>
      </c>
      <c r="I190" s="64">
        <v>1.7000000000000001E-2</v>
      </c>
      <c r="J190" s="64">
        <v>-1.4999999999999999E-2</v>
      </c>
      <c r="K190" s="64">
        <v>1.6E-2</v>
      </c>
      <c r="L190" s="64">
        <v>0.11924999999999999</v>
      </c>
      <c r="M190" s="64">
        <v>0.15649999999999997</v>
      </c>
      <c r="N190" s="64">
        <v>-1.9E-2</v>
      </c>
      <c r="O190" s="64">
        <v>-6.0000000000000001E-3</v>
      </c>
      <c r="P190" s="64">
        <v>4.8000000000000001E-2</v>
      </c>
      <c r="Q190" s="64">
        <v>4.9999999999999992E-3</v>
      </c>
      <c r="R190" s="68">
        <v>1.7000000000000001E-2</v>
      </c>
      <c r="S190" s="68">
        <f>R190*(1+0.5%)</f>
        <v>1.7084999999999999E-2</v>
      </c>
      <c r="T190" s="68">
        <f>S190*(1+2.5%)</f>
        <v>1.7512124999999996E-2</v>
      </c>
      <c r="U190" s="68">
        <f>T190*(1+3.5%)</f>
        <v>1.8125049374999994E-2</v>
      </c>
      <c r="V190" s="68">
        <f t="shared" ref="V190:X190" si="371">U190*(1+0.5%)</f>
        <v>1.821567462187499E-2</v>
      </c>
      <c r="W190" s="68">
        <f t="shared" si="371"/>
        <v>1.8306752994984365E-2</v>
      </c>
      <c r="X190" s="68">
        <f t="shared" si="371"/>
        <v>1.8398286759959286E-2</v>
      </c>
      <c r="Y190" s="135" t="s">
        <v>4</v>
      </c>
    </row>
    <row r="191" spans="2:25" ht="15" customHeight="1" outlineLevel="3">
      <c r="B191" s="58" t="s">
        <v>43</v>
      </c>
      <c r="C191" s="52" t="s">
        <v>21</v>
      </c>
      <c r="D191" s="72"/>
      <c r="E191" s="53" t="s">
        <v>44</v>
      </c>
      <c r="F191" s="53">
        <f t="shared" ref="F191:P191" si="372">(1+F190)*(1+E190)-1</f>
        <v>0.1085529999999999</v>
      </c>
      <c r="G191" s="53">
        <f t="shared" si="372"/>
        <v>0.101294</v>
      </c>
      <c r="H191" s="53">
        <f t="shared" si="372"/>
        <v>0.12465799999999994</v>
      </c>
      <c r="I191" s="53">
        <f t="shared" si="372"/>
        <v>7.7002999999999933E-2</v>
      </c>
      <c r="J191" s="53">
        <f t="shared" si="372"/>
        <v>1.7449999999998855E-3</v>
      </c>
      <c r="K191" s="53">
        <f t="shared" si="372"/>
        <v>7.6000000000009393E-4</v>
      </c>
      <c r="L191" s="53">
        <f t="shared" si="372"/>
        <v>0.13715800000000011</v>
      </c>
      <c r="M191" s="53">
        <f t="shared" si="372"/>
        <v>0.29441262499999987</v>
      </c>
      <c r="N191" s="53">
        <f t="shared" si="372"/>
        <v>0.13452649999999977</v>
      </c>
      <c r="O191" s="53">
        <f t="shared" si="372"/>
        <v>-2.4886000000000075E-2</v>
      </c>
      <c r="P191" s="53">
        <f t="shared" si="372"/>
        <v>4.1711999999999971E-2</v>
      </c>
      <c r="Q191" s="53">
        <f>(1+Q190)*(1+P190)-1</f>
        <v>5.3239999999999954E-2</v>
      </c>
      <c r="R191" s="53">
        <f t="shared" ref="R191:W191" si="373">(1+R190)*(1+Q190)-1</f>
        <v>2.2084999999999688E-2</v>
      </c>
      <c r="S191" s="53">
        <f t="shared" si="373"/>
        <v>3.4375445000000004E-2</v>
      </c>
      <c r="T191" s="53">
        <f t="shared" si="373"/>
        <v>3.4896319655625119E-2</v>
      </c>
      <c r="U191" s="53">
        <f t="shared" si="373"/>
        <v>3.595458250528627E-2</v>
      </c>
      <c r="V191" s="53">
        <f t="shared" si="373"/>
        <v>3.6670883998795256E-2</v>
      </c>
      <c r="W191" s="116">
        <f t="shared" si="373"/>
        <v>3.6855897472798826E-2</v>
      </c>
      <c r="X191" s="116">
        <f t="shared" ref="X191" si="374">(1+X190)*(1+W190)-1</f>
        <v>3.7041852646189088E-2</v>
      </c>
      <c r="Y191" s="135" t="s">
        <v>4</v>
      </c>
    </row>
    <row r="192" spans="2:25" ht="15" customHeight="1" outlineLevel="3">
      <c r="Y192" s="135" t="s">
        <v>4</v>
      </c>
    </row>
    <row r="193" spans="2:25" ht="15" customHeight="1" outlineLevel="3">
      <c r="B193" s="6" t="s">
        <v>55</v>
      </c>
      <c r="C193" s="1" t="s">
        <v>21</v>
      </c>
      <c r="D193" s="72"/>
      <c r="E193" s="72"/>
      <c r="F193" s="23">
        <f t="shared" ref="F193:Q193" si="375">(1+F187)/(1+F190)-1</f>
        <v>4.2903900553039609E-2</v>
      </c>
      <c r="G193" s="23">
        <f t="shared" si="375"/>
        <v>5.7785902463885153E-2</v>
      </c>
      <c r="H193" s="23">
        <f t="shared" si="375"/>
        <v>5.5475036557832924E-2</v>
      </c>
      <c r="I193" s="23">
        <f t="shared" si="375"/>
        <v>5.6174788362505002E-2</v>
      </c>
      <c r="J193" s="23">
        <f t="shared" si="375"/>
        <v>8.479889824098219E-2</v>
      </c>
      <c r="K193" s="23">
        <f t="shared" si="375"/>
        <v>4.5972681437033147E-2</v>
      </c>
      <c r="L193" s="23">
        <f t="shared" si="375"/>
        <v>5.2743673094621801E-2</v>
      </c>
      <c r="M193" s="23">
        <f t="shared" si="375"/>
        <v>1.1380140588329146E-2</v>
      </c>
      <c r="N193" s="23">
        <f t="shared" si="375"/>
        <v>8.0703104265906767E-3</v>
      </c>
      <c r="O193" s="23">
        <f t="shared" si="375"/>
        <v>5.5883076674755561E-2</v>
      </c>
      <c r="P193" s="23">
        <f t="shared" si="375"/>
        <v>5.1999380507327109E-2</v>
      </c>
      <c r="Q193" s="23">
        <f t="shared" si="375"/>
        <v>3.541340693633277E-2</v>
      </c>
      <c r="R193" s="23">
        <f>R194*R176</f>
        <v>5.9175335496573804E-3</v>
      </c>
      <c r="S193" s="23">
        <f t="shared" ref="S193:W193" si="376">S194*S176</f>
        <v>2.7823479860345914E-2</v>
      </c>
      <c r="T193" s="23">
        <f t="shared" si="376"/>
        <v>3.6645201334858483E-2</v>
      </c>
      <c r="U193" s="23">
        <f t="shared" si="376"/>
        <v>3.2753653651711394E-2</v>
      </c>
      <c r="V193" s="23">
        <f t="shared" si="376"/>
        <v>2.5722897240696325E-2</v>
      </c>
      <c r="W193" s="128">
        <f t="shared" si="376"/>
        <v>2.7012644945897338E-2</v>
      </c>
      <c r="X193" s="128">
        <f t="shared" ref="X193" si="377">X194*X176</f>
        <v>2.840676864078092E-2</v>
      </c>
      <c r="Y193" s="135" t="s">
        <v>4</v>
      </c>
    </row>
    <row r="194" spans="2:25" ht="15" customHeight="1" outlineLevel="3">
      <c r="B194" s="59" t="s">
        <v>48</v>
      </c>
      <c r="C194" s="60" t="s">
        <v>21</v>
      </c>
      <c r="D194" s="107"/>
      <c r="E194" s="107"/>
      <c r="F194" s="65">
        <f t="shared" ref="F194:P194" si="378">F193/F176</f>
        <v>0.74603146085615979</v>
      </c>
      <c r="G194" s="65">
        <f t="shared" si="378"/>
        <v>0.83489372066327661</v>
      </c>
      <c r="H194" s="65">
        <f t="shared" si="378"/>
        <v>0.82484444981927862</v>
      </c>
      <c r="I194" s="65">
        <f t="shared" si="378"/>
        <v>0.95723347417718363</v>
      </c>
      <c r="J194" s="65">
        <f t="shared" si="378"/>
        <v>1.1173501885870585</v>
      </c>
      <c r="K194" s="65">
        <f t="shared" si="378"/>
        <v>0.6331094986471425</v>
      </c>
      <c r="L194" s="65">
        <f t="shared" si="378"/>
        <v>0.76453679410989228</v>
      </c>
      <c r="M194" s="65">
        <f t="shared" si="378"/>
        <v>-8.0806308759955994E-2</v>
      </c>
      <c r="N194" s="65">
        <f t="shared" si="378"/>
        <v>0.12633139783163103</v>
      </c>
      <c r="O194" s="65">
        <f t="shared" si="378"/>
        <v>0.83030198726070514</v>
      </c>
      <c r="P194" s="65">
        <f t="shared" si="378"/>
        <v>1.0579748172402736</v>
      </c>
      <c r="Q194" s="65">
        <f>Q193/Q176</f>
        <v>0.95391351699931359</v>
      </c>
      <c r="R194" s="67">
        <f>(Q165+Q164*R190)/100</f>
        <v>1.04148590473971</v>
      </c>
      <c r="S194" s="67">
        <f t="shared" ref="S194:X194" si="379">(R165+R164*S190)/100</f>
        <v>1.0705991163654858</v>
      </c>
      <c r="T194" s="67">
        <f t="shared" si="379"/>
        <v>1.1473738900707426</v>
      </c>
      <c r="U194" s="67">
        <f t="shared" si="379"/>
        <v>1.2526601417001451</v>
      </c>
      <c r="V194" s="67">
        <f t="shared" si="379"/>
        <v>1.3236588545319545</v>
      </c>
      <c r="W194" s="67">
        <f t="shared" si="379"/>
        <v>1.3892547438332306</v>
      </c>
      <c r="X194" s="67">
        <f t="shared" si="379"/>
        <v>1.4601578488449953</v>
      </c>
      <c r="Y194" s="135" t="s">
        <v>4</v>
      </c>
    </row>
    <row r="195" spans="2:25" ht="15" customHeight="1" outlineLevel="2">
      <c r="R195" s="615"/>
      <c r="Y195" s="135" t="s">
        <v>4</v>
      </c>
    </row>
    <row r="196" spans="2:25" ht="15" customHeight="1" outlineLevel="1">
      <c r="Y196" s="135" t="s">
        <v>4</v>
      </c>
    </row>
    <row r="197" spans="2:25" ht="15" customHeight="1" outlineLevel="1">
      <c r="B197" s="105" t="s">
        <v>57</v>
      </c>
      <c r="C197" s="103"/>
      <c r="D197" s="104"/>
      <c r="E197" s="104"/>
      <c r="F197" s="104"/>
      <c r="G197" s="104"/>
      <c r="H197" s="104"/>
      <c r="I197" s="104"/>
      <c r="J197" s="104"/>
      <c r="K197" s="104"/>
      <c r="L197" s="104"/>
      <c r="M197" s="104"/>
      <c r="N197" s="137"/>
      <c r="O197" s="137"/>
      <c r="P197" s="137"/>
      <c r="Q197" s="137"/>
      <c r="R197" s="137"/>
      <c r="S197" s="137"/>
      <c r="T197" s="137"/>
      <c r="U197" s="137"/>
      <c r="V197" s="104"/>
      <c r="W197" s="133"/>
      <c r="X197" s="133"/>
      <c r="Y197" s="135" t="s">
        <v>4</v>
      </c>
    </row>
    <row r="198" spans="2:25" ht="15" customHeight="1" outlineLevel="2">
      <c r="M198" s="23"/>
      <c r="N198" s="23"/>
      <c r="O198" s="23"/>
      <c r="P198" s="23"/>
      <c r="Q198" s="23"/>
      <c r="R198" s="23"/>
      <c r="S198" s="23"/>
      <c r="T198" s="23"/>
      <c r="U198" s="23"/>
      <c r="Y198" s="135" t="s">
        <v>4</v>
      </c>
    </row>
    <row r="199" spans="2:25" ht="15" customHeight="1" outlineLevel="2">
      <c r="B199" s="7" t="s">
        <v>25</v>
      </c>
      <c r="C199" s="13" t="s">
        <v>26</v>
      </c>
      <c r="D199" s="71"/>
      <c r="E199" s="71"/>
      <c r="F199" s="71"/>
      <c r="G199" s="71"/>
      <c r="H199" s="71"/>
      <c r="I199" s="71"/>
      <c r="J199" s="71"/>
      <c r="K199" s="71"/>
      <c r="L199" s="71"/>
      <c r="M199" s="71"/>
      <c r="N199" s="75">
        <f>N202+N206</f>
        <v>110.73057583606558</v>
      </c>
      <c r="O199" s="75">
        <f t="shared" ref="O199:W199" si="380">O202+O206</f>
        <v>138</v>
      </c>
      <c r="P199" s="75">
        <f t="shared" si="380"/>
        <v>188</v>
      </c>
      <c r="Q199" s="75">
        <f t="shared" si="380"/>
        <v>213</v>
      </c>
      <c r="R199" s="75">
        <f t="shared" si="380"/>
        <v>194.77056801260119</v>
      </c>
      <c r="S199" s="75">
        <f t="shared" si="380"/>
        <v>202.59657076379074</v>
      </c>
      <c r="T199" s="75">
        <f t="shared" si="380"/>
        <v>224.75998694348675</v>
      </c>
      <c r="U199" s="75">
        <f t="shared" si="380"/>
        <v>237.50145660294575</v>
      </c>
      <c r="V199" s="75">
        <f t="shared" si="380"/>
        <v>242.33866080485458</v>
      </c>
      <c r="W199" s="75">
        <f t="shared" si="380"/>
        <v>254.84259947293771</v>
      </c>
      <c r="X199" s="75">
        <f t="shared" ref="X199" si="381">X202+X206</f>
        <v>269.59344342410827</v>
      </c>
      <c r="Y199" s="135" t="s">
        <v>4</v>
      </c>
    </row>
    <row r="200" spans="2:25" ht="15" customHeight="1" outlineLevel="2">
      <c r="B200" s="6" t="s">
        <v>27</v>
      </c>
      <c r="C200" s="1" t="s">
        <v>21</v>
      </c>
      <c r="D200" s="72"/>
      <c r="E200" s="72"/>
      <c r="F200" s="72"/>
      <c r="G200" s="72"/>
      <c r="H200" s="72"/>
      <c r="I200" s="72"/>
      <c r="J200" s="72"/>
      <c r="K200" s="72"/>
      <c r="L200" s="72"/>
      <c r="M200" s="72"/>
      <c r="N200" s="24" t="str">
        <f>IFERROR(N199/M199-1,"n.m.")</f>
        <v>n.m.</v>
      </c>
      <c r="O200" s="24">
        <f>IFERROR(O199/N199-1,"n.m.")</f>
        <v>0.246268241251687</v>
      </c>
      <c r="P200" s="24">
        <f>IFERROR(P199/O199-1,"n.m.")</f>
        <v>0.3623188405797102</v>
      </c>
      <c r="Q200" s="24">
        <f>IFERROR(Q199/P199-1,"n.m.")</f>
        <v>0.13297872340425543</v>
      </c>
      <c r="R200" s="24">
        <f t="shared" ref="R200:W200" si="382">IFERROR(R199/Q199-1,"n.m.")</f>
        <v>-8.5584187734266681E-2</v>
      </c>
      <c r="S200" s="24">
        <f t="shared" si="382"/>
        <v>4.0180622930068299E-2</v>
      </c>
      <c r="T200" s="24">
        <f t="shared" si="382"/>
        <v>0.10939679825842941</v>
      </c>
      <c r="U200" s="24">
        <f t="shared" si="382"/>
        <v>5.6689225839217983E-2</v>
      </c>
      <c r="V200" s="24">
        <f t="shared" si="382"/>
        <v>2.0367050674538145E-2</v>
      </c>
      <c r="W200" s="24">
        <f t="shared" si="382"/>
        <v>5.1596961981035472E-2</v>
      </c>
      <c r="X200" s="24">
        <f t="shared" ref="X200" si="383">IFERROR(X199/W199-1,"n.m.")</f>
        <v>5.7882175043254547E-2</v>
      </c>
      <c r="Y200" s="135" t="s">
        <v>4</v>
      </c>
    </row>
    <row r="201" spans="2:25" ht="15" customHeight="1" outlineLevel="2">
      <c r="W201" s="9"/>
      <c r="X201" s="9"/>
      <c r="Y201" s="135" t="s">
        <v>4</v>
      </c>
    </row>
    <row r="202" spans="2:25" ht="15" customHeight="1" outlineLevel="3">
      <c r="B202" s="17" t="s">
        <v>50</v>
      </c>
      <c r="C202" s="15" t="s">
        <v>26</v>
      </c>
      <c r="D202" s="44"/>
      <c r="E202" s="44"/>
      <c r="F202" s="44"/>
      <c r="G202" s="44"/>
      <c r="H202" s="44"/>
      <c r="I202" s="44"/>
      <c r="J202" s="44"/>
      <c r="K202" s="44"/>
      <c r="L202" s="44"/>
      <c r="M202" s="44"/>
      <c r="N202" s="36">
        <f>N224</f>
        <v>36.946855737704922</v>
      </c>
      <c r="O202" s="36">
        <f t="shared" ref="O202:W202" si="384">O224</f>
        <v>40</v>
      </c>
      <c r="P202" s="36">
        <f t="shared" si="384"/>
        <v>40</v>
      </c>
      <c r="Q202" s="36">
        <f t="shared" si="384"/>
        <v>41</v>
      </c>
      <c r="R202" s="36">
        <f t="shared" si="384"/>
        <v>42.695632489894955</v>
      </c>
      <c r="S202" s="36">
        <f t="shared" si="384"/>
        <v>43.619139020651382</v>
      </c>
      <c r="T202" s="36">
        <f t="shared" si="384"/>
        <v>44.595642866863656</v>
      </c>
      <c r="U202" s="36">
        <f t="shared" si="384"/>
        <v>45.643925997838409</v>
      </c>
      <c r="V202" s="36">
        <f t="shared" si="384"/>
        <v>46.738308983947519</v>
      </c>
      <c r="W202" s="36">
        <f t="shared" si="384"/>
        <v>47.87013770208857</v>
      </c>
      <c r="X202" s="36">
        <f t="shared" ref="X202" si="385">X224</f>
        <v>49.04096749349825</v>
      </c>
      <c r="Y202" s="135" t="s">
        <v>4</v>
      </c>
    </row>
    <row r="203" spans="2:25" ht="15" customHeight="1" outlineLevel="3">
      <c r="B203" s="18" t="s">
        <v>27</v>
      </c>
      <c r="C203" s="1" t="s">
        <v>21</v>
      </c>
      <c r="D203" s="72"/>
      <c r="E203" s="72"/>
      <c r="F203" s="72"/>
      <c r="G203" s="72"/>
      <c r="H203" s="72"/>
      <c r="I203" s="72"/>
      <c r="J203" s="72"/>
      <c r="K203" s="72"/>
      <c r="L203" s="72"/>
      <c r="M203" s="72"/>
      <c r="N203" s="24" t="str">
        <f>IFERROR(N202/M202-1,"n.m.")</f>
        <v>n.m.</v>
      </c>
      <c r="O203" s="24">
        <f>IFERROR(O202/N202-1,"n.m.")</f>
        <v>8.2636105328424136E-2</v>
      </c>
      <c r="P203" s="24">
        <f>IFERROR(P202/O202-1,"n.m.")</f>
        <v>0</v>
      </c>
      <c r="Q203" s="24">
        <f>IFERROR(Q202/P202-1,"n.m.")</f>
        <v>2.4999999999999911E-2</v>
      </c>
      <c r="R203" s="24">
        <f t="shared" ref="R203" si="386">IFERROR(R202/Q202-1,"n.m.")</f>
        <v>4.1356889997437918E-2</v>
      </c>
      <c r="S203" s="24">
        <f t="shared" ref="S203" si="387">IFERROR(S202/R202-1,"n.m.")</f>
        <v>2.1630000000000038E-2</v>
      </c>
      <c r="T203" s="24">
        <f t="shared" ref="T203" si="388">IFERROR(T202/S202-1,"n.m.")</f>
        <v>2.2387050000000075E-2</v>
      </c>
      <c r="U203" s="24">
        <f t="shared" ref="U203" si="389">IFERROR(U202/T202-1,"n.m.")</f>
        <v>2.3506402500000023E-2</v>
      </c>
      <c r="V203" s="24">
        <f t="shared" ref="V203" si="390">IFERROR(V202/U202-1,"n.m.")</f>
        <v>2.397653054999993E-2</v>
      </c>
      <c r="W203" s="24">
        <f t="shared" ref="W203" si="391">IFERROR(W202/V202-1,"n.m.")</f>
        <v>2.4216295855500114E-2</v>
      </c>
      <c r="X203" s="24">
        <f t="shared" ref="X203" si="392">IFERROR(X202/W202-1,"n.m.")</f>
        <v>2.4458458814055062E-2</v>
      </c>
      <c r="Y203" s="135" t="s">
        <v>4</v>
      </c>
    </row>
    <row r="204" spans="2:25" ht="15" customHeight="1" outlineLevel="3">
      <c r="B204" s="18" t="s">
        <v>29</v>
      </c>
      <c r="C204" s="1" t="s">
        <v>21</v>
      </c>
      <c r="D204" s="106"/>
      <c r="E204" s="106"/>
      <c r="F204" s="106"/>
      <c r="G204" s="106"/>
      <c r="H204" s="106"/>
      <c r="I204" s="106"/>
      <c r="J204" s="106"/>
      <c r="K204" s="106"/>
      <c r="L204" s="106"/>
      <c r="M204" s="106"/>
      <c r="N204" s="97">
        <f>N202/N$199</f>
        <v>0.33366444144934282</v>
      </c>
      <c r="O204" s="97">
        <f t="shared" ref="O204:W204" si="393">O202/O$199</f>
        <v>0.28985507246376813</v>
      </c>
      <c r="P204" s="97">
        <f t="shared" si="393"/>
        <v>0.21276595744680851</v>
      </c>
      <c r="Q204" s="97">
        <f t="shared" si="393"/>
        <v>0.19248826291079812</v>
      </c>
      <c r="R204" s="97">
        <f t="shared" si="393"/>
        <v>0.21920987819439255</v>
      </c>
      <c r="S204" s="97">
        <f t="shared" si="393"/>
        <v>0.21530048043857242</v>
      </c>
      <c r="T204" s="97">
        <f t="shared" si="393"/>
        <v>0.19841451084474704</v>
      </c>
      <c r="U204" s="97">
        <f t="shared" si="393"/>
        <v>0.19218377289426816</v>
      </c>
      <c r="V204" s="97">
        <f t="shared" si="393"/>
        <v>0.19286361007657779</v>
      </c>
      <c r="W204" s="97">
        <f t="shared" si="393"/>
        <v>0.1878419769736025</v>
      </c>
      <c r="X204" s="97">
        <f t="shared" ref="X204" si="394">X202/X$199</f>
        <v>0.18190712233438827</v>
      </c>
      <c r="Y204" s="135" t="s">
        <v>4</v>
      </c>
    </row>
    <row r="205" spans="2:25" ht="15" customHeight="1" outlineLevel="3">
      <c r="D205" s="40"/>
      <c r="E205" s="40"/>
      <c r="F205" s="40"/>
      <c r="G205" s="40"/>
      <c r="H205" s="40"/>
      <c r="I205" s="40"/>
      <c r="J205" s="40"/>
      <c r="K205" s="40"/>
      <c r="L205" s="40"/>
      <c r="M205" s="40"/>
      <c r="N205" s="40"/>
      <c r="O205" s="40"/>
      <c r="P205" s="40"/>
      <c r="Q205" s="40"/>
      <c r="R205" s="40"/>
      <c r="S205" s="40"/>
      <c r="T205" s="40"/>
      <c r="U205" s="40"/>
      <c r="V205" s="40"/>
      <c r="W205" s="40"/>
      <c r="X205" s="40"/>
      <c r="Y205" s="135" t="s">
        <v>4</v>
      </c>
    </row>
    <row r="206" spans="2:25" ht="15" customHeight="1" outlineLevel="3">
      <c r="B206" s="6" t="s">
        <v>51</v>
      </c>
      <c r="C206" s="1" t="s">
        <v>26</v>
      </c>
      <c r="D206" s="4"/>
      <c r="E206" s="4"/>
      <c r="F206" s="4"/>
      <c r="G206" s="4"/>
      <c r="H206" s="4"/>
      <c r="I206" s="4"/>
      <c r="J206" s="4"/>
      <c r="K206" s="4"/>
      <c r="L206" s="4"/>
      <c r="M206" s="4"/>
      <c r="N206" s="109">
        <v>73.783720098360661</v>
      </c>
      <c r="O206" s="110">
        <f>O211+O216</f>
        <v>98</v>
      </c>
      <c r="P206" s="110">
        <f t="shared" ref="P206:W206" si="395">P211+P216</f>
        <v>148</v>
      </c>
      <c r="Q206" s="110">
        <f t="shared" si="395"/>
        <v>172</v>
      </c>
      <c r="R206" s="110">
        <f t="shared" si="395"/>
        <v>152.07493552270623</v>
      </c>
      <c r="S206" s="110">
        <f t="shared" si="395"/>
        <v>158.97743174313936</v>
      </c>
      <c r="T206" s="110">
        <f t="shared" si="395"/>
        <v>180.16434407662311</v>
      </c>
      <c r="U206" s="110">
        <f t="shared" si="395"/>
        <v>191.85753060510734</v>
      </c>
      <c r="V206" s="110">
        <f t="shared" si="395"/>
        <v>195.60035182090706</v>
      </c>
      <c r="W206" s="110">
        <f t="shared" si="395"/>
        <v>206.97246177084912</v>
      </c>
      <c r="X206" s="110">
        <f t="shared" ref="X206" si="396">X211+X216</f>
        <v>220.55247593061003</v>
      </c>
      <c r="Y206" s="135" t="s">
        <v>4</v>
      </c>
    </row>
    <row r="207" spans="2:25" ht="15" customHeight="1" outlineLevel="3">
      <c r="B207" s="18" t="s">
        <v>27</v>
      </c>
      <c r="C207" s="1" t="s">
        <v>21</v>
      </c>
      <c r="D207" s="45"/>
      <c r="E207" s="45"/>
      <c r="F207" s="45"/>
      <c r="G207" s="45"/>
      <c r="H207" s="45"/>
      <c r="I207" s="45"/>
      <c r="J207" s="45"/>
      <c r="K207" s="45"/>
      <c r="L207" s="45"/>
      <c r="M207" s="45"/>
      <c r="N207" s="24" t="str">
        <f>IFERROR(N206/M206-1,"n.m.")</f>
        <v>n.m.</v>
      </c>
      <c r="O207" s="24">
        <f>IFERROR(O206/N206-1,"n.m.")</f>
        <v>0.32820627462747543</v>
      </c>
      <c r="P207" s="24">
        <f>IFERROR(P206/O206-1,"n.m.")</f>
        <v>0.51020408163265296</v>
      </c>
      <c r="Q207" s="24">
        <f>IFERROR(Q206/P206-1,"n.m.")</f>
        <v>0.16216216216216206</v>
      </c>
      <c r="R207" s="24">
        <f t="shared" ref="R207" si="397">IFERROR(R206/Q206-1,"n.m.")</f>
        <v>-0.11584339812380096</v>
      </c>
      <c r="S207" s="24">
        <f t="shared" ref="S207" si="398">IFERROR(S206/R206-1,"n.m.")</f>
        <v>4.5388782817550766E-2</v>
      </c>
      <c r="T207" s="24">
        <f t="shared" ref="T207" si="399">IFERROR(T206/S206-1,"n.m.")</f>
        <v>0.13326993712991642</v>
      </c>
      <c r="U207" s="24">
        <f t="shared" ref="U207" si="400">IFERROR(U206/T206-1,"n.m.")</f>
        <v>6.4902889572373779E-2</v>
      </c>
      <c r="V207" s="24">
        <f t="shared" ref="V207" si="401">IFERROR(V206/U206-1,"n.m.")</f>
        <v>1.9508336232594514E-2</v>
      </c>
      <c r="W207" s="24">
        <f t="shared" ref="W207" si="402">IFERROR(W206/V206-1,"n.m.")</f>
        <v>5.8139516846853256E-2</v>
      </c>
      <c r="X207" s="24">
        <f t="shared" ref="X207" si="403">IFERROR(X206/W206-1,"n.m.")</f>
        <v>6.5612661914395742E-2</v>
      </c>
      <c r="Y207" s="135" t="s">
        <v>4</v>
      </c>
    </row>
    <row r="208" spans="2:25" ht="15" customHeight="1" outlineLevel="3">
      <c r="B208" s="18" t="s">
        <v>29</v>
      </c>
      <c r="C208" s="1" t="s">
        <v>21</v>
      </c>
      <c r="D208" s="45"/>
      <c r="E208" s="45"/>
      <c r="F208" s="45"/>
      <c r="G208" s="45"/>
      <c r="H208" s="45"/>
      <c r="I208" s="45"/>
      <c r="J208" s="45"/>
      <c r="K208" s="45"/>
      <c r="L208" s="45"/>
      <c r="M208" s="45"/>
      <c r="N208" s="97">
        <f>N206/N$199</f>
        <v>0.66633555855065718</v>
      </c>
      <c r="O208" s="97">
        <f t="shared" ref="O208:W208" si="404">O206/O$199</f>
        <v>0.71014492753623193</v>
      </c>
      <c r="P208" s="97">
        <f t="shared" si="404"/>
        <v>0.78723404255319152</v>
      </c>
      <c r="Q208" s="97">
        <f t="shared" si="404"/>
        <v>0.80751173708920188</v>
      </c>
      <c r="R208" s="97">
        <f t="shared" si="404"/>
        <v>0.78079012180560747</v>
      </c>
      <c r="S208" s="97">
        <f t="shared" si="404"/>
        <v>0.78469951956142758</v>
      </c>
      <c r="T208" s="97">
        <f t="shared" si="404"/>
        <v>0.80158548915525307</v>
      </c>
      <c r="U208" s="97">
        <f t="shared" si="404"/>
        <v>0.80781622710573187</v>
      </c>
      <c r="V208" s="97">
        <f t="shared" si="404"/>
        <v>0.80713638992342218</v>
      </c>
      <c r="W208" s="97">
        <f t="shared" si="404"/>
        <v>0.81215802302639739</v>
      </c>
      <c r="X208" s="97">
        <f t="shared" ref="X208" si="405">X206/X$199</f>
        <v>0.81809287766561178</v>
      </c>
    </row>
    <row r="209" spans="2:25" ht="15" customHeight="1" outlineLevel="3">
      <c r="B209" s="18" t="s">
        <v>32</v>
      </c>
      <c r="C209" s="1" t="s">
        <v>21</v>
      </c>
      <c r="D209" s="89"/>
      <c r="E209" s="89"/>
      <c r="F209" s="89"/>
      <c r="G209" s="89"/>
      <c r="H209" s="89"/>
      <c r="I209" s="89"/>
      <c r="J209" s="89"/>
      <c r="K209" s="89"/>
      <c r="L209" s="89"/>
      <c r="M209" s="89"/>
      <c r="N209" s="87">
        <f>N206/N$228</f>
        <v>7.0000000000000007E-2</v>
      </c>
      <c r="O209" s="87">
        <f t="shared" ref="O209:W209" si="406">O206/O$228</f>
        <v>8.7971274685816878E-2</v>
      </c>
      <c r="P209" s="87">
        <f t="shared" si="406"/>
        <v>0.12747631352282515</v>
      </c>
      <c r="Q209" s="87">
        <f t="shared" si="406"/>
        <v>0.14429530201342283</v>
      </c>
      <c r="R209" s="87">
        <f t="shared" si="406"/>
        <v>0.1225</v>
      </c>
      <c r="S209" s="87">
        <f t="shared" si="406"/>
        <v>0.12056072255551623</v>
      </c>
      <c r="T209" s="87">
        <f t="shared" si="406"/>
        <v>0.12870808452294105</v>
      </c>
      <c r="U209" s="87">
        <f t="shared" si="406"/>
        <v>0.12901602727297004</v>
      </c>
      <c r="V209" s="87">
        <f t="shared" si="406"/>
        <v>0.12519620858785682</v>
      </c>
      <c r="W209" s="87">
        <f t="shared" si="406"/>
        <v>0.12587026073482102</v>
      </c>
      <c r="X209" s="87">
        <f t="shared" ref="X209" si="407">X206/X$228</f>
        <v>0.12719764527964722</v>
      </c>
      <c r="Y209" s="135" t="s">
        <v>4</v>
      </c>
    </row>
    <row r="210" spans="2:25" ht="15" customHeight="1" outlineLevel="4">
      <c r="W210" s="9"/>
      <c r="X210" s="9"/>
      <c r="Y210" s="135" t="s">
        <v>4</v>
      </c>
    </row>
    <row r="211" spans="2:25" ht="15" customHeight="1" outlineLevel="4">
      <c r="B211" s="18" t="s">
        <v>52</v>
      </c>
      <c r="C211" s="1" t="s">
        <v>26</v>
      </c>
      <c r="D211" s="72"/>
      <c r="E211" s="72"/>
      <c r="F211" s="72"/>
      <c r="G211" s="72"/>
      <c r="H211" s="72"/>
      <c r="I211" s="72"/>
      <c r="J211" s="72"/>
      <c r="K211" s="72"/>
      <c r="L211" s="72"/>
      <c r="M211" s="72"/>
      <c r="N211" s="72"/>
      <c r="O211" s="29">
        <v>85</v>
      </c>
      <c r="P211" s="29">
        <v>100</v>
      </c>
      <c r="Q211" s="29">
        <v>105</v>
      </c>
      <c r="R211" s="42">
        <f>R214*R$228</f>
        <v>75.106396727540627</v>
      </c>
      <c r="S211" s="42">
        <f t="shared" ref="S211:W211" si="408">S214*S$228</f>
        <v>102.53215054859035</v>
      </c>
      <c r="T211" s="42">
        <f t="shared" si="408"/>
        <v>109.34997248425726</v>
      </c>
      <c r="U211" s="42">
        <f t="shared" si="408"/>
        <v>113.18985288714399</v>
      </c>
      <c r="V211" s="42">
        <f t="shared" si="408"/>
        <v>114.24279647263752</v>
      </c>
      <c r="W211" s="42">
        <f t="shared" si="408"/>
        <v>125.42631159473726</v>
      </c>
      <c r="X211" s="42">
        <f t="shared" ref="X211" si="409">X214*X$228</f>
        <v>131.62066067433713</v>
      </c>
      <c r="Y211" s="135" t="s">
        <v>4</v>
      </c>
    </row>
    <row r="212" spans="2:25" ht="15" customHeight="1" outlineLevel="4">
      <c r="B212" s="77" t="s">
        <v>27</v>
      </c>
      <c r="C212" s="1" t="s">
        <v>21</v>
      </c>
      <c r="D212" s="72"/>
      <c r="E212" s="72"/>
      <c r="F212" s="72"/>
      <c r="G212" s="72"/>
      <c r="H212" s="72"/>
      <c r="I212" s="72"/>
      <c r="J212" s="72"/>
      <c r="K212" s="72"/>
      <c r="L212" s="72"/>
      <c r="M212" s="72"/>
      <c r="N212" s="72"/>
      <c r="O212" s="24" t="str">
        <f>IFERROR(O211/N211-1,"n.m.")</f>
        <v>n.m.</v>
      </c>
      <c r="P212" s="24">
        <f>IFERROR(P211/O211-1,"n.m.")</f>
        <v>0.17647058823529416</v>
      </c>
      <c r="Q212" s="24">
        <f>IFERROR(Q211/P211-1,"n.m.")</f>
        <v>5.0000000000000044E-2</v>
      </c>
      <c r="R212" s="24">
        <f t="shared" ref="R212" si="410">IFERROR(R211/Q211-1,"n.m.")</f>
        <v>-0.28470098354723217</v>
      </c>
      <c r="S212" s="24">
        <f t="shared" ref="S212" si="411">IFERROR(S211/R211-1,"n.m.")</f>
        <v>0.3651586950781387</v>
      </c>
      <c r="T212" s="24">
        <f t="shared" ref="T212" si="412">IFERROR(T211/S211-1,"n.m.")</f>
        <v>6.6494479040853927E-2</v>
      </c>
      <c r="U212" s="24">
        <f t="shared" ref="U212" si="413">IFERROR(U211/T211-1,"n.m.")</f>
        <v>3.51155132063663E-2</v>
      </c>
      <c r="V212" s="24">
        <f t="shared" ref="V212" si="414">IFERROR(V211/U211-1,"n.m.")</f>
        <v>9.3024556409961878E-3</v>
      </c>
      <c r="W212" s="24">
        <f t="shared" ref="W212" si="415">IFERROR(W211/V211-1,"n.m.")</f>
        <v>9.7892518980645882E-2</v>
      </c>
      <c r="X212" s="24">
        <f t="shared" ref="X212" si="416">IFERROR(X211/W211-1,"n.m.")</f>
        <v>4.9386360810914409E-2</v>
      </c>
      <c r="Y212" s="135" t="s">
        <v>4</v>
      </c>
    </row>
    <row r="213" spans="2:25" ht="15" customHeight="1" outlineLevel="4">
      <c r="B213" s="77" t="s">
        <v>29</v>
      </c>
      <c r="C213" s="1" t="s">
        <v>21</v>
      </c>
      <c r="D213" s="72"/>
      <c r="E213" s="72"/>
      <c r="F213" s="72"/>
      <c r="G213" s="72"/>
      <c r="H213" s="72"/>
      <c r="I213" s="72"/>
      <c r="J213" s="72"/>
      <c r="K213" s="72"/>
      <c r="L213" s="72"/>
      <c r="M213" s="72"/>
      <c r="N213" s="72"/>
      <c r="O213" s="97">
        <f t="shared" ref="O213:W213" si="417">O211/O$199</f>
        <v>0.61594202898550721</v>
      </c>
      <c r="P213" s="97">
        <f t="shared" si="417"/>
        <v>0.53191489361702127</v>
      </c>
      <c r="Q213" s="97">
        <f t="shared" si="417"/>
        <v>0.49295774647887325</v>
      </c>
      <c r="R213" s="97">
        <f t="shared" si="417"/>
        <v>0.38561471321827961</v>
      </c>
      <c r="S213" s="97">
        <f t="shared" si="417"/>
        <v>0.50609025691818621</v>
      </c>
      <c r="T213" s="97">
        <f t="shared" si="417"/>
        <v>0.48651885939000356</v>
      </c>
      <c r="U213" s="97">
        <f t="shared" si="417"/>
        <v>0.47658593132914739</v>
      </c>
      <c r="V213" s="97">
        <f t="shared" si="417"/>
        <v>0.47141795738746189</v>
      </c>
      <c r="W213" s="97">
        <f t="shared" si="417"/>
        <v>0.49217168500926611</v>
      </c>
      <c r="X213" s="97">
        <f t="shared" ref="X213" si="418">X211/X$199</f>
        <v>0.48821907166072798</v>
      </c>
    </row>
    <row r="214" spans="2:25" ht="15" customHeight="1" outlineLevel="4">
      <c r="B214" s="77" t="s">
        <v>32</v>
      </c>
      <c r="C214" s="1" t="s">
        <v>21</v>
      </c>
      <c r="D214" s="72"/>
      <c r="E214" s="72"/>
      <c r="F214" s="72"/>
      <c r="G214" s="72"/>
      <c r="H214" s="72"/>
      <c r="I214" s="72"/>
      <c r="J214" s="72"/>
      <c r="K214" s="72"/>
      <c r="L214" s="72"/>
      <c r="M214" s="72"/>
      <c r="N214" s="72"/>
      <c r="O214" s="87">
        <f t="shared" ref="O214:Q214" si="419">O211/O$228</f>
        <v>7.6301615798922806E-2</v>
      </c>
      <c r="P214" s="87">
        <f t="shared" si="419"/>
        <v>8.6132644272179162E-2</v>
      </c>
      <c r="Q214" s="87">
        <f t="shared" si="419"/>
        <v>8.8087248322147649E-2</v>
      </c>
      <c r="R214" s="136">
        <f>6.05%</f>
        <v>6.0499999999999998E-2</v>
      </c>
      <c r="S214" s="136">
        <f>AVERAGE(O214:R214)</f>
        <v>7.77553770983124E-2</v>
      </c>
      <c r="T214" s="136">
        <f t="shared" ref="T214:X214" si="420">AVERAGE(P214:S214)</f>
        <v>7.8118817423159792E-2</v>
      </c>
      <c r="U214" s="136">
        <f t="shared" si="420"/>
        <v>7.6115360710904967E-2</v>
      </c>
      <c r="V214" s="136">
        <f t="shared" si="420"/>
        <v>7.3122388808094296E-2</v>
      </c>
      <c r="W214" s="136">
        <f t="shared" si="420"/>
        <v>7.6277986010117871E-2</v>
      </c>
      <c r="X214" s="136">
        <f t="shared" si="420"/>
        <v>7.5908638238069231E-2</v>
      </c>
      <c r="Y214" s="135" t="s">
        <v>4</v>
      </c>
    </row>
    <row r="215" spans="2:25" ht="15" customHeight="1" outlineLevel="4">
      <c r="B215" s="6"/>
      <c r="W215" s="9"/>
      <c r="X215" s="9"/>
      <c r="Y215" s="135" t="s">
        <v>4</v>
      </c>
    </row>
    <row r="216" spans="2:25" ht="15" customHeight="1" outlineLevel="4">
      <c r="B216" s="18" t="s">
        <v>53</v>
      </c>
      <c r="C216" s="1" t="s">
        <v>26</v>
      </c>
      <c r="D216" s="72"/>
      <c r="E216" s="72"/>
      <c r="F216" s="72"/>
      <c r="G216" s="72"/>
      <c r="H216" s="72"/>
      <c r="I216" s="72"/>
      <c r="J216" s="72"/>
      <c r="K216" s="72"/>
      <c r="L216" s="72"/>
      <c r="M216" s="72"/>
      <c r="N216" s="72"/>
      <c r="O216" s="82">
        <v>13</v>
      </c>
      <c r="P216" s="82">
        <v>48</v>
      </c>
      <c r="Q216" s="82">
        <v>67</v>
      </c>
      <c r="R216" s="42">
        <f>R219*R$228</f>
        <v>76.9685387951656</v>
      </c>
      <c r="S216" s="42">
        <f t="shared" ref="S216:W216" si="421">S219*S$228</f>
        <v>56.445281194549004</v>
      </c>
      <c r="T216" s="42">
        <f t="shared" si="421"/>
        <v>70.814371592365845</v>
      </c>
      <c r="U216" s="42">
        <f t="shared" si="421"/>
        <v>78.667677717963343</v>
      </c>
      <c r="V216" s="42">
        <f t="shared" si="421"/>
        <v>81.357555348269528</v>
      </c>
      <c r="W216" s="42">
        <f t="shared" si="421"/>
        <v>81.546150176111851</v>
      </c>
      <c r="X216" s="42">
        <f t="shared" ref="X216" si="422">X219*X$228</f>
        <v>88.931815256272898</v>
      </c>
      <c r="Y216" s="135" t="s">
        <v>4</v>
      </c>
    </row>
    <row r="217" spans="2:25" ht="15" customHeight="1" outlineLevel="4">
      <c r="B217" s="77" t="s">
        <v>27</v>
      </c>
      <c r="C217" s="1" t="s">
        <v>21</v>
      </c>
      <c r="D217" s="72"/>
      <c r="E217" s="72"/>
      <c r="F217" s="72"/>
      <c r="G217" s="72"/>
      <c r="H217" s="72"/>
      <c r="I217" s="72"/>
      <c r="J217" s="72"/>
      <c r="K217" s="72"/>
      <c r="L217" s="72"/>
      <c r="M217" s="72"/>
      <c r="N217" s="72"/>
      <c r="O217" s="24" t="str">
        <f>IFERROR(O216/N216-1,"n.m.")</f>
        <v>n.m.</v>
      </c>
      <c r="P217" s="24">
        <f>IFERROR(P216/O216-1,"n.m.")</f>
        <v>2.6923076923076925</v>
      </c>
      <c r="Q217" s="24">
        <f>IFERROR(Q216/P216-1,"n.m.")</f>
        <v>0.39583333333333326</v>
      </c>
      <c r="R217" s="24">
        <f t="shared" ref="R217" si="423">IFERROR(R216/Q216-1,"n.m.")</f>
        <v>0.14878416112187454</v>
      </c>
      <c r="S217" s="24">
        <f t="shared" ref="S217" si="424">IFERROR(S216/R216-1,"n.m.")</f>
        <v>-0.26664476059802322</v>
      </c>
      <c r="T217" s="24">
        <f t="shared" ref="T217" si="425">IFERROR(T216/S216-1,"n.m.")</f>
        <v>0.25456672539713532</v>
      </c>
      <c r="U217" s="24">
        <f t="shared" ref="U217" si="426">IFERROR(U216/T216-1,"n.m.")</f>
        <v>0.11089989149101087</v>
      </c>
      <c r="V217" s="24">
        <f t="shared" ref="V217" si="427">IFERROR(V216/U216-1,"n.m.")</f>
        <v>3.4192920248006242E-2</v>
      </c>
      <c r="W217" s="24">
        <f t="shared" ref="W217" si="428">IFERROR(W216/V216-1,"n.m.")</f>
        <v>2.3180985101507456E-3</v>
      </c>
      <c r="X217" s="24">
        <f t="shared" ref="X217" si="429">IFERROR(X216/W216-1,"n.m.")</f>
        <v>9.0570371062404842E-2</v>
      </c>
      <c r="Y217" s="135" t="s">
        <v>4</v>
      </c>
    </row>
    <row r="218" spans="2:25" ht="15" customHeight="1" outlineLevel="4">
      <c r="B218" s="77" t="s">
        <v>29</v>
      </c>
      <c r="C218" s="1" t="s">
        <v>21</v>
      </c>
      <c r="D218" s="72"/>
      <c r="E218" s="72"/>
      <c r="F218" s="72"/>
      <c r="G218" s="72"/>
      <c r="H218" s="72"/>
      <c r="I218" s="72"/>
      <c r="J218" s="72"/>
      <c r="K218" s="72"/>
      <c r="L218" s="72"/>
      <c r="M218" s="72"/>
      <c r="N218" s="72"/>
      <c r="O218" s="97">
        <f t="shared" ref="O218:W218" si="430">O216/O$199</f>
        <v>9.420289855072464E-2</v>
      </c>
      <c r="P218" s="97">
        <f t="shared" si="430"/>
        <v>0.25531914893617019</v>
      </c>
      <c r="Q218" s="97">
        <f t="shared" si="430"/>
        <v>0.31455399061032863</v>
      </c>
      <c r="R218" s="97">
        <f t="shared" si="430"/>
        <v>0.39517540858732786</v>
      </c>
      <c r="S218" s="97">
        <f t="shared" si="430"/>
        <v>0.27860926264324132</v>
      </c>
      <c r="T218" s="97">
        <f t="shared" si="430"/>
        <v>0.31506662976524946</v>
      </c>
      <c r="U218" s="97">
        <f t="shared" si="430"/>
        <v>0.33123029577658442</v>
      </c>
      <c r="V218" s="97">
        <f t="shared" si="430"/>
        <v>0.33571843253596023</v>
      </c>
      <c r="W218" s="97">
        <f t="shared" si="430"/>
        <v>0.31998633801713128</v>
      </c>
      <c r="X218" s="97">
        <f t="shared" ref="X218" si="431">X216/X$199</f>
        <v>0.32987380600488375</v>
      </c>
    </row>
    <row r="219" spans="2:25" ht="15" customHeight="1" outlineLevel="4">
      <c r="B219" s="77" t="s">
        <v>32</v>
      </c>
      <c r="C219" s="1" t="s">
        <v>21</v>
      </c>
      <c r="D219" s="72"/>
      <c r="E219" s="72"/>
      <c r="F219" s="72"/>
      <c r="G219" s="72"/>
      <c r="H219" s="72"/>
      <c r="I219" s="72"/>
      <c r="J219" s="72"/>
      <c r="K219" s="72"/>
      <c r="L219" s="72"/>
      <c r="M219" s="72"/>
      <c r="N219" s="72"/>
      <c r="O219" s="87">
        <f t="shared" ref="O219:Q219" si="432">O216/O$228</f>
        <v>1.1669658886894075E-2</v>
      </c>
      <c r="P219" s="87">
        <f t="shared" si="432"/>
        <v>4.1343669250645997E-2</v>
      </c>
      <c r="Q219" s="87">
        <f t="shared" si="432"/>
        <v>5.620805369127517E-2</v>
      </c>
      <c r="R219" s="136">
        <v>6.2E-2</v>
      </c>
      <c r="S219" s="136">
        <f>AVERAGE(O219:R219)</f>
        <v>4.2805345457203811E-2</v>
      </c>
      <c r="T219" s="136">
        <f t="shared" ref="T219:X219" si="433">AVERAGE(P219:S219)</f>
        <v>5.0589267099781246E-2</v>
      </c>
      <c r="U219" s="136">
        <f t="shared" si="433"/>
        <v>5.290066656206506E-2</v>
      </c>
      <c r="V219" s="136">
        <f t="shared" si="433"/>
        <v>5.2073819779762526E-2</v>
      </c>
      <c r="W219" s="136">
        <f t="shared" si="433"/>
        <v>4.9592274724703157E-2</v>
      </c>
      <c r="X219" s="136">
        <f t="shared" si="433"/>
        <v>5.1289007041577996E-2</v>
      </c>
      <c r="Y219" s="135" t="s">
        <v>4</v>
      </c>
    </row>
    <row r="220" spans="2:25" ht="15" customHeight="1" outlineLevel="3">
      <c r="B220" s="79"/>
      <c r="C220" s="80"/>
      <c r="D220" s="81"/>
      <c r="E220" s="81"/>
      <c r="F220" s="81"/>
      <c r="G220" s="81"/>
      <c r="H220" s="81"/>
      <c r="I220" s="81"/>
      <c r="J220" s="81"/>
      <c r="K220" s="81"/>
      <c r="L220" s="81"/>
      <c r="M220" s="81"/>
      <c r="N220" s="81"/>
      <c r="O220" s="81"/>
      <c r="P220" s="81"/>
      <c r="Q220" s="81"/>
      <c r="R220" s="81"/>
      <c r="S220" s="81"/>
      <c r="T220" s="81"/>
      <c r="U220" s="81"/>
      <c r="V220" s="81"/>
      <c r="W220" s="81"/>
      <c r="X220" s="81"/>
      <c r="Y220" s="135" t="s">
        <v>4</v>
      </c>
    </row>
    <row r="221" spans="2:25" ht="15" customHeight="1" outlineLevel="2">
      <c r="B221" s="7" t="s">
        <v>35</v>
      </c>
      <c r="C221" s="13" t="s">
        <v>26</v>
      </c>
      <c r="D221" s="88"/>
      <c r="E221" s="88"/>
      <c r="F221" s="88"/>
      <c r="G221" s="88"/>
      <c r="H221" s="88"/>
      <c r="I221" s="88"/>
      <c r="J221" s="88"/>
      <c r="K221" s="88"/>
      <c r="L221" s="88"/>
      <c r="M221" s="88"/>
      <c r="N221" s="75">
        <f>N224+N228</f>
        <v>1091</v>
      </c>
      <c r="O221" s="75">
        <f t="shared" ref="O221:Q221" si="434">O224+O228</f>
        <v>1154</v>
      </c>
      <c r="P221" s="75">
        <f t="shared" si="434"/>
        <v>1201</v>
      </c>
      <c r="Q221" s="75">
        <f t="shared" si="434"/>
        <v>1233</v>
      </c>
      <c r="R221" s="75">
        <f>Q221*(1+R222)</f>
        <v>1284.1236775732111</v>
      </c>
      <c r="S221" s="75">
        <f t="shared" ref="S221" si="435">R221*(1+S222)</f>
        <v>1362.2694288771415</v>
      </c>
      <c r="T221" s="75">
        <f t="shared" ref="T221" si="436">S221*(1+T222)</f>
        <v>1444.3860658570409</v>
      </c>
      <c r="U221" s="75">
        <f t="shared" ref="U221" si="437">T221*(1+U222)</f>
        <v>1532.7268463173291</v>
      </c>
      <c r="V221" s="75">
        <f t="shared" ref="V221" si="438">U221*(1+V222)</f>
        <v>1609.0887509595439</v>
      </c>
      <c r="W221" s="75">
        <f t="shared" ref="W221" si="439">V221*(1+W222)</f>
        <v>1692.2018532523671</v>
      </c>
      <c r="X221" s="75">
        <f t="shared" ref="X221" si="440">W221*(1+X222)</f>
        <v>1782.9761786817232</v>
      </c>
      <c r="Y221" s="135" t="s">
        <v>4</v>
      </c>
    </row>
    <row r="222" spans="2:25" ht="15" customHeight="1" outlineLevel="2">
      <c r="B222" s="6" t="s">
        <v>27</v>
      </c>
      <c r="C222" s="1" t="s">
        <v>21</v>
      </c>
      <c r="D222" s="72"/>
      <c r="E222" s="72"/>
      <c r="F222" s="72"/>
      <c r="G222" s="72"/>
      <c r="H222" s="72"/>
      <c r="I222" s="72"/>
      <c r="J222" s="72"/>
      <c r="K222" s="72"/>
      <c r="L222" s="72"/>
      <c r="M222" s="72"/>
      <c r="N222" s="24" t="str">
        <f>IFERROR(N221/M221-1,"n.m.")</f>
        <v>n.m.</v>
      </c>
      <c r="O222" s="24">
        <f>IFERROR(O221/N221-1,"n.m.")</f>
        <v>5.7745187901008244E-2</v>
      </c>
      <c r="P222" s="24">
        <f>IFERROR(P221/O221-1,"n.m.")</f>
        <v>4.0727902946273931E-2</v>
      </c>
      <c r="Q222" s="24">
        <f>IFERROR(Q221/P221-1,"n.m.")</f>
        <v>2.6644462947543746E-2</v>
      </c>
      <c r="R222" s="69">
        <f>R244</f>
        <v>4.1462836636829703E-2</v>
      </c>
      <c r="S222" s="69">
        <f t="shared" ref="S222:W222" si="441">S244</f>
        <v>6.0855315316366898E-2</v>
      </c>
      <c r="T222" s="69">
        <f t="shared" si="441"/>
        <v>6.0279292215772884E-2</v>
      </c>
      <c r="U222" s="69">
        <f t="shared" si="441"/>
        <v>6.116147375588965E-2</v>
      </c>
      <c r="V222" s="69">
        <f t="shared" si="441"/>
        <v>4.9820948087187844E-2</v>
      </c>
      <c r="W222" s="69">
        <f t="shared" si="441"/>
        <v>5.1652279741102314E-2</v>
      </c>
      <c r="X222" s="69">
        <f t="shared" ref="X222" si="442">X244</f>
        <v>5.3642729001206479E-2</v>
      </c>
      <c r="Y222" s="135" t="s">
        <v>4</v>
      </c>
    </row>
    <row r="223" spans="2:25" ht="15" customHeight="1" outlineLevel="2">
      <c r="W223" s="9"/>
      <c r="X223" s="9"/>
      <c r="Y223" s="135" t="s">
        <v>4</v>
      </c>
    </row>
    <row r="224" spans="2:25" ht="15" customHeight="1" outlineLevel="3">
      <c r="B224" s="34" t="s">
        <v>36</v>
      </c>
      <c r="C224" s="35" t="s">
        <v>26</v>
      </c>
      <c r="D224" s="91"/>
      <c r="E224" s="91"/>
      <c r="F224" s="91"/>
      <c r="G224" s="91"/>
      <c r="H224" s="91"/>
      <c r="I224" s="91"/>
      <c r="J224" s="91"/>
      <c r="K224" s="91"/>
      <c r="L224" s="91"/>
      <c r="M224" s="91"/>
      <c r="N224" s="32">
        <v>36.946855737704922</v>
      </c>
      <c r="O224" s="32">
        <v>40</v>
      </c>
      <c r="P224" s="32">
        <v>40</v>
      </c>
      <c r="Q224" s="32">
        <v>41</v>
      </c>
      <c r="R224" s="36">
        <f>Q224*(1+R225)</f>
        <v>42.695632489894955</v>
      </c>
      <c r="S224" s="36">
        <f t="shared" ref="S224:W224" si="443">R224*(1+S225)</f>
        <v>43.619139020651382</v>
      </c>
      <c r="T224" s="36">
        <f t="shared" si="443"/>
        <v>44.595642866863656</v>
      </c>
      <c r="U224" s="36">
        <f t="shared" si="443"/>
        <v>45.643925997838409</v>
      </c>
      <c r="V224" s="36">
        <f t="shared" si="443"/>
        <v>46.738308983947519</v>
      </c>
      <c r="W224" s="36">
        <f t="shared" si="443"/>
        <v>47.87013770208857</v>
      </c>
      <c r="X224" s="36">
        <f t="shared" ref="X224" si="444">W224*(1+X225)</f>
        <v>49.04096749349825</v>
      </c>
      <c r="Y224" s="135" t="s">
        <v>4</v>
      </c>
    </row>
    <row r="225" spans="2:25" ht="15" customHeight="1" outlineLevel="3">
      <c r="B225" s="18" t="s">
        <v>27</v>
      </c>
      <c r="C225" s="1" t="s">
        <v>21</v>
      </c>
      <c r="D225" s="72"/>
      <c r="E225" s="72"/>
      <c r="F225" s="72"/>
      <c r="G225" s="72"/>
      <c r="H225" s="72"/>
      <c r="I225" s="72"/>
      <c r="J225" s="72"/>
      <c r="K225" s="72"/>
      <c r="L225" s="72"/>
      <c r="M225" s="72"/>
      <c r="N225" s="24" t="str">
        <f>IFERROR(N224/M224-1,"n.m.")</f>
        <v>n.m.</v>
      </c>
      <c r="O225" s="24">
        <f>IFERROR(O224/N224-1,"n.m.")</f>
        <v>8.2636105328424136E-2</v>
      </c>
      <c r="P225" s="24">
        <f>IFERROR(P224/O224-1,"n.m.")</f>
        <v>0</v>
      </c>
      <c r="Q225" s="24">
        <f>IFERROR(Q224/P224-1,"n.m.")</f>
        <v>2.4999999999999911E-2</v>
      </c>
      <c r="R225" s="69">
        <f>(1+R247)*(1+R241*R251)-1</f>
        <v>4.1356889997437918E-2</v>
      </c>
      <c r="S225" s="69">
        <f t="shared" ref="S225:X225" si="445">(1+S247)*(1+S241*S251)-1</f>
        <v>2.1630000000000038E-2</v>
      </c>
      <c r="T225" s="69">
        <f t="shared" si="445"/>
        <v>2.2387050000000075E-2</v>
      </c>
      <c r="U225" s="69">
        <f t="shared" si="445"/>
        <v>2.3506402500000023E-2</v>
      </c>
      <c r="V225" s="69">
        <f t="shared" si="445"/>
        <v>2.397653054999993E-2</v>
      </c>
      <c r="W225" s="69">
        <f t="shared" si="445"/>
        <v>2.4216295855500114E-2</v>
      </c>
      <c r="X225" s="69">
        <f t="shared" si="445"/>
        <v>2.4458458814055062E-2</v>
      </c>
      <c r="Y225" s="135" t="s">
        <v>4</v>
      </c>
    </row>
    <row r="226" spans="2:25" ht="15" customHeight="1" outlineLevel="3">
      <c r="B226" s="37" t="s">
        <v>29</v>
      </c>
      <c r="C226" s="38" t="s">
        <v>21</v>
      </c>
      <c r="D226" s="89"/>
      <c r="E226" s="89"/>
      <c r="F226" s="89"/>
      <c r="G226" s="89"/>
      <c r="H226" s="89"/>
      <c r="I226" s="89"/>
      <c r="J226" s="89"/>
      <c r="K226" s="89"/>
      <c r="L226" s="89"/>
      <c r="M226" s="89"/>
      <c r="N226" s="87">
        <f>N224/N$221</f>
        <v>3.3865128998812943E-2</v>
      </c>
      <c r="O226" s="87">
        <f t="shared" ref="O226:W226" si="446">O224/O$221</f>
        <v>3.4662045060658578E-2</v>
      </c>
      <c r="P226" s="87">
        <f t="shared" si="446"/>
        <v>3.330557868442964E-2</v>
      </c>
      <c r="Q226" s="87">
        <f t="shared" si="446"/>
        <v>3.3252230332522302E-2</v>
      </c>
      <c r="R226" s="87">
        <f t="shared" si="446"/>
        <v>3.3248847627031446E-2</v>
      </c>
      <c r="S226" s="87">
        <f t="shared" si="446"/>
        <v>3.2019465530107878E-2</v>
      </c>
      <c r="T226" s="87">
        <f t="shared" si="446"/>
        <v>3.0875154448684317E-2</v>
      </c>
      <c r="U226" s="87">
        <f t="shared" si="446"/>
        <v>2.9779556681940239E-2</v>
      </c>
      <c r="V226" s="87">
        <f t="shared" si="446"/>
        <v>2.9046445670617101E-2</v>
      </c>
      <c r="W226" s="87">
        <f t="shared" si="446"/>
        <v>2.8288668760221149E-2</v>
      </c>
      <c r="X226" s="87">
        <f t="shared" ref="X226" si="447">X224/X$221</f>
        <v>2.7505116489978911E-2</v>
      </c>
      <c r="Y226" s="135" t="s">
        <v>4</v>
      </c>
    </row>
    <row r="227" spans="2:25" ht="15" customHeight="1" outlineLevel="3">
      <c r="B227" s="37"/>
      <c r="C227" s="38"/>
      <c r="D227" s="3"/>
      <c r="E227" s="3"/>
      <c r="F227" s="3"/>
      <c r="G227" s="3"/>
      <c r="H227" s="3"/>
      <c r="I227" s="3"/>
      <c r="J227" s="3"/>
      <c r="K227" s="3"/>
      <c r="L227" s="3"/>
      <c r="M227" s="3"/>
      <c r="N227" s="3"/>
      <c r="O227" s="3"/>
      <c r="P227" s="3"/>
      <c r="Q227" s="3"/>
      <c r="R227" s="3"/>
      <c r="S227" s="3"/>
      <c r="T227" s="3"/>
      <c r="U227" s="3"/>
      <c r="V227" s="3"/>
      <c r="W227" s="3"/>
      <c r="X227" s="3"/>
    </row>
    <row r="228" spans="2:25" ht="15" customHeight="1" outlineLevel="3">
      <c r="B228" s="41" t="s">
        <v>37</v>
      </c>
      <c r="C228" s="38" t="s">
        <v>26</v>
      </c>
      <c r="D228" s="4"/>
      <c r="E228" s="4"/>
      <c r="F228" s="4"/>
      <c r="G228" s="4"/>
      <c r="H228" s="4"/>
      <c r="I228" s="4"/>
      <c r="J228" s="4"/>
      <c r="K228" s="4"/>
      <c r="L228" s="4"/>
      <c r="M228" s="4"/>
      <c r="N228" s="82">
        <v>1054.0531442622951</v>
      </c>
      <c r="O228" s="82">
        <v>1114</v>
      </c>
      <c r="P228" s="82">
        <v>1161</v>
      </c>
      <c r="Q228" s="82">
        <v>1192</v>
      </c>
      <c r="R228" s="42">
        <f>R221-R224</f>
        <v>1241.4280450833162</v>
      </c>
      <c r="S228" s="42">
        <f t="shared" ref="S228:W228" si="448">S221-S224</f>
        <v>1318.6502898564902</v>
      </c>
      <c r="T228" s="42">
        <f t="shared" si="448"/>
        <v>1399.7904229901771</v>
      </c>
      <c r="U228" s="42">
        <f t="shared" si="448"/>
        <v>1487.0829203194908</v>
      </c>
      <c r="V228" s="42">
        <f t="shared" si="448"/>
        <v>1562.3504419755964</v>
      </c>
      <c r="W228" s="42">
        <f t="shared" si="448"/>
        <v>1644.3317155502784</v>
      </c>
      <c r="X228" s="42">
        <f t="shared" ref="X228" si="449">X221-X224</f>
        <v>1733.9352111882249</v>
      </c>
      <c r="Y228" s="135" t="s">
        <v>4</v>
      </c>
    </row>
    <row r="229" spans="2:25" ht="15" customHeight="1" outlineLevel="3">
      <c r="B229" s="18" t="s">
        <v>27</v>
      </c>
      <c r="C229" s="1" t="s">
        <v>21</v>
      </c>
      <c r="D229" s="89"/>
      <c r="E229" s="89"/>
      <c r="F229" s="89"/>
      <c r="G229" s="89"/>
      <c r="H229" s="89"/>
      <c r="I229" s="89"/>
      <c r="J229" s="89"/>
      <c r="K229" s="89"/>
      <c r="L229" s="89"/>
      <c r="M229" s="89"/>
      <c r="N229" s="24" t="str">
        <f>IFERROR(N228/M228-1,"n.m.")</f>
        <v>n.m.</v>
      </c>
      <c r="O229" s="24">
        <f>IFERROR(O228/N228-1,"n.m.")</f>
        <v>5.6872707096434105E-2</v>
      </c>
      <c r="P229" s="24">
        <f>IFERROR(P228/O228-1,"n.m.")</f>
        <v>4.2190305206463163E-2</v>
      </c>
      <c r="Q229" s="24">
        <f>IFERROR(Q228/P228-1,"n.m.")</f>
        <v>2.670111972437561E-2</v>
      </c>
      <c r="R229" s="24">
        <f t="shared" ref="R229" si="450">IFERROR(R228/Q228-1,"n.m.")</f>
        <v>4.1466480774594139E-2</v>
      </c>
      <c r="S229" s="24">
        <f t="shared" ref="S229" si="451">IFERROR(S228/R228-1,"n.m.")</f>
        <v>6.2204366236942255E-2</v>
      </c>
      <c r="T229" s="24">
        <f t="shared" ref="T229" si="452">IFERROR(T228/S228-1,"n.m.")</f>
        <v>6.1532715502999213E-2</v>
      </c>
      <c r="U229" s="24">
        <f t="shared" ref="U229" si="453">IFERROR(U228/T228-1,"n.m.")</f>
        <v>6.2361119132993359E-2</v>
      </c>
      <c r="V229" s="24">
        <f t="shared" ref="V229" si="454">IFERROR(V228/U228-1,"n.m.")</f>
        <v>5.0614206260895633E-2</v>
      </c>
      <c r="W229" s="24">
        <f t="shared" ref="W229" si="455">IFERROR(W228/V228-1,"n.m.")</f>
        <v>5.2473037656658228E-2</v>
      </c>
      <c r="X229" s="24">
        <f t="shared" ref="X229" si="456">IFERROR(X228/W228-1,"n.m.")</f>
        <v>5.4492347736515345E-2</v>
      </c>
      <c r="Y229" s="135" t="s">
        <v>4</v>
      </c>
    </row>
    <row r="230" spans="2:25" ht="15" customHeight="1" outlineLevel="3">
      <c r="B230" s="20" t="s">
        <v>29</v>
      </c>
      <c r="C230" s="21" t="s">
        <v>21</v>
      </c>
      <c r="D230" s="90"/>
      <c r="E230" s="90"/>
      <c r="F230" s="90"/>
      <c r="G230" s="90"/>
      <c r="H230" s="90"/>
      <c r="I230" s="90"/>
      <c r="J230" s="90"/>
      <c r="K230" s="90"/>
      <c r="L230" s="90"/>
      <c r="M230" s="90"/>
      <c r="N230" s="48">
        <f>N228/N$221</f>
        <v>0.966134871001187</v>
      </c>
      <c r="O230" s="48">
        <f t="shared" ref="O230:W230" si="457">O228/O$221</f>
        <v>0.96533795493934138</v>
      </c>
      <c r="P230" s="48">
        <f t="shared" si="457"/>
        <v>0.96669442131557037</v>
      </c>
      <c r="Q230" s="48">
        <f t="shared" si="457"/>
        <v>0.96674776966747766</v>
      </c>
      <c r="R230" s="48">
        <f t="shared" si="457"/>
        <v>0.9667511523729686</v>
      </c>
      <c r="S230" s="48">
        <f t="shared" si="457"/>
        <v>0.96798053446989218</v>
      </c>
      <c r="T230" s="48">
        <f t="shared" si="457"/>
        <v>0.96912484555131562</v>
      </c>
      <c r="U230" s="48">
        <f t="shared" si="457"/>
        <v>0.97022044331805979</v>
      </c>
      <c r="V230" s="48">
        <f t="shared" si="457"/>
        <v>0.97095355432938291</v>
      </c>
      <c r="W230" s="48">
        <f t="shared" si="457"/>
        <v>0.97171133123977882</v>
      </c>
      <c r="X230" s="48">
        <f t="shared" ref="X230" si="458">X228/X$221</f>
        <v>0.972494883510021</v>
      </c>
      <c r="Y230" s="135" t="s">
        <v>4</v>
      </c>
    </row>
    <row r="231" spans="2:25" ht="15" customHeight="1" outlineLevel="3">
      <c r="W231" s="9"/>
      <c r="X231" s="9"/>
      <c r="Y231" s="135" t="s">
        <v>4</v>
      </c>
    </row>
    <row r="232" spans="2:25" ht="15" customHeight="1" outlineLevel="2">
      <c r="B232" s="7" t="s">
        <v>38</v>
      </c>
      <c r="C232" s="13" t="s">
        <v>39</v>
      </c>
      <c r="D232" s="93"/>
      <c r="E232" s="93"/>
      <c r="F232" s="93"/>
      <c r="G232" s="93"/>
      <c r="H232" s="93"/>
      <c r="I232" s="93"/>
      <c r="J232" s="93"/>
      <c r="K232" s="93"/>
      <c r="L232" s="93"/>
      <c r="M232" s="93"/>
      <c r="N232" s="22">
        <f>N236+N240</f>
        <v>1213</v>
      </c>
      <c r="O232" s="22">
        <f t="shared" ref="O232:W232" si="459">O236+O240</f>
        <v>1242</v>
      </c>
      <c r="P232" s="22">
        <f t="shared" si="459"/>
        <v>1265</v>
      </c>
      <c r="Q232" s="22">
        <f t="shared" si="459"/>
        <v>1345</v>
      </c>
      <c r="R232" s="22">
        <f t="shared" si="459"/>
        <v>1449</v>
      </c>
      <c r="S232" s="22">
        <f t="shared" si="459"/>
        <v>1649</v>
      </c>
      <c r="T232" s="22">
        <f t="shared" si="459"/>
        <v>1849</v>
      </c>
      <c r="U232" s="22">
        <f t="shared" si="459"/>
        <v>2049</v>
      </c>
      <c r="V232" s="22">
        <f t="shared" si="459"/>
        <v>2189.4899999999998</v>
      </c>
      <c r="W232" s="22">
        <f t="shared" si="459"/>
        <v>2339.8143</v>
      </c>
      <c r="X232" s="22">
        <f t="shared" ref="X232" si="460">X236+X240</f>
        <v>2500.6613010000001</v>
      </c>
      <c r="Y232" s="135" t="s">
        <v>4</v>
      </c>
    </row>
    <row r="233" spans="2:25" ht="15" customHeight="1" outlineLevel="2">
      <c r="B233" s="6" t="s">
        <v>27</v>
      </c>
      <c r="C233" s="1" t="s">
        <v>21</v>
      </c>
      <c r="D233" s="72"/>
      <c r="E233" s="72"/>
      <c r="F233" s="72"/>
      <c r="G233" s="72"/>
      <c r="H233" s="72"/>
      <c r="I233" s="72"/>
      <c r="J233" s="72"/>
      <c r="K233" s="72"/>
      <c r="L233" s="72"/>
      <c r="M233" s="72"/>
      <c r="N233" s="24" t="str">
        <f>IFERROR(N232/M232-1,"n.m.")</f>
        <v>n.m.</v>
      </c>
      <c r="O233" s="24">
        <f>IFERROR(O232/N232-1,"n.m.")</f>
        <v>2.3907666941467509E-2</v>
      </c>
      <c r="P233" s="24">
        <f>IFERROR(P232/O232-1,"n.m.")</f>
        <v>1.8518518518518601E-2</v>
      </c>
      <c r="Q233" s="24">
        <f>IFERROR(Q232/P232-1,"n.m.")</f>
        <v>6.3241106719367668E-2</v>
      </c>
      <c r="R233" s="24">
        <f t="shared" ref="R233" si="461">IFERROR(R232/Q232-1,"n.m.")</f>
        <v>7.7323420074349336E-2</v>
      </c>
      <c r="S233" s="24">
        <f t="shared" ref="S233" si="462">IFERROR(S232/R232-1,"n.m.")</f>
        <v>0.13802622498274664</v>
      </c>
      <c r="T233" s="24">
        <f t="shared" ref="T233" si="463">IFERROR(T232/S232-1,"n.m.")</f>
        <v>0.12128562765312312</v>
      </c>
      <c r="U233" s="24">
        <f t="shared" ref="U233" si="464">IFERROR(U232/T232-1,"n.m.")</f>
        <v>0.108166576527853</v>
      </c>
      <c r="V233" s="24">
        <f t="shared" ref="V233" si="465">IFERROR(V232/U232-1,"n.m.")</f>
        <v>6.8565153733528339E-2</v>
      </c>
      <c r="W233" s="113">
        <f t="shared" ref="W233" si="466">IFERROR(W232/V232-1,"n.m.")</f>
        <v>6.8657221544743408E-2</v>
      </c>
      <c r="X233" s="113">
        <f t="shared" ref="X233" si="467">IFERROR(X232/W232-1,"n.m.")</f>
        <v>6.874349002824709E-2</v>
      </c>
      <c r="Y233" s="135" t="s">
        <v>4</v>
      </c>
    </row>
    <row r="234" spans="2:25" ht="15" customHeight="1" outlineLevel="2">
      <c r="B234" s="6" t="s">
        <v>27</v>
      </c>
      <c r="C234" s="1" t="s">
        <v>39</v>
      </c>
      <c r="D234" s="92"/>
      <c r="E234" s="92"/>
      <c r="F234" s="92"/>
      <c r="G234" s="92"/>
      <c r="H234" s="92"/>
      <c r="I234" s="92"/>
      <c r="J234" s="92"/>
      <c r="K234" s="92"/>
      <c r="L234" s="92"/>
      <c r="M234" s="92"/>
      <c r="N234" s="26">
        <f>IFERROR(N232-M232,"n.m.")</f>
        <v>1213</v>
      </c>
      <c r="O234" s="26">
        <f>IFERROR(O232-N232,"n.m.")</f>
        <v>29</v>
      </c>
      <c r="P234" s="26">
        <f>IFERROR(P232-O232,"n.m.")</f>
        <v>23</v>
      </c>
      <c r="Q234" s="26">
        <f>IFERROR(Q232-P232,"n.m.")</f>
        <v>80</v>
      </c>
      <c r="R234" s="26">
        <f t="shared" ref="R234:W234" si="468">IFERROR(R232-Q232,"n.m.")</f>
        <v>104</v>
      </c>
      <c r="S234" s="26">
        <f t="shared" si="468"/>
        <v>200</v>
      </c>
      <c r="T234" s="26">
        <f t="shared" si="468"/>
        <v>200</v>
      </c>
      <c r="U234" s="26">
        <f t="shared" si="468"/>
        <v>200</v>
      </c>
      <c r="V234" s="26">
        <f t="shared" si="468"/>
        <v>140.48999999999978</v>
      </c>
      <c r="W234" s="28">
        <f t="shared" si="468"/>
        <v>150.32430000000022</v>
      </c>
      <c r="X234" s="28">
        <f t="shared" ref="X234" si="469">IFERROR(X232-W232,"n.m.")</f>
        <v>160.84700100000009</v>
      </c>
      <c r="Y234" s="135" t="s">
        <v>4</v>
      </c>
    </row>
    <row r="235" spans="2:25" ht="15" customHeight="1" outlineLevel="3">
      <c r="W235" s="9"/>
      <c r="X235" s="9"/>
      <c r="Y235" s="135" t="s">
        <v>4</v>
      </c>
    </row>
    <row r="236" spans="2:25" ht="15" customHeight="1" outlineLevel="3">
      <c r="B236" s="17" t="s">
        <v>40</v>
      </c>
      <c r="C236" s="15" t="s">
        <v>39</v>
      </c>
      <c r="D236" s="91"/>
      <c r="E236" s="91"/>
      <c r="F236" s="91"/>
      <c r="G236" s="91"/>
      <c r="H236" s="91"/>
      <c r="I236" s="91"/>
      <c r="J236" s="91"/>
      <c r="K236" s="91"/>
      <c r="L236" s="91"/>
      <c r="M236" s="91"/>
      <c r="N236" s="32">
        <v>1175</v>
      </c>
      <c r="O236" s="32">
        <v>1203</v>
      </c>
      <c r="P236" s="32">
        <v>1226</v>
      </c>
      <c r="Q236" s="32">
        <v>1306</v>
      </c>
      <c r="R236" s="36">
        <f>Q236+R238</f>
        <v>1407</v>
      </c>
      <c r="S236" s="36">
        <f t="shared" ref="S236:W236" si="470">R236+S238</f>
        <v>1607</v>
      </c>
      <c r="T236" s="36">
        <f t="shared" si="470"/>
        <v>1807</v>
      </c>
      <c r="U236" s="36">
        <f t="shared" si="470"/>
        <v>2007</v>
      </c>
      <c r="V236" s="36">
        <f t="shared" si="470"/>
        <v>2147.4899999999998</v>
      </c>
      <c r="W236" s="36">
        <f t="shared" si="470"/>
        <v>2297.8143</v>
      </c>
      <c r="X236" s="36">
        <f t="shared" ref="X236" si="471">W236+X238</f>
        <v>2458.6613010000001</v>
      </c>
      <c r="Y236" s="135" t="s">
        <v>4</v>
      </c>
    </row>
    <row r="237" spans="2:25" ht="15" customHeight="1" outlineLevel="3">
      <c r="B237" s="18" t="s">
        <v>27</v>
      </c>
      <c r="C237" s="1" t="s">
        <v>21</v>
      </c>
      <c r="D237" s="72"/>
      <c r="E237" s="72"/>
      <c r="F237" s="72"/>
      <c r="G237" s="72"/>
      <c r="H237" s="72"/>
      <c r="I237" s="72"/>
      <c r="J237" s="72"/>
      <c r="K237" s="72"/>
      <c r="L237" s="72"/>
      <c r="M237" s="72"/>
      <c r="N237" s="24" t="str">
        <f>IFERROR(N236/M236-1,"n.m.")</f>
        <v>n.m.</v>
      </c>
      <c r="O237" s="24">
        <f>IFERROR(O236/N236-1,"n.m.")</f>
        <v>2.3829787234042499E-2</v>
      </c>
      <c r="P237" s="24">
        <f>IFERROR(P236/O236-1,"n.m.")</f>
        <v>1.9118869492934287E-2</v>
      </c>
      <c r="Q237" s="24">
        <f>IFERROR(Q236/P236-1,"n.m.")</f>
        <v>6.5252854812398065E-2</v>
      </c>
      <c r="R237" s="24">
        <f t="shared" ref="R237" si="472">IFERROR(R236/Q236-1,"n.m.")</f>
        <v>7.7335375191424305E-2</v>
      </c>
      <c r="S237" s="24">
        <f t="shared" ref="S237" si="473">IFERROR(S236/R236-1,"n.m.")</f>
        <v>0.14214641080312718</v>
      </c>
      <c r="T237" s="24">
        <f t="shared" ref="T237" si="474">IFERROR(T236/S236-1,"n.m.")</f>
        <v>0.12445550715619169</v>
      </c>
      <c r="U237" s="24">
        <f t="shared" ref="U237" si="475">IFERROR(U236/T236-1,"n.m.")</f>
        <v>0.11068068622025451</v>
      </c>
      <c r="V237" s="24">
        <f t="shared" ref="V237" si="476">IFERROR(V236/U236-1,"n.m.")</f>
        <v>6.999999999999984E-2</v>
      </c>
      <c r="W237" s="113">
        <f t="shared" ref="W237" si="477">IFERROR(W236/V236-1,"n.m.")</f>
        <v>7.0000000000000062E-2</v>
      </c>
      <c r="X237" s="113">
        <f t="shared" ref="X237" si="478">IFERROR(X236/W236-1,"n.m.")</f>
        <v>7.0000000000000062E-2</v>
      </c>
      <c r="Y237" s="135" t="s">
        <v>4</v>
      </c>
    </row>
    <row r="238" spans="2:25" ht="15" customHeight="1" outlineLevel="3">
      <c r="B238" s="18" t="s">
        <v>27</v>
      </c>
      <c r="C238" s="1" t="s">
        <v>39</v>
      </c>
      <c r="D238" s="92"/>
      <c r="E238" s="92"/>
      <c r="F238" s="92"/>
      <c r="G238" s="92"/>
      <c r="H238" s="92"/>
      <c r="I238" s="92"/>
      <c r="J238" s="92"/>
      <c r="K238" s="92"/>
      <c r="L238" s="92"/>
      <c r="M238" s="92"/>
      <c r="N238" s="26">
        <f>IFERROR(N236-M236,"n.m.")</f>
        <v>1175</v>
      </c>
      <c r="O238" s="26">
        <f>IFERROR(O236-N236,"n.m.")</f>
        <v>28</v>
      </c>
      <c r="P238" s="26">
        <f>IFERROR(P236-O236,"n.m.")</f>
        <v>23</v>
      </c>
      <c r="Q238" s="26">
        <f>IFERROR(Q236-P236,"n.m.")</f>
        <v>80</v>
      </c>
      <c r="R238" s="33">
        <v>101</v>
      </c>
      <c r="S238" s="33">
        <f>WACC!C39</f>
        <v>200</v>
      </c>
      <c r="T238" s="33">
        <f>WACC!D39</f>
        <v>200</v>
      </c>
      <c r="U238" s="33">
        <f>WACC!E39</f>
        <v>200</v>
      </c>
      <c r="V238" s="33">
        <f>U236*7%</f>
        <v>140.49</v>
      </c>
      <c r="W238" s="33">
        <f t="shared" ref="W238:X238" si="479">V236*7%</f>
        <v>150.32429999999999</v>
      </c>
      <c r="X238" s="33">
        <f t="shared" si="479"/>
        <v>160.84700100000001</v>
      </c>
      <c r="Y238" s="135" t="s">
        <v>4</v>
      </c>
    </row>
    <row r="239" spans="2:25" ht="15" customHeight="1" outlineLevel="3">
      <c r="W239" s="9"/>
      <c r="X239" s="9"/>
      <c r="Y239" s="135" t="s">
        <v>4</v>
      </c>
    </row>
    <row r="240" spans="2:25" ht="15" customHeight="1" outlineLevel="3">
      <c r="B240" s="6" t="s">
        <v>54</v>
      </c>
      <c r="C240" s="1" t="s">
        <v>39</v>
      </c>
      <c r="D240" s="5"/>
      <c r="E240" s="5"/>
      <c r="F240" s="5"/>
      <c r="G240" s="5"/>
      <c r="H240" s="5"/>
      <c r="I240" s="5"/>
      <c r="J240" s="5"/>
      <c r="K240" s="5"/>
      <c r="L240" s="5"/>
      <c r="M240" s="5"/>
      <c r="N240" s="82">
        <v>38</v>
      </c>
      <c r="O240" s="82">
        <v>39</v>
      </c>
      <c r="P240" s="82">
        <v>39</v>
      </c>
      <c r="Q240" s="82">
        <v>39</v>
      </c>
      <c r="R240" s="42">
        <f>Q240+R242</f>
        <v>42</v>
      </c>
      <c r="S240" s="42">
        <f t="shared" ref="S240:W240" si="480">R240+S242</f>
        <v>42</v>
      </c>
      <c r="T240" s="42">
        <f t="shared" si="480"/>
        <v>42</v>
      </c>
      <c r="U240" s="42">
        <f t="shared" si="480"/>
        <v>42</v>
      </c>
      <c r="V240" s="42">
        <f t="shared" si="480"/>
        <v>42</v>
      </c>
      <c r="W240" s="42">
        <f t="shared" si="480"/>
        <v>42</v>
      </c>
      <c r="X240" s="42">
        <f t="shared" ref="X240" si="481">W240+X242</f>
        <v>42</v>
      </c>
      <c r="Y240" s="135" t="s">
        <v>4</v>
      </c>
    </row>
    <row r="241" spans="2:27" ht="15" customHeight="1" outlineLevel="3">
      <c r="B241" s="18" t="s">
        <v>27</v>
      </c>
      <c r="C241" s="1" t="s">
        <v>21</v>
      </c>
      <c r="D241" s="72"/>
      <c r="E241" s="72"/>
      <c r="F241" s="72"/>
      <c r="G241" s="72"/>
      <c r="H241" s="72"/>
      <c r="I241" s="72"/>
      <c r="J241" s="72"/>
      <c r="K241" s="72"/>
      <c r="L241" s="72"/>
      <c r="M241" s="72"/>
      <c r="N241" s="24" t="str">
        <f>IFERROR(N240/M240-1,"n.m.")</f>
        <v>n.m.</v>
      </c>
      <c r="O241" s="24">
        <f>IFERROR(O240/N240-1,"n.m.")</f>
        <v>2.6315789473684292E-2</v>
      </c>
      <c r="P241" s="24">
        <f>IFERROR(P240/O240-1,"n.m.")</f>
        <v>0</v>
      </c>
      <c r="Q241" s="24">
        <f>IFERROR(Q240/P240-1,"n.m.")</f>
        <v>0</v>
      </c>
      <c r="R241" s="24">
        <f t="shared" ref="R241" si="482">IFERROR(R240/Q240-1,"n.m.")</f>
        <v>7.6923076923076872E-2</v>
      </c>
      <c r="S241" s="24">
        <f t="shared" ref="S241" si="483">IFERROR(S240/R240-1,"n.m.")</f>
        <v>0</v>
      </c>
      <c r="T241" s="24">
        <f t="shared" ref="T241" si="484">IFERROR(T240/S240-1,"n.m.")</f>
        <v>0</v>
      </c>
      <c r="U241" s="24">
        <f t="shared" ref="U241" si="485">IFERROR(U240/T240-1,"n.m.")</f>
        <v>0</v>
      </c>
      <c r="V241" s="24">
        <f t="shared" ref="V241" si="486">IFERROR(V240/U240-1,"n.m.")</f>
        <v>0</v>
      </c>
      <c r="W241" s="24">
        <f t="shared" ref="W241" si="487">IFERROR(W240/V240-1,"n.m.")</f>
        <v>0</v>
      </c>
      <c r="X241" s="24">
        <f t="shared" ref="X241" si="488">IFERROR(X240/W240-1,"n.m.")</f>
        <v>0</v>
      </c>
      <c r="Y241" s="135" t="s">
        <v>4</v>
      </c>
    </row>
    <row r="242" spans="2:27" ht="15" customHeight="1" outlineLevel="3">
      <c r="B242" s="20" t="s">
        <v>27</v>
      </c>
      <c r="C242" s="21" t="s">
        <v>39</v>
      </c>
      <c r="D242" s="107"/>
      <c r="E242" s="107"/>
      <c r="F242" s="107"/>
      <c r="G242" s="107"/>
      <c r="H242" s="107"/>
      <c r="I242" s="107"/>
      <c r="J242" s="107"/>
      <c r="K242" s="107"/>
      <c r="L242" s="107"/>
      <c r="M242" s="107"/>
      <c r="N242" s="27">
        <f>IFERROR(N240-M240,"n.m.")</f>
        <v>38</v>
      </c>
      <c r="O242" s="27">
        <f>IFERROR(O240-N240,"n.m.")</f>
        <v>1</v>
      </c>
      <c r="P242" s="27">
        <f>IFERROR(P240-O240,"n.m.")</f>
        <v>0</v>
      </c>
      <c r="Q242" s="27">
        <f>IFERROR(Q240-P240,"n.m.")</f>
        <v>0</v>
      </c>
      <c r="R242" s="30">
        <v>3</v>
      </c>
      <c r="S242" s="30">
        <v>0</v>
      </c>
      <c r="T242" s="30">
        <v>0</v>
      </c>
      <c r="U242" s="30">
        <v>0</v>
      </c>
      <c r="V242" s="30">
        <v>0</v>
      </c>
      <c r="W242" s="30">
        <v>0</v>
      </c>
      <c r="X242" s="30">
        <v>0</v>
      </c>
      <c r="Y242" s="135" t="s">
        <v>4</v>
      </c>
    </row>
    <row r="243" spans="2:27" ht="15" customHeight="1" outlineLevel="2">
      <c r="W243" s="9"/>
      <c r="X243" s="9"/>
      <c r="Y243" s="135" t="s">
        <v>4</v>
      </c>
    </row>
    <row r="244" spans="2:27" ht="15" customHeight="1" outlineLevel="2">
      <c r="B244" s="50" t="s">
        <v>42</v>
      </c>
      <c r="C244" s="51" t="s">
        <v>21</v>
      </c>
      <c r="D244" s="56"/>
      <c r="E244" s="56"/>
      <c r="F244" s="56"/>
      <c r="G244" s="56"/>
      <c r="H244" s="56"/>
      <c r="I244" s="56"/>
      <c r="J244" s="56"/>
      <c r="K244" s="56"/>
      <c r="L244" s="56"/>
      <c r="M244" s="56"/>
      <c r="N244" s="56"/>
      <c r="O244" s="55">
        <f>O222</f>
        <v>5.7745187901008244E-2</v>
      </c>
      <c r="P244" s="55">
        <f t="shared" ref="P244:Q244" si="489">P222</f>
        <v>4.0727902946273931E-2</v>
      </c>
      <c r="Q244" s="55">
        <f t="shared" si="489"/>
        <v>2.6644462947543746E-2</v>
      </c>
      <c r="R244" s="108">
        <f>(1+R250)*(1+R247)-1</f>
        <v>4.1462836636829703E-2</v>
      </c>
      <c r="S244" s="108">
        <f t="shared" ref="S244:W244" si="490">(1+S250)*(1+S247)-1</f>
        <v>6.0855315316366898E-2</v>
      </c>
      <c r="T244" s="108">
        <f t="shared" si="490"/>
        <v>6.0279292215772884E-2</v>
      </c>
      <c r="U244" s="108">
        <f t="shared" si="490"/>
        <v>6.116147375588965E-2</v>
      </c>
      <c r="V244" s="108">
        <f t="shared" si="490"/>
        <v>4.9820948087187844E-2</v>
      </c>
      <c r="W244" s="108">
        <f t="shared" si="490"/>
        <v>5.1652279741102314E-2</v>
      </c>
      <c r="X244" s="108">
        <f t="shared" ref="X244" si="491">(1+X250)*(1+X247)-1</f>
        <v>5.3642729001206479E-2</v>
      </c>
      <c r="Y244" s="135" t="s">
        <v>4</v>
      </c>
    </row>
    <row r="245" spans="2:27" ht="15" customHeight="1" outlineLevel="2">
      <c r="B245" s="49" t="s">
        <v>43</v>
      </c>
      <c r="C245" s="52" t="s">
        <v>21</v>
      </c>
      <c r="D245" s="57"/>
      <c r="E245" s="57"/>
      <c r="F245" s="57"/>
      <c r="G245" s="57"/>
      <c r="H245" s="57"/>
      <c r="I245" s="57"/>
      <c r="J245" s="57"/>
      <c r="K245" s="57"/>
      <c r="L245" s="57"/>
      <c r="M245" s="57"/>
      <c r="N245" s="57"/>
      <c r="O245" s="53" t="s">
        <v>44</v>
      </c>
      <c r="P245" s="53">
        <f t="shared" ref="P245:W245" si="492">(1+P244)*(1+O244)-1</f>
        <v>0.10082493125572878</v>
      </c>
      <c r="Q245" s="53">
        <f t="shared" si="492"/>
        <v>6.8457538994800782E-2</v>
      </c>
      <c r="R245" s="53">
        <f t="shared" si="492"/>
        <v>6.9212054598843498E-2</v>
      </c>
      <c r="S245" s="53">
        <f t="shared" si="492"/>
        <v>0.10484138595064185</v>
      </c>
      <c r="T245" s="53">
        <f t="shared" si="492"/>
        <v>0.12480292286697803</v>
      </c>
      <c r="U245" s="53">
        <f t="shared" si="492"/>
        <v>0.12512753632054108</v>
      </c>
      <c r="V245" s="53">
        <f t="shared" si="492"/>
        <v>0.11402954445200564</v>
      </c>
      <c r="W245" s="53">
        <f t="shared" si="492"/>
        <v>0.10404659337585653</v>
      </c>
      <c r="X245" s="53">
        <f t="shared" ref="X245" si="493">(1+X244)*(1+W244)-1</f>
        <v>0.10806577798675532</v>
      </c>
      <c r="Y245" s="135" t="s">
        <v>4</v>
      </c>
    </row>
    <row r="246" spans="2:27" ht="15" customHeight="1" outlineLevel="3">
      <c r="W246" s="9"/>
      <c r="X246" s="9"/>
      <c r="Y246" s="135" t="s">
        <v>4</v>
      </c>
      <c r="AA246" s="662">
        <f>(R247+R133+R74+6.1%+1.7%)/5</f>
        <v>3.0800000000000004E-2</v>
      </c>
    </row>
    <row r="247" spans="2:27" ht="15" customHeight="1" outlineLevel="3">
      <c r="B247" s="17" t="s">
        <v>45</v>
      </c>
      <c r="C247" s="15" t="s">
        <v>21</v>
      </c>
      <c r="D247" s="91"/>
      <c r="E247" s="91"/>
      <c r="F247" s="91"/>
      <c r="G247" s="91"/>
      <c r="H247" s="91"/>
      <c r="I247" s="91"/>
      <c r="J247" s="91"/>
      <c r="K247" s="91"/>
      <c r="L247" s="91"/>
      <c r="M247" s="91"/>
      <c r="N247" s="64">
        <v>0.20899999999999999</v>
      </c>
      <c r="O247" s="64">
        <v>8.0160550458715576E-3</v>
      </c>
      <c r="P247" s="64">
        <v>3.7999999999999999E-2</v>
      </c>
      <c r="Q247" s="64">
        <v>-1.0749999999999999E-2</v>
      </c>
      <c r="R247" s="68">
        <v>2.1000000000000001E-2</v>
      </c>
      <c r="S247" s="68">
        <f>R247*(1+3%)</f>
        <v>2.1630000000000003E-2</v>
      </c>
      <c r="T247" s="68">
        <f>S247*(1+3.5%)</f>
        <v>2.2387050000000002E-2</v>
      </c>
      <c r="U247" s="68">
        <f>T247*(1+5%)</f>
        <v>2.3506402500000002E-2</v>
      </c>
      <c r="V247" s="68">
        <f>U247*(1+2%)</f>
        <v>2.3976530550000003E-2</v>
      </c>
      <c r="W247" s="68">
        <f>V247*(1+1%)</f>
        <v>2.4216295855500003E-2</v>
      </c>
      <c r="X247" s="68">
        <f>W247*(1+1%)</f>
        <v>2.4458458814055003E-2</v>
      </c>
      <c r="Y247" s="135" t="s">
        <v>4</v>
      </c>
    </row>
    <row r="248" spans="2:27" ht="15" customHeight="1" outlineLevel="3">
      <c r="B248" s="58" t="s">
        <v>43</v>
      </c>
      <c r="C248" s="52" t="s">
        <v>21</v>
      </c>
      <c r="D248" s="72"/>
      <c r="E248" s="72"/>
      <c r="F248" s="72"/>
      <c r="G248" s="72"/>
      <c r="H248" s="72"/>
      <c r="I248" s="72"/>
      <c r="J248" s="72"/>
      <c r="K248" s="72"/>
      <c r="L248" s="72"/>
      <c r="M248" s="72"/>
      <c r="N248" s="53" t="s">
        <v>44</v>
      </c>
      <c r="O248" s="53">
        <f t="shared" ref="O248:P248" si="494">(1+O247)*(1+N247)-1</f>
        <v>0.21869141055045893</v>
      </c>
      <c r="P248" s="53">
        <f t="shared" si="494"/>
        <v>4.6320665137614903E-2</v>
      </c>
      <c r="Q248" s="53">
        <f t="shared" ref="Q248" si="495">(1+Q247)*(1+P247)-1</f>
        <v>2.6841499999999963E-2</v>
      </c>
      <c r="R248" s="53">
        <f t="shared" ref="R248:S248" si="496">(1+R247)*(1+Q247)-1</f>
        <v>1.0024249999999846E-2</v>
      </c>
      <c r="S248" s="53">
        <f t="shared" si="496"/>
        <v>4.3084229999999835E-2</v>
      </c>
      <c r="T248" s="53">
        <f t="shared" ref="T248" si="497">(1+T247)*(1+S247)-1</f>
        <v>4.4501281891500044E-2</v>
      </c>
      <c r="U248" s="53">
        <f t="shared" ref="U248" si="498">(1+U247)*(1+T247)-1</f>
        <v>4.6419691508087668E-2</v>
      </c>
      <c r="V248" s="53">
        <f t="shared" ref="V248" si="499">(1+V247)*(1+U247)-1</f>
        <v>4.8046535027661763E-2</v>
      </c>
      <c r="W248" s="53">
        <f t="shared" ref="W248" si="500">(1+W247)*(1+V247)-1</f>
        <v>4.8773449162887283E-2</v>
      </c>
      <c r="X248" s="53">
        <f t="shared" ref="X248" si="501">(1+X247)*(1+W247)-1</f>
        <v>4.9267047944365983E-2</v>
      </c>
      <c r="Y248" s="135" t="s">
        <v>4</v>
      </c>
    </row>
    <row r="249" spans="2:27" ht="15" customHeight="1" outlineLevel="3">
      <c r="W249" s="9"/>
      <c r="X249" s="9"/>
      <c r="Y249" s="135" t="s">
        <v>4</v>
      </c>
    </row>
    <row r="250" spans="2:27" ht="15" customHeight="1" outlineLevel="3">
      <c r="B250" s="6" t="s">
        <v>55</v>
      </c>
      <c r="C250" s="1" t="s">
        <v>21</v>
      </c>
      <c r="D250" s="72"/>
      <c r="E250" s="72"/>
      <c r="F250" s="72"/>
      <c r="G250" s="72"/>
      <c r="H250" s="72"/>
      <c r="I250" s="72"/>
      <c r="J250" s="72"/>
      <c r="K250" s="72"/>
      <c r="L250" s="72"/>
      <c r="M250" s="72"/>
      <c r="N250" s="72"/>
      <c r="O250" s="23">
        <f>(1+O244)/(1+O247)-1</f>
        <v>4.9333671429343973E-2</v>
      </c>
      <c r="P250" s="23">
        <f t="shared" ref="P250:Q250" si="502">(1+P244)/(1+P247)-1</f>
        <v>2.6280375204950079E-3</v>
      </c>
      <c r="Q250" s="23">
        <f t="shared" si="502"/>
        <v>3.7800821781696969E-2</v>
      </c>
      <c r="R250" s="23">
        <f>R251*R233</f>
        <v>2.0041955569862758E-2</v>
      </c>
      <c r="S250" s="23">
        <f t="shared" ref="S250:W250" si="503">S251*S233</f>
        <v>3.8394835034569183E-2</v>
      </c>
      <c r="T250" s="23">
        <f t="shared" si="503"/>
        <v>3.7062521689582031E-2</v>
      </c>
      <c r="U250" s="23">
        <f t="shared" si="503"/>
        <v>3.6790264490690019E-2</v>
      </c>
      <c r="V250" s="23">
        <f>V251*V233</f>
        <v>2.523926746964238E-2</v>
      </c>
      <c r="W250" s="23">
        <f t="shared" si="503"/>
        <v>2.6787294828858048E-2</v>
      </c>
      <c r="X250" s="23">
        <f t="shared" ref="X250" si="504">X251*X233</f>
        <v>2.8487509606720599E-2</v>
      </c>
      <c r="Y250" s="135" t="s">
        <v>4</v>
      </c>
    </row>
    <row r="251" spans="2:27" ht="15" customHeight="1" outlineLevel="3">
      <c r="B251" s="59" t="s">
        <v>48</v>
      </c>
      <c r="C251" s="60" t="s">
        <v>21</v>
      </c>
      <c r="D251" s="107"/>
      <c r="E251" s="107"/>
      <c r="F251" s="107"/>
      <c r="G251" s="107"/>
      <c r="H251" s="107"/>
      <c r="I251" s="107"/>
      <c r="J251" s="107"/>
      <c r="K251" s="107"/>
      <c r="L251" s="107"/>
      <c r="M251" s="107"/>
      <c r="N251" s="107"/>
      <c r="O251" s="65">
        <f>O250/O233</f>
        <v>2.0635083946135881</v>
      </c>
      <c r="P251" s="65">
        <f t="shared" ref="P251:Q251" si="505">P250/P233</f>
        <v>0.14191402610672979</v>
      </c>
      <c r="Q251" s="65">
        <f t="shared" si="505"/>
        <v>0.59772549442308254</v>
      </c>
      <c r="R251" s="67">
        <f>(Q222+Q221*R247)/100</f>
        <v>0.25919644462947544</v>
      </c>
      <c r="S251" s="67">
        <f t="shared" ref="S251:X251" si="506">(R222+R221*S247)/100</f>
        <v>0.2781705798254539</v>
      </c>
      <c r="T251" s="67">
        <f t="shared" si="506"/>
        <v>0.30558049133060383</v>
      </c>
      <c r="U251" s="67">
        <f t="shared" si="506"/>
        <v>0.34012599521642889</v>
      </c>
      <c r="V251" s="67">
        <f t="shared" si="506"/>
        <v>0.36810633529288489</v>
      </c>
      <c r="W251" s="67">
        <f t="shared" si="506"/>
        <v>0.39015990199080464</v>
      </c>
      <c r="X251" s="67">
        <f t="shared" si="506"/>
        <v>0.4144030161258167</v>
      </c>
      <c r="Y251" s="135" t="s">
        <v>4</v>
      </c>
    </row>
    <row r="252" spans="2:27" ht="15" customHeight="1" outlineLevel="2">
      <c r="Y252" s="135" t="s">
        <v>4</v>
      </c>
    </row>
    <row r="253" spans="2:27" ht="15" customHeight="1" outlineLevel="1">
      <c r="Y253" s="135" t="s">
        <v>4</v>
      </c>
    </row>
    <row r="254" spans="2:27" ht="15" customHeight="1" outlineLevel="1">
      <c r="B254" s="12" t="s">
        <v>58</v>
      </c>
      <c r="C254" s="10"/>
      <c r="D254" s="11"/>
      <c r="E254" s="11"/>
      <c r="F254" s="11"/>
      <c r="G254" s="11"/>
      <c r="H254" s="11"/>
      <c r="I254" s="11"/>
      <c r="J254" s="11"/>
      <c r="K254" s="11"/>
      <c r="L254" s="11"/>
      <c r="M254" s="11"/>
      <c r="N254" s="11"/>
      <c r="O254" s="11"/>
      <c r="P254" s="11"/>
      <c r="Q254" s="11"/>
      <c r="R254" s="11"/>
      <c r="S254" s="11"/>
      <c r="T254" s="11"/>
      <c r="U254" s="11"/>
      <c r="V254" s="11"/>
      <c r="W254" s="147"/>
      <c r="X254" s="147"/>
      <c r="Y254" s="135" t="s">
        <v>4</v>
      </c>
    </row>
    <row r="255" spans="2:27" ht="15" customHeight="1" outlineLevel="2">
      <c r="M255" s="23"/>
      <c r="N255" s="23"/>
      <c r="O255" s="23"/>
      <c r="P255" s="23"/>
      <c r="Q255" s="23"/>
      <c r="R255" s="23"/>
      <c r="S255" s="23"/>
      <c r="T255" s="23"/>
      <c r="U255" s="23"/>
      <c r="Y255" s="135" t="s">
        <v>4</v>
      </c>
    </row>
    <row r="256" spans="2:27" ht="15" customHeight="1" outlineLevel="2">
      <c r="B256" s="7" t="s">
        <v>25</v>
      </c>
      <c r="C256" s="13" t="s">
        <v>26</v>
      </c>
      <c r="D256" s="71"/>
      <c r="E256" s="71"/>
      <c r="F256" s="71"/>
      <c r="G256" s="71"/>
      <c r="H256" s="71"/>
      <c r="I256" s="71"/>
      <c r="J256" s="71"/>
      <c r="K256" s="71"/>
      <c r="L256" s="71"/>
      <c r="M256" s="71"/>
      <c r="N256" s="71"/>
      <c r="O256" s="71"/>
      <c r="P256" s="71"/>
      <c r="Q256" s="75">
        <f>Q259+Q263</f>
        <v>1785.7559999999999</v>
      </c>
      <c r="R256" s="75">
        <f>R259+R263</f>
        <v>2039.5981008310337</v>
      </c>
      <c r="S256" s="75">
        <f t="shared" ref="S256:W256" si="507">S259+S263</f>
        <v>3014.8090633262054</v>
      </c>
      <c r="T256" s="75">
        <f t="shared" si="507"/>
        <v>4758.4347677422093</v>
      </c>
      <c r="U256" s="75">
        <f t="shared" si="507"/>
        <v>5910.1660662285331</v>
      </c>
      <c r="V256" s="75">
        <f t="shared" si="507"/>
        <v>7400.7834975513297</v>
      </c>
      <c r="W256" s="75">
        <f t="shared" si="507"/>
        <v>9346.6121809296092</v>
      </c>
      <c r="X256" s="75">
        <f t="shared" ref="X256" si="508">X259+X263</f>
        <v>11909.518912146586</v>
      </c>
      <c r="Y256" s="135" t="s">
        <v>4</v>
      </c>
    </row>
    <row r="257" spans="2:28" ht="15" customHeight="1" outlineLevel="2">
      <c r="B257" s="6" t="s">
        <v>27</v>
      </c>
      <c r="C257" s="1" t="s">
        <v>21</v>
      </c>
      <c r="D257" s="72"/>
      <c r="E257" s="72"/>
      <c r="F257" s="72"/>
      <c r="G257" s="72"/>
      <c r="H257" s="72"/>
      <c r="I257" s="72"/>
      <c r="J257" s="72"/>
      <c r="K257" s="72"/>
      <c r="L257" s="72"/>
      <c r="M257" s="72"/>
      <c r="N257" s="72"/>
      <c r="O257" s="72"/>
      <c r="P257" s="72"/>
      <c r="Q257" s="24">
        <v>0</v>
      </c>
      <c r="R257" s="24">
        <f t="shared" ref="R257" si="509">IFERROR(R256/Q256-1,"n.m.")</f>
        <v>0.14214825588212143</v>
      </c>
      <c r="S257" s="24">
        <f t="shared" ref="S257" si="510">IFERROR(S256/R256-1,"n.m.")</f>
        <v>0.47813878729237014</v>
      </c>
      <c r="T257" s="24">
        <f t="shared" ref="T257" si="511">IFERROR(T256/S256-1,"n.m.")</f>
        <v>0.57835360972819982</v>
      </c>
      <c r="U257" s="24">
        <f t="shared" ref="U257" si="512">IFERROR(U256/T256-1,"n.m.")</f>
        <v>0.24203994689472208</v>
      </c>
      <c r="V257" s="24">
        <f t="shared" ref="V257" si="513">IFERROR(V256/U256-1,"n.m.")</f>
        <v>0.25221244456063263</v>
      </c>
      <c r="W257" s="113">
        <f t="shared" ref="W257" si="514">IFERROR(W256/V256-1,"n.m.")</f>
        <v>0.26292198441179759</v>
      </c>
      <c r="X257" s="113">
        <f t="shared" ref="X257" si="515">IFERROR(X256/W256-1,"n.m.")</f>
        <v>0.27420702620423398</v>
      </c>
      <c r="Y257" s="135" t="s">
        <v>4</v>
      </c>
    </row>
    <row r="258" spans="2:28" ht="15" customHeight="1" outlineLevel="2">
      <c r="W258" s="9"/>
      <c r="X258" s="9"/>
      <c r="Y258" s="135" t="s">
        <v>4</v>
      </c>
    </row>
    <row r="259" spans="2:28" ht="15" customHeight="1" outlineLevel="3">
      <c r="B259" s="17" t="s">
        <v>59</v>
      </c>
      <c r="C259" s="15" t="s">
        <v>26</v>
      </c>
      <c r="D259" s="91"/>
      <c r="E259" s="91"/>
      <c r="F259" s="91"/>
      <c r="G259" s="91"/>
      <c r="H259" s="91"/>
      <c r="I259" s="91"/>
      <c r="J259" s="91"/>
      <c r="K259" s="91"/>
      <c r="L259" s="91"/>
      <c r="M259" s="91"/>
      <c r="N259" s="91"/>
      <c r="O259" s="91"/>
      <c r="P259" s="91"/>
      <c r="Q259" s="32">
        <v>1765.2559999999999</v>
      </c>
      <c r="R259" s="36">
        <f>Q259*(1+R260)</f>
        <v>2018.5324666421841</v>
      </c>
      <c r="S259" s="36">
        <f t="shared" ref="S259:W259" si="516">R259*(1+S260)</f>
        <v>2993.1541411294456</v>
      </c>
      <c r="T259" s="36">
        <f t="shared" si="516"/>
        <v>4736.1478078041046</v>
      </c>
      <c r="U259" s="36">
        <f t="shared" si="516"/>
        <v>5887.1909140283715</v>
      </c>
      <c r="V259" s="36">
        <f t="shared" si="516"/>
        <v>7377.0801852010291</v>
      </c>
      <c r="W259" s="36">
        <f t="shared" si="516"/>
        <v>9322.1396101010596</v>
      </c>
      <c r="X259" s="36">
        <f t="shared" ref="X259" si="517">W259*(1+X260)</f>
        <v>11884.232175368405</v>
      </c>
      <c r="Y259" s="135" t="s">
        <v>4</v>
      </c>
    </row>
    <row r="260" spans="2:28" ht="15" customHeight="1" outlineLevel="3">
      <c r="B260" s="18" t="s">
        <v>27</v>
      </c>
      <c r="C260" s="1" t="s">
        <v>21</v>
      </c>
      <c r="D260" s="72"/>
      <c r="E260" s="72"/>
      <c r="F260" s="72"/>
      <c r="G260" s="72"/>
      <c r="H260" s="72"/>
      <c r="I260" s="72"/>
      <c r="J260" s="72"/>
      <c r="K260" s="72"/>
      <c r="L260" s="72"/>
      <c r="M260" s="72"/>
      <c r="N260" s="72"/>
      <c r="O260" s="72"/>
      <c r="P260" s="72"/>
      <c r="Q260" s="24" t="str">
        <f>IFERROR(Q259/P259-1,"n.m.")</f>
        <v>n.m.</v>
      </c>
      <c r="R260" s="69">
        <f t="shared" ref="R260:W260" si="518">R291</f>
        <v>0.14347860403374035</v>
      </c>
      <c r="S260" s="69">
        <f t="shared" si="518"/>
        <v>0.4828367591770959</v>
      </c>
      <c r="T260" s="69">
        <f t="shared" si="518"/>
        <v>0.58232673109743449</v>
      </c>
      <c r="U260" s="69">
        <f t="shared" si="518"/>
        <v>0.24303361147800473</v>
      </c>
      <c r="V260" s="69">
        <f t="shared" si="518"/>
        <v>0.25307303481911125</v>
      </c>
      <c r="W260" s="69">
        <f t="shared" si="518"/>
        <v>0.26366250278829351</v>
      </c>
      <c r="X260" s="69">
        <f t="shared" ref="X260" si="519">X291</f>
        <v>0.27483954032303637</v>
      </c>
      <c r="Y260" s="135" t="s">
        <v>4</v>
      </c>
    </row>
    <row r="261" spans="2:28" ht="15" customHeight="1" outlineLevel="3">
      <c r="B261" s="18" t="s">
        <v>29</v>
      </c>
      <c r="C261" s="1" t="s">
        <v>21</v>
      </c>
      <c r="D261" s="72"/>
      <c r="E261" s="72"/>
      <c r="F261" s="72"/>
      <c r="G261" s="72"/>
      <c r="H261" s="72"/>
      <c r="I261" s="72"/>
      <c r="J261" s="72"/>
      <c r="K261" s="72"/>
      <c r="L261" s="72"/>
      <c r="M261" s="72"/>
      <c r="N261" s="72"/>
      <c r="O261" s="72"/>
      <c r="P261" s="72"/>
      <c r="Q261" s="97">
        <f>Q259/Q$256</f>
        <v>0.9885202681665356</v>
      </c>
      <c r="R261" s="97">
        <f t="shared" ref="R261:W261" si="520">R259/R$256</f>
        <v>0.98967167395367428</v>
      </c>
      <c r="S261" s="97">
        <f t="shared" si="520"/>
        <v>0.99281714969608448</v>
      </c>
      <c r="T261" s="97">
        <f t="shared" si="520"/>
        <v>0.99531632542507686</v>
      </c>
      <c r="U261" s="97">
        <f t="shared" si="520"/>
        <v>0.99611260463027518</v>
      </c>
      <c r="V261" s="97">
        <f t="shared" si="520"/>
        <v>0.99679718878978918</v>
      </c>
      <c r="W261" s="97">
        <f t="shared" si="520"/>
        <v>0.99738166403453843</v>
      </c>
      <c r="X261" s="97">
        <f t="shared" ref="X261" si="521">X259/X$256</f>
        <v>0.99787676253216306</v>
      </c>
      <c r="Y261" s="135" t="s">
        <v>4</v>
      </c>
    </row>
    <row r="262" spans="2:28" ht="15" customHeight="1" outlineLevel="3">
      <c r="D262" s="40"/>
      <c r="E262" s="40"/>
      <c r="F262" s="40"/>
      <c r="G262" s="40"/>
      <c r="H262" s="40"/>
      <c r="I262" s="40"/>
      <c r="J262" s="40"/>
      <c r="K262" s="40"/>
      <c r="L262" s="40"/>
      <c r="M262" s="40"/>
      <c r="N262" s="40"/>
      <c r="O262" s="40"/>
      <c r="P262" s="40"/>
      <c r="Q262" s="40"/>
      <c r="R262" s="40"/>
      <c r="S262" s="40"/>
      <c r="T262" s="40"/>
      <c r="U262" s="40"/>
      <c r="V262" s="40"/>
      <c r="W262" s="40"/>
      <c r="X262" s="40"/>
      <c r="Y262" s="135" t="s">
        <v>4</v>
      </c>
      <c r="AB262" s="663"/>
    </row>
    <row r="263" spans="2:28" ht="15" customHeight="1" outlineLevel="3">
      <c r="B263" s="6" t="s">
        <v>60</v>
      </c>
      <c r="C263" s="1" t="s">
        <v>26</v>
      </c>
      <c r="D263" s="72"/>
      <c r="E263" s="72"/>
      <c r="F263" s="72"/>
      <c r="G263" s="72"/>
      <c r="H263" s="72"/>
      <c r="I263" s="72"/>
      <c r="J263" s="72"/>
      <c r="K263" s="72"/>
      <c r="L263" s="72"/>
      <c r="M263" s="72"/>
      <c r="N263" s="72"/>
      <c r="O263" s="72"/>
      <c r="P263" s="72"/>
      <c r="Q263" s="109">
        <v>20.5</v>
      </c>
      <c r="R263" s="110">
        <f>Q263*(1+R264)</f>
        <v>21.065634188849661</v>
      </c>
      <c r="S263" s="110">
        <f t="shared" ref="S263" si="522">R263*(1+S264)</f>
        <v>21.654922196759919</v>
      </c>
      <c r="T263" s="110">
        <f t="shared" ref="T263" si="523">S263*(1+T264)</f>
        <v>22.28695993810457</v>
      </c>
      <c r="U263" s="110">
        <f t="shared" ref="U263" si="524">T263*(1+U264)</f>
        <v>22.975152200161123</v>
      </c>
      <c r="V263" s="110">
        <f t="shared" ref="V263" si="525">U263*(1+V264)</f>
        <v>23.703312350300727</v>
      </c>
      <c r="W263" s="110">
        <f t="shared" ref="W263" si="526">V263*(1+W264)</f>
        <v>24.472570828550221</v>
      </c>
      <c r="X263" s="110">
        <f t="shared" ref="X263" si="527">W263*(1+X264)</f>
        <v>25.286736778181794</v>
      </c>
      <c r="Y263" s="135" t="s">
        <v>4</v>
      </c>
      <c r="AB263" s="663"/>
    </row>
    <row r="264" spans="2:28" ht="15" customHeight="1" outlineLevel="3">
      <c r="B264" s="18" t="s">
        <v>27</v>
      </c>
      <c r="C264" s="1" t="s">
        <v>21</v>
      </c>
      <c r="D264" s="72"/>
      <c r="E264" s="72"/>
      <c r="F264" s="72"/>
      <c r="G264" s="72"/>
      <c r="H264" s="72"/>
      <c r="I264" s="72"/>
      <c r="J264" s="72"/>
      <c r="K264" s="72"/>
      <c r="L264" s="72"/>
      <c r="M264" s="72"/>
      <c r="N264" s="72"/>
      <c r="O264" s="72"/>
      <c r="P264" s="72"/>
      <c r="Q264" s="24" t="str">
        <f>IFERROR(Q263/P263-1,"n.m.")</f>
        <v>n.m.</v>
      </c>
      <c r="R264" s="69">
        <f t="shared" ref="R264:W264" si="528">R300</f>
        <v>2.7591911651202894E-2</v>
      </c>
      <c r="S264" s="69">
        <f t="shared" si="528"/>
        <v>2.7973903022685986E-2</v>
      </c>
      <c r="T264" s="69">
        <f t="shared" si="528"/>
        <v>2.9186793450554083E-2</v>
      </c>
      <c r="U264" s="69">
        <f t="shared" si="528"/>
        <v>3.0878696061185762E-2</v>
      </c>
      <c r="V264" s="69">
        <f t="shared" si="528"/>
        <v>3.1693376557239805E-2</v>
      </c>
      <c r="W264" s="69">
        <f t="shared" si="528"/>
        <v>3.2453627867741197E-2</v>
      </c>
      <c r="X264" s="69">
        <f t="shared" ref="X264" si="529">X300</f>
        <v>3.3268509276587643E-2</v>
      </c>
      <c r="Y264" s="135" t="s">
        <v>4</v>
      </c>
      <c r="AB264" s="663"/>
    </row>
    <row r="265" spans="2:28" ht="15" customHeight="1" outlineLevel="3">
      <c r="B265" s="18" t="s">
        <v>29</v>
      </c>
      <c r="C265" s="1" t="s">
        <v>21</v>
      </c>
      <c r="D265" s="107"/>
      <c r="E265" s="107"/>
      <c r="F265" s="107"/>
      <c r="G265" s="107"/>
      <c r="H265" s="107"/>
      <c r="I265" s="107"/>
      <c r="J265" s="107"/>
      <c r="K265" s="107"/>
      <c r="L265" s="107"/>
      <c r="M265" s="107"/>
      <c r="N265" s="107"/>
      <c r="O265" s="107"/>
      <c r="P265" s="107"/>
      <c r="Q265" s="97">
        <f>Q263/Q$256</f>
        <v>1.147973183346437E-2</v>
      </c>
      <c r="R265" s="97">
        <f t="shared" ref="R265:W265" si="530">R263/R$256</f>
        <v>1.0328326046325732E-2</v>
      </c>
      <c r="S265" s="97">
        <f t="shared" si="530"/>
        <v>7.1828503039155266E-3</v>
      </c>
      <c r="T265" s="97">
        <f t="shared" si="530"/>
        <v>4.6836745749231582E-3</v>
      </c>
      <c r="U265" s="97">
        <f t="shared" si="530"/>
        <v>3.887395369724747E-3</v>
      </c>
      <c r="V265" s="97">
        <f t="shared" si="530"/>
        <v>3.2028112102108321E-3</v>
      </c>
      <c r="W265" s="97">
        <f t="shared" si="530"/>
        <v>2.6183359654616796E-3</v>
      </c>
      <c r="X265" s="97">
        <f t="shared" ref="X265" si="531">X263/X$256</f>
        <v>2.1232374678369003E-3</v>
      </c>
      <c r="Y265" s="135" t="s">
        <v>4</v>
      </c>
    </row>
    <row r="266" spans="2:28" ht="15" customHeight="1" outlineLevel="3">
      <c r="B266" s="14"/>
      <c r="C266" s="15"/>
      <c r="D266" s="16"/>
      <c r="E266" s="16"/>
      <c r="F266" s="16"/>
      <c r="G266" s="16"/>
      <c r="H266" s="16"/>
      <c r="I266" s="16"/>
      <c r="J266" s="16"/>
      <c r="K266" s="16"/>
      <c r="L266" s="16"/>
      <c r="M266" s="16"/>
      <c r="N266" s="16"/>
      <c r="O266" s="16"/>
      <c r="P266" s="16"/>
      <c r="Q266" s="16"/>
      <c r="R266" s="16"/>
      <c r="S266" s="16"/>
      <c r="T266" s="16"/>
      <c r="U266" s="16"/>
      <c r="V266" s="16"/>
      <c r="W266" s="16"/>
      <c r="X266" s="16"/>
      <c r="Y266" s="135" t="s">
        <v>4</v>
      </c>
    </row>
    <row r="267" spans="2:28" ht="15" customHeight="1" outlineLevel="2">
      <c r="B267" s="7" t="s">
        <v>61</v>
      </c>
      <c r="C267" s="13" t="s">
        <v>26</v>
      </c>
      <c r="D267" s="175"/>
      <c r="E267" s="175"/>
      <c r="F267" s="175"/>
      <c r="G267" s="175"/>
      <c r="H267" s="175"/>
      <c r="I267" s="175"/>
      <c r="J267" s="175"/>
      <c r="K267" s="175"/>
      <c r="L267" s="175"/>
      <c r="M267" s="175"/>
      <c r="N267" s="175"/>
      <c r="O267" s="175"/>
      <c r="P267" s="175"/>
      <c r="Q267" s="75">
        <f>Q270+Q273+Q276</f>
        <v>-118</v>
      </c>
      <c r="R267" s="75">
        <f t="shared" ref="R267:W267" si="532">R270+R273+R276</f>
        <v>-226.39538919224475</v>
      </c>
      <c r="S267" s="75">
        <f t="shared" si="532"/>
        <v>-334.6438060292088</v>
      </c>
      <c r="T267" s="75">
        <f t="shared" si="532"/>
        <v>-528.18625921938519</v>
      </c>
      <c r="U267" s="75">
        <f t="shared" si="532"/>
        <v>-656.0284333513672</v>
      </c>
      <c r="V267" s="75">
        <f t="shared" si="532"/>
        <v>-821.48696822819761</v>
      </c>
      <c r="W267" s="75">
        <f t="shared" si="532"/>
        <v>-1037.4739520831868</v>
      </c>
      <c r="X267" s="75">
        <f t="shared" ref="X267" si="533">X270+X273+X276</f>
        <v>-1321.9565992482712</v>
      </c>
      <c r="Y267" s="135" t="s">
        <v>4</v>
      </c>
    </row>
    <row r="268" spans="2:28" ht="15" customHeight="1" outlineLevel="2">
      <c r="B268" s="6" t="s">
        <v>62</v>
      </c>
      <c r="C268" s="1" t="s">
        <v>21</v>
      </c>
      <c r="D268" s="72"/>
      <c r="E268" s="72"/>
      <c r="F268" s="72"/>
      <c r="G268" s="72"/>
      <c r="H268" s="72"/>
      <c r="I268" s="72"/>
      <c r="J268" s="72"/>
      <c r="K268" s="72"/>
      <c r="L268" s="72"/>
      <c r="M268" s="72"/>
      <c r="N268" s="72"/>
      <c r="O268" s="72"/>
      <c r="P268" s="72"/>
      <c r="Q268" s="23">
        <f>Q267/Q$256</f>
        <v>-6.6078456407258332E-2</v>
      </c>
      <c r="R268" s="23">
        <f t="shared" ref="R268:W268" si="534">R267/R$256</f>
        <v>-0.111</v>
      </c>
      <c r="S268" s="23">
        <f t="shared" si="534"/>
        <v>-0.111</v>
      </c>
      <c r="T268" s="23">
        <f t="shared" si="534"/>
        <v>-0.11099999999999999</v>
      </c>
      <c r="U268" s="23">
        <f t="shared" si="534"/>
        <v>-0.111</v>
      </c>
      <c r="V268" s="23">
        <f t="shared" si="534"/>
        <v>-0.111</v>
      </c>
      <c r="W268" s="23">
        <f t="shared" si="534"/>
        <v>-0.11100000000000002</v>
      </c>
      <c r="X268" s="23">
        <f t="shared" ref="X268" si="535">X267/X$256</f>
        <v>-0.11100000000000002</v>
      </c>
      <c r="Y268" s="135" t="s">
        <v>4</v>
      </c>
    </row>
    <row r="269" spans="2:28" ht="15" customHeight="1" outlineLevel="3">
      <c r="B269" s="6"/>
      <c r="D269" s="24"/>
      <c r="E269" s="24"/>
      <c r="F269" s="24"/>
      <c r="G269" s="24"/>
      <c r="H269" s="24"/>
      <c r="I269" s="24"/>
      <c r="J269" s="24"/>
      <c r="K269" s="24"/>
      <c r="L269" s="24"/>
      <c r="M269" s="24"/>
      <c r="N269" s="24"/>
      <c r="O269" s="24"/>
      <c r="P269" s="24"/>
      <c r="Q269" s="23"/>
      <c r="R269" s="177"/>
      <c r="S269" s="177"/>
      <c r="T269" s="177"/>
      <c r="U269" s="177"/>
      <c r="V269" s="177"/>
      <c r="W269" s="177"/>
      <c r="X269" s="177"/>
      <c r="Y269" s="135" t="s">
        <v>4</v>
      </c>
    </row>
    <row r="270" spans="2:28" ht="15" customHeight="1" outlineLevel="3">
      <c r="B270" s="17" t="s">
        <v>63</v>
      </c>
      <c r="C270" s="15" t="s">
        <v>26</v>
      </c>
      <c r="D270" s="73"/>
      <c r="E270" s="73"/>
      <c r="F270" s="73"/>
      <c r="G270" s="73"/>
      <c r="H270" s="73"/>
      <c r="I270" s="73"/>
      <c r="J270" s="73"/>
      <c r="K270" s="73"/>
      <c r="L270" s="73"/>
      <c r="M270" s="73"/>
      <c r="N270" s="73"/>
      <c r="O270" s="73"/>
      <c r="P270" s="178"/>
      <c r="Q270" s="99">
        <v>-50</v>
      </c>
      <c r="R270" s="100">
        <f>R271*R$256</f>
        <v>-91.781914537396517</v>
      </c>
      <c r="S270" s="100">
        <f t="shared" ref="S270:V270" si="536">S271*S256</f>
        <v>-135.66640784967925</v>
      </c>
      <c r="T270" s="100">
        <f t="shared" si="536"/>
        <v>-214.1295645483994</v>
      </c>
      <c r="U270" s="100">
        <f t="shared" si="536"/>
        <v>-265.95747298028397</v>
      </c>
      <c r="V270" s="100">
        <f t="shared" si="536"/>
        <v>-333.03525738980983</v>
      </c>
      <c r="W270" s="101">
        <f>W271*W256</f>
        <v>-420.59754814183242</v>
      </c>
      <c r="X270" s="101">
        <f t="shared" ref="X270" si="537">X271*X256</f>
        <v>-535.92835104659639</v>
      </c>
      <c r="Y270" s="1" t="s">
        <v>4</v>
      </c>
    </row>
    <row r="271" spans="2:28" ht="15" customHeight="1" outlineLevel="3">
      <c r="B271" s="18" t="s">
        <v>62</v>
      </c>
      <c r="C271" s="1" t="s">
        <v>21</v>
      </c>
      <c r="D271" s="72"/>
      <c r="E271" s="72"/>
      <c r="F271" s="72"/>
      <c r="G271" s="72"/>
      <c r="H271" s="72"/>
      <c r="I271" s="72"/>
      <c r="J271" s="72"/>
      <c r="K271" s="72"/>
      <c r="L271" s="72"/>
      <c r="M271" s="72"/>
      <c r="N271" s="72"/>
      <c r="O271" s="72"/>
      <c r="P271" s="72"/>
      <c r="Q271" s="23">
        <f>Q270/Q$256</f>
        <v>-2.7999345935278953E-2</v>
      </c>
      <c r="R271" s="176">
        <v>-4.4999999999999998E-2</v>
      </c>
      <c r="S271" s="176">
        <v>-4.4999999999999998E-2</v>
      </c>
      <c r="T271" s="176">
        <v>-4.4999999999999998E-2</v>
      </c>
      <c r="U271" s="176">
        <v>-4.4999999999999998E-2</v>
      </c>
      <c r="V271" s="176">
        <v>-4.4999999999999998E-2</v>
      </c>
      <c r="W271" s="176">
        <v>-4.4999999999999998E-2</v>
      </c>
      <c r="X271" s="176">
        <v>-4.4999999999999998E-2</v>
      </c>
    </row>
    <row r="272" spans="2:28" ht="15" customHeight="1" outlineLevel="3">
      <c r="B272" s="6"/>
      <c r="D272" s="24"/>
      <c r="E272" s="24"/>
      <c r="F272" s="24"/>
      <c r="G272" s="24"/>
      <c r="H272" s="24"/>
      <c r="I272" s="24"/>
      <c r="J272" s="24"/>
      <c r="K272" s="24"/>
      <c r="L272" s="24"/>
      <c r="M272" s="24"/>
      <c r="N272" s="24"/>
      <c r="O272" s="24"/>
      <c r="P272" s="24"/>
      <c r="Q272" s="23"/>
      <c r="R272" s="177"/>
      <c r="S272" s="177"/>
      <c r="T272" s="177"/>
      <c r="U272" s="177"/>
      <c r="V272" s="177"/>
      <c r="W272" s="177"/>
      <c r="X272" s="177"/>
    </row>
    <row r="273" spans="2:25" ht="15" customHeight="1" outlineLevel="3">
      <c r="B273" s="6" t="s">
        <v>64</v>
      </c>
      <c r="C273" s="1" t="s">
        <v>26</v>
      </c>
      <c r="D273" s="72"/>
      <c r="E273" s="72"/>
      <c r="F273" s="72"/>
      <c r="G273" s="72"/>
      <c r="H273" s="72"/>
      <c r="I273" s="72"/>
      <c r="J273" s="72"/>
      <c r="K273" s="72"/>
      <c r="L273" s="72"/>
      <c r="M273" s="72"/>
      <c r="N273" s="72"/>
      <c r="O273" s="72"/>
      <c r="P273" s="72"/>
      <c r="Q273" s="82">
        <v>-20</v>
      </c>
      <c r="R273" s="8">
        <f t="shared" ref="R273:X273" si="538">R274*R$256</f>
        <v>-32.633569613296537</v>
      </c>
      <c r="S273" s="8">
        <f t="shared" si="538"/>
        <v>-48.236945013219291</v>
      </c>
      <c r="T273" s="8">
        <f t="shared" si="538"/>
        <v>-76.134956283875354</v>
      </c>
      <c r="U273" s="8">
        <f t="shared" si="538"/>
        <v>-94.56265705965653</v>
      </c>
      <c r="V273" s="8">
        <f t="shared" si="538"/>
        <v>-118.41253596082127</v>
      </c>
      <c r="W273" s="8">
        <f t="shared" si="538"/>
        <v>-149.54579489487375</v>
      </c>
      <c r="X273" s="8">
        <f t="shared" si="538"/>
        <v>-190.55230259434538</v>
      </c>
      <c r="Y273" s="135" t="s">
        <v>4</v>
      </c>
    </row>
    <row r="274" spans="2:25" ht="15" customHeight="1" outlineLevel="3">
      <c r="B274" s="18" t="s">
        <v>62</v>
      </c>
      <c r="C274" s="1" t="s">
        <v>21</v>
      </c>
      <c r="D274" s="72"/>
      <c r="E274" s="72"/>
      <c r="F274" s="72"/>
      <c r="G274" s="72"/>
      <c r="H274" s="72"/>
      <c r="I274" s="72"/>
      <c r="J274" s="72"/>
      <c r="K274" s="72"/>
      <c r="L274" s="72"/>
      <c r="M274" s="72"/>
      <c r="N274" s="72"/>
      <c r="O274" s="72"/>
      <c r="P274" s="72"/>
      <c r="Q274" s="23">
        <f>Q273/Q$256</f>
        <v>-1.1199738374111581E-2</v>
      </c>
      <c r="R274" s="176">
        <f>-1.6%</f>
        <v>-1.6E-2</v>
      </c>
      <c r="S274" s="176">
        <f t="shared" ref="S274:X274" si="539">-1.6%</f>
        <v>-1.6E-2</v>
      </c>
      <c r="T274" s="176">
        <f t="shared" si="539"/>
        <v>-1.6E-2</v>
      </c>
      <c r="U274" s="176">
        <f t="shared" si="539"/>
        <v>-1.6E-2</v>
      </c>
      <c r="V274" s="176">
        <f t="shared" si="539"/>
        <v>-1.6E-2</v>
      </c>
      <c r="W274" s="176">
        <f t="shared" si="539"/>
        <v>-1.6E-2</v>
      </c>
      <c r="X274" s="176">
        <f t="shared" si="539"/>
        <v>-1.6E-2</v>
      </c>
    </row>
    <row r="275" spans="2:25" ht="15" customHeight="1" outlineLevel="3">
      <c r="B275" s="6"/>
      <c r="D275" s="24"/>
      <c r="E275" s="24"/>
      <c r="F275" s="24"/>
      <c r="G275" s="24"/>
      <c r="H275" s="24"/>
      <c r="I275" s="24"/>
      <c r="J275" s="24"/>
      <c r="K275" s="24"/>
      <c r="L275" s="24"/>
      <c r="M275" s="24"/>
      <c r="N275" s="24"/>
      <c r="O275" s="24"/>
      <c r="P275" s="24"/>
      <c r="Q275" s="23"/>
      <c r="R275" s="177"/>
      <c r="S275" s="177"/>
      <c r="T275" s="177"/>
      <c r="U275" s="177"/>
      <c r="V275" s="177"/>
      <c r="W275" s="177"/>
      <c r="X275" s="177"/>
    </row>
    <row r="276" spans="2:25" ht="15" customHeight="1" outlineLevel="3">
      <c r="B276" s="6" t="s">
        <v>65</v>
      </c>
      <c r="C276" s="1" t="s">
        <v>26</v>
      </c>
      <c r="D276" s="72"/>
      <c r="E276" s="72"/>
      <c r="F276" s="72"/>
      <c r="G276" s="72"/>
      <c r="H276" s="72"/>
      <c r="I276" s="72"/>
      <c r="J276" s="72"/>
      <c r="K276" s="72"/>
      <c r="L276" s="72"/>
      <c r="M276" s="72"/>
      <c r="N276" s="72"/>
      <c r="O276" s="72"/>
      <c r="P276" s="72"/>
      <c r="Q276" s="82">
        <v>-48</v>
      </c>
      <c r="R276" s="8">
        <f t="shared" ref="R276" si="540">R277*R$256</f>
        <v>-101.97990504155169</v>
      </c>
      <c r="S276" s="8">
        <f t="shared" ref="S276" si="541">S277*S$256</f>
        <v>-150.74045316631029</v>
      </c>
      <c r="T276" s="8">
        <f t="shared" ref="T276" si="542">T277*T$256</f>
        <v>-237.92173838711048</v>
      </c>
      <c r="U276" s="8">
        <f t="shared" ref="U276" si="543">U277*U$256</f>
        <v>-295.50830331142669</v>
      </c>
      <c r="V276" s="8">
        <f t="shared" ref="V276" si="544">V277*V$256</f>
        <v>-370.0391748775665</v>
      </c>
      <c r="W276" s="8">
        <f t="shared" ref="W276:X276" si="545">W277*W$256</f>
        <v>-467.3306090464805</v>
      </c>
      <c r="X276" s="8">
        <f t="shared" si="545"/>
        <v>-595.47594560732932</v>
      </c>
      <c r="Y276" s="135" t="s">
        <v>4</v>
      </c>
    </row>
    <row r="277" spans="2:25" ht="15" customHeight="1" outlineLevel="3">
      <c r="B277" s="20" t="s">
        <v>62</v>
      </c>
      <c r="C277" s="21" t="s">
        <v>21</v>
      </c>
      <c r="D277" s="74"/>
      <c r="E277" s="74"/>
      <c r="F277" s="74"/>
      <c r="G277" s="74"/>
      <c r="H277" s="74"/>
      <c r="I277" s="74"/>
      <c r="J277" s="74"/>
      <c r="K277" s="74"/>
      <c r="L277" s="74"/>
      <c r="M277" s="74"/>
      <c r="N277" s="74"/>
      <c r="O277" s="74"/>
      <c r="P277" s="74"/>
      <c r="Q277" s="65">
        <f>Q276/Q$256</f>
        <v>-2.6879372097867796E-2</v>
      </c>
      <c r="R277" s="67">
        <v>-0.05</v>
      </c>
      <c r="S277" s="67">
        <v>-0.05</v>
      </c>
      <c r="T277" s="67">
        <v>-0.05</v>
      </c>
      <c r="U277" s="67">
        <v>-0.05</v>
      </c>
      <c r="V277" s="67">
        <v>-0.05</v>
      </c>
      <c r="W277" s="67">
        <v>-0.05</v>
      </c>
      <c r="X277" s="67">
        <v>-0.05</v>
      </c>
      <c r="Y277" s="135" t="s">
        <v>4</v>
      </c>
    </row>
    <row r="278" spans="2:25" ht="15" customHeight="1" outlineLevel="2">
      <c r="B278" s="6"/>
      <c r="D278" s="24"/>
      <c r="E278" s="24"/>
      <c r="F278" s="24"/>
      <c r="G278" s="24"/>
      <c r="H278" s="24"/>
      <c r="I278" s="24"/>
      <c r="J278" s="24"/>
      <c r="K278" s="24"/>
      <c r="L278" s="24"/>
      <c r="M278" s="24"/>
      <c r="N278" s="24"/>
      <c r="O278" s="24"/>
      <c r="P278" s="24"/>
      <c r="Q278" s="23"/>
      <c r="R278" s="177"/>
      <c r="S278" s="177"/>
      <c r="T278" s="177"/>
      <c r="U278" s="177"/>
      <c r="V278" s="177"/>
      <c r="W278" s="177"/>
      <c r="X278" s="177"/>
      <c r="Y278" s="135" t="s">
        <v>4</v>
      </c>
    </row>
    <row r="279" spans="2:25" ht="15" customHeight="1" outlineLevel="2">
      <c r="B279" s="7" t="s">
        <v>38</v>
      </c>
      <c r="C279" s="13" t="s">
        <v>39</v>
      </c>
      <c r="D279" s="71"/>
      <c r="E279" s="71"/>
      <c r="F279" s="71"/>
      <c r="G279" s="71"/>
      <c r="H279" s="71"/>
      <c r="I279" s="71"/>
      <c r="J279" s="71"/>
      <c r="K279" s="71"/>
      <c r="L279" s="71"/>
      <c r="M279" s="71"/>
      <c r="N279" s="71"/>
      <c r="O279" s="71"/>
      <c r="P279" s="71"/>
      <c r="Q279" s="22">
        <f>Q283+Q287</f>
        <v>1036</v>
      </c>
      <c r="R279" s="22">
        <f t="shared" ref="R279:W279" si="546">R283+R287</f>
        <v>1114.19</v>
      </c>
      <c r="S279" s="22">
        <f t="shared" si="546"/>
        <v>1414.3819000000001</v>
      </c>
      <c r="T279" s="22">
        <f t="shared" si="546"/>
        <v>1814.5757189999999</v>
      </c>
      <c r="U279" s="22">
        <f t="shared" si="546"/>
        <v>1994.2714761899999</v>
      </c>
      <c r="V279" s="22">
        <f t="shared" si="546"/>
        <v>2191.9191909519</v>
      </c>
      <c r="W279" s="22">
        <f t="shared" si="546"/>
        <v>2409.3138828614192</v>
      </c>
      <c r="X279" s="22">
        <f t="shared" ref="X279" si="547">X283+X287</f>
        <v>2648.4300716900329</v>
      </c>
      <c r="Y279" s="135" t="s">
        <v>4</v>
      </c>
    </row>
    <row r="280" spans="2:25" ht="15" customHeight="1" outlineLevel="2">
      <c r="B280" s="6" t="s">
        <v>27</v>
      </c>
      <c r="C280" s="1" t="s">
        <v>21</v>
      </c>
      <c r="D280" s="72"/>
      <c r="E280" s="72"/>
      <c r="F280" s="72"/>
      <c r="G280" s="72"/>
      <c r="H280" s="72"/>
      <c r="I280" s="72"/>
      <c r="J280" s="72"/>
      <c r="K280" s="72"/>
      <c r="L280" s="72"/>
      <c r="M280" s="72"/>
      <c r="N280" s="72"/>
      <c r="O280" s="72"/>
      <c r="P280" s="72"/>
      <c r="Q280" s="24" t="str">
        <f>IFERROR(Q279/P279-1,"n.m.")</f>
        <v>n.m.</v>
      </c>
      <c r="R280" s="24">
        <f t="shared" ref="R280" si="548">IFERROR(R279/Q279-1,"n.m.")</f>
        <v>7.5472972972973063E-2</v>
      </c>
      <c r="S280" s="24">
        <f t="shared" ref="S280" si="549">IFERROR(S279/R279-1,"n.m.")</f>
        <v>0.26942613019323458</v>
      </c>
      <c r="T280" s="24">
        <f t="shared" ref="T280" si="550">IFERROR(T279/S279-1,"n.m.")</f>
        <v>0.28294608337394567</v>
      </c>
      <c r="U280" s="24">
        <f t="shared" ref="U280" si="551">IFERROR(U279/T279-1,"n.m.")</f>
        <v>9.9029076223410062E-2</v>
      </c>
      <c r="V280" s="24">
        <f t="shared" ref="V280" si="552">IFERROR(V279/U279-1,"n.m.")</f>
        <v>9.9107727870380247E-2</v>
      </c>
      <c r="W280" s="113">
        <f t="shared" ref="W280" si="553">IFERROR(W279/V279-1,"n.m.")</f>
        <v>9.9180066859631655E-2</v>
      </c>
      <c r="X280" s="113">
        <f t="shared" ref="X280" si="554">IFERROR(X279/W279-1,"n.m.")</f>
        <v>9.9246590711803639E-2</v>
      </c>
      <c r="Y280" s="135" t="s">
        <v>4</v>
      </c>
    </row>
    <row r="281" spans="2:25" ht="15" customHeight="1" outlineLevel="2">
      <c r="B281" s="6" t="s">
        <v>27</v>
      </c>
      <c r="C281" s="1" t="s">
        <v>39</v>
      </c>
      <c r="D281" s="72"/>
      <c r="E281" s="72"/>
      <c r="F281" s="72"/>
      <c r="G281" s="72"/>
      <c r="H281" s="72"/>
      <c r="I281" s="72"/>
      <c r="J281" s="72"/>
      <c r="K281" s="72"/>
      <c r="L281" s="72"/>
      <c r="M281" s="72"/>
      <c r="N281" s="72"/>
      <c r="O281" s="72"/>
      <c r="P281" s="72"/>
      <c r="Q281" s="26">
        <f>IFERROR(Q279-P279,"n.m.")</f>
        <v>1036</v>
      </c>
      <c r="R281" s="26">
        <f t="shared" ref="R281:W281" si="555">IFERROR(R279-Q279,"n.m.")</f>
        <v>78.190000000000055</v>
      </c>
      <c r="S281" s="26">
        <f t="shared" si="555"/>
        <v>300.19190000000003</v>
      </c>
      <c r="T281" s="26">
        <f t="shared" si="555"/>
        <v>400.19381899999985</v>
      </c>
      <c r="U281" s="26">
        <f t="shared" si="555"/>
        <v>179.69575718999999</v>
      </c>
      <c r="V281" s="26">
        <f t="shared" si="555"/>
        <v>197.64771476190003</v>
      </c>
      <c r="W281" s="28">
        <f t="shared" si="555"/>
        <v>217.39469190951922</v>
      </c>
      <c r="X281" s="28">
        <f t="shared" ref="X281" si="556">IFERROR(X279-W279,"n.m.")</f>
        <v>239.11618882861376</v>
      </c>
      <c r="Y281" s="135" t="s">
        <v>4</v>
      </c>
    </row>
    <row r="282" spans="2:25" ht="15" customHeight="1" outlineLevel="3">
      <c r="W282" s="9"/>
      <c r="X282" s="9"/>
      <c r="Y282" s="135" t="s">
        <v>4</v>
      </c>
    </row>
    <row r="283" spans="2:25" ht="15" customHeight="1" outlineLevel="3">
      <c r="B283" s="17" t="s">
        <v>59</v>
      </c>
      <c r="C283" s="15" t="s">
        <v>39</v>
      </c>
      <c r="D283" s="91"/>
      <c r="E283" s="91"/>
      <c r="F283" s="91"/>
      <c r="G283" s="91"/>
      <c r="H283" s="91"/>
      <c r="I283" s="91"/>
      <c r="J283" s="91"/>
      <c r="K283" s="91"/>
      <c r="L283" s="91"/>
      <c r="M283" s="91"/>
      <c r="N283" s="91"/>
      <c r="O283" s="91"/>
      <c r="P283" s="91"/>
      <c r="Q283" s="32">
        <v>1017</v>
      </c>
      <c r="R283" s="36">
        <f>Q283+R285</f>
        <v>1095</v>
      </c>
      <c r="S283" s="36">
        <f t="shared" ref="S283:W283" si="557">R283+S285</f>
        <v>1395</v>
      </c>
      <c r="T283" s="36">
        <f t="shared" si="557"/>
        <v>1795</v>
      </c>
      <c r="U283" s="36">
        <f t="shared" si="557"/>
        <v>1974.5</v>
      </c>
      <c r="V283" s="36">
        <f t="shared" si="557"/>
        <v>2171.9499999999998</v>
      </c>
      <c r="W283" s="36">
        <f t="shared" si="557"/>
        <v>2389.145</v>
      </c>
      <c r="X283" s="36">
        <f t="shared" ref="X283" si="558">W283+X285</f>
        <v>2628.0594999999998</v>
      </c>
      <c r="Y283" s="135" t="s">
        <v>4</v>
      </c>
    </row>
    <row r="284" spans="2:25" ht="15" customHeight="1" outlineLevel="3">
      <c r="B284" s="18" t="s">
        <v>27</v>
      </c>
      <c r="C284" s="1" t="s">
        <v>21</v>
      </c>
      <c r="D284" s="72"/>
      <c r="E284" s="72"/>
      <c r="F284" s="72"/>
      <c r="G284" s="72"/>
      <c r="H284" s="72"/>
      <c r="I284" s="72"/>
      <c r="J284" s="72"/>
      <c r="K284" s="72"/>
      <c r="L284" s="72"/>
      <c r="M284" s="72"/>
      <c r="N284" s="72"/>
      <c r="O284" s="72"/>
      <c r="P284" s="72"/>
      <c r="Q284" s="24" t="str">
        <f>IFERROR(Q283/P283-1,"n.m.")</f>
        <v>n.m.</v>
      </c>
      <c r="R284" s="24">
        <f t="shared" ref="R284" si="559">IFERROR(R283/Q283-1,"n.m.")</f>
        <v>7.6696165191740384E-2</v>
      </c>
      <c r="S284" s="24">
        <f t="shared" ref="S284" si="560">IFERROR(S283/R283-1,"n.m.")</f>
        <v>0.27397260273972601</v>
      </c>
      <c r="T284" s="24">
        <f t="shared" ref="T284" si="561">IFERROR(T283/S283-1,"n.m.")</f>
        <v>0.28673835125448033</v>
      </c>
      <c r="U284" s="24">
        <f t="shared" ref="U284" si="562">IFERROR(U283/T283-1,"n.m.")</f>
        <v>0.10000000000000009</v>
      </c>
      <c r="V284" s="24">
        <f t="shared" ref="V284" si="563">IFERROR(V283/U283-1,"n.m.")</f>
        <v>9.9999999999999867E-2</v>
      </c>
      <c r="W284" s="113">
        <f t="shared" ref="W284" si="564">IFERROR(W283/V283-1,"n.m.")</f>
        <v>0.10000000000000009</v>
      </c>
      <c r="X284" s="113">
        <f t="shared" ref="X284" si="565">IFERROR(X283/W283-1,"n.m.")</f>
        <v>9.9999999999999867E-2</v>
      </c>
      <c r="Y284" s="135" t="s">
        <v>4</v>
      </c>
    </row>
    <row r="285" spans="2:25" ht="15" customHeight="1" outlineLevel="3">
      <c r="B285" s="18" t="s">
        <v>27</v>
      </c>
      <c r="C285" s="1" t="s">
        <v>39</v>
      </c>
      <c r="D285" s="72"/>
      <c r="E285" s="72"/>
      <c r="F285" s="72"/>
      <c r="G285" s="72"/>
      <c r="H285" s="72"/>
      <c r="I285" s="72"/>
      <c r="J285" s="72"/>
      <c r="K285" s="72"/>
      <c r="L285" s="72"/>
      <c r="M285" s="72"/>
      <c r="N285" s="72"/>
      <c r="O285" s="72"/>
      <c r="P285" s="72"/>
      <c r="Q285" s="26" t="s">
        <v>44</v>
      </c>
      <c r="R285" s="33">
        <v>78</v>
      </c>
      <c r="S285" s="33">
        <v>300</v>
      </c>
      <c r="T285" s="33">
        <v>400</v>
      </c>
      <c r="U285" s="33">
        <f>T283*10%</f>
        <v>179.5</v>
      </c>
      <c r="V285" s="33">
        <f>U283*10%</f>
        <v>197.45000000000002</v>
      </c>
      <c r="W285" s="33">
        <f>V283*10%</f>
        <v>217.19499999999999</v>
      </c>
      <c r="X285" s="33">
        <f>W283*10%</f>
        <v>238.9145</v>
      </c>
      <c r="Y285" s="135" t="s">
        <v>4</v>
      </c>
    </row>
    <row r="286" spans="2:25" ht="15" customHeight="1" outlineLevel="3">
      <c r="D286" s="40"/>
      <c r="E286" s="40"/>
      <c r="F286" s="40"/>
      <c r="G286" s="40"/>
      <c r="H286" s="40"/>
      <c r="I286" s="40"/>
      <c r="J286" s="40"/>
      <c r="K286" s="40"/>
      <c r="L286" s="40"/>
      <c r="M286" s="40"/>
      <c r="N286" s="40"/>
      <c r="O286" s="40"/>
      <c r="P286" s="40"/>
      <c r="W286" s="9"/>
      <c r="X286" s="9"/>
      <c r="Y286" s="135" t="s">
        <v>4</v>
      </c>
    </row>
    <row r="287" spans="2:25" ht="15" customHeight="1" outlineLevel="3">
      <c r="B287" s="6" t="s">
        <v>60</v>
      </c>
      <c r="C287" s="1" t="s">
        <v>39</v>
      </c>
      <c r="D287" s="72"/>
      <c r="E287" s="72"/>
      <c r="F287" s="72"/>
      <c r="G287" s="72"/>
      <c r="H287" s="72"/>
      <c r="I287" s="72"/>
      <c r="J287" s="72"/>
      <c r="K287" s="72"/>
      <c r="L287" s="72"/>
      <c r="M287" s="72"/>
      <c r="N287" s="72"/>
      <c r="O287" s="72"/>
      <c r="P287" s="72"/>
      <c r="Q287" s="82">
        <v>19</v>
      </c>
      <c r="R287" s="42">
        <f>Q287+R289</f>
        <v>19.190000000000001</v>
      </c>
      <c r="S287" s="42">
        <f t="shared" ref="S287:W287" si="566">R287+S289</f>
        <v>19.381900000000002</v>
      </c>
      <c r="T287" s="42">
        <f t="shared" si="566"/>
        <v>19.575719000000003</v>
      </c>
      <c r="U287" s="42">
        <f t="shared" si="566"/>
        <v>19.771476190000001</v>
      </c>
      <c r="V287" s="42">
        <f t="shared" si="566"/>
        <v>19.9691909519</v>
      </c>
      <c r="W287" s="42">
        <f t="shared" si="566"/>
        <v>20.168882861419</v>
      </c>
      <c r="X287" s="42">
        <f t="shared" ref="X287" si="567">W287+X289</f>
        <v>20.370571690033191</v>
      </c>
      <c r="Y287" s="135" t="s">
        <v>4</v>
      </c>
    </row>
    <row r="288" spans="2:25" ht="15" customHeight="1" outlineLevel="3">
      <c r="B288" s="18" t="s">
        <v>27</v>
      </c>
      <c r="C288" s="1" t="s">
        <v>21</v>
      </c>
      <c r="D288" s="72"/>
      <c r="E288" s="72"/>
      <c r="F288" s="72"/>
      <c r="G288" s="72"/>
      <c r="H288" s="72"/>
      <c r="I288" s="72"/>
      <c r="J288" s="72"/>
      <c r="K288" s="72"/>
      <c r="L288" s="72"/>
      <c r="M288" s="72"/>
      <c r="N288" s="72"/>
      <c r="O288" s="72"/>
      <c r="P288" s="72"/>
      <c r="Q288" s="24" t="str">
        <f>IFERROR(Q287/P287-1,"n.m.")</f>
        <v>n.m.</v>
      </c>
      <c r="R288" s="24">
        <f t="shared" ref="R288" si="568">IFERROR(R287/Q287-1,"n.m.")</f>
        <v>1.0000000000000009E-2</v>
      </c>
      <c r="S288" s="24">
        <f t="shared" ref="S288" si="569">IFERROR(S287/R287-1,"n.m.")</f>
        <v>1.0000000000000009E-2</v>
      </c>
      <c r="T288" s="24">
        <f t="shared" ref="T288" si="570">IFERROR(T287/S287-1,"n.m.")</f>
        <v>1.0000000000000009E-2</v>
      </c>
      <c r="U288" s="24">
        <f t="shared" ref="U288" si="571">IFERROR(U287/T287-1,"n.m.")</f>
        <v>1.0000000000000009E-2</v>
      </c>
      <c r="V288" s="24">
        <f t="shared" ref="V288" si="572">IFERROR(V287/U287-1,"n.m.")</f>
        <v>1.0000000000000009E-2</v>
      </c>
      <c r="W288" s="113">
        <f t="shared" ref="W288" si="573">IFERROR(W287/V287-1,"n.m.")</f>
        <v>1.0000000000000009E-2</v>
      </c>
      <c r="X288" s="113">
        <f t="shared" ref="X288" si="574">IFERROR(X287/W287-1,"n.m.")</f>
        <v>1.0000000000000009E-2</v>
      </c>
      <c r="Y288" s="135" t="s">
        <v>4</v>
      </c>
    </row>
    <row r="289" spans="2:25" ht="15" customHeight="1" outlineLevel="3">
      <c r="B289" s="20" t="s">
        <v>27</v>
      </c>
      <c r="C289" s="21" t="s">
        <v>39</v>
      </c>
      <c r="D289" s="107"/>
      <c r="E289" s="107"/>
      <c r="F289" s="107"/>
      <c r="G289" s="107"/>
      <c r="H289" s="107"/>
      <c r="I289" s="107"/>
      <c r="J289" s="107"/>
      <c r="K289" s="107"/>
      <c r="L289" s="107"/>
      <c r="M289" s="107"/>
      <c r="N289" s="107"/>
      <c r="O289" s="107"/>
      <c r="P289" s="107"/>
      <c r="Q289" s="27" t="s">
        <v>44</v>
      </c>
      <c r="R289" s="30">
        <f t="shared" ref="R289:X289" si="575">Q287*1%</f>
        <v>0.19</v>
      </c>
      <c r="S289" s="30">
        <f t="shared" si="575"/>
        <v>0.19190000000000002</v>
      </c>
      <c r="T289" s="30">
        <f t="shared" si="575"/>
        <v>0.19381900000000002</v>
      </c>
      <c r="U289" s="30">
        <f t="shared" si="575"/>
        <v>0.19575719000000003</v>
      </c>
      <c r="V289" s="30">
        <f t="shared" si="575"/>
        <v>0.19771476190000001</v>
      </c>
      <c r="W289" s="30">
        <f t="shared" si="575"/>
        <v>0.19969190951900001</v>
      </c>
      <c r="X289" s="30">
        <f t="shared" si="575"/>
        <v>0.20168882861419002</v>
      </c>
      <c r="Y289" s="135" t="s">
        <v>4</v>
      </c>
    </row>
    <row r="290" spans="2:25" ht="15" customHeight="1" outlineLevel="2">
      <c r="W290" s="9"/>
      <c r="X290" s="9"/>
      <c r="Y290" s="135" t="s">
        <v>4</v>
      </c>
    </row>
    <row r="291" spans="2:25" ht="15" customHeight="1" outlineLevel="2">
      <c r="B291" s="50" t="s">
        <v>66</v>
      </c>
      <c r="C291" s="51" t="s">
        <v>21</v>
      </c>
      <c r="D291" s="71"/>
      <c r="E291" s="71"/>
      <c r="F291" s="71"/>
      <c r="G291" s="71"/>
      <c r="H291" s="71"/>
      <c r="I291" s="71"/>
      <c r="J291" s="71"/>
      <c r="K291" s="71"/>
      <c r="L291" s="71"/>
      <c r="M291" s="71"/>
      <c r="N291" s="71"/>
      <c r="O291" s="71"/>
      <c r="P291" s="71"/>
      <c r="Q291" s="71"/>
      <c r="R291" s="108">
        <f>(1+R294)*(1+R297)-1</f>
        <v>0.14347860403374035</v>
      </c>
      <c r="S291" s="108">
        <f t="shared" ref="S291:W291" si="576">(1+S294)*(1+S297)-1</f>
        <v>0.4828367591770959</v>
      </c>
      <c r="T291" s="108">
        <f t="shared" si="576"/>
        <v>0.58232673109743449</v>
      </c>
      <c r="U291" s="108">
        <f t="shared" si="576"/>
        <v>0.24303361147800473</v>
      </c>
      <c r="V291" s="108">
        <f t="shared" si="576"/>
        <v>0.25307303481911125</v>
      </c>
      <c r="W291" s="108">
        <f t="shared" si="576"/>
        <v>0.26366250278829351</v>
      </c>
      <c r="X291" s="108">
        <f t="shared" ref="X291" si="577">(1+X294)*(1+X297)-1</f>
        <v>0.27483954032303637</v>
      </c>
      <c r="Y291" s="135" t="s">
        <v>4</v>
      </c>
    </row>
    <row r="292" spans="2:25" ht="15" customHeight="1" outlineLevel="2">
      <c r="B292" s="49" t="s">
        <v>43</v>
      </c>
      <c r="C292" s="52" t="s">
        <v>21</v>
      </c>
      <c r="D292" s="72"/>
      <c r="E292" s="72"/>
      <c r="F292" s="72"/>
      <c r="G292" s="72"/>
      <c r="H292" s="72"/>
      <c r="I292" s="72"/>
      <c r="J292" s="72"/>
      <c r="K292" s="72"/>
      <c r="L292" s="72"/>
      <c r="M292" s="72"/>
      <c r="N292" s="72"/>
      <c r="O292" s="72"/>
      <c r="P292" s="72"/>
      <c r="Q292" s="72"/>
      <c r="R292" s="53" t="s">
        <v>44</v>
      </c>
      <c r="S292" s="53">
        <f t="shared" ref="S292" si="578">(1+S291)*(1+R291)-1</f>
        <v>0.69559210739374122</v>
      </c>
      <c r="T292" s="53">
        <f t="shared" ref="T292" si="579">(1+T291)*(1+S291)-1</f>
        <v>1.346332241899808</v>
      </c>
      <c r="U292" s="53">
        <f t="shared" ref="U292" si="580">(1+U291)*(1+T291)-1</f>
        <v>0.9668853110942297</v>
      </c>
      <c r="V292" s="53">
        <f t="shared" ref="V292" si="581">(1+V291)*(1+U291)-1</f>
        <v>0.55761189991690352</v>
      </c>
      <c r="W292" s="53">
        <f>(1+W291)*(1+V291)-1</f>
        <v>0.58346140735604068</v>
      </c>
      <c r="X292" s="53">
        <f t="shared" ref="X292" si="582">(1+X291)*(1+W291)-1</f>
        <v>0.61096692417808574</v>
      </c>
      <c r="Y292" s="135" t="s">
        <v>4</v>
      </c>
    </row>
    <row r="293" spans="2:25" ht="15" customHeight="1" outlineLevel="3">
      <c r="W293" s="9"/>
      <c r="X293" s="9"/>
      <c r="Y293" s="135" t="s">
        <v>4</v>
      </c>
    </row>
    <row r="294" spans="2:25" ht="15" customHeight="1" outlineLevel="3">
      <c r="B294" s="17" t="s">
        <v>45</v>
      </c>
      <c r="C294" s="15" t="s">
        <v>21</v>
      </c>
      <c r="D294" s="91"/>
      <c r="E294" s="64">
        <v>7.0999999999999994E-2</v>
      </c>
      <c r="F294" s="64">
        <v>0.01</v>
      </c>
      <c r="G294" s="64">
        <v>6.0000000000000001E-3</v>
      </c>
      <c r="H294" s="64">
        <v>7.3999999999999996E-2</v>
      </c>
      <c r="I294" s="64">
        <v>2.3E-2</v>
      </c>
      <c r="J294" s="64">
        <v>5.1999999999999998E-2</v>
      </c>
      <c r="K294" s="64">
        <v>3.7999999999999999E-2</v>
      </c>
      <c r="L294" s="64">
        <v>2.1999999999999999E-2</v>
      </c>
      <c r="M294" s="64">
        <v>-2.8000000000000001E-2</v>
      </c>
      <c r="N294" s="64">
        <v>9.0999999999999998E-2</v>
      </c>
      <c r="O294" s="64">
        <v>3.9E-2</v>
      </c>
      <c r="P294" s="64">
        <v>9.2999999999999999E-2</v>
      </c>
      <c r="Q294" s="64">
        <v>2.5999999999999999E-2</v>
      </c>
      <c r="R294" s="68">
        <v>2.5999999999999999E-2</v>
      </c>
      <c r="S294" s="68">
        <f>S133</f>
        <v>2.8080000000000001E-2</v>
      </c>
      <c r="T294" s="68">
        <f t="shared" ref="T294:X294" si="583">T133</f>
        <v>3.1449600000000001E-2</v>
      </c>
      <c r="U294" s="68">
        <f t="shared" si="583"/>
        <v>3.3179328000000001E-2</v>
      </c>
      <c r="V294" s="68">
        <f t="shared" si="583"/>
        <v>3.351112128E-2</v>
      </c>
      <c r="W294" s="68">
        <f t="shared" si="583"/>
        <v>3.3846232492799999E-2</v>
      </c>
      <c r="X294" s="68">
        <f t="shared" si="583"/>
        <v>3.4184694817727998E-2</v>
      </c>
      <c r="Y294" s="135" t="s">
        <v>4</v>
      </c>
    </row>
    <row r="295" spans="2:25" ht="15" customHeight="1" outlineLevel="3">
      <c r="B295" s="58" t="s">
        <v>43</v>
      </c>
      <c r="C295" s="52" t="s">
        <v>21</v>
      </c>
      <c r="D295" s="72"/>
      <c r="E295" s="53" t="s">
        <v>44</v>
      </c>
      <c r="F295" s="53">
        <f t="shared" ref="F295:Q295" si="584">(1+F294)*(1+E294)-1</f>
        <v>8.1709999999999949E-2</v>
      </c>
      <c r="G295" s="53">
        <f t="shared" si="584"/>
        <v>1.6059999999999963E-2</v>
      </c>
      <c r="H295" s="53">
        <f t="shared" si="584"/>
        <v>8.0444000000000182E-2</v>
      </c>
      <c r="I295" s="53">
        <f t="shared" si="584"/>
        <v>9.8702000000000067E-2</v>
      </c>
      <c r="J295" s="53">
        <f t="shared" si="584"/>
        <v>7.619599999999993E-2</v>
      </c>
      <c r="K295" s="53">
        <f t="shared" si="584"/>
        <v>9.1976000000000058E-2</v>
      </c>
      <c r="L295" s="53">
        <f t="shared" si="584"/>
        <v>6.0836000000000112E-2</v>
      </c>
      <c r="M295" s="53">
        <f t="shared" si="584"/>
        <v>-6.6159999999999553E-3</v>
      </c>
      <c r="N295" s="53">
        <f t="shared" si="584"/>
        <v>6.045199999999995E-2</v>
      </c>
      <c r="O295" s="53">
        <f t="shared" si="584"/>
        <v>0.13354899999999992</v>
      </c>
      <c r="P295" s="53">
        <f t="shared" si="584"/>
        <v>0.13562699999999994</v>
      </c>
      <c r="Q295" s="53">
        <f t="shared" si="584"/>
        <v>0.12141800000000003</v>
      </c>
      <c r="R295" s="53">
        <f t="shared" ref="R295" si="585">(1+R294)*(1+Q294)-1</f>
        <v>5.2675999999999945E-2</v>
      </c>
      <c r="S295" s="53">
        <f t="shared" ref="S295" si="586">(1+S294)*(1+R294)-1</f>
        <v>5.4810080000000205E-2</v>
      </c>
      <c r="T295" s="53">
        <f t="shared" ref="T295" si="587">(1+T294)*(1+S294)-1</f>
        <v>6.0412704768000092E-2</v>
      </c>
      <c r="U295" s="53">
        <f t="shared" ref="U295" si="588">(1+U294)*(1+T294)-1</f>
        <v>6.5672404593868583E-2</v>
      </c>
      <c r="V295" s="53">
        <f t="shared" ref="V295" si="589">(1+V294)*(1+U294)-1</f>
        <v>6.7802325764596993E-2</v>
      </c>
      <c r="W295" s="53">
        <f>(1+W294)*(1+V294)-1</f>
        <v>6.8491578974737344E-2</v>
      </c>
      <c r="X295" s="53">
        <f t="shared" ref="X295" si="590">(1+X294)*(1+W294)-1</f>
        <v>6.9187950439024259E-2</v>
      </c>
      <c r="Y295" s="135" t="s">
        <v>4</v>
      </c>
    </row>
    <row r="296" spans="2:25" ht="15" customHeight="1" outlineLevel="3">
      <c r="W296" s="9"/>
      <c r="X296" s="9"/>
      <c r="Y296" s="135" t="s">
        <v>4</v>
      </c>
    </row>
    <row r="297" spans="2:25" ht="15" customHeight="1" outlineLevel="3">
      <c r="B297" s="6" t="s">
        <v>55</v>
      </c>
      <c r="C297" s="1" t="s">
        <v>21</v>
      </c>
      <c r="D297" s="72"/>
      <c r="E297" s="72"/>
      <c r="F297" s="72"/>
      <c r="G297" s="72"/>
      <c r="H297" s="72"/>
      <c r="I297" s="72"/>
      <c r="J297" s="72"/>
      <c r="K297" s="72"/>
      <c r="L297" s="72"/>
      <c r="M297" s="72"/>
      <c r="N297" s="72"/>
      <c r="O297" s="72"/>
      <c r="P297" s="72"/>
      <c r="Q297" s="72"/>
      <c r="R297" s="23">
        <f>R284*R298</f>
        <v>0.11450156338571175</v>
      </c>
      <c r="S297" s="23">
        <f t="shared" ref="S297:W297" si="591">S284*S298</f>
        <v>0.442335965272251</v>
      </c>
      <c r="T297" s="23">
        <f t="shared" si="591"/>
        <v>0.53408051260811429</v>
      </c>
      <c r="U297" s="23">
        <f t="shared" si="591"/>
        <v>0.20311506220728889</v>
      </c>
      <c r="V297" s="23">
        <f t="shared" si="591"/>
        <v>0.21244271979113724</v>
      </c>
      <c r="W297" s="23">
        <f t="shared" si="591"/>
        <v>0.22229250644108139</v>
      </c>
      <c r="X297" s="23">
        <f t="shared" ref="X297" si="592">X284*X298</f>
        <v>0.23270006480585453</v>
      </c>
      <c r="Y297" s="135" t="s">
        <v>4</v>
      </c>
    </row>
    <row r="298" spans="2:25" ht="15" customHeight="1" outlineLevel="3">
      <c r="B298" s="59" t="s">
        <v>48</v>
      </c>
      <c r="C298" s="60" t="s">
        <v>21</v>
      </c>
      <c r="D298" s="107"/>
      <c r="E298" s="107"/>
      <c r="F298" s="107"/>
      <c r="G298" s="107"/>
      <c r="H298" s="107"/>
      <c r="I298" s="107"/>
      <c r="J298" s="107"/>
      <c r="K298" s="107"/>
      <c r="L298" s="107"/>
      <c r="M298" s="107"/>
      <c r="N298" s="107"/>
      <c r="O298" s="107"/>
      <c r="P298" s="107"/>
      <c r="Q298" s="107"/>
      <c r="R298" s="67">
        <f>R137/2</f>
        <v>1.4929242302983192</v>
      </c>
      <c r="S298" s="67">
        <f t="shared" ref="S298:X298" si="593">S137/2</f>
        <v>1.6145262732437162</v>
      </c>
      <c r="T298" s="67">
        <f t="shared" si="593"/>
        <v>1.8626057877207984</v>
      </c>
      <c r="U298" s="67">
        <f t="shared" si="593"/>
        <v>2.0311506220728872</v>
      </c>
      <c r="V298" s="67">
        <f t="shared" si="593"/>
        <v>2.1244271979113751</v>
      </c>
      <c r="W298" s="67">
        <f t="shared" si="593"/>
        <v>2.2229250644108118</v>
      </c>
      <c r="X298" s="67">
        <f t="shared" si="593"/>
        <v>2.3270006480585486</v>
      </c>
      <c r="Y298" s="135" t="s">
        <v>4</v>
      </c>
    </row>
    <row r="299" spans="2:25" ht="15" customHeight="1" outlineLevel="2">
      <c r="Y299" s="135" t="s">
        <v>4</v>
      </c>
    </row>
    <row r="300" spans="2:25" ht="15" customHeight="1" outlineLevel="2">
      <c r="B300" s="50" t="s">
        <v>67</v>
      </c>
      <c r="C300" s="51" t="s">
        <v>21</v>
      </c>
      <c r="D300" s="71"/>
      <c r="E300" s="71"/>
      <c r="F300" s="71"/>
      <c r="G300" s="71"/>
      <c r="H300" s="71"/>
      <c r="I300" s="71"/>
      <c r="J300" s="71"/>
      <c r="K300" s="71"/>
      <c r="L300" s="71"/>
      <c r="M300" s="71"/>
      <c r="N300" s="71"/>
      <c r="O300" s="71"/>
      <c r="P300" s="71"/>
      <c r="Q300" s="71"/>
      <c r="R300" s="108">
        <f t="shared" ref="R300:X300" si="594">(1+R303)*(1+R306)-1</f>
        <v>2.7591911651202894E-2</v>
      </c>
      <c r="S300" s="108">
        <f t="shared" si="594"/>
        <v>2.7973903022685986E-2</v>
      </c>
      <c r="T300" s="108">
        <f t="shared" si="594"/>
        <v>2.9186793450554083E-2</v>
      </c>
      <c r="U300" s="108">
        <f t="shared" si="594"/>
        <v>3.0878696061185762E-2</v>
      </c>
      <c r="V300" s="108">
        <f t="shared" si="594"/>
        <v>3.1693376557239805E-2</v>
      </c>
      <c r="W300" s="108">
        <f t="shared" si="594"/>
        <v>3.2453627867741197E-2</v>
      </c>
      <c r="X300" s="108">
        <f t="shared" si="594"/>
        <v>3.3268509276587643E-2</v>
      </c>
      <c r="Y300" s="135" t="s">
        <v>4</v>
      </c>
    </row>
    <row r="301" spans="2:25" ht="15" customHeight="1" outlineLevel="2">
      <c r="B301" s="49" t="s">
        <v>43</v>
      </c>
      <c r="C301" s="52" t="s">
        <v>21</v>
      </c>
      <c r="D301" s="72"/>
      <c r="E301" s="72"/>
      <c r="F301" s="72"/>
      <c r="G301" s="72"/>
      <c r="H301" s="72"/>
      <c r="I301" s="72"/>
      <c r="J301" s="72"/>
      <c r="K301" s="72"/>
      <c r="L301" s="72"/>
      <c r="M301" s="72"/>
      <c r="N301" s="72"/>
      <c r="O301" s="72"/>
      <c r="P301" s="72"/>
      <c r="Q301" s="72"/>
      <c r="R301" s="53" t="s">
        <v>44</v>
      </c>
      <c r="S301" s="53">
        <f t="shared" ref="S301" si="595">(1+S300)*(1+R300)-1</f>
        <v>5.6337668134630148E-2</v>
      </c>
      <c r="T301" s="53">
        <f t="shared" ref="T301" si="596">(1+T300)*(1+S300)-1</f>
        <v>5.7977165002768949E-2</v>
      </c>
      <c r="U301" s="53">
        <f t="shared" ref="U301" si="597">(1+U300)*(1+T300)-1</f>
        <v>6.0966739635700096E-2</v>
      </c>
      <c r="V301" s="53">
        <f t="shared" ref="V301" si="598">(1+V300)*(1+U300)-1</f>
        <v>6.3550722760289391E-2</v>
      </c>
      <c r="W301" s="53">
        <f>(1+W300)*(1+V300)-1</f>
        <v>6.5175569473641781E-2</v>
      </c>
      <c r="X301" s="53">
        <f t="shared" ref="X301" si="599">(1+X300)*(1+W300)-1</f>
        <v>6.6801820964105696E-2</v>
      </c>
      <c r="Y301" s="135" t="s">
        <v>4</v>
      </c>
    </row>
    <row r="302" spans="2:25" ht="15" customHeight="1" outlineLevel="3">
      <c r="W302" s="9"/>
      <c r="X302" s="9"/>
      <c r="Y302" s="135" t="s">
        <v>4</v>
      </c>
    </row>
    <row r="303" spans="2:25" ht="15" customHeight="1" outlineLevel="3">
      <c r="B303" s="17" t="s">
        <v>45</v>
      </c>
      <c r="C303" s="15" t="s">
        <v>21</v>
      </c>
      <c r="D303" s="91"/>
      <c r="E303" s="91"/>
      <c r="F303" s="91"/>
      <c r="G303" s="91"/>
      <c r="H303" s="91"/>
      <c r="I303" s="91"/>
      <c r="J303" s="91"/>
      <c r="K303" s="91"/>
      <c r="L303" s="91"/>
      <c r="M303" s="64">
        <v>-1E-3</v>
      </c>
      <c r="N303" s="64">
        <v>-1.9E-2</v>
      </c>
      <c r="O303" s="64">
        <v>4.9000000000000002E-2</v>
      </c>
      <c r="P303" s="64">
        <v>0.10100000000000001</v>
      </c>
      <c r="Q303" s="64">
        <v>2.9499999999999998E-2</v>
      </c>
      <c r="R303" s="68">
        <v>1.7000000000000001E-2</v>
      </c>
      <c r="S303" s="68">
        <f t="shared" ref="S303:X303" si="600">S190</f>
        <v>1.7084999999999999E-2</v>
      </c>
      <c r="T303" s="68">
        <f t="shared" si="600"/>
        <v>1.7512124999999996E-2</v>
      </c>
      <c r="U303" s="68">
        <f t="shared" si="600"/>
        <v>1.8125049374999994E-2</v>
      </c>
      <c r="V303" s="68">
        <f t="shared" si="600"/>
        <v>1.821567462187499E-2</v>
      </c>
      <c r="W303" s="68">
        <f t="shared" si="600"/>
        <v>1.8306752994984365E-2</v>
      </c>
      <c r="X303" s="68">
        <f t="shared" si="600"/>
        <v>1.8398286759959286E-2</v>
      </c>
      <c r="Y303" s="135" t="s">
        <v>4</v>
      </c>
    </row>
    <row r="304" spans="2:25" ht="15" customHeight="1" outlineLevel="3">
      <c r="B304" s="58" t="s">
        <v>43</v>
      </c>
      <c r="C304" s="52" t="s">
        <v>21</v>
      </c>
      <c r="D304" s="72"/>
      <c r="E304" s="72"/>
      <c r="F304" s="72"/>
      <c r="G304" s="72"/>
      <c r="H304" s="72"/>
      <c r="I304" s="72"/>
      <c r="J304" s="72"/>
      <c r="K304" s="72"/>
      <c r="L304" s="72"/>
      <c r="M304" s="53" t="s">
        <v>44</v>
      </c>
      <c r="N304" s="53">
        <f t="shared" ref="N304" si="601">(1+N303)*(1+M303)-1</f>
        <v>-1.9981000000000027E-2</v>
      </c>
      <c r="O304" s="53">
        <f t="shared" ref="O304" si="602">(1+O303)*(1+N303)-1</f>
        <v>2.9069000000000011E-2</v>
      </c>
      <c r="P304" s="53">
        <f t="shared" ref="P304" si="603">(1+P303)*(1+O303)-1</f>
        <v>0.154949</v>
      </c>
      <c r="Q304" s="53">
        <f t="shared" ref="Q304" si="604">(1+Q303)*(1+P303)-1</f>
        <v>0.13347949999999997</v>
      </c>
      <c r="R304" s="53">
        <f t="shared" ref="R304" si="605">(1+R303)*(1+Q303)-1</f>
        <v>4.7001499999999918E-2</v>
      </c>
      <c r="S304" s="53">
        <f t="shared" ref="S304:X304" si="606">(1+S303)*(1+R303)-1</f>
        <v>3.4375445000000004E-2</v>
      </c>
      <c r="T304" s="53">
        <f t="shared" si="606"/>
        <v>3.4896319655625119E-2</v>
      </c>
      <c r="U304" s="53">
        <f t="shared" si="606"/>
        <v>3.595458250528627E-2</v>
      </c>
      <c r="V304" s="53">
        <f t="shared" si="606"/>
        <v>3.6670883998795256E-2</v>
      </c>
      <c r="W304" s="53">
        <f t="shared" si="606"/>
        <v>3.6855897472798826E-2</v>
      </c>
      <c r="X304" s="53">
        <f t="shared" si="606"/>
        <v>3.7041852646189088E-2</v>
      </c>
      <c r="Y304" s="135" t="s">
        <v>4</v>
      </c>
    </row>
    <row r="305" spans="2:25" ht="15" customHeight="1" outlineLevel="3">
      <c r="W305" s="9"/>
      <c r="X305" s="9"/>
      <c r="Y305" s="135" t="s">
        <v>4</v>
      </c>
    </row>
    <row r="306" spans="2:25" ht="15" customHeight="1" outlineLevel="3">
      <c r="B306" s="6" t="s">
        <v>55</v>
      </c>
      <c r="C306" s="1" t="s">
        <v>21</v>
      </c>
      <c r="D306" s="72"/>
      <c r="E306" s="72"/>
      <c r="F306" s="72"/>
      <c r="G306" s="72"/>
      <c r="H306" s="72"/>
      <c r="I306" s="72"/>
      <c r="J306" s="72"/>
      <c r="K306" s="72"/>
      <c r="L306" s="72"/>
      <c r="M306" s="72"/>
      <c r="N306" s="72"/>
      <c r="O306" s="72"/>
      <c r="P306" s="72"/>
      <c r="Q306" s="72"/>
      <c r="R306" s="23">
        <f>R307*R288</f>
        <v>1.0414859047397109E-2</v>
      </c>
      <c r="S306" s="23">
        <f t="shared" ref="S306:W306" si="607">S307*S288</f>
        <v>1.0705991163654867E-2</v>
      </c>
      <c r="T306" s="23">
        <f t="shared" si="607"/>
        <v>1.1473738900707436E-2</v>
      </c>
      <c r="U306" s="23">
        <f t="shared" si="607"/>
        <v>1.2526601417001461E-2</v>
      </c>
      <c r="V306" s="23">
        <f t="shared" si="607"/>
        <v>1.3236588545319557E-2</v>
      </c>
      <c r="W306" s="23">
        <f t="shared" si="607"/>
        <v>1.3892547438332318E-2</v>
      </c>
      <c r="X306" s="23">
        <f t="shared" ref="X306" si="608">X307*X288</f>
        <v>1.4601578488449967E-2</v>
      </c>
      <c r="Y306" s="135" t="s">
        <v>4</v>
      </c>
    </row>
    <row r="307" spans="2:25" ht="15" customHeight="1" outlineLevel="3">
      <c r="B307" s="59" t="s">
        <v>48</v>
      </c>
      <c r="C307" s="60" t="s">
        <v>21</v>
      </c>
      <c r="D307" s="107"/>
      <c r="E307" s="107"/>
      <c r="F307" s="107"/>
      <c r="G307" s="107"/>
      <c r="H307" s="107"/>
      <c r="I307" s="107"/>
      <c r="J307" s="107"/>
      <c r="K307" s="107"/>
      <c r="L307" s="107"/>
      <c r="M307" s="107"/>
      <c r="N307" s="107"/>
      <c r="O307" s="107"/>
      <c r="P307" s="107"/>
      <c r="Q307" s="107"/>
      <c r="R307" s="67">
        <f>R194</f>
        <v>1.04148590473971</v>
      </c>
      <c r="S307" s="67">
        <f t="shared" ref="S307:X307" si="609">S194</f>
        <v>1.0705991163654858</v>
      </c>
      <c r="T307" s="67">
        <f t="shared" si="609"/>
        <v>1.1473738900707426</v>
      </c>
      <c r="U307" s="67">
        <f t="shared" si="609"/>
        <v>1.2526601417001451</v>
      </c>
      <c r="V307" s="67">
        <f t="shared" si="609"/>
        <v>1.3236588545319545</v>
      </c>
      <c r="W307" s="67">
        <f t="shared" si="609"/>
        <v>1.3892547438332306</v>
      </c>
      <c r="X307" s="67">
        <f t="shared" si="609"/>
        <v>1.4601578488449953</v>
      </c>
      <c r="Y307" s="135" t="s">
        <v>4</v>
      </c>
    </row>
    <row r="308" spans="2:25" ht="15" customHeight="1" outlineLevel="2">
      <c r="Y308" s="135" t="s">
        <v>4</v>
      </c>
    </row>
    <row r="309" spans="2:25" ht="15" customHeight="1" outlineLevel="1">
      <c r="Y309" s="135" t="s">
        <v>4</v>
      </c>
    </row>
    <row r="310" spans="2:25" ht="15" customHeight="1" outlineLevel="1">
      <c r="B310" s="156" t="s">
        <v>68</v>
      </c>
      <c r="C310" s="153"/>
      <c r="D310" s="154"/>
      <c r="E310" s="154"/>
      <c r="F310" s="154"/>
      <c r="G310" s="154"/>
      <c r="H310" s="154"/>
      <c r="I310" s="154"/>
      <c r="J310" s="154"/>
      <c r="K310" s="154"/>
      <c r="L310" s="154"/>
      <c r="M310" s="154"/>
      <c r="N310" s="154"/>
      <c r="O310" s="154"/>
      <c r="P310" s="154"/>
      <c r="Q310" s="154"/>
      <c r="R310" s="154"/>
      <c r="S310" s="154"/>
      <c r="T310" s="154"/>
      <c r="U310" s="154"/>
      <c r="V310" s="154"/>
      <c r="W310" s="155"/>
      <c r="X310" s="155"/>
      <c r="Y310" s="135" t="s">
        <v>4</v>
      </c>
    </row>
    <row r="311" spans="2:25" ht="15" customHeight="1" outlineLevel="2">
      <c r="Y311" s="135" t="s">
        <v>4</v>
      </c>
    </row>
    <row r="312" spans="2:25" ht="15" customHeight="1" outlineLevel="2">
      <c r="B312" s="7" t="s">
        <v>25</v>
      </c>
      <c r="C312" s="13" t="s">
        <v>26</v>
      </c>
      <c r="D312" s="71"/>
      <c r="E312" s="71"/>
      <c r="F312" s="71"/>
      <c r="G312" s="71"/>
      <c r="H312" s="71"/>
      <c r="I312" s="71"/>
      <c r="J312" s="71"/>
      <c r="K312" s="71"/>
      <c r="L312" s="71"/>
      <c r="M312" s="71"/>
      <c r="N312" s="75">
        <f>N316+N321</f>
        <v>688</v>
      </c>
      <c r="O312" s="75">
        <f t="shared" ref="O312:W312" si="610">O316+O321</f>
        <v>750</v>
      </c>
      <c r="P312" s="75">
        <f t="shared" si="610"/>
        <v>875</v>
      </c>
      <c r="Q312" s="75">
        <f t="shared" si="610"/>
        <v>933.3</v>
      </c>
      <c r="R312" s="75">
        <f t="shared" si="610"/>
        <v>1081.1517045056964</v>
      </c>
      <c r="S312" s="75">
        <f t="shared" si="610"/>
        <v>1209.4608368013553</v>
      </c>
      <c r="T312" s="75">
        <f t="shared" si="610"/>
        <v>1374.7935026695004</v>
      </c>
      <c r="U312" s="75">
        <f t="shared" si="610"/>
        <v>1587.3518767209157</v>
      </c>
      <c r="V312" s="75">
        <f t="shared" si="610"/>
        <v>1855.9719322348642</v>
      </c>
      <c r="W312" s="75">
        <f t="shared" si="610"/>
        <v>2204.1028388497848</v>
      </c>
      <c r="X312" s="75">
        <f t="shared" ref="X312" si="611">X316+X321</f>
        <v>2668.8399556299937</v>
      </c>
      <c r="Y312" s="135" t="s">
        <v>4</v>
      </c>
    </row>
    <row r="313" spans="2:25" ht="15" customHeight="1" outlineLevel="2">
      <c r="B313" s="6" t="s">
        <v>27</v>
      </c>
      <c r="C313" s="1" t="s">
        <v>21</v>
      </c>
      <c r="D313" s="72"/>
      <c r="E313" s="72"/>
      <c r="F313" s="72"/>
      <c r="G313" s="72"/>
      <c r="H313" s="72"/>
      <c r="I313" s="72"/>
      <c r="J313" s="72"/>
      <c r="K313" s="72"/>
      <c r="L313" s="72"/>
      <c r="M313" s="72"/>
      <c r="N313" s="24" t="str">
        <f>IFERROR(N312/M312-1,"n.m.")</f>
        <v>n.m.</v>
      </c>
      <c r="O313" s="24">
        <f>IFERROR(O312/N312-1,"n.m.")</f>
        <v>9.011627906976738E-2</v>
      </c>
      <c r="P313" s="24">
        <f>IFERROR(P312/O312-1,"n.m.")</f>
        <v>0.16666666666666674</v>
      </c>
      <c r="Q313" s="24">
        <f>IFERROR(Q312/P312-1,"n.m.")</f>
        <v>6.6628571428571481E-2</v>
      </c>
      <c r="R313" s="24">
        <f t="shared" ref="R313" si="612">IFERROR(R312/Q312-1,"n.m.")</f>
        <v>0.15841819833461535</v>
      </c>
      <c r="S313" s="24">
        <f t="shared" ref="S313" si="613">IFERROR(S312/R312-1,"n.m.")</f>
        <v>0.1186781945224995</v>
      </c>
      <c r="T313" s="24">
        <f t="shared" ref="T313" si="614">IFERROR(T312/S312-1,"n.m.")</f>
        <v>0.13669947867464494</v>
      </c>
      <c r="U313" s="24">
        <f t="shared" ref="U313" si="615">IFERROR(U312/T312-1,"n.m.")</f>
        <v>0.15461112788115505</v>
      </c>
      <c r="V313" s="24">
        <f t="shared" ref="V313" si="616">IFERROR(V312/U312-1,"n.m.")</f>
        <v>0.16922527352212069</v>
      </c>
      <c r="W313" s="24">
        <f t="shared" ref="W313" si="617">IFERROR(W312/V312-1,"n.m.")</f>
        <v>0.18757336820051984</v>
      </c>
      <c r="X313" s="24">
        <f t="shared" ref="X313" si="618">IFERROR(X312/W312-1,"n.m.")</f>
        <v>0.21085092246545667</v>
      </c>
      <c r="Y313" s="135" t="s">
        <v>4</v>
      </c>
    </row>
    <row r="314" spans="2:25" ht="15" customHeight="1" outlineLevel="2">
      <c r="B314" s="6" t="s">
        <v>32</v>
      </c>
      <c r="C314" s="1" t="s">
        <v>21</v>
      </c>
      <c r="D314" s="72"/>
      <c r="E314" s="72"/>
      <c r="F314" s="72"/>
      <c r="G314" s="72"/>
      <c r="H314" s="72"/>
      <c r="I314" s="72"/>
      <c r="J314" s="72"/>
      <c r="K314" s="72"/>
      <c r="L314" s="72"/>
      <c r="M314" s="72"/>
      <c r="N314" s="97">
        <f>N312/N$326</f>
        <v>5.0253042408869401E-2</v>
      </c>
      <c r="O314" s="97">
        <f t="shared" ref="O314:W314" si="619">O312/O$326</f>
        <v>5.1019627215694523E-2</v>
      </c>
      <c r="P314" s="97">
        <f t="shared" si="619"/>
        <v>5.1208092285622391E-2</v>
      </c>
      <c r="Q314" s="97">
        <f t="shared" si="619"/>
        <v>5.1404494382022471E-2</v>
      </c>
      <c r="R314" s="97">
        <f t="shared" si="619"/>
        <v>5.3605397664683849E-2</v>
      </c>
      <c r="S314" s="97">
        <f t="shared" si="619"/>
        <v>5.3605397664683849E-2</v>
      </c>
      <c r="T314" s="97">
        <f t="shared" si="619"/>
        <v>5.3605397664683842E-2</v>
      </c>
      <c r="U314" s="97">
        <f t="shared" si="619"/>
        <v>5.3605397664683849E-2</v>
      </c>
      <c r="V314" s="97">
        <f t="shared" si="619"/>
        <v>5.3605397664683856E-2</v>
      </c>
      <c r="W314" s="97">
        <f t="shared" si="619"/>
        <v>5.3605397664683849E-2</v>
      </c>
      <c r="X314" s="97">
        <f t="shared" ref="X314" si="620">X312/X$326</f>
        <v>5.3605397664683842E-2</v>
      </c>
      <c r="Y314" s="135" t="s">
        <v>4</v>
      </c>
    </row>
    <row r="315" spans="2:25" ht="15" customHeight="1" outlineLevel="3">
      <c r="W315" s="9"/>
      <c r="X315" s="9"/>
      <c r="Y315" s="135" t="s">
        <v>4</v>
      </c>
    </row>
    <row r="316" spans="2:25" ht="15" customHeight="1" outlineLevel="3">
      <c r="B316" s="17" t="s">
        <v>69</v>
      </c>
      <c r="C316" s="15" t="s">
        <v>26</v>
      </c>
      <c r="D316" s="44"/>
      <c r="E316" s="44"/>
      <c r="F316" s="44"/>
      <c r="G316" s="44"/>
      <c r="H316" s="44"/>
      <c r="I316" s="44"/>
      <c r="J316" s="44"/>
      <c r="K316" s="44"/>
      <c r="L316" s="44"/>
      <c r="M316" s="44"/>
      <c r="N316" s="32">
        <v>646</v>
      </c>
      <c r="O316" s="32">
        <v>699</v>
      </c>
      <c r="P316" s="32">
        <v>804</v>
      </c>
      <c r="Q316" s="32">
        <v>851.5</v>
      </c>
      <c r="R316" s="36">
        <f>R319*R$326</f>
        <v>990.28364686869406</v>
      </c>
      <c r="S316" s="36">
        <f t="shared" ref="S316:W316" si="621">S319*S$326</f>
        <v>1107.808722144227</v>
      </c>
      <c r="T316" s="36">
        <f t="shared" si="621"/>
        <v>1259.2455969325674</v>
      </c>
      <c r="U316" s="36">
        <f t="shared" si="621"/>
        <v>1453.9389789536901</v>
      </c>
      <c r="V316" s="36">
        <f t="shared" si="621"/>
        <v>1699.982200351601</v>
      </c>
      <c r="W316" s="36">
        <f t="shared" si="621"/>
        <v>2018.8535875524819</v>
      </c>
      <c r="X316" s="36">
        <f t="shared" ref="X316" si="622">X319*X$326</f>
        <v>2444.5307288106196</v>
      </c>
      <c r="Y316" s="135" t="s">
        <v>4</v>
      </c>
    </row>
    <row r="317" spans="2:25" ht="15" customHeight="1" outlineLevel="3">
      <c r="B317" s="18" t="s">
        <v>27</v>
      </c>
      <c r="C317" s="1" t="s">
        <v>21</v>
      </c>
      <c r="D317" s="72"/>
      <c r="E317" s="72"/>
      <c r="F317" s="72"/>
      <c r="G317" s="72"/>
      <c r="H317" s="72"/>
      <c r="I317" s="72"/>
      <c r="J317" s="72"/>
      <c r="K317" s="72"/>
      <c r="L317" s="72"/>
      <c r="M317" s="72"/>
      <c r="N317" s="24" t="str">
        <f>IFERROR(N316/M316-1,"n.m.")</f>
        <v>n.m.</v>
      </c>
      <c r="O317" s="24">
        <f>IFERROR(O316/N316-1,"n.m.")</f>
        <v>8.2043343653250833E-2</v>
      </c>
      <c r="P317" s="24">
        <f>IFERROR(P316/O316-1,"n.m.")</f>
        <v>0.15021459227467804</v>
      </c>
      <c r="Q317" s="24">
        <f>IFERROR(Q316/P316-1,"n.m.")</f>
        <v>5.907960199004969E-2</v>
      </c>
      <c r="R317" s="24">
        <f t="shared" ref="R317" si="623">IFERROR(R316/Q316-1,"n.m.")</f>
        <v>0.16298725410298776</v>
      </c>
      <c r="S317" s="24">
        <f t="shared" ref="S317" si="624">IFERROR(S316/R316-1,"n.m.")</f>
        <v>0.11867819452249928</v>
      </c>
      <c r="T317" s="24">
        <f t="shared" ref="T317" si="625">IFERROR(T316/S316-1,"n.m.")</f>
        <v>0.13669947867464494</v>
      </c>
      <c r="U317" s="24">
        <f t="shared" ref="U317" si="626">IFERROR(U316/T316-1,"n.m.")</f>
        <v>0.15461112788115505</v>
      </c>
      <c r="V317" s="24">
        <f t="shared" ref="V317" si="627">IFERROR(V316/U316-1,"n.m.")</f>
        <v>0.16922527352212047</v>
      </c>
      <c r="W317" s="24">
        <f t="shared" ref="W317" si="628">IFERROR(W316/V316-1,"n.m.")</f>
        <v>0.18757336820051984</v>
      </c>
      <c r="X317" s="24">
        <f t="shared" ref="X317" si="629">IFERROR(X316/W316-1,"n.m.")</f>
        <v>0.21085092246545689</v>
      </c>
      <c r="Y317" s="135" t="s">
        <v>4</v>
      </c>
    </row>
    <row r="318" spans="2:25" ht="15" customHeight="1" outlineLevel="3">
      <c r="B318" s="18" t="s">
        <v>29</v>
      </c>
      <c r="C318" s="1" t="s">
        <v>21</v>
      </c>
      <c r="D318" s="106"/>
      <c r="E318" s="106"/>
      <c r="F318" s="106"/>
      <c r="G318" s="106"/>
      <c r="H318" s="106"/>
      <c r="I318" s="106"/>
      <c r="J318" s="106"/>
      <c r="K318" s="106"/>
      <c r="L318" s="106"/>
      <c r="M318" s="106"/>
      <c r="N318" s="97">
        <f>N316/N$312</f>
        <v>0.93895348837209303</v>
      </c>
      <c r="O318" s="97">
        <f t="shared" ref="O318:W318" si="630">O316/O$312</f>
        <v>0.93200000000000005</v>
      </c>
      <c r="P318" s="97">
        <f t="shared" si="630"/>
        <v>0.91885714285714282</v>
      </c>
      <c r="Q318" s="97">
        <f t="shared" si="630"/>
        <v>0.91235401264330873</v>
      </c>
      <c r="R318" s="97">
        <f t="shared" si="630"/>
        <v>0.9159525372264502</v>
      </c>
      <c r="S318" s="97">
        <f t="shared" si="630"/>
        <v>0.9159525372264502</v>
      </c>
      <c r="T318" s="97">
        <f t="shared" si="630"/>
        <v>0.9159525372264502</v>
      </c>
      <c r="U318" s="97">
        <f t="shared" si="630"/>
        <v>0.9159525372264502</v>
      </c>
      <c r="V318" s="97">
        <f t="shared" si="630"/>
        <v>0.91595253722645009</v>
      </c>
      <c r="W318" s="97">
        <f t="shared" si="630"/>
        <v>0.91595253722645009</v>
      </c>
      <c r="X318" s="97">
        <f t="shared" ref="X318" si="631">X316/X$312</f>
        <v>0.9159525372264502</v>
      </c>
      <c r="Y318" s="135" t="s">
        <v>4</v>
      </c>
    </row>
    <row r="319" spans="2:25" ht="15" customHeight="1" outlineLevel="3">
      <c r="B319" s="18" t="s">
        <v>32</v>
      </c>
      <c r="C319" s="1" t="s">
        <v>21</v>
      </c>
      <c r="D319" s="106"/>
      <c r="E319" s="106"/>
      <c r="F319" s="106"/>
      <c r="G319" s="106"/>
      <c r="H319" s="106"/>
      <c r="I319" s="106"/>
      <c r="J319" s="106"/>
      <c r="K319" s="106"/>
      <c r="L319" s="106"/>
      <c r="M319" s="106"/>
      <c r="N319" s="97">
        <f>N316/N$326</f>
        <v>4.7185269471118653E-2</v>
      </c>
      <c r="O319" s="97">
        <f t="shared" ref="O319:Q319" si="632">O316/O$326</f>
        <v>4.755029256502729E-2</v>
      </c>
      <c r="P319" s="97">
        <f t="shared" si="632"/>
        <v>4.705292136873189E-2</v>
      </c>
      <c r="Q319" s="97">
        <f t="shared" si="632"/>
        <v>4.689909671733862E-2</v>
      </c>
      <c r="R319" s="169">
        <v>4.9099999999999998E-2</v>
      </c>
      <c r="S319" s="169">
        <f t="shared" ref="S319:W319" si="633">R319</f>
        <v>4.9099999999999998E-2</v>
      </c>
      <c r="T319" s="169">
        <f t="shared" si="633"/>
        <v>4.9099999999999998E-2</v>
      </c>
      <c r="U319" s="169">
        <f t="shared" si="633"/>
        <v>4.9099999999999998E-2</v>
      </c>
      <c r="V319" s="169">
        <f t="shared" si="633"/>
        <v>4.9099999999999998E-2</v>
      </c>
      <c r="W319" s="169">
        <f t="shared" si="633"/>
        <v>4.9099999999999998E-2</v>
      </c>
      <c r="X319" s="169">
        <f t="shared" ref="X319" si="634">W319</f>
        <v>4.9099999999999998E-2</v>
      </c>
      <c r="Y319" s="135" t="s">
        <v>4</v>
      </c>
    </row>
    <row r="320" spans="2:25" ht="15" customHeight="1" outlineLevel="3">
      <c r="D320" s="40"/>
      <c r="E320" s="40"/>
      <c r="F320" s="40"/>
      <c r="G320" s="40"/>
      <c r="H320" s="40"/>
      <c r="I320" s="40"/>
      <c r="J320" s="40"/>
      <c r="K320" s="40"/>
      <c r="L320" s="40"/>
      <c r="M320" s="40"/>
      <c r="N320" s="40"/>
      <c r="O320" s="40"/>
      <c r="P320" s="40"/>
      <c r="Q320" s="40"/>
      <c r="R320" s="40"/>
      <c r="S320" s="40"/>
      <c r="T320" s="40"/>
      <c r="U320" s="40"/>
      <c r="V320" s="40"/>
      <c r="W320" s="40"/>
      <c r="X320" s="40"/>
      <c r="Y320" s="135" t="s">
        <v>4</v>
      </c>
    </row>
    <row r="321" spans="2:27" ht="15" customHeight="1" outlineLevel="3">
      <c r="B321" s="6" t="s">
        <v>70</v>
      </c>
      <c r="C321" s="1" t="s">
        <v>26</v>
      </c>
      <c r="D321" s="4"/>
      <c r="E321" s="4"/>
      <c r="F321" s="4"/>
      <c r="G321" s="4"/>
      <c r="H321" s="4"/>
      <c r="I321" s="4"/>
      <c r="J321" s="4"/>
      <c r="K321" s="4"/>
      <c r="L321" s="4"/>
      <c r="M321" s="4"/>
      <c r="N321" s="109">
        <v>42</v>
      </c>
      <c r="O321" s="109">
        <v>51</v>
      </c>
      <c r="P321" s="109">
        <v>71</v>
      </c>
      <c r="Q321" s="109">
        <v>81.8</v>
      </c>
      <c r="R321" s="110">
        <f>R324*R$326</f>
        <v>90.86805763700248</v>
      </c>
      <c r="S321" s="110">
        <f t="shared" ref="S321:W321" si="635">S324*S$326</f>
        <v>101.65211465712834</v>
      </c>
      <c r="T321" s="110">
        <f t="shared" si="635"/>
        <v>115.54790573693303</v>
      </c>
      <c r="U321" s="110">
        <f t="shared" si="635"/>
        <v>133.41289776722562</v>
      </c>
      <c r="V321" s="110">
        <f t="shared" si="635"/>
        <v>155.98973188326309</v>
      </c>
      <c r="W321" s="110">
        <f t="shared" si="635"/>
        <v>185.24925129730281</v>
      </c>
      <c r="X321" s="110">
        <f t="shared" ref="X321" si="636">X324*X$326</f>
        <v>224.30922681937429</v>
      </c>
      <c r="Y321" s="135" t="s">
        <v>4</v>
      </c>
    </row>
    <row r="322" spans="2:27" ht="15" customHeight="1" outlineLevel="3">
      <c r="B322" s="18" t="s">
        <v>27</v>
      </c>
      <c r="C322" s="1" t="s">
        <v>21</v>
      </c>
      <c r="D322" s="45"/>
      <c r="E322" s="45"/>
      <c r="F322" s="45"/>
      <c r="G322" s="45"/>
      <c r="H322" s="45"/>
      <c r="I322" s="45"/>
      <c r="J322" s="45"/>
      <c r="K322" s="45"/>
      <c r="L322" s="45"/>
      <c r="M322" s="45"/>
      <c r="N322" s="24" t="str">
        <f>IFERROR(N321/M321-1,"n.m.")</f>
        <v>n.m.</v>
      </c>
      <c r="O322" s="24">
        <f>IFERROR(O321/N321-1,"n.m.")</f>
        <v>0.21428571428571419</v>
      </c>
      <c r="P322" s="24">
        <f>IFERROR(P321/O321-1,"n.m.")</f>
        <v>0.39215686274509798</v>
      </c>
      <c r="Q322" s="24">
        <f>IFERROR(Q321/P321-1,"n.m.")</f>
        <v>0.15211267605633805</v>
      </c>
      <c r="R322" s="24">
        <f t="shared" ref="R322" si="637">IFERROR(R321/Q321-1,"n.m.")</f>
        <v>0.11085645033010372</v>
      </c>
      <c r="S322" s="24">
        <f t="shared" ref="S322" si="638">IFERROR(S321/R321-1,"n.m.")</f>
        <v>0.11867819452249928</v>
      </c>
      <c r="T322" s="24">
        <f t="shared" ref="T322" si="639">IFERROR(T321/S321-1,"n.m.")</f>
        <v>0.13669947867464516</v>
      </c>
      <c r="U322" s="24">
        <f t="shared" ref="U322" si="640">IFERROR(U321/T321-1,"n.m.")</f>
        <v>0.15461112788115483</v>
      </c>
      <c r="V322" s="24">
        <f t="shared" ref="V322" si="641">IFERROR(V321/U321-1,"n.m.")</f>
        <v>0.16922527352212069</v>
      </c>
      <c r="W322" s="24">
        <f t="shared" ref="W322" si="642">IFERROR(W321/V321-1,"n.m.")</f>
        <v>0.18757336820052006</v>
      </c>
      <c r="X322" s="24">
        <f t="shared" ref="X322" si="643">IFERROR(X321/W321-1,"n.m.")</f>
        <v>0.21085092246545667</v>
      </c>
      <c r="Y322" s="135" t="s">
        <v>4</v>
      </c>
    </row>
    <row r="323" spans="2:27" ht="15" customHeight="1" outlineLevel="3">
      <c r="B323" s="18" t="s">
        <v>29</v>
      </c>
      <c r="C323" s="1" t="s">
        <v>21</v>
      </c>
      <c r="D323" s="45"/>
      <c r="E323" s="45"/>
      <c r="F323" s="45"/>
      <c r="G323" s="45"/>
      <c r="H323" s="45"/>
      <c r="I323" s="45"/>
      <c r="J323" s="45"/>
      <c r="K323" s="45"/>
      <c r="L323" s="45"/>
      <c r="M323" s="45"/>
      <c r="N323" s="97">
        <f>N321/N$312</f>
        <v>6.1046511627906974E-2</v>
      </c>
      <c r="O323" s="97">
        <f t="shared" ref="O323:W323" si="644">O321/O$312</f>
        <v>6.8000000000000005E-2</v>
      </c>
      <c r="P323" s="97">
        <f>P321/P$312</f>
        <v>8.1142857142857142E-2</v>
      </c>
      <c r="Q323" s="97">
        <f>Q321/Q$312</f>
        <v>8.764598735669131E-2</v>
      </c>
      <c r="R323" s="97">
        <f t="shared" si="644"/>
        <v>8.4047462773549839E-2</v>
      </c>
      <c r="S323" s="97">
        <f t="shared" si="644"/>
        <v>8.4047462773549825E-2</v>
      </c>
      <c r="T323" s="97">
        <f t="shared" si="644"/>
        <v>8.4047462773549839E-2</v>
      </c>
      <c r="U323" s="97">
        <f t="shared" si="644"/>
        <v>8.4047462773549825E-2</v>
      </c>
      <c r="V323" s="97">
        <f t="shared" si="644"/>
        <v>8.4047462773549825E-2</v>
      </c>
      <c r="W323" s="97">
        <f t="shared" si="644"/>
        <v>8.4047462773549839E-2</v>
      </c>
      <c r="X323" s="97">
        <f t="shared" ref="X323" si="645">X321/X$312</f>
        <v>8.4047462773549839E-2</v>
      </c>
      <c r="Y323" s="135" t="s">
        <v>4</v>
      </c>
    </row>
    <row r="324" spans="2:27" ht="15" customHeight="1" outlineLevel="3">
      <c r="B324" s="20" t="s">
        <v>32</v>
      </c>
      <c r="C324" s="21" t="s">
        <v>21</v>
      </c>
      <c r="D324" s="90"/>
      <c r="E324" s="90"/>
      <c r="F324" s="90"/>
      <c r="G324" s="90"/>
      <c r="H324" s="90"/>
      <c r="I324" s="90"/>
      <c r="J324" s="90"/>
      <c r="K324" s="90"/>
      <c r="L324" s="90"/>
      <c r="M324" s="90"/>
      <c r="N324" s="48">
        <f>N321/N$326</f>
        <v>3.0677729377507484E-3</v>
      </c>
      <c r="O324" s="48">
        <f t="shared" ref="O324:Q324" si="646">O321/O$326</f>
        <v>3.4693346506672273E-3</v>
      </c>
      <c r="P324" s="48">
        <f t="shared" si="646"/>
        <v>4.1551709168905025E-3</v>
      </c>
      <c r="Q324" s="48">
        <f t="shared" si="646"/>
        <v>4.5053976646838509E-3</v>
      </c>
      <c r="R324" s="170">
        <f>Q324</f>
        <v>4.5053976646838509E-3</v>
      </c>
      <c r="S324" s="170">
        <f t="shared" ref="S324:W324" si="647">R324</f>
        <v>4.5053976646838509E-3</v>
      </c>
      <c r="T324" s="170">
        <f t="shared" si="647"/>
        <v>4.5053976646838509E-3</v>
      </c>
      <c r="U324" s="170">
        <f t="shared" si="647"/>
        <v>4.5053976646838509E-3</v>
      </c>
      <c r="V324" s="170">
        <f t="shared" si="647"/>
        <v>4.5053976646838509E-3</v>
      </c>
      <c r="W324" s="170">
        <f t="shared" si="647"/>
        <v>4.5053976646838509E-3</v>
      </c>
      <c r="X324" s="170">
        <f t="shared" ref="X324" si="648">W324</f>
        <v>4.5053976646838509E-3</v>
      </c>
      <c r="Y324" s="135" t="s">
        <v>4</v>
      </c>
    </row>
    <row r="325" spans="2:27" ht="15" customHeight="1" outlineLevel="2">
      <c r="Y325" s="135" t="s">
        <v>4</v>
      </c>
    </row>
    <row r="326" spans="2:27" ht="15" customHeight="1" outlineLevel="2">
      <c r="B326" s="7" t="s">
        <v>71</v>
      </c>
      <c r="C326" s="13" t="s">
        <v>26</v>
      </c>
      <c r="D326" s="71"/>
      <c r="E326" s="71"/>
      <c r="F326" s="71"/>
      <c r="G326" s="71"/>
      <c r="H326" s="71"/>
      <c r="I326" s="71"/>
      <c r="J326" s="71"/>
      <c r="K326" s="71"/>
      <c r="L326" s="71"/>
      <c r="M326" s="71"/>
      <c r="N326" s="75">
        <f>N331+N350+N369+N388</f>
        <v>13690.713378153032</v>
      </c>
      <c r="O326" s="75">
        <f t="shared" ref="O326:W326" si="649">O331+O350+O369+O388</f>
        <v>14700.225010058228</v>
      </c>
      <c r="P326" s="75">
        <f t="shared" si="649"/>
        <v>17087.143085111027</v>
      </c>
      <c r="Q326" s="75">
        <f t="shared" si="649"/>
        <v>18156</v>
      </c>
      <c r="R326" s="75">
        <f t="shared" si="649"/>
        <v>20168.709712193362</v>
      </c>
      <c r="S326" s="75">
        <f t="shared" si="649"/>
        <v>22562.295766684867</v>
      </c>
      <c r="T326" s="75">
        <f t="shared" si="649"/>
        <v>25646.549835693841</v>
      </c>
      <c r="U326" s="75">
        <f t="shared" si="649"/>
        <v>29611.791832050716</v>
      </c>
      <c r="V326" s="75">
        <f t="shared" si="649"/>
        <v>34622.855404309594</v>
      </c>
      <c r="W326" s="75">
        <f t="shared" si="649"/>
        <v>41117.181009215521</v>
      </c>
      <c r="X326" s="75">
        <f t="shared" ref="X326" si="650">X331+X350+X369+X388</f>
        <v>49786.776554187774</v>
      </c>
      <c r="Y326" s="135" t="s">
        <v>4</v>
      </c>
    </row>
    <row r="327" spans="2:27" ht="15" customHeight="1" outlineLevel="2">
      <c r="B327" s="6" t="s">
        <v>27</v>
      </c>
      <c r="C327" s="1" t="s">
        <v>21</v>
      </c>
      <c r="D327" s="72"/>
      <c r="E327" s="72"/>
      <c r="F327" s="72"/>
      <c r="G327" s="72"/>
      <c r="H327" s="72"/>
      <c r="I327" s="72"/>
      <c r="J327" s="72"/>
      <c r="K327" s="72"/>
      <c r="L327" s="72"/>
      <c r="M327" s="72"/>
      <c r="N327" s="24" t="str">
        <f>IFERROR(N326/M326-1,"n.m.")</f>
        <v>n.m.</v>
      </c>
      <c r="O327" s="24">
        <f>IFERROR(O326/N326-1,"n.m.")</f>
        <v>7.3736963445317993E-2</v>
      </c>
      <c r="P327" s="24">
        <f>IFERROR(P326/O326-1,"n.m.")</f>
        <v>0.16237289384479592</v>
      </c>
      <c r="Q327" s="24">
        <f>IFERROR(Q326/P326-1,"n.m.")</f>
        <v>6.2553284043154411E-2</v>
      </c>
      <c r="R327" s="24">
        <f t="shared" ref="R327" si="651">IFERROR(R326/Q326-1,"n.m.")</f>
        <v>0.11085645033010372</v>
      </c>
      <c r="S327" s="24">
        <f t="shared" ref="S327" si="652">IFERROR(S326/R326-1,"n.m.")</f>
        <v>0.11867819452249928</v>
      </c>
      <c r="T327" s="24">
        <f t="shared" ref="T327" si="653">IFERROR(T326/S326-1,"n.m.")</f>
        <v>0.13669947867464516</v>
      </c>
      <c r="U327" s="24">
        <f t="shared" ref="U327" si="654">IFERROR(U326/T326-1,"n.m.")</f>
        <v>0.15461112788115505</v>
      </c>
      <c r="V327" s="24">
        <f t="shared" ref="V327" si="655">IFERROR(V326/U326-1,"n.m.")</f>
        <v>0.16922527352212047</v>
      </c>
      <c r="W327" s="24">
        <f t="shared" ref="W327" si="656">IFERROR(W326/V326-1,"n.m.")</f>
        <v>0.18757336820052006</v>
      </c>
      <c r="X327" s="24">
        <f t="shared" ref="X327" si="657">IFERROR(X326/W326-1,"n.m.")</f>
        <v>0.21085092246545667</v>
      </c>
      <c r="Y327" s="135" t="s">
        <v>4</v>
      </c>
    </row>
    <row r="328" spans="2:27" ht="15" customHeight="1" outlineLevel="1">
      <c r="B328" s="6"/>
      <c r="D328" s="24"/>
      <c r="E328" s="24"/>
      <c r="F328" s="24"/>
      <c r="G328" s="24"/>
      <c r="H328" s="24"/>
      <c r="I328" s="24"/>
      <c r="J328" s="24"/>
      <c r="K328" s="24"/>
      <c r="L328" s="24"/>
      <c r="M328" s="24"/>
      <c r="N328" s="24"/>
      <c r="O328" s="24"/>
      <c r="P328" s="24"/>
      <c r="Q328" s="24"/>
      <c r="R328" s="70"/>
      <c r="S328" s="70"/>
      <c r="T328" s="70"/>
      <c r="U328" s="70"/>
      <c r="V328" s="70"/>
      <c r="W328" s="70"/>
      <c r="X328" s="70"/>
      <c r="Y328" s="135" t="s">
        <v>4</v>
      </c>
      <c r="Z328" s="665">
        <f>Q331/Q326</f>
        <v>3.442388191231549E-2</v>
      </c>
      <c r="AA328" s="666">
        <f>$Z$337*Z328</f>
        <v>2.0998567966512447E-3</v>
      </c>
    </row>
    <row r="329" spans="2:27" ht="15" customHeight="1" outlineLevel="2">
      <c r="B329" s="163" t="s">
        <v>72</v>
      </c>
      <c r="C329" s="157"/>
      <c r="D329" s="158"/>
      <c r="E329" s="158"/>
      <c r="F329" s="158"/>
      <c r="G329" s="158"/>
      <c r="H329" s="158"/>
      <c r="I329" s="158"/>
      <c r="J329" s="158"/>
      <c r="K329" s="158"/>
      <c r="L329" s="158"/>
      <c r="M329" s="158"/>
      <c r="N329" s="158"/>
      <c r="O329" s="158"/>
      <c r="P329" s="158"/>
      <c r="Q329" s="158"/>
      <c r="R329" s="158"/>
      <c r="S329" s="158"/>
      <c r="T329" s="158"/>
      <c r="U329" s="158"/>
      <c r="V329" s="158"/>
      <c r="W329" s="158"/>
      <c r="X329" s="158"/>
      <c r="Y329" s="135" t="s">
        <v>4</v>
      </c>
      <c r="Z329" s="664">
        <f>Q350/Q326</f>
        <v>0.89469046045384448</v>
      </c>
      <c r="AA329" s="666">
        <f t="shared" ref="AA329:AA331" si="658">$Z$337*Z329</f>
        <v>5.4576118087684512E-2</v>
      </c>
    </row>
    <row r="330" spans="2:27" ht="15" customHeight="1" outlineLevel="3">
      <c r="Y330" s="135" t="s">
        <v>4</v>
      </c>
      <c r="Z330" s="664">
        <f>Q369/Q326</f>
        <v>7.0004406256884782E-2</v>
      </c>
      <c r="AA330" s="666">
        <f t="shared" si="658"/>
        <v>4.2702687816699716E-3</v>
      </c>
    </row>
    <row r="331" spans="2:27" ht="15" customHeight="1" outlineLevel="3">
      <c r="B331" s="7" t="s">
        <v>71</v>
      </c>
      <c r="C331" s="13" t="s">
        <v>26</v>
      </c>
      <c r="D331" s="71"/>
      <c r="E331" s="71"/>
      <c r="F331" s="71"/>
      <c r="G331" s="71"/>
      <c r="H331" s="71"/>
      <c r="I331" s="71"/>
      <c r="J331" s="71"/>
      <c r="K331" s="71"/>
      <c r="L331" s="71"/>
      <c r="M331" s="71"/>
      <c r="N331" s="43">
        <v>282.64668819502833</v>
      </c>
      <c r="O331" s="43">
        <v>431.46082628274917</v>
      </c>
      <c r="P331" s="43">
        <v>600</v>
      </c>
      <c r="Q331" s="43">
        <v>625</v>
      </c>
      <c r="R331" s="75">
        <f>Q331*(1+R332)</f>
        <v>906.92049702566192</v>
      </c>
      <c r="S331" s="75">
        <f t="shared" ref="S331:W331" si="659">R331*(1+S332)</f>
        <v>1003.5986580609699</v>
      </c>
      <c r="T331" s="75">
        <f t="shared" si="659"/>
        <v>1111.7029389212014</v>
      </c>
      <c r="U331" s="75">
        <f t="shared" si="659"/>
        <v>1232.303248397759</v>
      </c>
      <c r="V331" s="75">
        <f t="shared" si="659"/>
        <v>1365.4820019127415</v>
      </c>
      <c r="W331" s="75">
        <f t="shared" si="659"/>
        <v>1514.909848047206</v>
      </c>
      <c r="X331" s="75">
        <f t="shared" ref="X331" si="660">W331*(1+X332)</f>
        <v>1682.8465046188933</v>
      </c>
      <c r="Y331" s="135" t="s">
        <v>4</v>
      </c>
      <c r="Z331" s="665">
        <f>Q388/Q326</f>
        <v>8.8125137695527645E-4</v>
      </c>
      <c r="AA331" s="666">
        <f t="shared" si="658"/>
        <v>5.375633399427186E-5</v>
      </c>
    </row>
    <row r="332" spans="2:27" ht="15" customHeight="1" outlineLevel="3">
      <c r="B332" s="6" t="s">
        <v>27</v>
      </c>
      <c r="C332" s="1" t="s">
        <v>21</v>
      </c>
      <c r="D332" s="72"/>
      <c r="E332" s="72"/>
      <c r="F332" s="72"/>
      <c r="G332" s="72"/>
      <c r="H332" s="72"/>
      <c r="I332" s="72"/>
      <c r="J332" s="72"/>
      <c r="K332" s="72"/>
      <c r="L332" s="72"/>
      <c r="M332" s="72"/>
      <c r="N332" s="24" t="str">
        <f>IFERROR(N331/M331-1,"n.m.")</f>
        <v>n.m.</v>
      </c>
      <c r="O332" s="24">
        <f>IFERROR(O331/N331-1,"n.m.")</f>
        <v>0.52650232358299554</v>
      </c>
      <c r="P332" s="24">
        <f>IFERROR(P331/O331-1,"n.m.")</f>
        <v>0.39062450969025408</v>
      </c>
      <c r="Q332" s="24">
        <f>IFERROR(Q331/P331-1,"n.m.")</f>
        <v>4.1666666666666741E-2</v>
      </c>
      <c r="R332" s="69">
        <f>R338</f>
        <v>0.45107279524105914</v>
      </c>
      <c r="S332" s="69">
        <f t="shared" ref="S332:W332" si="661">S338</f>
        <v>0.10660048080551032</v>
      </c>
      <c r="T332" s="69">
        <f t="shared" si="661"/>
        <v>0.10771664548565396</v>
      </c>
      <c r="U332" s="69">
        <f t="shared" si="661"/>
        <v>0.10848249586673608</v>
      </c>
      <c r="V332" s="69">
        <f t="shared" si="661"/>
        <v>0.10807303615253905</v>
      </c>
      <c r="W332" s="69">
        <f t="shared" si="661"/>
        <v>0.10943230736483445</v>
      </c>
      <c r="X332" s="69">
        <f t="shared" ref="X332" si="662">X338</f>
        <v>0.11085587488137727</v>
      </c>
      <c r="Y332" s="135" t="s">
        <v>4</v>
      </c>
    </row>
    <row r="333" spans="2:27" ht="15" customHeight="1" outlineLevel="3">
      <c r="W333" s="9"/>
      <c r="X333" s="9"/>
      <c r="Y333" s="135" t="s">
        <v>4</v>
      </c>
    </row>
    <row r="334" spans="2:27" ht="15" customHeight="1" outlineLevel="3" collapsed="1">
      <c r="B334" s="7" t="s">
        <v>73</v>
      </c>
      <c r="C334" s="13" t="s">
        <v>39</v>
      </c>
      <c r="D334" s="93"/>
      <c r="E334" s="93"/>
      <c r="F334" s="93"/>
      <c r="G334" s="93"/>
      <c r="H334" s="93"/>
      <c r="I334" s="93"/>
      <c r="J334" s="93"/>
      <c r="K334" s="93"/>
      <c r="L334" s="93"/>
      <c r="M334" s="93"/>
      <c r="N334" s="43">
        <v>720</v>
      </c>
      <c r="O334" s="43">
        <v>1081</v>
      </c>
      <c r="P334" s="43">
        <v>1308</v>
      </c>
      <c r="Q334" s="43">
        <v>1504</v>
      </c>
      <c r="R334" s="22">
        <f>Q334+R336</f>
        <v>1646</v>
      </c>
      <c r="S334" s="22">
        <f t="shared" ref="S334:W334" si="663">R334+S336</f>
        <v>2021</v>
      </c>
      <c r="T334" s="22">
        <f t="shared" si="663"/>
        <v>2396</v>
      </c>
      <c r="U334" s="22">
        <f t="shared" si="663"/>
        <v>2771</v>
      </c>
      <c r="V334" s="22">
        <f t="shared" si="663"/>
        <v>3048.1</v>
      </c>
      <c r="W334" s="22">
        <f t="shared" si="663"/>
        <v>3352.91</v>
      </c>
      <c r="X334" s="22">
        <f t="shared" ref="X334" si="664">W334+X336</f>
        <v>3688.201</v>
      </c>
      <c r="Y334" s="135" t="s">
        <v>4</v>
      </c>
    </row>
    <row r="335" spans="2:27" ht="15" customHeight="1" outlineLevel="3">
      <c r="B335" s="6" t="s">
        <v>27</v>
      </c>
      <c r="C335" s="1" t="s">
        <v>21</v>
      </c>
      <c r="D335" s="72"/>
      <c r="E335" s="72"/>
      <c r="F335" s="72"/>
      <c r="G335" s="72"/>
      <c r="H335" s="72"/>
      <c r="I335" s="72"/>
      <c r="J335" s="72"/>
      <c r="K335" s="72"/>
      <c r="L335" s="72"/>
      <c r="M335" s="72"/>
      <c r="N335" s="24" t="str">
        <f>IFERROR(N334/M334-1,"n.m.")</f>
        <v>n.m.</v>
      </c>
      <c r="O335" s="24">
        <f>IFERROR(O334/N334-1,"n.m.")</f>
        <v>0.50138888888888888</v>
      </c>
      <c r="P335" s="24">
        <f>IFERROR(P334/O334-1,"n.m.")</f>
        <v>0.20999074930619788</v>
      </c>
      <c r="Q335" s="24">
        <f>IFERROR(Q334/P334-1,"n.m.")</f>
        <v>0.14984709480122316</v>
      </c>
      <c r="R335" s="24">
        <f t="shared" ref="R335" si="665">IFERROR(R334/Q334-1,"n.m.")</f>
        <v>9.4414893617021267E-2</v>
      </c>
      <c r="S335" s="24">
        <f t="shared" ref="S335" si="666">IFERROR(S334/R334-1,"n.m.")</f>
        <v>0.22782503037667068</v>
      </c>
      <c r="T335" s="24">
        <f t="shared" ref="T335" si="667">IFERROR(T334/S334-1,"n.m.")</f>
        <v>0.18555170707570512</v>
      </c>
      <c r="U335" s="24">
        <f t="shared" ref="U335" si="668">IFERROR(U334/T334-1,"n.m.")</f>
        <v>0.15651085141903165</v>
      </c>
      <c r="V335" s="24">
        <f t="shared" ref="V335" si="669">IFERROR(V334/U334-1,"n.m.")</f>
        <v>9.9999999999999867E-2</v>
      </c>
      <c r="W335" s="113">
        <f t="shared" ref="W335" si="670">IFERROR(W334/V334-1,"n.m.")</f>
        <v>0.10000000000000009</v>
      </c>
      <c r="X335" s="113">
        <f t="shared" ref="X335" si="671">IFERROR(X334/W334-1,"n.m.")</f>
        <v>0.10000000000000009</v>
      </c>
      <c r="Y335" s="135" t="s">
        <v>4</v>
      </c>
    </row>
    <row r="336" spans="2:27" ht="15" customHeight="1" outlineLevel="3">
      <c r="B336" s="6" t="s">
        <v>27</v>
      </c>
      <c r="C336" s="1" t="s">
        <v>39</v>
      </c>
      <c r="D336" s="92"/>
      <c r="E336" s="92"/>
      <c r="F336" s="92"/>
      <c r="G336" s="92"/>
      <c r="H336" s="92"/>
      <c r="I336" s="92"/>
      <c r="J336" s="92"/>
      <c r="K336" s="92"/>
      <c r="L336" s="92"/>
      <c r="M336" s="92"/>
      <c r="N336" s="26">
        <f>IFERROR(N334-M334,"n.m.")</f>
        <v>720</v>
      </c>
      <c r="O336" s="26">
        <f>IFERROR(O334-N334,"n.m.")</f>
        <v>361</v>
      </c>
      <c r="P336" s="26">
        <f>IFERROR(P334-O334,"n.m.")</f>
        <v>227</v>
      </c>
      <c r="Q336" s="26">
        <f>IFERROR(Q334-P334,"n.m.")</f>
        <v>196</v>
      </c>
      <c r="R336" s="33">
        <v>142</v>
      </c>
      <c r="S336" s="33">
        <f>WACC!C44+WACC!C40</f>
        <v>375</v>
      </c>
      <c r="T336" s="33">
        <f>WACC!D44+WACC!D40</f>
        <v>375</v>
      </c>
      <c r="U336" s="33">
        <f>WACC!E44+WACC!E40</f>
        <v>375</v>
      </c>
      <c r="V336" s="33">
        <f>U334*10%</f>
        <v>277.10000000000002</v>
      </c>
      <c r="W336" s="33">
        <f t="shared" ref="W336:X336" si="672">V334*10%</f>
        <v>304.81</v>
      </c>
      <c r="X336" s="33">
        <f t="shared" si="672"/>
        <v>335.291</v>
      </c>
      <c r="Y336" s="135" t="s">
        <v>4</v>
      </c>
    </row>
    <row r="337" spans="2:36" ht="15" customHeight="1" outlineLevel="3">
      <c r="W337" s="9"/>
      <c r="X337" s="9"/>
      <c r="Y337" s="135" t="s">
        <v>4</v>
      </c>
      <c r="Z337" s="663">
        <v>6.0999999999999999E-2</v>
      </c>
    </row>
    <row r="338" spans="2:36" ht="15" customHeight="1" outlineLevel="3">
      <c r="B338" s="50" t="s">
        <v>74</v>
      </c>
      <c r="C338" s="51" t="s">
        <v>21</v>
      </c>
      <c r="D338" s="56"/>
      <c r="E338" s="56"/>
      <c r="F338" s="56"/>
      <c r="G338" s="56"/>
      <c r="H338" s="56"/>
      <c r="I338" s="56"/>
      <c r="J338" s="56"/>
      <c r="K338" s="56"/>
      <c r="L338" s="56"/>
      <c r="M338" s="56"/>
      <c r="N338" s="56"/>
      <c r="O338" s="55">
        <f>O332</f>
        <v>0.52650232358299554</v>
      </c>
      <c r="P338" s="55">
        <f t="shared" ref="P338:Q338" si="673">P332</f>
        <v>0.39062450969025408</v>
      </c>
      <c r="Q338" s="55">
        <f t="shared" si="673"/>
        <v>4.1666666666666741E-2</v>
      </c>
      <c r="R338" s="108">
        <f>(1+R341)*(1+R344)-1</f>
        <v>0.45107279524105914</v>
      </c>
      <c r="S338" s="108">
        <f t="shared" ref="S338:W338" si="674">(1+S341)*(1+S344)-1</f>
        <v>0.10660048080551032</v>
      </c>
      <c r="T338" s="108">
        <f t="shared" si="674"/>
        <v>0.10771664548565396</v>
      </c>
      <c r="U338" s="108">
        <f t="shared" si="674"/>
        <v>0.10848249586673608</v>
      </c>
      <c r="V338" s="108">
        <f t="shared" si="674"/>
        <v>0.10807303615253905</v>
      </c>
      <c r="W338" s="108">
        <f t="shared" si="674"/>
        <v>0.10943230736483445</v>
      </c>
      <c r="X338" s="108">
        <f t="shared" ref="X338" si="675">(1+X341)*(1+X344)-1</f>
        <v>0.11085587488137727</v>
      </c>
      <c r="Y338" s="135" t="s">
        <v>4</v>
      </c>
    </row>
    <row r="339" spans="2:36" ht="15" customHeight="1" outlineLevel="3">
      <c r="B339" s="49" t="s">
        <v>43</v>
      </c>
      <c r="C339" s="52" t="s">
        <v>21</v>
      </c>
      <c r="D339" s="57"/>
      <c r="E339" s="57"/>
      <c r="F339" s="57"/>
      <c r="G339" s="57"/>
      <c r="H339" s="57"/>
      <c r="I339" s="57"/>
      <c r="J339" s="57"/>
      <c r="K339" s="57"/>
      <c r="L339" s="57"/>
      <c r="M339" s="57"/>
      <c r="N339" s="57"/>
      <c r="O339" s="53" t="s">
        <v>44</v>
      </c>
      <c r="P339" s="53">
        <f t="shared" ref="P339" si="676">(1+P338)*(1+O338)-1</f>
        <v>1.1227915452736368</v>
      </c>
      <c r="Q339" s="53">
        <f t="shared" ref="Q339" si="677">(1+Q338)*(1+P338)-1</f>
        <v>0.44856719759401487</v>
      </c>
      <c r="R339" s="53">
        <f t="shared" ref="R339" si="678">(1+R338)*(1+Q338)-1</f>
        <v>0.51153416170943666</v>
      </c>
      <c r="S339" s="53">
        <f t="shared" ref="S339" si="679">(1+S338)*(1+R338)-1</f>
        <v>0.6057578528975518</v>
      </c>
      <c r="T339" s="53">
        <f t="shared" ref="T339" si="680">(1+T338)*(1+S338)-1</f>
        <v>0.22579977249069172</v>
      </c>
      <c r="U339" s="53">
        <f t="shared" ref="U339" si="681">(1+U338)*(1+T338)-1</f>
        <v>0.22788451190106618</v>
      </c>
      <c r="V339" s="53">
        <f t="shared" ref="V339" si="682">(1+V338)*(1+U338)-1</f>
        <v>0.22827956471699862</v>
      </c>
      <c r="W339" s="53">
        <f t="shared" ref="W339" si="683">(1+W338)*(1+V338)-1</f>
        <v>0.22933202522746909</v>
      </c>
      <c r="X339" s="53">
        <f t="shared" ref="X339" si="684">(1+X338)*(1+W338)-1</f>
        <v>0.23241939641942833</v>
      </c>
      <c r="Y339" s="135" t="s">
        <v>4</v>
      </c>
    </row>
    <row r="340" spans="2:36" ht="15" customHeight="1" outlineLevel="3">
      <c r="W340" s="9"/>
      <c r="X340" s="9"/>
      <c r="Y340" s="135" t="s">
        <v>4</v>
      </c>
    </row>
    <row r="341" spans="2:36" ht="15" customHeight="1" outlineLevel="3">
      <c r="B341" s="17" t="s">
        <v>45</v>
      </c>
      <c r="C341" s="15" t="s">
        <v>21</v>
      </c>
      <c r="D341" s="91"/>
      <c r="E341" s="91"/>
      <c r="F341" s="91"/>
      <c r="G341" s="91"/>
      <c r="H341" s="91"/>
      <c r="I341" s="91"/>
      <c r="J341" s="91"/>
      <c r="K341" s="91"/>
      <c r="L341" s="91"/>
      <c r="M341" s="91"/>
      <c r="N341" s="64">
        <v>0.111</v>
      </c>
      <c r="O341" s="64">
        <v>8.9999999999999993E-3</v>
      </c>
      <c r="P341" s="64">
        <v>-3.1E-2</v>
      </c>
      <c r="Q341" s="64">
        <v>-0.114</v>
      </c>
      <c r="R341" s="68">
        <v>6.5000000000000002E-2</v>
      </c>
      <c r="S341" s="68">
        <f>R341*(1+3%)</f>
        <v>6.695000000000001E-2</v>
      </c>
      <c r="T341" s="68">
        <f>S341*(1+5%)</f>
        <v>7.0297500000000013E-2</v>
      </c>
      <c r="U341" s="68">
        <f>T341*(1+3%)</f>
        <v>7.240642500000001E-2</v>
      </c>
      <c r="V341" s="68">
        <f>U341*(1+1%)</f>
        <v>7.3130489250000014E-2</v>
      </c>
      <c r="W341" s="68">
        <f>V341*(1+1%)</f>
        <v>7.386179414250002E-2</v>
      </c>
      <c r="X341" s="68">
        <f>W341*(1+1%)</f>
        <v>7.4600412083925025E-2</v>
      </c>
      <c r="Y341" s="135" t="s">
        <v>4</v>
      </c>
    </row>
    <row r="342" spans="2:36" ht="15" customHeight="1" outlineLevel="3">
      <c r="B342" s="58" t="s">
        <v>43</v>
      </c>
      <c r="C342" s="52" t="s">
        <v>21</v>
      </c>
      <c r="D342" s="72"/>
      <c r="E342" s="72"/>
      <c r="F342" s="72"/>
      <c r="G342" s="72"/>
      <c r="H342" s="72"/>
      <c r="I342" s="72"/>
      <c r="J342" s="72"/>
      <c r="K342" s="72"/>
      <c r="L342" s="72"/>
      <c r="M342" s="72"/>
      <c r="N342" s="53" t="s">
        <v>44</v>
      </c>
      <c r="O342" s="53">
        <f t="shared" ref="O342" si="685">(1+O341)*(1+N341)-1</f>
        <v>0.12099899999999986</v>
      </c>
      <c r="P342" s="53">
        <f t="shared" ref="P342" si="686">(1+P341)*(1+O341)-1</f>
        <v>-2.227900000000016E-2</v>
      </c>
      <c r="Q342" s="53">
        <f t="shared" ref="Q342" si="687">(1+Q341)*(1+P341)-1</f>
        <v>-0.14146599999999998</v>
      </c>
      <c r="R342" s="53">
        <f t="shared" ref="R342" si="688">(1+R341)*(1+Q341)-1</f>
        <v>-5.6410000000000071E-2</v>
      </c>
      <c r="S342" s="53">
        <f t="shared" ref="S342" si="689">(1+S341)*(1+R341)-1</f>
        <v>0.13630175000000011</v>
      </c>
      <c r="T342" s="53">
        <f t="shared" ref="T342" si="690">(1+T341)*(1+S341)-1</f>
        <v>0.1419539176250002</v>
      </c>
      <c r="U342" s="53">
        <f t="shared" ref="U342" si="691">(1+U341)*(1+T341)-1</f>
        <v>0.14779391566143762</v>
      </c>
      <c r="V342" s="53">
        <f t="shared" ref="V342" si="692">(1+V341)*(1+U341)-1</f>
        <v>0.1508320315350935</v>
      </c>
      <c r="W342" s="53">
        <f t="shared" ref="W342" si="693">(1+W341)*(1+V341)-1</f>
        <v>0.15239383253502381</v>
      </c>
      <c r="X342" s="53">
        <f t="shared" ref="X342" si="694">(1+X341)*(1+W341)-1</f>
        <v>0.15397232650671344</v>
      </c>
      <c r="Y342" s="135" t="s">
        <v>4</v>
      </c>
    </row>
    <row r="343" spans="2:36" ht="15" customHeight="1" outlineLevel="3">
      <c r="W343" s="9"/>
      <c r="X343" s="9"/>
      <c r="Y343" s="135" t="s">
        <v>4</v>
      </c>
    </row>
    <row r="344" spans="2:36" ht="15" customHeight="1" outlineLevel="3">
      <c r="B344" s="6" t="s">
        <v>55</v>
      </c>
      <c r="C344" s="1" t="s">
        <v>21</v>
      </c>
      <c r="D344" s="72"/>
      <c r="E344" s="72"/>
      <c r="F344" s="72"/>
      <c r="G344" s="72"/>
      <c r="H344" s="72"/>
      <c r="I344" s="72"/>
      <c r="J344" s="72"/>
      <c r="K344" s="72"/>
      <c r="L344" s="72"/>
      <c r="M344" s="72"/>
      <c r="N344" s="72"/>
      <c r="O344" s="23">
        <f>(1+O338)/(1+O341)-1</f>
        <v>0.51288634646481235</v>
      </c>
      <c r="P344" s="23">
        <f t="shared" ref="P344:Q344" si="695">(1+P338)/(1+P341)-1</f>
        <v>0.43511301309623751</v>
      </c>
      <c r="Q344" s="23">
        <f t="shared" si="695"/>
        <v>0.17569601203912733</v>
      </c>
      <c r="R344" s="23">
        <f>R345*R335</f>
        <v>0.36250966689301334</v>
      </c>
      <c r="S344" s="23">
        <f t="shared" ref="S344:W344" si="696">S345*S335</f>
        <v>3.7162454478195099E-2</v>
      </c>
      <c r="T344" s="23">
        <f t="shared" si="696"/>
        <v>3.4961443417044318E-2</v>
      </c>
      <c r="U344" s="23">
        <f t="shared" si="696"/>
        <v>3.3640297209834379E-2</v>
      </c>
      <c r="V344" s="23">
        <f t="shared" si="696"/>
        <v>3.2561321528530883E-2</v>
      </c>
      <c r="W344" s="23">
        <f t="shared" si="696"/>
        <v>3.3123920989049031E-2</v>
      </c>
      <c r="X344" s="23">
        <f t="shared" ref="X344" si="697">X345*X335</f>
        <v>3.3738552851607317E-2</v>
      </c>
      <c r="Y344" s="135" t="s">
        <v>4</v>
      </c>
    </row>
    <row r="345" spans="2:36" ht="15" customHeight="1" outlineLevel="3">
      <c r="B345" s="59" t="s">
        <v>48</v>
      </c>
      <c r="C345" s="60" t="s">
        <v>21</v>
      </c>
      <c r="D345" s="107"/>
      <c r="E345" s="107"/>
      <c r="F345" s="107"/>
      <c r="G345" s="107"/>
      <c r="H345" s="107"/>
      <c r="I345" s="107"/>
      <c r="J345" s="107"/>
      <c r="K345" s="107"/>
      <c r="L345" s="107"/>
      <c r="M345" s="107"/>
      <c r="N345" s="107"/>
      <c r="O345" s="65">
        <f>O344/O335</f>
        <v>1.0229312173259415</v>
      </c>
      <c r="P345" s="65">
        <f t="shared" ref="P345:Q345" si="698">P344/P335</f>
        <v>2.0720580050970616</v>
      </c>
      <c r="Q345" s="65">
        <f t="shared" si="698"/>
        <v>1.1725019578937688</v>
      </c>
      <c r="R345" s="67">
        <f>(Q332+Q331*R341)*R335</f>
        <v>3.8395390070921978</v>
      </c>
      <c r="S345" s="67">
        <f t="shared" ref="S345:X345" si="699">(R332+R331*S341)/(S334-R334)</f>
        <v>0.16311840018962437</v>
      </c>
      <c r="T345" s="67">
        <f t="shared" si="699"/>
        <v>0.18841887238892416</v>
      </c>
      <c r="U345" s="67">
        <f t="shared" si="699"/>
        <v>0.21493907230603523</v>
      </c>
      <c r="V345" s="67">
        <f t="shared" si="699"/>
        <v>0.32561321528530923</v>
      </c>
      <c r="W345" s="67">
        <f t="shared" si="699"/>
        <v>0.33123920989049005</v>
      </c>
      <c r="X345" s="67">
        <f t="shared" si="699"/>
        <v>0.33738552851607284</v>
      </c>
      <c r="Y345" s="135" t="s">
        <v>4</v>
      </c>
    </row>
    <row r="346" spans="2:36" ht="15" customHeight="1" outlineLevel="3">
      <c r="Y346" s="135" t="s">
        <v>4</v>
      </c>
    </row>
    <row r="347" spans="2:36" ht="15" customHeight="1" outlineLevel="2">
      <c r="B347" s="6"/>
      <c r="Y347" s="135" t="s">
        <v>4</v>
      </c>
    </row>
    <row r="348" spans="2:36" ht="15" customHeight="1" outlineLevel="2">
      <c r="B348" s="164" t="s">
        <v>75</v>
      </c>
      <c r="C348" s="159"/>
      <c r="D348" s="160"/>
      <c r="E348" s="160"/>
      <c r="F348" s="160"/>
      <c r="G348" s="160"/>
      <c r="H348" s="160"/>
      <c r="I348" s="160"/>
      <c r="J348" s="160"/>
      <c r="K348" s="160"/>
      <c r="L348" s="160"/>
      <c r="M348" s="160"/>
      <c r="N348" s="160"/>
      <c r="O348" s="160"/>
      <c r="P348" s="160"/>
      <c r="Q348" s="160"/>
      <c r="R348" s="160"/>
      <c r="S348" s="160"/>
      <c r="T348" s="160"/>
      <c r="U348" s="160"/>
      <c r="V348" s="160"/>
      <c r="W348" s="160"/>
      <c r="X348" s="160"/>
      <c r="Y348" s="135" t="s">
        <v>4</v>
      </c>
    </row>
    <row r="349" spans="2:36" ht="15" customHeight="1" outlineLevel="3">
      <c r="Y349" s="135" t="s">
        <v>4</v>
      </c>
    </row>
    <row r="350" spans="2:36" ht="15" customHeight="1" outlineLevel="3">
      <c r="B350" s="7" t="s">
        <v>71</v>
      </c>
      <c r="C350" s="13" t="s">
        <v>26</v>
      </c>
      <c r="D350" s="71"/>
      <c r="E350" s="71"/>
      <c r="F350" s="71"/>
      <c r="G350" s="71"/>
      <c r="H350" s="71"/>
      <c r="I350" s="71"/>
      <c r="J350" s="71"/>
      <c r="K350" s="71"/>
      <c r="L350" s="71"/>
      <c r="M350" s="71"/>
      <c r="N350" s="43">
        <v>12975.052944032803</v>
      </c>
      <c r="O350" s="43">
        <v>13655.820565722577</v>
      </c>
      <c r="P350" s="43">
        <v>15545</v>
      </c>
      <c r="Q350" s="43">
        <v>16244</v>
      </c>
      <c r="R350" s="75">
        <f>Q350*(1+R351)</f>
        <v>17761.558351482086</v>
      </c>
      <c r="S350" s="75">
        <f t="shared" ref="S350" si="700">R350*(1+S351)</f>
        <v>19757.699345813777</v>
      </c>
      <c r="T350" s="75">
        <f t="shared" ref="T350" si="701">S350*(1+T351)</f>
        <v>22312.073109347166</v>
      </c>
      <c r="U350" s="75">
        <f t="shared" ref="U350" si="702">T350*(1+U351)</f>
        <v>25528.280210134068</v>
      </c>
      <c r="V350" s="75">
        <f t="shared" ref="V350" si="703">U350*(1+V351)</f>
        <v>29535.178155312031</v>
      </c>
      <c r="W350" s="75">
        <f t="shared" ref="W350" si="704">V350*(1+W351)</f>
        <v>34647.91723526569</v>
      </c>
      <c r="X350" s="75">
        <f t="shared" ref="X350" si="705">W350*(1+X351)</f>
        <v>41347.885558961476</v>
      </c>
      <c r="Y350" s="135" t="s">
        <v>4</v>
      </c>
      <c r="Z350" s="2">
        <f t="shared" ref="Z350:AJ350" si="706">N350/N353</f>
        <v>1.0982777166101916</v>
      </c>
      <c r="AA350" s="2">
        <f t="shared" si="706"/>
        <v>1.1792591162109307</v>
      </c>
      <c r="AB350" s="2">
        <f t="shared" si="706"/>
        <v>1.270016339869281</v>
      </c>
      <c r="AC350" s="2">
        <f t="shared" si="706"/>
        <v>1.284110671936759</v>
      </c>
      <c r="AD350" s="2">
        <f t="shared" si="706"/>
        <v>1.3795385127364728</v>
      </c>
      <c r="AE350" s="2">
        <f t="shared" si="706"/>
        <v>1.4799774790871743</v>
      </c>
      <c r="AF350" s="2">
        <f t="shared" si="706"/>
        <v>1.613893172466341</v>
      </c>
      <c r="AG350" s="2">
        <f t="shared" si="706"/>
        <v>1.7851944202890957</v>
      </c>
      <c r="AH350" s="2">
        <f t="shared" si="706"/>
        <v>2.0052398774738291</v>
      </c>
      <c r="AI350" s="2">
        <f t="shared" si="706"/>
        <v>2.2838451081095341</v>
      </c>
      <c r="AJ350" s="2">
        <f t="shared" si="706"/>
        <v>2.6460959860959825</v>
      </c>
    </row>
    <row r="351" spans="2:36" ht="15" customHeight="1" outlineLevel="3">
      <c r="B351" s="6" t="s">
        <v>27</v>
      </c>
      <c r="C351" s="1" t="s">
        <v>21</v>
      </c>
      <c r="D351" s="72"/>
      <c r="E351" s="72"/>
      <c r="F351" s="72"/>
      <c r="G351" s="72"/>
      <c r="H351" s="72"/>
      <c r="I351" s="72"/>
      <c r="J351" s="72"/>
      <c r="K351" s="72"/>
      <c r="L351" s="72"/>
      <c r="M351" s="72"/>
      <c r="N351" s="24" t="str">
        <f>IFERROR(N350/M350-1,"n.m.")</f>
        <v>n.m.</v>
      </c>
      <c r="O351" s="24">
        <f>IFERROR(O350/N350-1,"n.m.")</f>
        <v>5.246742534510096E-2</v>
      </c>
      <c r="P351" s="24">
        <f>IFERROR(P350/O350-1,"n.m.")</f>
        <v>0.13834243245839395</v>
      </c>
      <c r="Q351" s="24">
        <f>IFERROR(Q350/P350-1,"n.m.")</f>
        <v>4.4966227082663179E-2</v>
      </c>
      <c r="R351" s="69">
        <f>R357</f>
        <v>9.3422700780724455E-2</v>
      </c>
      <c r="S351" s="69">
        <f t="shared" ref="S351:W351" si="707">S357</f>
        <v>0.11238546499300406</v>
      </c>
      <c r="T351" s="69">
        <f t="shared" si="707"/>
        <v>0.12928497993743404</v>
      </c>
      <c r="U351" s="69">
        <f t="shared" si="707"/>
        <v>0.14414649347126507</v>
      </c>
      <c r="V351" s="69">
        <f t="shared" si="707"/>
        <v>0.15695918064967529</v>
      </c>
      <c r="W351" s="69">
        <f t="shared" si="707"/>
        <v>0.17310676282594595</v>
      </c>
      <c r="X351" s="69">
        <f t="shared" ref="X351" si="708">X357</f>
        <v>0.19337290256732542</v>
      </c>
      <c r="Y351" s="135" t="s">
        <v>4</v>
      </c>
    </row>
    <row r="352" spans="2:36" ht="15" customHeight="1" outlineLevel="3">
      <c r="W352" s="9"/>
      <c r="X352" s="9"/>
      <c r="Y352" s="135" t="s">
        <v>4</v>
      </c>
    </row>
    <row r="353" spans="2:25" ht="15" customHeight="1" outlineLevel="3" collapsed="1">
      <c r="B353" s="7" t="s">
        <v>73</v>
      </c>
      <c r="C353" s="13" t="s">
        <v>39</v>
      </c>
      <c r="D353" s="93"/>
      <c r="E353" s="93"/>
      <c r="F353" s="93"/>
      <c r="G353" s="93"/>
      <c r="H353" s="93"/>
      <c r="I353" s="93"/>
      <c r="J353" s="93"/>
      <c r="K353" s="93"/>
      <c r="L353" s="93"/>
      <c r="M353" s="93"/>
      <c r="N353" s="43">
        <v>11814</v>
      </c>
      <c r="O353" s="43">
        <v>11580</v>
      </c>
      <c r="P353" s="43">
        <v>12240</v>
      </c>
      <c r="Q353" s="43">
        <v>12650</v>
      </c>
      <c r="R353" s="22">
        <f>Q353+R355</f>
        <v>12875</v>
      </c>
      <c r="S353" s="22">
        <f t="shared" ref="S353:W353" si="709">R353+S355</f>
        <v>13350</v>
      </c>
      <c r="T353" s="22">
        <f t="shared" si="709"/>
        <v>13825</v>
      </c>
      <c r="U353" s="22">
        <f t="shared" si="709"/>
        <v>14300</v>
      </c>
      <c r="V353" s="22">
        <f t="shared" si="709"/>
        <v>14729</v>
      </c>
      <c r="W353" s="22">
        <f t="shared" si="709"/>
        <v>15170.87</v>
      </c>
      <c r="X353" s="22">
        <f t="shared" ref="X353" si="710">W353+X355</f>
        <v>15625.9961</v>
      </c>
      <c r="Y353" s="135" t="s">
        <v>4</v>
      </c>
    </row>
    <row r="354" spans="2:25" ht="15" customHeight="1" outlineLevel="3">
      <c r="B354" s="6" t="s">
        <v>27</v>
      </c>
      <c r="C354" s="1" t="s">
        <v>21</v>
      </c>
      <c r="D354" s="72"/>
      <c r="E354" s="72"/>
      <c r="F354" s="72"/>
      <c r="G354" s="72"/>
      <c r="H354" s="72"/>
      <c r="I354" s="72"/>
      <c r="J354" s="72"/>
      <c r="K354" s="72"/>
      <c r="L354" s="72"/>
      <c r="M354" s="72"/>
      <c r="N354" s="24" t="str">
        <f>IFERROR(N353/M353-1,"n.m.")</f>
        <v>n.m.</v>
      </c>
      <c r="O354" s="24">
        <f>IFERROR(O353/N353-1,"n.m.")</f>
        <v>-1.980700863382423E-2</v>
      </c>
      <c r="P354" s="24">
        <f>IFERROR(P353/O353-1,"n.m.")</f>
        <v>5.6994818652849721E-2</v>
      </c>
      <c r="Q354" s="24">
        <f>IFERROR(Q353/P353-1,"n.m.")</f>
        <v>3.3496732026143894E-2</v>
      </c>
      <c r="R354" s="24">
        <f t="shared" ref="R354" si="711">IFERROR(R353/Q353-1,"n.m.")</f>
        <v>1.7786561264822032E-2</v>
      </c>
      <c r="S354" s="24">
        <f t="shared" ref="S354" si="712">IFERROR(S353/R353-1,"n.m.")</f>
        <v>3.689320388349504E-2</v>
      </c>
      <c r="T354" s="24">
        <f t="shared" ref="T354" si="713">IFERROR(T353/S353-1,"n.m.")</f>
        <v>3.5580524344569264E-2</v>
      </c>
      <c r="U354" s="24">
        <f t="shared" ref="U354" si="714">IFERROR(U353/T353-1,"n.m.")</f>
        <v>3.4358047016274762E-2</v>
      </c>
      <c r="V354" s="24">
        <f t="shared" ref="V354" si="715">IFERROR(V353/U353-1,"n.m.")</f>
        <v>3.0000000000000027E-2</v>
      </c>
      <c r="W354" s="113">
        <f t="shared" ref="W354" si="716">IFERROR(W353/V353-1,"n.m.")</f>
        <v>3.0000000000000027E-2</v>
      </c>
      <c r="X354" s="113">
        <f t="shared" ref="X354" si="717">IFERROR(X353/W353-1,"n.m.")</f>
        <v>3.0000000000000027E-2</v>
      </c>
      <c r="Y354" s="135" t="s">
        <v>4</v>
      </c>
    </row>
    <row r="355" spans="2:25" ht="15" customHeight="1" outlineLevel="3">
      <c r="B355" s="6" t="s">
        <v>27</v>
      </c>
      <c r="C355" s="1" t="s">
        <v>39</v>
      </c>
      <c r="D355" s="92"/>
      <c r="E355" s="92"/>
      <c r="F355" s="92"/>
      <c r="G355" s="92"/>
      <c r="H355" s="92"/>
      <c r="I355" s="92"/>
      <c r="J355" s="92"/>
      <c r="K355" s="92"/>
      <c r="L355" s="92"/>
      <c r="M355" s="92"/>
      <c r="N355" s="26">
        <f>IFERROR(N353-M353,"n.m.")</f>
        <v>11814</v>
      </c>
      <c r="O355" s="26">
        <f>IFERROR(O353-N353,"n.m.")</f>
        <v>-234</v>
      </c>
      <c r="P355" s="26">
        <f>IFERROR(P353-O353,"n.m.")</f>
        <v>660</v>
      </c>
      <c r="Q355" s="26">
        <f>IFERROR(Q353-P353,"n.m.")</f>
        <v>410</v>
      </c>
      <c r="R355" s="33">
        <v>225</v>
      </c>
      <c r="S355" s="33">
        <f>WACC!C42+WACC!C46</f>
        <v>475</v>
      </c>
      <c r="T355" s="33">
        <f>WACC!D42+WACC!D46</f>
        <v>475</v>
      </c>
      <c r="U355" s="33">
        <f>WACC!E42+WACC!E46</f>
        <v>475</v>
      </c>
      <c r="V355" s="33">
        <f>U353*0.03</f>
        <v>429</v>
      </c>
      <c r="W355" s="33">
        <f>V353*0.03</f>
        <v>441.87</v>
      </c>
      <c r="X355" s="33">
        <f>W353*0.03</f>
        <v>455.12610000000001</v>
      </c>
      <c r="Y355" s="135" t="s">
        <v>4</v>
      </c>
    </row>
    <row r="356" spans="2:25" ht="15" customHeight="1" outlineLevel="3">
      <c r="W356" s="9"/>
      <c r="X356" s="9"/>
      <c r="Y356" s="135" t="s">
        <v>4</v>
      </c>
    </row>
    <row r="357" spans="2:25" ht="15" customHeight="1" outlineLevel="3">
      <c r="B357" s="50" t="s">
        <v>74</v>
      </c>
      <c r="C357" s="51" t="s">
        <v>21</v>
      </c>
      <c r="D357" s="56"/>
      <c r="E357" s="56"/>
      <c r="F357" s="56"/>
      <c r="G357" s="56"/>
      <c r="H357" s="56"/>
      <c r="I357" s="56"/>
      <c r="J357" s="56"/>
      <c r="K357" s="56"/>
      <c r="L357" s="56"/>
      <c r="M357" s="56"/>
      <c r="N357" s="56"/>
      <c r="O357" s="55">
        <f>O351</f>
        <v>5.246742534510096E-2</v>
      </c>
      <c r="P357" s="55">
        <f t="shared" ref="P357:Q357" si="718">P351</f>
        <v>0.13834243245839395</v>
      </c>
      <c r="Q357" s="55">
        <f t="shared" si="718"/>
        <v>4.4966227082663179E-2</v>
      </c>
      <c r="R357" s="108">
        <f>(1+R360)*(1+R363)-1</f>
        <v>9.3422700780724455E-2</v>
      </c>
      <c r="S357" s="108">
        <f t="shared" ref="S357:W357" si="719">(1+S360)*(1+S363)-1</f>
        <v>0.11238546499300406</v>
      </c>
      <c r="T357" s="108">
        <f t="shared" si="719"/>
        <v>0.12928497993743404</v>
      </c>
      <c r="U357" s="108">
        <f t="shared" si="719"/>
        <v>0.14414649347126507</v>
      </c>
      <c r="V357" s="108">
        <f t="shared" si="719"/>
        <v>0.15695918064967529</v>
      </c>
      <c r="W357" s="108">
        <f t="shared" si="719"/>
        <v>0.17310676282594595</v>
      </c>
      <c r="X357" s="108">
        <f t="shared" ref="X357" si="720">(1+X360)*(1+X363)-1</f>
        <v>0.19337290256732542</v>
      </c>
      <c r="Y357" s="135" t="s">
        <v>4</v>
      </c>
    </row>
    <row r="358" spans="2:25" ht="15" customHeight="1" outlineLevel="3">
      <c r="B358" s="49" t="s">
        <v>43</v>
      </c>
      <c r="C358" s="52" t="s">
        <v>21</v>
      </c>
      <c r="D358" s="57"/>
      <c r="E358" s="57"/>
      <c r="F358" s="57"/>
      <c r="G358" s="57"/>
      <c r="H358" s="57"/>
      <c r="I358" s="57"/>
      <c r="J358" s="57"/>
      <c r="K358" s="57"/>
      <c r="L358" s="57"/>
      <c r="M358" s="57"/>
      <c r="N358" s="57"/>
      <c r="O358" s="53" t="s">
        <v>44</v>
      </c>
      <c r="P358" s="53">
        <f t="shared" ref="P358" si="721">(1+P357)*(1+O357)-1</f>
        <v>0.19806832905056537</v>
      </c>
      <c r="Q358" s="53">
        <f t="shared" ref="Q358" si="722">(1+Q357)*(1+P357)-1</f>
        <v>0.18952939677414937</v>
      </c>
      <c r="R358" s="53">
        <f t="shared" ref="R358" si="723">(1+R357)*(1+Q357)-1</f>
        <v>0.14258979424136942</v>
      </c>
      <c r="S358" s="53">
        <f t="shared" ref="S358" si="724">(1+S357)*(1+R357)-1</f>
        <v>0.21630751944187243</v>
      </c>
      <c r="T358" s="53">
        <f t="shared" ref="T358" si="725">(1+T357)*(1+S357)-1</f>
        <v>0.25620019751731782</v>
      </c>
      <c r="U358" s="53">
        <f t="shared" ref="U358" si="726">(1+U357)*(1+T357)-1</f>
        <v>0.29206744992518319</v>
      </c>
      <c r="V358" s="53">
        <f t="shared" ref="V358" si="727">(1+V357)*(1+U357)-1</f>
        <v>0.32373078962971391</v>
      </c>
      <c r="W358" s="53">
        <f t="shared" ref="W358" si="728">(1+W357)*(1+V357)-1</f>
        <v>0.35723663913369941</v>
      </c>
      <c r="X358" s="53">
        <f t="shared" ref="X358" si="729">(1+X357)*(1+W357)-1</f>
        <v>0.39995382257495815</v>
      </c>
      <c r="Y358" s="135" t="s">
        <v>4</v>
      </c>
    </row>
    <row r="359" spans="2:25" ht="15" customHeight="1" outlineLevel="3">
      <c r="W359" s="9"/>
      <c r="X359" s="9"/>
      <c r="Y359" s="135" t="s">
        <v>4</v>
      </c>
    </row>
    <row r="360" spans="2:25" ht="15" customHeight="1" outlineLevel="3">
      <c r="B360" s="17" t="s">
        <v>45</v>
      </c>
      <c r="C360" s="15" t="s">
        <v>21</v>
      </c>
      <c r="D360" s="91"/>
      <c r="E360" s="91"/>
      <c r="F360" s="91"/>
      <c r="G360" s="91"/>
      <c r="H360" s="91"/>
      <c r="I360" s="91"/>
      <c r="J360" s="91"/>
      <c r="K360" s="91"/>
      <c r="L360" s="91"/>
      <c r="M360" s="91"/>
      <c r="N360" s="64">
        <v>0.13900000000000001</v>
      </c>
      <c r="O360" s="64">
        <v>0.153</v>
      </c>
      <c r="P360" s="64">
        <v>8.8999999999999996E-2</v>
      </c>
      <c r="Q360" s="64">
        <v>3.3000000000000002E-2</v>
      </c>
      <c r="R360" s="68">
        <v>0.04</v>
      </c>
      <c r="S360" s="68">
        <f>R360*(1+15%)</f>
        <v>4.5999999999999999E-2</v>
      </c>
      <c r="T360" s="68">
        <f>S360*(1+10%)</f>
        <v>5.0600000000000006E-2</v>
      </c>
      <c r="U360" s="68">
        <f>T360*(1+5.5%)</f>
        <v>5.3383E-2</v>
      </c>
      <c r="V360" s="68">
        <f t="shared" ref="V360:X360" si="730">U360*(1+2%)</f>
        <v>5.4450659999999998E-2</v>
      </c>
      <c r="W360" s="68">
        <f t="shared" si="730"/>
        <v>5.55396732E-2</v>
      </c>
      <c r="X360" s="68">
        <f t="shared" si="730"/>
        <v>5.6650466664000004E-2</v>
      </c>
      <c r="Y360" s="135" t="s">
        <v>4</v>
      </c>
    </row>
    <row r="361" spans="2:25" ht="15" customHeight="1" outlineLevel="3">
      <c r="B361" s="58" t="s">
        <v>43</v>
      </c>
      <c r="C361" s="52" t="s">
        <v>21</v>
      </c>
      <c r="D361" s="72"/>
      <c r="E361" s="72"/>
      <c r="F361" s="72"/>
      <c r="G361" s="72"/>
      <c r="H361" s="72"/>
      <c r="I361" s="72"/>
      <c r="J361" s="72"/>
      <c r="K361" s="72"/>
      <c r="L361" s="72"/>
      <c r="M361" s="72"/>
      <c r="N361" s="53" t="s">
        <v>44</v>
      </c>
      <c r="O361" s="53">
        <f t="shared" ref="O361" si="731">(1+O360)*(1+N360)-1</f>
        <v>0.31326699999999996</v>
      </c>
      <c r="P361" s="53">
        <f t="shared" ref="P361" si="732">(1+P360)*(1+O360)-1</f>
        <v>0.25561699999999998</v>
      </c>
      <c r="Q361" s="53">
        <f t="shared" ref="Q361" si="733">(1+Q360)*(1+P360)-1</f>
        <v>0.12493699999999985</v>
      </c>
      <c r="R361" s="53">
        <f t="shared" ref="R361" si="734">(1+R360)*(1+Q360)-1</f>
        <v>7.4319999999999942E-2</v>
      </c>
      <c r="S361" s="53">
        <f t="shared" ref="S361" si="735">(1+S360)*(1+R360)-1</f>
        <v>8.784000000000014E-2</v>
      </c>
      <c r="T361" s="53">
        <f t="shared" ref="T361" si="736">(1+T360)*(1+S360)-1</f>
        <v>9.8927600000000115E-2</v>
      </c>
      <c r="U361" s="53">
        <f t="shared" ref="U361" si="737">(1+U360)*(1+T360)-1</f>
        <v>0.1066841798</v>
      </c>
      <c r="V361" s="53">
        <f t="shared" ref="V361" si="738">(1+V360)*(1+U360)-1</f>
        <v>0.11074039958278004</v>
      </c>
      <c r="W361" s="53">
        <f t="shared" ref="W361" si="739">(1+W360)*(1+V360)-1</f>
        <v>0.11301450506192445</v>
      </c>
      <c r="X361" s="53">
        <f t="shared" ref="X361" si="740">(1+X360)*(1+W360)-1</f>
        <v>0.11533648826914611</v>
      </c>
      <c r="Y361" s="135" t="s">
        <v>4</v>
      </c>
    </row>
    <row r="362" spans="2:25" ht="15" customHeight="1" outlineLevel="3">
      <c r="W362" s="9"/>
      <c r="X362" s="9"/>
      <c r="Y362" s="135" t="s">
        <v>4</v>
      </c>
    </row>
    <row r="363" spans="2:25" ht="15" customHeight="1" outlineLevel="3">
      <c r="B363" s="6" t="s">
        <v>55</v>
      </c>
      <c r="C363" s="1" t="s">
        <v>21</v>
      </c>
      <c r="D363" s="72"/>
      <c r="E363" s="72"/>
      <c r="F363" s="72"/>
      <c r="G363" s="72"/>
      <c r="H363" s="72"/>
      <c r="I363" s="72"/>
      <c r="J363" s="72"/>
      <c r="K363" s="72"/>
      <c r="L363" s="72"/>
      <c r="M363" s="72"/>
      <c r="N363" s="72"/>
      <c r="O363" s="23">
        <f>(1+O357)/(1+O360)-1</f>
        <v>-8.7192172293928061E-2</v>
      </c>
      <c r="P363" s="23">
        <f t="shared" ref="P363:Q363" si="741">(1+P357)/(1+P360)-1</f>
        <v>4.5309855333695026E-2</v>
      </c>
      <c r="Q363" s="23">
        <f t="shared" si="741"/>
        <v>1.1583956517583038E-2</v>
      </c>
      <c r="R363" s="23">
        <f>R364*R354</f>
        <v>5.1367981519927185E-2</v>
      </c>
      <c r="S363" s="23">
        <f t="shared" ref="S363" si="742">S364*S354</f>
        <v>6.3466027717977033E-2</v>
      </c>
      <c r="T363" s="23">
        <f t="shared" ref="T363" si="743">T364*T354</f>
        <v>7.4895278828701839E-2</v>
      </c>
      <c r="U363" s="23">
        <f t="shared" ref="U363" si="744">U364*U354</f>
        <v>8.6163810761389792E-2</v>
      </c>
      <c r="V363" s="23">
        <f t="shared" ref="V363" si="745">V364*V354</f>
        <v>9.7215094587427331E-2</v>
      </c>
      <c r="W363" s="23">
        <f t="shared" ref="W363:X363" si="746">W364*W354</f>
        <v>0.11138102395481432</v>
      </c>
      <c r="X363" s="23">
        <f t="shared" si="746"/>
        <v>0.12939230163308221</v>
      </c>
      <c r="Y363" s="135" t="s">
        <v>4</v>
      </c>
    </row>
    <row r="364" spans="2:25" ht="15" customHeight="1" outlineLevel="3">
      <c r="B364" s="59" t="s">
        <v>48</v>
      </c>
      <c r="C364" s="60" t="s">
        <v>21</v>
      </c>
      <c r="D364" s="107"/>
      <c r="E364" s="107"/>
      <c r="F364" s="107"/>
      <c r="G364" s="107"/>
      <c r="H364" s="107"/>
      <c r="I364" s="107"/>
      <c r="J364" s="107"/>
      <c r="K364" s="107"/>
      <c r="L364" s="107"/>
      <c r="M364" s="107"/>
      <c r="N364" s="107"/>
      <c r="O364" s="65">
        <f>O363/O354</f>
        <v>4.4020868524806342</v>
      </c>
      <c r="P364" s="65">
        <f t="shared" ref="P364" si="747">P363/P354</f>
        <v>0.79498200721846757</v>
      </c>
      <c r="Q364" s="65">
        <f t="shared" ref="Q364" si="748">Q363/Q354</f>
        <v>0.34582348237857552</v>
      </c>
      <c r="R364" s="67">
        <f>(Q351+Q350*R360)/(R355)</f>
        <v>2.8880220721203673</v>
      </c>
      <c r="S364" s="67">
        <f>(R351+R350*S360)/(S355)</f>
        <v>1.720263382882014</v>
      </c>
      <c r="T364" s="67">
        <f t="shared" ref="T364:W364" si="749">(S351+S350*T360)/(T355)</f>
        <v>2.104951520764569</v>
      </c>
      <c r="U364" s="67">
        <f t="shared" si="749"/>
        <v>2.5078203868972997</v>
      </c>
      <c r="V364" s="67">
        <f t="shared" si="749"/>
        <v>3.2405031529142416</v>
      </c>
      <c r="W364" s="67">
        <f t="shared" si="749"/>
        <v>3.7127007984938074</v>
      </c>
      <c r="X364" s="67">
        <f>(W351+W350*X360)/(X355)</f>
        <v>4.3130767211027363</v>
      </c>
      <c r="Y364" s="135" t="s">
        <v>4</v>
      </c>
    </row>
    <row r="365" spans="2:25" ht="15" customHeight="1" outlineLevel="3">
      <c r="Y365" s="135" t="s">
        <v>4</v>
      </c>
    </row>
    <row r="366" spans="2:25" ht="15" customHeight="1" outlineLevel="2">
      <c r="B366" s="6"/>
      <c r="Y366" s="135" t="s">
        <v>4</v>
      </c>
    </row>
    <row r="367" spans="2:25" ht="15" customHeight="1" outlineLevel="2">
      <c r="B367" s="165" t="s">
        <v>76</v>
      </c>
      <c r="C367" s="161"/>
      <c r="D367" s="162"/>
      <c r="E367" s="162"/>
      <c r="F367" s="162"/>
      <c r="G367" s="162"/>
      <c r="H367" s="162"/>
      <c r="I367" s="162"/>
      <c r="J367" s="162"/>
      <c r="K367" s="162"/>
      <c r="L367" s="162"/>
      <c r="M367" s="162"/>
      <c r="N367" s="162"/>
      <c r="O367" s="162"/>
      <c r="P367" s="162"/>
      <c r="Q367" s="162"/>
      <c r="R367" s="162"/>
      <c r="S367" s="162"/>
      <c r="T367" s="162"/>
      <c r="U367" s="162"/>
      <c r="V367" s="162"/>
      <c r="W367" s="162"/>
      <c r="X367" s="162"/>
      <c r="Y367" s="135" t="s">
        <v>4</v>
      </c>
    </row>
    <row r="368" spans="2:25" ht="15" customHeight="1" outlineLevel="3">
      <c r="Y368" s="135" t="s">
        <v>4</v>
      </c>
    </row>
    <row r="369" spans="2:25" ht="15" customHeight="1" outlineLevel="3">
      <c r="B369" s="7" t="s">
        <v>71</v>
      </c>
      <c r="C369" s="13" t="s">
        <v>26</v>
      </c>
      <c r="D369" s="71"/>
      <c r="E369" s="71"/>
      <c r="F369" s="71"/>
      <c r="G369" s="71"/>
      <c r="H369" s="71"/>
      <c r="I369" s="71"/>
      <c r="J369" s="71"/>
      <c r="K369" s="71"/>
      <c r="L369" s="71"/>
      <c r="M369" s="71"/>
      <c r="N369" s="43">
        <v>433.01374592520034</v>
      </c>
      <c r="O369" s="43">
        <v>612.94361805290032</v>
      </c>
      <c r="P369" s="43">
        <v>927</v>
      </c>
      <c r="Q369" s="43">
        <v>1271</v>
      </c>
      <c r="R369" s="75">
        <f>Q369*(1+R370)</f>
        <v>1481.499559070232</v>
      </c>
      <c r="S369" s="75">
        <f t="shared" ref="S369" si="750">R369*(1+S370)</f>
        <v>1775.286556360526</v>
      </c>
      <c r="T369" s="75">
        <f t="shared" ref="T369" si="751">S369*(1+T370)</f>
        <v>2192.8144363528713</v>
      </c>
      <c r="U369" s="75">
        <f t="shared" ref="U369" si="752">T369*(1+U370)</f>
        <v>2817.7814556765197</v>
      </c>
      <c r="V369" s="75">
        <f t="shared" ref="V369" si="753">U369*(1+V370)</f>
        <v>3685.0579413619444</v>
      </c>
      <c r="W369" s="75">
        <f t="shared" ref="W369" si="754">V369*(1+W370)</f>
        <v>4913.5444833898637</v>
      </c>
      <c r="X369" s="75">
        <f t="shared" ref="X369" si="755">W369*(1+X370)</f>
        <v>6711.1998104189943</v>
      </c>
      <c r="Y369" s="135" t="s">
        <v>4</v>
      </c>
    </row>
    <row r="370" spans="2:25" ht="15" customHeight="1" outlineLevel="3">
      <c r="B370" s="6" t="s">
        <v>27</v>
      </c>
      <c r="C370" s="1" t="s">
        <v>21</v>
      </c>
      <c r="D370" s="72"/>
      <c r="E370" s="72"/>
      <c r="F370" s="72"/>
      <c r="G370" s="72"/>
      <c r="H370" s="72"/>
      <c r="I370" s="72"/>
      <c r="J370" s="72"/>
      <c r="K370" s="72"/>
      <c r="L370" s="72"/>
      <c r="M370" s="72"/>
      <c r="N370" s="24" t="str">
        <f>IFERROR(N369/M369-1,"n.m.")</f>
        <v>n.m.</v>
      </c>
      <c r="O370" s="24">
        <f>IFERROR(O369/N369-1,"n.m.")</f>
        <v>0.41552923855396817</v>
      </c>
      <c r="P370" s="24">
        <f>IFERROR(P369/O369-1,"n.m.")</f>
        <v>0.51237401401574734</v>
      </c>
      <c r="Q370" s="24">
        <f>IFERROR(Q369/P369-1,"n.m.")</f>
        <v>0.37108953613807993</v>
      </c>
      <c r="R370" s="69">
        <f>R376</f>
        <v>0.16561727700254281</v>
      </c>
      <c r="S370" s="69">
        <f t="shared" ref="S370:W370" si="756">S376</f>
        <v>0.19830380339408982</v>
      </c>
      <c r="T370" s="69">
        <f t="shared" si="756"/>
        <v>0.23518900568272749</v>
      </c>
      <c r="U370" s="69">
        <f t="shared" si="756"/>
        <v>0.2850067971839445</v>
      </c>
      <c r="V370" s="69">
        <f t="shared" si="756"/>
        <v>0.3077869946011127</v>
      </c>
      <c r="W370" s="69">
        <f t="shared" si="756"/>
        <v>0.33336966787933009</v>
      </c>
      <c r="X370" s="69">
        <f t="shared" ref="X370" si="757">X376</f>
        <v>0.36585713899733019</v>
      </c>
      <c r="Y370" s="135" t="s">
        <v>4</v>
      </c>
    </row>
    <row r="371" spans="2:25" ht="15" customHeight="1" outlineLevel="3">
      <c r="W371" s="9"/>
      <c r="X371" s="9"/>
      <c r="Y371" s="135" t="s">
        <v>4</v>
      </c>
    </row>
    <row r="372" spans="2:25" ht="15" customHeight="1" outlineLevel="3" collapsed="1">
      <c r="B372" s="7" t="s">
        <v>73</v>
      </c>
      <c r="C372" s="13" t="s">
        <v>39</v>
      </c>
      <c r="D372" s="93"/>
      <c r="E372" s="93"/>
      <c r="F372" s="93"/>
      <c r="G372" s="93"/>
      <c r="H372" s="93"/>
      <c r="I372" s="93"/>
      <c r="J372" s="93"/>
      <c r="K372" s="93"/>
      <c r="L372" s="93"/>
      <c r="M372" s="93"/>
      <c r="N372" s="43">
        <v>674</v>
      </c>
      <c r="O372" s="43">
        <v>856</v>
      </c>
      <c r="P372" s="43">
        <v>1177</v>
      </c>
      <c r="Q372" s="43">
        <v>1459</v>
      </c>
      <c r="R372" s="22">
        <f t="shared" ref="R372:X372" si="758">Q372+R374</f>
        <v>1835</v>
      </c>
      <c r="S372" s="22">
        <f t="shared" si="758"/>
        <v>2310</v>
      </c>
      <c r="T372" s="22">
        <f t="shared" si="758"/>
        <v>2785</v>
      </c>
      <c r="U372" s="22">
        <f t="shared" si="758"/>
        <v>3260</v>
      </c>
      <c r="V372" s="22">
        <f t="shared" si="758"/>
        <v>3879.4</v>
      </c>
      <c r="W372" s="22">
        <f t="shared" si="758"/>
        <v>4616.4859999999999</v>
      </c>
      <c r="X372" s="22">
        <f t="shared" si="758"/>
        <v>5493.61834</v>
      </c>
      <c r="Y372" s="135" t="s">
        <v>4</v>
      </c>
    </row>
    <row r="373" spans="2:25" ht="15" customHeight="1" outlineLevel="3">
      <c r="B373" s="6" t="s">
        <v>27</v>
      </c>
      <c r="C373" s="1" t="s">
        <v>21</v>
      </c>
      <c r="D373" s="72"/>
      <c r="E373" s="72"/>
      <c r="F373" s="72"/>
      <c r="G373" s="72"/>
      <c r="H373" s="72"/>
      <c r="I373" s="72"/>
      <c r="J373" s="72"/>
      <c r="K373" s="72"/>
      <c r="L373" s="72"/>
      <c r="M373" s="72"/>
      <c r="N373" s="24" t="str">
        <f>IFERROR(N372/M372-1,"n.m.")</f>
        <v>n.m.</v>
      </c>
      <c r="O373" s="24">
        <f>IFERROR(O372/N372-1,"n.m.")</f>
        <v>0.27002967359050456</v>
      </c>
      <c r="P373" s="24">
        <f>IFERROR(P372/O372-1,"n.m.")</f>
        <v>0.375</v>
      </c>
      <c r="Q373" s="24">
        <f>IFERROR(Q372/P372-1,"n.m.")</f>
        <v>0.23959218351741707</v>
      </c>
      <c r="R373" s="24">
        <f t="shared" ref="R373" si="759">IFERROR(R372/Q372-1,"n.m.")</f>
        <v>0.25771076079506505</v>
      </c>
      <c r="S373" s="24">
        <f t="shared" ref="S373" si="760">IFERROR(S372/R372-1,"n.m.")</f>
        <v>0.25885558583106261</v>
      </c>
      <c r="T373" s="24">
        <f t="shared" ref="T373" si="761">IFERROR(T372/S372-1,"n.m.")</f>
        <v>0.2056277056277056</v>
      </c>
      <c r="U373" s="24">
        <f t="shared" ref="U373" si="762">IFERROR(U372/T372-1,"n.m.")</f>
        <v>0.1705565529622981</v>
      </c>
      <c r="V373" s="24">
        <f t="shared" ref="V373" si="763">IFERROR(V372/U372-1,"n.m.")</f>
        <v>0.18999999999999995</v>
      </c>
      <c r="W373" s="113">
        <f t="shared" ref="W373" si="764">IFERROR(W372/V372-1,"n.m.")</f>
        <v>0.18999999999999995</v>
      </c>
      <c r="X373" s="113">
        <f t="shared" ref="X373" si="765">IFERROR(X372/W372-1,"n.m.")</f>
        <v>0.18999999999999995</v>
      </c>
      <c r="Y373" s="135" t="s">
        <v>4</v>
      </c>
    </row>
    <row r="374" spans="2:25" ht="15" customHeight="1" outlineLevel="3">
      <c r="B374" s="6" t="s">
        <v>27</v>
      </c>
      <c r="C374" s="1" t="s">
        <v>39</v>
      </c>
      <c r="D374" s="92"/>
      <c r="E374" s="92"/>
      <c r="F374" s="92"/>
      <c r="G374" s="92"/>
      <c r="H374" s="92"/>
      <c r="I374" s="92"/>
      <c r="J374" s="92"/>
      <c r="K374" s="92"/>
      <c r="L374" s="92"/>
      <c r="M374" s="92"/>
      <c r="N374" s="26">
        <f>IFERROR(N372-M372,"n.m.")</f>
        <v>674</v>
      </c>
      <c r="O374" s="26">
        <f>IFERROR(O372-N372,"n.m.")</f>
        <v>182</v>
      </c>
      <c r="P374" s="26">
        <f>IFERROR(P372-O372,"n.m.")</f>
        <v>321</v>
      </c>
      <c r="Q374" s="26">
        <f>IFERROR(Q372-P372,"n.m.")</f>
        <v>282</v>
      </c>
      <c r="R374" s="33">
        <v>376</v>
      </c>
      <c r="S374" s="33">
        <f>WACC!C45+WACC!C41</f>
        <v>475</v>
      </c>
      <c r="T374" s="33">
        <f>WACC!D45+WACC!D41</f>
        <v>475</v>
      </c>
      <c r="U374" s="33">
        <f>WACC!E45+WACC!E41</f>
        <v>475</v>
      </c>
      <c r="V374" s="33">
        <f>U372*19%</f>
        <v>619.4</v>
      </c>
      <c r="W374" s="33">
        <f t="shared" ref="W374:X374" si="766">V372*19%</f>
        <v>737.08600000000001</v>
      </c>
      <c r="X374" s="33">
        <f t="shared" si="766"/>
        <v>877.13234</v>
      </c>
      <c r="Y374" s="135" t="s">
        <v>4</v>
      </c>
    </row>
    <row r="375" spans="2:25" ht="15" customHeight="1" outlineLevel="3">
      <c r="W375" s="9"/>
      <c r="X375" s="9"/>
      <c r="Y375" s="135" t="s">
        <v>4</v>
      </c>
    </row>
    <row r="376" spans="2:25" ht="15" customHeight="1" outlineLevel="3">
      <c r="B376" s="50" t="s">
        <v>74</v>
      </c>
      <c r="C376" s="51" t="s">
        <v>21</v>
      </c>
      <c r="D376" s="56"/>
      <c r="E376" s="56"/>
      <c r="F376" s="56"/>
      <c r="G376" s="56"/>
      <c r="H376" s="56"/>
      <c r="I376" s="56"/>
      <c r="J376" s="56"/>
      <c r="K376" s="56"/>
      <c r="L376" s="56"/>
      <c r="M376" s="56"/>
      <c r="N376" s="56"/>
      <c r="O376" s="55">
        <f>O370</f>
        <v>0.41552923855396817</v>
      </c>
      <c r="P376" s="55">
        <f t="shared" ref="P376:Q376" si="767">P370</f>
        <v>0.51237401401574734</v>
      </c>
      <c r="Q376" s="55">
        <f t="shared" si="767"/>
        <v>0.37108953613807993</v>
      </c>
      <c r="R376" s="108">
        <f>(1+R379)*(1+R382)-1</f>
        <v>0.16561727700254281</v>
      </c>
      <c r="S376" s="108">
        <f t="shared" ref="S376:W376" si="768">(1+S379)*(1+S382)-1</f>
        <v>0.19830380339408982</v>
      </c>
      <c r="T376" s="108">
        <f t="shared" si="768"/>
        <v>0.23518900568272749</v>
      </c>
      <c r="U376" s="108">
        <f t="shared" si="768"/>
        <v>0.2850067971839445</v>
      </c>
      <c r="V376" s="108">
        <f t="shared" si="768"/>
        <v>0.3077869946011127</v>
      </c>
      <c r="W376" s="108">
        <f t="shared" si="768"/>
        <v>0.33336966787933009</v>
      </c>
      <c r="X376" s="108">
        <f t="shared" ref="X376" si="769">(1+X379)*(1+X382)-1</f>
        <v>0.36585713899733019</v>
      </c>
      <c r="Y376" s="135" t="s">
        <v>4</v>
      </c>
    </row>
    <row r="377" spans="2:25" ht="15" customHeight="1" outlineLevel="3">
      <c r="B377" s="49" t="s">
        <v>43</v>
      </c>
      <c r="C377" s="52" t="s">
        <v>21</v>
      </c>
      <c r="D377" s="57"/>
      <c r="E377" s="57"/>
      <c r="F377" s="57"/>
      <c r="G377" s="57"/>
      <c r="H377" s="57"/>
      <c r="I377" s="57"/>
      <c r="J377" s="57"/>
      <c r="K377" s="57"/>
      <c r="L377" s="57"/>
      <c r="M377" s="57"/>
      <c r="N377" s="57"/>
      <c r="O377" s="53" t="s">
        <v>44</v>
      </c>
      <c r="P377" s="53">
        <f t="shared" ref="P377" si="770">(1+P376)*(1+O376)-1</f>
        <v>1.1408096364685192</v>
      </c>
      <c r="Q377" s="53">
        <f t="shared" ref="Q377" si="771">(1+Q376)*(1+P376)-1</f>
        <v>1.0736001853441368</v>
      </c>
      <c r="R377" s="53">
        <f t="shared" ref="R377" si="772">(1+R376)*(1+Q376)-1</f>
        <v>0.59816565163994828</v>
      </c>
      <c r="S377" s="53">
        <f t="shared" ref="S377" si="773">(1+S376)*(1+R376)-1</f>
        <v>0.39676361633400936</v>
      </c>
      <c r="T377" s="53">
        <f t="shared" ref="T377" si="774">(1+T376)*(1+S376)-1</f>
        <v>0.48013168342017631</v>
      </c>
      <c r="U377" s="53">
        <f t="shared" ref="U377" si="775">(1+U376)*(1+T376)-1</f>
        <v>0.58722626810918266</v>
      </c>
      <c r="V377" s="53">
        <f t="shared" ref="V377" si="776">(1+V376)*(1+U376)-1</f>
        <v>0.68051517733119238</v>
      </c>
      <c r="W377" s="53">
        <f t="shared" ref="W377" si="777">(1+W376)*(1+V376)-1</f>
        <v>0.74376351064819279</v>
      </c>
      <c r="X377" s="53">
        <f t="shared" ref="X377" si="778">(1+X376)*(1+W376)-1</f>
        <v>0.82119247979548216</v>
      </c>
      <c r="Y377" s="135" t="s">
        <v>4</v>
      </c>
    </row>
    <row r="378" spans="2:25" ht="15" customHeight="1" outlineLevel="3">
      <c r="W378" s="9"/>
      <c r="X378" s="9"/>
      <c r="Y378" s="135" t="s">
        <v>4</v>
      </c>
    </row>
    <row r="379" spans="2:25" ht="15" customHeight="1" outlineLevel="3">
      <c r="B379" s="17" t="s">
        <v>45</v>
      </c>
      <c r="C379" s="15" t="s">
        <v>21</v>
      </c>
      <c r="D379" s="91"/>
      <c r="E379" s="91"/>
      <c r="F379" s="91"/>
      <c r="G379" s="91"/>
      <c r="H379" s="91"/>
      <c r="I379" s="91"/>
      <c r="J379" s="91"/>
      <c r="K379" s="91"/>
      <c r="L379" s="91"/>
      <c r="M379" s="91"/>
      <c r="N379" s="64">
        <v>0.27300000000000002</v>
      </c>
      <c r="O379" s="64">
        <v>0.28399999999999997</v>
      </c>
      <c r="P379" s="64">
        <v>0.22500000000000001</v>
      </c>
      <c r="Q379" s="64">
        <v>0.14799999999999999</v>
      </c>
      <c r="R379" s="68">
        <v>8.5000000000000006E-2</v>
      </c>
      <c r="S379" s="68">
        <f>R379*(1+AVERAGE($N$379:Q379))</f>
        <v>0.10476250000000001</v>
      </c>
      <c r="T379" s="68">
        <f>S379*(1+AVERAGE($N$379:R379))</f>
        <v>0.12602928750000003</v>
      </c>
      <c r="U379" s="68">
        <f>T379*(1+AVERAGE($N$379:S379))</f>
        <v>0.14954976584070315</v>
      </c>
      <c r="V379" s="68">
        <f>U379*(1+3%)</f>
        <v>0.15403625881592425</v>
      </c>
      <c r="W379" s="68">
        <f t="shared" ref="W379:X379" si="779">V379*(1+3%)</f>
        <v>0.15865734658040198</v>
      </c>
      <c r="X379" s="68">
        <f t="shared" si="779"/>
        <v>0.16341706697781405</v>
      </c>
      <c r="Y379" s="68">
        <v>0.01</v>
      </c>
    </row>
    <row r="380" spans="2:25" ht="15" customHeight="1" outlineLevel="3">
      <c r="B380" s="58" t="s">
        <v>43</v>
      </c>
      <c r="C380" s="52" t="s">
        <v>21</v>
      </c>
      <c r="D380" s="72"/>
      <c r="E380" s="72"/>
      <c r="F380" s="72"/>
      <c r="G380" s="72"/>
      <c r="H380" s="72"/>
      <c r="I380" s="72"/>
      <c r="J380" s="72"/>
      <c r="K380" s="72"/>
      <c r="L380" s="72"/>
      <c r="M380" s="72"/>
      <c r="N380" s="53" t="s">
        <v>44</v>
      </c>
      <c r="O380" s="53">
        <f t="shared" ref="O380" si="780">(1+O379)*(1+N379)-1</f>
        <v>0.63453200000000032</v>
      </c>
      <c r="P380" s="53">
        <f t="shared" ref="P380" si="781">(1+P379)*(1+O379)-1</f>
        <v>0.57290000000000019</v>
      </c>
      <c r="Q380" s="53">
        <f t="shared" ref="Q380" si="782">(1+Q379)*(1+P379)-1</f>
        <v>0.40629999999999988</v>
      </c>
      <c r="R380" s="53">
        <f t="shared" ref="R380" si="783">(1+R379)*(1+Q379)-1</f>
        <v>0.24557999999999991</v>
      </c>
      <c r="S380" s="53">
        <f t="shared" ref="S380" si="784">(1+S379)*(1+R379)-1</f>
        <v>0.19866731250000003</v>
      </c>
      <c r="T380" s="53">
        <f t="shared" ref="T380" si="785">(1+T379)*(1+S379)-1</f>
        <v>0.24399493073171885</v>
      </c>
      <c r="U380" s="53">
        <f t="shared" ref="U380" si="786">(1+U379)*(1+T379)-1</f>
        <v>0.29442670377539892</v>
      </c>
      <c r="V380" s="53">
        <f t="shared" ref="V380" si="787">(1+V379)*(1+U379)-1</f>
        <v>0.32662211109352701</v>
      </c>
      <c r="W380" s="53">
        <f t="shared" ref="W380" si="788">(1+W379)*(1+V379)-1</f>
        <v>0.33713258949723279</v>
      </c>
      <c r="X380" s="53">
        <f t="shared" ref="X380" si="789">(1+X379)*(1+W379)-1</f>
        <v>0.34800173179086791</v>
      </c>
      <c r="Y380" s="135" t="s">
        <v>4</v>
      </c>
    </row>
    <row r="381" spans="2:25" ht="15" customHeight="1" outlineLevel="3">
      <c r="W381" s="9"/>
      <c r="X381" s="9"/>
      <c r="Y381" s="135" t="s">
        <v>4</v>
      </c>
    </row>
    <row r="382" spans="2:25" ht="15" customHeight="1" outlineLevel="3">
      <c r="B382" s="6" t="s">
        <v>55</v>
      </c>
      <c r="C382" s="1" t="s">
        <v>21</v>
      </c>
      <c r="D382" s="72"/>
      <c r="E382" s="72"/>
      <c r="F382" s="72"/>
      <c r="G382" s="72"/>
      <c r="H382" s="72"/>
      <c r="I382" s="72"/>
      <c r="J382" s="72"/>
      <c r="K382" s="72"/>
      <c r="L382" s="72"/>
      <c r="M382" s="72"/>
      <c r="N382" s="72"/>
      <c r="O382" s="23">
        <f>(1+O376)/(1+O379)-1</f>
        <v>0.10243710167754538</v>
      </c>
      <c r="P382" s="23">
        <f t="shared" ref="P382:Q382" si="790">(1+P376)/(1+P379)-1</f>
        <v>0.23459103184958963</v>
      </c>
      <c r="Q382" s="23">
        <f t="shared" si="790"/>
        <v>0.19432886423177709</v>
      </c>
      <c r="R382" s="23">
        <f>R383*R373</f>
        <v>7.4301637790361932E-2</v>
      </c>
      <c r="S382" s="23">
        <f t="shared" ref="S382" si="791">S383*S373</f>
        <v>8.4670961762451064E-2</v>
      </c>
      <c r="T382" s="23">
        <f t="shared" ref="T382" si="792">T383*T373</f>
        <v>9.6942166064865706E-2</v>
      </c>
      <c r="U382" s="23">
        <f t="shared" ref="U382" si="793">U383*U373</f>
        <v>0.1178348561918737</v>
      </c>
      <c r="V382" s="23">
        <f t="shared" ref="V382" si="794">V383*V373</f>
        <v>0.13322868723634476</v>
      </c>
      <c r="W382" s="23">
        <f t="shared" ref="W382:X382" si="795">W383*W373</f>
        <v>0.15078860183691442</v>
      </c>
      <c r="X382" s="23">
        <f t="shared" si="795"/>
        <v>0.17400472948655515</v>
      </c>
      <c r="Y382" s="135" t="s">
        <v>4</v>
      </c>
    </row>
    <row r="383" spans="2:25" ht="15" customHeight="1" outlineLevel="3">
      <c r="B383" s="59" t="s">
        <v>48</v>
      </c>
      <c r="C383" s="60" t="s">
        <v>21</v>
      </c>
      <c r="D383" s="107"/>
      <c r="E383" s="107"/>
      <c r="F383" s="107"/>
      <c r="G383" s="107"/>
      <c r="H383" s="107"/>
      <c r="I383" s="107"/>
      <c r="J383" s="107"/>
      <c r="K383" s="107"/>
      <c r="L383" s="107"/>
      <c r="M383" s="107"/>
      <c r="N383" s="107"/>
      <c r="O383" s="65">
        <f>O382/O373</f>
        <v>0.37935498093772285</v>
      </c>
      <c r="P383" s="65">
        <f t="shared" ref="P383" si="796">P382/P373</f>
        <v>0.62557608493223904</v>
      </c>
      <c r="Q383" s="65">
        <f t="shared" ref="Q383" si="797">Q382/Q373</f>
        <v>0.81108181986099903</v>
      </c>
      <c r="R383" s="67">
        <f>(Q370+Q369*R379)/(R372-Q372)</f>
        <v>0.28831406791526087</v>
      </c>
      <c r="S383" s="67">
        <f t="shared" ref="S383:W383" si="798">(R370+R369*S379)/(S372-R372)</f>
        <v>0.32709729438757418</v>
      </c>
      <c r="T383" s="67">
        <f t="shared" si="798"/>
        <v>0.47144506023124172</v>
      </c>
      <c r="U383" s="67">
        <f t="shared" si="798"/>
        <v>0.69088436735656444</v>
      </c>
      <c r="V383" s="67">
        <f t="shared" si="798"/>
        <v>0.70120361703339373</v>
      </c>
      <c r="W383" s="67">
        <f t="shared" si="798"/>
        <v>0.79362422019428658</v>
      </c>
      <c r="X383" s="67">
        <f>(W370+W369*X379)/(X372-W372)</f>
        <v>0.91581436571871166</v>
      </c>
      <c r="Y383" s="135" t="s">
        <v>4</v>
      </c>
    </row>
    <row r="384" spans="2:25" ht="15" customHeight="1" outlineLevel="3">
      <c r="Y384" s="135" t="s">
        <v>4</v>
      </c>
    </row>
    <row r="385" spans="2:25" ht="15" customHeight="1" outlineLevel="2">
      <c r="B385" s="6"/>
    </row>
    <row r="386" spans="2:25" ht="15" customHeight="1" outlineLevel="2">
      <c r="B386" s="168" t="s">
        <v>77</v>
      </c>
      <c r="C386" s="166"/>
      <c r="D386" s="167"/>
      <c r="E386" s="167"/>
      <c r="F386" s="167"/>
      <c r="G386" s="167"/>
      <c r="H386" s="167"/>
      <c r="I386" s="167"/>
      <c r="J386" s="167"/>
      <c r="K386" s="167"/>
      <c r="L386" s="167"/>
      <c r="M386" s="167"/>
      <c r="N386" s="167"/>
      <c r="O386" s="167"/>
      <c r="P386" s="167"/>
      <c r="Q386" s="167"/>
      <c r="R386" s="167"/>
      <c r="S386" s="167"/>
      <c r="T386" s="167"/>
      <c r="U386" s="167"/>
      <c r="V386" s="167"/>
      <c r="W386" s="167"/>
      <c r="X386" s="167"/>
      <c r="Y386" s="135" t="s">
        <v>4</v>
      </c>
    </row>
    <row r="387" spans="2:25" ht="15" customHeight="1" outlineLevel="3">
      <c r="Y387" s="135" t="s">
        <v>4</v>
      </c>
    </row>
    <row r="388" spans="2:25" ht="15" customHeight="1" outlineLevel="3">
      <c r="B388" s="7" t="s">
        <v>71</v>
      </c>
      <c r="C388" s="13" t="s">
        <v>26</v>
      </c>
      <c r="D388" s="71"/>
      <c r="E388" s="71"/>
      <c r="F388" s="71"/>
      <c r="G388" s="71"/>
      <c r="H388" s="71"/>
      <c r="I388" s="71"/>
      <c r="J388" s="71"/>
      <c r="K388" s="71"/>
      <c r="L388" s="71"/>
      <c r="M388" s="71"/>
      <c r="N388" s="71"/>
      <c r="O388" s="71"/>
      <c r="P388" s="43">
        <v>15.143085111026764</v>
      </c>
      <c r="Q388" s="43">
        <v>16</v>
      </c>
      <c r="R388" s="75">
        <f>Q388*(1+R389)</f>
        <v>18.731304615384616</v>
      </c>
      <c r="S388" s="75">
        <f t="shared" ref="S388" si="799">R388*(1+S389)</f>
        <v>25.711206449590833</v>
      </c>
      <c r="T388" s="75">
        <f t="shared" ref="T388" si="800">S388*(1+T389)</f>
        <v>29.959351072604175</v>
      </c>
      <c r="U388" s="75">
        <f t="shared" ref="U388" si="801">T388*(1+U389)</f>
        <v>33.426917842371772</v>
      </c>
      <c r="V388" s="75">
        <f t="shared" ref="V388" si="802">U388*(1+V389)</f>
        <v>37.137305722875048</v>
      </c>
      <c r="W388" s="75">
        <f t="shared" ref="W388" si="803">V388*(1+W389)</f>
        <v>40.809442512752938</v>
      </c>
      <c r="X388" s="75">
        <f t="shared" ref="X388" si="804">W388*(1+X389)</f>
        <v>44.844680188413953</v>
      </c>
      <c r="Y388" s="135" t="s">
        <v>4</v>
      </c>
    </row>
    <row r="389" spans="2:25" ht="15" customHeight="1" outlineLevel="3">
      <c r="B389" s="6" t="s">
        <v>27</v>
      </c>
      <c r="C389" s="1" t="s">
        <v>21</v>
      </c>
      <c r="D389" s="72"/>
      <c r="E389" s="72"/>
      <c r="F389" s="72"/>
      <c r="G389" s="72"/>
      <c r="H389" s="72"/>
      <c r="I389" s="72"/>
      <c r="J389" s="72"/>
      <c r="K389" s="72"/>
      <c r="L389" s="72"/>
      <c r="M389" s="72"/>
      <c r="N389" s="72"/>
      <c r="O389" s="72"/>
      <c r="P389" s="24" t="str">
        <f t="shared" ref="P389" si="805">IFERROR(P388/O388-1,"n.m.")</f>
        <v>n.m.</v>
      </c>
      <c r="Q389" s="24">
        <f>IFERROR(Q388/P388-1,"n.m.")</f>
        <v>5.6587867180991847E-2</v>
      </c>
      <c r="R389" s="69">
        <f>R395</f>
        <v>0.17070653846153849</v>
      </c>
      <c r="S389" s="69">
        <f t="shared" ref="S389:W389" si="806">S395</f>
        <v>0.37263297872340417</v>
      </c>
      <c r="T389" s="69">
        <f t="shared" si="806"/>
        <v>0.16522540983606571</v>
      </c>
      <c r="U389" s="69">
        <f t="shared" si="806"/>
        <v>0.11574238578680207</v>
      </c>
      <c r="V389" s="69">
        <f t="shared" si="806"/>
        <v>0.11100000000000021</v>
      </c>
      <c r="W389" s="69">
        <f t="shared" si="806"/>
        <v>9.8880000000000079E-2</v>
      </c>
      <c r="X389" s="69">
        <f t="shared" ref="X389" si="807">X395</f>
        <v>9.8880000000000079E-2</v>
      </c>
      <c r="Y389" s="135" t="s">
        <v>4</v>
      </c>
    </row>
    <row r="390" spans="2:25" ht="15" customHeight="1" outlineLevel="3">
      <c r="W390" s="9"/>
      <c r="X390" s="9"/>
      <c r="Y390" s="135" t="s">
        <v>4</v>
      </c>
    </row>
    <row r="391" spans="2:25" ht="15" customHeight="1" outlineLevel="3" collapsed="1">
      <c r="B391" s="7" t="s">
        <v>73</v>
      </c>
      <c r="C391" s="13" t="s">
        <v>39</v>
      </c>
      <c r="D391" s="93"/>
      <c r="E391" s="93"/>
      <c r="F391" s="93"/>
      <c r="G391" s="93"/>
      <c r="H391" s="93"/>
      <c r="I391" s="93"/>
      <c r="J391" s="93"/>
      <c r="K391" s="93"/>
      <c r="L391" s="93"/>
      <c r="M391" s="93"/>
      <c r="N391" s="93"/>
      <c r="O391" s="93"/>
      <c r="P391" s="43">
        <v>17</v>
      </c>
      <c r="Q391" s="43">
        <v>26</v>
      </c>
      <c r="R391" s="22">
        <f>Q391+R393</f>
        <v>47</v>
      </c>
      <c r="S391" s="22">
        <f t="shared" ref="S391:W391" si="808">R391+S393</f>
        <v>122</v>
      </c>
      <c r="T391" s="22">
        <f t="shared" si="808"/>
        <v>197</v>
      </c>
      <c r="U391" s="22">
        <f t="shared" si="808"/>
        <v>272</v>
      </c>
      <c r="V391" s="22">
        <f t="shared" si="808"/>
        <v>380.8</v>
      </c>
      <c r="W391" s="22">
        <f t="shared" si="808"/>
        <v>533.12</v>
      </c>
      <c r="X391" s="22">
        <f t="shared" ref="X391" si="809">W391+X393</f>
        <v>746.36800000000005</v>
      </c>
      <c r="Y391" s="135" t="s">
        <v>4</v>
      </c>
    </row>
    <row r="392" spans="2:25" ht="15" customHeight="1" outlineLevel="3">
      <c r="B392" s="6" t="s">
        <v>27</v>
      </c>
      <c r="C392" s="1" t="s">
        <v>21</v>
      </c>
      <c r="D392" s="72"/>
      <c r="E392" s="72"/>
      <c r="F392" s="72"/>
      <c r="G392" s="72"/>
      <c r="H392" s="72"/>
      <c r="I392" s="72"/>
      <c r="J392" s="72"/>
      <c r="K392" s="72"/>
      <c r="L392" s="72"/>
      <c r="M392" s="72"/>
      <c r="N392" s="72"/>
      <c r="O392" s="72"/>
      <c r="P392" s="24" t="str">
        <f t="shared" ref="P392" si="810">IFERROR(P391/O391-1,"n.m.")</f>
        <v>n.m.</v>
      </c>
      <c r="Q392" s="24">
        <f>IFERROR(Q391/P391-1,"n.m.")</f>
        <v>0.52941176470588225</v>
      </c>
      <c r="R392" s="24">
        <f t="shared" ref="R392" si="811">IFERROR(R391/Q391-1,"n.m.")</f>
        <v>0.80769230769230771</v>
      </c>
      <c r="S392" s="24">
        <f t="shared" ref="S392" si="812">IFERROR(S391/R391-1,"n.m.")</f>
        <v>1.5957446808510638</v>
      </c>
      <c r="T392" s="24">
        <f t="shared" ref="T392" si="813">IFERROR(T391/S391-1,"n.m.")</f>
        <v>0.61475409836065564</v>
      </c>
      <c r="U392" s="24">
        <f t="shared" ref="U392" si="814">IFERROR(U391/T391-1,"n.m.")</f>
        <v>0.38071065989847708</v>
      </c>
      <c r="V392" s="24">
        <f t="shared" ref="V392" si="815">IFERROR(V391/U391-1,"n.m.")</f>
        <v>0.40000000000000013</v>
      </c>
      <c r="W392" s="113">
        <f t="shared" ref="W392" si="816">IFERROR(W391/V391-1,"n.m.")</f>
        <v>0.39999999999999991</v>
      </c>
      <c r="X392" s="113">
        <f t="shared" ref="X392" si="817">IFERROR(X391/W391-1,"n.m.")</f>
        <v>0.40000000000000013</v>
      </c>
      <c r="Y392" s="135" t="s">
        <v>4</v>
      </c>
    </row>
    <row r="393" spans="2:25" ht="15" customHeight="1" outlineLevel="3">
      <c r="B393" s="6" t="s">
        <v>27</v>
      </c>
      <c r="C393" s="1" t="s">
        <v>39</v>
      </c>
      <c r="D393" s="92"/>
      <c r="E393" s="92"/>
      <c r="F393" s="92"/>
      <c r="G393" s="92"/>
      <c r="H393" s="92"/>
      <c r="I393" s="92"/>
      <c r="J393" s="92"/>
      <c r="K393" s="92"/>
      <c r="L393" s="92"/>
      <c r="M393" s="92"/>
      <c r="N393" s="92"/>
      <c r="O393" s="92"/>
      <c r="P393" s="26">
        <f t="shared" ref="P393" si="818">IFERROR(P391-O391,"n.m.")</f>
        <v>17</v>
      </c>
      <c r="Q393" s="26">
        <f>IFERROR(Q391-P391,"n.m.")</f>
        <v>9</v>
      </c>
      <c r="R393" s="33">
        <v>21</v>
      </c>
      <c r="S393" s="33">
        <f>WACC!C47+WACC!C43</f>
        <v>75</v>
      </c>
      <c r="T393" s="33">
        <f>WACC!D47+WACC!D43</f>
        <v>75</v>
      </c>
      <c r="U393" s="33">
        <f>WACC!E47+WACC!E43</f>
        <v>75</v>
      </c>
      <c r="V393" s="33">
        <f>U391*0.4</f>
        <v>108.80000000000001</v>
      </c>
      <c r="W393" s="33">
        <f>V391*0.4</f>
        <v>152.32000000000002</v>
      </c>
      <c r="X393" s="33">
        <f>W391*0.4</f>
        <v>213.24800000000002</v>
      </c>
      <c r="Y393" s="135" t="s">
        <v>4</v>
      </c>
    </row>
    <row r="394" spans="2:25" ht="15" customHeight="1" outlineLevel="3">
      <c r="W394" s="9"/>
      <c r="X394" s="9"/>
      <c r="Y394" s="135" t="s">
        <v>4</v>
      </c>
    </row>
    <row r="395" spans="2:25" ht="15" customHeight="1" outlineLevel="3">
      <c r="B395" s="50" t="s">
        <v>74</v>
      </c>
      <c r="C395" s="51" t="s">
        <v>21</v>
      </c>
      <c r="D395" s="56"/>
      <c r="E395" s="56"/>
      <c r="F395" s="56"/>
      <c r="G395" s="56"/>
      <c r="H395" s="56"/>
      <c r="I395" s="56"/>
      <c r="J395" s="56"/>
      <c r="K395" s="56"/>
      <c r="L395" s="56"/>
      <c r="M395" s="56"/>
      <c r="N395" s="56"/>
      <c r="O395" s="56"/>
      <c r="P395" s="56"/>
      <c r="Q395" s="55">
        <f t="shared" ref="Q395" si="819">Q389</f>
        <v>5.6587867180991847E-2</v>
      </c>
      <c r="R395" s="108">
        <f>(1+R398)*(1+R401)-1</f>
        <v>0.17070653846153849</v>
      </c>
      <c r="S395" s="108">
        <f t="shared" ref="S395:W395" si="820">(1+S398)*(1+S401)-1</f>
        <v>0.37263297872340417</v>
      </c>
      <c r="T395" s="108">
        <f t="shared" si="820"/>
        <v>0.16522540983606571</v>
      </c>
      <c r="U395" s="108">
        <f t="shared" si="820"/>
        <v>0.11574238578680207</v>
      </c>
      <c r="V395" s="108">
        <f t="shared" si="820"/>
        <v>0.11100000000000021</v>
      </c>
      <c r="W395" s="108">
        <f t="shared" si="820"/>
        <v>9.8880000000000079E-2</v>
      </c>
      <c r="X395" s="108">
        <f t="shared" ref="X395" si="821">(1+X398)*(1+X401)-1</f>
        <v>9.8880000000000079E-2</v>
      </c>
      <c r="Y395" s="135" t="s">
        <v>4</v>
      </c>
    </row>
    <row r="396" spans="2:25" ht="15" customHeight="1" outlineLevel="3">
      <c r="B396" s="49" t="s">
        <v>43</v>
      </c>
      <c r="C396" s="52" t="s">
        <v>21</v>
      </c>
      <c r="D396" s="57"/>
      <c r="E396" s="57"/>
      <c r="F396" s="57"/>
      <c r="G396" s="57"/>
      <c r="H396" s="57"/>
      <c r="I396" s="57"/>
      <c r="J396" s="57"/>
      <c r="K396" s="57"/>
      <c r="L396" s="57"/>
      <c r="M396" s="57"/>
      <c r="N396" s="57"/>
      <c r="O396" s="57"/>
      <c r="P396" s="57"/>
      <c r="Q396" s="53">
        <f t="shared" ref="Q396" si="822">(1+Q395)*(1+P395)-1</f>
        <v>5.6587867180991847E-2</v>
      </c>
      <c r="R396" s="53">
        <f t="shared" ref="R396" si="823">(1+R395)*(1+Q395)-1</f>
        <v>0.23695432456791865</v>
      </c>
      <c r="S396" s="53">
        <f t="shared" ref="S396" si="824">(1+S395)*(1+R395)-1</f>
        <v>0.60695040309942705</v>
      </c>
      <c r="T396" s="53">
        <f t="shared" ref="T396" si="825">(1+T395)*(1+S395)-1</f>
        <v>0.59942682518747836</v>
      </c>
      <c r="U396" s="53">
        <f t="shared" ref="U396" si="826">(1+U395)*(1+T395)-1</f>
        <v>0.30009137874989622</v>
      </c>
      <c r="V396" s="53">
        <f t="shared" ref="V396" si="827">(1+V395)*(1+U395)-1</f>
        <v>0.23958979060913732</v>
      </c>
      <c r="W396" s="53">
        <f t="shared" ref="W396" si="828">(1+W395)*(1+V395)-1</f>
        <v>0.22085568000000033</v>
      </c>
      <c r="X396" s="53">
        <f t="shared" ref="X396" si="829">(1+X395)*(1+W395)-1</f>
        <v>0.20753725440000026</v>
      </c>
      <c r="Y396" s="135" t="s">
        <v>4</v>
      </c>
    </row>
    <row r="397" spans="2:25" ht="15" customHeight="1" outlineLevel="3">
      <c r="W397" s="9"/>
      <c r="X397" s="9"/>
      <c r="Y397" s="135" t="s">
        <v>4</v>
      </c>
    </row>
    <row r="398" spans="2:25" ht="15" customHeight="1" outlineLevel="3">
      <c r="B398" s="17" t="s">
        <v>45</v>
      </c>
      <c r="C398" s="15" t="s">
        <v>21</v>
      </c>
      <c r="D398" s="91"/>
      <c r="E398" s="91"/>
      <c r="F398" s="91"/>
      <c r="G398" s="91"/>
      <c r="H398" s="91"/>
      <c r="I398" s="91"/>
      <c r="J398" s="91"/>
      <c r="K398" s="91"/>
      <c r="L398" s="91"/>
      <c r="M398" s="91"/>
      <c r="N398" s="91"/>
      <c r="O398" s="91"/>
      <c r="P398" s="64">
        <v>-0.03</v>
      </c>
      <c r="Q398" s="64">
        <v>-4.2999999999999997E-2</v>
      </c>
      <c r="R398" s="68">
        <v>0.01</v>
      </c>
      <c r="S398" s="68">
        <v>0.01</v>
      </c>
      <c r="T398" s="68">
        <v>0.01</v>
      </c>
      <c r="U398" s="68">
        <v>0.01</v>
      </c>
      <c r="V398" s="68">
        <v>0.01</v>
      </c>
      <c r="W398" s="68">
        <v>0.01</v>
      </c>
      <c r="X398" s="68">
        <v>0.01</v>
      </c>
      <c r="Y398" s="68">
        <v>0.01</v>
      </c>
    </row>
    <row r="399" spans="2:25" ht="15" customHeight="1" outlineLevel="3">
      <c r="B399" s="58" t="s">
        <v>43</v>
      </c>
      <c r="C399" s="52" t="s">
        <v>21</v>
      </c>
      <c r="D399" s="72"/>
      <c r="E399" s="72"/>
      <c r="F399" s="72"/>
      <c r="G399" s="72"/>
      <c r="H399" s="72"/>
      <c r="I399" s="72"/>
      <c r="J399" s="72"/>
      <c r="K399" s="72"/>
      <c r="L399" s="72"/>
      <c r="M399" s="72"/>
      <c r="N399" s="72"/>
      <c r="O399" s="72"/>
      <c r="P399" s="53" t="s">
        <v>44</v>
      </c>
      <c r="Q399" s="53">
        <f t="shared" ref="Q399" si="830">(1+Q398)*(1+P398)-1</f>
        <v>-7.1710000000000051E-2</v>
      </c>
      <c r="R399" s="53">
        <f t="shared" ref="R399" si="831">(1+R398)*(1+Q398)-1</f>
        <v>-3.3430000000000071E-2</v>
      </c>
      <c r="S399" s="53">
        <f t="shared" ref="S399" si="832">(1+S398)*(1+R398)-1</f>
        <v>2.0100000000000007E-2</v>
      </c>
      <c r="T399" s="53">
        <f t="shared" ref="T399" si="833">(1+T398)*(1+S398)-1</f>
        <v>2.0100000000000007E-2</v>
      </c>
      <c r="U399" s="53">
        <f t="shared" ref="U399" si="834">(1+U398)*(1+T398)-1</f>
        <v>2.0100000000000007E-2</v>
      </c>
      <c r="V399" s="53">
        <f t="shared" ref="V399" si="835">(1+V398)*(1+U398)-1</f>
        <v>2.0100000000000007E-2</v>
      </c>
      <c r="W399" s="53">
        <f t="shared" ref="W399" si="836">(1+W398)*(1+V398)-1</f>
        <v>2.0100000000000007E-2</v>
      </c>
      <c r="X399" s="53">
        <f t="shared" ref="X399" si="837">(1+X398)*(1+W398)-1</f>
        <v>2.0100000000000007E-2</v>
      </c>
      <c r="Y399" s="135" t="s">
        <v>4</v>
      </c>
    </row>
    <row r="400" spans="2:25" ht="15" customHeight="1" outlineLevel="3">
      <c r="W400" s="9"/>
      <c r="X400" s="9"/>
      <c r="Y400" s="135" t="s">
        <v>4</v>
      </c>
    </row>
    <row r="401" spans="1:25" ht="15" customHeight="1" outlineLevel="3">
      <c r="B401" s="6" t="s">
        <v>55</v>
      </c>
      <c r="C401" s="1" t="s">
        <v>21</v>
      </c>
      <c r="D401" s="72"/>
      <c r="E401" s="72"/>
      <c r="F401" s="72"/>
      <c r="G401" s="72"/>
      <c r="H401" s="72"/>
      <c r="I401" s="72"/>
      <c r="J401" s="72"/>
      <c r="K401" s="72"/>
      <c r="L401" s="72"/>
      <c r="M401" s="72"/>
      <c r="N401" s="72"/>
      <c r="O401" s="72"/>
      <c r="P401" s="72"/>
      <c r="Q401" s="23">
        <f t="shared" ref="Q401" si="838">(1+Q395)/(1+Q398)-1</f>
        <v>0.10406255713792256</v>
      </c>
      <c r="R401" s="23">
        <f>R402*R392</f>
        <v>0.15911538461538463</v>
      </c>
      <c r="S401" s="23">
        <f t="shared" ref="S401" si="839">S402*S392</f>
        <v>0.35904255319148937</v>
      </c>
      <c r="T401" s="23">
        <f t="shared" ref="T401" si="840">T402*T392</f>
        <v>0.15368852459016391</v>
      </c>
      <c r="U401" s="23">
        <f t="shared" ref="U401" si="841">U402*U392</f>
        <v>0.1046954314720812</v>
      </c>
      <c r="V401" s="23">
        <f t="shared" ref="V401" si="842">V402*V392</f>
        <v>0.10000000000000003</v>
      </c>
      <c r="W401" s="23">
        <f t="shared" ref="W401:X401" si="843">W402*W392</f>
        <v>8.7999999999999981E-2</v>
      </c>
      <c r="X401" s="23">
        <f t="shared" si="843"/>
        <v>8.8000000000000037E-2</v>
      </c>
      <c r="Y401" s="135" t="s">
        <v>4</v>
      </c>
    </row>
    <row r="402" spans="1:25" ht="15" customHeight="1" outlineLevel="3">
      <c r="B402" s="59" t="s">
        <v>48</v>
      </c>
      <c r="C402" s="60" t="s">
        <v>21</v>
      </c>
      <c r="D402" s="107"/>
      <c r="E402" s="107"/>
      <c r="F402" s="107"/>
      <c r="G402" s="107"/>
      <c r="H402" s="107"/>
      <c r="I402" s="107"/>
      <c r="J402" s="107"/>
      <c r="K402" s="107"/>
      <c r="L402" s="107"/>
      <c r="M402" s="107"/>
      <c r="N402" s="107"/>
      <c r="O402" s="107"/>
      <c r="P402" s="107"/>
      <c r="Q402" s="65">
        <f t="shared" ref="Q402" si="844">Q401/Q392</f>
        <v>0.19656260792718711</v>
      </c>
      <c r="R402" s="67">
        <v>0.19700000000000001</v>
      </c>
      <c r="S402" s="67">
        <v>0.22500000000000001</v>
      </c>
      <c r="T402" s="67">
        <v>0.25</v>
      </c>
      <c r="U402" s="67">
        <v>0.27500000000000002</v>
      </c>
      <c r="V402" s="67">
        <v>0.25</v>
      </c>
      <c r="W402" s="67">
        <v>0.22</v>
      </c>
      <c r="X402" s="67">
        <v>0.22</v>
      </c>
      <c r="Y402" s="135" t="s">
        <v>4</v>
      </c>
    </row>
    <row r="403" spans="1:25" ht="15" customHeight="1" outlineLevel="3">
      <c r="Y403" s="135" t="s">
        <v>4</v>
      </c>
    </row>
    <row r="404" spans="1:25" ht="15" customHeight="1" outlineLevel="2"/>
    <row r="405" spans="1:25" ht="15" customHeight="1" outlineLevel="1">
      <c r="Y405" s="135" t="s">
        <v>4</v>
      </c>
    </row>
    <row r="406" spans="1:25" ht="15" customHeight="1">
      <c r="H406" s="23"/>
      <c r="I406" s="23"/>
      <c r="J406" s="23"/>
      <c r="K406" s="23"/>
      <c r="L406" s="23"/>
      <c r="M406" s="23"/>
      <c r="N406" s="23"/>
      <c r="O406" s="23"/>
      <c r="P406" s="23"/>
      <c r="Q406" s="23"/>
      <c r="R406" s="23"/>
      <c r="S406" s="23"/>
      <c r="T406" s="23"/>
      <c r="U406" s="23"/>
      <c r="V406" s="23"/>
      <c r="W406" s="23"/>
      <c r="X406" s="23"/>
      <c r="Y406" s="135" t="s">
        <v>4</v>
      </c>
    </row>
    <row r="407" spans="1:25" ht="15" customHeight="1">
      <c r="A407" s="1" t="s">
        <v>4</v>
      </c>
      <c r="B407" s="148" t="s">
        <v>78</v>
      </c>
      <c r="C407" s="149" t="s">
        <v>11</v>
      </c>
      <c r="D407" s="150">
        <v>2011</v>
      </c>
      <c r="E407" s="150">
        <v>2012</v>
      </c>
      <c r="F407" s="150">
        <v>2013</v>
      </c>
      <c r="G407" s="150">
        <v>2014</v>
      </c>
      <c r="H407" s="150">
        <v>2015</v>
      </c>
      <c r="I407" s="150">
        <v>2016</v>
      </c>
      <c r="J407" s="150">
        <v>2017</v>
      </c>
      <c r="K407" s="150">
        <v>2018</v>
      </c>
      <c r="L407" s="150">
        <v>2019</v>
      </c>
      <c r="M407" s="150">
        <v>2020</v>
      </c>
      <c r="N407" s="150">
        <v>2021</v>
      </c>
      <c r="O407" s="150">
        <v>2022</v>
      </c>
      <c r="P407" s="150">
        <v>2023</v>
      </c>
      <c r="Q407" s="150">
        <v>2024</v>
      </c>
      <c r="R407" s="151">
        <v>2025</v>
      </c>
      <c r="S407" s="151" t="s">
        <v>12</v>
      </c>
      <c r="T407" s="151" t="s">
        <v>13</v>
      </c>
      <c r="U407" s="151" t="s">
        <v>14</v>
      </c>
      <c r="V407" s="151" t="s">
        <v>15</v>
      </c>
      <c r="W407" s="152" t="s">
        <v>16</v>
      </c>
      <c r="X407" s="151" t="s">
        <v>17</v>
      </c>
      <c r="Y407" s="135" t="s">
        <v>4</v>
      </c>
    </row>
    <row r="408" spans="1:25" ht="15" customHeight="1" outlineLevel="1">
      <c r="G408" s="25"/>
      <c r="H408" s="25"/>
      <c r="I408" s="25"/>
      <c r="J408" s="25"/>
      <c r="K408" s="25"/>
      <c r="L408" s="25"/>
      <c r="M408" s="25"/>
      <c r="Y408" s="135" t="s">
        <v>4</v>
      </c>
    </row>
    <row r="409" spans="1:25" ht="15" customHeight="1" outlineLevel="1">
      <c r="B409" s="7" t="s">
        <v>35</v>
      </c>
      <c r="C409" s="13" t="s">
        <v>26</v>
      </c>
      <c r="D409" s="71"/>
      <c r="E409" s="71"/>
      <c r="F409" s="71"/>
      <c r="G409" s="71"/>
      <c r="H409" s="71"/>
      <c r="I409" s="71"/>
      <c r="J409" s="71"/>
      <c r="K409" s="71"/>
      <c r="L409" s="71"/>
      <c r="M409" s="71"/>
      <c r="N409" s="75">
        <f>N412+N416+N420+N424+N428</f>
        <v>35494.713378153028</v>
      </c>
      <c r="O409" s="75">
        <f t="shared" ref="O409:W409" si="845">O412+O416+O420+O424+O428</f>
        <v>38671.225010058231</v>
      </c>
      <c r="P409" s="75">
        <f t="shared" si="845"/>
        <v>42893.51727160353</v>
      </c>
      <c r="Q409" s="75">
        <f t="shared" si="845"/>
        <v>44476</v>
      </c>
      <c r="R409" s="75">
        <f t="shared" si="845"/>
        <v>47279.097357312618</v>
      </c>
      <c r="S409" s="75">
        <f t="shared" si="845"/>
        <v>51349.278643399535</v>
      </c>
      <c r="T409" s="75">
        <f t="shared" si="845"/>
        <v>56824.827351603526</v>
      </c>
      <c r="U409" s="75">
        <f t="shared" si="845"/>
        <v>62932.800042322568</v>
      </c>
      <c r="V409" s="75">
        <f t="shared" si="845"/>
        <v>70502.713704360445</v>
      </c>
      <c r="W409" s="75">
        <f t="shared" si="845"/>
        <v>80071.034850353695</v>
      </c>
      <c r="X409" s="75">
        <f t="shared" ref="X409" si="846">X412+X416+X420+X424+X428</f>
        <v>92688.467134027655</v>
      </c>
      <c r="Y409" s="135" t="s">
        <v>4</v>
      </c>
    </row>
    <row r="410" spans="1:25" ht="15" customHeight="1" outlineLevel="1">
      <c r="B410" s="6" t="s">
        <v>27</v>
      </c>
      <c r="C410" s="1" t="s">
        <v>21</v>
      </c>
      <c r="D410" s="72"/>
      <c r="E410" s="72"/>
      <c r="F410" s="72"/>
      <c r="G410" s="72"/>
      <c r="H410" s="72"/>
      <c r="I410" s="72"/>
      <c r="J410" s="72"/>
      <c r="K410" s="72"/>
      <c r="L410" s="72"/>
      <c r="M410" s="72"/>
      <c r="N410" s="24" t="str">
        <f>IFERROR(N409/M409-1,"n.m.")</f>
        <v>n.m.</v>
      </c>
      <c r="O410" s="24">
        <f>IFERROR(O409/N409-1,"n.m.")</f>
        <v>8.9492528029831764E-2</v>
      </c>
      <c r="P410" s="24">
        <f>IFERROR(P409/O409-1,"n.m.")</f>
        <v>0.10918434211605921</v>
      </c>
      <c r="Q410" s="24">
        <f>IFERROR(Q409/P409-1,"n.m.")</f>
        <v>3.6893284324904574E-2</v>
      </c>
      <c r="R410" s="24">
        <f t="shared" ref="R410" si="847">IFERROR(R409/Q409-1,"n.m.")</f>
        <v>6.3024942830124608E-2</v>
      </c>
      <c r="S410" s="24">
        <f t="shared" ref="S410" si="848">IFERROR(S409/R409-1,"n.m.")</f>
        <v>8.608838817980069E-2</v>
      </c>
      <c r="T410" s="24">
        <f t="shared" ref="T410" si="849">IFERROR(T409/S409-1,"n.m.")</f>
        <v>0.10663341049500441</v>
      </c>
      <c r="U410" s="24">
        <f t="shared" ref="U410" si="850">IFERROR(U409/T409-1,"n.m.")</f>
        <v>0.10748774744049761</v>
      </c>
      <c r="V410" s="24">
        <f t="shared" ref="V410" si="851">IFERROR(V409/U409-1,"n.m.")</f>
        <v>0.12028566434271282</v>
      </c>
      <c r="W410" s="113">
        <f t="shared" ref="W410:X410" si="852">IFERROR(W409/V409-1,"n.m.")</f>
        <v>0.13571564331716601</v>
      </c>
      <c r="X410" s="113">
        <f t="shared" si="852"/>
        <v>0.15757798443912852</v>
      </c>
      <c r="Y410" s="135" t="s">
        <v>4</v>
      </c>
    </row>
    <row r="411" spans="1:25" ht="15" customHeight="1" outlineLevel="2">
      <c r="O411" s="25"/>
      <c r="P411" s="25"/>
      <c r="Q411" s="25"/>
      <c r="R411" s="25"/>
      <c r="S411" s="25"/>
      <c r="T411" s="25"/>
      <c r="U411" s="25"/>
      <c r="Y411" s="135" t="s">
        <v>4</v>
      </c>
    </row>
    <row r="412" spans="1:25" ht="15" customHeight="1" outlineLevel="2">
      <c r="B412" s="17" t="s">
        <v>59</v>
      </c>
      <c r="C412" s="15" t="s">
        <v>26</v>
      </c>
      <c r="D412" s="172"/>
      <c r="E412" s="61"/>
      <c r="F412" s="61"/>
      <c r="G412" s="61"/>
      <c r="H412" s="61"/>
      <c r="I412" s="61"/>
      <c r="J412" s="61"/>
      <c r="K412" s="61"/>
      <c r="L412" s="61"/>
      <c r="M412" s="61"/>
      <c r="N412" s="31">
        <f t="shared" ref="N412:X412" si="853">N107</f>
        <v>10475</v>
      </c>
      <c r="O412" s="31">
        <f t="shared" si="853"/>
        <v>10747</v>
      </c>
      <c r="P412" s="31">
        <f t="shared" si="853"/>
        <v>11474.292064313333</v>
      </c>
      <c r="Q412" s="31">
        <f t="shared" si="853"/>
        <v>11484</v>
      </c>
      <c r="R412" s="31">
        <f t="shared" si="853"/>
        <v>11499.427040525235</v>
      </c>
      <c r="S412" s="31">
        <f t="shared" si="853"/>
        <v>11844.067565554376</v>
      </c>
      <c r="T412" s="31">
        <f t="shared" si="853"/>
        <v>12242.456756038444</v>
      </c>
      <c r="U412" s="31">
        <f t="shared" si="853"/>
        <v>12677.876983679069</v>
      </c>
      <c r="V412" s="31">
        <f t="shared" si="853"/>
        <v>13134.371920716207</v>
      </c>
      <c r="W412" s="31">
        <f t="shared" si="853"/>
        <v>13613.217104406081</v>
      </c>
      <c r="X412" s="31">
        <f t="shared" si="853"/>
        <v>14264.58995526437</v>
      </c>
      <c r="Y412" s="135" t="s">
        <v>4</v>
      </c>
    </row>
    <row r="413" spans="1:25" ht="15" customHeight="1" outlineLevel="2">
      <c r="B413" s="18" t="s">
        <v>27</v>
      </c>
      <c r="C413" s="1" t="s">
        <v>21</v>
      </c>
      <c r="D413" s="62"/>
      <c r="E413" s="62"/>
      <c r="F413" s="62"/>
      <c r="G413" s="62"/>
      <c r="H413" s="62"/>
      <c r="I413" s="62"/>
      <c r="J413" s="62"/>
      <c r="K413" s="62"/>
      <c r="L413" s="62"/>
      <c r="M413" s="62"/>
      <c r="N413" s="24" t="str">
        <f>IFERROR(N412/M412-1,"n.m.")</f>
        <v>n.m.</v>
      </c>
      <c r="O413" s="24">
        <f>IFERROR(O412/N412-1,"n.m.")</f>
        <v>2.5966587112171924E-2</v>
      </c>
      <c r="P413" s="24">
        <f>IFERROR(P412/O412-1,"n.m.")</f>
        <v>6.7673961506776958E-2</v>
      </c>
      <c r="Q413" s="24">
        <f>IFERROR(Q412/P412-1,"n.m.")</f>
        <v>8.4605966383399789E-4</v>
      </c>
      <c r="R413" s="24">
        <f t="shared" ref="R413" si="854">IFERROR(R412/Q412-1,"n.m.")</f>
        <v>1.3433507946043477E-3</v>
      </c>
      <c r="S413" s="24">
        <f t="shared" ref="S413" si="855">IFERROR(S412/R412-1,"n.m.")</f>
        <v>2.9970234500779069E-2</v>
      </c>
      <c r="T413" s="24">
        <f t="shared" ref="T413" si="856">IFERROR(T412/S412-1,"n.m.")</f>
        <v>3.363618016184633E-2</v>
      </c>
      <c r="U413" s="24">
        <f t="shared" ref="U413" si="857">IFERROR(U412/T412-1,"n.m.")</f>
        <v>3.5566409285118228E-2</v>
      </c>
      <c r="V413" s="24">
        <f t="shared" ref="V413" si="858">IFERROR(V412/U412-1,"n.m.")</f>
        <v>3.6007206697525884E-2</v>
      </c>
      <c r="W413" s="113">
        <f t="shared" ref="W413:X413" si="859">IFERROR(W412/V412-1,"n.m.")</f>
        <v>3.6457410112973543E-2</v>
      </c>
      <c r="X413" s="113">
        <f t="shared" si="859"/>
        <v>4.7848561134565593E-2</v>
      </c>
      <c r="Y413" s="135" t="s">
        <v>4</v>
      </c>
    </row>
    <row r="414" spans="1:25" ht="15" customHeight="1" outlineLevel="2">
      <c r="B414" s="18" t="s">
        <v>29</v>
      </c>
      <c r="C414" s="1" t="s">
        <v>21</v>
      </c>
      <c r="D414" s="62"/>
      <c r="E414" s="62"/>
      <c r="F414" s="62"/>
      <c r="G414" s="62"/>
      <c r="H414" s="62"/>
      <c r="I414" s="62"/>
      <c r="J414" s="62"/>
      <c r="K414" s="62"/>
      <c r="L414" s="62"/>
      <c r="M414" s="62"/>
      <c r="N414" s="23">
        <f>N412/N$409</f>
        <v>0.29511437065011925</v>
      </c>
      <c r="O414" s="23">
        <f t="shared" ref="O414:W414" si="860">O412/O$409</f>
        <v>0.27790689323145951</v>
      </c>
      <c r="P414" s="23">
        <f t="shared" si="860"/>
        <v>0.26750643906531701</v>
      </c>
      <c r="Q414" s="23">
        <f t="shared" si="860"/>
        <v>0.25820667326198399</v>
      </c>
      <c r="R414" s="23">
        <f t="shared" si="860"/>
        <v>0.24322433555823014</v>
      </c>
      <c r="S414" s="23">
        <f t="shared" si="860"/>
        <v>0.23065694160587433</v>
      </c>
      <c r="T414" s="23">
        <f t="shared" si="860"/>
        <v>0.21544204050613763</v>
      </c>
      <c r="U414" s="23">
        <f t="shared" si="860"/>
        <v>0.20145102355453984</v>
      </c>
      <c r="V414" s="23">
        <f t="shared" si="860"/>
        <v>0.18629597685831875</v>
      </c>
      <c r="W414" s="23">
        <f t="shared" si="860"/>
        <v>0.17001425209313312</v>
      </c>
      <c r="X414" s="23">
        <f t="shared" ref="X414" si="861">X412/X$409</f>
        <v>0.15389821836882633</v>
      </c>
      <c r="Y414" s="135" t="s">
        <v>4</v>
      </c>
    </row>
    <row r="415" spans="1:25" ht="15" customHeight="1" outlineLevel="2">
      <c r="Y415" s="135" t="s">
        <v>4</v>
      </c>
    </row>
    <row r="416" spans="1:25" ht="15" customHeight="1" outlineLevel="2">
      <c r="B416" s="6" t="s">
        <v>79</v>
      </c>
      <c r="C416" s="1" t="s">
        <v>26</v>
      </c>
      <c r="D416" s="173"/>
      <c r="E416" s="62"/>
      <c r="F416" s="62"/>
      <c r="G416" s="62"/>
      <c r="H416" s="62"/>
      <c r="I416" s="62"/>
      <c r="J416" s="62"/>
      <c r="K416" s="62"/>
      <c r="L416" s="62"/>
      <c r="M416" s="62"/>
      <c r="N416" s="25">
        <f t="shared" ref="N416:X416" si="862">N48</f>
        <v>6243</v>
      </c>
      <c r="O416" s="25">
        <f t="shared" si="862"/>
        <v>6732</v>
      </c>
      <c r="P416" s="25">
        <f t="shared" si="862"/>
        <v>7245.9619397599499</v>
      </c>
      <c r="Q416" s="25">
        <f t="shared" si="862"/>
        <v>7479</v>
      </c>
      <c r="R416" s="25">
        <f t="shared" si="862"/>
        <v>8061.8738889799215</v>
      </c>
      <c r="S416" s="25">
        <f t="shared" si="862"/>
        <v>9031.3547389718424</v>
      </c>
      <c r="T416" s="25">
        <f t="shared" si="862"/>
        <v>10583.248541371886</v>
      </c>
      <c r="U416" s="25">
        <f>U48</f>
        <v>11846.637551146638</v>
      </c>
      <c r="V416" s="25">
        <f>V48</f>
        <v>13550.067748380312</v>
      </c>
      <c r="W416" s="25">
        <f>W48</f>
        <v>15714.545555783272</v>
      </c>
      <c r="X416" s="25">
        <f t="shared" si="862"/>
        <v>18544.74245347724</v>
      </c>
      <c r="Y416" s="135" t="s">
        <v>4</v>
      </c>
    </row>
    <row r="417" spans="2:25" ht="15" customHeight="1" outlineLevel="2">
      <c r="B417" s="18" t="s">
        <v>27</v>
      </c>
      <c r="C417" s="1" t="s">
        <v>21</v>
      </c>
      <c r="D417" s="173"/>
      <c r="E417" s="62"/>
      <c r="F417" s="62"/>
      <c r="G417" s="62"/>
      <c r="H417" s="62"/>
      <c r="I417" s="62"/>
      <c r="J417" s="62"/>
      <c r="K417" s="62"/>
      <c r="L417" s="62"/>
      <c r="M417" s="62"/>
      <c r="N417" s="24" t="str">
        <f>IFERROR(N416/M416-1,"n.m.")</f>
        <v>n.m.</v>
      </c>
      <c r="O417" s="24">
        <f>IFERROR(O416/N416-1,"n.m.")</f>
        <v>7.83277270543008E-2</v>
      </c>
      <c r="P417" s="24">
        <f>IFERROR(P416/O416-1,"n.m.")</f>
        <v>7.634609919191182E-2</v>
      </c>
      <c r="Q417" s="24">
        <f>IFERROR(Q416/P416-1,"n.m.")</f>
        <v>3.2161093610128866E-2</v>
      </c>
      <c r="R417" s="24">
        <f t="shared" ref="R417" si="863">IFERROR(R416/Q416-1,"n.m.")</f>
        <v>7.7934735790870624E-2</v>
      </c>
      <c r="S417" s="24">
        <f t="shared" ref="S417" si="864">IFERROR(S416/R416-1,"n.m.")</f>
        <v>0.12025502548695788</v>
      </c>
      <c r="T417" s="24">
        <f t="shared" ref="T417" si="865">IFERROR(T416/S416-1,"n.m.")</f>
        <v>0.17183399913452146</v>
      </c>
      <c r="U417" s="24">
        <f t="shared" ref="U417" si="866">IFERROR(U416/T416-1,"n.m.")</f>
        <v>0.11937629592992449</v>
      </c>
      <c r="V417" s="24">
        <f t="shared" ref="V417" si="867">IFERROR(V416/U416-1,"n.m.")</f>
        <v>0.14379018433536861</v>
      </c>
      <c r="W417" s="113">
        <f t="shared" ref="W417:X417" si="868">IFERROR(W416/V416-1,"n.m.")</f>
        <v>0.15973926090972412</v>
      </c>
      <c r="X417" s="113">
        <f t="shared" si="868"/>
        <v>0.18010046091675869</v>
      </c>
      <c r="Y417" s="135" t="s">
        <v>4</v>
      </c>
    </row>
    <row r="418" spans="2:25" ht="15" customHeight="1" outlineLevel="2">
      <c r="B418" s="18" t="s">
        <v>29</v>
      </c>
      <c r="C418" s="1" t="s">
        <v>21</v>
      </c>
      <c r="D418" s="173"/>
      <c r="E418" s="62"/>
      <c r="F418" s="62"/>
      <c r="G418" s="62"/>
      <c r="H418" s="62"/>
      <c r="I418" s="62"/>
      <c r="J418" s="62"/>
      <c r="K418" s="62"/>
      <c r="L418" s="62"/>
      <c r="M418" s="62"/>
      <c r="N418" s="23">
        <f>N416/N$409</f>
        <v>0.17588534758651023</v>
      </c>
      <c r="O418" s="23">
        <f t="shared" ref="O418:W418" si="869">O416/O$409</f>
        <v>0.17408292595460925</v>
      </c>
      <c r="P418" s="23">
        <f t="shared" si="869"/>
        <v>0.16892906902174093</v>
      </c>
      <c r="Q418" s="23">
        <f t="shared" si="869"/>
        <v>0.16815810774350212</v>
      </c>
      <c r="R418" s="23">
        <f t="shared" si="869"/>
        <v>0.17051666253380784</v>
      </c>
      <c r="S418" s="23">
        <f t="shared" si="869"/>
        <v>0.17588084930444758</v>
      </c>
      <c r="T418" s="23">
        <f t="shared" si="869"/>
        <v>0.18624339104258167</v>
      </c>
      <c r="U418" s="23">
        <f t="shared" si="869"/>
        <v>0.18824265793321965</v>
      </c>
      <c r="V418" s="23">
        <f t="shared" si="869"/>
        <v>0.19219214462013351</v>
      </c>
      <c r="W418" s="23">
        <f t="shared" si="869"/>
        <v>0.1962575553713336</v>
      </c>
      <c r="X418" s="23">
        <f t="shared" ref="X418" si="870">X416/X$409</f>
        <v>0.2000760507416906</v>
      </c>
      <c r="Y418" s="135" t="s">
        <v>4</v>
      </c>
    </row>
    <row r="419" spans="2:25" ht="15" customHeight="1" outlineLevel="2">
      <c r="Y419" s="135" t="s">
        <v>4</v>
      </c>
    </row>
    <row r="420" spans="2:25" ht="15" customHeight="1" outlineLevel="2">
      <c r="B420" s="6" t="s">
        <v>76</v>
      </c>
      <c r="C420" s="1" t="s">
        <v>26</v>
      </c>
      <c r="D420" s="173"/>
      <c r="E420" s="62"/>
      <c r="F420" s="62"/>
      <c r="G420" s="62"/>
      <c r="H420" s="62"/>
      <c r="I420" s="62"/>
      <c r="J420" s="62"/>
      <c r="K420" s="62"/>
      <c r="L420" s="62"/>
      <c r="M420" s="62"/>
      <c r="N420" s="25">
        <f t="shared" ref="N420:X420" si="871">N164</f>
        <v>5086</v>
      </c>
      <c r="O420" s="25">
        <f t="shared" si="871"/>
        <v>5338</v>
      </c>
      <c r="P420" s="25">
        <f t="shared" si="871"/>
        <v>5885.1201824192212</v>
      </c>
      <c r="Q420" s="25">
        <f t="shared" si="871"/>
        <v>6124</v>
      </c>
      <c r="R420" s="25">
        <f t="shared" si="871"/>
        <v>6264.963038040888</v>
      </c>
      <c r="S420" s="25">
        <f t="shared" si="871"/>
        <v>6549.2911433113077</v>
      </c>
      <c r="T420" s="25">
        <f t="shared" si="871"/>
        <v>6908.1861526423163</v>
      </c>
      <c r="U420" s="25">
        <f t="shared" si="871"/>
        <v>7263.7668291288137</v>
      </c>
      <c r="V420" s="25">
        <f t="shared" si="871"/>
        <v>7586.3298799947925</v>
      </c>
      <c r="W420" s="25">
        <f t="shared" si="871"/>
        <v>7933.8893276964509</v>
      </c>
      <c r="X420" s="25">
        <f t="shared" si="871"/>
        <v>8309.3819924165491</v>
      </c>
      <c r="Y420" s="135" t="s">
        <v>4</v>
      </c>
    </row>
    <row r="421" spans="2:25" ht="15" customHeight="1" outlineLevel="2">
      <c r="B421" s="18" t="s">
        <v>27</v>
      </c>
      <c r="C421" s="1" t="s">
        <v>21</v>
      </c>
      <c r="D421" s="173"/>
      <c r="E421" s="62"/>
      <c r="F421" s="62"/>
      <c r="G421" s="62"/>
      <c r="H421" s="62"/>
      <c r="I421" s="62"/>
      <c r="J421" s="62"/>
      <c r="K421" s="62"/>
      <c r="L421" s="62"/>
      <c r="M421" s="62"/>
      <c r="N421" s="24" t="str">
        <f>IFERROR(N420/M420-1,"n.m.")</f>
        <v>n.m.</v>
      </c>
      <c r="O421" s="24">
        <f>IFERROR(O420/N420-1,"n.m.")</f>
        <v>4.9547778214707128E-2</v>
      </c>
      <c r="P421" s="24">
        <f>IFERROR(P420/O420-1,"n.m.")</f>
        <v>0.10249535077167882</v>
      </c>
      <c r="Q421" s="24">
        <f>IFERROR(Q420/P420-1,"n.m.")</f>
        <v>4.059047397101434E-2</v>
      </c>
      <c r="R421" s="24">
        <f t="shared" ref="R421" si="872">IFERROR(R420/Q420-1,"n.m.")</f>
        <v>2.3018131620001325E-2</v>
      </c>
      <c r="S421" s="24">
        <f t="shared" ref="S421" si="873">IFERROR(S420/R420-1,"n.m.")</f>
        <v>4.5383844013759944E-2</v>
      </c>
      <c r="T421" s="24">
        <f t="shared" ref="T421" si="874">IFERROR(T420/S420-1,"n.m.")</f>
        <v>5.4799061681284789E-2</v>
      </c>
      <c r="U421" s="24">
        <f t="shared" ref="U421" si="875">IFERROR(U420/T420-1,"n.m.")</f>
        <v>5.14723646163604E-2</v>
      </c>
      <c r="V421" s="24">
        <f t="shared" ref="V421" si="876">IFERROR(V420/U420-1,"n.m.")</f>
        <v>4.4407131789039767E-2</v>
      </c>
      <c r="W421" s="113">
        <f t="shared" ref="W421:X421" si="877">IFERROR(W420/V420-1,"n.m.")</f>
        <v>4.5813911759647441E-2</v>
      </c>
      <c r="X421" s="113">
        <f t="shared" si="877"/>
        <v>4.7327691276117134E-2</v>
      </c>
      <c r="Y421" s="135" t="s">
        <v>4</v>
      </c>
    </row>
    <row r="422" spans="2:25" ht="15" customHeight="1" outlineLevel="2">
      <c r="B422" s="18" t="s">
        <v>29</v>
      </c>
      <c r="C422" s="1" t="s">
        <v>21</v>
      </c>
      <c r="D422" s="173"/>
      <c r="E422" s="62"/>
      <c r="F422" s="62"/>
      <c r="G422" s="62"/>
      <c r="H422" s="62"/>
      <c r="I422" s="62"/>
      <c r="J422" s="62"/>
      <c r="K422" s="62"/>
      <c r="L422" s="62"/>
      <c r="M422" s="62"/>
      <c r="N422" s="23">
        <f>N420/N$409</f>
        <v>0.14328894406935624</v>
      </c>
      <c r="O422" s="23">
        <f t="shared" ref="O422:W422" si="878">O420/O$409</f>
        <v>0.13803545138825077</v>
      </c>
      <c r="P422" s="23">
        <f t="shared" si="878"/>
        <v>0.13720302173296717</v>
      </c>
      <c r="Q422" s="23">
        <f t="shared" si="878"/>
        <v>0.13769223851065743</v>
      </c>
      <c r="R422" s="23">
        <f t="shared" si="878"/>
        <v>0.13251020827858279</v>
      </c>
      <c r="S422" s="23">
        <f t="shared" si="878"/>
        <v>0.12754397561830516</v>
      </c>
      <c r="T422" s="23">
        <f t="shared" si="878"/>
        <v>0.12156985730722815</v>
      </c>
      <c r="U422" s="23">
        <f t="shared" si="878"/>
        <v>0.11542100183439956</v>
      </c>
      <c r="V422" s="23">
        <f t="shared" si="878"/>
        <v>0.10760337413119453</v>
      </c>
      <c r="W422" s="23">
        <f t="shared" si="878"/>
        <v>9.9085634930586947E-2</v>
      </c>
      <c r="X422" s="23">
        <f t="shared" ref="X422" si="879">X420/X$409</f>
        <v>8.9648499423355135E-2</v>
      </c>
      <c r="Y422" s="135" t="s">
        <v>4</v>
      </c>
    </row>
    <row r="423" spans="2:25" ht="15" customHeight="1" outlineLevel="2">
      <c r="Y423" s="135" t="s">
        <v>4</v>
      </c>
    </row>
    <row r="424" spans="2:25" ht="15" customHeight="1" outlineLevel="2">
      <c r="B424" s="6" t="s">
        <v>77</v>
      </c>
      <c r="C424" s="1" t="s">
        <v>26</v>
      </c>
      <c r="D424" s="173"/>
      <c r="E424" s="62"/>
      <c r="F424" s="62"/>
      <c r="G424" s="62"/>
      <c r="H424" s="62"/>
      <c r="I424" s="62"/>
      <c r="J424" s="62"/>
      <c r="K424" s="62"/>
      <c r="L424" s="62"/>
      <c r="M424" s="62"/>
      <c r="N424" s="62"/>
      <c r="O424" s="25">
        <f t="shared" ref="O424:X424" si="880">O221</f>
        <v>1154</v>
      </c>
      <c r="P424" s="25">
        <f t="shared" si="880"/>
        <v>1201</v>
      </c>
      <c r="Q424" s="25">
        <f t="shared" si="880"/>
        <v>1233</v>
      </c>
      <c r="R424" s="25">
        <f t="shared" si="880"/>
        <v>1284.1236775732111</v>
      </c>
      <c r="S424" s="25">
        <f t="shared" si="880"/>
        <v>1362.2694288771415</v>
      </c>
      <c r="T424" s="25">
        <f t="shared" si="880"/>
        <v>1444.3860658570409</v>
      </c>
      <c r="U424" s="25">
        <f t="shared" si="880"/>
        <v>1532.7268463173291</v>
      </c>
      <c r="V424" s="25">
        <f t="shared" si="880"/>
        <v>1609.0887509595439</v>
      </c>
      <c r="W424" s="25">
        <f t="shared" si="880"/>
        <v>1692.2018532523671</v>
      </c>
      <c r="X424" s="25">
        <f t="shared" si="880"/>
        <v>1782.9761786817232</v>
      </c>
      <c r="Y424" s="135" t="s">
        <v>4</v>
      </c>
    </row>
    <row r="425" spans="2:25" ht="15" customHeight="1" outlineLevel="2">
      <c r="B425" s="18" t="s">
        <v>27</v>
      </c>
      <c r="C425" s="1" t="s">
        <v>21</v>
      </c>
      <c r="D425" s="173"/>
      <c r="E425" s="62"/>
      <c r="F425" s="62"/>
      <c r="G425" s="62"/>
      <c r="H425" s="62"/>
      <c r="I425" s="62"/>
      <c r="J425" s="62"/>
      <c r="K425" s="62"/>
      <c r="L425" s="62"/>
      <c r="M425" s="62"/>
      <c r="N425" s="62"/>
      <c r="O425" s="24" t="str">
        <f>IFERROR(O424/N424-1,"n.m.")</f>
        <v>n.m.</v>
      </c>
      <c r="P425" s="24">
        <f>IFERROR(P424/O424-1,"n.m.")</f>
        <v>4.0727902946273931E-2</v>
      </c>
      <c r="Q425" s="24">
        <f>IFERROR(Q424/P424-1,"n.m.")</f>
        <v>2.6644462947543746E-2</v>
      </c>
      <c r="R425" s="24">
        <f t="shared" ref="R425" si="881">IFERROR(R424/Q424-1,"n.m.")</f>
        <v>4.1462836636829703E-2</v>
      </c>
      <c r="S425" s="24">
        <f t="shared" ref="S425" si="882">IFERROR(S424/R424-1,"n.m.")</f>
        <v>6.0855315316366898E-2</v>
      </c>
      <c r="T425" s="24">
        <f t="shared" ref="T425" si="883">IFERROR(T424/S424-1,"n.m.")</f>
        <v>6.0279292215772884E-2</v>
      </c>
      <c r="U425" s="24">
        <f t="shared" ref="U425" si="884">IFERROR(U424/T424-1,"n.m.")</f>
        <v>6.116147375588965E-2</v>
      </c>
      <c r="V425" s="24">
        <f t="shared" ref="V425" si="885">IFERROR(V424/U424-1,"n.m.")</f>
        <v>4.9820948087187844E-2</v>
      </c>
      <c r="W425" s="113">
        <f t="shared" ref="W425:X425" si="886">IFERROR(W424/V424-1,"n.m.")</f>
        <v>5.1652279741102314E-2</v>
      </c>
      <c r="X425" s="113">
        <f t="shared" si="886"/>
        <v>5.3642729001206479E-2</v>
      </c>
      <c r="Y425" s="135" t="s">
        <v>4</v>
      </c>
    </row>
    <row r="426" spans="2:25" ht="15" customHeight="1" outlineLevel="2">
      <c r="B426" s="18" t="s">
        <v>29</v>
      </c>
      <c r="C426" s="1" t="s">
        <v>21</v>
      </c>
      <c r="D426" s="173"/>
      <c r="E426" s="62"/>
      <c r="F426" s="62"/>
      <c r="G426" s="62"/>
      <c r="H426" s="62"/>
      <c r="I426" s="62"/>
      <c r="J426" s="62"/>
      <c r="K426" s="62"/>
      <c r="L426" s="62"/>
      <c r="M426" s="62"/>
      <c r="N426" s="62"/>
      <c r="O426" s="23">
        <f t="shared" ref="O426:W426" si="887">O424/O$409</f>
        <v>2.9841309648190591E-2</v>
      </c>
      <c r="P426" s="23">
        <f t="shared" si="887"/>
        <v>2.7999569081621781E-2</v>
      </c>
      <c r="Q426" s="23">
        <f t="shared" si="887"/>
        <v>2.772281680007195E-2</v>
      </c>
      <c r="R426" s="23">
        <f t="shared" si="887"/>
        <v>2.7160494792623127E-2</v>
      </c>
      <c r="S426" s="23">
        <f t="shared" si="887"/>
        <v>2.6529475483727138E-2</v>
      </c>
      <c r="T426" s="23">
        <f t="shared" si="887"/>
        <v>2.5418221808575052E-2</v>
      </c>
      <c r="U426" s="23">
        <f t="shared" si="887"/>
        <v>2.4354976185495703E-2</v>
      </c>
      <c r="V426" s="23">
        <f t="shared" si="887"/>
        <v>2.282307540255752E-2</v>
      </c>
      <c r="W426" s="23">
        <f t="shared" si="887"/>
        <v>2.1133757749165549E-2</v>
      </c>
      <c r="X426" s="23">
        <f t="shared" ref="X426" si="888">X424/X$409</f>
        <v>1.923622467618908E-2</v>
      </c>
      <c r="Y426" s="135" t="s">
        <v>4</v>
      </c>
    </row>
    <row r="427" spans="2:25" ht="15" customHeight="1" outlineLevel="2">
      <c r="Y427" s="135" t="s">
        <v>4</v>
      </c>
    </row>
    <row r="428" spans="2:25" ht="15" customHeight="1" outlineLevel="2">
      <c r="B428" s="6" t="s">
        <v>80</v>
      </c>
      <c r="C428" s="1" t="s">
        <v>26</v>
      </c>
      <c r="D428" s="173"/>
      <c r="E428" s="62"/>
      <c r="F428" s="62"/>
      <c r="G428" s="62"/>
      <c r="H428" s="62"/>
      <c r="I428" s="62"/>
      <c r="J428" s="62"/>
      <c r="K428" s="62"/>
      <c r="L428" s="62"/>
      <c r="M428" s="62"/>
      <c r="N428" s="25">
        <f t="shared" ref="N428:X428" si="889">N326</f>
        <v>13690.713378153032</v>
      </c>
      <c r="O428" s="25">
        <f t="shared" si="889"/>
        <v>14700.225010058228</v>
      </c>
      <c r="P428" s="25">
        <f t="shared" si="889"/>
        <v>17087.143085111027</v>
      </c>
      <c r="Q428" s="25">
        <f t="shared" si="889"/>
        <v>18156</v>
      </c>
      <c r="R428" s="25">
        <f t="shared" si="889"/>
        <v>20168.709712193362</v>
      </c>
      <c r="S428" s="25">
        <f t="shared" si="889"/>
        <v>22562.295766684867</v>
      </c>
      <c r="T428" s="25">
        <f t="shared" si="889"/>
        <v>25646.549835693841</v>
      </c>
      <c r="U428" s="25">
        <f t="shared" si="889"/>
        <v>29611.791832050716</v>
      </c>
      <c r="V428" s="25">
        <f t="shared" si="889"/>
        <v>34622.855404309594</v>
      </c>
      <c r="W428" s="25">
        <f t="shared" si="889"/>
        <v>41117.181009215521</v>
      </c>
      <c r="X428" s="25">
        <f t="shared" si="889"/>
        <v>49786.776554187774</v>
      </c>
      <c r="Y428" s="135" t="s">
        <v>4</v>
      </c>
    </row>
    <row r="429" spans="2:25" ht="15" customHeight="1" outlineLevel="2">
      <c r="B429" s="18" t="s">
        <v>27</v>
      </c>
      <c r="C429" s="1" t="s">
        <v>21</v>
      </c>
      <c r="D429" s="173"/>
      <c r="E429" s="62"/>
      <c r="F429" s="62"/>
      <c r="G429" s="62"/>
      <c r="H429" s="62"/>
      <c r="I429" s="62"/>
      <c r="J429" s="62"/>
      <c r="K429" s="62"/>
      <c r="L429" s="62"/>
      <c r="M429" s="62"/>
      <c r="N429" s="53" t="str">
        <f>IFERROR(N428/M428-1,"n.m.")</f>
        <v>n.m.</v>
      </c>
      <c r="O429" s="53">
        <f>IFERROR(O428/N428-1,"n.m.")</f>
        <v>7.3736963445317993E-2</v>
      </c>
      <c r="P429" s="53">
        <f>IFERROR(P428/O428-1,"n.m.")</f>
        <v>0.16237289384479592</v>
      </c>
      <c r="Q429" s="53">
        <f>IFERROR(Q428/P428-1,"n.m.")</f>
        <v>6.2553284043154411E-2</v>
      </c>
      <c r="R429" s="53">
        <f t="shared" ref="R429" si="890">IFERROR(R428/Q428-1,"n.m.")</f>
        <v>0.11085645033010372</v>
      </c>
      <c r="S429" s="53">
        <f t="shared" ref="S429" si="891">IFERROR(S428/R428-1,"n.m.")</f>
        <v>0.11867819452249928</v>
      </c>
      <c r="T429" s="53">
        <f t="shared" ref="T429" si="892">IFERROR(T428/S428-1,"n.m.")</f>
        <v>0.13669947867464516</v>
      </c>
      <c r="U429" s="53">
        <f t="shared" ref="U429" si="893">IFERROR(U428/T428-1,"n.m.")</f>
        <v>0.15461112788115505</v>
      </c>
      <c r="V429" s="53">
        <f t="shared" ref="V429" si="894">IFERROR(V428/U428-1,"n.m.")</f>
        <v>0.16922527352212047</v>
      </c>
      <c r="W429" s="116">
        <f t="shared" ref="W429:X429" si="895">IFERROR(W428/V428-1,"n.m.")</f>
        <v>0.18757336820052006</v>
      </c>
      <c r="X429" s="116">
        <f t="shared" si="895"/>
        <v>0.21085092246545667</v>
      </c>
      <c r="Y429" s="135" t="s">
        <v>4</v>
      </c>
    </row>
    <row r="430" spans="2:25" ht="15" customHeight="1" outlineLevel="2">
      <c r="B430" s="20" t="s">
        <v>29</v>
      </c>
      <c r="C430" s="21" t="s">
        <v>21</v>
      </c>
      <c r="D430" s="174"/>
      <c r="E430" s="63"/>
      <c r="F430" s="63"/>
      <c r="G430" s="63"/>
      <c r="H430" s="63"/>
      <c r="I430" s="63"/>
      <c r="J430" s="63"/>
      <c r="K430" s="63"/>
      <c r="L430" s="63"/>
      <c r="M430" s="63"/>
      <c r="N430" s="83">
        <f>N428/N$409</f>
        <v>0.38571133769401433</v>
      </c>
      <c r="O430" s="83">
        <f t="shared" ref="O430:W430" si="896">O428/O$409</f>
        <v>0.38013341977748982</v>
      </c>
      <c r="P430" s="83">
        <f t="shared" si="896"/>
        <v>0.39836190109835312</v>
      </c>
      <c r="Q430" s="83">
        <f t="shared" si="896"/>
        <v>0.4082201636837845</v>
      </c>
      <c r="R430" s="83">
        <f t="shared" si="896"/>
        <v>0.42658829883675614</v>
      </c>
      <c r="S430" s="83">
        <f t="shared" si="896"/>
        <v>0.43938875798764582</v>
      </c>
      <c r="T430" s="83">
        <f t="shared" si="896"/>
        <v>0.45132648933547753</v>
      </c>
      <c r="U430" s="83">
        <f t="shared" si="896"/>
        <v>0.47053034049234521</v>
      </c>
      <c r="V430" s="83">
        <f t="shared" si="896"/>
        <v>0.49108542898779572</v>
      </c>
      <c r="W430" s="83">
        <f t="shared" si="896"/>
        <v>0.5135087998557808</v>
      </c>
      <c r="X430" s="83">
        <f t="shared" ref="X430" si="897">X428/X$409</f>
        <v>0.53714100678993892</v>
      </c>
      <c r="Y430" s="135" t="s">
        <v>4</v>
      </c>
    </row>
    <row r="431" spans="2:25" ht="15" customHeight="1" outlineLevel="1">
      <c r="G431" s="25"/>
      <c r="H431" s="25"/>
      <c r="I431" s="25"/>
      <c r="J431" s="25"/>
      <c r="K431" s="25"/>
      <c r="L431" s="25"/>
      <c r="M431" s="25"/>
      <c r="Y431" s="135" t="s">
        <v>4</v>
      </c>
    </row>
    <row r="432" spans="2:25" ht="15" customHeight="1" outlineLevel="1">
      <c r="B432" s="7" t="s">
        <v>25</v>
      </c>
      <c r="C432" s="13" t="s">
        <v>26</v>
      </c>
      <c r="D432" s="43">
        <v>2335.6999999999998</v>
      </c>
      <c r="E432" s="43">
        <v>1966.3</v>
      </c>
      <c r="F432" s="43">
        <v>1146.3</v>
      </c>
      <c r="G432" s="43">
        <v>1198.8</v>
      </c>
      <c r="H432" s="43">
        <v>4052.2</v>
      </c>
      <c r="I432" s="43">
        <v>4145.8</v>
      </c>
      <c r="J432" s="43">
        <v>4576.1000000000004</v>
      </c>
      <c r="K432" s="43">
        <v>5357</v>
      </c>
      <c r="L432" s="43">
        <v>5603</v>
      </c>
      <c r="M432" s="43">
        <v>4968</v>
      </c>
      <c r="N432" s="43">
        <v>5739</v>
      </c>
      <c r="O432" s="43">
        <v>6505</v>
      </c>
      <c r="P432" s="43">
        <v>7022</v>
      </c>
      <c r="Q432" s="43">
        <v>8406</v>
      </c>
      <c r="R432" s="75">
        <f>R436+R440+R444+R448+R452+R456+R460</f>
        <v>13623.70184772935</v>
      </c>
      <c r="S432" s="75">
        <f t="shared" ref="S432:W432" si="898">S436+S440+S444+S448+S452+S456+S460</f>
        <v>10858.909133172507</v>
      </c>
      <c r="T432" s="75">
        <f t="shared" si="898"/>
        <v>13172.081602617538</v>
      </c>
      <c r="U432" s="75">
        <f t="shared" si="898"/>
        <v>14974.732501022594</v>
      </c>
      <c r="V432" s="75">
        <f t="shared" si="898"/>
        <v>17218.175503950464</v>
      </c>
      <c r="W432" s="75">
        <f t="shared" si="898"/>
        <v>20058.360321178596</v>
      </c>
      <c r="X432" s="75">
        <f t="shared" ref="X432" si="899">X436+X440+X444+X448+X452+X456+X460</f>
        <v>23712.64607947972</v>
      </c>
      <c r="Y432" s="135" t="s">
        <v>4</v>
      </c>
    </row>
    <row r="433" spans="2:25" ht="15" customHeight="1" outlineLevel="1">
      <c r="B433" s="6" t="s">
        <v>27</v>
      </c>
      <c r="C433" s="1" t="s">
        <v>21</v>
      </c>
      <c r="D433" s="24" t="str">
        <f t="shared" ref="D433:Q433" si="900">IFERROR(D432/C432-1,"n.m.")</f>
        <v>n.m.</v>
      </c>
      <c r="E433" s="24">
        <f t="shared" si="900"/>
        <v>-0.15815387250074919</v>
      </c>
      <c r="F433" s="24">
        <f t="shared" si="900"/>
        <v>-0.41702690332095815</v>
      </c>
      <c r="G433" s="24">
        <f t="shared" si="900"/>
        <v>4.5799528919131083E-2</v>
      </c>
      <c r="H433" s="24">
        <f t="shared" si="900"/>
        <v>2.3802135468802135</v>
      </c>
      <c r="I433" s="24">
        <f t="shared" si="900"/>
        <v>2.3098563743152001E-2</v>
      </c>
      <c r="J433" s="24">
        <f t="shared" si="900"/>
        <v>0.10379178928071786</v>
      </c>
      <c r="K433" s="24">
        <f t="shared" si="900"/>
        <v>0.17064749459146422</v>
      </c>
      <c r="L433" s="24">
        <f t="shared" si="900"/>
        <v>4.592122456598835E-2</v>
      </c>
      <c r="M433" s="24">
        <f t="shared" si="900"/>
        <v>-0.11333214349455645</v>
      </c>
      <c r="N433" s="24">
        <f t="shared" si="900"/>
        <v>0.15519323671497576</v>
      </c>
      <c r="O433" s="24">
        <f t="shared" si="900"/>
        <v>0.1334727304408434</v>
      </c>
      <c r="P433" s="24">
        <f t="shared" si="900"/>
        <v>7.9477325134512E-2</v>
      </c>
      <c r="Q433" s="24">
        <f t="shared" si="900"/>
        <v>0.19709484477356876</v>
      </c>
      <c r="R433" s="24">
        <f t="shared" ref="R433" si="901">IFERROR(R432/Q432-1,"n.m.")</f>
        <v>0.62071161643223283</v>
      </c>
      <c r="S433" s="24">
        <f t="shared" ref="S433" si="902">IFERROR(S432/R432-1,"n.m.")</f>
        <v>-0.20293990175788001</v>
      </c>
      <c r="T433" s="24">
        <f t="shared" ref="T433" si="903">IFERROR(T432/S432-1,"n.m.")</f>
        <v>0.21302070411277318</v>
      </c>
      <c r="U433" s="24">
        <f t="shared" ref="U433" si="904">IFERROR(U432/T432-1,"n.m.")</f>
        <v>0.13685391214451914</v>
      </c>
      <c r="V433" s="24">
        <f t="shared" ref="V433" si="905">IFERROR(V432/U432-1,"n.m.")</f>
        <v>0.14981523060760327</v>
      </c>
      <c r="W433" s="113">
        <f t="shared" ref="W433:X433" si="906">IFERROR(W432/V432-1,"n.m.")</f>
        <v>0.16495271619089324</v>
      </c>
      <c r="X433" s="113">
        <f t="shared" si="906"/>
        <v>0.18218267594100168</v>
      </c>
      <c r="Y433" s="135" t="s">
        <v>4</v>
      </c>
    </row>
    <row r="434" spans="2:25" ht="15" customHeight="1" outlineLevel="1">
      <c r="O434" s="25"/>
      <c r="P434" s="25"/>
      <c r="Q434" s="25"/>
      <c r="R434" s="25"/>
      <c r="S434" s="25"/>
      <c r="T434" s="25"/>
      <c r="U434" s="25"/>
      <c r="Y434" s="135" t="s">
        <v>4</v>
      </c>
    </row>
    <row r="435" spans="2:25" ht="15" customHeight="1" outlineLevel="2">
      <c r="B435" s="171" t="s">
        <v>81</v>
      </c>
      <c r="O435" s="23"/>
      <c r="P435" s="23"/>
      <c r="Q435" s="23"/>
      <c r="R435" s="23"/>
      <c r="S435" s="23"/>
      <c r="T435" s="23"/>
      <c r="U435" s="23"/>
      <c r="Y435" s="135" t="s">
        <v>4</v>
      </c>
    </row>
    <row r="436" spans="2:25" ht="15" customHeight="1" outlineLevel="3">
      <c r="B436" s="17" t="s">
        <v>59</v>
      </c>
      <c r="C436" s="15" t="s">
        <v>26</v>
      </c>
      <c r="D436" s="172"/>
      <c r="E436" s="61"/>
      <c r="F436" s="61"/>
      <c r="G436" s="61"/>
      <c r="H436" s="61"/>
      <c r="I436" s="61"/>
      <c r="J436" s="61"/>
      <c r="K436" s="61"/>
      <c r="L436" s="61"/>
      <c r="M436" s="61"/>
      <c r="N436" s="31">
        <f t="shared" ref="N436:X436" si="907">N85</f>
        <v>1156</v>
      </c>
      <c r="O436" s="31">
        <f t="shared" si="907"/>
        <v>1195</v>
      </c>
      <c r="P436" s="31">
        <f t="shared" si="907"/>
        <v>1297</v>
      </c>
      <c r="Q436" s="31">
        <f t="shared" si="907"/>
        <v>1450</v>
      </c>
      <c r="R436" s="31">
        <f t="shared" si="907"/>
        <v>5511.8205279701542</v>
      </c>
      <c r="S436" s="31">
        <f t="shared" si="907"/>
        <v>1276.228260493999</v>
      </c>
      <c r="T436" s="31">
        <f t="shared" si="907"/>
        <v>1314.2903766652951</v>
      </c>
      <c r="U436" s="31">
        <f t="shared" si="907"/>
        <v>1369.4499103931589</v>
      </c>
      <c r="V436" s="31">
        <f t="shared" si="907"/>
        <v>1426.1358710870632</v>
      </c>
      <c r="W436" s="31">
        <f t="shared" si="907"/>
        <v>1481.0873438734088</v>
      </c>
      <c r="X436" s="31">
        <f t="shared" si="907"/>
        <v>1541.1433227009161</v>
      </c>
      <c r="Y436" s="135" t="s">
        <v>4</v>
      </c>
    </row>
    <row r="437" spans="2:25" ht="15" customHeight="1" outlineLevel="3">
      <c r="B437" s="18" t="s">
        <v>27</v>
      </c>
      <c r="C437" s="1" t="s">
        <v>21</v>
      </c>
      <c r="D437" s="62"/>
      <c r="E437" s="62"/>
      <c r="F437" s="62"/>
      <c r="G437" s="62"/>
      <c r="H437" s="62"/>
      <c r="I437" s="62"/>
      <c r="J437" s="62"/>
      <c r="K437" s="62"/>
      <c r="L437" s="62"/>
      <c r="M437" s="62"/>
      <c r="N437" s="24" t="str">
        <f>IFERROR(N436/M436-1,"n.m.")</f>
        <v>n.m.</v>
      </c>
      <c r="O437" s="24">
        <f>IFERROR(O436/N436-1,"n.m.")</f>
        <v>3.3737024221453193E-2</v>
      </c>
      <c r="P437" s="24">
        <f>IFERROR(P436/O436-1,"n.m.")</f>
        <v>8.5355648535564876E-2</v>
      </c>
      <c r="Q437" s="24">
        <f>IFERROR(Q436/P436-1,"n.m.")</f>
        <v>0.1179645335389361</v>
      </c>
      <c r="R437" s="24">
        <f t="shared" ref="R437" si="908">IFERROR(R436/Q436-1,"n.m.")</f>
        <v>2.8012555365311407</v>
      </c>
      <c r="S437" s="24">
        <f t="shared" ref="S437" si="909">IFERROR(S436/R436-1,"n.m.")</f>
        <v>-0.76845612914686146</v>
      </c>
      <c r="T437" s="24">
        <f t="shared" ref="T437" si="910">IFERROR(T436/S436-1,"n.m.")</f>
        <v>2.982390952270797E-2</v>
      </c>
      <c r="U437" s="24">
        <f t="shared" ref="U437" si="911">IFERROR(U436/T436-1,"n.m.")</f>
        <v>4.1969061561432319E-2</v>
      </c>
      <c r="V437" s="24">
        <f t="shared" ref="V437" si="912">IFERROR(V436/U436-1,"n.m.")</f>
        <v>4.1393234074278862E-2</v>
      </c>
      <c r="W437" s="113">
        <f t="shared" ref="W437:X437" si="913">IFERROR(W436/V436-1,"n.m.")</f>
        <v>3.8531723309406241E-2</v>
      </c>
      <c r="X437" s="113">
        <f t="shared" si="913"/>
        <v>4.0548573368027085E-2</v>
      </c>
      <c r="Y437" s="135" t="s">
        <v>4</v>
      </c>
    </row>
    <row r="438" spans="2:25" ht="15" customHeight="1" outlineLevel="3">
      <c r="B438" s="18" t="s">
        <v>29</v>
      </c>
      <c r="C438" s="1" t="s">
        <v>21</v>
      </c>
      <c r="D438" s="62"/>
      <c r="E438" s="62"/>
      <c r="F438" s="62"/>
      <c r="G438" s="62"/>
      <c r="H438" s="62"/>
      <c r="I438" s="62"/>
      <c r="J438" s="62"/>
      <c r="K438" s="62"/>
      <c r="L438" s="62"/>
      <c r="M438" s="62"/>
      <c r="N438" s="23">
        <f>N436/N$432</f>
        <v>0.20142882035197771</v>
      </c>
      <c r="O438" s="23">
        <f t="shared" ref="O438:W438" si="914">O436/O$432</f>
        <v>0.18370484242890084</v>
      </c>
      <c r="P438" s="23">
        <f t="shared" si="914"/>
        <v>0.18470521219025918</v>
      </c>
      <c r="Q438" s="23">
        <f t="shared" si="914"/>
        <v>0.17249583630739948</v>
      </c>
      <c r="R438" s="23">
        <f t="shared" si="914"/>
        <v>0.4045758333216023</v>
      </c>
      <c r="S438" s="23">
        <f t="shared" si="914"/>
        <v>0.11752821990150865</v>
      </c>
      <c r="T438" s="23">
        <f t="shared" si="914"/>
        <v>9.9778487282080081E-2</v>
      </c>
      <c r="U438" s="23">
        <f t="shared" si="914"/>
        <v>9.1450709406638284E-2</v>
      </c>
      <c r="V438" s="23">
        <f t="shared" si="914"/>
        <v>8.2827351292815932E-2</v>
      </c>
      <c r="W438" s="23">
        <f t="shared" si="914"/>
        <v>7.3838904085774371E-2</v>
      </c>
      <c r="X438" s="23">
        <f t="shared" ref="X438" si="915">X436/X$432</f>
        <v>6.4992465097962207E-2</v>
      </c>
      <c r="Y438" s="135" t="s">
        <v>4</v>
      </c>
    </row>
    <row r="439" spans="2:25" ht="15" customHeight="1" outlineLevel="3">
      <c r="Y439" s="135" t="s">
        <v>4</v>
      </c>
    </row>
    <row r="440" spans="2:25" ht="15" customHeight="1" outlineLevel="3">
      <c r="B440" s="6" t="s">
        <v>79</v>
      </c>
      <c r="C440" s="1" t="s">
        <v>26</v>
      </c>
      <c r="D440" s="173"/>
      <c r="E440" s="62"/>
      <c r="F440" s="62"/>
      <c r="G440" s="62"/>
      <c r="H440" s="62"/>
      <c r="I440" s="62"/>
      <c r="J440" s="62"/>
      <c r="K440" s="62"/>
      <c r="L440" s="62"/>
      <c r="M440" s="62"/>
      <c r="N440" s="25">
        <f t="shared" ref="N440:X440" si="916">N22</f>
        <v>3331</v>
      </c>
      <c r="O440" s="25">
        <f t="shared" si="916"/>
        <v>3801</v>
      </c>
      <c r="P440" s="25">
        <f t="shared" si="916"/>
        <v>3972</v>
      </c>
      <c r="Q440" s="25">
        <f t="shared" si="916"/>
        <v>4038</v>
      </c>
      <c r="R440" s="25">
        <f t="shared" si="916"/>
        <v>4278.5711116955508</v>
      </c>
      <c r="S440" s="25">
        <f t="shared" si="916"/>
        <v>4705.8092779024901</v>
      </c>
      <c r="T440" s="25">
        <f t="shared" si="916"/>
        <v>5204.84613943978</v>
      </c>
      <c r="U440" s="25">
        <f t="shared" si="916"/>
        <v>5665.4898332355579</v>
      </c>
      <c r="V440" s="25">
        <f t="shared" si="916"/>
        <v>6220.6441384595773</v>
      </c>
      <c r="W440" s="25">
        <f t="shared" si="916"/>
        <v>6880.1813888110655</v>
      </c>
      <c r="X440" s="25">
        <f t="shared" si="916"/>
        <v>7679.1166961322633</v>
      </c>
      <c r="Y440" s="135" t="s">
        <v>4</v>
      </c>
    </row>
    <row r="441" spans="2:25" ht="15" customHeight="1" outlineLevel="3">
      <c r="B441" s="18" t="s">
        <v>27</v>
      </c>
      <c r="C441" s="1" t="s">
        <v>21</v>
      </c>
      <c r="D441" s="173"/>
      <c r="E441" s="62"/>
      <c r="F441" s="62"/>
      <c r="G441" s="62"/>
      <c r="H441" s="62"/>
      <c r="I441" s="62"/>
      <c r="J441" s="62"/>
      <c r="K441" s="62"/>
      <c r="L441" s="62"/>
      <c r="M441" s="62"/>
      <c r="N441" s="24" t="str">
        <f>IFERROR(N440/M440-1,"n.m.")</f>
        <v>n.m.</v>
      </c>
      <c r="O441" s="24">
        <f>IFERROR(O440/N440-1,"n.m.")</f>
        <v>0.14109876913839692</v>
      </c>
      <c r="P441" s="24">
        <f>IFERROR(P440/O440-1,"n.m.")</f>
        <v>4.4988161010260486E-2</v>
      </c>
      <c r="Q441" s="24">
        <f>IFERROR(Q440/P440-1,"n.m.")</f>
        <v>1.6616314199395799E-2</v>
      </c>
      <c r="R441" s="24">
        <f t="shared" ref="R441" si="917">IFERROR(R440/Q440-1,"n.m.")</f>
        <v>5.9576798339660897E-2</v>
      </c>
      <c r="S441" s="24">
        <f t="shared" ref="S441" si="918">IFERROR(S440/R440-1,"n.m.")</f>
        <v>9.9855338395352655E-2</v>
      </c>
      <c r="T441" s="24">
        <f t="shared" ref="T441" si="919">IFERROR(T440/S440-1,"n.m.")</f>
        <v>0.10604697982144407</v>
      </c>
      <c r="U441" s="24">
        <f t="shared" ref="U441" si="920">IFERROR(U440/T440-1,"n.m.")</f>
        <v>8.8502845512616668E-2</v>
      </c>
      <c r="V441" s="24">
        <f t="shared" ref="V441" si="921">IFERROR(V440/U440-1,"n.m.")</f>
        <v>9.7988756765091889E-2</v>
      </c>
      <c r="W441" s="113">
        <f t="shared" ref="W441:X441" si="922">IFERROR(W440/V440-1,"n.m.")</f>
        <v>0.10602394794999626</v>
      </c>
      <c r="X441" s="113">
        <f t="shared" si="922"/>
        <v>0.11612125642798765</v>
      </c>
      <c r="Y441" s="135" t="s">
        <v>4</v>
      </c>
    </row>
    <row r="442" spans="2:25" ht="15" customHeight="1" outlineLevel="3">
      <c r="B442" s="18" t="s">
        <v>29</v>
      </c>
      <c r="C442" s="1" t="s">
        <v>21</v>
      </c>
      <c r="D442" s="173"/>
      <c r="E442" s="62"/>
      <c r="F442" s="62"/>
      <c r="G442" s="62"/>
      <c r="H442" s="62"/>
      <c r="I442" s="62"/>
      <c r="J442" s="62"/>
      <c r="K442" s="62"/>
      <c r="L442" s="62"/>
      <c r="M442" s="62"/>
      <c r="N442" s="23">
        <f>N440/N$432</f>
        <v>0.58041470639484227</v>
      </c>
      <c r="O442" s="23">
        <f t="shared" ref="O442:W442" si="923">O440/O$432</f>
        <v>0.58431975403535741</v>
      </c>
      <c r="P442" s="23">
        <f t="shared" si="923"/>
        <v>0.56565081173454856</v>
      </c>
      <c r="Q442" s="23">
        <f t="shared" si="923"/>
        <v>0.48037116345467523</v>
      </c>
      <c r="R442" s="23">
        <f t="shared" si="923"/>
        <v>0.31405348997773735</v>
      </c>
      <c r="S442" s="23">
        <f t="shared" si="923"/>
        <v>0.4333593015827783</v>
      </c>
      <c r="T442" s="23">
        <f t="shared" si="923"/>
        <v>0.39514226349808523</v>
      </c>
      <c r="U442" s="23">
        <f t="shared" si="923"/>
        <v>0.37833663024355679</v>
      </c>
      <c r="V442" s="23">
        <f t="shared" si="923"/>
        <v>0.36128358298080648</v>
      </c>
      <c r="W442" s="23">
        <f t="shared" si="923"/>
        <v>0.34300816610351914</v>
      </c>
      <c r="X442" s="23">
        <f t="shared" ref="X442" si="924">X440/X$432</f>
        <v>0.32384056466720357</v>
      </c>
      <c r="Y442" s="135" t="s">
        <v>4</v>
      </c>
    </row>
    <row r="443" spans="2:25" ht="15" customHeight="1" outlineLevel="3">
      <c r="Y443" s="135" t="s">
        <v>4</v>
      </c>
    </row>
    <row r="444" spans="2:25" ht="15" customHeight="1" outlineLevel="3">
      <c r="B444" s="6" t="s">
        <v>76</v>
      </c>
      <c r="C444" s="1" t="s">
        <v>26</v>
      </c>
      <c r="D444" s="173"/>
      <c r="E444" s="62"/>
      <c r="F444" s="62"/>
      <c r="G444" s="62"/>
      <c r="H444" s="62"/>
      <c r="I444" s="62"/>
      <c r="J444" s="62"/>
      <c r="K444" s="62"/>
      <c r="L444" s="62"/>
      <c r="M444" s="62"/>
      <c r="N444" s="25">
        <f t="shared" ref="N444:X444" si="925">N142</f>
        <v>559</v>
      </c>
      <c r="O444" s="25">
        <f t="shared" si="925"/>
        <v>619</v>
      </c>
      <c r="P444" s="25">
        <f t="shared" si="925"/>
        <v>692</v>
      </c>
      <c r="Q444" s="25">
        <f t="shared" si="925"/>
        <v>768</v>
      </c>
      <c r="R444" s="25">
        <f t="shared" si="925"/>
        <v>741.51022390655544</v>
      </c>
      <c r="S444" s="25">
        <f t="shared" si="925"/>
        <v>781.97392991387346</v>
      </c>
      <c r="T444" s="25">
        <f t="shared" si="925"/>
        <v>820.46808837665367</v>
      </c>
      <c r="U444" s="25">
        <f t="shared" si="925"/>
        <v>858.12679119284917</v>
      </c>
      <c r="V444" s="25">
        <f t="shared" si="925"/>
        <v>891.11337204097504</v>
      </c>
      <c r="W444" s="25">
        <f t="shared" si="925"/>
        <v>926.33292132497866</v>
      </c>
      <c r="X444" s="25">
        <f t="shared" si="925"/>
        <v>963.71534869412756</v>
      </c>
      <c r="Y444" s="135" t="s">
        <v>4</v>
      </c>
    </row>
    <row r="445" spans="2:25" ht="15" customHeight="1" outlineLevel="3">
      <c r="B445" s="18" t="s">
        <v>27</v>
      </c>
      <c r="C445" s="1" t="s">
        <v>21</v>
      </c>
      <c r="D445" s="173"/>
      <c r="E445" s="62"/>
      <c r="F445" s="62"/>
      <c r="G445" s="62"/>
      <c r="H445" s="62"/>
      <c r="I445" s="62"/>
      <c r="J445" s="62"/>
      <c r="K445" s="62"/>
      <c r="L445" s="62"/>
      <c r="M445" s="62"/>
      <c r="N445" s="24" t="str">
        <f>IFERROR(N444/M444-1,"n.m.")</f>
        <v>n.m.</v>
      </c>
      <c r="O445" s="24">
        <f>IFERROR(O444/N444-1,"n.m.")</f>
        <v>0.10733452593917714</v>
      </c>
      <c r="P445" s="24">
        <f>IFERROR(P444/O444-1,"n.m.")</f>
        <v>0.11793214862681745</v>
      </c>
      <c r="Q445" s="24">
        <f>IFERROR(Q444/P444-1,"n.m.")</f>
        <v>0.10982658959537561</v>
      </c>
      <c r="R445" s="24">
        <f t="shared" ref="R445" si="926">IFERROR(R444/Q444-1,"n.m.")</f>
        <v>-3.4491895955005902E-2</v>
      </c>
      <c r="S445" s="24">
        <f t="shared" ref="S445" si="927">IFERROR(S444/R444-1,"n.m.")</f>
        <v>5.4569316379941446E-2</v>
      </c>
      <c r="T445" s="24">
        <f t="shared" ref="T445" si="928">IFERROR(T444/S444-1,"n.m.")</f>
        <v>4.9226907688623367E-2</v>
      </c>
      <c r="U445" s="24">
        <f t="shared" ref="U445" si="929">IFERROR(U444/T444-1,"n.m.")</f>
        <v>4.5899046348902628E-2</v>
      </c>
      <c r="V445" s="24">
        <f t="shared" ref="V445" si="930">IFERROR(V444/U444-1,"n.m.")</f>
        <v>3.8440217910307162E-2</v>
      </c>
      <c r="W445" s="113">
        <f t="shared" ref="W445:X445" si="931">IFERROR(W444/V444-1,"n.m.")</f>
        <v>3.9523084703956268E-2</v>
      </c>
      <c r="X445" s="113">
        <f t="shared" si="931"/>
        <v>4.0355283190927738E-2</v>
      </c>
      <c r="Y445" s="135" t="s">
        <v>4</v>
      </c>
    </row>
    <row r="446" spans="2:25" ht="15" customHeight="1" outlineLevel="3">
      <c r="B446" s="18" t="s">
        <v>29</v>
      </c>
      <c r="C446" s="1" t="s">
        <v>21</v>
      </c>
      <c r="D446" s="173"/>
      <c r="E446" s="62"/>
      <c r="F446" s="62"/>
      <c r="G446" s="62"/>
      <c r="H446" s="62"/>
      <c r="I446" s="62"/>
      <c r="J446" s="62"/>
      <c r="K446" s="62"/>
      <c r="L446" s="62"/>
      <c r="M446" s="62"/>
      <c r="N446" s="23">
        <f>N444/N$432</f>
        <v>9.7403728872625897E-2</v>
      </c>
      <c r="O446" s="23">
        <f t="shared" ref="O446:W446" si="932">O444/O$432</f>
        <v>9.51575710991545E-2</v>
      </c>
      <c r="P446" s="23">
        <f t="shared" si="932"/>
        <v>9.8547422386784392E-2</v>
      </c>
      <c r="Q446" s="23">
        <f t="shared" si="932"/>
        <v>9.1363311920057103E-2</v>
      </c>
      <c r="R446" s="23">
        <f t="shared" si="932"/>
        <v>5.4427954471870821E-2</v>
      </c>
      <c r="S446" s="23">
        <f t="shared" si="932"/>
        <v>7.2012199413755876E-2</v>
      </c>
      <c r="T446" s="23">
        <f t="shared" si="932"/>
        <v>6.2288415235266334E-2</v>
      </c>
      <c r="U446" s="23">
        <f t="shared" si="932"/>
        <v>5.7304982986123423E-2</v>
      </c>
      <c r="V446" s="23">
        <f t="shared" si="932"/>
        <v>5.1754227492716742E-2</v>
      </c>
      <c r="W446" s="23">
        <f t="shared" si="932"/>
        <v>4.6181886579578051E-2</v>
      </c>
      <c r="X446" s="23">
        <f t="shared" ref="X446" si="933">X444/X$432</f>
        <v>4.0641409038196741E-2</v>
      </c>
      <c r="Y446" s="135" t="s">
        <v>4</v>
      </c>
    </row>
    <row r="447" spans="2:25" ht="15" customHeight="1" outlineLevel="3">
      <c r="Y447" s="135" t="s">
        <v>4</v>
      </c>
    </row>
    <row r="448" spans="2:25" ht="15" customHeight="1" outlineLevel="3">
      <c r="B448" s="6" t="s">
        <v>77</v>
      </c>
      <c r="C448" s="1" t="s">
        <v>26</v>
      </c>
      <c r="D448" s="173"/>
      <c r="E448" s="62"/>
      <c r="F448" s="62"/>
      <c r="G448" s="62"/>
      <c r="H448" s="62"/>
      <c r="I448" s="62"/>
      <c r="J448" s="62"/>
      <c r="K448" s="62"/>
      <c r="L448" s="62"/>
      <c r="M448" s="62"/>
      <c r="N448" s="62"/>
      <c r="O448" s="25">
        <f t="shared" ref="O448:X448" si="934">O199</f>
        <v>138</v>
      </c>
      <c r="P448" s="25">
        <f t="shared" si="934"/>
        <v>188</v>
      </c>
      <c r="Q448" s="25">
        <f t="shared" si="934"/>
        <v>213</v>
      </c>
      <c r="R448" s="25">
        <f t="shared" si="934"/>
        <v>194.77056801260119</v>
      </c>
      <c r="S448" s="25">
        <f t="shared" si="934"/>
        <v>202.59657076379074</v>
      </c>
      <c r="T448" s="25">
        <f t="shared" si="934"/>
        <v>224.75998694348675</v>
      </c>
      <c r="U448" s="25">
        <f t="shared" si="934"/>
        <v>237.50145660294575</v>
      </c>
      <c r="V448" s="25">
        <f t="shared" si="934"/>
        <v>242.33866080485458</v>
      </c>
      <c r="W448" s="25">
        <f t="shared" si="934"/>
        <v>254.84259947293771</v>
      </c>
      <c r="X448" s="25">
        <f t="shared" si="934"/>
        <v>269.59344342410827</v>
      </c>
      <c r="Y448" s="135" t="s">
        <v>4</v>
      </c>
    </row>
    <row r="449" spans="2:25" ht="15" customHeight="1" outlineLevel="3">
      <c r="B449" s="18" t="s">
        <v>27</v>
      </c>
      <c r="C449" s="1" t="s">
        <v>21</v>
      </c>
      <c r="D449" s="173"/>
      <c r="E449" s="62"/>
      <c r="F449" s="62"/>
      <c r="G449" s="62"/>
      <c r="H449" s="62"/>
      <c r="I449" s="62"/>
      <c r="J449" s="62"/>
      <c r="K449" s="62"/>
      <c r="L449" s="62"/>
      <c r="M449" s="62"/>
      <c r="N449" s="62"/>
      <c r="O449" s="24" t="str">
        <f>IFERROR(O448/N448-1,"n.m.")</f>
        <v>n.m.</v>
      </c>
      <c r="P449" s="24">
        <f>IFERROR(P448/O448-1,"n.m.")</f>
        <v>0.3623188405797102</v>
      </c>
      <c r="Q449" s="24">
        <f>IFERROR(Q448/P448-1,"n.m.")</f>
        <v>0.13297872340425543</v>
      </c>
      <c r="R449" s="24">
        <f t="shared" ref="R449" si="935">IFERROR(R448/Q448-1,"n.m.")</f>
        <v>-8.5584187734266681E-2</v>
      </c>
      <c r="S449" s="24">
        <f t="shared" ref="S449" si="936">IFERROR(S448/R448-1,"n.m.")</f>
        <v>4.0180622930068299E-2</v>
      </c>
      <c r="T449" s="24">
        <f t="shared" ref="T449" si="937">IFERROR(T448/S448-1,"n.m.")</f>
        <v>0.10939679825842941</v>
      </c>
      <c r="U449" s="24">
        <f t="shared" ref="U449" si="938">IFERROR(U448/T448-1,"n.m.")</f>
        <v>5.6689225839217983E-2</v>
      </c>
      <c r="V449" s="24">
        <f t="shared" ref="V449" si="939">IFERROR(V448/U448-1,"n.m.")</f>
        <v>2.0367050674538145E-2</v>
      </c>
      <c r="W449" s="113">
        <f t="shared" ref="W449:X449" si="940">IFERROR(W448/V448-1,"n.m.")</f>
        <v>5.1596961981035472E-2</v>
      </c>
      <c r="X449" s="113">
        <f t="shared" si="940"/>
        <v>5.7882175043254547E-2</v>
      </c>
      <c r="Y449" s="135" t="s">
        <v>4</v>
      </c>
    </row>
    <row r="450" spans="2:25" ht="15" customHeight="1" outlineLevel="3">
      <c r="B450" s="18" t="s">
        <v>29</v>
      </c>
      <c r="C450" s="1" t="s">
        <v>21</v>
      </c>
      <c r="D450" s="173"/>
      <c r="E450" s="62"/>
      <c r="F450" s="62"/>
      <c r="G450" s="62"/>
      <c r="H450" s="62"/>
      <c r="I450" s="62"/>
      <c r="J450" s="62"/>
      <c r="K450" s="62"/>
      <c r="L450" s="62"/>
      <c r="M450" s="62"/>
      <c r="N450" s="62"/>
      <c r="O450" s="23">
        <f t="shared" ref="O450:W450" si="941">O448/O$432</f>
        <v>2.1214450422751729E-2</v>
      </c>
      <c r="P450" s="23">
        <f t="shared" si="941"/>
        <v>2.677299914554258E-2</v>
      </c>
      <c r="Q450" s="23">
        <f t="shared" si="941"/>
        <v>2.5339043540328336E-2</v>
      </c>
      <c r="R450" s="23">
        <f t="shared" si="941"/>
        <v>1.4296449686695354E-2</v>
      </c>
      <c r="S450" s="23">
        <f t="shared" si="941"/>
        <v>1.8657175253901467E-2</v>
      </c>
      <c r="T450" s="23">
        <f t="shared" si="941"/>
        <v>1.706336126089765E-2</v>
      </c>
      <c r="U450" s="23">
        <f t="shared" si="941"/>
        <v>1.5860146856494915E-2</v>
      </c>
      <c r="V450" s="23">
        <f t="shared" si="941"/>
        <v>1.4074584194431835E-2</v>
      </c>
      <c r="W450" s="23">
        <f t="shared" si="941"/>
        <v>1.2705056414998311E-2</v>
      </c>
      <c r="X450" s="23">
        <f t="shared" ref="X450" si="942">X448/X$432</f>
        <v>1.1369184296028739E-2</v>
      </c>
      <c r="Y450" s="135" t="s">
        <v>4</v>
      </c>
    </row>
    <row r="451" spans="2:25" ht="15" customHeight="1" outlineLevel="3">
      <c r="Q451" s="25"/>
      <c r="Y451" s="135" t="s">
        <v>4</v>
      </c>
    </row>
    <row r="452" spans="2:25" ht="15" customHeight="1" outlineLevel="3">
      <c r="B452" s="6" t="s">
        <v>82</v>
      </c>
      <c r="C452" s="1" t="s">
        <v>26</v>
      </c>
      <c r="D452" s="173"/>
      <c r="E452" s="62"/>
      <c r="F452" s="62"/>
      <c r="G452" s="62"/>
      <c r="H452" s="62"/>
      <c r="I452" s="62"/>
      <c r="J452" s="62"/>
      <c r="K452" s="62"/>
      <c r="L452" s="62"/>
      <c r="M452" s="62"/>
      <c r="N452" s="62"/>
      <c r="O452" s="62"/>
      <c r="P452" s="62"/>
      <c r="Q452" s="181">
        <v>998</v>
      </c>
      <c r="R452" s="25">
        <f t="shared" ref="R452:X452" si="943">R256+R267</f>
        <v>1813.202711638789</v>
      </c>
      <c r="S452" s="25">
        <f t="shared" si="943"/>
        <v>2680.1652572969965</v>
      </c>
      <c r="T452" s="25">
        <f t="shared" si="943"/>
        <v>4230.2485085228236</v>
      </c>
      <c r="U452" s="25">
        <f t="shared" si="943"/>
        <v>5254.1376328771657</v>
      </c>
      <c r="V452" s="25">
        <f t="shared" si="943"/>
        <v>6579.2965293231318</v>
      </c>
      <c r="W452" s="25">
        <f t="shared" si="943"/>
        <v>8309.1382288464229</v>
      </c>
      <c r="X452" s="25">
        <f t="shared" si="943"/>
        <v>10587.562312898315</v>
      </c>
      <c r="Y452" s="135" t="s">
        <v>4</v>
      </c>
    </row>
    <row r="453" spans="2:25" ht="15" customHeight="1" outlineLevel="3">
      <c r="B453" s="18" t="s">
        <v>27</v>
      </c>
      <c r="C453" s="1" t="s">
        <v>21</v>
      </c>
      <c r="D453" s="173"/>
      <c r="E453" s="62"/>
      <c r="F453" s="62"/>
      <c r="G453" s="62"/>
      <c r="H453" s="62"/>
      <c r="I453" s="62"/>
      <c r="J453" s="62"/>
      <c r="K453" s="62"/>
      <c r="L453" s="62"/>
      <c r="M453" s="62"/>
      <c r="N453" s="62"/>
      <c r="O453" s="62"/>
      <c r="P453" s="62"/>
      <c r="Q453" s="24" t="str">
        <f>IFERROR(Q452/P452-1,"n.m.")</f>
        <v>n.m.</v>
      </c>
      <c r="R453" s="24">
        <f t="shared" ref="R453" si="944">IFERROR(R452/Q452-1,"n.m.")</f>
        <v>0.81683638440760409</v>
      </c>
      <c r="S453" s="24">
        <f t="shared" ref="S453" si="945">IFERROR(S452/R452-1,"n.m.")</f>
        <v>0.47813878729237014</v>
      </c>
      <c r="T453" s="24">
        <f t="shared" ref="T453" si="946">IFERROR(T452/S452-1,"n.m.")</f>
        <v>0.57835360972819982</v>
      </c>
      <c r="U453" s="24">
        <f t="shared" ref="U453" si="947">IFERROR(U452/T452-1,"n.m.")</f>
        <v>0.2420399468947223</v>
      </c>
      <c r="V453" s="24">
        <f t="shared" ref="V453" si="948">IFERROR(V452/U452-1,"n.m.")</f>
        <v>0.25221244456063263</v>
      </c>
      <c r="W453" s="113">
        <f t="shared" ref="W453:X453" si="949">IFERROR(W452/V452-1,"n.m.")</f>
        <v>0.26292198441179759</v>
      </c>
      <c r="X453" s="113">
        <f t="shared" si="949"/>
        <v>0.27420702620423376</v>
      </c>
      <c r="Y453" s="135" t="s">
        <v>4</v>
      </c>
    </row>
    <row r="454" spans="2:25" ht="15" customHeight="1" outlineLevel="3">
      <c r="B454" s="18" t="s">
        <v>29</v>
      </c>
      <c r="C454" s="1" t="s">
        <v>21</v>
      </c>
      <c r="D454" s="173"/>
      <c r="E454" s="62"/>
      <c r="F454" s="62"/>
      <c r="G454" s="62"/>
      <c r="H454" s="62"/>
      <c r="I454" s="62"/>
      <c r="J454" s="62"/>
      <c r="K454" s="62"/>
      <c r="L454" s="62"/>
      <c r="M454" s="62"/>
      <c r="N454" s="62"/>
      <c r="O454" s="62"/>
      <c r="P454" s="62"/>
      <c r="Q454" s="23">
        <f t="shared" ref="Q454:W454" si="950">Q452/Q$432</f>
        <v>0.11872472043778254</v>
      </c>
      <c r="R454" s="23">
        <f t="shared" si="950"/>
        <v>0.13309177871805775</v>
      </c>
      <c r="S454" s="23">
        <f t="shared" si="950"/>
        <v>0.24681717329316738</v>
      </c>
      <c r="T454" s="23">
        <f t="shared" si="950"/>
        <v>0.3211526193158562</v>
      </c>
      <c r="U454" s="23">
        <f t="shared" si="950"/>
        <v>0.35086687742291034</v>
      </c>
      <c r="V454" s="23">
        <f t="shared" si="950"/>
        <v>0.38211345492521009</v>
      </c>
      <c r="W454" s="23">
        <f t="shared" si="950"/>
        <v>0.4142481287502463</v>
      </c>
      <c r="X454" s="23">
        <f t="shared" ref="X454" si="951">X452/X$432</f>
        <v>0.44649434219239259</v>
      </c>
      <c r="Y454" s="135" t="s">
        <v>4</v>
      </c>
    </row>
    <row r="455" spans="2:25" ht="15" customHeight="1" outlineLevel="3">
      <c r="Y455" s="135" t="s">
        <v>4</v>
      </c>
    </row>
    <row r="456" spans="2:25" ht="15" customHeight="1" outlineLevel="3">
      <c r="B456" s="6" t="s">
        <v>83</v>
      </c>
      <c r="C456" s="1" t="s">
        <v>26</v>
      </c>
      <c r="D456" s="173"/>
      <c r="E456" s="62"/>
      <c r="F456" s="62"/>
      <c r="G456" s="62"/>
      <c r="H456" s="62"/>
      <c r="I456" s="62"/>
      <c r="J456" s="62"/>
      <c r="K456" s="62"/>
      <c r="L456" s="62"/>
      <c r="M456" s="62"/>
      <c r="N456" s="25">
        <f t="shared" ref="N456:X456" si="952">N312</f>
        <v>688</v>
      </c>
      <c r="O456" s="25">
        <f t="shared" si="952"/>
        <v>750</v>
      </c>
      <c r="P456" s="25">
        <f t="shared" si="952"/>
        <v>875</v>
      </c>
      <c r="Q456" s="25">
        <f t="shared" si="952"/>
        <v>933.3</v>
      </c>
      <c r="R456" s="25">
        <f t="shared" si="952"/>
        <v>1081.1517045056964</v>
      </c>
      <c r="S456" s="25">
        <f t="shared" si="952"/>
        <v>1209.4608368013553</v>
      </c>
      <c r="T456" s="25">
        <f t="shared" si="952"/>
        <v>1374.7935026695004</v>
      </c>
      <c r="U456" s="25">
        <f t="shared" si="952"/>
        <v>1587.3518767209157</v>
      </c>
      <c r="V456" s="25">
        <f t="shared" si="952"/>
        <v>1855.9719322348642</v>
      </c>
      <c r="W456" s="25">
        <f t="shared" si="952"/>
        <v>2204.1028388497848</v>
      </c>
      <c r="X456" s="25">
        <f t="shared" si="952"/>
        <v>2668.8399556299937</v>
      </c>
      <c r="Y456" s="135" t="s">
        <v>4</v>
      </c>
    </row>
    <row r="457" spans="2:25" ht="15" customHeight="1" outlineLevel="3">
      <c r="B457" s="18" t="s">
        <v>27</v>
      </c>
      <c r="C457" s="1" t="s">
        <v>21</v>
      </c>
      <c r="D457" s="173"/>
      <c r="E457" s="62"/>
      <c r="F457" s="62"/>
      <c r="G457" s="62"/>
      <c r="H457" s="62"/>
      <c r="I457" s="62"/>
      <c r="J457" s="62"/>
      <c r="K457" s="62"/>
      <c r="L457" s="62"/>
      <c r="M457" s="62"/>
      <c r="N457" s="53" t="str">
        <f>IFERROR(N456/M456-1,"n.m.")</f>
        <v>n.m.</v>
      </c>
      <c r="O457" s="53">
        <f>IFERROR(O456/N456-1,"n.m.")</f>
        <v>9.011627906976738E-2</v>
      </c>
      <c r="P457" s="53">
        <f>IFERROR(P456/O456-1,"n.m.")</f>
        <v>0.16666666666666674</v>
      </c>
      <c r="Q457" s="53">
        <f>IFERROR(Q456/P456-1,"n.m.")</f>
        <v>6.6628571428571481E-2</v>
      </c>
      <c r="R457" s="53">
        <f t="shared" ref="R457" si="953">IFERROR(R456/Q456-1,"n.m.")</f>
        <v>0.15841819833461535</v>
      </c>
      <c r="S457" s="53">
        <f t="shared" ref="S457" si="954">IFERROR(S456/R456-1,"n.m.")</f>
        <v>0.1186781945224995</v>
      </c>
      <c r="T457" s="53">
        <f t="shared" ref="T457" si="955">IFERROR(T456/S456-1,"n.m.")</f>
        <v>0.13669947867464494</v>
      </c>
      <c r="U457" s="53">
        <f t="shared" ref="U457" si="956">IFERROR(U456/T456-1,"n.m.")</f>
        <v>0.15461112788115505</v>
      </c>
      <c r="V457" s="53">
        <f t="shared" ref="V457" si="957">IFERROR(V456/U456-1,"n.m.")</f>
        <v>0.16922527352212069</v>
      </c>
      <c r="W457" s="116">
        <f t="shared" ref="W457:X457" si="958">IFERROR(W456/V456-1,"n.m.")</f>
        <v>0.18757336820051984</v>
      </c>
      <c r="X457" s="116">
        <f t="shared" si="958"/>
        <v>0.21085092246545667</v>
      </c>
      <c r="Y457" s="135" t="s">
        <v>4</v>
      </c>
    </row>
    <row r="458" spans="2:25" ht="15" customHeight="1" outlineLevel="3">
      <c r="B458" s="18" t="s">
        <v>29</v>
      </c>
      <c r="C458" s="1" t="s">
        <v>21</v>
      </c>
      <c r="D458" s="173"/>
      <c r="E458" s="62"/>
      <c r="F458" s="62"/>
      <c r="G458" s="62"/>
      <c r="H458" s="62"/>
      <c r="I458" s="62"/>
      <c r="J458" s="62"/>
      <c r="K458" s="62"/>
      <c r="L458" s="62"/>
      <c r="M458" s="62"/>
      <c r="N458" s="53">
        <f>N456/N$432</f>
        <v>0.11988151245861649</v>
      </c>
      <c r="O458" s="53">
        <f t="shared" ref="O458:W458" si="959">O456/O$432</f>
        <v>0.11529592621060722</v>
      </c>
      <c r="P458" s="53">
        <f t="shared" si="959"/>
        <v>0.12460837368271148</v>
      </c>
      <c r="Q458" s="53">
        <f t="shared" si="959"/>
        <v>0.11102783725910063</v>
      </c>
      <c r="R458" s="53">
        <f t="shared" si="959"/>
        <v>7.9358144841219572E-2</v>
      </c>
      <c r="S458" s="53">
        <f t="shared" si="959"/>
        <v>0.11137958905159406</v>
      </c>
      <c r="T458" s="53">
        <f t="shared" si="959"/>
        <v>0.10437177237015471</v>
      </c>
      <c r="U458" s="53">
        <f t="shared" si="959"/>
        <v>0.1060020188415732</v>
      </c>
      <c r="V458" s="53">
        <f t="shared" si="959"/>
        <v>0.10779144002853484</v>
      </c>
      <c r="W458" s="53">
        <f t="shared" si="959"/>
        <v>0.10988449721498848</v>
      </c>
      <c r="X458" s="53">
        <f t="shared" ref="X458" si="960">X456/X$432</f>
        <v>0.11254922570364406</v>
      </c>
      <c r="Y458" s="135" t="s">
        <v>4</v>
      </c>
    </row>
    <row r="459" spans="2:25" ht="15" customHeight="1" outlineLevel="3">
      <c r="B459" s="18"/>
      <c r="D459" s="19"/>
      <c r="N459" s="53"/>
      <c r="O459" s="53"/>
      <c r="P459" s="53"/>
      <c r="Q459" s="53"/>
      <c r="R459" s="53"/>
      <c r="S459" s="53"/>
      <c r="T459" s="53"/>
      <c r="U459" s="53"/>
      <c r="V459" s="53"/>
      <c r="W459" s="53"/>
      <c r="X459" s="53"/>
      <c r="Y459" s="135" t="s">
        <v>4</v>
      </c>
    </row>
    <row r="460" spans="2:25" ht="15" customHeight="1" outlineLevel="3">
      <c r="B460" s="6" t="s">
        <v>84</v>
      </c>
      <c r="C460" s="1" t="s">
        <v>26</v>
      </c>
      <c r="D460" s="173"/>
      <c r="E460" s="62"/>
      <c r="F460" s="62"/>
      <c r="G460" s="62"/>
      <c r="H460" s="62"/>
      <c r="I460" s="62"/>
      <c r="J460" s="62"/>
      <c r="K460" s="62"/>
      <c r="L460" s="62"/>
      <c r="M460" s="62"/>
      <c r="N460" s="25">
        <f>N432-SUM(N436,N440,N444,N448,N452,N456)</f>
        <v>5</v>
      </c>
      <c r="O460" s="25">
        <f t="shared" ref="O460:Q460" si="961">O432-SUM(O436,O440,O444,O448,O452,O456)</f>
        <v>2</v>
      </c>
      <c r="P460" s="25">
        <f t="shared" si="961"/>
        <v>-2</v>
      </c>
      <c r="Q460" s="25">
        <f t="shared" si="961"/>
        <v>5.7000000000007276</v>
      </c>
      <c r="R460" s="186">
        <f>AVERAGE($N$460:Q460)</f>
        <v>2.6750000000001819</v>
      </c>
      <c r="S460" s="186">
        <f>AVERAGE($N$460:R460)</f>
        <v>2.6750000000001819</v>
      </c>
      <c r="T460" s="186">
        <f>AVERAGE($N$460:S460)</f>
        <v>2.6750000000001819</v>
      </c>
      <c r="U460" s="186">
        <f>AVERAGE($N$460:T460)</f>
        <v>2.6750000000001819</v>
      </c>
      <c r="V460" s="186">
        <f>AVERAGE($N$460:U460)</f>
        <v>2.6750000000001819</v>
      </c>
      <c r="W460" s="186">
        <f>AVERAGE($N$460:V460)</f>
        <v>2.6750000000001819</v>
      </c>
      <c r="X460" s="186">
        <f>AVERAGE($N$460:W460)</f>
        <v>2.6750000000001819</v>
      </c>
      <c r="Y460" s="135" t="s">
        <v>4</v>
      </c>
    </row>
    <row r="461" spans="2:25" ht="15" customHeight="1" outlineLevel="3">
      <c r="B461" s="18" t="s">
        <v>27</v>
      </c>
      <c r="C461" s="1" t="s">
        <v>21</v>
      </c>
      <c r="D461" s="173"/>
      <c r="E461" s="62"/>
      <c r="F461" s="62"/>
      <c r="G461" s="62"/>
      <c r="H461" s="62"/>
      <c r="I461" s="62"/>
      <c r="J461" s="62"/>
      <c r="K461" s="62"/>
      <c r="L461" s="62"/>
      <c r="M461" s="62"/>
      <c r="N461" s="53" t="str">
        <f>IFERROR(N460/M460-1,"n.m.")</f>
        <v>n.m.</v>
      </c>
      <c r="O461" s="53">
        <f>IFERROR(O460/N460-1,"n.m.")</f>
        <v>-0.6</v>
      </c>
      <c r="P461" s="53">
        <f>IFERROR(P460/O460-1,"n.m.")</f>
        <v>-2</v>
      </c>
      <c r="Q461" s="53">
        <f>IFERROR(Q460/P460-1,"n.m.")</f>
        <v>-3.8500000000003638</v>
      </c>
      <c r="R461" s="53">
        <f t="shared" ref="R461" si="962">IFERROR(R460/Q460-1,"n.m.")</f>
        <v>-0.53070175438599287</v>
      </c>
      <c r="S461" s="53">
        <f t="shared" ref="S461" si="963">IFERROR(S460/R460-1,"n.m.")</f>
        <v>0</v>
      </c>
      <c r="T461" s="53">
        <f t="shared" ref="T461" si="964">IFERROR(T460/S460-1,"n.m.")</f>
        <v>0</v>
      </c>
      <c r="U461" s="53">
        <f t="shared" ref="U461" si="965">IFERROR(U460/T460-1,"n.m.")</f>
        <v>0</v>
      </c>
      <c r="V461" s="53">
        <f t="shared" ref="V461" si="966">IFERROR(V460/U460-1,"n.m.")</f>
        <v>0</v>
      </c>
      <c r="W461" s="116">
        <f t="shared" ref="W461:X461" si="967">IFERROR(W460/V460-1,"n.m.")</f>
        <v>0</v>
      </c>
      <c r="X461" s="116">
        <f t="shared" si="967"/>
        <v>0</v>
      </c>
      <c r="Y461" s="135" t="s">
        <v>4</v>
      </c>
    </row>
    <row r="462" spans="2:25" ht="15" customHeight="1" outlineLevel="3">
      <c r="B462" s="20" t="s">
        <v>29</v>
      </c>
      <c r="C462" s="21" t="s">
        <v>21</v>
      </c>
      <c r="D462" s="174"/>
      <c r="E462" s="63"/>
      <c r="F462" s="63"/>
      <c r="G462" s="63"/>
      <c r="H462" s="63"/>
      <c r="I462" s="63"/>
      <c r="J462" s="63"/>
      <c r="K462" s="63"/>
      <c r="L462" s="63"/>
      <c r="M462" s="63"/>
      <c r="N462" s="83">
        <f>N460/N$432</f>
        <v>8.7123192193761976E-4</v>
      </c>
      <c r="O462" s="83">
        <f t="shared" ref="O462:W462" si="968">O460/O$432</f>
        <v>3.0745580322828596E-4</v>
      </c>
      <c r="P462" s="83">
        <f t="shared" si="968"/>
        <v>-2.8481913984619768E-4</v>
      </c>
      <c r="Q462" s="83">
        <f t="shared" si="968"/>
        <v>6.7808708065676031E-4</v>
      </c>
      <c r="R462" s="83">
        <f t="shared" si="968"/>
        <v>1.9634898281673874E-4</v>
      </c>
      <c r="S462" s="83">
        <f t="shared" si="968"/>
        <v>2.4634150329414E-4</v>
      </c>
      <c r="T462" s="83">
        <f t="shared" si="968"/>
        <v>2.0308103765987977E-4</v>
      </c>
      <c r="U462" s="83">
        <f t="shared" si="968"/>
        <v>1.7863424270300065E-4</v>
      </c>
      <c r="V462" s="83">
        <f t="shared" si="968"/>
        <v>1.5535908548419903E-4</v>
      </c>
      <c r="W462" s="83">
        <f t="shared" si="968"/>
        <v>1.3336085089546358E-4</v>
      </c>
      <c r="X462" s="83">
        <f t="shared" ref="X462" si="969">X460/X$432</f>
        <v>1.1280900457225034E-4</v>
      </c>
      <c r="Y462" s="135" t="s">
        <v>4</v>
      </c>
    </row>
    <row r="463" spans="2:25" ht="15" customHeight="1" outlineLevel="3">
      <c r="B463" s="18"/>
      <c r="D463" s="19"/>
      <c r="N463" s="53"/>
      <c r="O463" s="53"/>
      <c r="P463" s="53"/>
      <c r="Q463" s="53"/>
      <c r="R463" s="53"/>
      <c r="S463" s="53"/>
      <c r="T463" s="53"/>
      <c r="U463" s="53"/>
      <c r="V463" s="53"/>
      <c r="W463" s="53"/>
      <c r="X463" s="53"/>
    </row>
    <row r="464" spans="2:25" ht="15" customHeight="1" outlineLevel="3">
      <c r="B464" s="2" t="s">
        <v>85</v>
      </c>
      <c r="C464" s="1" t="s">
        <v>26</v>
      </c>
      <c r="D464" s="62"/>
      <c r="E464" s="62"/>
      <c r="F464" s="62"/>
      <c r="G464" s="62"/>
      <c r="H464" s="62"/>
      <c r="I464" s="62"/>
      <c r="J464" s="62"/>
      <c r="K464" s="62"/>
      <c r="L464" s="62"/>
      <c r="M464" s="62"/>
      <c r="N464" s="25">
        <f>N432-SUM(N467,N471,N475,N487)</f>
        <v>0</v>
      </c>
      <c r="O464" s="25">
        <f t="shared" ref="O464:W464" si="970">O432-SUM(O467,O471,O475,O487)</f>
        <v>0</v>
      </c>
      <c r="P464" s="25">
        <f t="shared" si="970"/>
        <v>0</v>
      </c>
      <c r="Q464" s="25">
        <f t="shared" si="970"/>
        <v>0</v>
      </c>
      <c r="R464" s="25">
        <f t="shared" si="970"/>
        <v>0</v>
      </c>
      <c r="S464" s="25">
        <f t="shared" si="970"/>
        <v>0</v>
      </c>
      <c r="T464" s="25">
        <f t="shared" si="970"/>
        <v>0</v>
      </c>
      <c r="U464" s="25">
        <f t="shared" si="970"/>
        <v>0</v>
      </c>
      <c r="V464" s="25">
        <f t="shared" si="970"/>
        <v>0</v>
      </c>
      <c r="W464" s="25">
        <f t="shared" si="970"/>
        <v>0</v>
      </c>
      <c r="X464" s="25">
        <f t="shared" ref="X464" si="971">X432-SUM(X467,X471,X475,X487)</f>
        <v>0</v>
      </c>
      <c r="Y464" s="135" t="s">
        <v>4</v>
      </c>
    </row>
    <row r="465" spans="2:25" ht="15" customHeight="1" outlineLevel="2">
      <c r="Y465" s="135" t="s">
        <v>4</v>
      </c>
    </row>
    <row r="466" spans="2:25" ht="15" customHeight="1" outlineLevel="2">
      <c r="B466" s="171" t="s">
        <v>86</v>
      </c>
      <c r="Y466" s="135" t="s">
        <v>4</v>
      </c>
    </row>
    <row r="467" spans="2:25" ht="15" customHeight="1" outlineLevel="3">
      <c r="B467" s="17" t="s">
        <v>87</v>
      </c>
      <c r="C467" s="15" t="s">
        <v>26</v>
      </c>
      <c r="D467" s="172"/>
      <c r="E467" s="61"/>
      <c r="F467" s="61"/>
      <c r="G467" s="61"/>
      <c r="H467" s="61"/>
      <c r="I467" s="61"/>
      <c r="J467" s="61"/>
      <c r="K467" s="61"/>
      <c r="L467" s="61"/>
      <c r="M467" s="61"/>
      <c r="N467" s="31">
        <f>N29+N88+N145</f>
        <v>184</v>
      </c>
      <c r="O467" s="179">
        <f>O29+O88+O145+O202</f>
        <v>236</v>
      </c>
      <c r="P467" s="31">
        <f>P29+P88+P145+P202</f>
        <v>273</v>
      </c>
      <c r="Q467" s="180">
        <f>Q29+Q88+Q145+Q202+Q452-Q267</f>
        <v>1591</v>
      </c>
      <c r="R467" s="31">
        <f t="shared" ref="R467:X467" si="972">R29+R88+R145+R202+R256</f>
        <v>7014.9888889677459</v>
      </c>
      <c r="S467" s="31">
        <f t="shared" si="972"/>
        <v>3250.3638186679818</v>
      </c>
      <c r="T467" s="31">
        <f t="shared" si="972"/>
        <v>4987.2953334789809</v>
      </c>
      <c r="U467" s="31">
        <f t="shared" si="972"/>
        <v>6146.6574594342201</v>
      </c>
      <c r="V467" s="31">
        <f t="shared" si="972"/>
        <v>7642.8113418930316</v>
      </c>
      <c r="W467" s="31">
        <f t="shared" si="972"/>
        <v>9593.5854692854373</v>
      </c>
      <c r="X467" s="31">
        <f t="shared" si="972"/>
        <v>12161.72743756146</v>
      </c>
      <c r="Y467" s="135" t="s">
        <v>4</v>
      </c>
    </row>
    <row r="468" spans="2:25" ht="15" customHeight="1" outlineLevel="3">
      <c r="B468" s="18" t="s">
        <v>27</v>
      </c>
      <c r="C468" s="1" t="s">
        <v>21</v>
      </c>
      <c r="D468" s="62"/>
      <c r="E468" s="62"/>
      <c r="F468" s="62"/>
      <c r="G468" s="62"/>
      <c r="H468" s="62"/>
      <c r="I468" s="62"/>
      <c r="J468" s="62"/>
      <c r="K468" s="62"/>
      <c r="L468" s="62"/>
      <c r="M468" s="62"/>
      <c r="N468" s="24" t="str">
        <f>IFERROR(N467/M467-1,"n.m.")</f>
        <v>n.m.</v>
      </c>
      <c r="O468" s="24">
        <f>IFERROR(O467/N467-1,"n.m.")</f>
        <v>0.28260869565217384</v>
      </c>
      <c r="P468" s="24">
        <f>IFERROR(P467/O467-1,"n.m.")</f>
        <v>0.15677966101694918</v>
      </c>
      <c r="Q468" s="24">
        <f>IFERROR(Q467/P467-1,"n.m.")</f>
        <v>4.8278388278388276</v>
      </c>
      <c r="R468" s="24">
        <f t="shared" ref="R468" si="973">IFERROR(R467/Q467-1,"n.m.")</f>
        <v>3.4091696348005947</v>
      </c>
      <c r="S468" s="24">
        <f t="shared" ref="S468" si="974">IFERROR(S467/R467-1,"n.m.")</f>
        <v>-0.53665445945613288</v>
      </c>
      <c r="T468" s="24">
        <f t="shared" ref="T468" si="975">IFERROR(T467/S467-1,"n.m.")</f>
        <v>0.53438064527890416</v>
      </c>
      <c r="U468" s="24">
        <f t="shared" ref="U468" si="976">IFERROR(U467/T467-1,"n.m.")</f>
        <v>0.23246309841982127</v>
      </c>
      <c r="V468" s="24">
        <f t="shared" ref="V468" si="977">IFERROR(V467/U467-1,"n.m.")</f>
        <v>0.24340934765486799</v>
      </c>
      <c r="W468" s="113">
        <f t="shared" ref="W468:X468" si="978">IFERROR(W467/V467-1,"n.m.")</f>
        <v>0.2552430041939544</v>
      </c>
      <c r="X468" s="113">
        <f t="shared" si="978"/>
        <v>0.26769365598483663</v>
      </c>
      <c r="Y468" s="135" t="s">
        <v>4</v>
      </c>
    </row>
    <row r="469" spans="2:25" ht="15" customHeight="1" outlineLevel="3">
      <c r="B469" s="18" t="s">
        <v>29</v>
      </c>
      <c r="C469" s="1" t="s">
        <v>21</v>
      </c>
      <c r="D469" s="62"/>
      <c r="E469" s="62"/>
      <c r="F469" s="62"/>
      <c r="G469" s="62"/>
      <c r="H469" s="62"/>
      <c r="I469" s="62"/>
      <c r="J469" s="62"/>
      <c r="K469" s="62"/>
      <c r="L469" s="62"/>
      <c r="M469" s="62"/>
      <c r="N469" s="23">
        <f>N467/N$432</f>
        <v>3.2061334727304408E-2</v>
      </c>
      <c r="O469" s="23">
        <f t="shared" ref="O469:W469" si="979">O467/O$432</f>
        <v>3.6279784780937741E-2</v>
      </c>
      <c r="P469" s="23">
        <f t="shared" si="979"/>
        <v>3.8877812589005981E-2</v>
      </c>
      <c r="Q469" s="23">
        <f t="shared" si="979"/>
        <v>0.18926956935522246</v>
      </c>
      <c r="R469" s="23">
        <f t="shared" si="979"/>
        <v>0.51491062909138219</v>
      </c>
      <c r="S469" s="23">
        <f t="shared" si="979"/>
        <v>0.29932691938074679</v>
      </c>
      <c r="T469" s="23">
        <f t="shared" si="979"/>
        <v>0.37862620988378271</v>
      </c>
      <c r="U469" s="23">
        <f t="shared" si="979"/>
        <v>0.41046859828811483</v>
      </c>
      <c r="V469" s="23">
        <f t="shared" si="979"/>
        <v>0.44388044134754567</v>
      </c>
      <c r="W469" s="23">
        <f t="shared" si="979"/>
        <v>0.47828363413913061</v>
      </c>
      <c r="X469" s="23">
        <f t="shared" ref="X469" si="980">X467/X$432</f>
        <v>0.51287938920008969</v>
      </c>
      <c r="Y469" s="135" t="s">
        <v>4</v>
      </c>
    </row>
    <row r="470" spans="2:25" ht="15" customHeight="1" outlineLevel="3">
      <c r="Y470" s="135" t="s">
        <v>4</v>
      </c>
    </row>
    <row r="471" spans="2:25" ht="15" customHeight="1" outlineLevel="3">
      <c r="B471" s="6" t="s">
        <v>88</v>
      </c>
      <c r="C471" s="1" t="s">
        <v>26</v>
      </c>
      <c r="D471" s="173"/>
      <c r="E471" s="62"/>
      <c r="F471" s="62"/>
      <c r="G471" s="62"/>
      <c r="H471" s="62"/>
      <c r="I471" s="62"/>
      <c r="J471" s="62"/>
      <c r="K471" s="62"/>
      <c r="L471" s="62"/>
      <c r="M471" s="62"/>
      <c r="N471" s="25">
        <f t="shared" ref="N471:X471" si="981">N25</f>
        <v>2193</v>
      </c>
      <c r="O471" s="25">
        <f t="shared" si="981"/>
        <v>2583</v>
      </c>
      <c r="P471" s="25">
        <f t="shared" si="981"/>
        <v>2678</v>
      </c>
      <c r="Q471" s="25">
        <f t="shared" si="981"/>
        <v>2708</v>
      </c>
      <c r="R471" s="25">
        <f t="shared" si="981"/>
        <v>2908.9336000000003</v>
      </c>
      <c r="S471" s="25">
        <f t="shared" si="981"/>
        <v>3124.7764731200004</v>
      </c>
      <c r="T471" s="25">
        <f t="shared" si="981"/>
        <v>3356.6348874255045</v>
      </c>
      <c r="U471" s="25">
        <f t="shared" si="981"/>
        <v>3605.6971960724773</v>
      </c>
      <c r="V471" s="25">
        <f t="shared" si="981"/>
        <v>3873.2399280210552</v>
      </c>
      <c r="W471" s="25">
        <f t="shared" si="981"/>
        <v>4160.6343306802173</v>
      </c>
      <c r="X471" s="25">
        <f t="shared" si="981"/>
        <v>4469.3533980166894</v>
      </c>
      <c r="Y471" s="135" t="s">
        <v>4</v>
      </c>
    </row>
    <row r="472" spans="2:25" ht="15" customHeight="1" outlineLevel="3">
      <c r="B472" s="18" t="s">
        <v>27</v>
      </c>
      <c r="C472" s="1" t="s">
        <v>21</v>
      </c>
      <c r="D472" s="173"/>
      <c r="E472" s="62"/>
      <c r="F472" s="62"/>
      <c r="G472" s="62"/>
      <c r="H472" s="62"/>
      <c r="I472" s="62"/>
      <c r="J472" s="62"/>
      <c r="K472" s="62"/>
      <c r="L472" s="62"/>
      <c r="M472" s="62"/>
      <c r="N472" s="24" t="str">
        <f>IFERROR(N471/M471-1,"n.m.")</f>
        <v>n.m.</v>
      </c>
      <c r="O472" s="24">
        <f>IFERROR(O471/N471-1,"n.m.")</f>
        <v>0.17783857729138175</v>
      </c>
      <c r="P472" s="24">
        <f>IFERROR(P471/O471-1,"n.m.")</f>
        <v>3.6778939217963602E-2</v>
      </c>
      <c r="Q472" s="24">
        <f>IFERROR(Q471/P471-1,"n.m.")</f>
        <v>1.1202389843166571E-2</v>
      </c>
      <c r="R472" s="24">
        <f t="shared" ref="R472" si="982">IFERROR(R471/Q471-1,"n.m.")</f>
        <v>7.4200000000000044E-2</v>
      </c>
      <c r="S472" s="24">
        <f t="shared" ref="S472" si="983">IFERROR(S471/R471-1,"n.m.")</f>
        <v>7.4200000000000044E-2</v>
      </c>
      <c r="T472" s="24">
        <f t="shared" ref="T472" si="984">IFERROR(T471/S471-1,"n.m.")</f>
        <v>7.4200000000000044E-2</v>
      </c>
      <c r="U472" s="24">
        <f t="shared" ref="U472" si="985">IFERROR(U471/T471-1,"n.m.")</f>
        <v>7.4200000000000044E-2</v>
      </c>
      <c r="V472" s="24">
        <f t="shared" ref="V472" si="986">IFERROR(V471/U471-1,"n.m.")</f>
        <v>7.4200000000000044E-2</v>
      </c>
      <c r="W472" s="113">
        <f t="shared" ref="W472:X472" si="987">IFERROR(W471/V471-1,"n.m.")</f>
        <v>7.4200000000000044E-2</v>
      </c>
      <c r="X472" s="113">
        <f t="shared" si="987"/>
        <v>7.4200000000000044E-2</v>
      </c>
      <c r="Y472" s="135" t="s">
        <v>4</v>
      </c>
    </row>
    <row r="473" spans="2:25" ht="15" customHeight="1" outlineLevel="3">
      <c r="B473" s="18" t="s">
        <v>29</v>
      </c>
      <c r="C473" s="1" t="s">
        <v>21</v>
      </c>
      <c r="D473" s="173"/>
      <c r="E473" s="62"/>
      <c r="F473" s="62"/>
      <c r="G473" s="62"/>
      <c r="H473" s="62"/>
      <c r="I473" s="62"/>
      <c r="J473" s="62"/>
      <c r="K473" s="62"/>
      <c r="L473" s="62"/>
      <c r="M473" s="62"/>
      <c r="N473" s="23">
        <f>N471/N$432</f>
        <v>0.38212232096184007</v>
      </c>
      <c r="O473" s="23">
        <f t="shared" ref="O473:W473" si="988">O471/O$432</f>
        <v>0.39707916986933128</v>
      </c>
      <c r="P473" s="23">
        <f t="shared" si="988"/>
        <v>0.38137282825405866</v>
      </c>
      <c r="Q473" s="23">
        <f t="shared" si="988"/>
        <v>0.32215084463478466</v>
      </c>
      <c r="R473" s="23">
        <f t="shared" si="988"/>
        <v>0.21352005736126922</v>
      </c>
      <c r="S473" s="23">
        <f t="shared" si="988"/>
        <v>0.28776154536317361</v>
      </c>
      <c r="T473" s="23">
        <f t="shared" si="988"/>
        <v>0.25482949382567432</v>
      </c>
      <c r="U473" s="23">
        <f t="shared" si="988"/>
        <v>0.2407854160884845</v>
      </c>
      <c r="V473" s="23">
        <f t="shared" si="988"/>
        <v>0.22495065909465237</v>
      </c>
      <c r="W473" s="23">
        <f t="shared" si="988"/>
        <v>0.20742644284274905</v>
      </c>
      <c r="X473" s="23">
        <f t="shared" ref="X473" si="989">X471/X$432</f>
        <v>0.18847974127545161</v>
      </c>
      <c r="Y473" s="135" t="s">
        <v>4</v>
      </c>
    </row>
    <row r="474" spans="2:25" ht="15" customHeight="1" outlineLevel="3">
      <c r="Y474" s="135" t="s">
        <v>4</v>
      </c>
    </row>
    <row r="475" spans="2:25" ht="15" customHeight="1" outlineLevel="3">
      <c r="B475" s="6" t="s">
        <v>31</v>
      </c>
      <c r="C475" s="1" t="s">
        <v>26</v>
      </c>
      <c r="D475" s="173"/>
      <c r="E475" s="62"/>
      <c r="F475" s="62"/>
      <c r="G475" s="62"/>
      <c r="H475" s="62"/>
      <c r="I475" s="62"/>
      <c r="J475" s="62"/>
      <c r="K475" s="62"/>
      <c r="L475" s="62"/>
      <c r="M475" s="62"/>
      <c r="N475" s="25">
        <f>N479+N483</f>
        <v>3357</v>
      </c>
      <c r="O475" s="25">
        <f t="shared" ref="O475:W475" si="990">O479+O483</f>
        <v>3684</v>
      </c>
      <c r="P475" s="25">
        <f t="shared" si="990"/>
        <v>4073</v>
      </c>
      <c r="Q475" s="25">
        <f t="shared" si="990"/>
        <v>4101.3</v>
      </c>
      <c r="R475" s="25">
        <f t="shared" si="990"/>
        <v>3697.1043587616005</v>
      </c>
      <c r="S475" s="25">
        <f t="shared" si="990"/>
        <v>4481.0938413845224</v>
      </c>
      <c r="T475" s="25">
        <f t="shared" si="990"/>
        <v>4825.4763817130552</v>
      </c>
      <c r="U475" s="25">
        <f t="shared" si="990"/>
        <v>5219.7028455158961</v>
      </c>
      <c r="V475" s="25">
        <f t="shared" si="990"/>
        <v>5699.4492340363786</v>
      </c>
      <c r="W475" s="25">
        <f t="shared" si="990"/>
        <v>6301.4655212129437</v>
      </c>
      <c r="X475" s="25">
        <f t="shared" ref="X475" si="991">X479+X483</f>
        <v>7078.8902439015746</v>
      </c>
      <c r="Y475" s="135" t="s">
        <v>4</v>
      </c>
    </row>
    <row r="476" spans="2:25" ht="15" customHeight="1" outlineLevel="3">
      <c r="B476" s="18" t="s">
        <v>27</v>
      </c>
      <c r="C476" s="1" t="s">
        <v>21</v>
      </c>
      <c r="D476" s="173"/>
      <c r="E476" s="62"/>
      <c r="F476" s="62"/>
      <c r="G476" s="62"/>
      <c r="H476" s="62"/>
      <c r="I476" s="62"/>
      <c r="J476" s="62"/>
      <c r="K476" s="62"/>
      <c r="L476" s="62"/>
      <c r="M476" s="62"/>
      <c r="N476" s="24" t="str">
        <f>IFERROR(N475/M475-1,"n.m.")</f>
        <v>n.m.</v>
      </c>
      <c r="O476" s="24">
        <f>IFERROR(O475/N475-1,"n.m.")</f>
        <v>9.7408400357462011E-2</v>
      </c>
      <c r="P476" s="24">
        <f>IFERROR(P475/O475-1,"n.m.")</f>
        <v>0.10559174809989136</v>
      </c>
      <c r="Q476" s="24">
        <f>IFERROR(Q475/P475-1,"n.m.")</f>
        <v>6.9481954333414642E-3</v>
      </c>
      <c r="R476" s="24">
        <f t="shared" ref="R476" si="992">IFERROR(R475/Q475-1,"n.m.")</f>
        <v>-9.8553054211688917E-2</v>
      </c>
      <c r="S476" s="24">
        <f t="shared" ref="S476" si="993">IFERROR(S475/R475-1,"n.m.")</f>
        <v>0.21205500482153838</v>
      </c>
      <c r="T476" s="24">
        <f t="shared" ref="T476" si="994">IFERROR(T475/S475-1,"n.m.")</f>
        <v>7.6852338406314002E-2</v>
      </c>
      <c r="U476" s="24">
        <f t="shared" ref="U476" si="995">IFERROR(U475/T475-1,"n.m.")</f>
        <v>8.1696900496047942E-2</v>
      </c>
      <c r="V476" s="24">
        <f t="shared" ref="V476" si="996">IFERROR(V475/U475-1,"n.m.")</f>
        <v>9.1910670534170347E-2</v>
      </c>
      <c r="W476" s="113">
        <f t="shared" ref="W476:X476" si="997">IFERROR(W475/V475-1,"n.m.")</f>
        <v>0.10562709876971987</v>
      </c>
      <c r="X476" s="113">
        <f t="shared" si="997"/>
        <v>0.12337205052880895</v>
      </c>
      <c r="Y476" s="135" t="s">
        <v>4</v>
      </c>
    </row>
    <row r="477" spans="2:25" ht="15" customHeight="1" outlineLevel="3">
      <c r="B477" s="18" t="s">
        <v>29</v>
      </c>
      <c r="C477" s="1" t="s">
        <v>21</v>
      </c>
      <c r="D477" s="173"/>
      <c r="E477" s="62"/>
      <c r="F477" s="62"/>
      <c r="G477" s="62"/>
      <c r="H477" s="62"/>
      <c r="I477" s="62"/>
      <c r="J477" s="62"/>
      <c r="K477" s="62"/>
      <c r="L477" s="62"/>
      <c r="M477" s="62"/>
      <c r="N477" s="23">
        <f>N475/N$432</f>
        <v>0.58494511238891789</v>
      </c>
      <c r="O477" s="23">
        <f t="shared" ref="O477:W477" si="998">O475/O$432</f>
        <v>0.5663335895465027</v>
      </c>
      <c r="P477" s="23">
        <f t="shared" si="998"/>
        <v>0.5800341782967815</v>
      </c>
      <c r="Q477" s="23">
        <f t="shared" si="998"/>
        <v>0.48790149892933621</v>
      </c>
      <c r="R477" s="23">
        <f t="shared" si="998"/>
        <v>0.27137296456453158</v>
      </c>
      <c r="S477" s="23">
        <f t="shared" si="998"/>
        <v>0.41266519375278532</v>
      </c>
      <c r="T477" s="23">
        <f t="shared" si="998"/>
        <v>0.36634121525288327</v>
      </c>
      <c r="U477" s="23">
        <f t="shared" si="998"/>
        <v>0.34856735138069767</v>
      </c>
      <c r="V477" s="23">
        <f t="shared" si="998"/>
        <v>0.33101354047231785</v>
      </c>
      <c r="W477" s="23">
        <f t="shared" si="998"/>
        <v>0.31415656216722504</v>
      </c>
      <c r="X477" s="23">
        <f t="shared" ref="X477" si="999">X475/X$432</f>
        <v>0.29852806051988662</v>
      </c>
      <c r="Y477" s="135" t="s">
        <v>4</v>
      </c>
    </row>
    <row r="478" spans="2:25" ht="15" customHeight="1" outlineLevel="4">
      <c r="Y478" s="135" t="s">
        <v>4</v>
      </c>
    </row>
    <row r="479" spans="2:25" ht="15" customHeight="1" outlineLevel="4">
      <c r="B479" s="18" t="s">
        <v>33</v>
      </c>
      <c r="C479" s="1" t="s">
        <v>26</v>
      </c>
      <c r="D479" s="173"/>
      <c r="E479" s="62"/>
      <c r="F479" s="62"/>
      <c r="G479" s="62"/>
      <c r="H479" s="62"/>
      <c r="I479" s="62"/>
      <c r="J479" s="62"/>
      <c r="K479" s="62"/>
      <c r="L479" s="62"/>
      <c r="M479" s="62"/>
      <c r="N479" s="25">
        <f>N38+N97+N154+N316</f>
        <v>2437</v>
      </c>
      <c r="O479" s="182">
        <f>O38+O97+O154+O316+O211</f>
        <v>2661</v>
      </c>
      <c r="P479" s="25">
        <f>P38+P97+P154+P316+P211</f>
        <v>2902</v>
      </c>
      <c r="Q479" s="182">
        <f t="shared" ref="Q479:X479" si="1000">Q38+Q97+Q154+Q316+Q211+Q270+Q273</f>
        <v>2918.5</v>
      </c>
      <c r="R479" s="25">
        <f t="shared" si="1000"/>
        <v>2727.3902132295107</v>
      </c>
      <c r="S479" s="25">
        <f t="shared" si="1000"/>
        <v>3338.2627543869216</v>
      </c>
      <c r="T479" s="25">
        <f t="shared" si="1000"/>
        <v>3636.1852963352012</v>
      </c>
      <c r="U479" s="25">
        <f t="shared" si="1000"/>
        <v>3971.6108171270844</v>
      </c>
      <c r="V479" s="25">
        <f t="shared" si="1000"/>
        <v>4394.4637034737452</v>
      </c>
      <c r="W479" s="115">
        <f t="shared" si="1000"/>
        <v>4941.286957659443</v>
      </c>
      <c r="X479" s="115">
        <f t="shared" si="1000"/>
        <v>5653.3787412398633</v>
      </c>
      <c r="Y479" s="135" t="s">
        <v>4</v>
      </c>
    </row>
    <row r="480" spans="2:25" ht="15" customHeight="1" outlineLevel="4">
      <c r="B480" s="77" t="s">
        <v>27</v>
      </c>
      <c r="C480" s="1" t="s">
        <v>21</v>
      </c>
      <c r="D480" s="173"/>
      <c r="E480" s="62"/>
      <c r="F480" s="62"/>
      <c r="G480" s="62"/>
      <c r="H480" s="62"/>
      <c r="I480" s="62"/>
      <c r="J480" s="62"/>
      <c r="K480" s="62"/>
      <c r="L480" s="62"/>
      <c r="M480" s="62"/>
      <c r="N480" s="24" t="str">
        <f>IFERROR(N479/M479-1,"n.m.")</f>
        <v>n.m.</v>
      </c>
      <c r="O480" s="24">
        <f>IFERROR(O479/N479-1,"n.m.")</f>
        <v>9.1916290521132593E-2</v>
      </c>
      <c r="P480" s="24">
        <f>IFERROR(P479/O479-1,"n.m.")</f>
        <v>9.0567455843667766E-2</v>
      </c>
      <c r="Q480" s="24">
        <f>IFERROR(Q479/P479-1,"n.m.")</f>
        <v>5.6857339765679082E-3</v>
      </c>
      <c r="R480" s="24">
        <f t="shared" ref="R480" si="1001">IFERROR(R479/Q479-1,"n.m.")</f>
        <v>-6.5482195227167805E-2</v>
      </c>
      <c r="S480" s="24">
        <f t="shared" ref="S480" si="1002">IFERROR(S479/R479-1,"n.m.")</f>
        <v>0.22397694990408978</v>
      </c>
      <c r="T480" s="24">
        <f t="shared" ref="T480" si="1003">IFERROR(T479/S479-1,"n.m.")</f>
        <v>8.924478504778266E-2</v>
      </c>
      <c r="U480" s="24">
        <f t="shared" ref="U480" si="1004">IFERROR(U479/T479-1,"n.m.")</f>
        <v>9.2246542311787083E-2</v>
      </c>
      <c r="V480" s="24">
        <f t="shared" ref="V480" si="1005">IFERROR(V479/U479-1,"n.m.")</f>
        <v>0.10646886258924448</v>
      </c>
      <c r="W480" s="113">
        <f t="shared" ref="W480:X480" si="1006">IFERROR(W479/V479-1,"n.m.")</f>
        <v>0.1244345820295305</v>
      </c>
      <c r="X480" s="113">
        <f t="shared" si="1006"/>
        <v>0.14411059096185719</v>
      </c>
      <c r="Y480" s="135" t="s">
        <v>4</v>
      </c>
    </row>
    <row r="481" spans="2:25" ht="15" customHeight="1" outlineLevel="4">
      <c r="B481" s="77" t="s">
        <v>29</v>
      </c>
      <c r="C481" s="1" t="s">
        <v>21</v>
      </c>
      <c r="D481" s="173"/>
      <c r="E481" s="62"/>
      <c r="F481" s="62"/>
      <c r="G481" s="62"/>
      <c r="H481" s="62"/>
      <c r="I481" s="62"/>
      <c r="J481" s="62"/>
      <c r="K481" s="62"/>
      <c r="L481" s="62"/>
      <c r="M481" s="62"/>
      <c r="N481" s="23">
        <f>N479/N$432</f>
        <v>0.42463843875239587</v>
      </c>
      <c r="O481" s="23">
        <f t="shared" ref="O481:W481" si="1007">O479/O$432</f>
        <v>0.40906994619523446</v>
      </c>
      <c r="P481" s="23">
        <f t="shared" si="1007"/>
        <v>0.41327257191683281</v>
      </c>
      <c r="Q481" s="23">
        <f t="shared" si="1007"/>
        <v>0.34719248156078991</v>
      </c>
      <c r="R481" s="23">
        <f t="shared" si="1007"/>
        <v>0.20019450247174064</v>
      </c>
      <c r="S481" s="23">
        <f t="shared" si="1007"/>
        <v>0.30742155712390834</v>
      </c>
      <c r="T481" s="23">
        <f t="shared" si="1007"/>
        <v>0.27605244228160747</v>
      </c>
      <c r="U481" s="23">
        <f t="shared" si="1007"/>
        <v>0.26522081892653981</v>
      </c>
      <c r="V481" s="23">
        <f t="shared" si="1007"/>
        <v>0.25522237837949197</v>
      </c>
      <c r="W481" s="23">
        <f t="shared" si="1007"/>
        <v>0.24634550773535518</v>
      </c>
      <c r="X481" s="23">
        <f t="shared" ref="X481" si="1008">X479/X$432</f>
        <v>0.23841197318472795</v>
      </c>
      <c r="Y481" s="135" t="s">
        <v>4</v>
      </c>
    </row>
    <row r="482" spans="2:25" ht="15" customHeight="1" outlineLevel="4">
      <c r="B482" s="6"/>
      <c r="Y482" s="135" t="s">
        <v>4</v>
      </c>
    </row>
    <row r="483" spans="2:25" ht="15" customHeight="1" outlineLevel="4">
      <c r="B483" s="18" t="s">
        <v>34</v>
      </c>
      <c r="C483" s="1" t="s">
        <v>26</v>
      </c>
      <c r="D483" s="173"/>
      <c r="E483" s="62"/>
      <c r="F483" s="62"/>
      <c r="G483" s="62"/>
      <c r="H483" s="62"/>
      <c r="I483" s="62"/>
      <c r="J483" s="62"/>
      <c r="K483" s="62"/>
      <c r="L483" s="62"/>
      <c r="M483" s="62"/>
      <c r="N483" s="25">
        <f>N43+N102+N159+N321</f>
        <v>920</v>
      </c>
      <c r="O483" s="182">
        <f>O43+O102+O159+O216+O321</f>
        <v>1023</v>
      </c>
      <c r="P483" s="25">
        <f>P43+P102+P159+P216+P321</f>
        <v>1171</v>
      </c>
      <c r="Q483" s="182">
        <f t="shared" ref="Q483:X483" si="1009">Q43+Q102+Q159+Q216+Q321+Q276</f>
        <v>1182.8</v>
      </c>
      <c r="R483" s="25">
        <f t="shared" si="1009"/>
        <v>969.71414553208967</v>
      </c>
      <c r="S483" s="25">
        <f t="shared" si="1009"/>
        <v>1142.8310869976008</v>
      </c>
      <c r="T483" s="25">
        <f t="shared" si="1009"/>
        <v>1189.291085377854</v>
      </c>
      <c r="U483" s="25">
        <f t="shared" si="1009"/>
        <v>1248.0920283888115</v>
      </c>
      <c r="V483" s="25">
        <f t="shared" si="1009"/>
        <v>1304.9855305626336</v>
      </c>
      <c r="W483" s="115">
        <f t="shared" si="1009"/>
        <v>1360.1785635535009</v>
      </c>
      <c r="X483" s="115">
        <f t="shared" si="1009"/>
        <v>1425.5115026617116</v>
      </c>
      <c r="Y483" s="135" t="s">
        <v>4</v>
      </c>
    </row>
    <row r="484" spans="2:25" ht="15" customHeight="1" outlineLevel="4">
      <c r="B484" s="77" t="s">
        <v>27</v>
      </c>
      <c r="C484" s="1" t="s">
        <v>21</v>
      </c>
      <c r="D484" s="173"/>
      <c r="E484" s="62"/>
      <c r="F484" s="62"/>
      <c r="G484" s="62"/>
      <c r="H484" s="62"/>
      <c r="I484" s="62"/>
      <c r="J484" s="62"/>
      <c r="K484" s="62"/>
      <c r="L484" s="62"/>
      <c r="M484" s="62"/>
      <c r="N484" s="53" t="str">
        <f>IFERROR(N483/M483-1,"n.m.")</f>
        <v>n.m.</v>
      </c>
      <c r="O484" s="53">
        <f>IFERROR(O483/N483-1,"n.m.")</f>
        <v>0.11195652173913051</v>
      </c>
      <c r="P484" s="53">
        <f>IFERROR(P483/O483-1,"n.m.")</f>
        <v>0.14467253176930606</v>
      </c>
      <c r="Q484" s="53">
        <f>IFERROR(Q483/P483-1,"n.m.")</f>
        <v>1.0076857386848825E-2</v>
      </c>
      <c r="R484" s="53">
        <f t="shared" ref="R484" si="1010">IFERROR(R483/Q483-1,"n.m.")</f>
        <v>-0.18015374912741822</v>
      </c>
      <c r="S484" s="53">
        <f t="shared" ref="S484" si="1011">IFERROR(S483/R483-1,"n.m.")</f>
        <v>0.17852368377128336</v>
      </c>
      <c r="T484" s="53">
        <f t="shared" ref="T484" si="1012">IFERROR(T483/S483-1,"n.m.")</f>
        <v>4.0653425435171808E-2</v>
      </c>
      <c r="U484" s="53">
        <f t="shared" ref="U484" si="1013">IFERROR(U483/T483-1,"n.m.")</f>
        <v>4.944201107189472E-2</v>
      </c>
      <c r="V484" s="53">
        <f t="shared" ref="V484" si="1014">IFERROR(V483/U483-1,"n.m.")</f>
        <v>4.5584380702492933E-2</v>
      </c>
      <c r="W484" s="116">
        <f t="shared" ref="W484:X484" si="1015">IFERROR(W483/V483-1,"n.m.")</f>
        <v>4.2293980813006726E-2</v>
      </c>
      <c r="X484" s="116">
        <f t="shared" si="1015"/>
        <v>4.8032619288989942E-2</v>
      </c>
      <c r="Y484" s="135" t="s">
        <v>4</v>
      </c>
    </row>
    <row r="485" spans="2:25" ht="15" customHeight="1" outlineLevel="4">
      <c r="B485" s="77" t="s">
        <v>29</v>
      </c>
      <c r="C485" s="1" t="s">
        <v>21</v>
      </c>
      <c r="D485" s="173"/>
      <c r="E485" s="62"/>
      <c r="F485" s="62"/>
      <c r="G485" s="62"/>
      <c r="H485" s="62"/>
      <c r="I485" s="62"/>
      <c r="J485" s="62"/>
      <c r="K485" s="62"/>
      <c r="L485" s="62"/>
      <c r="M485" s="62"/>
      <c r="N485" s="53">
        <f>N483/N$432</f>
        <v>0.16030667363652204</v>
      </c>
      <c r="O485" s="53">
        <f t="shared" ref="O485:W485" si="1016">O483/O$432</f>
        <v>0.15726364335126825</v>
      </c>
      <c r="P485" s="53">
        <f t="shared" si="1016"/>
        <v>0.16676160637994875</v>
      </c>
      <c r="Q485" s="53">
        <f t="shared" si="1016"/>
        <v>0.14070901736854627</v>
      </c>
      <c r="R485" s="53">
        <f t="shared" si="1016"/>
        <v>7.1178462092790967E-2</v>
      </c>
      <c r="S485" s="53">
        <f t="shared" si="1016"/>
        <v>0.10524363662887698</v>
      </c>
      <c r="T485" s="53">
        <f t="shared" si="1016"/>
        <v>9.0288772971275827E-2</v>
      </c>
      <c r="U485" s="53">
        <f t="shared" si="1016"/>
        <v>8.3346532454157823E-2</v>
      </c>
      <c r="V485" s="53">
        <f t="shared" si="1016"/>
        <v>7.5791162092825881E-2</v>
      </c>
      <c r="W485" s="53">
        <f t="shared" si="1016"/>
        <v>6.7811054431869883E-2</v>
      </c>
      <c r="X485" s="53">
        <f t="shared" ref="X485" si="1017">X483/X$432</f>
        <v>6.0116087335158705E-2</v>
      </c>
      <c r="Y485" s="135" t="s">
        <v>4</v>
      </c>
    </row>
    <row r="486" spans="2:25" ht="15" customHeight="1" outlineLevel="3">
      <c r="B486" s="18"/>
      <c r="D486" s="19"/>
      <c r="N486" s="53"/>
      <c r="O486" s="53"/>
      <c r="P486" s="53"/>
      <c r="Q486" s="53"/>
      <c r="R486" s="53"/>
      <c r="S486" s="53"/>
      <c r="T486" s="53"/>
      <c r="U486" s="53"/>
      <c r="V486" s="53"/>
      <c r="W486" s="53"/>
      <c r="X486" s="53"/>
      <c r="Y486" s="135" t="s">
        <v>4</v>
      </c>
    </row>
    <row r="487" spans="2:25" ht="15" customHeight="1" outlineLevel="3">
      <c r="B487" s="6" t="s">
        <v>89</v>
      </c>
      <c r="C487" s="1" t="s">
        <v>26</v>
      </c>
      <c r="D487" s="173"/>
      <c r="E487" s="62"/>
      <c r="F487" s="62"/>
      <c r="G487" s="62"/>
      <c r="H487" s="62"/>
      <c r="I487" s="62"/>
      <c r="J487" s="62"/>
      <c r="K487" s="62"/>
      <c r="L487" s="62"/>
      <c r="M487" s="62"/>
      <c r="N487" s="25">
        <f>N432-SUM(N467,N471,N475)</f>
        <v>5</v>
      </c>
      <c r="O487" s="25">
        <f t="shared" ref="O487:Q487" si="1018">O432-SUM(O467,O471,O475)</f>
        <v>2</v>
      </c>
      <c r="P487" s="25">
        <f t="shared" si="1018"/>
        <v>-2</v>
      </c>
      <c r="Q487" s="25">
        <f t="shared" si="1018"/>
        <v>5.7000000000007276</v>
      </c>
      <c r="R487" s="186">
        <f>AVERAGE($N$487:Q487)</f>
        <v>2.6750000000001819</v>
      </c>
      <c r="S487" s="186">
        <f>AVERAGE($N$487:R487)</f>
        <v>2.6750000000001819</v>
      </c>
      <c r="T487" s="186">
        <f>AVERAGE($N$487:S487)</f>
        <v>2.6750000000001819</v>
      </c>
      <c r="U487" s="186">
        <f>AVERAGE($N$487:T487)</f>
        <v>2.6750000000001819</v>
      </c>
      <c r="V487" s="186">
        <f>AVERAGE($N$487:U487)</f>
        <v>2.6750000000001819</v>
      </c>
      <c r="W487" s="186">
        <f>AVERAGE($N$487:V487)</f>
        <v>2.6750000000001819</v>
      </c>
      <c r="X487" s="186">
        <f>AVERAGE($N$487:W487)</f>
        <v>2.6750000000001819</v>
      </c>
      <c r="Y487" s="135" t="s">
        <v>4</v>
      </c>
    </row>
    <row r="488" spans="2:25" ht="15" customHeight="1" outlineLevel="3">
      <c r="B488" s="18" t="s">
        <v>27</v>
      </c>
      <c r="C488" s="1" t="s">
        <v>21</v>
      </c>
      <c r="D488" s="173"/>
      <c r="E488" s="62"/>
      <c r="F488" s="62"/>
      <c r="G488" s="62"/>
      <c r="H488" s="62"/>
      <c r="I488" s="62"/>
      <c r="J488" s="62"/>
      <c r="K488" s="62"/>
      <c r="L488" s="62"/>
      <c r="M488" s="62"/>
      <c r="N488" s="53" t="str">
        <f>IFERROR(N487/M487-1,"n.m.")</f>
        <v>n.m.</v>
      </c>
      <c r="O488" s="53">
        <f>IFERROR(O487/N487-1,"n.m.")</f>
        <v>-0.6</v>
      </c>
      <c r="P488" s="53">
        <f>IFERROR(P487/O487-1,"n.m.")</f>
        <v>-2</v>
      </c>
      <c r="Q488" s="53">
        <f>IFERROR(Q487/P487-1,"n.m.")</f>
        <v>-3.8500000000003638</v>
      </c>
      <c r="R488" s="53">
        <f t="shared" ref="R488" si="1019">IFERROR(R487/Q487-1,"n.m.")</f>
        <v>-0.53070175438599287</v>
      </c>
      <c r="S488" s="53">
        <f t="shared" ref="S488" si="1020">IFERROR(S487/R487-1,"n.m.")</f>
        <v>0</v>
      </c>
      <c r="T488" s="53">
        <f t="shared" ref="T488" si="1021">IFERROR(T487/S487-1,"n.m.")</f>
        <v>0</v>
      </c>
      <c r="U488" s="53">
        <f t="shared" ref="U488" si="1022">IFERROR(U487/T487-1,"n.m.")</f>
        <v>0</v>
      </c>
      <c r="V488" s="53">
        <f t="shared" ref="V488" si="1023">IFERROR(V487/U487-1,"n.m.")</f>
        <v>0</v>
      </c>
      <c r="W488" s="116">
        <f t="shared" ref="W488:X488" si="1024">IFERROR(W487/V487-1,"n.m.")</f>
        <v>0</v>
      </c>
      <c r="X488" s="116">
        <f t="shared" si="1024"/>
        <v>0</v>
      </c>
      <c r="Y488" s="135" t="s">
        <v>4</v>
      </c>
    </row>
    <row r="489" spans="2:25" ht="15" customHeight="1" outlineLevel="3">
      <c r="B489" s="20" t="s">
        <v>29</v>
      </c>
      <c r="C489" s="21" t="s">
        <v>21</v>
      </c>
      <c r="D489" s="174"/>
      <c r="E489" s="63"/>
      <c r="F489" s="63"/>
      <c r="G489" s="63"/>
      <c r="H489" s="63"/>
      <c r="I489" s="63"/>
      <c r="J489" s="63"/>
      <c r="K489" s="63"/>
      <c r="L489" s="63"/>
      <c r="M489" s="63"/>
      <c r="N489" s="83">
        <f>N487/N$432</f>
        <v>8.7123192193761976E-4</v>
      </c>
      <c r="O489" s="83">
        <f t="shared" ref="O489:W489" si="1025">O487/O$432</f>
        <v>3.0745580322828596E-4</v>
      </c>
      <c r="P489" s="83">
        <f t="shared" si="1025"/>
        <v>-2.8481913984619768E-4</v>
      </c>
      <c r="Q489" s="83">
        <f t="shared" si="1025"/>
        <v>6.7808708065676031E-4</v>
      </c>
      <c r="R489" s="83">
        <f t="shared" si="1025"/>
        <v>1.9634898281673874E-4</v>
      </c>
      <c r="S489" s="83">
        <f t="shared" si="1025"/>
        <v>2.4634150329414E-4</v>
      </c>
      <c r="T489" s="83">
        <f t="shared" si="1025"/>
        <v>2.0308103765987977E-4</v>
      </c>
      <c r="U489" s="83">
        <f t="shared" si="1025"/>
        <v>1.7863424270300065E-4</v>
      </c>
      <c r="V489" s="83">
        <f t="shared" si="1025"/>
        <v>1.5535908548419903E-4</v>
      </c>
      <c r="W489" s="83">
        <f t="shared" si="1025"/>
        <v>1.3336085089546358E-4</v>
      </c>
      <c r="X489" s="83">
        <f t="shared" ref="X489" si="1026">X487/X$432</f>
        <v>1.1280900457225034E-4</v>
      </c>
      <c r="Y489" s="135" t="s">
        <v>4</v>
      </c>
    </row>
    <row r="490" spans="2:25" ht="15" customHeight="1" outlineLevel="3">
      <c r="B490" s="14"/>
      <c r="C490" s="15"/>
      <c r="D490" s="16"/>
      <c r="E490" s="16"/>
      <c r="F490" s="16"/>
      <c r="G490" s="16"/>
      <c r="H490" s="16"/>
      <c r="I490" s="16"/>
      <c r="J490" s="16"/>
      <c r="K490" s="16"/>
      <c r="L490" s="16"/>
      <c r="M490" s="16"/>
      <c r="N490" s="16"/>
      <c r="O490" s="16"/>
      <c r="P490" s="16"/>
      <c r="Q490" s="16"/>
      <c r="R490" s="16"/>
      <c r="S490" s="16"/>
      <c r="T490" s="16"/>
      <c r="U490" s="16"/>
      <c r="V490" s="16"/>
      <c r="W490" s="16"/>
      <c r="X490" s="16"/>
      <c r="Y490" s="135" t="s">
        <v>4</v>
      </c>
    </row>
    <row r="491" spans="2:25" ht="15" customHeight="1" outlineLevel="2">
      <c r="W491" s="9"/>
      <c r="X491" s="9"/>
      <c r="Y491" s="135" t="s">
        <v>4</v>
      </c>
    </row>
    <row r="492" spans="2:25" ht="15" customHeight="1" outlineLevel="1">
      <c r="B492" s="7" t="s">
        <v>90</v>
      </c>
      <c r="C492" s="13" t="s">
        <v>26</v>
      </c>
      <c r="D492" s="71"/>
      <c r="E492" s="71"/>
      <c r="F492" s="71"/>
      <c r="G492" s="43">
        <v>-156.4</v>
      </c>
      <c r="H492" s="43">
        <v>-1809</v>
      </c>
      <c r="I492" s="43">
        <v>-1727.3000000000002</v>
      </c>
      <c r="J492" s="43">
        <v>-1850.2999999999997</v>
      </c>
      <c r="K492" s="43">
        <v>-1817.9</v>
      </c>
      <c r="L492" s="43">
        <v>-1813</v>
      </c>
      <c r="M492" s="43">
        <v>-1610</v>
      </c>
      <c r="N492" s="43">
        <v>-1890</v>
      </c>
      <c r="O492" s="43">
        <v>-2312</v>
      </c>
      <c r="P492" s="75">
        <f t="shared" ref="P492" si="1027">P496+P500</f>
        <v>-2435</v>
      </c>
      <c r="Q492" s="75">
        <f>Q496+Q500</f>
        <v>-3508</v>
      </c>
      <c r="R492" s="75">
        <f>R496+R500</f>
        <v>-8392.3097133477786</v>
      </c>
      <c r="S492" s="75">
        <f t="shared" ref="S492:W492" si="1028">S496+S500</f>
        <v>-5472.6931626733694</v>
      </c>
      <c r="T492" s="75">
        <f t="shared" si="1028"/>
        <v>-7227.0993826460326</v>
      </c>
      <c r="U492" s="75">
        <f t="shared" si="1028"/>
        <v>-8506.062033182332</v>
      </c>
      <c r="V492" s="75">
        <f t="shared" si="1028"/>
        <v>-9979.5132941971951</v>
      </c>
      <c r="W492" s="75">
        <f t="shared" si="1028"/>
        <v>-11843.25313346067</v>
      </c>
      <c r="X492" s="75">
        <f t="shared" ref="X492" si="1029">X496+X500</f>
        <v>-14229.406561705526</v>
      </c>
      <c r="Y492" s="135" t="s">
        <v>4</v>
      </c>
    </row>
    <row r="493" spans="2:25" ht="15" customHeight="1" outlineLevel="1">
      <c r="B493" s="6" t="s">
        <v>27</v>
      </c>
      <c r="C493" s="1" t="s">
        <v>21</v>
      </c>
      <c r="D493" s="72"/>
      <c r="E493" s="72"/>
      <c r="F493" s="72"/>
      <c r="G493" s="24" t="str">
        <f t="shared" ref="G493:Q493" si="1030">IFERROR(G492/F492-1,"n.m.")</f>
        <v>n.m.</v>
      </c>
      <c r="H493" s="24">
        <f t="shared" si="1030"/>
        <v>10.566496163682864</v>
      </c>
      <c r="I493" s="24">
        <f t="shared" si="1030"/>
        <v>-4.5163073521282349E-2</v>
      </c>
      <c r="J493" s="24">
        <f t="shared" si="1030"/>
        <v>7.1209401956811025E-2</v>
      </c>
      <c r="K493" s="24">
        <f t="shared" si="1030"/>
        <v>-1.7510673944765465E-2</v>
      </c>
      <c r="L493" s="24">
        <f t="shared" si="1030"/>
        <v>-2.6954177897574594E-3</v>
      </c>
      <c r="M493" s="24">
        <f t="shared" si="1030"/>
        <v>-0.11196911196911197</v>
      </c>
      <c r="N493" s="24">
        <f t="shared" si="1030"/>
        <v>0.17391304347826098</v>
      </c>
      <c r="O493" s="24">
        <f t="shared" si="1030"/>
        <v>0.2232804232804233</v>
      </c>
      <c r="P493" s="24">
        <f t="shared" si="1030"/>
        <v>5.3200692041522446E-2</v>
      </c>
      <c r="Q493" s="24">
        <f t="shared" si="1030"/>
        <v>0.4406570841889117</v>
      </c>
      <c r="R493" s="24">
        <f t="shared" ref="R493" si="1031">IFERROR(R492/Q492-1,"n.m.")</f>
        <v>1.3923345819121375</v>
      </c>
      <c r="S493" s="24">
        <f t="shared" ref="S493" si="1032">IFERROR(S492/R492-1,"n.m.")</f>
        <v>-0.34789189751074434</v>
      </c>
      <c r="T493" s="24">
        <f t="shared" ref="T493" si="1033">IFERROR(T492/S492-1,"n.m.")</f>
        <v>0.32057456316729604</v>
      </c>
      <c r="U493" s="24">
        <f t="shared" ref="U493" si="1034">IFERROR(U492/T492-1,"n.m.")</f>
        <v>0.17696763014043926</v>
      </c>
      <c r="V493" s="24">
        <f t="shared" ref="V493" si="1035">IFERROR(V492/U492-1,"n.m.")</f>
        <v>0.17322366745820772</v>
      </c>
      <c r="W493" s="113">
        <f t="shared" ref="W493:X493" si="1036">IFERROR(W492/V492-1,"n.m.")</f>
        <v>0.18675658665109318</v>
      </c>
      <c r="X493" s="113">
        <f t="shared" si="1036"/>
        <v>0.20147787110141824</v>
      </c>
      <c r="Y493" s="135" t="s">
        <v>4</v>
      </c>
    </row>
    <row r="494" spans="2:25" ht="15" customHeight="1" outlineLevel="1">
      <c r="B494" s="6" t="s">
        <v>91</v>
      </c>
      <c r="C494" s="1" t="s">
        <v>21</v>
      </c>
      <c r="D494" s="72"/>
      <c r="E494" s="72"/>
      <c r="F494" s="72"/>
      <c r="G494" s="24">
        <f t="shared" ref="G494:W494" si="1037">G492/G$432</f>
        <v>-0.1304637971304638</v>
      </c>
      <c r="H494" s="24">
        <f t="shared" si="1037"/>
        <v>-0.44642416465130053</v>
      </c>
      <c r="I494" s="24">
        <f t="shared" si="1037"/>
        <v>-0.41663852573689036</v>
      </c>
      <c r="J494" s="24">
        <f t="shared" si="1037"/>
        <v>-0.40433994012368601</v>
      </c>
      <c r="K494" s="24">
        <f t="shared" si="1037"/>
        <v>-0.3393503826768714</v>
      </c>
      <c r="L494" s="24">
        <f t="shared" si="1037"/>
        <v>-0.3235766553631983</v>
      </c>
      <c r="M494" s="24">
        <f t="shared" si="1037"/>
        <v>-0.32407407407407407</v>
      </c>
      <c r="N494" s="24">
        <f t="shared" si="1037"/>
        <v>-0.32932566649242029</v>
      </c>
      <c r="O494" s="24">
        <f t="shared" si="1037"/>
        <v>-0.35541890853189856</v>
      </c>
      <c r="P494" s="24">
        <f t="shared" si="1037"/>
        <v>-0.34676730276274564</v>
      </c>
      <c r="Q494" s="24">
        <f t="shared" si="1037"/>
        <v>-0.41732096121817747</v>
      </c>
      <c r="R494" s="24">
        <f t="shared" si="1037"/>
        <v>-0.61600802829860213</v>
      </c>
      <c r="S494" s="24">
        <f t="shared" si="1037"/>
        <v>-0.50398185448987942</v>
      </c>
      <c r="T494" s="24">
        <f t="shared" si="1037"/>
        <v>-0.54866797827990021</v>
      </c>
      <c r="U494" s="24">
        <f t="shared" si="1037"/>
        <v>-0.56802764474099754</v>
      </c>
      <c r="V494" s="24">
        <f t="shared" si="1037"/>
        <v>-0.57959179774346814</v>
      </c>
      <c r="W494" s="24">
        <f t="shared" si="1037"/>
        <v>-0.59043974401815813</v>
      </c>
      <c r="X494" s="24">
        <f t="shared" ref="X494" si="1038">X492/X$432</f>
        <v>-0.60007670649709854</v>
      </c>
      <c r="Y494" s="135" t="s">
        <v>4</v>
      </c>
    </row>
    <row r="495" spans="2:25" ht="15" customHeight="1" outlineLevel="2">
      <c r="Y495" s="135" t="s">
        <v>4</v>
      </c>
    </row>
    <row r="496" spans="2:25" ht="15" customHeight="1" outlineLevel="2">
      <c r="B496" s="17" t="s">
        <v>92</v>
      </c>
      <c r="C496" s="15" t="s">
        <v>26</v>
      </c>
      <c r="D496" s="61"/>
      <c r="E496" s="61"/>
      <c r="F496" s="61"/>
      <c r="G496" s="61"/>
      <c r="H496" s="61"/>
      <c r="I496" s="61"/>
      <c r="J496" s="61"/>
      <c r="K496" s="61"/>
      <c r="L496" s="61"/>
      <c r="M496" s="61"/>
      <c r="N496" s="32">
        <v>-1718</v>
      </c>
      <c r="O496" s="32">
        <v>-2091</v>
      </c>
      <c r="P496" s="32">
        <v>-2193</v>
      </c>
      <c r="Q496" s="98">
        <v>-2180</v>
      </c>
      <c r="R496" s="184">
        <f>R498*R471</f>
        <v>-2362.9267632800002</v>
      </c>
      <c r="S496" s="183">
        <f t="shared" ref="S496:W496" si="1039">S498*S471</f>
        <v>-2612.3730022455452</v>
      </c>
      <c r="T496" s="31">
        <f t="shared" si="1039"/>
        <v>-2888.1524425193197</v>
      </c>
      <c r="U496" s="31">
        <f t="shared" si="1039"/>
        <v>-3193.0449916838775</v>
      </c>
      <c r="V496" s="31">
        <f t="shared" si="1039"/>
        <v>-3416.2490543465537</v>
      </c>
      <c r="W496" s="31">
        <f t="shared" si="1039"/>
        <v>-3658.7255299765307</v>
      </c>
      <c r="X496" s="31">
        <f t="shared" ref="X496" si="1040">X498*X471</f>
        <v>-3922.3425583721878</v>
      </c>
      <c r="Y496" s="135" t="s">
        <v>4</v>
      </c>
    </row>
    <row r="497" spans="2:25" ht="15" customHeight="1" outlineLevel="2">
      <c r="B497" s="18" t="s">
        <v>27</v>
      </c>
      <c r="C497" s="1" t="s">
        <v>21</v>
      </c>
      <c r="D497" s="62"/>
      <c r="E497" s="62"/>
      <c r="F497" s="62"/>
      <c r="G497" s="62"/>
      <c r="H497" s="62"/>
      <c r="I497" s="62"/>
      <c r="J497" s="62"/>
      <c r="K497" s="62"/>
      <c r="L497" s="62"/>
      <c r="M497" s="62"/>
      <c r="N497" s="24" t="str">
        <f>IFERROR(N496/M496-1,"n.m.")</f>
        <v>n.m.</v>
      </c>
      <c r="O497" s="24">
        <f>IFERROR(O496/N496-1,"n.m.")</f>
        <v>0.21711292200232823</v>
      </c>
      <c r="P497" s="24">
        <f>IFERROR(P496/O496-1,"n.m.")</f>
        <v>4.8780487804878092E-2</v>
      </c>
      <c r="Q497" s="24">
        <f>IFERROR(Q496/P496-1,"n.m.")</f>
        <v>-5.9279525763793472E-3</v>
      </c>
      <c r="R497" s="24">
        <f t="shared" ref="R497" si="1041">IFERROR(R496/Q496-1,"n.m.")</f>
        <v>8.3911359302752286E-2</v>
      </c>
      <c r="S497" s="24">
        <f t="shared" ref="S497" si="1042">IFERROR(S496/R496-1,"n.m.")</f>
        <v>0.10556663999999993</v>
      </c>
      <c r="T497" s="24">
        <f t="shared" ref="T497" si="1043">IFERROR(T496/S496-1,"n.m.")</f>
        <v>0.10556663999999993</v>
      </c>
      <c r="U497" s="24">
        <f t="shared" ref="U497" si="1044">IFERROR(U496/T496-1,"n.m.")</f>
        <v>0.10556663999999993</v>
      </c>
      <c r="V497" s="24">
        <f t="shared" ref="V497" si="1045">IFERROR(V496/U496-1,"n.m.")</f>
        <v>6.9903199999999943E-2</v>
      </c>
      <c r="W497" s="113">
        <f t="shared" ref="W497:X497" si="1046">IFERROR(W496/V496-1,"n.m.")</f>
        <v>7.0977399999999857E-2</v>
      </c>
      <c r="X497" s="113">
        <f t="shared" si="1046"/>
        <v>7.2051599999999993E-2</v>
      </c>
      <c r="Y497" s="135" t="s">
        <v>4</v>
      </c>
    </row>
    <row r="498" spans="2:25" ht="15" customHeight="1" outlineLevel="2">
      <c r="B498" s="18" t="s">
        <v>93</v>
      </c>
      <c r="C498" s="1" t="s">
        <v>21</v>
      </c>
      <c r="D498" s="62"/>
      <c r="E498" s="62"/>
      <c r="F498" s="62"/>
      <c r="G498" s="62"/>
      <c r="H498" s="62"/>
      <c r="I498" s="62"/>
      <c r="J498" s="62"/>
      <c r="K498" s="62"/>
      <c r="L498" s="62"/>
      <c r="M498" s="62"/>
      <c r="N498" s="23">
        <f>N496/N$471</f>
        <v>-0.78340173278613767</v>
      </c>
      <c r="O498" s="23">
        <f t="shared" ref="O498:Q498" si="1047">O496/O$471</f>
        <v>-0.80952380952380953</v>
      </c>
      <c r="P498" s="23">
        <f t="shared" si="1047"/>
        <v>-0.81889469753547428</v>
      </c>
      <c r="Q498" s="23">
        <f t="shared" si="1047"/>
        <v>-0.80502215657311671</v>
      </c>
      <c r="R498" s="176">
        <v>-0.81230000000000002</v>
      </c>
      <c r="S498" s="176">
        <f>R498*(1+0.0292)</f>
        <v>-0.83601915999999998</v>
      </c>
      <c r="T498" s="176">
        <f t="shared" ref="T498:U498" si="1048">S498*(1+0.0292)</f>
        <v>-0.8604309194719999</v>
      </c>
      <c r="U498" s="176">
        <f t="shared" si="1048"/>
        <v>-0.88555550232058222</v>
      </c>
      <c r="V498" s="176">
        <f>U498*(1-0.004)</f>
        <v>-0.88201328031129989</v>
      </c>
      <c r="W498" s="176">
        <f>V498*(1-0.003)</f>
        <v>-0.87936724047036596</v>
      </c>
      <c r="X498" s="176">
        <f>W498*(1-0.002)</f>
        <v>-0.87760850598942519</v>
      </c>
      <c r="Y498" s="135" t="s">
        <v>4</v>
      </c>
    </row>
    <row r="499" spans="2:25" ht="15" customHeight="1" outlineLevel="2">
      <c r="Y499" s="135" t="s">
        <v>4</v>
      </c>
    </row>
    <row r="500" spans="2:25" ht="15" customHeight="1" outlineLevel="2">
      <c r="B500" s="6" t="s">
        <v>94</v>
      </c>
      <c r="C500" s="1" t="s">
        <v>26</v>
      </c>
      <c r="D500" s="173"/>
      <c r="E500" s="62"/>
      <c r="F500" s="62"/>
      <c r="G500" s="62"/>
      <c r="H500" s="62"/>
      <c r="I500" s="62"/>
      <c r="J500" s="62"/>
      <c r="K500" s="62"/>
      <c r="L500" s="62"/>
      <c r="M500" s="62"/>
      <c r="N500" s="42">
        <f>N492-N496</f>
        <v>-172</v>
      </c>
      <c r="O500" s="42">
        <f>O492-O496</f>
        <v>-221</v>
      </c>
      <c r="P500" s="82">
        <v>-242</v>
      </c>
      <c r="Q500" s="82">
        <v>-1328</v>
      </c>
      <c r="R500" s="25">
        <f>R502*R467</f>
        <v>-6029.3829500677775</v>
      </c>
      <c r="S500" s="25">
        <f t="shared" ref="S500:W500" si="1049">S502*S467</f>
        <v>-2860.3201604278242</v>
      </c>
      <c r="T500" s="25">
        <f t="shared" si="1049"/>
        <v>-4338.9469401267133</v>
      </c>
      <c r="U500" s="25">
        <f t="shared" si="1049"/>
        <v>-5313.0170414984541</v>
      </c>
      <c r="V500" s="25">
        <f t="shared" si="1049"/>
        <v>-6563.2642398506414</v>
      </c>
      <c r="W500" s="25">
        <f t="shared" si="1049"/>
        <v>-8184.527603484139</v>
      </c>
      <c r="X500" s="25">
        <f t="shared" ref="X500" si="1050">X502*X467</f>
        <v>-10307.064003333338</v>
      </c>
      <c r="Y500" s="135" t="s">
        <v>4</v>
      </c>
    </row>
    <row r="501" spans="2:25" ht="15" customHeight="1" outlineLevel="2">
      <c r="B501" s="18" t="s">
        <v>27</v>
      </c>
      <c r="C501" s="1" t="s">
        <v>21</v>
      </c>
      <c r="D501" s="62"/>
      <c r="E501" s="62"/>
      <c r="F501" s="62"/>
      <c r="G501" s="62"/>
      <c r="H501" s="62"/>
      <c r="I501" s="62"/>
      <c r="J501" s="62"/>
      <c r="K501" s="62"/>
      <c r="L501" s="62"/>
      <c r="M501" s="62"/>
      <c r="N501" s="24" t="str">
        <f>IFERROR(N500/M500-1,"n.m.")</f>
        <v>n.m.</v>
      </c>
      <c r="O501" s="24">
        <f>IFERROR(O500/N500-1,"n.m.")</f>
        <v>0.28488372093023262</v>
      </c>
      <c r="P501" s="24">
        <f>IFERROR(P500/O500-1,"n.m.")</f>
        <v>9.5022624434389247E-2</v>
      </c>
      <c r="Q501" s="24">
        <f>IFERROR(Q500/P500-1,"n.m.")</f>
        <v>4.4876033057851243</v>
      </c>
      <c r="R501" s="24">
        <f t="shared" ref="R501:X501" si="1051">IFERROR(R500/Q500-1,"n.m.")</f>
        <v>3.5401980045691097</v>
      </c>
      <c r="S501" s="24">
        <f t="shared" si="1051"/>
        <v>-0.52560316965840248</v>
      </c>
      <c r="T501" s="24">
        <f t="shared" si="1051"/>
        <v>0.5169445015825529</v>
      </c>
      <c r="U501" s="24">
        <f t="shared" si="1051"/>
        <v>0.22449458700762404</v>
      </c>
      <c r="V501" s="24">
        <f t="shared" si="1051"/>
        <v>0.23531774669399041</v>
      </c>
      <c r="W501" s="24">
        <f t="shared" si="1051"/>
        <v>0.24702088844595904</v>
      </c>
      <c r="X501" s="24">
        <f t="shared" si="1051"/>
        <v>0.25933523627504651</v>
      </c>
      <c r="Y501" s="135" t="s">
        <v>4</v>
      </c>
    </row>
    <row r="502" spans="2:25" ht="15" customHeight="1" outlineLevel="2">
      <c r="B502" s="20" t="s">
        <v>95</v>
      </c>
      <c r="C502" s="21" t="s">
        <v>21</v>
      </c>
      <c r="D502" s="63"/>
      <c r="E502" s="63"/>
      <c r="F502" s="63"/>
      <c r="G502" s="63"/>
      <c r="H502" s="63"/>
      <c r="I502" s="63"/>
      <c r="J502" s="63"/>
      <c r="K502" s="63"/>
      <c r="L502" s="63"/>
      <c r="M502" s="63"/>
      <c r="N502" s="65">
        <f>N500/N$467</f>
        <v>-0.93478260869565222</v>
      </c>
      <c r="O502" s="65">
        <f t="shared" ref="O502:Q502" si="1052">O500/O$467</f>
        <v>-0.93644067796610164</v>
      </c>
      <c r="P502" s="65">
        <f t="shared" si="1052"/>
        <v>-0.88644688644688641</v>
      </c>
      <c r="Q502" s="65">
        <f t="shared" si="1052"/>
        <v>-0.83469516027655566</v>
      </c>
      <c r="R502" s="67">
        <v>-0.85950000000000004</v>
      </c>
      <c r="S502" s="67">
        <v>-0.88</v>
      </c>
      <c r="T502" s="67">
        <v>-0.87</v>
      </c>
      <c r="U502" s="67">
        <f>T502+0.005625</f>
        <v>-0.864375</v>
      </c>
      <c r="V502" s="67">
        <f t="shared" ref="V502:X502" si="1053">U502+0.005625</f>
        <v>-0.85875000000000001</v>
      </c>
      <c r="W502" s="67">
        <f t="shared" si="1053"/>
        <v>-0.85312500000000002</v>
      </c>
      <c r="X502" s="67">
        <f t="shared" si="1053"/>
        <v>-0.84750000000000003</v>
      </c>
      <c r="Y502" s="135" t="s">
        <v>4</v>
      </c>
    </row>
    <row r="503" spans="2:25" ht="15" customHeight="1" outlineLevel="1">
      <c r="Y503" s="135" t="s">
        <v>4</v>
      </c>
    </row>
    <row r="504" spans="2:25" ht="15" customHeight="1" outlineLevel="1">
      <c r="B504" s="7" t="s">
        <v>96</v>
      </c>
      <c r="C504" s="13" t="s">
        <v>26</v>
      </c>
      <c r="D504" s="71"/>
      <c r="E504" s="71"/>
      <c r="F504" s="71"/>
      <c r="G504" s="43">
        <v>-345.4</v>
      </c>
      <c r="H504" s="43">
        <v>-438</v>
      </c>
      <c r="I504" s="43">
        <v>-318.60000000000002</v>
      </c>
      <c r="J504" s="43">
        <v>-416</v>
      </c>
      <c r="K504" s="43">
        <v>-1214</v>
      </c>
      <c r="L504" s="43">
        <v>-1264</v>
      </c>
      <c r="M504" s="43">
        <f>-870-407</f>
        <v>-1277</v>
      </c>
      <c r="N504" s="75">
        <f t="shared" ref="N504:W504" si="1054">N509+N522</f>
        <v>-1470</v>
      </c>
      <c r="O504" s="75">
        <f t="shared" si="1054"/>
        <v>-1708</v>
      </c>
      <c r="P504" s="75">
        <f t="shared" si="1054"/>
        <v>-1977</v>
      </c>
      <c r="Q504" s="75">
        <f t="shared" si="1054"/>
        <v>-2063</v>
      </c>
      <c r="R504" s="75">
        <f t="shared" si="1054"/>
        <v>-1947.0228481765776</v>
      </c>
      <c r="S504" s="75">
        <f t="shared" si="1054"/>
        <v>-2186.1455674962467</v>
      </c>
      <c r="T504" s="75">
        <f t="shared" si="1054"/>
        <v>-2368.8354717862312</v>
      </c>
      <c r="U504" s="75">
        <f t="shared" si="1054"/>
        <v>-2562.4988243765429</v>
      </c>
      <c r="V504" s="75">
        <f t="shared" si="1054"/>
        <v>-2766.5583150888415</v>
      </c>
      <c r="W504" s="75">
        <f t="shared" si="1054"/>
        <v>-2989.9146755771721</v>
      </c>
      <c r="X504" s="75">
        <f t="shared" ref="X504" si="1055">X509+X522</f>
        <v>-3251.8088935717233</v>
      </c>
      <c r="Y504" s="135" t="s">
        <v>4</v>
      </c>
    </row>
    <row r="505" spans="2:25" ht="15" customHeight="1" outlineLevel="1">
      <c r="B505" s="6" t="s">
        <v>27</v>
      </c>
      <c r="C505" s="1" t="s">
        <v>21</v>
      </c>
      <c r="D505" s="72"/>
      <c r="E505" s="72"/>
      <c r="F505" s="72"/>
      <c r="G505" s="24" t="str">
        <f t="shared" ref="G505:Q505" si="1056">IFERROR(G504/F504-1,"n.m.")</f>
        <v>n.m.</v>
      </c>
      <c r="H505" s="24">
        <f t="shared" si="1056"/>
        <v>0.26809496236247843</v>
      </c>
      <c r="I505" s="24">
        <f t="shared" si="1056"/>
        <v>-0.27260273972602733</v>
      </c>
      <c r="J505" s="24">
        <f t="shared" si="1056"/>
        <v>0.30571249215316998</v>
      </c>
      <c r="K505" s="24">
        <f t="shared" si="1056"/>
        <v>1.9182692307692308</v>
      </c>
      <c r="L505" s="24">
        <f t="shared" si="1056"/>
        <v>4.1186161449752845E-2</v>
      </c>
      <c r="M505" s="24">
        <f t="shared" si="1056"/>
        <v>1.0284810126582222E-2</v>
      </c>
      <c r="N505" s="24">
        <f t="shared" si="1056"/>
        <v>0.1511354737666406</v>
      </c>
      <c r="O505" s="24">
        <f t="shared" si="1056"/>
        <v>0.161904761904762</v>
      </c>
      <c r="P505" s="24">
        <f t="shared" si="1056"/>
        <v>0.15749414519906324</v>
      </c>
      <c r="Q505" s="24">
        <f t="shared" si="1056"/>
        <v>4.3500252908447168E-2</v>
      </c>
      <c r="R505" s="24">
        <f t="shared" ref="R505:X505" si="1057">IFERROR(R504/Q504-1,"n.m.")</f>
        <v>-5.6217717800980394E-2</v>
      </c>
      <c r="S505" s="24">
        <f t="shared" si="1057"/>
        <v>0.12281454197808306</v>
      </c>
      <c r="T505" s="24">
        <f t="shared" si="1057"/>
        <v>8.3567127004820607E-2</v>
      </c>
      <c r="U505" s="24">
        <f t="shared" si="1057"/>
        <v>8.1754665909439028E-2</v>
      </c>
      <c r="V505" s="24">
        <f t="shared" si="1057"/>
        <v>7.9633008519309767E-2</v>
      </c>
      <c r="W505" s="24">
        <f t="shared" si="1057"/>
        <v>8.0734376452555656E-2</v>
      </c>
      <c r="X505" s="24">
        <f t="shared" si="1057"/>
        <v>8.7592539055983298E-2</v>
      </c>
      <c r="Y505" s="135" t="s">
        <v>4</v>
      </c>
    </row>
    <row r="506" spans="2:25" ht="15" customHeight="1" outlineLevel="1">
      <c r="B506" s="6" t="s">
        <v>91</v>
      </c>
      <c r="C506" s="1" t="s">
        <v>21</v>
      </c>
      <c r="D506" s="72"/>
      <c r="E506" s="72"/>
      <c r="F506" s="72"/>
      <c r="G506" s="24">
        <f t="shared" ref="G506:Q506" si="1058">G504/G$432</f>
        <v>-0.28812145478812146</v>
      </c>
      <c r="H506" s="24">
        <f t="shared" si="1058"/>
        <v>-0.10808943290064657</v>
      </c>
      <c r="I506" s="24">
        <f t="shared" si="1058"/>
        <v>-7.6848859086304219E-2</v>
      </c>
      <c r="J506" s="24">
        <f t="shared" si="1058"/>
        <v>-9.0907104302790573E-2</v>
      </c>
      <c r="K506" s="24">
        <f t="shared" si="1058"/>
        <v>-0.22661937651670711</v>
      </c>
      <c r="L506" s="24">
        <f t="shared" si="1058"/>
        <v>-0.22559343208995181</v>
      </c>
      <c r="M506" s="24">
        <f t="shared" si="1058"/>
        <v>-0.25704508856682767</v>
      </c>
      <c r="N506" s="24">
        <f t="shared" si="1058"/>
        <v>-0.25614218504966024</v>
      </c>
      <c r="O506" s="24">
        <f t="shared" si="1058"/>
        <v>-0.26256725595695618</v>
      </c>
      <c r="P506" s="24">
        <f t="shared" si="1058"/>
        <v>-0.28154371973796638</v>
      </c>
      <c r="Q506" s="24">
        <f t="shared" si="1058"/>
        <v>-0.24541993813942423</v>
      </c>
      <c r="R506" s="24">
        <f t="shared" ref="R506:W506" si="1059">R504/R$432</f>
        <v>-0.14291437598519421</v>
      </c>
      <c r="S506" s="24">
        <f t="shared" si="1059"/>
        <v>-0.2013227609408634</v>
      </c>
      <c r="T506" s="24">
        <f t="shared" si="1059"/>
        <v>-0.17983759463769944</v>
      </c>
      <c r="U506" s="24">
        <f t="shared" si="1059"/>
        <v>-0.17112150912889795</v>
      </c>
      <c r="V506" s="24">
        <f t="shared" si="1059"/>
        <v>-0.16067662421341297</v>
      </c>
      <c r="W506" s="24">
        <f t="shared" si="1059"/>
        <v>-0.14906077205225365</v>
      </c>
      <c r="X506" s="24">
        <f t="shared" ref="X506" si="1060">X504/X$432</f>
        <v>-0.13713395302541753</v>
      </c>
      <c r="Y506" s="135" t="s">
        <v>4</v>
      </c>
    </row>
    <row r="507" spans="2:25" ht="15" customHeight="1" outlineLevel="1">
      <c r="B507" s="6" t="s">
        <v>97</v>
      </c>
      <c r="C507" s="1" t="s">
        <v>21</v>
      </c>
      <c r="D507" s="72"/>
      <c r="E507" s="72"/>
      <c r="F507" s="72"/>
      <c r="G507" s="53" t="str">
        <f>IFERROR(G504/G$409,"n.m.")</f>
        <v>n.m.</v>
      </c>
      <c r="H507" s="53" t="str">
        <f t="shared" ref="H507:W507" si="1061">IFERROR(H504/H$409,"n.m.")</f>
        <v>n.m.</v>
      </c>
      <c r="I507" s="53" t="str">
        <f t="shared" si="1061"/>
        <v>n.m.</v>
      </c>
      <c r="J507" s="53" t="str">
        <f t="shared" si="1061"/>
        <v>n.m.</v>
      </c>
      <c r="K507" s="53" t="str">
        <f t="shared" si="1061"/>
        <v>n.m.</v>
      </c>
      <c r="L507" s="53" t="str">
        <f t="shared" si="1061"/>
        <v>n.m.</v>
      </c>
      <c r="M507" s="53" t="str">
        <f t="shared" si="1061"/>
        <v>n.m.</v>
      </c>
      <c r="N507" s="53">
        <f t="shared" si="1061"/>
        <v>-4.1414618124646807E-2</v>
      </c>
      <c r="O507" s="53">
        <f t="shared" si="1061"/>
        <v>-4.4167207000961467E-2</v>
      </c>
      <c r="P507" s="53">
        <f t="shared" si="1061"/>
        <v>-4.6090880994476488E-2</v>
      </c>
      <c r="Q507" s="53">
        <f t="shared" si="1061"/>
        <v>-4.6384566957460203E-2</v>
      </c>
      <c r="R507" s="53">
        <f t="shared" si="1061"/>
        <v>-4.1181472511243558E-2</v>
      </c>
      <c r="S507" s="53">
        <f t="shared" si="1061"/>
        <v>-4.2574026846183458E-2</v>
      </c>
      <c r="T507" s="53">
        <f t="shared" si="1061"/>
        <v>-4.1686628577488949E-2</v>
      </c>
      <c r="U507" s="53">
        <f t="shared" si="1061"/>
        <v>-4.0718017038066823E-2</v>
      </c>
      <c r="V507" s="53">
        <f t="shared" si="1061"/>
        <v>-3.9240451462476622E-2</v>
      </c>
      <c r="W507" s="53">
        <f t="shared" si="1061"/>
        <v>-3.7340777238174597E-2</v>
      </c>
      <c r="X507" s="53">
        <f t="shared" ref="X507" si="1062">IFERROR(X504/X$409,"n.m.")</f>
        <v>-3.5083209315238791E-2</v>
      </c>
      <c r="Y507" s="135" t="s">
        <v>4</v>
      </c>
    </row>
    <row r="508" spans="2:25" ht="15" customHeight="1" outlineLevel="2">
      <c r="Y508" s="135" t="s">
        <v>4</v>
      </c>
    </row>
    <row r="509" spans="2:25" ht="15" customHeight="1" outlineLevel="2">
      <c r="B509" s="17" t="s">
        <v>98</v>
      </c>
      <c r="C509" s="15" t="s">
        <v>26</v>
      </c>
      <c r="D509" s="91"/>
      <c r="E509" s="91"/>
      <c r="F509" s="91"/>
      <c r="G509" s="91"/>
      <c r="H509" s="91"/>
      <c r="I509" s="91"/>
      <c r="J509" s="91"/>
      <c r="K509" s="91"/>
      <c r="L509" s="91"/>
      <c r="M509" s="91"/>
      <c r="N509" s="32">
        <v>-484</v>
      </c>
      <c r="O509" s="32">
        <v>-631</v>
      </c>
      <c r="P509" s="32">
        <v>-704</v>
      </c>
      <c r="Q509" s="32">
        <v>-733</v>
      </c>
      <c r="R509" s="36">
        <f>R514+R518</f>
        <v>-872.57957492702212</v>
      </c>
      <c r="S509" s="36">
        <f t="shared" ref="S509:X509" si="1063">S514+S518</f>
        <v>-903.8890878849387</v>
      </c>
      <c r="T509" s="36">
        <f t="shared" si="1063"/>
        <v>-1017.8007987969892</v>
      </c>
      <c r="U509" s="36">
        <f t="shared" si="1063"/>
        <v>-1127.1929917294096</v>
      </c>
      <c r="V509" s="36">
        <f t="shared" si="1063"/>
        <v>-1252.775099636187</v>
      </c>
      <c r="W509" s="36">
        <f t="shared" si="1063"/>
        <v>-1398.5057562195761</v>
      </c>
      <c r="X509" s="36">
        <f t="shared" si="1063"/>
        <v>-1569.7053204309038</v>
      </c>
      <c r="Y509" s="135" t="s">
        <v>4</v>
      </c>
    </row>
    <row r="510" spans="2:25" ht="15" customHeight="1" outlineLevel="2">
      <c r="B510" s="18" t="s">
        <v>27</v>
      </c>
      <c r="C510" s="1" t="s">
        <v>21</v>
      </c>
      <c r="D510" s="72"/>
      <c r="E510" s="72"/>
      <c r="F510" s="72"/>
      <c r="G510" s="72"/>
      <c r="H510" s="72"/>
      <c r="I510" s="72"/>
      <c r="J510" s="72"/>
      <c r="K510" s="72"/>
      <c r="L510" s="72"/>
      <c r="M510" s="72"/>
      <c r="N510" s="24" t="str">
        <f>IFERROR(N509/M509-1,"n.m.")</f>
        <v>n.m.</v>
      </c>
      <c r="O510" s="24">
        <f>IFERROR(O509/N509-1,"n.m.")</f>
        <v>0.30371900826446274</v>
      </c>
      <c r="P510" s="24">
        <f>IFERROR(P509/O509-1,"n.m.")</f>
        <v>0.11568938193343903</v>
      </c>
      <c r="Q510" s="24">
        <f>IFERROR(Q509/P509-1,"n.m.")</f>
        <v>4.1193181818181879E-2</v>
      </c>
      <c r="R510" s="24">
        <f t="shared" ref="R510:X510" si="1064">IFERROR(R509/Q509-1,"n.m.")</f>
        <v>0.19042233960030308</v>
      </c>
      <c r="S510" s="24">
        <f t="shared" si="1064"/>
        <v>3.5881556086773125E-2</v>
      </c>
      <c r="T510" s="24">
        <f t="shared" si="1064"/>
        <v>0.12602399170300749</v>
      </c>
      <c r="U510" s="24">
        <f t="shared" si="1064"/>
        <v>0.10747898121294353</v>
      </c>
      <c r="V510" s="24">
        <f t="shared" si="1064"/>
        <v>0.11141136329644974</v>
      </c>
      <c r="W510" s="24">
        <f t="shared" si="1064"/>
        <v>0.11632627167135601</v>
      </c>
      <c r="X510" s="24">
        <f t="shared" si="1064"/>
        <v>0.1224160597480215</v>
      </c>
      <c r="Y510" s="135" t="s">
        <v>4</v>
      </c>
    </row>
    <row r="511" spans="2:25" ht="15" customHeight="1" outlineLevel="2">
      <c r="B511" s="18" t="s">
        <v>91</v>
      </c>
      <c r="C511" s="1" t="s">
        <v>21</v>
      </c>
      <c r="D511" s="72"/>
      <c r="E511" s="72"/>
      <c r="F511" s="72"/>
      <c r="G511" s="72"/>
      <c r="H511" s="72"/>
      <c r="I511" s="72"/>
      <c r="J511" s="72"/>
      <c r="K511" s="72"/>
      <c r="L511" s="72"/>
      <c r="M511" s="72"/>
      <c r="N511" s="24">
        <f>N509/N$432</f>
        <v>-8.4335250043561599E-2</v>
      </c>
      <c r="O511" s="24">
        <f>O509/O$432</f>
        <v>-9.7002305918524212E-2</v>
      </c>
      <c r="P511" s="24">
        <f>P509/P$432</f>
        <v>-0.10025633722586158</v>
      </c>
      <c r="Q511" s="24">
        <f>Q509/Q$432</f>
        <v>-8.7199619319533669E-2</v>
      </c>
      <c r="R511" s="24">
        <f t="shared" ref="R511:W511" si="1065">R509/R$432</f>
        <v>-6.4048639986381842E-2</v>
      </c>
      <c r="S511" s="24">
        <f t="shared" si="1065"/>
        <v>-8.3239400643263434E-2</v>
      </c>
      <c r="T511" s="24">
        <f t="shared" si="1065"/>
        <v>-7.7269548542330105E-2</v>
      </c>
      <c r="U511" s="24">
        <f t="shared" si="1065"/>
        <v>-7.5272996806616477E-2</v>
      </c>
      <c r="V511" s="24">
        <f t="shared" si="1065"/>
        <v>-7.2758876185734983E-2</v>
      </c>
      <c r="W511" s="24">
        <f t="shared" si="1065"/>
        <v>-6.9721838366965896E-2</v>
      </c>
      <c r="X511" s="24">
        <f t="shared" ref="X511" si="1066">X509/X$432</f>
        <v>-6.6196969969930269E-2</v>
      </c>
      <c r="Y511" s="135" t="s">
        <v>4</v>
      </c>
    </row>
    <row r="512" spans="2:25" ht="15" customHeight="1" outlineLevel="2">
      <c r="B512" s="18" t="s">
        <v>97</v>
      </c>
      <c r="C512" s="1" t="s">
        <v>21</v>
      </c>
      <c r="D512" s="72"/>
      <c r="E512" s="72"/>
      <c r="F512" s="72"/>
      <c r="G512" s="72"/>
      <c r="H512" s="72"/>
      <c r="I512" s="72"/>
      <c r="J512" s="72"/>
      <c r="K512" s="72"/>
      <c r="L512" s="72"/>
      <c r="M512" s="72"/>
      <c r="N512" s="53">
        <f t="shared" ref="N512:W512" si="1067">IFERROR(N509/N$409,"n.m.")</f>
        <v>-1.3635833450563984E-2</v>
      </c>
      <c r="O512" s="53">
        <f t="shared" si="1067"/>
        <v>-1.631704193068307E-2</v>
      </c>
      <c r="P512" s="53">
        <f t="shared" si="1067"/>
        <v>-1.6412736580734166E-2</v>
      </c>
      <c r="Q512" s="53">
        <f t="shared" si="1067"/>
        <v>-1.6480798632970591E-2</v>
      </c>
      <c r="R512" s="53">
        <f t="shared" si="1067"/>
        <v>-1.8455927115792557E-2</v>
      </c>
      <c r="S512" s="53">
        <f t="shared" si="1067"/>
        <v>-1.7602761163639541E-2</v>
      </c>
      <c r="T512" s="53">
        <f t="shared" si="1067"/>
        <v>-1.791119914011086E-2</v>
      </c>
      <c r="U512" s="53">
        <f t="shared" si="1067"/>
        <v>-1.7911057365497286E-2</v>
      </c>
      <c r="V512" s="53">
        <f t="shared" si="1067"/>
        <v>-1.7769175593573008E-2</v>
      </c>
      <c r="W512" s="53">
        <f t="shared" si="1067"/>
        <v>-1.7465813434699207E-2</v>
      </c>
      <c r="X512" s="53">
        <f t="shared" ref="X512" si="1068">IFERROR(X509/X$409,"n.m.")</f>
        <v>-1.6935281906875294E-2</v>
      </c>
      <c r="Y512" s="135" t="s">
        <v>4</v>
      </c>
    </row>
    <row r="513" spans="1:26" ht="15" customHeight="1" outlineLevel="3">
      <c r="B513" s="6"/>
      <c r="N513" s="82"/>
      <c r="Y513" s="135" t="s">
        <v>4</v>
      </c>
    </row>
    <row r="514" spans="1:26" ht="15" customHeight="1" outlineLevel="3">
      <c r="B514" s="18" t="s">
        <v>99</v>
      </c>
      <c r="C514" s="1" t="s">
        <v>26</v>
      </c>
      <c r="D514" s="72"/>
      <c r="E514" s="72"/>
      <c r="F514" s="72"/>
      <c r="G514" s="72"/>
      <c r="H514" s="72"/>
      <c r="I514" s="72"/>
      <c r="J514" s="72"/>
      <c r="K514" s="72"/>
      <c r="L514" s="72"/>
      <c r="M514" s="72"/>
      <c r="N514" s="42">
        <f>-N607</f>
        <v>-102</v>
      </c>
      <c r="O514" s="42">
        <f t="shared" ref="O514:Q514" si="1069">-O607</f>
        <v>-136</v>
      </c>
      <c r="P514" s="42">
        <f t="shared" si="1069"/>
        <v>-194</v>
      </c>
      <c r="Q514" s="42">
        <f t="shared" si="1069"/>
        <v>-172</v>
      </c>
      <c r="R514" s="42">
        <f>R516*R432</f>
        <v>-257.4879649220847</v>
      </c>
      <c r="S514" s="42">
        <f t="shared" ref="S514:X514" si="1070">S516*S432</f>
        <v>-229.49035580211171</v>
      </c>
      <c r="T514" s="42">
        <f t="shared" si="1070"/>
        <v>-278.37655298216839</v>
      </c>
      <c r="U514" s="42">
        <f t="shared" si="1070"/>
        <v>-316.47347330708408</v>
      </c>
      <c r="V514" s="42">
        <f t="shared" si="1070"/>
        <v>-363.88601969177404</v>
      </c>
      <c r="W514" s="42">
        <f t="shared" si="1070"/>
        <v>-423.91000702382502</v>
      </c>
      <c r="X514" s="42">
        <f t="shared" si="1070"/>
        <v>-501.13906646159421</v>
      </c>
      <c r="Y514" s="135" t="s">
        <v>4</v>
      </c>
    </row>
    <row r="515" spans="1:26" ht="15" customHeight="1" outlineLevel="3">
      <c r="B515" s="77" t="s">
        <v>27</v>
      </c>
      <c r="C515" s="1" t="s">
        <v>21</v>
      </c>
      <c r="D515" s="72"/>
      <c r="E515" s="72"/>
      <c r="F515" s="72"/>
      <c r="G515" s="72"/>
      <c r="H515" s="72"/>
      <c r="I515" s="72"/>
      <c r="J515" s="72"/>
      <c r="K515" s="72"/>
      <c r="L515" s="72"/>
      <c r="M515" s="72"/>
      <c r="N515" s="24" t="str">
        <f>IFERROR(N514/M514-1,"n.m.")</f>
        <v>n.m.</v>
      </c>
      <c r="O515" s="24">
        <f>IFERROR(O514/N514-1,"n.m.")</f>
        <v>0.33333333333333326</v>
      </c>
      <c r="P515" s="24">
        <f>IFERROR(P514/O514-1,"n.m.")</f>
        <v>0.42647058823529416</v>
      </c>
      <c r="Q515" s="24">
        <f>IFERROR(Q514/P514-1,"n.m.")</f>
        <v>-0.11340206185567014</v>
      </c>
      <c r="R515" s="24">
        <f t="shared" ref="R515:X515" si="1071">IFERROR(R514/Q514-1,"n.m.")</f>
        <v>0.49702305187258555</v>
      </c>
      <c r="S515" s="24">
        <f t="shared" si="1071"/>
        <v>-0.10873366111866634</v>
      </c>
      <c r="T515" s="24">
        <f t="shared" si="1071"/>
        <v>0.21302070411277318</v>
      </c>
      <c r="U515" s="24">
        <f t="shared" si="1071"/>
        <v>0.13685391214451892</v>
      </c>
      <c r="V515" s="24">
        <f t="shared" si="1071"/>
        <v>0.14981523060760327</v>
      </c>
      <c r="W515" s="24">
        <f t="shared" si="1071"/>
        <v>0.16495271619089324</v>
      </c>
      <c r="X515" s="24">
        <f t="shared" si="1071"/>
        <v>0.18218267594100146</v>
      </c>
      <c r="Y515" s="135" t="s">
        <v>4</v>
      </c>
    </row>
    <row r="516" spans="1:26" ht="15" customHeight="1" outlineLevel="3">
      <c r="B516" s="77" t="s">
        <v>91</v>
      </c>
      <c r="C516" s="1" t="s">
        <v>21</v>
      </c>
      <c r="D516" s="72"/>
      <c r="E516" s="72"/>
      <c r="F516" s="72"/>
      <c r="G516" s="72"/>
      <c r="H516" s="72"/>
      <c r="I516" s="72"/>
      <c r="J516" s="72"/>
      <c r="K516" s="72"/>
      <c r="L516" s="72"/>
      <c r="M516" s="72"/>
      <c r="N516" s="24">
        <f>N514/N$432</f>
        <v>-1.7773131207527444E-2</v>
      </c>
      <c r="O516" s="24">
        <f t="shared" ref="O516:Q516" si="1072">O514/O$432</f>
        <v>-2.0906994619523445E-2</v>
      </c>
      <c r="P516" s="24">
        <f t="shared" si="1072"/>
        <v>-2.7627456565081174E-2</v>
      </c>
      <c r="Q516" s="24">
        <f t="shared" si="1072"/>
        <v>-2.0461575065429456E-2</v>
      </c>
      <c r="R516" s="76">
        <v>-1.89E-2</v>
      </c>
      <c r="S516" s="76">
        <f>AVERAGE($N$516:R516)</f>
        <v>-2.1133831491512305E-2</v>
      </c>
      <c r="T516" s="76">
        <f>AVERAGE($N$516:S516)</f>
        <v>-2.1133831491512305E-2</v>
      </c>
      <c r="U516" s="76">
        <f>AVERAGE($N$516:T516)</f>
        <v>-2.1133831491512302E-2</v>
      </c>
      <c r="V516" s="76">
        <f>AVERAGE($N$516:U516)</f>
        <v>-2.1133831491512302E-2</v>
      </c>
      <c r="W516" s="76">
        <f>AVERAGE($N$516:V516)</f>
        <v>-2.1133831491512302E-2</v>
      </c>
      <c r="X516" s="76">
        <f>AVERAGE($N$516:W516)</f>
        <v>-2.1133831491512302E-2</v>
      </c>
      <c r="Y516" s="135" t="s">
        <v>4</v>
      </c>
      <c r="Z516" s="658"/>
    </row>
    <row r="517" spans="1:26" ht="15" customHeight="1" outlineLevel="3">
      <c r="B517" s="6"/>
      <c r="N517" s="82"/>
      <c r="Y517" s="135" t="s">
        <v>4</v>
      </c>
    </row>
    <row r="518" spans="1:26" s="578" customFormat="1" ht="15" customHeight="1" outlineLevel="3">
      <c r="A518" s="38"/>
      <c r="B518" s="37" t="s">
        <v>100</v>
      </c>
      <c r="C518" s="38" t="s">
        <v>26</v>
      </c>
      <c r="D518" s="45"/>
      <c r="E518" s="45"/>
      <c r="F518" s="45"/>
      <c r="G518" s="45"/>
      <c r="H518" s="45"/>
      <c r="I518" s="45"/>
      <c r="J518" s="45"/>
      <c r="K518" s="45"/>
      <c r="L518" s="45"/>
      <c r="M518" s="45"/>
      <c r="N518" s="42">
        <f>N509-N514</f>
        <v>-382</v>
      </c>
      <c r="O518" s="42">
        <f t="shared" ref="O518:Q518" si="1073">O509-O514</f>
        <v>-495</v>
      </c>
      <c r="P518" s="42">
        <f t="shared" si="1073"/>
        <v>-510</v>
      </c>
      <c r="Q518" s="42">
        <f t="shared" si="1073"/>
        <v>-561</v>
      </c>
      <c r="R518" s="42">
        <f>Q518*(1+R519)</f>
        <v>-615.09161000493737</v>
      </c>
      <c r="S518" s="42">
        <f t="shared" ref="S518" si="1074">R518*(1+S519)</f>
        <v>-674.398732082827</v>
      </c>
      <c r="T518" s="42">
        <f t="shared" ref="T518" si="1075">S518*(1+T519)</f>
        <v>-739.42424581482078</v>
      </c>
      <c r="U518" s="42">
        <f t="shared" ref="U518" si="1076">T518*(1+U519)</f>
        <v>-810.71951842232556</v>
      </c>
      <c r="V518" s="42">
        <f t="shared" ref="V518" si="1077">U518*(1+V519)</f>
        <v>-888.88907994441297</v>
      </c>
      <c r="W518" s="42">
        <f t="shared" ref="W518" si="1078">V518*(1+W519)</f>
        <v>-974.59574919575118</v>
      </c>
      <c r="X518" s="42">
        <f t="shared" ref="X518" si="1079">W518*(1+X519)</f>
        <v>-1068.5662539693096</v>
      </c>
      <c r="Y518" s="135" t="s">
        <v>4</v>
      </c>
    </row>
    <row r="519" spans="1:26" ht="15" customHeight="1" outlineLevel="3">
      <c r="B519" s="77" t="s">
        <v>27</v>
      </c>
      <c r="C519" s="1" t="s">
        <v>21</v>
      </c>
      <c r="D519" s="72"/>
      <c r="E519" s="72"/>
      <c r="F519" s="72"/>
      <c r="G519" s="72"/>
      <c r="H519" s="72"/>
      <c r="I519" s="72"/>
      <c r="J519" s="72"/>
      <c r="K519" s="72"/>
      <c r="L519" s="72"/>
      <c r="M519" s="72"/>
      <c r="N519" s="24" t="str">
        <f>IFERROR(N518/M518-1,"n.m.")</f>
        <v>n.m.</v>
      </c>
      <c r="O519" s="24">
        <f>IFERROR(O518/N518-1,"n.m.")</f>
        <v>0.29581151832460728</v>
      </c>
      <c r="P519" s="24">
        <f>IFERROR(P518/O518-1,"n.m.")</f>
        <v>3.0303030303030276E-2</v>
      </c>
      <c r="Q519" s="24">
        <f>IFERROR(Q518/P518-1,"n.m.")</f>
        <v>0.10000000000000009</v>
      </c>
      <c r="R519" s="76">
        <f>GEOMEAN($O$519:Q519)</f>
        <v>9.6419982183489045E-2</v>
      </c>
      <c r="S519" s="76">
        <f>GEOMEAN($O$519:R519)</f>
        <v>9.6419982183489045E-2</v>
      </c>
      <c r="T519" s="76">
        <f>GEOMEAN($O$519:S519)</f>
        <v>9.6419982183489045E-2</v>
      </c>
      <c r="U519" s="76">
        <f>GEOMEAN($O$519:T519)</f>
        <v>9.6419982183489045E-2</v>
      </c>
      <c r="V519" s="76">
        <f>GEOMEAN($O$519:U519)</f>
        <v>9.6419982183489045E-2</v>
      </c>
      <c r="W519" s="76">
        <f>GEOMEAN($O$519:V519)</f>
        <v>9.6419982183489045E-2</v>
      </c>
      <c r="X519" s="76">
        <f>GEOMEAN($O$519:W519)</f>
        <v>9.6419982183489045E-2</v>
      </c>
      <c r="Y519" s="135" t="s">
        <v>4</v>
      </c>
    </row>
    <row r="520" spans="1:26" ht="15" customHeight="1" outlineLevel="3">
      <c r="B520" s="77" t="s">
        <v>91</v>
      </c>
      <c r="C520" s="1" t="s">
        <v>21</v>
      </c>
      <c r="D520" s="72"/>
      <c r="E520" s="72"/>
      <c r="F520" s="72"/>
      <c r="G520" s="72"/>
      <c r="H520" s="72"/>
      <c r="I520" s="72"/>
      <c r="J520" s="72"/>
      <c r="K520" s="72"/>
      <c r="L520" s="72"/>
      <c r="M520" s="72"/>
      <c r="N520" s="24">
        <f>N518/N$432</f>
        <v>-6.6562118836034148E-2</v>
      </c>
      <c r="O520" s="24">
        <f t="shared" ref="O520:X520" si="1080">O518/O$432</f>
        <v>-7.6095311299000767E-2</v>
      </c>
      <c r="P520" s="24">
        <f t="shared" si="1080"/>
        <v>-7.2628880660780409E-2</v>
      </c>
      <c r="Q520" s="24">
        <f t="shared" si="1080"/>
        <v>-6.6738044254104206E-2</v>
      </c>
      <c r="R520" s="24">
        <f t="shared" si="1080"/>
        <v>-4.5148639986381835E-2</v>
      </c>
      <c r="S520" s="24">
        <f t="shared" si="1080"/>
        <v>-6.2105569151751125E-2</v>
      </c>
      <c r="T520" s="24">
        <f t="shared" si="1080"/>
        <v>-5.6135717050817803E-2</v>
      </c>
      <c r="U520" s="24">
        <f t="shared" si="1080"/>
        <v>-5.4139165315104168E-2</v>
      </c>
      <c r="V520" s="24">
        <f t="shared" si="1080"/>
        <v>-5.1625044694222688E-2</v>
      </c>
      <c r="W520" s="24">
        <f t="shared" si="1080"/>
        <v>-4.8588006875453595E-2</v>
      </c>
      <c r="X520" s="24">
        <f t="shared" si="1080"/>
        <v>-4.5063138478417968E-2</v>
      </c>
      <c r="Y520" s="135" t="s">
        <v>4</v>
      </c>
    </row>
    <row r="521" spans="1:26" ht="15" customHeight="1" outlineLevel="2">
      <c r="B521" s="6"/>
      <c r="N521" s="82"/>
      <c r="Y521" s="135" t="s">
        <v>4</v>
      </c>
    </row>
    <row r="522" spans="1:26" ht="15" customHeight="1" outlineLevel="2">
      <c r="B522" s="6" t="s">
        <v>101</v>
      </c>
      <c r="C522" s="1" t="s">
        <v>26</v>
      </c>
      <c r="D522" s="5"/>
      <c r="E522" s="5"/>
      <c r="F522" s="5"/>
      <c r="G522" s="5"/>
      <c r="H522" s="5"/>
      <c r="I522" s="5"/>
      <c r="J522" s="5"/>
      <c r="K522" s="5"/>
      <c r="L522" s="5"/>
      <c r="M522" s="5"/>
      <c r="N522" s="82">
        <v>-986</v>
      </c>
      <c r="O522" s="82">
        <v>-1077</v>
      </c>
      <c r="P522" s="82">
        <v>-1273</v>
      </c>
      <c r="Q522" s="82">
        <v>-1330</v>
      </c>
      <c r="R522" s="42">
        <f>R526*R483</f>
        <v>-1074.4432732495554</v>
      </c>
      <c r="S522" s="42">
        <f t="shared" ref="S522:W522" si="1081">S526*S483</f>
        <v>-1282.2564796113081</v>
      </c>
      <c r="T522" s="42">
        <f t="shared" si="1081"/>
        <v>-1351.0346729892422</v>
      </c>
      <c r="U522" s="42">
        <f t="shared" si="1081"/>
        <v>-1435.3058326471332</v>
      </c>
      <c r="V522" s="42">
        <f t="shared" si="1081"/>
        <v>-1513.7832154526548</v>
      </c>
      <c r="W522" s="42">
        <f t="shared" si="1081"/>
        <v>-1591.408919357596</v>
      </c>
      <c r="X522" s="42">
        <f t="shared" ref="X522" si="1082">X526*X483</f>
        <v>-1682.1035731408197</v>
      </c>
      <c r="Y522" s="135" t="s">
        <v>4</v>
      </c>
    </row>
    <row r="523" spans="1:26" ht="15" customHeight="1" outlineLevel="2">
      <c r="B523" s="18" t="s">
        <v>27</v>
      </c>
      <c r="C523" s="1" t="s">
        <v>21</v>
      </c>
      <c r="D523" s="72"/>
      <c r="E523" s="72"/>
      <c r="F523" s="72"/>
      <c r="G523" s="72"/>
      <c r="H523" s="72"/>
      <c r="I523" s="72"/>
      <c r="J523" s="72"/>
      <c r="K523" s="72"/>
      <c r="L523" s="72"/>
      <c r="M523" s="72"/>
      <c r="N523" s="24" t="str">
        <f>IFERROR(N522/M522-1,"n.m.")</f>
        <v>n.m.</v>
      </c>
      <c r="O523" s="24">
        <f>IFERROR(O522/N522-1,"n.m.")</f>
        <v>9.2292089249492948E-2</v>
      </c>
      <c r="P523" s="24">
        <f>IFERROR(P522/O522-1,"n.m.")</f>
        <v>0.18198700092850517</v>
      </c>
      <c r="Q523" s="24">
        <f>IFERROR(Q522/P522-1,"n.m.")</f>
        <v>4.4776119402984982E-2</v>
      </c>
      <c r="R523" s="24">
        <f t="shared" ref="R523" si="1083">IFERROR(R522/Q522-1,"n.m.")</f>
        <v>-0.1921479148499583</v>
      </c>
      <c r="S523" s="24">
        <f t="shared" ref="S523" si="1084">IFERROR(S522/R522-1,"n.m.")</f>
        <v>0.19341477724853795</v>
      </c>
      <c r="T523" s="24">
        <f t="shared" ref="T523" si="1085">IFERROR(T522/S522-1,"n.m.")</f>
        <v>5.3638405788195342E-2</v>
      </c>
      <c r="U523" s="24">
        <f t="shared" ref="U523" si="1086">IFERROR(U522/T522-1,"n.m.")</f>
        <v>6.2375275292851029E-2</v>
      </c>
      <c r="V523" s="24">
        <f t="shared" ref="V523" si="1087">IFERROR(V522/U522-1,"n.m.")</f>
        <v>5.4676418795557957E-2</v>
      </c>
      <c r="W523" s="113">
        <f t="shared" ref="W523:X523" si="1088">IFERROR(W522/V522-1,"n.m.")</f>
        <v>5.1279273751049903E-2</v>
      </c>
      <c r="X523" s="113">
        <f t="shared" si="1088"/>
        <v>5.6990163043596942E-2</v>
      </c>
      <c r="Y523" s="135" t="s">
        <v>4</v>
      </c>
    </row>
    <row r="524" spans="1:26" ht="15" customHeight="1" outlineLevel="2">
      <c r="B524" s="18" t="s">
        <v>91</v>
      </c>
      <c r="C524" s="1" t="s">
        <v>21</v>
      </c>
      <c r="D524" s="72"/>
      <c r="E524" s="72"/>
      <c r="F524" s="72"/>
      <c r="G524" s="72"/>
      <c r="H524" s="72"/>
      <c r="I524" s="72"/>
      <c r="J524" s="72"/>
      <c r="K524" s="72"/>
      <c r="L524" s="72"/>
      <c r="M524" s="72"/>
      <c r="N524" s="24">
        <f t="shared" ref="N524:W524" si="1089">N522/N$432</f>
        <v>-0.17180693500609862</v>
      </c>
      <c r="O524" s="24">
        <f t="shared" si="1089"/>
        <v>-0.16556495003843197</v>
      </c>
      <c r="P524" s="24">
        <f t="shared" si="1089"/>
        <v>-0.1812873825121048</v>
      </c>
      <c r="Q524" s="24">
        <f t="shared" si="1089"/>
        <v>-0.15822031881989054</v>
      </c>
      <c r="R524" s="24">
        <f t="shared" si="1089"/>
        <v>-7.8865735998812386E-2</v>
      </c>
      <c r="S524" s="24">
        <f t="shared" si="1089"/>
        <v>-0.11808336029759997</v>
      </c>
      <c r="T524" s="24">
        <f t="shared" si="1089"/>
        <v>-0.10256804609536935</v>
      </c>
      <c r="U524" s="24">
        <f t="shared" si="1089"/>
        <v>-9.584851232228149E-2</v>
      </c>
      <c r="V524" s="24">
        <f t="shared" si="1089"/>
        <v>-8.7917748027678017E-2</v>
      </c>
      <c r="W524" s="24">
        <f t="shared" si="1089"/>
        <v>-7.9338933685287771E-2</v>
      </c>
      <c r="X524" s="24">
        <f t="shared" ref="X524" si="1090">X522/X$432</f>
        <v>-7.0936983055487277E-2</v>
      </c>
      <c r="Y524" s="135" t="s">
        <v>4</v>
      </c>
    </row>
    <row r="525" spans="1:26" ht="15" customHeight="1" outlineLevel="2">
      <c r="B525" s="18" t="s">
        <v>97</v>
      </c>
      <c r="C525" s="1" t="s">
        <v>21</v>
      </c>
      <c r="D525" s="72"/>
      <c r="E525" s="72"/>
      <c r="F525" s="72"/>
      <c r="G525" s="72"/>
      <c r="H525" s="72"/>
      <c r="I525" s="72"/>
      <c r="J525" s="72"/>
      <c r="K525" s="72"/>
      <c r="L525" s="72"/>
      <c r="M525" s="72"/>
      <c r="N525" s="53">
        <f t="shared" ref="N525:W525" si="1091">IFERROR(N522/N$409,"n.m.")</f>
        <v>-2.7778784674082825E-2</v>
      </c>
      <c r="O525" s="53">
        <f t="shared" si="1091"/>
        <v>-2.7850165070278394E-2</v>
      </c>
      <c r="P525" s="53">
        <f t="shared" si="1091"/>
        <v>-2.9678144413742318E-2</v>
      </c>
      <c r="Q525" s="53">
        <f t="shared" si="1091"/>
        <v>-2.9903768324489613E-2</v>
      </c>
      <c r="R525" s="53">
        <f t="shared" si="1091"/>
        <v>-2.2725545395451002E-2</v>
      </c>
      <c r="S525" s="53">
        <f t="shared" si="1091"/>
        <v>-2.4971265682543917E-2</v>
      </c>
      <c r="T525" s="53">
        <f t="shared" si="1091"/>
        <v>-2.3775429437378089E-2</v>
      </c>
      <c r="U525" s="53">
        <f t="shared" si="1091"/>
        <v>-2.2806959672569536E-2</v>
      </c>
      <c r="V525" s="53">
        <f t="shared" si="1091"/>
        <v>-2.1471275868903617E-2</v>
      </c>
      <c r="W525" s="53">
        <f t="shared" si="1091"/>
        <v>-1.9874963803475389E-2</v>
      </c>
      <c r="X525" s="53">
        <f t="shared" ref="X525" si="1092">IFERROR(X522/X$409,"n.m.")</f>
        <v>-1.8147927408363497E-2</v>
      </c>
      <c r="Y525" s="135" t="s">
        <v>4</v>
      </c>
    </row>
    <row r="526" spans="1:26" ht="15" customHeight="1" outlineLevel="2">
      <c r="B526" s="20" t="s">
        <v>102</v>
      </c>
      <c r="C526" s="21" t="s">
        <v>21</v>
      </c>
      <c r="D526" s="74"/>
      <c r="E526" s="74"/>
      <c r="F526" s="74"/>
      <c r="G526" s="74"/>
      <c r="H526" s="74"/>
      <c r="I526" s="74"/>
      <c r="J526" s="74"/>
      <c r="K526" s="74"/>
      <c r="L526" s="74"/>
      <c r="M526" s="74"/>
      <c r="N526" s="83">
        <f>IFERROR(N522/N$483,"n.m.")</f>
        <v>-1.0717391304347825</v>
      </c>
      <c r="O526" s="83">
        <f>IFERROR(O522/O$483,"n.m.")</f>
        <v>-1.0527859237536656</v>
      </c>
      <c r="P526" s="83">
        <f>IFERROR(P522/P$483,"n.m.")</f>
        <v>-1.0871050384286933</v>
      </c>
      <c r="Q526" s="83">
        <f>IFERROR(Q522/Q$483,"n.m.")</f>
        <v>-1.1244504565437945</v>
      </c>
      <c r="R526" s="170">
        <v>-1.1080000000000001</v>
      </c>
      <c r="S526" s="170">
        <f>R526-0.014</f>
        <v>-1.1220000000000001</v>
      </c>
      <c r="T526" s="170">
        <f>S526-0.014</f>
        <v>-1.1360000000000001</v>
      </c>
      <c r="U526" s="170">
        <v>-1.1499999999999999</v>
      </c>
      <c r="V526" s="170">
        <f>U526-0.01</f>
        <v>-1.1599999999999999</v>
      </c>
      <c r="W526" s="170">
        <f>V526-0.01</f>
        <v>-1.17</v>
      </c>
      <c r="X526" s="170">
        <v>-1.18</v>
      </c>
      <c r="Y526" s="135" t="s">
        <v>4</v>
      </c>
    </row>
    <row r="527" spans="1:26" ht="15" customHeight="1" outlineLevel="1">
      <c r="Y527" s="135" t="s">
        <v>4</v>
      </c>
    </row>
    <row r="528" spans="1:26" ht="15" customHeight="1" outlineLevel="1">
      <c r="B528" s="7" t="s">
        <v>103</v>
      </c>
      <c r="C528" s="13" t="s">
        <v>26</v>
      </c>
      <c r="D528" s="71"/>
      <c r="E528" s="71"/>
      <c r="F528" s="71"/>
      <c r="G528" s="43">
        <v>-179</v>
      </c>
      <c r="H528" s="43">
        <v>-503</v>
      </c>
      <c r="I528" s="43">
        <v>-454</v>
      </c>
      <c r="J528" s="43">
        <v>-478</v>
      </c>
      <c r="K528" s="43">
        <v>-422</v>
      </c>
      <c r="L528" s="43">
        <v>-540</v>
      </c>
      <c r="M528" s="43">
        <v>-515</v>
      </c>
      <c r="N528" s="43">
        <v>-489</v>
      </c>
      <c r="O528" s="43">
        <v>-518</v>
      </c>
      <c r="P528" s="43">
        <v>-512</v>
      </c>
      <c r="Q528" s="43">
        <v>-544</v>
      </c>
      <c r="R528" s="75">
        <f>R532*R475</f>
        <v>-491.71487971529291</v>
      </c>
      <c r="S528" s="75">
        <f t="shared" ref="S528:W528" si="1093">S532*S475</f>
        <v>-607.29625076825812</v>
      </c>
      <c r="T528" s="75">
        <f t="shared" si="1093"/>
        <v>-644.18071583591609</v>
      </c>
      <c r="U528" s="75">
        <f t="shared" si="1093"/>
        <v>-689.38350860283265</v>
      </c>
      <c r="V528" s="75">
        <f t="shared" si="1093"/>
        <v>-760.00340844503648</v>
      </c>
      <c r="W528" s="75">
        <f t="shared" si="1093"/>
        <v>-841.17006247953861</v>
      </c>
      <c r="X528" s="75">
        <f t="shared" ref="X528" si="1094">X532*X475</f>
        <v>-945.6378450295208</v>
      </c>
      <c r="Y528" s="135" t="s">
        <v>4</v>
      </c>
    </row>
    <row r="529" spans="2:25" ht="15" customHeight="1" outlineLevel="1">
      <c r="B529" s="6" t="s">
        <v>27</v>
      </c>
      <c r="C529" s="1" t="s">
        <v>21</v>
      </c>
      <c r="D529" s="72"/>
      <c r="E529" s="72"/>
      <c r="F529" s="72"/>
      <c r="G529" s="24" t="str">
        <f t="shared" ref="G529:Q529" si="1095">IFERROR(G528/F528-1,"n.m.")</f>
        <v>n.m.</v>
      </c>
      <c r="H529" s="24">
        <f t="shared" si="1095"/>
        <v>1.8100558659217878</v>
      </c>
      <c r="I529" s="24">
        <f t="shared" si="1095"/>
        <v>-9.741550695825052E-2</v>
      </c>
      <c r="J529" s="24">
        <f t="shared" si="1095"/>
        <v>5.2863436123347984E-2</v>
      </c>
      <c r="K529" s="24">
        <f t="shared" si="1095"/>
        <v>-0.11715481171548114</v>
      </c>
      <c r="L529" s="24">
        <f t="shared" si="1095"/>
        <v>0.27962085308056861</v>
      </c>
      <c r="M529" s="24">
        <f t="shared" si="1095"/>
        <v>-4.629629629629628E-2</v>
      </c>
      <c r="N529" s="24">
        <f t="shared" si="1095"/>
        <v>-5.0485436893203839E-2</v>
      </c>
      <c r="O529" s="24">
        <f t="shared" si="1095"/>
        <v>5.9304703476482645E-2</v>
      </c>
      <c r="P529" s="24">
        <f t="shared" si="1095"/>
        <v>-1.158301158301156E-2</v>
      </c>
      <c r="Q529" s="24">
        <f t="shared" si="1095"/>
        <v>6.25E-2</v>
      </c>
      <c r="R529" s="24">
        <f t="shared" ref="R529" si="1096">IFERROR(R528/Q528-1,"n.m.")</f>
        <v>-9.6112353464535061E-2</v>
      </c>
      <c r="S529" s="24">
        <f t="shared" ref="S529" si="1097">IFERROR(S528/R528-1,"n.m.")</f>
        <v>0.23505770482253419</v>
      </c>
      <c r="T529" s="24">
        <f t="shared" ref="T529" si="1098">IFERROR(T528/S528-1,"n.m.")</f>
        <v>6.0735538908724296E-2</v>
      </c>
      <c r="U529" s="24">
        <f t="shared" ref="U529" si="1099">IFERROR(U528/T528-1,"n.m.")</f>
        <v>7.0170980992902754E-2</v>
      </c>
      <c r="V529" s="24">
        <f t="shared" ref="V529" si="1100">IFERROR(V528/U528-1,"n.m.")</f>
        <v>0.10243920685791941</v>
      </c>
      <c r="W529" s="24">
        <f t="shared" ref="W529:X529" si="1101">IFERROR(W528/V528-1,"n.m.")</f>
        <v>0.10679775002663305</v>
      </c>
      <c r="X529" s="24">
        <f t="shared" si="1101"/>
        <v>0.12419341487503699</v>
      </c>
      <c r="Y529" s="135" t="s">
        <v>4</v>
      </c>
    </row>
    <row r="530" spans="2:25" ht="15" customHeight="1" outlineLevel="1">
      <c r="B530" s="6" t="s">
        <v>91</v>
      </c>
      <c r="C530" s="1" t="s">
        <v>21</v>
      </c>
      <c r="D530" s="72"/>
      <c r="E530" s="72"/>
      <c r="F530" s="72"/>
      <c r="G530" s="24">
        <f t="shared" ref="G530:Q530" si="1102">G528/G$432</f>
        <v>-0.14931598264931598</v>
      </c>
      <c r="H530" s="24">
        <f t="shared" si="1102"/>
        <v>-0.12413010216672425</v>
      </c>
      <c r="I530" s="24">
        <f t="shared" si="1102"/>
        <v>-0.10950841815813595</v>
      </c>
      <c r="J530" s="24">
        <f t="shared" si="1102"/>
        <v>-0.10445575927099494</v>
      </c>
      <c r="K530" s="24">
        <f t="shared" si="1102"/>
        <v>-7.8775434011573636E-2</v>
      </c>
      <c r="L530" s="24">
        <f t="shared" si="1102"/>
        <v>-9.6376940924504731E-2</v>
      </c>
      <c r="M530" s="24">
        <f t="shared" si="1102"/>
        <v>-0.1036634460547504</v>
      </c>
      <c r="N530" s="24">
        <f t="shared" si="1102"/>
        <v>-8.5206481965499223E-2</v>
      </c>
      <c r="O530" s="24">
        <f t="shared" si="1102"/>
        <v>-7.9631053036126054E-2</v>
      </c>
      <c r="P530" s="24">
        <f t="shared" si="1102"/>
        <v>-7.2913699800626605E-2</v>
      </c>
      <c r="Q530" s="24">
        <f t="shared" si="1102"/>
        <v>-6.4715679276707114E-2</v>
      </c>
      <c r="R530" s="24">
        <f t="shared" ref="R530:W530" si="1103">R528/R$432</f>
        <v>-3.6092604287082705E-2</v>
      </c>
      <c r="S530" s="24">
        <f t="shared" si="1103"/>
        <v>-5.5926082751079458E-2</v>
      </c>
      <c r="T530" s="24">
        <f t="shared" si="1103"/>
        <v>-4.8905004939227323E-2</v>
      </c>
      <c r="U530" s="24">
        <f t="shared" si="1103"/>
        <v>-4.6036448968671463E-2</v>
      </c>
      <c r="V530" s="24">
        <f t="shared" si="1103"/>
        <v>-4.4139601682574588E-2</v>
      </c>
      <c r="W530" s="24">
        <f t="shared" si="1103"/>
        <v>-4.1936132814973423E-2</v>
      </c>
      <c r="X530" s="24">
        <f t="shared" ref="X530" si="1104">X528/X$432</f>
        <v>-3.98790519564938E-2</v>
      </c>
      <c r="Y530" s="135" t="s">
        <v>4</v>
      </c>
    </row>
    <row r="531" spans="2:25" ht="15" customHeight="1" outlineLevel="1">
      <c r="B531" s="6" t="s">
        <v>97</v>
      </c>
      <c r="C531" s="1" t="s">
        <v>21</v>
      </c>
      <c r="D531" s="72"/>
      <c r="E531" s="72"/>
      <c r="F531" s="72"/>
      <c r="G531" s="53" t="str">
        <f>IFERROR(G528/G$409,"n.m.")</f>
        <v>n.m.</v>
      </c>
      <c r="H531" s="53" t="str">
        <f t="shared" ref="H531:W531" si="1105">IFERROR(H528/H$409,"n.m.")</f>
        <v>n.m.</v>
      </c>
      <c r="I531" s="53" t="str">
        <f t="shared" si="1105"/>
        <v>n.m.</v>
      </c>
      <c r="J531" s="53" t="str">
        <f t="shared" si="1105"/>
        <v>n.m.</v>
      </c>
      <c r="K531" s="53" t="str">
        <f t="shared" si="1105"/>
        <v>n.m.</v>
      </c>
      <c r="L531" s="53" t="str">
        <f t="shared" si="1105"/>
        <v>n.m.</v>
      </c>
      <c r="M531" s="53" t="str">
        <f t="shared" si="1105"/>
        <v>n.m.</v>
      </c>
      <c r="N531" s="53">
        <f t="shared" si="1105"/>
        <v>-1.3776699498606999E-2</v>
      </c>
      <c r="O531" s="53">
        <f t="shared" si="1105"/>
        <v>-1.339497261504569E-2</v>
      </c>
      <c r="P531" s="53">
        <f t="shared" si="1105"/>
        <v>-1.1936535695079393E-2</v>
      </c>
      <c r="Q531" s="53">
        <f t="shared" si="1105"/>
        <v>-1.2231315765806277E-2</v>
      </c>
      <c r="R531" s="53">
        <f t="shared" si="1105"/>
        <v>-1.0400259463482329E-2</v>
      </c>
      <c r="S531" s="53">
        <f t="shared" si="1105"/>
        <v>-1.1826772776803562E-2</v>
      </c>
      <c r="T531" s="53">
        <f t="shared" si="1105"/>
        <v>-1.13362546946258E-2</v>
      </c>
      <c r="U531" s="53">
        <f t="shared" si="1105"/>
        <v>-1.0954279932550584E-2</v>
      </c>
      <c r="V531" s="53">
        <f t="shared" si="1105"/>
        <v>-1.0779775252793311E-2</v>
      </c>
      <c r="W531" s="53">
        <f t="shared" si="1105"/>
        <v>-1.0505297752821824E-2</v>
      </c>
      <c r="X531" s="53">
        <f t="shared" ref="X531" si="1106">IFERROR(X528/X$409,"n.m.")</f>
        <v>-1.0202324779652759E-2</v>
      </c>
      <c r="Y531" s="135" t="s">
        <v>4</v>
      </c>
    </row>
    <row r="532" spans="2:25" ht="15" customHeight="1" outlineLevel="1">
      <c r="B532" s="6" t="s">
        <v>104</v>
      </c>
      <c r="C532" s="1" t="s">
        <v>21</v>
      </c>
      <c r="D532" s="72"/>
      <c r="E532" s="72"/>
      <c r="F532" s="72"/>
      <c r="G532" s="53" t="str">
        <f t="shared" ref="G532:Q532" si="1107">IFERROR(G528/G$475,"n.m.")</f>
        <v>n.m.</v>
      </c>
      <c r="H532" s="53" t="str">
        <f t="shared" si="1107"/>
        <v>n.m.</v>
      </c>
      <c r="I532" s="53" t="str">
        <f t="shared" si="1107"/>
        <v>n.m.</v>
      </c>
      <c r="J532" s="53" t="str">
        <f t="shared" si="1107"/>
        <v>n.m.</v>
      </c>
      <c r="K532" s="53" t="str">
        <f t="shared" si="1107"/>
        <v>n.m.</v>
      </c>
      <c r="L532" s="53" t="str">
        <f t="shared" si="1107"/>
        <v>n.m.</v>
      </c>
      <c r="M532" s="53" t="str">
        <f t="shared" si="1107"/>
        <v>n.m.</v>
      </c>
      <c r="N532" s="53">
        <f t="shared" si="1107"/>
        <v>-0.14566577301161751</v>
      </c>
      <c r="O532" s="53">
        <f t="shared" si="1107"/>
        <v>-0.14060803474484257</v>
      </c>
      <c r="P532" s="53">
        <f t="shared" si="1107"/>
        <v>-0.12570586791063099</v>
      </c>
      <c r="Q532" s="53">
        <f t="shared" si="1107"/>
        <v>-0.13264086996805891</v>
      </c>
      <c r="R532" s="76">
        <v>-0.13300000000000001</v>
      </c>
      <c r="S532" s="76">
        <f>AVERAGE(N532:R532)</f>
        <v>-0.13552410912703</v>
      </c>
      <c r="T532" s="76">
        <f t="shared" ref="T532:X532" si="1108">AVERAGE(O532:S532)</f>
        <v>-0.1334957763501125</v>
      </c>
      <c r="U532" s="76">
        <f t="shared" si="1108"/>
        <v>-0.1320733246711665</v>
      </c>
      <c r="V532" s="76">
        <f t="shared" si="1108"/>
        <v>-0.13334681602327358</v>
      </c>
      <c r="W532" s="76">
        <f t="shared" si="1108"/>
        <v>-0.13348800523431653</v>
      </c>
      <c r="X532" s="76">
        <f t="shared" si="1108"/>
        <v>-0.13358560628117983</v>
      </c>
      <c r="Y532" s="135" t="s">
        <v>4</v>
      </c>
    </row>
    <row r="533" spans="2:25" ht="15" customHeight="1" outlineLevel="1">
      <c r="Y533" s="135" t="s">
        <v>4</v>
      </c>
    </row>
    <row r="534" spans="2:25" ht="15" customHeight="1" outlineLevel="1">
      <c r="B534" s="7" t="s">
        <v>105</v>
      </c>
      <c r="C534" s="13" t="s">
        <v>26</v>
      </c>
      <c r="D534" s="71"/>
      <c r="E534" s="71"/>
      <c r="F534" s="71"/>
      <c r="G534" s="43">
        <v>-9.5</v>
      </c>
      <c r="H534" s="43">
        <v>-4</v>
      </c>
      <c r="I534" s="43">
        <v>20.2</v>
      </c>
      <c r="J534" s="43">
        <v>12.4</v>
      </c>
      <c r="K534" s="43">
        <v>22</v>
      </c>
      <c r="L534" s="43">
        <v>11</v>
      </c>
      <c r="M534" s="43">
        <v>-39</v>
      </c>
      <c r="N534" s="43">
        <v>-4</v>
      </c>
      <c r="O534" s="43">
        <v>-44</v>
      </c>
      <c r="P534" s="43">
        <v>8</v>
      </c>
      <c r="Q534" s="43">
        <v>69</v>
      </c>
      <c r="R534" s="533">
        <f>R538</f>
        <v>16.32</v>
      </c>
      <c r="S534" s="533">
        <f t="shared" ref="S534:X534" si="1109">S538</f>
        <v>16.6464</v>
      </c>
      <c r="T534" s="533">
        <f t="shared" si="1109"/>
        <v>16.979327999999999</v>
      </c>
      <c r="U534" s="533">
        <f t="shared" si="1109"/>
        <v>17.31891456</v>
      </c>
      <c r="V534" s="533">
        <f t="shared" si="1109"/>
        <v>17.6652928512</v>
      </c>
      <c r="W534" s="533">
        <f t="shared" si="1109"/>
        <v>18.018598708224001</v>
      </c>
      <c r="X534" s="533">
        <f t="shared" si="1109"/>
        <v>18.378970682388481</v>
      </c>
      <c r="Y534" s="135" t="s">
        <v>4</v>
      </c>
    </row>
    <row r="535" spans="2:25" ht="15" customHeight="1" outlineLevel="1">
      <c r="B535" s="6" t="s">
        <v>27</v>
      </c>
      <c r="C535" s="1" t="s">
        <v>21</v>
      </c>
      <c r="D535" s="72"/>
      <c r="E535" s="72"/>
      <c r="F535" s="72"/>
      <c r="G535" s="24" t="str">
        <f t="shared" ref="G535:Q535" si="1110">IFERROR(G534/F534-1,"n.m.")</f>
        <v>n.m.</v>
      </c>
      <c r="H535" s="24">
        <f t="shared" si="1110"/>
        <v>-0.57894736842105265</v>
      </c>
      <c r="I535" s="24">
        <f t="shared" si="1110"/>
        <v>-6.05</v>
      </c>
      <c r="J535" s="24">
        <f t="shared" si="1110"/>
        <v>-0.38613861386138615</v>
      </c>
      <c r="K535" s="24">
        <f t="shared" si="1110"/>
        <v>0.77419354838709675</v>
      </c>
      <c r="L535" s="24">
        <f t="shared" si="1110"/>
        <v>-0.5</v>
      </c>
      <c r="M535" s="24">
        <f t="shared" si="1110"/>
        <v>-4.545454545454545</v>
      </c>
      <c r="N535" s="24">
        <f t="shared" si="1110"/>
        <v>-0.89743589743589747</v>
      </c>
      <c r="O535" s="24">
        <f t="shared" si="1110"/>
        <v>10</v>
      </c>
      <c r="P535" s="24">
        <f t="shared" si="1110"/>
        <v>-1.1818181818181819</v>
      </c>
      <c r="Q535" s="24">
        <f t="shared" si="1110"/>
        <v>7.625</v>
      </c>
      <c r="R535" s="24">
        <f t="shared" ref="R535" si="1111">IFERROR(R534/Q534-1,"n.m.")</f>
        <v>-0.76347826086956516</v>
      </c>
      <c r="S535" s="24">
        <f t="shared" ref="S535" si="1112">IFERROR(S534/R534-1,"n.m.")</f>
        <v>2.0000000000000018E-2</v>
      </c>
      <c r="T535" s="24">
        <f t="shared" ref="T535" si="1113">IFERROR(T534/S534-1,"n.m.")</f>
        <v>2.0000000000000018E-2</v>
      </c>
      <c r="U535" s="24">
        <f t="shared" ref="U535" si="1114">IFERROR(U534/T534-1,"n.m.")</f>
        <v>2.0000000000000018E-2</v>
      </c>
      <c r="V535" s="24">
        <f t="shared" ref="V535" si="1115">IFERROR(V534/U534-1,"n.m.")</f>
        <v>2.0000000000000018E-2</v>
      </c>
      <c r="W535" s="24">
        <f t="shared" ref="W535:X535" si="1116">IFERROR(W534/V534-1,"n.m.")</f>
        <v>2.0000000000000018E-2</v>
      </c>
      <c r="X535" s="24">
        <f t="shared" si="1116"/>
        <v>2.0000000000000018E-2</v>
      </c>
      <c r="Y535" s="135" t="s">
        <v>4</v>
      </c>
    </row>
    <row r="536" spans="2:25" ht="15" customHeight="1" outlineLevel="1">
      <c r="B536" s="6" t="s">
        <v>91</v>
      </c>
      <c r="C536" s="1" t="s">
        <v>21</v>
      </c>
      <c r="D536" s="72"/>
      <c r="E536" s="72"/>
      <c r="F536" s="72"/>
      <c r="G536" s="24">
        <f t="shared" ref="G536:Q536" si="1117">G534/G$432</f>
        <v>-7.9245912579245913E-3</v>
      </c>
      <c r="H536" s="24">
        <f t="shared" si="1117"/>
        <v>-9.8711810868170376E-4</v>
      </c>
      <c r="I536" s="24">
        <f t="shared" si="1117"/>
        <v>4.8724009841285155E-3</v>
      </c>
      <c r="J536" s="24">
        <f t="shared" si="1117"/>
        <v>2.7097309936408732E-3</v>
      </c>
      <c r="K536" s="24">
        <f t="shared" si="1117"/>
        <v>4.1067761806981521E-3</v>
      </c>
      <c r="L536" s="24">
        <f t="shared" si="1117"/>
        <v>1.9632339817954665E-3</v>
      </c>
      <c r="M536" s="24">
        <f t="shared" si="1117"/>
        <v>-7.85024154589372E-3</v>
      </c>
      <c r="N536" s="24">
        <f t="shared" si="1117"/>
        <v>-6.9698553755009581E-4</v>
      </c>
      <c r="O536" s="24">
        <f t="shared" si="1117"/>
        <v>-6.7640276710222904E-3</v>
      </c>
      <c r="P536" s="24">
        <f t="shared" si="1117"/>
        <v>1.1392765593847907E-3</v>
      </c>
      <c r="Q536" s="24">
        <f t="shared" si="1117"/>
        <v>8.2084225553176304E-3</v>
      </c>
      <c r="R536" s="24">
        <f t="shared" ref="R536:W536" si="1118">R534/R$432</f>
        <v>1.1979122989042835E-3</v>
      </c>
      <c r="S536" s="24">
        <f t="shared" si="1118"/>
        <v>1.5329716637141283E-3</v>
      </c>
      <c r="T536" s="24">
        <f t="shared" si="1118"/>
        <v>1.2890390837410155E-3</v>
      </c>
      <c r="U536" s="24">
        <f t="shared" si="1118"/>
        <v>1.1565424997620041E-3</v>
      </c>
      <c r="V536" s="24">
        <f t="shared" si="1118"/>
        <v>1.0259677540832913E-3</v>
      </c>
      <c r="W536" s="24">
        <f t="shared" si="1118"/>
        <v>8.9830865632616465E-4</v>
      </c>
      <c r="X536" s="24">
        <f t="shared" ref="X536" si="1119">X534/X$432</f>
        <v>7.7507042532436491E-4</v>
      </c>
      <c r="Y536" s="135" t="s">
        <v>4</v>
      </c>
    </row>
    <row r="537" spans="2:25" ht="15" customHeight="1" outlineLevel="2">
      <c r="B537" s="6"/>
      <c r="D537" s="24"/>
      <c r="E537" s="24"/>
      <c r="F537" s="24"/>
      <c r="G537" s="24"/>
      <c r="H537" s="24"/>
      <c r="I537" s="24"/>
      <c r="J537" s="24"/>
      <c r="K537" s="24"/>
      <c r="L537" s="24"/>
      <c r="M537" s="24"/>
      <c r="N537" s="24"/>
      <c r="O537" s="24"/>
      <c r="P537" s="24"/>
      <c r="Q537" s="24"/>
      <c r="R537" s="24"/>
      <c r="S537" s="24"/>
      <c r="T537" s="24"/>
      <c r="U537" s="24"/>
      <c r="V537" s="24"/>
      <c r="W537" s="113"/>
      <c r="X537" s="113"/>
      <c r="Y537" s="135" t="s">
        <v>4</v>
      </c>
    </row>
    <row r="538" spans="2:25" ht="15" customHeight="1" outlineLevel="2">
      <c r="B538" s="263" t="s">
        <v>106</v>
      </c>
      <c r="C538" s="262" t="s">
        <v>26</v>
      </c>
      <c r="D538" s="532"/>
      <c r="E538" s="532"/>
      <c r="F538" s="532"/>
      <c r="G538" s="532"/>
      <c r="H538" s="231">
        <f t="shared" ref="H538:Q538" si="1120">H534+H602</f>
        <v>13.7</v>
      </c>
      <c r="I538" s="231">
        <f t="shared" si="1120"/>
        <v>12.2</v>
      </c>
      <c r="J538" s="231">
        <f t="shared" si="1120"/>
        <v>13.5</v>
      </c>
      <c r="K538" s="231">
        <f t="shared" si="1120"/>
        <v>19</v>
      </c>
      <c r="L538" s="231">
        <f t="shared" si="1120"/>
        <v>22</v>
      </c>
      <c r="M538" s="231">
        <f t="shared" si="1120"/>
        <v>9</v>
      </c>
      <c r="N538" s="231">
        <f t="shared" si="1120"/>
        <v>21</v>
      </c>
      <c r="O538" s="231">
        <f t="shared" si="1120"/>
        <v>15</v>
      </c>
      <c r="P538" s="231">
        <f t="shared" si="1120"/>
        <v>14</v>
      </c>
      <c r="Q538" s="231">
        <f t="shared" si="1120"/>
        <v>16</v>
      </c>
      <c r="R538" s="286">
        <f>Q538*(1+2%)</f>
        <v>16.32</v>
      </c>
      <c r="S538" s="286">
        <f t="shared" ref="S538:X538" si="1121">R538*(1+2%)</f>
        <v>16.6464</v>
      </c>
      <c r="T538" s="286">
        <f t="shared" si="1121"/>
        <v>16.979327999999999</v>
      </c>
      <c r="U538" s="286">
        <f t="shared" si="1121"/>
        <v>17.31891456</v>
      </c>
      <c r="V538" s="286">
        <f t="shared" si="1121"/>
        <v>17.6652928512</v>
      </c>
      <c r="W538" s="286">
        <f t="shared" si="1121"/>
        <v>18.018598708224001</v>
      </c>
      <c r="X538" s="286">
        <f t="shared" si="1121"/>
        <v>18.378970682388481</v>
      </c>
      <c r="Y538" s="135" t="s">
        <v>4</v>
      </c>
    </row>
    <row r="539" spans="2:25" ht="15" customHeight="1" outlineLevel="1">
      <c r="B539" s="6"/>
      <c r="D539" s="24"/>
      <c r="E539" s="24"/>
      <c r="F539" s="24"/>
      <c r="G539" s="24"/>
      <c r="H539" s="24"/>
      <c r="I539" s="24"/>
      <c r="J539" s="24"/>
      <c r="K539" s="24"/>
      <c r="L539" s="24"/>
      <c r="M539" s="24"/>
      <c r="N539" s="24"/>
      <c r="O539" s="24"/>
      <c r="P539" s="24"/>
      <c r="Q539" s="24"/>
      <c r="R539" s="24"/>
      <c r="S539" s="24"/>
      <c r="T539" s="24"/>
      <c r="U539" s="24"/>
      <c r="V539" s="24"/>
      <c r="W539" s="113"/>
      <c r="X539" s="113"/>
      <c r="Y539" s="135" t="s">
        <v>4</v>
      </c>
    </row>
    <row r="540" spans="2:25" ht="15" customHeight="1" outlineLevel="1">
      <c r="B540" s="7" t="s">
        <v>107</v>
      </c>
      <c r="C540" s="13" t="s">
        <v>26</v>
      </c>
      <c r="D540" s="71"/>
      <c r="E540" s="71"/>
      <c r="F540" s="71"/>
      <c r="G540" s="43">
        <v>-327.39999999999998</v>
      </c>
      <c r="H540" s="43">
        <v>-105.5</v>
      </c>
      <c r="I540" s="43">
        <v>0.7</v>
      </c>
      <c r="J540" s="43">
        <v>-109.2</v>
      </c>
      <c r="K540" s="43">
        <v>-8</v>
      </c>
      <c r="L540" s="43">
        <v>10</v>
      </c>
      <c r="M540" s="43">
        <v>-105</v>
      </c>
      <c r="N540" s="43">
        <v>-7</v>
      </c>
      <c r="O540" s="43">
        <v>-25</v>
      </c>
      <c r="P540" s="43">
        <v>-55</v>
      </c>
      <c r="Q540" s="43">
        <v>59</v>
      </c>
      <c r="R540" s="185">
        <v>-261</v>
      </c>
      <c r="S540" s="185">
        <f>AVERAGE($G$540:R540)</f>
        <v>-77.783333333333331</v>
      </c>
      <c r="T540" s="185">
        <f>AVERAGE($G$540:S540)</f>
        <v>-77.783333333333331</v>
      </c>
      <c r="U540" s="185">
        <f>AVERAGE($G$540:T540)</f>
        <v>-77.783333333333331</v>
      </c>
      <c r="V540" s="185">
        <f>AVERAGE($G$540:U540)</f>
        <v>-77.783333333333331</v>
      </c>
      <c r="W540" s="185">
        <f>AVERAGE($G$540:V540)</f>
        <v>-77.783333333333331</v>
      </c>
      <c r="X540" s="185">
        <f>AVERAGE($G$540:W540)</f>
        <v>-77.783333333333331</v>
      </c>
      <c r="Y540" s="135" t="s">
        <v>4</v>
      </c>
    </row>
    <row r="541" spans="2:25" ht="15" customHeight="1" outlineLevel="1">
      <c r="B541" s="6" t="s">
        <v>27</v>
      </c>
      <c r="C541" s="1" t="s">
        <v>21</v>
      </c>
      <c r="D541" s="72"/>
      <c r="E541" s="72"/>
      <c r="F541" s="72"/>
      <c r="G541" s="24" t="str">
        <f t="shared" ref="G541" si="1122">IFERROR(G540/F540-1,"n.m.")</f>
        <v>n.m.</v>
      </c>
      <c r="H541" s="24">
        <f t="shared" ref="H541" si="1123">IFERROR(H540/G540-1,"n.m.")</f>
        <v>-0.67776420281001837</v>
      </c>
      <c r="I541" s="24">
        <f t="shared" ref="I541" si="1124">IFERROR(I540/H540-1,"n.m.")</f>
        <v>-1.0066350710900474</v>
      </c>
      <c r="J541" s="24">
        <f t="shared" ref="J541" si="1125">IFERROR(J540/I540-1,"n.m.")</f>
        <v>-157</v>
      </c>
      <c r="K541" s="24">
        <f t="shared" ref="K541" si="1126">IFERROR(K540/J540-1,"n.m.")</f>
        <v>-0.92673992673992678</v>
      </c>
      <c r="L541" s="24">
        <f t="shared" ref="L541" si="1127">IFERROR(L540/K540-1,"n.m.")</f>
        <v>-2.25</v>
      </c>
      <c r="M541" s="24">
        <f t="shared" ref="M541" si="1128">IFERROR(M540/L540-1,"n.m.")</f>
        <v>-11.5</v>
      </c>
      <c r="N541" s="24">
        <f t="shared" ref="N541" si="1129">IFERROR(N540/M540-1,"n.m.")</f>
        <v>-0.93333333333333335</v>
      </c>
      <c r="O541" s="24">
        <f t="shared" ref="O541" si="1130">IFERROR(O540/N540-1,"n.m.")</f>
        <v>2.5714285714285716</v>
      </c>
      <c r="P541" s="24">
        <f t="shared" ref="P541" si="1131">IFERROR(P540/O540-1,"n.m.")</f>
        <v>1.2000000000000002</v>
      </c>
      <c r="Q541" s="24">
        <f t="shared" ref="Q541" si="1132">IFERROR(Q540/P540-1,"n.m.")</f>
        <v>-2.0727272727272728</v>
      </c>
      <c r="R541" s="24">
        <f t="shared" ref="R541" si="1133">IFERROR(R540/Q540-1,"n.m.")</f>
        <v>-5.4237288135593218</v>
      </c>
      <c r="S541" s="24">
        <f t="shared" ref="S541" si="1134">IFERROR(S540/R540-1,"n.m.")</f>
        <v>-0.70197956577266929</v>
      </c>
      <c r="T541" s="24">
        <f t="shared" ref="T541" si="1135">IFERROR(T540/S540-1,"n.m.")</f>
        <v>0</v>
      </c>
      <c r="U541" s="24">
        <f t="shared" ref="U541" si="1136">IFERROR(U540/T540-1,"n.m.")</f>
        <v>0</v>
      </c>
      <c r="V541" s="24">
        <f t="shared" ref="V541" si="1137">IFERROR(V540/U540-1,"n.m.")</f>
        <v>0</v>
      </c>
      <c r="W541" s="24">
        <f t="shared" ref="W541:X541" si="1138">IFERROR(W540/V540-1,"n.m.")</f>
        <v>0</v>
      </c>
      <c r="X541" s="24">
        <f t="shared" si="1138"/>
        <v>0</v>
      </c>
      <c r="Y541" s="135" t="s">
        <v>4</v>
      </c>
    </row>
    <row r="542" spans="2:25" ht="15" customHeight="1" outlineLevel="1">
      <c r="B542" s="6" t="s">
        <v>91</v>
      </c>
      <c r="C542" s="1" t="s">
        <v>21</v>
      </c>
      <c r="D542" s="72"/>
      <c r="E542" s="72"/>
      <c r="F542" s="72"/>
      <c r="G542" s="24">
        <f t="shared" ref="G542:W542" si="1139">G540/G$432</f>
        <v>-0.27310643977310645</v>
      </c>
      <c r="H542" s="24">
        <f t="shared" si="1139"/>
        <v>-2.6035240116479938E-2</v>
      </c>
      <c r="I542" s="24">
        <f t="shared" si="1139"/>
        <v>1.6884557865791885E-4</v>
      </c>
      <c r="J542" s="24">
        <f t="shared" si="1139"/>
        <v>-2.3863114879482526E-2</v>
      </c>
      <c r="K542" s="24">
        <f t="shared" si="1139"/>
        <v>-1.4933731566175099E-3</v>
      </c>
      <c r="L542" s="24">
        <f t="shared" si="1139"/>
        <v>1.7847581652686061E-3</v>
      </c>
      <c r="M542" s="24">
        <f t="shared" si="1139"/>
        <v>-2.1135265700483092E-2</v>
      </c>
      <c r="N542" s="24">
        <f t="shared" si="1139"/>
        <v>-1.2197246907126678E-3</v>
      </c>
      <c r="O542" s="24">
        <f t="shared" si="1139"/>
        <v>-3.843197540353574E-3</v>
      </c>
      <c r="P542" s="24">
        <f t="shared" si="1139"/>
        <v>-7.832526345770436E-3</v>
      </c>
      <c r="Q542" s="24">
        <f t="shared" si="1139"/>
        <v>7.0187960980252198E-3</v>
      </c>
      <c r="R542" s="24">
        <f t="shared" si="1139"/>
        <v>-1.9157788603800123E-2</v>
      </c>
      <c r="S542" s="24">
        <f t="shared" si="1139"/>
        <v>-7.1630890708640075E-3</v>
      </c>
      <c r="T542" s="24">
        <f t="shared" si="1139"/>
        <v>-5.9051663723276911E-3</v>
      </c>
      <c r="U542" s="24">
        <f t="shared" si="1139"/>
        <v>-5.1943053625847181E-3</v>
      </c>
      <c r="V542" s="24">
        <f t="shared" si="1139"/>
        <v>-4.5175130962910124E-3</v>
      </c>
      <c r="W542" s="24">
        <f t="shared" si="1139"/>
        <v>-3.8778510350721885E-3</v>
      </c>
      <c r="X542" s="24">
        <f t="shared" ref="X542" si="1140">X540/X$432</f>
        <v>-3.2802468806146824E-3</v>
      </c>
      <c r="Y542" s="135" t="s">
        <v>4</v>
      </c>
    </row>
    <row r="543" spans="2:25" ht="15" customHeight="1" outlineLevel="1">
      <c r="Y543" s="135" t="s">
        <v>4</v>
      </c>
    </row>
    <row r="544" spans="2:25" ht="15" customHeight="1" outlineLevel="1">
      <c r="B544" s="7" t="s">
        <v>108</v>
      </c>
      <c r="C544" s="13" t="s">
        <v>26</v>
      </c>
      <c r="D544" s="71"/>
      <c r="E544" s="71"/>
      <c r="F544" s="71"/>
      <c r="G544" s="75">
        <f t="shared" ref="G544:X544" si="1141">G432+G492+G504+G528+G534+G540</f>
        <v>181.09999999999991</v>
      </c>
      <c r="H544" s="75">
        <f t="shared" si="1141"/>
        <v>1192.6999999999998</v>
      </c>
      <c r="I544" s="75">
        <f t="shared" si="1141"/>
        <v>1666.8000000000002</v>
      </c>
      <c r="J544" s="75">
        <f t="shared" si="1141"/>
        <v>1735.0000000000007</v>
      </c>
      <c r="K544" s="75">
        <f t="shared" si="1141"/>
        <v>1917.1</v>
      </c>
      <c r="L544" s="75">
        <f t="shared" si="1141"/>
        <v>2007</v>
      </c>
      <c r="M544" s="75">
        <f t="shared" si="1141"/>
        <v>1422</v>
      </c>
      <c r="N544" s="75">
        <f t="shared" si="1141"/>
        <v>1879</v>
      </c>
      <c r="O544" s="75">
        <f t="shared" si="1141"/>
        <v>1898</v>
      </c>
      <c r="P544" s="75">
        <f t="shared" si="1141"/>
        <v>2051</v>
      </c>
      <c r="Q544" s="75">
        <f t="shared" si="1141"/>
        <v>2419</v>
      </c>
      <c r="R544" s="75">
        <f t="shared" si="1141"/>
        <v>2547.9744064897009</v>
      </c>
      <c r="S544" s="75">
        <f t="shared" si="1141"/>
        <v>2531.6372189012991</v>
      </c>
      <c r="T544" s="75">
        <f t="shared" si="1141"/>
        <v>2871.1620270160247</v>
      </c>
      <c r="U544" s="75">
        <f t="shared" si="1141"/>
        <v>3156.3237160875533</v>
      </c>
      <c r="V544" s="75">
        <f t="shared" si="1141"/>
        <v>3651.9824457372579</v>
      </c>
      <c r="W544" s="75">
        <f t="shared" si="1141"/>
        <v>4324.2577150361049</v>
      </c>
      <c r="X544" s="75">
        <f t="shared" si="1141"/>
        <v>5226.3884165220052</v>
      </c>
      <c r="Y544" s="135" t="s">
        <v>4</v>
      </c>
    </row>
    <row r="545" spans="2:25" ht="15" customHeight="1" outlineLevel="1">
      <c r="B545" s="6" t="s">
        <v>27</v>
      </c>
      <c r="C545" s="1" t="s">
        <v>21</v>
      </c>
      <c r="D545" s="72"/>
      <c r="E545" s="72"/>
      <c r="F545" s="72"/>
      <c r="G545" s="24" t="str">
        <f t="shared" ref="G545" si="1142">IFERROR(G544/F544-1,"n.m.")</f>
        <v>n.m.</v>
      </c>
      <c r="H545" s="24">
        <f t="shared" ref="H545" si="1143">IFERROR(H544/G544-1,"n.m.")</f>
        <v>5.5858641634456125</v>
      </c>
      <c r="I545" s="24">
        <f t="shared" ref="I545" si="1144">IFERROR(I544/H544-1,"n.m.")</f>
        <v>0.39750146725916036</v>
      </c>
      <c r="J545" s="24">
        <f t="shared" ref="J545" si="1145">IFERROR(J544/I544-1,"n.m.")</f>
        <v>4.0916726661867298E-2</v>
      </c>
      <c r="K545" s="24">
        <f t="shared" ref="K545" si="1146">IFERROR(K544/J544-1,"n.m.")</f>
        <v>0.10495677233429346</v>
      </c>
      <c r="L545" s="24">
        <f t="shared" ref="L545" si="1147">IFERROR(L544/K544-1,"n.m.")</f>
        <v>4.6893745761827921E-2</v>
      </c>
      <c r="M545" s="24">
        <f t="shared" ref="M545" si="1148">IFERROR(M544/L544-1,"n.m.")</f>
        <v>-0.29147982062780264</v>
      </c>
      <c r="N545" s="24">
        <f t="shared" ref="N545" si="1149">IFERROR(N544/M544-1,"n.m.")</f>
        <v>0.32137834036568225</v>
      </c>
      <c r="O545" s="24">
        <f t="shared" ref="O545" si="1150">IFERROR(O544/N544-1,"n.m.")</f>
        <v>1.0111761575305911E-2</v>
      </c>
      <c r="P545" s="24">
        <f t="shared" ref="P545" si="1151">IFERROR(P544/O544-1,"n.m.")</f>
        <v>8.0611169652265557E-2</v>
      </c>
      <c r="Q545" s="24">
        <f t="shared" ref="Q545" si="1152">IFERROR(Q544/P544-1,"n.m.")</f>
        <v>0.17942467089224778</v>
      </c>
      <c r="R545" s="24">
        <f t="shared" ref="R545" si="1153">IFERROR(R544/Q544-1,"n.m.")</f>
        <v>5.3317241211120692E-2</v>
      </c>
      <c r="S545" s="24">
        <f t="shared" ref="S545" si="1154">IFERROR(S544/R544-1,"n.m.")</f>
        <v>-6.4118334732056192E-3</v>
      </c>
      <c r="T545" s="24">
        <f t="shared" ref="T545" si="1155">IFERROR(T544/S544-1,"n.m.")</f>
        <v>0.13411274158075281</v>
      </c>
      <c r="U545" s="24">
        <f t="shared" ref="U545" si="1156">IFERROR(U544/T544-1,"n.m.")</f>
        <v>9.931926042080419E-2</v>
      </c>
      <c r="V545" s="24">
        <f t="shared" ref="V545" si="1157">IFERROR(V544/U544-1,"n.m.")</f>
        <v>0.15703672190636464</v>
      </c>
      <c r="W545" s="24">
        <f t="shared" ref="W545:X545" si="1158">IFERROR(W544/V544-1,"n.m.")</f>
        <v>0.1840850221182071</v>
      </c>
      <c r="X545" s="24">
        <f t="shared" si="1158"/>
        <v>0.20862093818993577</v>
      </c>
      <c r="Y545" s="135" t="s">
        <v>4</v>
      </c>
    </row>
    <row r="546" spans="2:25" ht="15" customHeight="1" outlineLevel="1">
      <c r="B546" s="6" t="s">
        <v>109</v>
      </c>
      <c r="C546" s="1" t="s">
        <v>21</v>
      </c>
      <c r="D546" s="72"/>
      <c r="E546" s="72"/>
      <c r="F546" s="72"/>
      <c r="G546" s="24">
        <f t="shared" ref="G546:W546" si="1159">G544/G$432</f>
        <v>0.15106773440106766</v>
      </c>
      <c r="H546" s="24">
        <f t="shared" si="1159"/>
        <v>0.29433394205616698</v>
      </c>
      <c r="I546" s="24">
        <f t="shared" si="1159"/>
        <v>0.40204544358145594</v>
      </c>
      <c r="J546" s="24">
        <f t="shared" si="1159"/>
        <v>0.37914381241668682</v>
      </c>
      <c r="K546" s="24">
        <f t="shared" si="1159"/>
        <v>0.35786820981892847</v>
      </c>
      <c r="L546" s="24">
        <f t="shared" si="1159"/>
        <v>0.35820096376940924</v>
      </c>
      <c r="M546" s="24">
        <f t="shared" si="1159"/>
        <v>0.28623188405797101</v>
      </c>
      <c r="N546" s="24">
        <f t="shared" si="1159"/>
        <v>0.3274089562641575</v>
      </c>
      <c r="O546" s="24">
        <f t="shared" si="1159"/>
        <v>0.29177555726364335</v>
      </c>
      <c r="P546" s="24">
        <f t="shared" si="1159"/>
        <v>0.29208202791227572</v>
      </c>
      <c r="Q546" s="24">
        <f t="shared" si="1159"/>
        <v>0.28777064001903402</v>
      </c>
      <c r="R546" s="24">
        <f t="shared" si="1159"/>
        <v>0.18702511512422518</v>
      </c>
      <c r="S546" s="24">
        <f t="shared" si="1159"/>
        <v>0.23313918441102779</v>
      </c>
      <c r="T546" s="24">
        <f t="shared" si="1159"/>
        <v>0.21797329485458633</v>
      </c>
      <c r="U546" s="24">
        <f t="shared" si="1159"/>
        <v>0.21077663429861029</v>
      </c>
      <c r="V546" s="24">
        <f t="shared" si="1159"/>
        <v>0.21210043101833656</v>
      </c>
      <c r="W546" s="24">
        <f t="shared" si="1159"/>
        <v>0.21558380873586874</v>
      </c>
      <c r="X546" s="24">
        <f t="shared" ref="X546" si="1160">X544/X$432</f>
        <v>0.22040511206569982</v>
      </c>
      <c r="Y546" s="135" t="s">
        <v>4</v>
      </c>
    </row>
    <row r="547" spans="2:25" ht="15" customHeight="1" outlineLevel="1">
      <c r="Y547" s="135" t="s">
        <v>4</v>
      </c>
    </row>
    <row r="548" spans="2:25" ht="15" customHeight="1" outlineLevel="1">
      <c r="B548" s="7" t="s">
        <v>110</v>
      </c>
      <c r="C548" s="13" t="s">
        <v>26</v>
      </c>
      <c r="D548" s="71"/>
      <c r="E548" s="71"/>
      <c r="F548" s="71"/>
      <c r="G548" s="43">
        <f>-279.9-155.4</f>
        <v>-435.29999999999995</v>
      </c>
      <c r="H548" s="43">
        <f>-478.3-40</f>
        <v>-518.29999999999995</v>
      </c>
      <c r="I548" s="43">
        <v>-466.9</v>
      </c>
      <c r="J548" s="43">
        <f>-512-122</f>
        <v>-634</v>
      </c>
      <c r="K548" s="43">
        <v>-535</v>
      </c>
      <c r="L548" s="43">
        <f>-532-23</f>
        <v>-555</v>
      </c>
      <c r="M548" s="43">
        <f>-508-98</f>
        <v>-606</v>
      </c>
      <c r="N548" s="75">
        <f t="shared" ref="N548:W548" si="1161">N551+N555+N559+N565+N562</f>
        <v>-516</v>
      </c>
      <c r="O548" s="75">
        <f t="shared" si="1161"/>
        <v>-533</v>
      </c>
      <c r="P548" s="75">
        <f t="shared" si="1161"/>
        <v>-598</v>
      </c>
      <c r="Q548" s="75">
        <f t="shared" si="1161"/>
        <v>-610</v>
      </c>
      <c r="R548" s="75">
        <f t="shared" si="1161"/>
        <v>-711.22819384309116</v>
      </c>
      <c r="S548" s="75">
        <f t="shared" si="1161"/>
        <v>-499.30079655207157</v>
      </c>
      <c r="T548" s="75">
        <f t="shared" si="1161"/>
        <v>-388.32688974838146</v>
      </c>
      <c r="U548" s="75">
        <f t="shared" si="1161"/>
        <v>-272.50706301650393</v>
      </c>
      <c r="V548" s="75">
        <f t="shared" si="1161"/>
        <v>-198.369174370991</v>
      </c>
      <c r="W548" s="75">
        <f t="shared" si="1161"/>
        <v>-130.97607961167466</v>
      </c>
      <c r="X548" s="75">
        <f t="shared" ref="X548" si="1162">X551+X555+X559+X565+X562</f>
        <v>-123.01505393909267</v>
      </c>
      <c r="Y548" s="135" t="s">
        <v>4</v>
      </c>
    </row>
    <row r="549" spans="2:25" ht="15" customHeight="1" outlineLevel="1">
      <c r="B549" s="6" t="s">
        <v>27</v>
      </c>
      <c r="C549" s="1" t="s">
        <v>21</v>
      </c>
      <c r="D549" s="72"/>
      <c r="E549" s="72"/>
      <c r="F549" s="72"/>
      <c r="G549" s="24" t="str">
        <f t="shared" ref="G549" si="1163">IFERROR(G548/F548-1,"n.m.")</f>
        <v>n.m.</v>
      </c>
      <c r="H549" s="24">
        <f t="shared" ref="H549" si="1164">IFERROR(H548/G548-1,"n.m.")</f>
        <v>0.19067309901217544</v>
      </c>
      <c r="I549" s="24">
        <f t="shared" ref="I549" si="1165">IFERROR(I548/H548-1,"n.m.")</f>
        <v>-9.9170364653675458E-2</v>
      </c>
      <c r="J549" s="24">
        <f t="shared" ref="J549" si="1166">IFERROR(J548/I548-1,"n.m.")</f>
        <v>0.35789248233026361</v>
      </c>
      <c r="K549" s="24">
        <f t="shared" ref="K549" si="1167">IFERROR(K548/J548-1,"n.m.")</f>
        <v>-0.15615141955835965</v>
      </c>
      <c r="L549" s="24">
        <f t="shared" ref="L549" si="1168">IFERROR(L548/K548-1,"n.m.")</f>
        <v>3.7383177570093462E-2</v>
      </c>
      <c r="M549" s="24">
        <f t="shared" ref="M549" si="1169">IFERROR(M548/L548-1,"n.m.")</f>
        <v>9.1891891891891841E-2</v>
      </c>
      <c r="N549" s="24">
        <f t="shared" ref="N549" si="1170">IFERROR(N548/M548-1,"n.m.")</f>
        <v>-0.14851485148514854</v>
      </c>
      <c r="O549" s="24">
        <f t="shared" ref="O549" si="1171">IFERROR(O548/N548-1,"n.m.")</f>
        <v>3.2945736434108586E-2</v>
      </c>
      <c r="P549" s="24">
        <f t="shared" ref="P549" si="1172">IFERROR(P548/O548-1,"n.m.")</f>
        <v>0.12195121951219523</v>
      </c>
      <c r="Q549" s="24">
        <f t="shared" ref="Q549" si="1173">IFERROR(Q548/P548-1,"n.m.")</f>
        <v>2.006688963210701E-2</v>
      </c>
      <c r="R549" s="24">
        <f t="shared" ref="R549" si="1174">IFERROR(R548/Q548-1,"n.m.")</f>
        <v>0.16594785875916584</v>
      </c>
      <c r="S549" s="24">
        <f t="shared" ref="S549" si="1175">IFERROR(S548/R548-1,"n.m.")</f>
        <v>-0.29797384176501629</v>
      </c>
      <c r="T549" s="24">
        <f t="shared" ref="T549" si="1176">IFERROR(T548/S548-1,"n.m.")</f>
        <v>-0.22225862159648435</v>
      </c>
      <c r="U549" s="24">
        <f t="shared" ref="U549" si="1177">IFERROR(U548/T548-1,"n.m.")</f>
        <v>-0.29825342975070213</v>
      </c>
      <c r="V549" s="24">
        <f t="shared" ref="V549" si="1178">IFERROR(V548/U548-1,"n.m.")</f>
        <v>-0.27205859482997286</v>
      </c>
      <c r="W549" s="24">
        <f t="shared" ref="W549:X549" si="1179">IFERROR(W548/V548-1,"n.m.")</f>
        <v>-0.33973572241258332</v>
      </c>
      <c r="X549" s="24">
        <f t="shared" si="1179"/>
        <v>-6.0782287087728482E-2</v>
      </c>
      <c r="Y549" s="135" t="s">
        <v>4</v>
      </c>
    </row>
    <row r="550" spans="2:25" ht="15" customHeight="1" outlineLevel="2">
      <c r="Y550" s="135" t="s">
        <v>4</v>
      </c>
    </row>
    <row r="551" spans="2:25" ht="15" customHeight="1" outlineLevel="2">
      <c r="B551" s="17" t="s">
        <v>111</v>
      </c>
      <c r="C551" s="15" t="s">
        <v>26</v>
      </c>
      <c r="D551" s="61"/>
      <c r="E551" s="61"/>
      <c r="F551" s="61"/>
      <c r="G551" s="61"/>
      <c r="H551" s="61"/>
      <c r="I551" s="61"/>
      <c r="J551" s="61"/>
      <c r="K551" s="61"/>
      <c r="L551" s="61"/>
      <c r="M551" s="61"/>
      <c r="N551" s="32">
        <v>-461</v>
      </c>
      <c r="O551" s="32">
        <v>-493</v>
      </c>
      <c r="P551" s="32">
        <v>-576</v>
      </c>
      <c r="Q551" s="32">
        <v>-572</v>
      </c>
      <c r="R551" s="31">
        <f>-R810</f>
        <v>-683.50091204819273</v>
      </c>
      <c r="S551" s="31">
        <f t="shared" ref="S551:W551" si="1180">-S810</f>
        <v>-487.3599815</v>
      </c>
      <c r="T551" s="31">
        <f t="shared" si="1180"/>
        <v>-335.9392489999999</v>
      </c>
      <c r="U551" s="31">
        <f t="shared" si="1180"/>
        <v>-184.37835299999998</v>
      </c>
      <c r="V551" s="31">
        <f t="shared" si="1180"/>
        <v>-76.673540999999986</v>
      </c>
      <c r="W551" s="31">
        <f t="shared" si="1180"/>
        <v>-4.20999999997224E-4</v>
      </c>
      <c r="X551" s="31">
        <f t="shared" ref="X551" si="1181">-X810</f>
        <v>-4.20999999997224E-4</v>
      </c>
      <c r="Y551" s="135" t="s">
        <v>4</v>
      </c>
    </row>
    <row r="552" spans="2:25" ht="15" customHeight="1" outlineLevel="2">
      <c r="B552" s="18" t="s">
        <v>27</v>
      </c>
      <c r="C552" s="1" t="s">
        <v>21</v>
      </c>
      <c r="D552" s="62"/>
      <c r="E552" s="62"/>
      <c r="F552" s="62"/>
      <c r="G552" s="62"/>
      <c r="H552" s="62"/>
      <c r="I552" s="62"/>
      <c r="J552" s="62"/>
      <c r="K552" s="62"/>
      <c r="L552" s="62"/>
      <c r="M552" s="62"/>
      <c r="N552" s="24" t="str">
        <f t="shared" ref="N552" si="1182">IFERROR(N551/M551-1,"n.m.")</f>
        <v>n.m.</v>
      </c>
      <c r="O552" s="24">
        <f t="shared" ref="O552" si="1183">IFERROR(O551/N551-1,"n.m.")</f>
        <v>6.9414316702820056E-2</v>
      </c>
      <c r="P552" s="24">
        <f t="shared" ref="P552" si="1184">IFERROR(P551/O551-1,"n.m.")</f>
        <v>0.16835699797160242</v>
      </c>
      <c r="Q552" s="24">
        <f t="shared" ref="Q552" si="1185">IFERROR(Q551/P551-1,"n.m.")</f>
        <v>-6.9444444444444198E-3</v>
      </c>
      <c r="R552" s="24">
        <f t="shared" ref="R552" si="1186">IFERROR(R551/Q551-1,"n.m.")</f>
        <v>0.19493166441991727</v>
      </c>
      <c r="S552" s="24">
        <f t="shared" ref="S552" si="1187">IFERROR(S551/R551-1,"n.m.")</f>
        <v>-0.28696513360959952</v>
      </c>
      <c r="T552" s="24">
        <f t="shared" ref="T552" si="1188">IFERROR(T551/S551-1,"n.m.")</f>
        <v>-0.31069586803979332</v>
      </c>
      <c r="U552" s="24">
        <f t="shared" ref="U552" si="1189">IFERROR(U551/T551-1,"n.m.")</f>
        <v>-0.45115566713670896</v>
      </c>
      <c r="V552" s="24">
        <f t="shared" ref="V552" si="1190">IFERROR(V551/U551-1,"n.m.")</f>
        <v>-0.58415106897066171</v>
      </c>
      <c r="W552" s="24">
        <f t="shared" ref="W552:X552" si="1191">IFERROR(W551/V551-1,"n.m.")</f>
        <v>-0.99999450918798705</v>
      </c>
      <c r="X552" s="24">
        <f t="shared" si="1191"/>
        <v>0</v>
      </c>
      <c r="Y552" s="135" t="s">
        <v>4</v>
      </c>
    </row>
    <row r="553" spans="2:25" ht="15" customHeight="1" outlineLevel="2">
      <c r="B553" s="18" t="s">
        <v>112</v>
      </c>
      <c r="C553" s="1" t="s">
        <v>21</v>
      </c>
      <c r="D553" s="62"/>
      <c r="E553" s="62"/>
      <c r="F553" s="62"/>
      <c r="G553" s="62"/>
      <c r="H553" s="62"/>
      <c r="I553" s="62"/>
      <c r="J553" s="62"/>
      <c r="K553" s="62"/>
      <c r="L553" s="62"/>
      <c r="M553" s="62"/>
      <c r="N553" s="24">
        <f t="shared" ref="N553:X553" si="1192">N551/(N698+N695)</f>
        <v>-3.5428834921610822E-2</v>
      </c>
      <c r="O553" s="24">
        <f t="shared" si="1192"/>
        <v>-3.8022520438068794E-2</v>
      </c>
      <c r="P553" s="24">
        <f t="shared" si="1192"/>
        <v>-4.4461597838672325E-2</v>
      </c>
      <c r="Q553" s="24">
        <f t="shared" si="1192"/>
        <v>-4.1822036996417344E-2</v>
      </c>
      <c r="R553" s="24">
        <f t="shared" si="1192"/>
        <v>-5.095049661186677E-2</v>
      </c>
      <c r="S553" s="24">
        <f t="shared" si="1192"/>
        <v>-4.6754809837927666E-2</v>
      </c>
      <c r="T553" s="24">
        <f t="shared" si="1192"/>
        <v>-4.6620802883240942E-2</v>
      </c>
      <c r="U553" s="24">
        <f t="shared" si="1192"/>
        <v>-4.805680778278066E-2</v>
      </c>
      <c r="V553" s="24">
        <f t="shared" si="1192"/>
        <v>-4.8225196296951468E-2</v>
      </c>
      <c r="W553" s="24">
        <f t="shared" si="1192"/>
        <v>5.7438675089944722E-6</v>
      </c>
      <c r="X553" s="24">
        <f t="shared" si="1192"/>
        <v>6.0462197415407816E-6</v>
      </c>
      <c r="Y553" s="135" t="s">
        <v>4</v>
      </c>
    </row>
    <row r="554" spans="2:25" ht="15" customHeight="1" outlineLevel="2">
      <c r="C554" s="236"/>
      <c r="Y554" s="135" t="s">
        <v>4</v>
      </c>
    </row>
    <row r="555" spans="2:25" ht="15" customHeight="1" outlineLevel="2">
      <c r="B555" s="6" t="s">
        <v>113</v>
      </c>
      <c r="C555" s="1" t="s">
        <v>26</v>
      </c>
      <c r="D555" s="62"/>
      <c r="E555" s="62"/>
      <c r="F555" s="62"/>
      <c r="G555" s="62"/>
      <c r="H555" s="62"/>
      <c r="I555" s="62"/>
      <c r="J555" s="62"/>
      <c r="K555" s="62"/>
      <c r="L555" s="62"/>
      <c r="M555" s="62"/>
      <c r="N555" s="82">
        <v>-20</v>
      </c>
      <c r="O555" s="82">
        <v>-19</v>
      </c>
      <c r="P555" s="82">
        <v>-19</v>
      </c>
      <c r="Q555" s="82">
        <v>-19</v>
      </c>
      <c r="R555" s="25">
        <f>Q555*(1+R556)</f>
        <v>-18.05</v>
      </c>
      <c r="S555" s="25">
        <f t="shared" ref="S555:X555" si="1193">R555*(1+S556)</f>
        <v>-17.147500000000001</v>
      </c>
      <c r="T555" s="25">
        <f t="shared" si="1193"/>
        <v>-16.290125</v>
      </c>
      <c r="U555" s="25">
        <f t="shared" si="1193"/>
        <v>-15.475618749999999</v>
      </c>
      <c r="V555" s="25">
        <f t="shared" si="1193"/>
        <v>-14.701837812499999</v>
      </c>
      <c r="W555" s="25">
        <f t="shared" si="1193"/>
        <v>-13.966745921874999</v>
      </c>
      <c r="X555" s="25">
        <f t="shared" si="1193"/>
        <v>-13.268408625781248</v>
      </c>
      <c r="Y555" s="135" t="s">
        <v>4</v>
      </c>
    </row>
    <row r="556" spans="2:25" ht="15" customHeight="1" outlineLevel="2">
      <c r="B556" s="18" t="s">
        <v>27</v>
      </c>
      <c r="C556" s="1" t="s">
        <v>21</v>
      </c>
      <c r="D556" s="62"/>
      <c r="E556" s="62"/>
      <c r="F556" s="62"/>
      <c r="G556" s="62"/>
      <c r="H556" s="62"/>
      <c r="I556" s="62"/>
      <c r="J556" s="62"/>
      <c r="K556" s="62"/>
      <c r="L556" s="62"/>
      <c r="M556" s="62"/>
      <c r="N556" s="24" t="str">
        <f t="shared" ref="N556" si="1194">IFERROR(N555/M555-1,"n.m.")</f>
        <v>n.m.</v>
      </c>
      <c r="O556" s="24">
        <f t="shared" ref="O556" si="1195">IFERROR(O555/N555-1,"n.m.")</f>
        <v>-5.0000000000000044E-2</v>
      </c>
      <c r="P556" s="24">
        <f t="shared" ref="P556" si="1196">IFERROR(P555/O555-1,"n.m.")</f>
        <v>0</v>
      </c>
      <c r="Q556" s="24">
        <f t="shared" ref="Q556" si="1197">IFERROR(Q555/P555-1,"n.m.")</f>
        <v>0</v>
      </c>
      <c r="R556" s="76">
        <v>-0.05</v>
      </c>
      <c r="S556" s="76">
        <v>-0.05</v>
      </c>
      <c r="T556" s="76">
        <v>-0.05</v>
      </c>
      <c r="U556" s="76">
        <v>-0.05</v>
      </c>
      <c r="V556" s="76">
        <v>-0.05</v>
      </c>
      <c r="W556" s="76">
        <v>-0.05</v>
      </c>
      <c r="X556" s="76">
        <v>-0.05</v>
      </c>
      <c r="Y556" s="135" t="s">
        <v>4</v>
      </c>
    </row>
    <row r="557" spans="2:25" ht="15" customHeight="1" outlineLevel="2">
      <c r="B557" s="18" t="s">
        <v>91</v>
      </c>
      <c r="C557" s="1" t="s">
        <v>21</v>
      </c>
      <c r="D557" s="72"/>
      <c r="E557" s="72"/>
      <c r="F557" s="72"/>
      <c r="G557" s="62"/>
      <c r="H557" s="62"/>
      <c r="I557" s="62"/>
      <c r="J557" s="62"/>
      <c r="K557" s="62"/>
      <c r="L557" s="62"/>
      <c r="M557" s="62"/>
      <c r="N557" s="24">
        <f t="shared" ref="N557:W557" si="1198">N555/N$432</f>
        <v>-3.484927687750479E-3</v>
      </c>
      <c r="O557" s="24">
        <f t="shared" si="1198"/>
        <v>-2.9208301306687164E-3</v>
      </c>
      <c r="P557" s="24">
        <f t="shared" si="1198"/>
        <v>-2.7057818285388777E-3</v>
      </c>
      <c r="Q557" s="24">
        <f t="shared" si="1198"/>
        <v>-2.2602902688555792E-3</v>
      </c>
      <c r="R557" s="24">
        <f t="shared" si="1198"/>
        <v>-1.3248968747072499E-3</v>
      </c>
      <c r="S557" s="24">
        <f t="shared" si="1198"/>
        <v>-1.579118103826534E-3</v>
      </c>
      <c r="T557" s="24">
        <f t="shared" si="1198"/>
        <v>-1.2367160705080091E-3</v>
      </c>
      <c r="U557" s="24">
        <f t="shared" si="1198"/>
        <v>-1.0334487610341755E-3</v>
      </c>
      <c r="V557" s="24">
        <f t="shared" si="1198"/>
        <v>-8.5385572990163061E-4</v>
      </c>
      <c r="W557" s="24">
        <f t="shared" si="1198"/>
        <v>-6.9630546556331558E-4</v>
      </c>
      <c r="X557" s="24">
        <f t="shared" ref="X557" si="1199">X555/X$432</f>
        <v>-5.5954989507743589E-4</v>
      </c>
    </row>
    <row r="558" spans="2:25" ht="15" customHeight="1" outlineLevel="2">
      <c r="Y558" s="135" t="s">
        <v>4</v>
      </c>
    </row>
    <row r="559" spans="2:25" ht="15" customHeight="1" outlineLevel="2">
      <c r="B559" s="6" t="s">
        <v>114</v>
      </c>
      <c r="C559" s="1" t="s">
        <v>26</v>
      </c>
      <c r="D559" s="62"/>
      <c r="E559" s="62"/>
      <c r="F559" s="62"/>
      <c r="G559" s="62"/>
      <c r="H559" s="62"/>
      <c r="I559" s="62"/>
      <c r="J559" s="62"/>
      <c r="K559" s="62"/>
      <c r="L559" s="62"/>
      <c r="M559" s="62"/>
      <c r="N559" s="82">
        <v>-27</v>
      </c>
      <c r="O559" s="82">
        <v>-28</v>
      </c>
      <c r="P559" s="82">
        <v>-27</v>
      </c>
      <c r="Q559" s="82">
        <v>-25</v>
      </c>
      <c r="R559" s="25">
        <f>Q559*(1+R560)</f>
        <v>-24.39373897707231</v>
      </c>
      <c r="S559" s="25">
        <f t="shared" ref="S559" si="1200">R559*(1+S560)</f>
        <v>-23.802180051261473</v>
      </c>
      <c r="T559" s="25">
        <f t="shared" ref="T559" si="1201">S559*(1+T560)</f>
        <v>-23.224966690230001</v>
      </c>
      <c r="U559" s="25">
        <f t="shared" ref="U559" si="1202">T559*(1+U560)</f>
        <v>-22.661751007706787</v>
      </c>
      <c r="V559" s="25">
        <f t="shared" ref="V559" si="1203">U559*(1+V560)</f>
        <v>-22.112193553816191</v>
      </c>
      <c r="W559" s="25">
        <f t="shared" ref="W559:X559" si="1204">V559*(1+W560)</f>
        <v>-21.575963110491724</v>
      </c>
      <c r="X559" s="25">
        <f t="shared" si="1204"/>
        <v>-21.05273649185105</v>
      </c>
      <c r="Y559" s="135" t="s">
        <v>4</v>
      </c>
    </row>
    <row r="560" spans="2:25" ht="15" customHeight="1" outlineLevel="2">
      <c r="B560" s="18" t="s">
        <v>27</v>
      </c>
      <c r="C560" s="1" t="s">
        <v>21</v>
      </c>
      <c r="D560" s="62"/>
      <c r="E560" s="62"/>
      <c r="F560" s="62"/>
      <c r="G560" s="62"/>
      <c r="H560" s="62"/>
      <c r="I560" s="62"/>
      <c r="J560" s="62"/>
      <c r="K560" s="62"/>
      <c r="L560" s="62"/>
      <c r="M560" s="62"/>
      <c r="N560" s="24" t="str">
        <f t="shared" ref="N560" si="1205">IFERROR(N559/M559-1,"n.m.")</f>
        <v>n.m.</v>
      </c>
      <c r="O560" s="24">
        <f t="shared" ref="O560" si="1206">IFERROR(O559/N559-1,"n.m.")</f>
        <v>3.7037037037036979E-2</v>
      </c>
      <c r="P560" s="24">
        <f t="shared" ref="P560" si="1207">IFERROR(P559/O559-1,"n.m.")</f>
        <v>-3.5714285714285698E-2</v>
      </c>
      <c r="Q560" s="24">
        <f t="shared" ref="Q560" si="1208">IFERROR(Q559/P559-1,"n.m.")</f>
        <v>-7.407407407407407E-2</v>
      </c>
      <c r="R560" s="76">
        <f>AVERAGE($O$560:Q560)</f>
        <v>-2.4250440917107596E-2</v>
      </c>
      <c r="S560" s="76">
        <f>AVERAGE($O$560:R560)</f>
        <v>-2.4250440917107596E-2</v>
      </c>
      <c r="T560" s="76">
        <f>AVERAGE($O$560:S560)</f>
        <v>-2.4250440917107596E-2</v>
      </c>
      <c r="U560" s="76">
        <f>AVERAGE($O$560:T560)</f>
        <v>-2.4250440917107596E-2</v>
      </c>
      <c r="V560" s="76">
        <f>AVERAGE($O$560:U560)</f>
        <v>-2.4250440917107596E-2</v>
      </c>
      <c r="W560" s="76">
        <f>AVERAGE($O$560:V560)</f>
        <v>-2.4250440917107596E-2</v>
      </c>
      <c r="X560" s="76">
        <f>AVERAGE($O$560:W560)</f>
        <v>-2.4250440917107596E-2</v>
      </c>
      <c r="Y560" s="135" t="s">
        <v>4</v>
      </c>
    </row>
    <row r="561" spans="2:26" ht="15" customHeight="1" outlineLevel="2">
      <c r="Y561" s="135" t="s">
        <v>4</v>
      </c>
    </row>
    <row r="562" spans="2:26" ht="15" customHeight="1" outlineLevel="2">
      <c r="B562" s="6" t="s">
        <v>115</v>
      </c>
      <c r="C562" s="1" t="s">
        <v>26</v>
      </c>
      <c r="D562" s="62"/>
      <c r="E562" s="62"/>
      <c r="F562" s="62"/>
      <c r="G562" s="62"/>
      <c r="H562" s="62"/>
      <c r="I562" s="62"/>
      <c r="J562" s="62"/>
      <c r="K562" s="62"/>
      <c r="L562" s="62"/>
      <c r="M562" s="62"/>
      <c r="N562" s="82">
        <v>-11</v>
      </c>
      <c r="O562" s="82">
        <v>0</v>
      </c>
      <c r="P562" s="82">
        <v>-16</v>
      </c>
      <c r="Q562" s="82">
        <v>-33</v>
      </c>
      <c r="R562" s="261">
        <f>AVERAGE($N$562:Q562)</f>
        <v>-15</v>
      </c>
      <c r="S562" s="261">
        <f>AVERAGE($N$562:R562)</f>
        <v>-15</v>
      </c>
      <c r="T562" s="261">
        <f>AVERAGE($N$562:S562)</f>
        <v>-15</v>
      </c>
      <c r="U562" s="261">
        <f>AVERAGE($N$562:T562)</f>
        <v>-15</v>
      </c>
      <c r="V562" s="261">
        <f>AVERAGE($N$562:U562)</f>
        <v>-15</v>
      </c>
      <c r="W562" s="261">
        <f>AVERAGE($N$562:V562)</f>
        <v>-15</v>
      </c>
      <c r="X562" s="261">
        <f>AVERAGE($N$562:W562)</f>
        <v>-15</v>
      </c>
      <c r="Y562" s="135" t="s">
        <v>4</v>
      </c>
    </row>
    <row r="563" spans="2:26" ht="15" customHeight="1" outlineLevel="2">
      <c r="B563" s="18" t="s">
        <v>27</v>
      </c>
      <c r="C563" s="1" t="s">
        <v>21</v>
      </c>
      <c r="D563" s="62"/>
      <c r="E563" s="62"/>
      <c r="F563" s="62"/>
      <c r="G563" s="62"/>
      <c r="H563" s="62"/>
      <c r="I563" s="62"/>
      <c r="J563" s="62"/>
      <c r="K563" s="62"/>
      <c r="L563" s="62"/>
      <c r="M563" s="62"/>
      <c r="N563" s="24" t="str">
        <f t="shared" ref="N563" si="1209">IFERROR(N562/M562-1,"n.m.")</f>
        <v>n.m.</v>
      </c>
      <c r="O563" s="24">
        <f t="shared" ref="O563" si="1210">IFERROR(O562/N562-1,"n.m.")</f>
        <v>-1</v>
      </c>
      <c r="P563" s="24" t="str">
        <f t="shared" ref="P563" si="1211">IFERROR(P562/O562-1,"n.m.")</f>
        <v>n.m.</v>
      </c>
      <c r="Q563" s="24">
        <f t="shared" ref="Q563" si="1212">IFERROR(Q562/P562-1,"n.m.")</f>
        <v>1.0625</v>
      </c>
      <c r="R563" s="24">
        <f t="shared" ref="R563" si="1213">IFERROR(R562/Q562-1,"n.m.")</f>
        <v>-0.54545454545454541</v>
      </c>
      <c r="S563" s="24">
        <f t="shared" ref="S563" si="1214">IFERROR(S562/R562-1,"n.m.")</f>
        <v>0</v>
      </c>
      <c r="T563" s="24">
        <f t="shared" ref="T563" si="1215">IFERROR(T562/S562-1,"n.m.")</f>
        <v>0</v>
      </c>
      <c r="U563" s="24">
        <f t="shared" ref="U563" si="1216">IFERROR(U562/T562-1,"n.m.")</f>
        <v>0</v>
      </c>
      <c r="V563" s="24">
        <f t="shared" ref="V563" si="1217">IFERROR(V562/U562-1,"n.m.")</f>
        <v>0</v>
      </c>
      <c r="W563" s="24">
        <f t="shared" ref="W563:X563" si="1218">IFERROR(W562/V562-1,"n.m.")</f>
        <v>0</v>
      </c>
      <c r="X563" s="24">
        <f t="shared" si="1218"/>
        <v>0</v>
      </c>
      <c r="Y563" s="135" t="s">
        <v>4</v>
      </c>
    </row>
    <row r="564" spans="2:26" ht="15" customHeight="1" outlineLevel="2">
      <c r="W564" s="111" t="s">
        <v>116</v>
      </c>
    </row>
    <row r="565" spans="2:26" ht="15" customHeight="1" outlineLevel="2">
      <c r="B565" s="6" t="s">
        <v>117</v>
      </c>
      <c r="C565" s="1" t="s">
        <v>26</v>
      </c>
      <c r="D565" s="62"/>
      <c r="E565" s="62"/>
      <c r="F565" s="62"/>
      <c r="G565" s="62"/>
      <c r="H565" s="62"/>
      <c r="I565" s="62"/>
      <c r="J565" s="62"/>
      <c r="K565" s="62"/>
      <c r="L565" s="62"/>
      <c r="M565" s="62"/>
      <c r="N565" s="82">
        <v>3</v>
      </c>
      <c r="O565" s="82">
        <v>7</v>
      </c>
      <c r="P565" s="82">
        <v>40</v>
      </c>
      <c r="Q565" s="82">
        <v>39</v>
      </c>
      <c r="R565" s="25">
        <f t="shared" ref="R565:W565" si="1219">R567*Q673</f>
        <v>29.716457182173841</v>
      </c>
      <c r="S565" s="25">
        <f t="shared" si="1219"/>
        <v>44.008864999189896</v>
      </c>
      <c r="T565" s="25">
        <f t="shared" si="1219"/>
        <v>2.1274509418484744</v>
      </c>
      <c r="U565" s="25">
        <f t="shared" si="1219"/>
        <v>-34.991340258797159</v>
      </c>
      <c r="V565" s="25">
        <f t="shared" si="1219"/>
        <v>-69.881602004674818</v>
      </c>
      <c r="W565" s="25">
        <f t="shared" si="1219"/>
        <v>-80.43294957930793</v>
      </c>
      <c r="X565" s="25">
        <f>X567*W673</f>
        <v>-73.693487821460366</v>
      </c>
      <c r="Y565" s="135" t="s">
        <v>4</v>
      </c>
    </row>
    <row r="566" spans="2:26" ht="15" customHeight="1" outlineLevel="2">
      <c r="B566" s="18" t="s">
        <v>27</v>
      </c>
      <c r="C566" s="1" t="s">
        <v>21</v>
      </c>
      <c r="D566" s="62"/>
      <c r="E566" s="62"/>
      <c r="F566" s="62"/>
      <c r="G566" s="62"/>
      <c r="H566" s="62"/>
      <c r="I566" s="62"/>
      <c r="J566" s="62"/>
      <c r="K566" s="62"/>
      <c r="L566" s="62"/>
      <c r="M566" s="62"/>
      <c r="N566" s="24" t="str">
        <f t="shared" ref="N566" si="1220">IFERROR(N565/M565-1,"n.m.")</f>
        <v>n.m.</v>
      </c>
      <c r="O566" s="24">
        <f t="shared" ref="O566" si="1221">IFERROR(O565/N565-1,"n.m.")</f>
        <v>1.3333333333333335</v>
      </c>
      <c r="P566" s="24">
        <f t="shared" ref="P566" si="1222">IFERROR(P565/O565-1,"n.m.")</f>
        <v>4.7142857142857144</v>
      </c>
      <c r="Q566" s="24">
        <f t="shared" ref="Q566" si="1223">IFERROR(Q565/P565-1,"n.m.")</f>
        <v>-2.5000000000000022E-2</v>
      </c>
      <c r="R566" s="24">
        <f t="shared" ref="R566" si="1224">IFERROR(R565/Q565-1,"n.m.")</f>
        <v>-0.23803955943143995</v>
      </c>
      <c r="S566" s="24">
        <f t="shared" ref="S566" si="1225">IFERROR(S565/R565-1,"n.m.")</f>
        <v>0.48095934617635749</v>
      </c>
      <c r="T566" s="24">
        <f t="shared" ref="T566" si="1226">IFERROR(T565/S565-1,"n.m.")</f>
        <v>-0.95165858192689956</v>
      </c>
      <c r="U566" s="24">
        <f t="shared" ref="U566" si="1227">IFERROR(U565/T565-1,"n.m.")</f>
        <v>-17.447542723779236</v>
      </c>
      <c r="V566" s="24">
        <f t="shared" ref="V566" si="1228">IFERROR(V565/U565-1,"n.m.")</f>
        <v>0.99711132776933042</v>
      </c>
      <c r="W566" s="24">
        <f t="shared" ref="W566:X566" si="1229">IFERROR(W565/V565-1,"n.m.")</f>
        <v>0.15098891942871129</v>
      </c>
      <c r="X566" s="24">
        <f t="shared" si="1229"/>
        <v>-8.3789812422611298E-2</v>
      </c>
      <c r="Y566" s="135" t="s">
        <v>4</v>
      </c>
    </row>
    <row r="567" spans="2:26" ht="15" customHeight="1" outlineLevel="2">
      <c r="B567" s="18" t="s">
        <v>118</v>
      </c>
      <c r="C567" s="1" t="s">
        <v>21</v>
      </c>
      <c r="D567" s="62"/>
      <c r="E567" s="62"/>
      <c r="F567" s="62"/>
      <c r="G567" s="62"/>
      <c r="H567" s="62"/>
      <c r="I567" s="62"/>
      <c r="J567" s="62"/>
      <c r="K567" s="62"/>
      <c r="L567" s="62"/>
      <c r="M567" s="62"/>
      <c r="N567" s="235">
        <f>N565/N673</f>
        <v>2.7598896044158236E-3</v>
      </c>
      <c r="O567" s="235">
        <f>O565/O673</f>
        <v>5.9422750424448214E-3</v>
      </c>
      <c r="P567" s="235">
        <f>P565/P673</f>
        <v>3.5118525021949079E-2</v>
      </c>
      <c r="Q567" s="235">
        <f>Q565/Q673</f>
        <v>2.9235382308845578E-2</v>
      </c>
      <c r="R567" s="235">
        <f t="shared" ref="R567:X567" si="1230">R568*R16</f>
        <v>2.2276204784238262E-2</v>
      </c>
      <c r="S567" s="235">
        <f t="shared" si="1230"/>
        <v>1.733646064250189E-2</v>
      </c>
      <c r="T567" s="235">
        <f t="shared" si="1230"/>
        <v>1.6654026158466995E-2</v>
      </c>
      <c r="U567" s="235">
        <f t="shared" si="1230"/>
        <v>1.6850882259630905E-2</v>
      </c>
      <c r="V567" s="235">
        <f t="shared" si="1230"/>
        <v>1.6850882259630905E-2</v>
      </c>
      <c r="W567" s="235">
        <f t="shared" si="1230"/>
        <v>1.6850882259630905E-2</v>
      </c>
      <c r="X567" s="235">
        <f t="shared" si="1230"/>
        <v>1.6850882259630905E-2</v>
      </c>
      <c r="Y567" s="135" t="s">
        <v>4</v>
      </c>
    </row>
    <row r="568" spans="2:26" ht="15" customHeight="1" outlineLevel="2">
      <c r="B568" s="78" t="s">
        <v>119</v>
      </c>
      <c r="C568" s="21" t="s">
        <v>21</v>
      </c>
      <c r="D568" s="63"/>
      <c r="E568" s="63"/>
      <c r="F568" s="63"/>
      <c r="G568" s="63"/>
      <c r="H568" s="63"/>
      <c r="I568" s="63"/>
      <c r="J568" s="63"/>
      <c r="K568" s="63"/>
      <c r="L568" s="63"/>
      <c r="M568" s="63"/>
      <c r="N568" s="542" t="s">
        <v>44</v>
      </c>
      <c r="O568" s="541">
        <f>O567/O16</f>
        <v>0.36323222918098952</v>
      </c>
      <c r="P568" s="541">
        <f>P567/P16</f>
        <v>0.70135086584687034</v>
      </c>
      <c r="Q568" s="541">
        <f>Q567/Q16</f>
        <v>0.56784933511598945</v>
      </c>
      <c r="R568" s="67">
        <f>GEOMEAN($O$568:Q568)</f>
        <v>0.52494960310376659</v>
      </c>
      <c r="S568" s="67">
        <f>GEOMEAN($O$568:R568)</f>
        <v>0.52494960310376659</v>
      </c>
      <c r="T568" s="67">
        <f>GEOMEAN($O$568:S568)</f>
        <v>0.52494960310376659</v>
      </c>
      <c r="U568" s="67">
        <f>GEOMEAN($O$568:T568)</f>
        <v>0.52494960310376659</v>
      </c>
      <c r="V568" s="67">
        <f>GEOMEAN($O$568:U568)</f>
        <v>0.52494960310376659</v>
      </c>
      <c r="W568" s="67">
        <f>GEOMEAN($O$568:V568)</f>
        <v>0.52494960310376659</v>
      </c>
      <c r="X568" s="67">
        <f>GEOMEAN($O$568:W568)</f>
        <v>0.52494960310376659</v>
      </c>
      <c r="Y568" s="135" t="s">
        <v>4</v>
      </c>
    </row>
    <row r="569" spans="2:26" ht="15" customHeight="1" outlineLevel="1">
      <c r="Y569" s="135" t="s">
        <v>4</v>
      </c>
    </row>
    <row r="570" spans="2:26" ht="15" customHeight="1" outlineLevel="1">
      <c r="B570" s="7" t="s">
        <v>120</v>
      </c>
      <c r="C570" s="13" t="s">
        <v>26</v>
      </c>
      <c r="D570" s="71"/>
      <c r="E570" s="71"/>
      <c r="F570" s="71"/>
      <c r="G570" s="75">
        <f t="shared" ref="G570:W570" si="1231">G544+G548</f>
        <v>-254.20000000000005</v>
      </c>
      <c r="H570" s="75">
        <f t="shared" si="1231"/>
        <v>674.39999999999986</v>
      </c>
      <c r="I570" s="75">
        <f t="shared" si="1231"/>
        <v>1199.9000000000001</v>
      </c>
      <c r="J570" s="75">
        <f t="shared" si="1231"/>
        <v>1101.0000000000007</v>
      </c>
      <c r="K570" s="75">
        <f t="shared" si="1231"/>
        <v>1382.1</v>
      </c>
      <c r="L570" s="75">
        <f t="shared" si="1231"/>
        <v>1452</v>
      </c>
      <c r="M570" s="75">
        <f t="shared" si="1231"/>
        <v>816</v>
      </c>
      <c r="N570" s="75">
        <f t="shared" si="1231"/>
        <v>1363</v>
      </c>
      <c r="O570" s="75">
        <f t="shared" si="1231"/>
        <v>1365</v>
      </c>
      <c r="P570" s="75">
        <f t="shared" si="1231"/>
        <v>1453</v>
      </c>
      <c r="Q570" s="75">
        <f t="shared" si="1231"/>
        <v>1809</v>
      </c>
      <c r="R570" s="75">
        <f t="shared" si="1231"/>
        <v>1836.7462126466098</v>
      </c>
      <c r="S570" s="75">
        <f t="shared" si="1231"/>
        <v>2032.3364223492276</v>
      </c>
      <c r="T570" s="75">
        <f t="shared" si="1231"/>
        <v>2482.8351372676434</v>
      </c>
      <c r="U570" s="75">
        <f t="shared" si="1231"/>
        <v>2883.8166530710496</v>
      </c>
      <c r="V570" s="75">
        <f t="shared" si="1231"/>
        <v>3453.6132713662669</v>
      </c>
      <c r="W570" s="75">
        <f t="shared" si="1231"/>
        <v>4193.2816354244305</v>
      </c>
      <c r="X570" s="75">
        <f>X544+X548</f>
        <v>5103.3733625829127</v>
      </c>
      <c r="Y570" s="135" t="s">
        <v>4</v>
      </c>
    </row>
    <row r="571" spans="2:26" ht="15" customHeight="1" outlineLevel="1">
      <c r="B571" s="6" t="s">
        <v>27</v>
      </c>
      <c r="C571" s="1" t="s">
        <v>21</v>
      </c>
      <c r="D571" s="72"/>
      <c r="E571" s="72"/>
      <c r="F571" s="72"/>
      <c r="G571" s="24" t="str">
        <f t="shared" ref="G571" si="1232">IFERROR(G570/F570-1,"n.m.")</f>
        <v>n.m.</v>
      </c>
      <c r="H571" s="24">
        <f t="shared" ref="H571" si="1233">IFERROR(H570/G570-1,"n.m.")</f>
        <v>-3.6530291109362696</v>
      </c>
      <c r="I571" s="24">
        <f t="shared" ref="I571" si="1234">IFERROR(I570/H570-1,"n.m.")</f>
        <v>0.77921115065243218</v>
      </c>
      <c r="J571" s="24">
        <f t="shared" ref="J571" si="1235">IFERROR(J570/I570-1,"n.m.")</f>
        <v>-8.2423535294607331E-2</v>
      </c>
      <c r="K571" s="24">
        <f t="shared" ref="K571" si="1236">IFERROR(K570/J570-1,"n.m.")</f>
        <v>0.25531335149863676</v>
      </c>
      <c r="L571" s="24">
        <f t="shared" ref="L571" si="1237">IFERROR(L570/K570-1,"n.m.")</f>
        <v>5.0575211634469319E-2</v>
      </c>
      <c r="M571" s="24">
        <f t="shared" ref="M571" si="1238">IFERROR(M570/L570-1,"n.m.")</f>
        <v>-0.43801652892561982</v>
      </c>
      <c r="N571" s="24">
        <f t="shared" ref="N571" si="1239">IFERROR(N570/M570-1,"n.m.")</f>
        <v>0.67034313725490202</v>
      </c>
      <c r="O571" s="24">
        <f t="shared" ref="O571" si="1240">IFERROR(O570/N570-1,"n.m.")</f>
        <v>1.4673514306675628E-3</v>
      </c>
      <c r="P571" s="24">
        <f t="shared" ref="P571" si="1241">IFERROR(P570/O570-1,"n.m.")</f>
        <v>6.4468864468864462E-2</v>
      </c>
      <c r="Q571" s="24">
        <f t="shared" ref="Q571" si="1242">IFERROR(Q570/P570-1,"n.m.")</f>
        <v>0.24501032346868556</v>
      </c>
      <c r="R571" s="24">
        <f t="shared" ref="R571" si="1243">IFERROR(R570/Q570-1,"n.m.")</f>
        <v>1.5337873215373055E-2</v>
      </c>
      <c r="S571" s="24">
        <f t="shared" ref="S571" si="1244">IFERROR(S570/R570-1,"n.m.")</f>
        <v>0.10648733524311305</v>
      </c>
      <c r="T571" s="24">
        <f t="shared" ref="T571" si="1245">IFERROR(T570/S570-1,"n.m.")</f>
        <v>0.2216654240726903</v>
      </c>
      <c r="U571" s="24">
        <f t="shared" ref="U571" si="1246">IFERROR(U570/T570-1,"n.m.")</f>
        <v>0.16150146652293862</v>
      </c>
      <c r="V571" s="24">
        <f t="shared" ref="V571" si="1247">IFERROR(V570/U570-1,"n.m.")</f>
        <v>0.19758420414433298</v>
      </c>
      <c r="W571" s="24">
        <f t="shared" ref="W571" si="1248">IFERROR(W570/V570-1,"n.m.")</f>
        <v>0.2141723192317786</v>
      </c>
      <c r="X571" s="24">
        <f>IFERROR(X570/W570-1,"n.m.")</f>
        <v>0.21703567904195054</v>
      </c>
      <c r="Y571" s="135" t="s">
        <v>4</v>
      </c>
    </row>
    <row r="572" spans="2:26" ht="15" customHeight="1" outlineLevel="1">
      <c r="B572" s="6" t="s">
        <v>121</v>
      </c>
      <c r="C572" s="1" t="s">
        <v>21</v>
      </c>
      <c r="D572" s="72"/>
      <c r="E572" s="72"/>
      <c r="F572" s="72"/>
      <c r="G572" s="24">
        <f t="shared" ref="G572:W572" si="1249">G570/G$432</f>
        <v>-0.21204537871204543</v>
      </c>
      <c r="H572" s="24">
        <f t="shared" si="1249"/>
        <v>0.16642811312373523</v>
      </c>
      <c r="I572" s="24">
        <f t="shared" si="1249"/>
        <v>0.28942544261662406</v>
      </c>
      <c r="J572" s="24">
        <f t="shared" si="1249"/>
        <v>0.24059788903214541</v>
      </c>
      <c r="K572" s="24">
        <f t="shared" si="1249"/>
        <v>0.25799887997013254</v>
      </c>
      <c r="L572" s="24">
        <f t="shared" si="1249"/>
        <v>0.25914688559700161</v>
      </c>
      <c r="M572" s="24">
        <f t="shared" si="1249"/>
        <v>0.16425120772946861</v>
      </c>
      <c r="N572" s="24">
        <f t="shared" si="1249"/>
        <v>0.23749782192019517</v>
      </c>
      <c r="O572" s="24">
        <f t="shared" si="1249"/>
        <v>0.20983858570330516</v>
      </c>
      <c r="P572" s="24">
        <f t="shared" si="1249"/>
        <v>0.20692110509826261</v>
      </c>
      <c r="Q572" s="24">
        <f t="shared" si="1249"/>
        <v>0.21520342612419699</v>
      </c>
      <c r="R572" s="24">
        <f t="shared" si="1249"/>
        <v>0.13481990674603164</v>
      </c>
      <c r="S572" s="24">
        <f t="shared" si="1249"/>
        <v>0.18715843345080707</v>
      </c>
      <c r="T572" s="24">
        <f t="shared" si="1249"/>
        <v>0.18849223776250049</v>
      </c>
      <c r="U572" s="24">
        <f t="shared" si="1249"/>
        <v>0.19257884258527622</v>
      </c>
      <c r="V572" s="24">
        <f t="shared" si="1249"/>
        <v>0.20057951381514752</v>
      </c>
      <c r="W572" s="24">
        <f t="shared" si="1249"/>
        <v>0.20905405867083557</v>
      </c>
      <c r="X572" s="24">
        <f t="shared" ref="X572" si="1250">X570/X$432</f>
        <v>0.21521737158634663</v>
      </c>
      <c r="Y572" s="135" t="s">
        <v>4</v>
      </c>
    </row>
    <row r="573" spans="2:26" ht="15" customHeight="1" outlineLevel="1">
      <c r="Y573" s="135" t="s">
        <v>4</v>
      </c>
    </row>
    <row r="574" spans="2:26" ht="15" customHeight="1" outlineLevel="1">
      <c r="B574" s="7" t="s">
        <v>122</v>
      </c>
      <c r="C574" s="13" t="s">
        <v>26</v>
      </c>
      <c r="D574" s="71"/>
      <c r="E574" s="71"/>
      <c r="F574" s="71"/>
      <c r="G574" s="43">
        <v>-15</v>
      </c>
      <c r="H574" s="43">
        <v>-162.19999999999999</v>
      </c>
      <c r="I574" s="43">
        <v>-243.9</v>
      </c>
      <c r="J574" s="43">
        <v>133.6</v>
      </c>
      <c r="K574" s="43">
        <v>-238</v>
      </c>
      <c r="L574" s="43">
        <v>-341</v>
      </c>
      <c r="M574" s="43">
        <v>-66</v>
      </c>
      <c r="N574" s="43">
        <v>-110</v>
      </c>
      <c r="O574" s="43">
        <v>117</v>
      </c>
      <c r="P574" s="43">
        <v>265</v>
      </c>
      <c r="Q574" s="43">
        <v>-364</v>
      </c>
      <c r="R574" s="75">
        <f>R576*R570</f>
        <v>113.87826518408981</v>
      </c>
      <c r="S574" s="75">
        <f t="shared" ref="S574:W574" si="1251">S576*S570</f>
        <v>-293.32238998326784</v>
      </c>
      <c r="T574" s="75">
        <f t="shared" si="1251"/>
        <v>-358.34182194892395</v>
      </c>
      <c r="U574" s="75">
        <f t="shared" si="1251"/>
        <v>-416.21455171017698</v>
      </c>
      <c r="V574" s="75">
        <f t="shared" si="1251"/>
        <v>-498.4519726631226</v>
      </c>
      <c r="W574" s="75">
        <f t="shared" si="1251"/>
        <v>-605.2065876740387</v>
      </c>
      <c r="X574" s="75">
        <f t="shared" ref="X574" si="1252">X576*X570</f>
        <v>-736.55801039053551</v>
      </c>
      <c r="Y574" s="135" t="s">
        <v>4</v>
      </c>
    </row>
    <row r="575" spans="2:26" ht="15" customHeight="1" outlineLevel="1">
      <c r="B575" s="6" t="s">
        <v>27</v>
      </c>
      <c r="C575" s="1" t="s">
        <v>21</v>
      </c>
      <c r="D575" s="72"/>
      <c r="E575" s="72"/>
      <c r="F575" s="72"/>
      <c r="G575" s="24" t="str">
        <f t="shared" ref="G575" si="1253">IFERROR(G574/F574-1,"n.m.")</f>
        <v>n.m.</v>
      </c>
      <c r="H575" s="24">
        <f t="shared" ref="H575" si="1254">IFERROR(H574/G574-1,"n.m.")</f>
        <v>9.8133333333333326</v>
      </c>
      <c r="I575" s="24">
        <f t="shared" ref="I575" si="1255">IFERROR(I574/H574-1,"n.m.")</f>
        <v>0.50369913686806433</v>
      </c>
      <c r="J575" s="24">
        <f t="shared" ref="J575" si="1256">IFERROR(J574/I574-1,"n.m.")</f>
        <v>-1.5477654776547767</v>
      </c>
      <c r="K575" s="24">
        <f t="shared" ref="K575" si="1257">IFERROR(K574/J574-1,"n.m.")</f>
        <v>-2.7814371257485031</v>
      </c>
      <c r="L575" s="24">
        <f t="shared" ref="L575" si="1258">IFERROR(L574/K574-1,"n.m.")</f>
        <v>0.4327731092436975</v>
      </c>
      <c r="M575" s="24">
        <f t="shared" ref="M575" si="1259">IFERROR(M574/L574-1,"n.m.")</f>
        <v>-0.80645161290322576</v>
      </c>
      <c r="N575" s="24">
        <f t="shared" ref="N575" si="1260">IFERROR(N574/M574-1,"n.m.")</f>
        <v>0.66666666666666674</v>
      </c>
      <c r="O575" s="24">
        <f t="shared" ref="O575" si="1261">IFERROR(O574/N574-1,"n.m.")</f>
        <v>-2.0636363636363635</v>
      </c>
      <c r="P575" s="24">
        <f t="shared" ref="P575" si="1262">IFERROR(P574/O574-1,"n.m.")</f>
        <v>1.2649572649572649</v>
      </c>
      <c r="Q575" s="24">
        <f t="shared" ref="Q575" si="1263">IFERROR(Q574/P574-1,"n.m.")</f>
        <v>-2.3735849056603771</v>
      </c>
      <c r="R575" s="24">
        <f t="shared" ref="R575" si="1264">IFERROR(R574/Q574-1,"n.m.")</f>
        <v>-1.3128523768793676</v>
      </c>
      <c r="S575" s="24">
        <f t="shared" ref="S575" si="1265">IFERROR(S574/R574-1,"n.m.")</f>
        <v>-3.5757539378484364</v>
      </c>
      <c r="T575" s="24">
        <f t="shared" ref="T575" si="1266">IFERROR(T574/S574-1,"n.m.")</f>
        <v>0.2216654240726903</v>
      </c>
      <c r="U575" s="24">
        <f t="shared" ref="U575" si="1267">IFERROR(U574/T574-1,"n.m.")</f>
        <v>0.16150146652293884</v>
      </c>
      <c r="V575" s="24">
        <f t="shared" ref="V575" si="1268">IFERROR(V574/U574-1,"n.m.")</f>
        <v>0.19758420414433298</v>
      </c>
      <c r="W575" s="24">
        <f t="shared" ref="W575:X575" si="1269">IFERROR(W574/V574-1,"n.m.")</f>
        <v>0.2141723192317786</v>
      </c>
      <c r="X575" s="24">
        <f t="shared" si="1269"/>
        <v>0.21703567904195054</v>
      </c>
      <c r="Y575" s="135" t="s">
        <v>4</v>
      </c>
    </row>
    <row r="576" spans="2:26" ht="15" customHeight="1" outlineLevel="1">
      <c r="B576" s="6" t="s">
        <v>123</v>
      </c>
      <c r="C576" s="1" t="s">
        <v>21</v>
      </c>
      <c r="D576" s="72"/>
      <c r="E576" s="72"/>
      <c r="F576" s="72"/>
      <c r="G576" s="23">
        <f>G574/G570</f>
        <v>5.9008654602675049E-2</v>
      </c>
      <c r="H576" s="23">
        <f t="shared" ref="H576:M576" si="1270">H574/H570</f>
        <v>-0.24051008303677346</v>
      </c>
      <c r="I576" s="23">
        <f t="shared" si="1270"/>
        <v>-0.20326693891157596</v>
      </c>
      <c r="J576" s="23">
        <f t="shared" si="1270"/>
        <v>0.12134423251589456</v>
      </c>
      <c r="K576" s="23">
        <f t="shared" si="1270"/>
        <v>-0.17220172201722017</v>
      </c>
      <c r="L576" s="23">
        <f t="shared" si="1270"/>
        <v>-0.23484848484848486</v>
      </c>
      <c r="M576" s="23">
        <f t="shared" si="1270"/>
        <v>-8.0882352941176475E-2</v>
      </c>
      <c r="N576" s="23">
        <f>N574/N570</f>
        <v>-8.0704328686720464E-2</v>
      </c>
      <c r="O576" s="23">
        <f>O574/O570</f>
        <v>8.5714285714285715E-2</v>
      </c>
      <c r="P576" s="23">
        <f>P574/P570</f>
        <v>0.18238128011011701</v>
      </c>
      <c r="Q576" s="23">
        <f>Q574/Q570</f>
        <v>-0.20121614151464898</v>
      </c>
      <c r="R576" s="510">
        <v>6.2E-2</v>
      </c>
      <c r="S576" s="660">
        <f>AVERAGE(Q576,N576,M576,L576,K576,I576,H576,G576)</f>
        <v>-0.14432767466924068</v>
      </c>
      <c r="T576" s="660">
        <f>S576</f>
        <v>-0.14432767466924068</v>
      </c>
      <c r="U576" s="660">
        <f t="shared" ref="U576:X576" si="1271">T576</f>
        <v>-0.14432767466924068</v>
      </c>
      <c r="V576" s="660">
        <f t="shared" si="1271"/>
        <v>-0.14432767466924068</v>
      </c>
      <c r="W576" s="660">
        <f t="shared" si="1271"/>
        <v>-0.14432767466924068</v>
      </c>
      <c r="X576" s="660">
        <f t="shared" si="1271"/>
        <v>-0.14432767466924068</v>
      </c>
      <c r="Y576" s="135" t="s">
        <v>4</v>
      </c>
      <c r="Z576" s="659"/>
    </row>
    <row r="577" spans="1:25" ht="15" customHeight="1" outlineLevel="1">
      <c r="Y577" s="135" t="s">
        <v>4</v>
      </c>
    </row>
    <row r="578" spans="1:25" ht="15" customHeight="1" outlineLevel="1">
      <c r="B578" s="7" t="s">
        <v>124</v>
      </c>
      <c r="C578" s="13" t="s">
        <v>26</v>
      </c>
      <c r="D578" s="71"/>
      <c r="E578" s="71"/>
      <c r="F578" s="71"/>
      <c r="G578" s="75">
        <f t="shared" ref="G578:X578" si="1272">G570+G574</f>
        <v>-269.20000000000005</v>
      </c>
      <c r="H578" s="75">
        <f t="shared" si="1272"/>
        <v>512.19999999999982</v>
      </c>
      <c r="I578" s="75">
        <f t="shared" si="1272"/>
        <v>956.00000000000011</v>
      </c>
      <c r="J578" s="75">
        <f t="shared" si="1272"/>
        <v>1234.6000000000006</v>
      </c>
      <c r="K578" s="75">
        <f t="shared" si="1272"/>
        <v>1144.0999999999999</v>
      </c>
      <c r="L578" s="75">
        <f t="shared" si="1272"/>
        <v>1111</v>
      </c>
      <c r="M578" s="75">
        <f t="shared" si="1272"/>
        <v>750</v>
      </c>
      <c r="N578" s="75">
        <f t="shared" si="1272"/>
        <v>1253</v>
      </c>
      <c r="O578" s="75">
        <f t="shared" si="1272"/>
        <v>1482</v>
      </c>
      <c r="P578" s="75">
        <f t="shared" si="1272"/>
        <v>1718</v>
      </c>
      <c r="Q578" s="75">
        <f t="shared" si="1272"/>
        <v>1445</v>
      </c>
      <c r="R578" s="75">
        <f t="shared" si="1272"/>
        <v>1950.6244778306996</v>
      </c>
      <c r="S578" s="75">
        <f t="shared" si="1272"/>
        <v>1739.0140323659598</v>
      </c>
      <c r="T578" s="75">
        <f t="shared" si="1272"/>
        <v>2124.4933153187194</v>
      </c>
      <c r="U578" s="75">
        <f t="shared" si="1272"/>
        <v>2467.6021013608724</v>
      </c>
      <c r="V578" s="75">
        <f t="shared" si="1272"/>
        <v>2955.1612987031444</v>
      </c>
      <c r="W578" s="75">
        <f t="shared" si="1272"/>
        <v>3588.0750477503916</v>
      </c>
      <c r="X578" s="75">
        <f t="shared" si="1272"/>
        <v>4366.8153521923768</v>
      </c>
      <c r="Y578" s="135" t="s">
        <v>4</v>
      </c>
    </row>
    <row r="579" spans="1:25" ht="15" customHeight="1" outlineLevel="1">
      <c r="B579" s="6" t="s">
        <v>27</v>
      </c>
      <c r="C579" s="1" t="s">
        <v>21</v>
      </c>
      <c r="D579" s="72"/>
      <c r="E579" s="72"/>
      <c r="F579" s="72"/>
      <c r="G579" s="24" t="str">
        <f t="shared" ref="G579" si="1273">IFERROR(G578/F578-1,"n.m.")</f>
        <v>n.m.</v>
      </c>
      <c r="H579" s="24">
        <f t="shared" ref="H579" si="1274">IFERROR(H578/G578-1,"n.m.")</f>
        <v>-2.9026745913818712</v>
      </c>
      <c r="I579" s="24">
        <f t="shared" ref="I579" si="1275">IFERROR(I578/H578-1,"n.m.")</f>
        <v>0.86645841468176577</v>
      </c>
      <c r="J579" s="24">
        <f t="shared" ref="J579" si="1276">IFERROR(J578/I578-1,"n.m.")</f>
        <v>0.29142259414225991</v>
      </c>
      <c r="K579" s="24">
        <f t="shared" ref="K579" si="1277">IFERROR(K578/J578-1,"n.m.")</f>
        <v>-7.330309411955338E-2</v>
      </c>
      <c r="L579" s="24">
        <f t="shared" ref="L579" si="1278">IFERROR(L578/K578-1,"n.m.")</f>
        <v>-2.8931037496722212E-2</v>
      </c>
      <c r="M579" s="24">
        <f t="shared" ref="M579" si="1279">IFERROR(M578/L578-1,"n.m.")</f>
        <v>-0.32493249324932494</v>
      </c>
      <c r="N579" s="24">
        <f t="shared" ref="N579" si="1280">IFERROR(N578/M578-1,"n.m.")</f>
        <v>0.67066666666666674</v>
      </c>
      <c r="O579" s="24">
        <f t="shared" ref="O579" si="1281">IFERROR(O578/N578-1,"n.m.")</f>
        <v>0.18276137270550685</v>
      </c>
      <c r="P579" s="24">
        <f t="shared" ref="P579" si="1282">IFERROR(P578/O578-1,"n.m.")</f>
        <v>0.15924426450742235</v>
      </c>
      <c r="Q579" s="24">
        <f t="shared" ref="Q579" si="1283">IFERROR(Q578/P578-1,"n.m.")</f>
        <v>-0.15890570430733408</v>
      </c>
      <c r="R579" s="24">
        <f t="shared" ref="R579" si="1284">IFERROR(R578/Q578-1,"n.m.")</f>
        <v>0.34991313344685082</v>
      </c>
      <c r="S579" s="24">
        <f t="shared" ref="S579" si="1285">IFERROR(S578/R578-1,"n.m.")</f>
        <v>-0.10848343587899245</v>
      </c>
      <c r="T579" s="24">
        <f t="shared" ref="T579" si="1286">IFERROR(T578/S578-1,"n.m.")</f>
        <v>0.2216654240726903</v>
      </c>
      <c r="U579" s="24">
        <f t="shared" ref="U579" si="1287">IFERROR(U578/T578-1,"n.m.")</f>
        <v>0.16150146652293862</v>
      </c>
      <c r="V579" s="24">
        <f t="shared" ref="V579" si="1288">IFERROR(V578/U578-1,"n.m.")</f>
        <v>0.1975842041443332</v>
      </c>
      <c r="W579" s="24">
        <f t="shared" ref="W579:X579" si="1289">IFERROR(W578/V578-1,"n.m.")</f>
        <v>0.2141723192317786</v>
      </c>
      <c r="X579" s="24">
        <f t="shared" si="1289"/>
        <v>0.21703567904195054</v>
      </c>
      <c r="Y579" s="135" t="s">
        <v>4</v>
      </c>
    </row>
    <row r="580" spans="1:25" ht="15" customHeight="1" outlineLevel="1">
      <c r="B580" s="6" t="s">
        <v>125</v>
      </c>
      <c r="C580" s="1" t="s">
        <v>21</v>
      </c>
      <c r="D580" s="72"/>
      <c r="E580" s="72"/>
      <c r="F580" s="72"/>
      <c r="G580" s="24">
        <f t="shared" ref="G580:W580" si="1290">G578/G$432</f>
        <v>-0.22455789122455794</v>
      </c>
      <c r="H580" s="24">
        <f t="shared" si="1290"/>
        <v>0.12640047381669212</v>
      </c>
      <c r="I580" s="24">
        <f t="shared" si="1290"/>
        <v>0.23059481885281491</v>
      </c>
      <c r="J580" s="24">
        <f t="shared" si="1290"/>
        <v>0.26979305522169544</v>
      </c>
      <c r="K580" s="24">
        <f t="shared" si="1290"/>
        <v>0.2135710285607616</v>
      </c>
      <c r="L580" s="24">
        <f t="shared" si="1290"/>
        <v>0.19828663216134212</v>
      </c>
      <c r="M580" s="24">
        <f t="shared" si="1290"/>
        <v>0.15096618357487923</v>
      </c>
      <c r="N580" s="24">
        <f t="shared" si="1290"/>
        <v>0.21833071963756753</v>
      </c>
      <c r="O580" s="24">
        <f t="shared" si="1290"/>
        <v>0.22782475019215986</v>
      </c>
      <c r="P580" s="24">
        <f t="shared" si="1290"/>
        <v>0.2446596411278838</v>
      </c>
      <c r="Q580" s="24">
        <f t="shared" si="1290"/>
        <v>0.17190102307875327</v>
      </c>
      <c r="R580" s="24">
        <f t="shared" si="1290"/>
        <v>0.14317874096428559</v>
      </c>
      <c r="S580" s="24">
        <f t="shared" si="1290"/>
        <v>0.16014629195611424</v>
      </c>
      <c r="T580" s="24">
        <f t="shared" si="1290"/>
        <v>0.16128759139303714</v>
      </c>
      <c r="U580" s="24">
        <f t="shared" si="1290"/>
        <v>0.16478438604444953</v>
      </c>
      <c r="V580" s="24">
        <f t="shared" si="1290"/>
        <v>0.17163033899992045</v>
      </c>
      <c r="W580" s="24">
        <f t="shared" si="1290"/>
        <v>0.17888177250270684</v>
      </c>
      <c r="X580" s="24">
        <f t="shared" ref="X580" si="1291">X578/X$432</f>
        <v>0.1841555487968633</v>
      </c>
      <c r="Y580" s="135" t="s">
        <v>4</v>
      </c>
    </row>
    <row r="581" spans="1:25" ht="15" customHeight="1" outlineLevel="1">
      <c r="Y581" s="135" t="s">
        <v>4</v>
      </c>
    </row>
    <row r="582" spans="1:25" ht="15" customHeight="1" outlineLevel="1">
      <c r="B582" s="7" t="s">
        <v>126</v>
      </c>
      <c r="C582" s="13" t="s">
        <v>26</v>
      </c>
      <c r="D582" s="71"/>
      <c r="E582" s="71"/>
      <c r="F582" s="71"/>
      <c r="G582" s="43">
        <f>430.7-13.8-546.4</f>
        <v>-129.5</v>
      </c>
      <c r="H582" s="43">
        <f>-136.6-271.2</f>
        <v>-407.79999999999995</v>
      </c>
      <c r="I582" s="43">
        <f>-340.3-270</f>
        <v>-610.29999999999995</v>
      </c>
      <c r="J582" s="43">
        <f>-587-22</f>
        <v>-609</v>
      </c>
      <c r="K582" s="43">
        <v>-532</v>
      </c>
      <c r="L582" s="43">
        <v>-468</v>
      </c>
      <c r="M582" s="43">
        <v>-264</v>
      </c>
      <c r="N582" s="43">
        <v>-415</v>
      </c>
      <c r="O582" s="43">
        <v>-474</v>
      </c>
      <c r="P582" s="43">
        <v>-528</v>
      </c>
      <c r="Q582" s="43">
        <v>-424</v>
      </c>
      <c r="R582" s="75">
        <f t="shared" ref="R582:W582" si="1292">R584*R578</f>
        <v>-395.97676899963204</v>
      </c>
      <c r="S582" s="75">
        <f t="shared" si="1292"/>
        <v>-505.98452431624753</v>
      </c>
      <c r="T582" s="75">
        <f t="shared" si="1292"/>
        <v>-618.14379847302712</v>
      </c>
      <c r="U582" s="75">
        <f t="shared" si="1292"/>
        <v>-717.9749284484808</v>
      </c>
      <c r="V582" s="75">
        <f t="shared" si="1292"/>
        <v>-859.83543328155838</v>
      </c>
      <c r="W582" s="75">
        <f t="shared" si="1292"/>
        <v>-1043.9883821851311</v>
      </c>
      <c r="X582" s="75">
        <f t="shared" ref="X582" si="1293">X584*X578</f>
        <v>-1270.5711096245882</v>
      </c>
      <c r="Y582" s="135" t="s">
        <v>4</v>
      </c>
    </row>
    <row r="583" spans="1:25" ht="15" customHeight="1" outlineLevel="1">
      <c r="B583" s="6" t="s">
        <v>27</v>
      </c>
      <c r="C583" s="1" t="s">
        <v>21</v>
      </c>
      <c r="D583" s="72"/>
      <c r="E583" s="72"/>
      <c r="F583" s="72"/>
      <c r="G583" s="24" t="str">
        <f t="shared" ref="G583" si="1294">IFERROR(G582/F582-1,"n.m.")</f>
        <v>n.m.</v>
      </c>
      <c r="H583" s="24">
        <f t="shared" ref="H583" si="1295">IFERROR(H582/G582-1,"n.m.")</f>
        <v>2.1490347490347488</v>
      </c>
      <c r="I583" s="24">
        <f t="shared" ref="I583" si="1296">IFERROR(I582/H582-1,"n.m.")</f>
        <v>0.49656694458067685</v>
      </c>
      <c r="J583" s="24">
        <f t="shared" ref="J583" si="1297">IFERROR(J582/I582-1,"n.m.")</f>
        <v>-2.130099950843789E-3</v>
      </c>
      <c r="K583" s="24">
        <f t="shared" ref="K583" si="1298">IFERROR(K582/J582-1,"n.m.")</f>
        <v>-0.12643678160919536</v>
      </c>
      <c r="L583" s="24">
        <f t="shared" ref="L583" si="1299">IFERROR(L582/K582-1,"n.m.")</f>
        <v>-0.12030075187969924</v>
      </c>
      <c r="M583" s="24">
        <f t="shared" ref="M583" si="1300">IFERROR(M582/L582-1,"n.m.")</f>
        <v>-0.4358974358974359</v>
      </c>
      <c r="N583" s="24">
        <f t="shared" ref="N583" si="1301">IFERROR(N582/M582-1,"n.m.")</f>
        <v>0.57196969696969702</v>
      </c>
      <c r="O583" s="24">
        <f t="shared" ref="O583" si="1302">IFERROR(O582/N582-1,"n.m.")</f>
        <v>0.14216867469879513</v>
      </c>
      <c r="P583" s="24">
        <f t="shared" ref="P583" si="1303">IFERROR(P582/O582-1,"n.m.")</f>
        <v>0.11392405063291133</v>
      </c>
      <c r="Q583" s="24">
        <f t="shared" ref="Q583" si="1304">IFERROR(Q582/P582-1,"n.m.")</f>
        <v>-0.19696969696969702</v>
      </c>
      <c r="R583" s="24">
        <f t="shared" ref="R583" si="1305">IFERROR(R582/Q582-1,"n.m.")</f>
        <v>-6.6092525944264069E-2</v>
      </c>
      <c r="S583" s="24">
        <f t="shared" ref="S583" si="1306">IFERROR(S582/R582-1,"n.m.")</f>
        <v>0.27781365961071747</v>
      </c>
      <c r="T583" s="24">
        <f t="shared" ref="T583" si="1307">IFERROR(T582/S582-1,"n.m.")</f>
        <v>0.22166542407269052</v>
      </c>
      <c r="U583" s="24">
        <f t="shared" ref="U583" si="1308">IFERROR(U582/T582-1,"n.m.")</f>
        <v>0.16150146652293862</v>
      </c>
      <c r="V583" s="24">
        <f t="shared" ref="V583" si="1309">IFERROR(V582/U582-1,"n.m.")</f>
        <v>0.1975842041443332</v>
      </c>
      <c r="W583" s="24">
        <f t="shared" ref="W583:X583" si="1310">IFERROR(W582/V582-1,"n.m.")</f>
        <v>0.2141723192317786</v>
      </c>
      <c r="X583" s="24">
        <f t="shared" si="1310"/>
        <v>0.21703567904195031</v>
      </c>
      <c r="Y583" s="135" t="s">
        <v>4</v>
      </c>
    </row>
    <row r="584" spans="1:25" ht="15" customHeight="1" outlineLevel="1">
      <c r="B584" s="6" t="s">
        <v>127</v>
      </c>
      <c r="C584" s="1" t="s">
        <v>21</v>
      </c>
      <c r="D584" s="72"/>
      <c r="E584" s="72"/>
      <c r="F584" s="72"/>
      <c r="G584" s="23">
        <f t="shared" ref="G584:Q584" si="1311">G582/G578</f>
        <v>0.48105497771173839</v>
      </c>
      <c r="H584" s="23">
        <f t="shared" si="1311"/>
        <v>-0.79617336977743092</v>
      </c>
      <c r="I584" s="23">
        <f t="shared" si="1311"/>
        <v>-0.63838912133891201</v>
      </c>
      <c r="J584" s="23">
        <f t="shared" si="1311"/>
        <v>-0.49327717479345512</v>
      </c>
      <c r="K584" s="23">
        <f t="shared" si="1311"/>
        <v>-0.46499431867843721</v>
      </c>
      <c r="L584" s="23">
        <f t="shared" si="1311"/>
        <v>-0.42124212421242124</v>
      </c>
      <c r="M584" s="23">
        <f t="shared" si="1311"/>
        <v>-0.35199999999999998</v>
      </c>
      <c r="N584" s="23">
        <f t="shared" si="1311"/>
        <v>-0.33120510774142059</v>
      </c>
      <c r="O584" s="23">
        <f t="shared" si="1311"/>
        <v>-0.31983805668016196</v>
      </c>
      <c r="P584" s="23">
        <f t="shared" si="1311"/>
        <v>-0.30733410942956929</v>
      </c>
      <c r="Q584" s="23">
        <f t="shared" si="1311"/>
        <v>-0.29342560553633218</v>
      </c>
      <c r="R584" s="176">
        <v>-0.20300000000000001</v>
      </c>
      <c r="S584" s="176">
        <f>AVERAGE($N$584:R584)</f>
        <v>-0.2909605758774968</v>
      </c>
      <c r="T584" s="176">
        <f>AVERAGE($N$584:S584)</f>
        <v>-0.29096057587749685</v>
      </c>
      <c r="U584" s="176">
        <f>AVERAGE($N$584:T584)</f>
        <v>-0.29096057587749685</v>
      </c>
      <c r="V584" s="176">
        <f>AVERAGE($N$584:U584)</f>
        <v>-0.29096057587749685</v>
      </c>
      <c r="W584" s="176">
        <f>AVERAGE($N$584:V584)</f>
        <v>-0.29096057587749685</v>
      </c>
      <c r="X584" s="176">
        <f>AVERAGE($N$584:W584)</f>
        <v>-0.29096057587749685</v>
      </c>
      <c r="Y584" s="135" t="s">
        <v>4</v>
      </c>
    </row>
    <row r="585" spans="1:25" ht="15" customHeight="1" outlineLevel="1">
      <c r="B585" s="6"/>
      <c r="Y585" s="135" t="s">
        <v>4</v>
      </c>
    </row>
    <row r="586" spans="1:25" ht="15" customHeight="1" outlineLevel="1">
      <c r="B586" s="7" t="s">
        <v>128</v>
      </c>
      <c r="C586" s="13" t="s">
        <v>26</v>
      </c>
      <c r="D586" s="71"/>
      <c r="E586" s="71"/>
      <c r="F586" s="71"/>
      <c r="G586" s="75">
        <f t="shared" ref="G586:W586" si="1312">G578+G582</f>
        <v>-398.70000000000005</v>
      </c>
      <c r="H586" s="75">
        <f t="shared" si="1312"/>
        <v>104.39999999999986</v>
      </c>
      <c r="I586" s="75">
        <f t="shared" si="1312"/>
        <v>345.70000000000016</v>
      </c>
      <c r="J586" s="75">
        <f t="shared" si="1312"/>
        <v>625.60000000000059</v>
      </c>
      <c r="K586" s="75">
        <f t="shared" si="1312"/>
        <v>612.09999999999991</v>
      </c>
      <c r="L586" s="75">
        <f t="shared" si="1312"/>
        <v>643</v>
      </c>
      <c r="M586" s="75">
        <f t="shared" si="1312"/>
        <v>486</v>
      </c>
      <c r="N586" s="75">
        <f t="shared" si="1312"/>
        <v>838</v>
      </c>
      <c r="O586" s="75">
        <f t="shared" si="1312"/>
        <v>1008</v>
      </c>
      <c r="P586" s="75">
        <f t="shared" si="1312"/>
        <v>1190</v>
      </c>
      <c r="Q586" s="75">
        <f t="shared" si="1312"/>
        <v>1021</v>
      </c>
      <c r="R586" s="75">
        <f t="shared" si="1312"/>
        <v>1554.6477088310676</v>
      </c>
      <c r="S586" s="75">
        <f t="shared" si="1312"/>
        <v>1233.0295080497121</v>
      </c>
      <c r="T586" s="75">
        <f t="shared" si="1312"/>
        <v>1506.3495168456923</v>
      </c>
      <c r="U586" s="75">
        <f t="shared" si="1312"/>
        <v>1749.6271729123916</v>
      </c>
      <c r="V586" s="75">
        <f t="shared" si="1312"/>
        <v>2095.3258654215861</v>
      </c>
      <c r="W586" s="75">
        <f t="shared" si="1312"/>
        <v>2544.0866655652608</v>
      </c>
      <c r="X586" s="75">
        <f t="shared" ref="X586" si="1313">X578+X582</f>
        <v>3096.2442425677887</v>
      </c>
      <c r="Y586" s="135" t="s">
        <v>4</v>
      </c>
    </row>
    <row r="587" spans="1:25" ht="15" customHeight="1" outlineLevel="1">
      <c r="B587" s="6" t="s">
        <v>27</v>
      </c>
      <c r="C587" s="1" t="s">
        <v>21</v>
      </c>
      <c r="D587" s="72"/>
      <c r="E587" s="72"/>
      <c r="F587" s="72"/>
      <c r="G587" s="24" t="str">
        <f t="shared" ref="G587" si="1314">IFERROR(G586/F586-1,"n.m.")</f>
        <v>n.m.</v>
      </c>
      <c r="H587" s="24">
        <f t="shared" ref="H587" si="1315">IFERROR(H586/G586-1,"n.m.")</f>
        <v>-1.2618510158013541</v>
      </c>
      <c r="I587" s="24">
        <f t="shared" ref="I587" si="1316">IFERROR(I586/H586-1,"n.m.")</f>
        <v>2.311302681992343</v>
      </c>
      <c r="J587" s="24">
        <f t="shared" ref="J587" si="1317">IFERROR(J586/I586-1,"n.m.")</f>
        <v>0.80966155626265635</v>
      </c>
      <c r="K587" s="24">
        <f t="shared" ref="K587" si="1318">IFERROR(K586/J586-1,"n.m.")</f>
        <v>-2.1579283887469103E-2</v>
      </c>
      <c r="L587" s="24">
        <f t="shared" ref="L587" si="1319">IFERROR(L586/K586-1,"n.m.")</f>
        <v>5.0481947394216853E-2</v>
      </c>
      <c r="M587" s="24">
        <f t="shared" ref="M587" si="1320">IFERROR(M586/L586-1,"n.m.")</f>
        <v>-0.2441679626749611</v>
      </c>
      <c r="N587" s="24">
        <f t="shared" ref="N587" si="1321">IFERROR(N586/M586-1,"n.m.")</f>
        <v>0.72427983539094654</v>
      </c>
      <c r="O587" s="24">
        <f t="shared" ref="O587" si="1322">IFERROR(O586/N586-1,"n.m.")</f>
        <v>0.20286396181384259</v>
      </c>
      <c r="P587" s="24">
        <f t="shared" ref="P587" si="1323">IFERROR(P586/O586-1,"n.m.")</f>
        <v>0.18055555555555558</v>
      </c>
      <c r="Q587" s="24">
        <f t="shared" ref="Q587" si="1324">IFERROR(Q586/P586-1,"n.m.")</f>
        <v>-0.14201680672268913</v>
      </c>
      <c r="R587" s="24">
        <f t="shared" ref="R587" si="1325">IFERROR(R586/Q586-1,"n.m.")</f>
        <v>0.52267160512347455</v>
      </c>
      <c r="S587" s="24">
        <f t="shared" ref="S587" si="1326">IFERROR(S586/R586-1,"n.m.")</f>
        <v>-0.20687529332492871</v>
      </c>
      <c r="T587" s="24">
        <f t="shared" ref="T587" si="1327">IFERROR(T586/S586-1,"n.m.")</f>
        <v>0.2216654240726903</v>
      </c>
      <c r="U587" s="24">
        <f t="shared" ref="U587" si="1328">IFERROR(U586/T586-1,"n.m.")</f>
        <v>0.16150146652293862</v>
      </c>
      <c r="V587" s="24">
        <f t="shared" ref="V587" si="1329">IFERROR(V586/U586-1,"n.m.")</f>
        <v>0.1975842041443332</v>
      </c>
      <c r="W587" s="24">
        <f t="shared" ref="W587:X587" si="1330">IFERROR(W586/V586-1,"n.m.")</f>
        <v>0.2141723192317786</v>
      </c>
      <c r="X587" s="24">
        <f t="shared" si="1330"/>
        <v>0.21703567904195054</v>
      </c>
      <c r="Y587" s="135" t="s">
        <v>4</v>
      </c>
    </row>
    <row r="588" spans="1:25" ht="15" customHeight="1" outlineLevel="1">
      <c r="B588" s="6"/>
      <c r="Y588" s="135" t="s">
        <v>4</v>
      </c>
    </row>
    <row r="589" spans="1:25" ht="15" customHeight="1">
      <c r="Y589" s="135" t="s">
        <v>4</v>
      </c>
    </row>
    <row r="590" spans="1:25" ht="15" customHeight="1">
      <c r="A590" s="1" t="s">
        <v>4</v>
      </c>
      <c r="B590" s="148" t="s">
        <v>129</v>
      </c>
      <c r="C590" s="149" t="s">
        <v>11</v>
      </c>
      <c r="D590" s="150">
        <v>2011</v>
      </c>
      <c r="E590" s="150">
        <v>2012</v>
      </c>
      <c r="F590" s="150">
        <v>2013</v>
      </c>
      <c r="G590" s="150">
        <v>2014</v>
      </c>
      <c r="H590" s="150">
        <v>2015</v>
      </c>
      <c r="I590" s="150">
        <v>2016</v>
      </c>
      <c r="J590" s="150">
        <v>2017</v>
      </c>
      <c r="K590" s="150">
        <v>2018</v>
      </c>
      <c r="L590" s="150">
        <v>2019</v>
      </c>
      <c r="M590" s="150">
        <v>2020</v>
      </c>
      <c r="N590" s="150">
        <v>2021</v>
      </c>
      <c r="O590" s="150">
        <v>2022</v>
      </c>
      <c r="P590" s="150">
        <v>2023</v>
      </c>
      <c r="Q590" s="150">
        <v>2024</v>
      </c>
      <c r="R590" s="151" t="s">
        <v>23</v>
      </c>
      <c r="S590" s="151" t="s">
        <v>12</v>
      </c>
      <c r="T590" s="151" t="s">
        <v>13</v>
      </c>
      <c r="U590" s="151" t="s">
        <v>14</v>
      </c>
      <c r="V590" s="151" t="s">
        <v>15</v>
      </c>
      <c r="W590" s="152" t="s">
        <v>16</v>
      </c>
      <c r="X590" s="151" t="s">
        <v>17</v>
      </c>
      <c r="Y590" s="135" t="s">
        <v>4</v>
      </c>
    </row>
    <row r="591" spans="1:25" ht="15" customHeight="1" outlineLevel="1">
      <c r="Y591" s="135" t="s">
        <v>4</v>
      </c>
    </row>
    <row r="592" spans="1:25" ht="15" customHeight="1" outlineLevel="1">
      <c r="B592" s="215" t="s">
        <v>108</v>
      </c>
      <c r="C592" s="216" t="s">
        <v>26</v>
      </c>
      <c r="D592" s="93"/>
      <c r="E592" s="93"/>
      <c r="F592" s="93"/>
      <c r="G592" s="93"/>
      <c r="H592" s="22">
        <f t="shared" ref="H592:X592" si="1331">H544</f>
        <v>1192.6999999999998</v>
      </c>
      <c r="I592" s="22">
        <f t="shared" si="1331"/>
        <v>1666.8000000000002</v>
      </c>
      <c r="J592" s="22">
        <f t="shared" si="1331"/>
        <v>1735.0000000000007</v>
      </c>
      <c r="K592" s="22">
        <f t="shared" si="1331"/>
        <v>1917.1</v>
      </c>
      <c r="L592" s="22">
        <f t="shared" si="1331"/>
        <v>2007</v>
      </c>
      <c r="M592" s="22">
        <f t="shared" si="1331"/>
        <v>1422</v>
      </c>
      <c r="N592" s="255">
        <f t="shared" si="1331"/>
        <v>1879</v>
      </c>
      <c r="O592" s="255">
        <f t="shared" si="1331"/>
        <v>1898</v>
      </c>
      <c r="P592" s="255">
        <f t="shared" si="1331"/>
        <v>2051</v>
      </c>
      <c r="Q592" s="255">
        <f t="shared" si="1331"/>
        <v>2419</v>
      </c>
      <c r="R592" s="255">
        <f t="shared" si="1331"/>
        <v>2547.9744064897009</v>
      </c>
      <c r="S592" s="255">
        <f t="shared" si="1331"/>
        <v>2531.6372189012991</v>
      </c>
      <c r="T592" s="255">
        <f t="shared" si="1331"/>
        <v>2871.1620270160247</v>
      </c>
      <c r="U592" s="255">
        <f t="shared" si="1331"/>
        <v>3156.3237160875533</v>
      </c>
      <c r="V592" s="255">
        <f t="shared" si="1331"/>
        <v>3651.9824457372579</v>
      </c>
      <c r="W592" s="255">
        <f t="shared" si="1331"/>
        <v>4324.2577150361049</v>
      </c>
      <c r="X592" s="255">
        <f t="shared" si="1331"/>
        <v>5226.3884165220052</v>
      </c>
      <c r="Y592" s="135" t="s">
        <v>4</v>
      </c>
    </row>
    <row r="593" spans="2:25" ht="15" customHeight="1" outlineLevel="1">
      <c r="B593" s="6" t="s">
        <v>130</v>
      </c>
      <c r="C593" s="1" t="s">
        <v>26</v>
      </c>
      <c r="D593" s="62"/>
      <c r="E593" s="62"/>
      <c r="F593" s="62"/>
      <c r="G593" s="62"/>
      <c r="H593" s="259">
        <f t="shared" ref="H593:M593" si="1332">H725</f>
        <v>182</v>
      </c>
      <c r="I593" s="259">
        <f t="shared" si="1332"/>
        <v>172.1</v>
      </c>
      <c r="J593" s="259">
        <f t="shared" si="1332"/>
        <v>181.1</v>
      </c>
      <c r="K593" s="259">
        <f t="shared" si="1332"/>
        <v>180</v>
      </c>
      <c r="L593" s="259">
        <f t="shared" si="1332"/>
        <v>185</v>
      </c>
      <c r="M593" s="259">
        <f t="shared" si="1332"/>
        <v>189</v>
      </c>
      <c r="N593" s="259">
        <f>N725</f>
        <v>201</v>
      </c>
      <c r="O593" s="259">
        <f t="shared" ref="O593:W593" si="1333">O725</f>
        <v>190</v>
      </c>
      <c r="P593" s="259">
        <f t="shared" si="1333"/>
        <v>191</v>
      </c>
      <c r="Q593" s="259">
        <f t="shared" si="1333"/>
        <v>264</v>
      </c>
      <c r="R593" s="259">
        <f t="shared" si="1333"/>
        <v>437.3208293121121</v>
      </c>
      <c r="S593" s="259">
        <f t="shared" si="1333"/>
        <v>359.02811267008252</v>
      </c>
      <c r="T593" s="259">
        <f t="shared" si="1333"/>
        <v>448.57379004816391</v>
      </c>
      <c r="U593" s="259">
        <f t="shared" si="1333"/>
        <v>525.26175414480178</v>
      </c>
      <c r="V593" s="259">
        <f t="shared" si="1333"/>
        <v>609.99350462107316</v>
      </c>
      <c r="W593" s="259">
        <f t="shared" si="1333"/>
        <v>717.71972596779256</v>
      </c>
      <c r="X593" s="259">
        <f t="shared" ref="X593" si="1334">X725</f>
        <v>856.9605844824498</v>
      </c>
      <c r="Y593" s="135" t="s">
        <v>4</v>
      </c>
    </row>
    <row r="594" spans="2:25" ht="15" customHeight="1" outlineLevel="1">
      <c r="B594" s="237" t="s">
        <v>131</v>
      </c>
      <c r="C594" s="238" t="s">
        <v>26</v>
      </c>
      <c r="D594" s="250"/>
      <c r="E594" s="250"/>
      <c r="F594" s="250"/>
      <c r="G594" s="250"/>
      <c r="H594" s="239">
        <f t="shared" ref="H594:W594" si="1335">H592+H593</f>
        <v>1374.6999999999998</v>
      </c>
      <c r="I594" s="239">
        <f t="shared" si="1335"/>
        <v>1838.9</v>
      </c>
      <c r="J594" s="239">
        <f t="shared" si="1335"/>
        <v>1916.1000000000006</v>
      </c>
      <c r="K594" s="239">
        <f t="shared" si="1335"/>
        <v>2097.1</v>
      </c>
      <c r="L594" s="239">
        <f t="shared" si="1335"/>
        <v>2192</v>
      </c>
      <c r="M594" s="239">
        <f t="shared" si="1335"/>
        <v>1611</v>
      </c>
      <c r="N594" s="256">
        <f t="shared" si="1335"/>
        <v>2080</v>
      </c>
      <c r="O594" s="256">
        <f t="shared" si="1335"/>
        <v>2088</v>
      </c>
      <c r="P594" s="256">
        <f t="shared" si="1335"/>
        <v>2242</v>
      </c>
      <c r="Q594" s="256">
        <f t="shared" si="1335"/>
        <v>2683</v>
      </c>
      <c r="R594" s="239">
        <f t="shared" si="1335"/>
        <v>2985.2952358018129</v>
      </c>
      <c r="S594" s="239">
        <f t="shared" si="1335"/>
        <v>2890.6653315713816</v>
      </c>
      <c r="T594" s="239">
        <f t="shared" si="1335"/>
        <v>3319.7358170641887</v>
      </c>
      <c r="U594" s="239">
        <f t="shared" si="1335"/>
        <v>3681.585470232355</v>
      </c>
      <c r="V594" s="239">
        <f t="shared" si="1335"/>
        <v>4261.9759503583309</v>
      </c>
      <c r="W594" s="239">
        <f t="shared" si="1335"/>
        <v>5041.9774410038972</v>
      </c>
      <c r="X594" s="239">
        <f t="shared" ref="X594" si="1336">X592+X593</f>
        <v>6083.3490010044552</v>
      </c>
      <c r="Y594" s="135" t="s">
        <v>4</v>
      </c>
    </row>
    <row r="595" spans="2:25" ht="15" customHeight="1" outlineLevel="1">
      <c r="B595" s="6" t="s">
        <v>27</v>
      </c>
      <c r="C595" s="1" t="s">
        <v>21</v>
      </c>
      <c r="D595" s="72"/>
      <c r="E595" s="72"/>
      <c r="F595" s="72"/>
      <c r="G595" s="72"/>
      <c r="H595" s="24" t="str">
        <f t="shared" ref="H595" si="1337">IFERROR(H594/G594-1,"n.m.")</f>
        <v>n.m.</v>
      </c>
      <c r="I595" s="24">
        <f t="shared" ref="I595" si="1338">IFERROR(I594/H594-1,"n.m.")</f>
        <v>0.33767367425620165</v>
      </c>
      <c r="J595" s="24">
        <f t="shared" ref="J595" si="1339">IFERROR(J594/I594-1,"n.m.")</f>
        <v>4.1981619446408436E-2</v>
      </c>
      <c r="K595" s="24">
        <f t="shared" ref="K595" si="1340">IFERROR(K594/J594-1,"n.m.")</f>
        <v>9.4462710714471765E-2</v>
      </c>
      <c r="L595" s="24">
        <f t="shared" ref="L595" si="1341">IFERROR(L594/K594-1,"n.m.")</f>
        <v>4.5252968384912551E-2</v>
      </c>
      <c r="M595" s="24">
        <f t="shared" ref="M595" si="1342">IFERROR(M594/L594-1,"n.m.")</f>
        <v>-0.26505474452554745</v>
      </c>
      <c r="N595" s="24">
        <f t="shared" ref="N595" si="1343">IFERROR(N594/M594-1,"n.m.")</f>
        <v>0.29112352576039724</v>
      </c>
      <c r="O595" s="24">
        <f t="shared" ref="O595" si="1344">IFERROR(O594/N594-1,"n.m.")</f>
        <v>3.8461538461538325E-3</v>
      </c>
      <c r="P595" s="24">
        <f t="shared" ref="P595" si="1345">IFERROR(P594/O594-1,"n.m.")</f>
        <v>7.3754789272030719E-2</v>
      </c>
      <c r="Q595" s="24">
        <f t="shared" ref="Q595" si="1346">IFERROR(Q594/P594-1,"n.m.")</f>
        <v>0.19669937555753791</v>
      </c>
      <c r="R595" s="24">
        <f t="shared" ref="R595" si="1347">IFERROR(R594/Q594-1,"n.m.")</f>
        <v>0.11267060596414935</v>
      </c>
      <c r="S595" s="24">
        <f t="shared" ref="S595" si="1348">IFERROR(S594/R594-1,"n.m.")</f>
        <v>-3.1698675258500786E-2</v>
      </c>
      <c r="T595" s="24">
        <f t="shared" ref="T595" si="1349">IFERROR(T594/S594-1,"n.m.")</f>
        <v>0.14843312396165964</v>
      </c>
      <c r="U595" s="24">
        <f t="shared" ref="U595" si="1350">IFERROR(U594/T594-1,"n.m.")</f>
        <v>0.10899953282673214</v>
      </c>
      <c r="V595" s="24">
        <f t="shared" ref="V595" si="1351">IFERROR(V594/U594-1,"n.m.")</f>
        <v>0.15764688469648536</v>
      </c>
      <c r="W595" s="24">
        <f t="shared" ref="W595:X595" si="1352">IFERROR(W594/V594-1,"n.m.")</f>
        <v>0.18301405257342829</v>
      </c>
      <c r="X595" s="24">
        <f t="shared" si="1352"/>
        <v>0.20654030530394696</v>
      </c>
      <c r="Y595" s="135" t="s">
        <v>4</v>
      </c>
    </row>
    <row r="596" spans="2:25" ht="15" customHeight="1" outlineLevel="1">
      <c r="B596" s="6" t="s">
        <v>132</v>
      </c>
      <c r="C596" s="1" t="s">
        <v>21</v>
      </c>
      <c r="D596" s="72"/>
      <c r="E596" s="72"/>
      <c r="F596" s="72"/>
      <c r="G596" s="72"/>
      <c r="H596" s="24">
        <f t="shared" ref="H596:W596" si="1353">H594/H$432</f>
        <v>0.33924781600118453</v>
      </c>
      <c r="I596" s="24">
        <f t="shared" si="1353"/>
        <v>0.44355733513435286</v>
      </c>
      <c r="J596" s="24">
        <f t="shared" si="1353"/>
        <v>0.41871899652542566</v>
      </c>
      <c r="K596" s="24">
        <f t="shared" si="1353"/>
        <v>0.39146910584282246</v>
      </c>
      <c r="L596" s="24">
        <f t="shared" si="1353"/>
        <v>0.39121898982687847</v>
      </c>
      <c r="M596" s="24">
        <f t="shared" si="1353"/>
        <v>0.32427536231884058</v>
      </c>
      <c r="N596" s="24">
        <f t="shared" si="1353"/>
        <v>0.36243247952604984</v>
      </c>
      <c r="O596" s="24">
        <f t="shared" si="1353"/>
        <v>0.32098385857033052</v>
      </c>
      <c r="P596" s="24">
        <f t="shared" si="1353"/>
        <v>0.31928225576758756</v>
      </c>
      <c r="Q596" s="24">
        <f t="shared" si="1353"/>
        <v>0.31917677849155363</v>
      </c>
      <c r="R596" s="24">
        <f t="shared" si="1353"/>
        <v>0.21912511512422517</v>
      </c>
      <c r="S596" s="24">
        <f t="shared" si="1353"/>
        <v>0.26620218441102778</v>
      </c>
      <c r="T596" s="24">
        <f t="shared" si="1353"/>
        <v>0.25202818485458633</v>
      </c>
      <c r="U596" s="24">
        <f t="shared" si="1353"/>
        <v>0.24585317099861029</v>
      </c>
      <c r="V596" s="24">
        <f t="shared" si="1353"/>
        <v>0.24752773308533657</v>
      </c>
      <c r="W596" s="24">
        <f t="shared" si="1353"/>
        <v>0.25136538382353873</v>
      </c>
      <c r="X596" s="24">
        <f t="shared" ref="X596" si="1354">X594/X$432</f>
        <v>0.25654450290424652</v>
      </c>
      <c r="Y596" s="135" t="s">
        <v>4</v>
      </c>
    </row>
    <row r="597" spans="2:25" ht="15" customHeight="1" outlineLevel="1">
      <c r="H597" s="25"/>
      <c r="I597" s="25"/>
      <c r="J597" s="25"/>
      <c r="K597" s="25"/>
      <c r="L597" s="25"/>
      <c r="M597" s="25"/>
      <c r="N597" s="25"/>
      <c r="O597" s="25"/>
      <c r="P597" s="25"/>
      <c r="Q597" s="25"/>
      <c r="Y597" s="135" t="s">
        <v>4</v>
      </c>
    </row>
    <row r="598" spans="2:25" ht="15" customHeight="1" outlineLevel="1">
      <c r="B598" s="240" t="s">
        <v>133</v>
      </c>
      <c r="C598" s="241" t="s">
        <v>26</v>
      </c>
      <c r="D598" s="251"/>
      <c r="E598" s="251"/>
      <c r="F598" s="251"/>
      <c r="G598" s="251"/>
      <c r="H598" s="248">
        <f>SUM(H599:H607)</f>
        <v>291.7</v>
      </c>
      <c r="I598" s="248">
        <f t="shared" ref="I598:X598" si="1355">SUM(I599:I607)</f>
        <v>49.699999999999996</v>
      </c>
      <c r="J598" s="248">
        <f t="shared" si="1355"/>
        <v>228.9</v>
      </c>
      <c r="K598" s="248">
        <f t="shared" si="1355"/>
        <v>115</v>
      </c>
      <c r="L598" s="248">
        <f t="shared" si="1355"/>
        <v>112</v>
      </c>
      <c r="M598" s="248">
        <f t="shared" si="1355"/>
        <v>253</v>
      </c>
      <c r="N598" s="248">
        <f t="shared" si="1355"/>
        <v>168</v>
      </c>
      <c r="O598" s="248">
        <f t="shared" si="1355"/>
        <v>290</v>
      </c>
      <c r="P598" s="248">
        <f t="shared" si="1355"/>
        <v>312</v>
      </c>
      <c r="Q598" s="248">
        <f t="shared" si="1355"/>
        <v>102</v>
      </c>
      <c r="R598" s="248">
        <f t="shared" si="1355"/>
        <v>52.4879649220847</v>
      </c>
      <c r="S598" s="248">
        <f t="shared" si="1355"/>
        <v>213.90368913544506</v>
      </c>
      <c r="T598" s="248">
        <f t="shared" si="1355"/>
        <v>265.01798631550173</v>
      </c>
      <c r="U598" s="248">
        <f t="shared" si="1355"/>
        <v>305.44584364041742</v>
      </c>
      <c r="V598" s="248">
        <f t="shared" si="1355"/>
        <v>346.73070951510738</v>
      </c>
      <c r="W598" s="248">
        <f t="shared" si="1355"/>
        <v>401.59668191445837</v>
      </c>
      <c r="X598" s="248">
        <f t="shared" si="1355"/>
        <v>474.49295243024858</v>
      </c>
      <c r="Y598" s="135" t="s">
        <v>4</v>
      </c>
    </row>
    <row r="599" spans="2:25" ht="15" customHeight="1" outlineLevel="1">
      <c r="B599" s="204" t="s">
        <v>134</v>
      </c>
      <c r="C599" s="242" t="s">
        <v>26</v>
      </c>
      <c r="D599" s="252"/>
      <c r="E599" s="62"/>
      <c r="F599" s="62"/>
      <c r="G599" s="62"/>
      <c r="H599" s="82">
        <v>0</v>
      </c>
      <c r="I599" s="82">
        <v>0</v>
      </c>
      <c r="J599" s="82">
        <v>0</v>
      </c>
      <c r="K599" s="82">
        <v>0</v>
      </c>
      <c r="L599" s="82">
        <v>0</v>
      </c>
      <c r="M599" s="82">
        <v>0</v>
      </c>
      <c r="N599" s="82">
        <v>0</v>
      </c>
      <c r="O599" s="82">
        <v>0</v>
      </c>
      <c r="P599" s="82">
        <v>0</v>
      </c>
      <c r="Q599" s="82">
        <v>22</v>
      </c>
      <c r="R599" s="186">
        <v>37</v>
      </c>
      <c r="S599" s="186">
        <f>R599*(1+5%)</f>
        <v>38.85</v>
      </c>
      <c r="T599" s="186">
        <f>S599*(1+5%)</f>
        <v>40.792500000000004</v>
      </c>
      <c r="U599" s="186">
        <f>T599*(1+5%)</f>
        <v>42.832125000000005</v>
      </c>
      <c r="V599" s="186">
        <f>U599*(1-15%)</f>
        <v>36.407306250000005</v>
      </c>
      <c r="W599" s="186">
        <f t="shared" ref="W599:X599" si="1356">V599*(1-15%)</f>
        <v>30.946210312500003</v>
      </c>
      <c r="X599" s="186">
        <f t="shared" si="1356"/>
        <v>26.304278765625003</v>
      </c>
      <c r="Y599" s="135" t="s">
        <v>4</v>
      </c>
    </row>
    <row r="600" spans="2:25" ht="15" customHeight="1" outlineLevel="1">
      <c r="B600" s="204" t="s">
        <v>135</v>
      </c>
      <c r="C600" s="242" t="s">
        <v>26</v>
      </c>
      <c r="D600" s="252"/>
      <c r="E600" s="62"/>
      <c r="F600" s="62"/>
      <c r="G600" s="62"/>
      <c r="H600" s="82">
        <v>0</v>
      </c>
      <c r="I600" s="82">
        <v>0</v>
      </c>
      <c r="J600" s="82">
        <v>0</v>
      </c>
      <c r="K600" s="82">
        <v>0</v>
      </c>
      <c r="L600" s="82">
        <v>0</v>
      </c>
      <c r="M600" s="82">
        <v>0</v>
      </c>
      <c r="N600" s="82">
        <v>18</v>
      </c>
      <c r="O600" s="82">
        <v>24</v>
      </c>
      <c r="P600" s="82">
        <v>19</v>
      </c>
      <c r="Q600" s="82">
        <v>0</v>
      </c>
      <c r="R600" s="186">
        <v>0</v>
      </c>
      <c r="S600" s="186">
        <v>0</v>
      </c>
      <c r="T600" s="186">
        <v>0</v>
      </c>
      <c r="U600" s="186">
        <v>0</v>
      </c>
      <c r="V600" s="186">
        <v>0</v>
      </c>
      <c r="W600" s="186">
        <v>0</v>
      </c>
      <c r="X600" s="186">
        <v>0</v>
      </c>
      <c r="Y600" s="135" t="s">
        <v>4</v>
      </c>
    </row>
    <row r="601" spans="2:25" ht="15" customHeight="1" outlineLevel="1">
      <c r="B601" s="204" t="s">
        <v>136</v>
      </c>
      <c r="C601" s="242" t="s">
        <v>26</v>
      </c>
      <c r="D601" s="252"/>
      <c r="E601" s="62"/>
      <c r="F601" s="62"/>
      <c r="G601" s="62"/>
      <c r="H601" s="82">
        <v>0</v>
      </c>
      <c r="I601" s="82">
        <v>0</v>
      </c>
      <c r="J601" s="82">
        <v>1.9</v>
      </c>
      <c r="K601" s="82">
        <v>25</v>
      </c>
      <c r="L601" s="82">
        <v>31</v>
      </c>
      <c r="M601" s="82">
        <v>16</v>
      </c>
      <c r="N601" s="82">
        <v>16</v>
      </c>
      <c r="O601" s="82">
        <v>46</v>
      </c>
      <c r="P601" s="82">
        <v>38</v>
      </c>
      <c r="Q601" s="82">
        <v>20</v>
      </c>
      <c r="R601" s="186">
        <v>14</v>
      </c>
      <c r="S601" s="186">
        <f t="shared" ref="S601:X601" si="1357">R601*(1+2%)</f>
        <v>14.280000000000001</v>
      </c>
      <c r="T601" s="186">
        <f t="shared" si="1357"/>
        <v>14.565600000000002</v>
      </c>
      <c r="U601" s="186">
        <f t="shared" si="1357"/>
        <v>14.856912000000001</v>
      </c>
      <c r="V601" s="186">
        <f t="shared" si="1357"/>
        <v>15.154050240000002</v>
      </c>
      <c r="W601" s="186">
        <f t="shared" si="1357"/>
        <v>15.457131244800003</v>
      </c>
      <c r="X601" s="186">
        <f t="shared" si="1357"/>
        <v>15.766273869696004</v>
      </c>
      <c r="Y601" s="135" t="s">
        <v>4</v>
      </c>
    </row>
    <row r="602" spans="2:25" ht="15" customHeight="1" outlineLevel="1">
      <c r="B602" s="204" t="s">
        <v>137</v>
      </c>
      <c r="C602" s="242" t="s">
        <v>26</v>
      </c>
      <c r="D602" s="252"/>
      <c r="E602" s="62"/>
      <c r="F602" s="62"/>
      <c r="G602" s="62"/>
      <c r="H602" s="82">
        <v>17.7</v>
      </c>
      <c r="I602" s="82">
        <v>-8</v>
      </c>
      <c r="J602" s="82">
        <v>1.1000000000000001</v>
      </c>
      <c r="K602" s="82">
        <v>-3</v>
      </c>
      <c r="L602" s="82">
        <v>11</v>
      </c>
      <c r="M602" s="82">
        <v>48</v>
      </c>
      <c r="N602" s="82">
        <v>25</v>
      </c>
      <c r="O602" s="82">
        <v>59</v>
      </c>
      <c r="P602" s="82">
        <v>6</v>
      </c>
      <c r="Q602" s="82">
        <v>-53</v>
      </c>
      <c r="R602" s="186">
        <v>5</v>
      </c>
      <c r="S602" s="186">
        <f>AVERAGE($H$602:$R$602,)</f>
        <v>9.0666666666666682</v>
      </c>
      <c r="T602" s="186">
        <f t="shared" ref="T602:X602" si="1358">AVERAGE($H$602:$R$602,)</f>
        <v>9.0666666666666682</v>
      </c>
      <c r="U602" s="186">
        <f t="shared" si="1358"/>
        <v>9.0666666666666682</v>
      </c>
      <c r="V602" s="186">
        <f t="shared" si="1358"/>
        <v>9.0666666666666682</v>
      </c>
      <c r="W602" s="186">
        <f t="shared" si="1358"/>
        <v>9.0666666666666682</v>
      </c>
      <c r="X602" s="186">
        <f t="shared" si="1358"/>
        <v>9.0666666666666682</v>
      </c>
      <c r="Y602" s="135" t="s">
        <v>4</v>
      </c>
    </row>
    <row r="603" spans="2:25" ht="15" customHeight="1" outlineLevel="1">
      <c r="B603" s="204" t="s">
        <v>138</v>
      </c>
      <c r="C603" s="242" t="s">
        <v>26</v>
      </c>
      <c r="D603" s="252"/>
      <c r="E603" s="62"/>
      <c r="F603" s="62"/>
      <c r="G603" s="62"/>
      <c r="H603" s="82">
        <v>0</v>
      </c>
      <c r="I603" s="82">
        <v>0</v>
      </c>
      <c r="J603" s="82">
        <v>61.7</v>
      </c>
      <c r="K603" s="82">
        <v>10</v>
      </c>
      <c r="L603" s="82">
        <v>0</v>
      </c>
      <c r="M603" s="82">
        <v>0</v>
      </c>
      <c r="N603" s="82">
        <v>0</v>
      </c>
      <c r="O603" s="82">
        <v>0</v>
      </c>
      <c r="P603" s="82">
        <v>0</v>
      </c>
      <c r="Q603" s="82">
        <v>0</v>
      </c>
      <c r="R603" s="186">
        <v>0</v>
      </c>
      <c r="S603" s="186">
        <v>0</v>
      </c>
      <c r="T603" s="186">
        <v>0</v>
      </c>
      <c r="U603" s="186">
        <v>0</v>
      </c>
      <c r="V603" s="186">
        <v>0</v>
      </c>
      <c r="W603" s="186">
        <v>0</v>
      </c>
      <c r="X603" s="186">
        <v>0</v>
      </c>
      <c r="Y603" s="135" t="s">
        <v>4</v>
      </c>
    </row>
    <row r="604" spans="2:25" ht="15" customHeight="1" outlineLevel="1">
      <c r="B604" s="204" t="s">
        <v>139</v>
      </c>
      <c r="C604" s="242" t="s">
        <v>26</v>
      </c>
      <c r="D604" s="252"/>
      <c r="E604" s="62"/>
      <c r="F604" s="62"/>
      <c r="G604" s="62"/>
      <c r="H604" s="82">
        <v>0</v>
      </c>
      <c r="I604" s="82">
        <v>0</v>
      </c>
      <c r="J604" s="82">
        <v>0</v>
      </c>
      <c r="K604" s="82">
        <v>20</v>
      </c>
      <c r="L604" s="82">
        <v>6</v>
      </c>
      <c r="M604" s="82">
        <v>0</v>
      </c>
      <c r="N604" s="82">
        <v>0</v>
      </c>
      <c r="O604" s="82">
        <v>0</v>
      </c>
      <c r="P604" s="82">
        <v>0</v>
      </c>
      <c r="Q604" s="82">
        <v>0</v>
      </c>
      <c r="R604" s="186">
        <v>0</v>
      </c>
      <c r="S604" s="186">
        <v>0</v>
      </c>
      <c r="T604" s="186">
        <v>0</v>
      </c>
      <c r="U604" s="186">
        <v>0</v>
      </c>
      <c r="V604" s="186">
        <v>0</v>
      </c>
      <c r="W604" s="186">
        <v>0</v>
      </c>
      <c r="X604" s="186">
        <v>0</v>
      </c>
      <c r="Y604" s="135" t="s">
        <v>4</v>
      </c>
    </row>
    <row r="605" spans="2:25" ht="15" customHeight="1" outlineLevel="1">
      <c r="B605" s="204" t="s">
        <v>140</v>
      </c>
      <c r="C605" s="242" t="s">
        <v>26</v>
      </c>
      <c r="D605" s="252"/>
      <c r="E605" s="62"/>
      <c r="F605" s="62"/>
      <c r="G605" s="62"/>
      <c r="H605" s="82">
        <v>116.7</v>
      </c>
      <c r="I605" s="82">
        <v>16.399999999999999</v>
      </c>
      <c r="J605" s="82">
        <v>0</v>
      </c>
      <c r="K605" s="82">
        <v>0</v>
      </c>
      <c r="L605" s="82">
        <v>0</v>
      </c>
      <c r="M605" s="82">
        <v>0</v>
      </c>
      <c r="N605" s="82">
        <v>0</v>
      </c>
      <c r="O605" s="82">
        <v>0</v>
      </c>
      <c r="P605" s="82">
        <v>0</v>
      </c>
      <c r="Q605" s="82">
        <v>0</v>
      </c>
      <c r="R605" s="186">
        <v>0</v>
      </c>
      <c r="S605" s="186">
        <v>0</v>
      </c>
      <c r="T605" s="186">
        <v>0</v>
      </c>
      <c r="U605" s="186">
        <v>0</v>
      </c>
      <c r="V605" s="186">
        <v>0</v>
      </c>
      <c r="W605" s="186">
        <v>0</v>
      </c>
      <c r="X605" s="186">
        <v>0</v>
      </c>
      <c r="Y605" s="135" t="s">
        <v>4</v>
      </c>
    </row>
    <row r="606" spans="2:25" ht="15" customHeight="1" outlineLevel="1">
      <c r="B606" s="204" t="s">
        <v>141</v>
      </c>
      <c r="C606" s="242" t="s">
        <v>26</v>
      </c>
      <c r="D606" s="252"/>
      <c r="E606" s="62"/>
      <c r="F606" s="62"/>
      <c r="G606" s="62"/>
      <c r="H606" s="82">
        <v>105.5</v>
      </c>
      <c r="I606" s="82">
        <v>-0.7</v>
      </c>
      <c r="J606" s="82">
        <v>109.2</v>
      </c>
      <c r="K606" s="82">
        <v>8</v>
      </c>
      <c r="L606" s="82">
        <v>-10</v>
      </c>
      <c r="M606" s="82">
        <v>105</v>
      </c>
      <c r="N606" s="82">
        <v>7</v>
      </c>
      <c r="O606" s="82">
        <v>25</v>
      </c>
      <c r="P606" s="82">
        <v>55</v>
      </c>
      <c r="Q606" s="82">
        <v>-59</v>
      </c>
      <c r="R606" s="531">
        <f>R540</f>
        <v>-261</v>
      </c>
      <c r="S606" s="531">
        <f t="shared" ref="S606:X606" si="1359">S540</f>
        <v>-77.783333333333331</v>
      </c>
      <c r="T606" s="531">
        <f t="shared" si="1359"/>
        <v>-77.783333333333331</v>
      </c>
      <c r="U606" s="531">
        <f t="shared" si="1359"/>
        <v>-77.783333333333331</v>
      </c>
      <c r="V606" s="531">
        <f t="shared" si="1359"/>
        <v>-77.783333333333331</v>
      </c>
      <c r="W606" s="531">
        <f t="shared" si="1359"/>
        <v>-77.783333333333331</v>
      </c>
      <c r="X606" s="531">
        <f t="shared" si="1359"/>
        <v>-77.783333333333331</v>
      </c>
      <c r="Y606" s="135" t="s">
        <v>4</v>
      </c>
    </row>
    <row r="607" spans="2:25" ht="15" customHeight="1" outlineLevel="1">
      <c r="B607" s="244" t="s">
        <v>142</v>
      </c>
      <c r="C607" s="243" t="s">
        <v>26</v>
      </c>
      <c r="D607" s="253"/>
      <c r="E607" s="63"/>
      <c r="F607" s="63"/>
      <c r="G607" s="63"/>
      <c r="H607" s="249">
        <v>51.8</v>
      </c>
      <c r="I607" s="249">
        <v>42</v>
      </c>
      <c r="J607" s="249">
        <v>55</v>
      </c>
      <c r="K607" s="249">
        <v>55</v>
      </c>
      <c r="L607" s="249">
        <v>74</v>
      </c>
      <c r="M607" s="249">
        <v>84</v>
      </c>
      <c r="N607" s="249">
        <v>102</v>
      </c>
      <c r="O607" s="249">
        <v>136</v>
      </c>
      <c r="P607" s="249">
        <v>194</v>
      </c>
      <c r="Q607" s="249">
        <v>172</v>
      </c>
      <c r="R607" s="441">
        <f>-R514</f>
        <v>257.4879649220847</v>
      </c>
      <c r="S607" s="441">
        <f t="shared" ref="S607:X607" si="1360">-S514</f>
        <v>229.49035580211171</v>
      </c>
      <c r="T607" s="441">
        <f t="shared" si="1360"/>
        <v>278.37655298216839</v>
      </c>
      <c r="U607" s="441">
        <f t="shared" si="1360"/>
        <v>316.47347330708408</v>
      </c>
      <c r="V607" s="441">
        <f t="shared" si="1360"/>
        <v>363.88601969177404</v>
      </c>
      <c r="W607" s="441">
        <f t="shared" si="1360"/>
        <v>423.91000702382502</v>
      </c>
      <c r="X607" s="441">
        <f t="shared" si="1360"/>
        <v>501.13906646159421</v>
      </c>
      <c r="Y607" s="135" t="s">
        <v>4</v>
      </c>
    </row>
    <row r="608" spans="2:25" ht="15" customHeight="1" outlineLevel="1">
      <c r="B608" s="6"/>
      <c r="D608" s="24"/>
      <c r="E608" s="24"/>
      <c r="F608" s="24"/>
      <c r="G608" s="24"/>
      <c r="H608" s="24"/>
      <c r="I608" s="24"/>
      <c r="J608" s="24"/>
      <c r="K608" s="24"/>
      <c r="L608" s="24"/>
      <c r="M608" s="24"/>
      <c r="N608" s="24"/>
      <c r="O608" s="24"/>
      <c r="P608" s="24"/>
      <c r="Q608" s="24"/>
      <c r="R608" s="24"/>
      <c r="S608" s="24"/>
      <c r="T608" s="24"/>
      <c r="U608" s="24"/>
      <c r="V608" s="24"/>
      <c r="W608" s="24"/>
      <c r="X608" s="24"/>
      <c r="Y608" s="135" t="s">
        <v>4</v>
      </c>
    </row>
    <row r="609" spans="2:25" ht="15" customHeight="1" outlineLevel="1">
      <c r="B609" s="237" t="s">
        <v>143</v>
      </c>
      <c r="C609" s="238" t="s">
        <v>26</v>
      </c>
      <c r="D609" s="250"/>
      <c r="E609" s="250"/>
      <c r="F609" s="250"/>
      <c r="G609" s="250"/>
      <c r="H609" s="239">
        <f t="shared" ref="H609:X609" si="1361">H594+H598</f>
        <v>1666.3999999999999</v>
      </c>
      <c r="I609" s="239">
        <f t="shared" si="1361"/>
        <v>1888.6000000000001</v>
      </c>
      <c r="J609" s="239">
        <f t="shared" si="1361"/>
        <v>2145.0000000000005</v>
      </c>
      <c r="K609" s="239">
        <f t="shared" si="1361"/>
        <v>2212.1</v>
      </c>
      <c r="L609" s="239">
        <f t="shared" si="1361"/>
        <v>2304</v>
      </c>
      <c r="M609" s="239">
        <f t="shared" si="1361"/>
        <v>1864</v>
      </c>
      <c r="N609" s="239">
        <f t="shared" si="1361"/>
        <v>2248</v>
      </c>
      <c r="O609" s="239">
        <f t="shared" si="1361"/>
        <v>2378</v>
      </c>
      <c r="P609" s="239">
        <f t="shared" si="1361"/>
        <v>2554</v>
      </c>
      <c r="Q609" s="239">
        <f t="shared" si="1361"/>
        <v>2785</v>
      </c>
      <c r="R609" s="239">
        <f t="shared" si="1361"/>
        <v>3037.7832007238976</v>
      </c>
      <c r="S609" s="239">
        <f t="shared" si="1361"/>
        <v>3104.5690207068264</v>
      </c>
      <c r="T609" s="239">
        <f t="shared" si="1361"/>
        <v>3584.7538033796905</v>
      </c>
      <c r="U609" s="239">
        <f t="shared" si="1361"/>
        <v>3987.0313138727724</v>
      </c>
      <c r="V609" s="239">
        <f t="shared" si="1361"/>
        <v>4608.7066598734382</v>
      </c>
      <c r="W609" s="239">
        <f t="shared" si="1361"/>
        <v>5443.5741229183559</v>
      </c>
      <c r="X609" s="239">
        <f t="shared" si="1361"/>
        <v>6557.841953434704</v>
      </c>
      <c r="Y609" s="135" t="s">
        <v>4</v>
      </c>
    </row>
    <row r="610" spans="2:25" ht="15" customHeight="1" outlineLevel="1">
      <c r="B610" s="6" t="s">
        <v>27</v>
      </c>
      <c r="C610" s="1" t="s">
        <v>21</v>
      </c>
      <c r="D610" s="72"/>
      <c r="E610" s="72"/>
      <c r="F610" s="72"/>
      <c r="G610" s="72"/>
      <c r="H610" s="24" t="str">
        <f t="shared" ref="H610" si="1362">IFERROR(H609/G609-1,"n.m.")</f>
        <v>n.m.</v>
      </c>
      <c r="I610" s="24">
        <f t="shared" ref="I610" si="1363">IFERROR(I609/H609-1,"n.m.")</f>
        <v>0.13334133461353836</v>
      </c>
      <c r="J610" s="24">
        <f t="shared" ref="J610" si="1364">IFERROR(J609/I609-1,"n.m.")</f>
        <v>0.13576194006142139</v>
      </c>
      <c r="K610" s="24">
        <f t="shared" ref="K610" si="1365">IFERROR(K609/J609-1,"n.m.")</f>
        <v>3.1282051282051082E-2</v>
      </c>
      <c r="L610" s="24">
        <f t="shared" ref="L610" si="1366">IFERROR(L609/K609-1,"n.m.")</f>
        <v>4.1544233985805423E-2</v>
      </c>
      <c r="M610" s="24">
        <f t="shared" ref="M610" si="1367">IFERROR(M609/L609-1,"n.m.")</f>
        <v>-0.19097222222222221</v>
      </c>
      <c r="N610" s="24">
        <f t="shared" ref="N610" si="1368">IFERROR(N609/M609-1,"n.m.")</f>
        <v>0.20600858369098707</v>
      </c>
      <c r="O610" s="24">
        <f t="shared" ref="O610" si="1369">IFERROR(O609/N609-1,"n.m.")</f>
        <v>5.7829181494661874E-2</v>
      </c>
      <c r="P610" s="24">
        <f t="shared" ref="P610" si="1370">IFERROR(P609/O609-1,"n.m.")</f>
        <v>7.4011774600504676E-2</v>
      </c>
      <c r="Q610" s="24">
        <f t="shared" ref="Q610" si="1371">IFERROR(Q609/P609-1,"n.m.")</f>
        <v>9.0446358653093251E-2</v>
      </c>
      <c r="R610" s="24">
        <f t="shared" ref="R610" si="1372">IFERROR(R609/Q609-1,"n.m.")</f>
        <v>9.0765960762620335E-2</v>
      </c>
      <c r="S610" s="24">
        <f t="shared" ref="S610" si="1373">IFERROR(S609/R609-1,"n.m.")</f>
        <v>2.1985051456935301E-2</v>
      </c>
      <c r="T610" s="24">
        <f t="shared" ref="T610" si="1374">IFERROR(T609/S609-1,"n.m.")</f>
        <v>0.15467035181699362</v>
      </c>
      <c r="U610" s="24">
        <f t="shared" ref="U610" si="1375">IFERROR(U609/T609-1,"n.m.")</f>
        <v>0.11221900653646455</v>
      </c>
      <c r="V610" s="24">
        <f t="shared" ref="V610" si="1376">IFERROR(V609/U609-1,"n.m.")</f>
        <v>0.15592437005386994</v>
      </c>
      <c r="W610" s="24">
        <f t="shared" ref="W610:X610" si="1377">IFERROR(W609/V609-1,"n.m.")</f>
        <v>0.18115005459424149</v>
      </c>
      <c r="X610" s="24">
        <f t="shared" si="1377"/>
        <v>0.20469415963770832</v>
      </c>
      <c r="Y610" s="135" t="s">
        <v>4</v>
      </c>
    </row>
    <row r="611" spans="2:25" ht="15" customHeight="1" outlineLevel="1">
      <c r="B611" s="6" t="s">
        <v>132</v>
      </c>
      <c r="C611" s="1" t="s">
        <v>21</v>
      </c>
      <c r="D611" s="72"/>
      <c r="E611" s="72"/>
      <c r="F611" s="72"/>
      <c r="G611" s="72"/>
      <c r="H611" s="24">
        <f t="shared" ref="H611:W611" si="1378">H609/H$432</f>
        <v>0.41123340407679776</v>
      </c>
      <c r="I611" s="24">
        <f t="shared" si="1378"/>
        <v>0.45554537121906508</v>
      </c>
      <c r="J611" s="24">
        <f t="shared" si="1378"/>
        <v>0.46873975656126404</v>
      </c>
      <c r="K611" s="24">
        <f t="shared" si="1378"/>
        <v>0.41293634496919918</v>
      </c>
      <c r="L611" s="24">
        <f t="shared" si="1378"/>
        <v>0.41120828127788683</v>
      </c>
      <c r="M611" s="24">
        <f t="shared" si="1378"/>
        <v>0.37520128824476651</v>
      </c>
      <c r="N611" s="24">
        <f t="shared" si="1378"/>
        <v>0.39170587210315388</v>
      </c>
      <c r="O611" s="24">
        <f t="shared" si="1378"/>
        <v>0.36556495003843198</v>
      </c>
      <c r="P611" s="24">
        <f t="shared" si="1378"/>
        <v>0.36371404158359444</v>
      </c>
      <c r="Q611" s="24">
        <f t="shared" si="1378"/>
        <v>0.33131096835593621</v>
      </c>
      <c r="R611" s="24">
        <f t="shared" si="1378"/>
        <v>0.22297780989901819</v>
      </c>
      <c r="S611" s="24">
        <f t="shared" si="1378"/>
        <v>0.28590063537991911</v>
      </c>
      <c r="T611" s="24">
        <f t="shared" si="1378"/>
        <v>0.2721478587459808</v>
      </c>
      <c r="U611" s="24">
        <f t="shared" si="1378"/>
        <v>0.2662505866866407</v>
      </c>
      <c r="V611" s="24">
        <f t="shared" si="1378"/>
        <v>0.2676652156795612</v>
      </c>
      <c r="W611" s="24">
        <f t="shared" si="1378"/>
        <v>0.27138679511957736</v>
      </c>
      <c r="X611" s="24">
        <f t="shared" ref="X611" si="1379">X609/X$432</f>
        <v>0.27655462538656461</v>
      </c>
      <c r="Y611" s="135" t="s">
        <v>4</v>
      </c>
    </row>
    <row r="612" spans="2:25" ht="15" customHeight="1" outlineLevel="1">
      <c r="B612" s="6"/>
      <c r="D612" s="24"/>
      <c r="E612" s="24"/>
      <c r="F612" s="24"/>
      <c r="G612" s="24"/>
      <c r="H612" s="24"/>
      <c r="I612" s="24"/>
      <c r="J612" s="24"/>
      <c r="K612" s="24"/>
      <c r="L612" s="24"/>
      <c r="M612" s="24"/>
      <c r="N612" s="24"/>
      <c r="O612" s="24"/>
      <c r="P612" s="24"/>
      <c r="Q612" s="24"/>
      <c r="R612" s="24"/>
      <c r="S612" s="24"/>
      <c r="T612" s="24"/>
      <c r="U612" s="24"/>
      <c r="V612" s="24"/>
      <c r="W612" s="24"/>
      <c r="X612" s="24"/>
      <c r="Y612" s="135" t="s">
        <v>4</v>
      </c>
    </row>
    <row r="613" spans="2:25" ht="15" customHeight="1" outlineLevel="1">
      <c r="B613" s="240" t="s">
        <v>144</v>
      </c>
      <c r="C613" s="241" t="s">
        <v>26</v>
      </c>
      <c r="D613" s="251"/>
      <c r="E613" s="251"/>
      <c r="F613" s="251"/>
      <c r="G613" s="251"/>
      <c r="H613" s="248">
        <f t="shared" ref="H613:X613" si="1380">SUM(H614:H618)</f>
        <v>123.2</v>
      </c>
      <c r="I613" s="248">
        <f t="shared" si="1380"/>
        <v>-8.6999999999999993</v>
      </c>
      <c r="J613" s="248">
        <f t="shared" si="1380"/>
        <v>172</v>
      </c>
      <c r="K613" s="248">
        <f t="shared" si="1380"/>
        <v>15</v>
      </c>
      <c r="L613" s="248">
        <f t="shared" si="1380"/>
        <v>1</v>
      </c>
      <c r="M613" s="248">
        <f t="shared" si="1380"/>
        <v>153</v>
      </c>
      <c r="N613" s="248">
        <f t="shared" si="1380"/>
        <v>50</v>
      </c>
      <c r="O613" s="248">
        <f t="shared" si="1380"/>
        <v>108</v>
      </c>
      <c r="P613" s="248">
        <f t="shared" si="1380"/>
        <v>80</v>
      </c>
      <c r="Q613" s="248">
        <f>SUM(Q614:Q618)</f>
        <v>-90</v>
      </c>
      <c r="R613" s="248">
        <f t="shared" si="1380"/>
        <v>-219</v>
      </c>
      <c r="S613" s="248">
        <f t="shared" si="1380"/>
        <v>-29.86666666666666</v>
      </c>
      <c r="T613" s="248">
        <f t="shared" si="1380"/>
        <v>-27.924166666666657</v>
      </c>
      <c r="U613" s="248">
        <f t="shared" si="1380"/>
        <v>-25.884541666666657</v>
      </c>
      <c r="V613" s="248">
        <f t="shared" si="1380"/>
        <v>-32.309360416666657</v>
      </c>
      <c r="W613" s="248">
        <f t="shared" si="1380"/>
        <v>-37.770456354166662</v>
      </c>
      <c r="X613" s="248">
        <f t="shared" si="1380"/>
        <v>-42.412387901041662</v>
      </c>
      <c r="Y613" s="135" t="s">
        <v>4</v>
      </c>
    </row>
    <row r="614" spans="2:25" ht="15" customHeight="1" outlineLevel="1">
      <c r="B614" s="204" t="s">
        <v>134</v>
      </c>
      <c r="C614" s="242" t="s">
        <v>26</v>
      </c>
      <c r="D614" s="252"/>
      <c r="E614" s="62"/>
      <c r="F614" s="62"/>
      <c r="G614" s="62"/>
      <c r="H614" s="42">
        <f t="shared" ref="H614:X614" si="1381">H599</f>
        <v>0</v>
      </c>
      <c r="I614" s="42">
        <f t="shared" si="1381"/>
        <v>0</v>
      </c>
      <c r="J614" s="42">
        <f t="shared" si="1381"/>
        <v>0</v>
      </c>
      <c r="K614" s="42">
        <f t="shared" si="1381"/>
        <v>0</v>
      </c>
      <c r="L614" s="42">
        <f t="shared" si="1381"/>
        <v>0</v>
      </c>
      <c r="M614" s="42">
        <f t="shared" si="1381"/>
        <v>0</v>
      </c>
      <c r="N614" s="42">
        <f t="shared" si="1381"/>
        <v>0</v>
      </c>
      <c r="O614" s="42">
        <f t="shared" si="1381"/>
        <v>0</v>
      </c>
      <c r="P614" s="42">
        <f t="shared" si="1381"/>
        <v>0</v>
      </c>
      <c r="Q614" s="42">
        <f t="shared" si="1381"/>
        <v>22</v>
      </c>
      <c r="R614" s="8">
        <f t="shared" si="1381"/>
        <v>37</v>
      </c>
      <c r="S614" s="8">
        <f t="shared" si="1381"/>
        <v>38.85</v>
      </c>
      <c r="T614" s="8">
        <f t="shared" si="1381"/>
        <v>40.792500000000004</v>
      </c>
      <c r="U614" s="8">
        <f t="shared" si="1381"/>
        <v>42.832125000000005</v>
      </c>
      <c r="V614" s="8">
        <f t="shared" si="1381"/>
        <v>36.407306250000005</v>
      </c>
      <c r="W614" s="8">
        <f t="shared" si="1381"/>
        <v>30.946210312500003</v>
      </c>
      <c r="X614" s="8">
        <f t="shared" si="1381"/>
        <v>26.304278765625003</v>
      </c>
      <c r="Y614" s="135" t="s">
        <v>4</v>
      </c>
    </row>
    <row r="615" spans="2:25" ht="15" customHeight="1" outlineLevel="1">
      <c r="B615" s="204" t="s">
        <v>135</v>
      </c>
      <c r="C615" s="242" t="s">
        <v>26</v>
      </c>
      <c r="D615" s="252"/>
      <c r="E615" s="62"/>
      <c r="F615" s="62"/>
      <c r="G615" s="62"/>
      <c r="H615" s="42">
        <f t="shared" ref="H615:X615" si="1382">H600</f>
        <v>0</v>
      </c>
      <c r="I615" s="42">
        <f t="shared" si="1382"/>
        <v>0</v>
      </c>
      <c r="J615" s="42">
        <f t="shared" si="1382"/>
        <v>0</v>
      </c>
      <c r="K615" s="42">
        <f t="shared" si="1382"/>
        <v>0</v>
      </c>
      <c r="L615" s="42">
        <f t="shared" si="1382"/>
        <v>0</v>
      </c>
      <c r="M615" s="42">
        <f t="shared" si="1382"/>
        <v>0</v>
      </c>
      <c r="N615" s="42">
        <f t="shared" si="1382"/>
        <v>18</v>
      </c>
      <c r="O615" s="42">
        <f t="shared" si="1382"/>
        <v>24</v>
      </c>
      <c r="P615" s="42">
        <f t="shared" si="1382"/>
        <v>19</v>
      </c>
      <c r="Q615" s="42">
        <f t="shared" si="1382"/>
        <v>0</v>
      </c>
      <c r="R615" s="8">
        <f t="shared" si="1382"/>
        <v>0</v>
      </c>
      <c r="S615" s="8">
        <f t="shared" si="1382"/>
        <v>0</v>
      </c>
      <c r="T615" s="8">
        <f t="shared" si="1382"/>
        <v>0</v>
      </c>
      <c r="U615" s="8">
        <f t="shared" si="1382"/>
        <v>0</v>
      </c>
      <c r="V615" s="8">
        <f t="shared" si="1382"/>
        <v>0</v>
      </c>
      <c r="W615" s="8">
        <f t="shared" si="1382"/>
        <v>0</v>
      </c>
      <c r="X615" s="8">
        <f t="shared" si="1382"/>
        <v>0</v>
      </c>
      <c r="Y615" s="135" t="s">
        <v>4</v>
      </c>
    </row>
    <row r="616" spans="2:25" ht="15" customHeight="1" outlineLevel="1">
      <c r="B616" s="204" t="s">
        <v>137</v>
      </c>
      <c r="C616" s="242" t="s">
        <v>26</v>
      </c>
      <c r="D616" s="252"/>
      <c r="E616" s="62"/>
      <c r="F616" s="62"/>
      <c r="G616" s="62"/>
      <c r="H616" s="42">
        <f t="shared" ref="H616:X616" si="1383">H602</f>
        <v>17.7</v>
      </c>
      <c r="I616" s="42">
        <f t="shared" si="1383"/>
        <v>-8</v>
      </c>
      <c r="J616" s="42">
        <f t="shared" si="1383"/>
        <v>1.1000000000000001</v>
      </c>
      <c r="K616" s="42">
        <f t="shared" si="1383"/>
        <v>-3</v>
      </c>
      <c r="L616" s="42">
        <f t="shared" si="1383"/>
        <v>11</v>
      </c>
      <c r="M616" s="42">
        <f t="shared" si="1383"/>
        <v>48</v>
      </c>
      <c r="N616" s="42">
        <f t="shared" si="1383"/>
        <v>25</v>
      </c>
      <c r="O616" s="42">
        <f t="shared" si="1383"/>
        <v>59</v>
      </c>
      <c r="P616" s="42">
        <f t="shared" si="1383"/>
        <v>6</v>
      </c>
      <c r="Q616" s="42">
        <f t="shared" si="1383"/>
        <v>-53</v>
      </c>
      <c r="R616" s="42">
        <f t="shared" si="1383"/>
        <v>5</v>
      </c>
      <c r="S616" s="42">
        <f t="shared" si="1383"/>
        <v>9.0666666666666682</v>
      </c>
      <c r="T616" s="42">
        <f t="shared" si="1383"/>
        <v>9.0666666666666682</v>
      </c>
      <c r="U616" s="42">
        <f t="shared" si="1383"/>
        <v>9.0666666666666682</v>
      </c>
      <c r="V616" s="42">
        <f t="shared" si="1383"/>
        <v>9.0666666666666682</v>
      </c>
      <c r="W616" s="122">
        <f t="shared" si="1383"/>
        <v>9.0666666666666682</v>
      </c>
      <c r="X616" s="122">
        <f t="shared" si="1383"/>
        <v>9.0666666666666682</v>
      </c>
      <c r="Y616" s="135" t="s">
        <v>4</v>
      </c>
    </row>
    <row r="617" spans="2:25" ht="15" customHeight="1" outlineLevel="1">
      <c r="B617" s="204" t="s">
        <v>138</v>
      </c>
      <c r="C617" s="242" t="s">
        <v>26</v>
      </c>
      <c r="D617" s="252"/>
      <c r="E617" s="62"/>
      <c r="F617" s="62"/>
      <c r="G617" s="62"/>
      <c r="H617" s="42">
        <f t="shared" ref="H617:X617" si="1384">H603</f>
        <v>0</v>
      </c>
      <c r="I617" s="42">
        <f t="shared" si="1384"/>
        <v>0</v>
      </c>
      <c r="J617" s="42">
        <f t="shared" si="1384"/>
        <v>61.7</v>
      </c>
      <c r="K617" s="42">
        <f t="shared" si="1384"/>
        <v>10</v>
      </c>
      <c r="L617" s="42">
        <f t="shared" si="1384"/>
        <v>0</v>
      </c>
      <c r="M617" s="42">
        <f t="shared" si="1384"/>
        <v>0</v>
      </c>
      <c r="N617" s="42">
        <f t="shared" si="1384"/>
        <v>0</v>
      </c>
      <c r="O617" s="42">
        <f t="shared" si="1384"/>
        <v>0</v>
      </c>
      <c r="P617" s="42">
        <f t="shared" si="1384"/>
        <v>0</v>
      </c>
      <c r="Q617" s="42">
        <f t="shared" si="1384"/>
        <v>0</v>
      </c>
      <c r="R617" s="8">
        <f t="shared" si="1384"/>
        <v>0</v>
      </c>
      <c r="S617" s="8">
        <f t="shared" si="1384"/>
        <v>0</v>
      </c>
      <c r="T617" s="8">
        <f t="shared" si="1384"/>
        <v>0</v>
      </c>
      <c r="U617" s="8">
        <f t="shared" si="1384"/>
        <v>0</v>
      </c>
      <c r="V617" s="8">
        <f t="shared" si="1384"/>
        <v>0</v>
      </c>
      <c r="W617" s="8">
        <f t="shared" si="1384"/>
        <v>0</v>
      </c>
      <c r="X617" s="8">
        <f t="shared" si="1384"/>
        <v>0</v>
      </c>
      <c r="Y617" s="135" t="s">
        <v>4</v>
      </c>
    </row>
    <row r="618" spans="2:25" ht="15" customHeight="1" outlineLevel="1">
      <c r="B618" s="244" t="s">
        <v>141</v>
      </c>
      <c r="C618" s="243" t="s">
        <v>26</v>
      </c>
      <c r="D618" s="253"/>
      <c r="E618" s="63"/>
      <c r="F618" s="63"/>
      <c r="G618" s="63"/>
      <c r="H618" s="440">
        <f t="shared" ref="H618:X618" si="1385">H606</f>
        <v>105.5</v>
      </c>
      <c r="I618" s="440">
        <f t="shared" si="1385"/>
        <v>-0.7</v>
      </c>
      <c r="J618" s="440">
        <f t="shared" si="1385"/>
        <v>109.2</v>
      </c>
      <c r="K618" s="440">
        <f t="shared" si="1385"/>
        <v>8</v>
      </c>
      <c r="L618" s="440">
        <f t="shared" si="1385"/>
        <v>-10</v>
      </c>
      <c r="M618" s="440">
        <f t="shared" si="1385"/>
        <v>105</v>
      </c>
      <c r="N618" s="440">
        <f t="shared" si="1385"/>
        <v>7</v>
      </c>
      <c r="O618" s="440">
        <f t="shared" si="1385"/>
        <v>25</v>
      </c>
      <c r="P618" s="440">
        <f t="shared" si="1385"/>
        <v>55</v>
      </c>
      <c r="Q618" s="440">
        <f t="shared" si="1385"/>
        <v>-59</v>
      </c>
      <c r="R618" s="441">
        <f t="shared" si="1385"/>
        <v>-261</v>
      </c>
      <c r="S618" s="441">
        <f t="shared" si="1385"/>
        <v>-77.783333333333331</v>
      </c>
      <c r="T618" s="441">
        <f t="shared" si="1385"/>
        <v>-77.783333333333331</v>
      </c>
      <c r="U618" s="441">
        <f t="shared" si="1385"/>
        <v>-77.783333333333331</v>
      </c>
      <c r="V618" s="441">
        <f t="shared" si="1385"/>
        <v>-77.783333333333331</v>
      </c>
      <c r="W618" s="441">
        <f t="shared" si="1385"/>
        <v>-77.783333333333331</v>
      </c>
      <c r="X618" s="441">
        <f t="shared" si="1385"/>
        <v>-77.783333333333331</v>
      </c>
      <c r="Y618" s="135" t="s">
        <v>4</v>
      </c>
    </row>
    <row r="619" spans="2:25" ht="15" customHeight="1" outlineLevel="1">
      <c r="B619" s="6"/>
      <c r="D619" s="24"/>
      <c r="E619" s="24"/>
      <c r="F619" s="24"/>
      <c r="G619" s="24"/>
      <c r="H619" s="24"/>
      <c r="I619" s="24"/>
      <c r="J619" s="24"/>
      <c r="K619" s="24"/>
      <c r="L619" s="24"/>
      <c r="M619" s="24"/>
      <c r="N619" s="24"/>
      <c r="O619" s="24"/>
      <c r="P619" s="24"/>
      <c r="Q619" s="24"/>
      <c r="R619" s="24"/>
      <c r="S619" s="24"/>
      <c r="T619" s="24"/>
      <c r="U619" s="24"/>
      <c r="V619" s="24"/>
      <c r="W619" s="24"/>
      <c r="X619" s="24"/>
      <c r="Y619" s="135" t="s">
        <v>4</v>
      </c>
    </row>
    <row r="620" spans="2:25" ht="15" customHeight="1" outlineLevel="1">
      <c r="B620" s="237" t="s">
        <v>145</v>
      </c>
      <c r="C620" s="238" t="s">
        <v>26</v>
      </c>
      <c r="D620" s="250"/>
      <c r="E620" s="250"/>
      <c r="F620" s="250"/>
      <c r="G620" s="250"/>
      <c r="H620" s="239">
        <f t="shared" ref="H620:X620" si="1386">H594+H613</f>
        <v>1497.8999999999999</v>
      </c>
      <c r="I620" s="239">
        <f t="shared" si="1386"/>
        <v>1830.2</v>
      </c>
      <c r="J620" s="239">
        <f t="shared" si="1386"/>
        <v>2088.1000000000004</v>
      </c>
      <c r="K620" s="239">
        <f t="shared" si="1386"/>
        <v>2112.1</v>
      </c>
      <c r="L620" s="239">
        <f t="shared" si="1386"/>
        <v>2193</v>
      </c>
      <c r="M620" s="239">
        <f t="shared" si="1386"/>
        <v>1764</v>
      </c>
      <c r="N620" s="239">
        <f t="shared" si="1386"/>
        <v>2130</v>
      </c>
      <c r="O620" s="239">
        <f t="shared" si="1386"/>
        <v>2196</v>
      </c>
      <c r="P620" s="239">
        <f t="shared" si="1386"/>
        <v>2322</v>
      </c>
      <c r="Q620" s="239">
        <f t="shared" si="1386"/>
        <v>2593</v>
      </c>
      <c r="R620" s="239">
        <f t="shared" si="1386"/>
        <v>2766.2952358018129</v>
      </c>
      <c r="S620" s="239">
        <f t="shared" si="1386"/>
        <v>2860.7986649047148</v>
      </c>
      <c r="T620" s="239">
        <f t="shared" si="1386"/>
        <v>3291.811650397522</v>
      </c>
      <c r="U620" s="239">
        <f t="shared" si="1386"/>
        <v>3655.7009285656882</v>
      </c>
      <c r="V620" s="239">
        <f t="shared" si="1386"/>
        <v>4229.6665899416639</v>
      </c>
      <c r="W620" s="239">
        <f t="shared" si="1386"/>
        <v>5004.2069846497307</v>
      </c>
      <c r="X620" s="239">
        <f t="shared" si="1386"/>
        <v>6040.9366131034139</v>
      </c>
      <c r="Y620" s="135" t="s">
        <v>4</v>
      </c>
    </row>
    <row r="621" spans="2:25" ht="15" customHeight="1" outlineLevel="1">
      <c r="B621" s="6" t="s">
        <v>27</v>
      </c>
      <c r="C621" s="1" t="s">
        <v>21</v>
      </c>
      <c r="D621" s="72"/>
      <c r="E621" s="72"/>
      <c r="F621" s="72"/>
      <c r="G621" s="72"/>
      <c r="H621" s="24" t="str">
        <f t="shared" ref="H621" si="1387">IFERROR(H620/G620-1,"n.m.")</f>
        <v>n.m.</v>
      </c>
      <c r="I621" s="24">
        <f t="shared" ref="I621" si="1388">IFERROR(I620/H620-1,"n.m.")</f>
        <v>0.22184391481407317</v>
      </c>
      <c r="J621" s="24">
        <f t="shared" ref="J621" si="1389">IFERROR(J620/I620-1,"n.m.")</f>
        <v>0.14091356135941435</v>
      </c>
      <c r="K621" s="24">
        <f t="shared" ref="K621" si="1390">IFERROR(K620/J620-1,"n.m.")</f>
        <v>1.149370240888814E-2</v>
      </c>
      <c r="L621" s="24">
        <f t="shared" ref="L621" si="1391">IFERROR(L620/K620-1,"n.m.")</f>
        <v>3.8303110648170158E-2</v>
      </c>
      <c r="M621" s="24">
        <f t="shared" ref="M621" si="1392">IFERROR(M620/L620-1,"n.m.")</f>
        <v>-0.19562243502051979</v>
      </c>
      <c r="N621" s="24">
        <f t="shared" ref="N621" si="1393">IFERROR(N620/M620-1,"n.m.")</f>
        <v>0.20748299319727881</v>
      </c>
      <c r="O621" s="24">
        <f t="shared" ref="O621" si="1394">IFERROR(O620/N620-1,"n.m.")</f>
        <v>3.0985915492957705E-2</v>
      </c>
      <c r="P621" s="24">
        <f t="shared" ref="P621" si="1395">IFERROR(P620/O620-1,"n.m.")</f>
        <v>5.7377049180327822E-2</v>
      </c>
      <c r="Q621" s="24">
        <f t="shared" ref="Q621" si="1396">IFERROR(Q620/P620-1,"n.m.")</f>
        <v>0.11670973298880272</v>
      </c>
      <c r="R621" s="24">
        <f t="shared" ref="R621" si="1397">IFERROR(R620/Q620-1,"n.m.")</f>
        <v>6.6831945932052772E-2</v>
      </c>
      <c r="S621" s="24">
        <f t="shared" ref="S621" si="1398">IFERROR(S620/R620-1,"n.m.")</f>
        <v>3.4162452322450632E-2</v>
      </c>
      <c r="T621" s="24">
        <f t="shared" ref="T621" si="1399">IFERROR(T620/S620-1,"n.m.")</f>
        <v>0.15066176826084443</v>
      </c>
      <c r="U621" s="24">
        <f t="shared" ref="U621" si="1400">IFERROR(U620/T620-1,"n.m.")</f>
        <v>0.11054377249203262</v>
      </c>
      <c r="V621" s="24">
        <f t="shared" ref="V621" si="1401">IFERROR(V620/U620-1,"n.m.")</f>
        <v>0.15700563929915634</v>
      </c>
      <c r="W621" s="24">
        <f t="shared" ref="W621:X621" si="1402">IFERROR(W620/V620-1,"n.m.")</f>
        <v>0.18312090994357777</v>
      </c>
      <c r="X621" s="24">
        <f t="shared" si="1402"/>
        <v>0.20717161213231661</v>
      </c>
      <c r="Y621" s="135" t="s">
        <v>4</v>
      </c>
    </row>
    <row r="622" spans="2:25" ht="15" customHeight="1" outlineLevel="1">
      <c r="B622" s="6" t="s">
        <v>132</v>
      </c>
      <c r="C622" s="1" t="s">
        <v>21</v>
      </c>
      <c r="D622" s="72"/>
      <c r="E622" s="72"/>
      <c r="F622" s="72"/>
      <c r="G622" s="72"/>
      <c r="H622" s="24">
        <f t="shared" ref="H622:W622" si="1403">H620/H$432</f>
        <v>0.36965105374858098</v>
      </c>
      <c r="I622" s="24">
        <f t="shared" si="1403"/>
        <v>0.44145882579960444</v>
      </c>
      <c r="J622" s="24">
        <f t="shared" si="1403"/>
        <v>0.45630558772754098</v>
      </c>
      <c r="K622" s="24">
        <f t="shared" si="1403"/>
        <v>0.3942691805114803</v>
      </c>
      <c r="L622" s="24">
        <f t="shared" si="1403"/>
        <v>0.39139746564340533</v>
      </c>
      <c r="M622" s="24">
        <f t="shared" si="1403"/>
        <v>0.35507246376811596</v>
      </c>
      <c r="N622" s="24">
        <f t="shared" si="1403"/>
        <v>0.37114479874542605</v>
      </c>
      <c r="O622" s="24">
        <f t="shared" si="1403"/>
        <v>0.33758647194465796</v>
      </c>
      <c r="P622" s="24">
        <f t="shared" si="1403"/>
        <v>0.33067502136143551</v>
      </c>
      <c r="Q622" s="24">
        <f t="shared" si="1403"/>
        <v>0.30847014037592196</v>
      </c>
      <c r="R622" s="24">
        <f t="shared" si="1403"/>
        <v>0.20305018905436989</v>
      </c>
      <c r="S622" s="24">
        <f t="shared" si="1403"/>
        <v>0.26345175466708343</v>
      </c>
      <c r="T622" s="24">
        <f t="shared" si="1403"/>
        <v>0.24990823392282793</v>
      </c>
      <c r="U622" s="24">
        <f t="shared" si="1403"/>
        <v>0.24412462314876396</v>
      </c>
      <c r="V622" s="24">
        <f t="shared" si="1403"/>
        <v>0.2456512647911637</v>
      </c>
      <c r="W622" s="24">
        <f t="shared" si="1403"/>
        <v>0.24948235571209901</v>
      </c>
      <c r="X622" s="24">
        <f t="shared" ref="X622" si="1404">X620/X$432</f>
        <v>0.25475590504979856</v>
      </c>
      <c r="Y622" s="135" t="s">
        <v>4</v>
      </c>
    </row>
    <row r="623" spans="2:25" ht="15" customHeight="1" outlineLevel="1" thickBot="1">
      <c r="B623" s="245"/>
      <c r="C623" s="246"/>
      <c r="D623" s="247"/>
      <c r="E623" s="247"/>
      <c r="F623" s="247"/>
      <c r="G623" s="247"/>
      <c r="H623" s="247"/>
      <c r="I623" s="247"/>
      <c r="J623" s="247"/>
      <c r="K623" s="247"/>
      <c r="L623" s="247"/>
      <c r="M623" s="247"/>
      <c r="N623" s="247"/>
      <c r="O623" s="247"/>
      <c r="P623" s="247"/>
      <c r="Q623" s="247"/>
      <c r="R623" s="247"/>
      <c r="S623" s="247"/>
      <c r="T623" s="247"/>
      <c r="U623" s="247"/>
      <c r="V623" s="247"/>
      <c r="W623" s="247"/>
      <c r="X623" s="247"/>
      <c r="Y623" s="135" t="s">
        <v>4</v>
      </c>
    </row>
    <row r="624" spans="2:25" ht="15" customHeight="1" outlineLevel="1">
      <c r="Y624" s="135" t="s">
        <v>4</v>
      </c>
    </row>
    <row r="625" spans="2:25" ht="15" customHeight="1" outlineLevel="1">
      <c r="B625" s="237" t="s">
        <v>146</v>
      </c>
      <c r="C625" s="238" t="s">
        <v>26</v>
      </c>
      <c r="D625" s="250"/>
      <c r="E625" s="250"/>
      <c r="F625" s="250"/>
      <c r="G625" s="250"/>
      <c r="H625" s="239">
        <f t="shared" ref="H625:X625" si="1405">H578</f>
        <v>512.19999999999982</v>
      </c>
      <c r="I625" s="239">
        <f t="shared" si="1405"/>
        <v>956.00000000000011</v>
      </c>
      <c r="J625" s="239">
        <f t="shared" si="1405"/>
        <v>1234.6000000000006</v>
      </c>
      <c r="K625" s="239">
        <f t="shared" si="1405"/>
        <v>1144.0999999999999</v>
      </c>
      <c r="L625" s="239">
        <f t="shared" si="1405"/>
        <v>1111</v>
      </c>
      <c r="M625" s="239">
        <f t="shared" si="1405"/>
        <v>750</v>
      </c>
      <c r="N625" s="239">
        <f t="shared" si="1405"/>
        <v>1253</v>
      </c>
      <c r="O625" s="239">
        <f t="shared" si="1405"/>
        <v>1482</v>
      </c>
      <c r="P625" s="239">
        <f t="shared" si="1405"/>
        <v>1718</v>
      </c>
      <c r="Q625" s="239">
        <f t="shared" si="1405"/>
        <v>1445</v>
      </c>
      <c r="R625" s="239">
        <f t="shared" si="1405"/>
        <v>1950.6244778306996</v>
      </c>
      <c r="S625" s="239">
        <f t="shared" si="1405"/>
        <v>1739.0140323659598</v>
      </c>
      <c r="T625" s="239">
        <f t="shared" si="1405"/>
        <v>2124.4933153187194</v>
      </c>
      <c r="U625" s="239">
        <f t="shared" si="1405"/>
        <v>2467.6021013608724</v>
      </c>
      <c r="V625" s="239">
        <f t="shared" si="1405"/>
        <v>2955.1612987031444</v>
      </c>
      <c r="W625" s="239">
        <f t="shared" si="1405"/>
        <v>3588.0750477503916</v>
      </c>
      <c r="X625" s="239">
        <f t="shared" si="1405"/>
        <v>4366.8153521923768</v>
      </c>
      <c r="Y625" s="135" t="s">
        <v>4</v>
      </c>
    </row>
    <row r="626" spans="2:25" ht="15" customHeight="1" outlineLevel="1">
      <c r="B626" s="6" t="s">
        <v>27</v>
      </c>
      <c r="C626" s="1" t="s">
        <v>21</v>
      </c>
      <c r="D626" s="72"/>
      <c r="E626" s="72"/>
      <c r="F626" s="72"/>
      <c r="G626" s="72"/>
      <c r="H626" s="24" t="str">
        <f t="shared" ref="H626" si="1406">IFERROR(H625/G625-1,"n.m.")</f>
        <v>n.m.</v>
      </c>
      <c r="I626" s="24">
        <f t="shared" ref="I626" si="1407">IFERROR(I625/H625-1,"n.m.")</f>
        <v>0.86645841468176577</v>
      </c>
      <c r="J626" s="24">
        <f t="shared" ref="J626" si="1408">IFERROR(J625/I625-1,"n.m.")</f>
        <v>0.29142259414225991</v>
      </c>
      <c r="K626" s="24">
        <f t="shared" ref="K626" si="1409">IFERROR(K625/J625-1,"n.m.")</f>
        <v>-7.330309411955338E-2</v>
      </c>
      <c r="L626" s="24">
        <f t="shared" ref="L626" si="1410">IFERROR(L625/K625-1,"n.m.")</f>
        <v>-2.8931037496722212E-2</v>
      </c>
      <c r="M626" s="24">
        <f t="shared" ref="M626" si="1411">IFERROR(M625/L625-1,"n.m.")</f>
        <v>-0.32493249324932494</v>
      </c>
      <c r="N626" s="24">
        <f t="shared" ref="N626" si="1412">IFERROR(N625/M625-1,"n.m.")</f>
        <v>0.67066666666666674</v>
      </c>
      <c r="O626" s="24">
        <f t="shared" ref="O626" si="1413">IFERROR(O625/N625-1,"n.m.")</f>
        <v>0.18276137270550685</v>
      </c>
      <c r="P626" s="24">
        <f t="shared" ref="P626" si="1414">IFERROR(P625/O625-1,"n.m.")</f>
        <v>0.15924426450742235</v>
      </c>
      <c r="Q626" s="24">
        <f t="shared" ref="Q626" si="1415">IFERROR(Q625/P625-1,"n.m.")</f>
        <v>-0.15890570430733408</v>
      </c>
      <c r="R626" s="24">
        <f t="shared" ref="R626" si="1416">IFERROR(R625/Q625-1,"n.m.")</f>
        <v>0.34991313344685082</v>
      </c>
      <c r="S626" s="24">
        <f t="shared" ref="S626" si="1417">IFERROR(S625/R625-1,"n.m.")</f>
        <v>-0.10848343587899245</v>
      </c>
      <c r="T626" s="24">
        <f t="shared" ref="T626" si="1418">IFERROR(T625/S625-1,"n.m.")</f>
        <v>0.2216654240726903</v>
      </c>
      <c r="U626" s="24">
        <f t="shared" ref="U626" si="1419">IFERROR(U625/T625-1,"n.m.")</f>
        <v>0.16150146652293862</v>
      </c>
      <c r="V626" s="24">
        <f t="shared" ref="V626" si="1420">IFERROR(V625/U625-1,"n.m.")</f>
        <v>0.1975842041443332</v>
      </c>
      <c r="W626" s="24">
        <f t="shared" ref="W626:X626" si="1421">IFERROR(W625/V625-1,"n.m.")</f>
        <v>0.2141723192317786</v>
      </c>
      <c r="X626" s="24">
        <f t="shared" si="1421"/>
        <v>0.21703567904195054</v>
      </c>
      <c r="Y626" s="135" t="s">
        <v>4</v>
      </c>
    </row>
    <row r="627" spans="2:25" ht="15" customHeight="1" outlineLevel="1">
      <c r="B627" s="6" t="s">
        <v>125</v>
      </c>
      <c r="C627" s="1" t="s">
        <v>21</v>
      </c>
      <c r="D627" s="72"/>
      <c r="E627" s="72"/>
      <c r="F627" s="72"/>
      <c r="G627" s="72"/>
      <c r="H627" s="24">
        <f t="shared" ref="H627:W627" si="1422">H625/H$432</f>
        <v>0.12640047381669212</v>
      </c>
      <c r="I627" s="24">
        <f t="shared" si="1422"/>
        <v>0.23059481885281491</v>
      </c>
      <c r="J627" s="24">
        <f t="shared" si="1422"/>
        <v>0.26979305522169544</v>
      </c>
      <c r="K627" s="24">
        <f t="shared" si="1422"/>
        <v>0.2135710285607616</v>
      </c>
      <c r="L627" s="24">
        <f t="shared" si="1422"/>
        <v>0.19828663216134212</v>
      </c>
      <c r="M627" s="24">
        <f t="shared" si="1422"/>
        <v>0.15096618357487923</v>
      </c>
      <c r="N627" s="24">
        <f t="shared" si="1422"/>
        <v>0.21833071963756753</v>
      </c>
      <c r="O627" s="24">
        <f t="shared" si="1422"/>
        <v>0.22782475019215986</v>
      </c>
      <c r="P627" s="24">
        <f t="shared" si="1422"/>
        <v>0.2446596411278838</v>
      </c>
      <c r="Q627" s="24">
        <f t="shared" si="1422"/>
        <v>0.17190102307875327</v>
      </c>
      <c r="R627" s="24">
        <f t="shared" si="1422"/>
        <v>0.14317874096428559</v>
      </c>
      <c r="S627" s="24">
        <f t="shared" si="1422"/>
        <v>0.16014629195611424</v>
      </c>
      <c r="T627" s="24">
        <f t="shared" si="1422"/>
        <v>0.16128759139303714</v>
      </c>
      <c r="U627" s="24">
        <f t="shared" si="1422"/>
        <v>0.16478438604444953</v>
      </c>
      <c r="V627" s="24">
        <f t="shared" si="1422"/>
        <v>0.17163033899992045</v>
      </c>
      <c r="W627" s="24">
        <f t="shared" si="1422"/>
        <v>0.17888177250270684</v>
      </c>
      <c r="X627" s="24">
        <f t="shared" ref="X627" si="1423">X625/X$432</f>
        <v>0.1841555487968633</v>
      </c>
      <c r="Y627" s="135" t="s">
        <v>4</v>
      </c>
    </row>
    <row r="628" spans="2:25" ht="15" customHeight="1" outlineLevel="1">
      <c r="Y628" s="135" t="s">
        <v>4</v>
      </c>
    </row>
    <row r="629" spans="2:25" ht="15" customHeight="1" outlineLevel="1">
      <c r="B629" s="240" t="s">
        <v>133</v>
      </c>
      <c r="C629" s="241" t="s">
        <v>26</v>
      </c>
      <c r="D629" s="251"/>
      <c r="E629" s="251"/>
      <c r="F629" s="251"/>
      <c r="G629" s="251"/>
      <c r="H629" s="248">
        <f t="shared" ref="H629:X629" si="1424">SUM(H630:H635)</f>
        <v>48.899999999999977</v>
      </c>
      <c r="I629" s="248">
        <f t="shared" si="1424"/>
        <v>-169.70000000000002</v>
      </c>
      <c r="J629" s="248">
        <f t="shared" si="1424"/>
        <v>-178.90000000000003</v>
      </c>
      <c r="K629" s="248">
        <f t="shared" si="1424"/>
        <v>153</v>
      </c>
      <c r="L629" s="248">
        <f t="shared" si="1424"/>
        <v>237</v>
      </c>
      <c r="M629" s="248">
        <f t="shared" si="1424"/>
        <v>282</v>
      </c>
      <c r="N629" s="248">
        <f t="shared" si="1424"/>
        <v>159</v>
      </c>
      <c r="O629" s="248">
        <f t="shared" si="1424"/>
        <v>84</v>
      </c>
      <c r="P629" s="248">
        <f t="shared" si="1424"/>
        <v>-44</v>
      </c>
      <c r="Q629" s="248">
        <f t="shared" si="1424"/>
        <v>245</v>
      </c>
      <c r="R629" s="248">
        <f t="shared" si="1424"/>
        <v>-221.37801035203776</v>
      </c>
      <c r="S629" s="248">
        <f t="shared" si="1424"/>
        <v>296.01125276046616</v>
      </c>
      <c r="T629" s="248">
        <f t="shared" si="1424"/>
        <v>364.23775071906027</v>
      </c>
      <c r="U629" s="248">
        <f t="shared" si="1424"/>
        <v>410.37161404640358</v>
      </c>
      <c r="V629" s="248">
        <f t="shared" si="1424"/>
        <v>444.79727243160687</v>
      </c>
      <c r="W629" s="248">
        <f t="shared" si="1424"/>
        <v>481.3898792553191</v>
      </c>
      <c r="X629" s="248">
        <f t="shared" si="1424"/>
        <v>572.10967960280482</v>
      </c>
      <c r="Y629" s="135" t="s">
        <v>4</v>
      </c>
    </row>
    <row r="630" spans="2:25" ht="15" customHeight="1" outlineLevel="1">
      <c r="B630" s="204" t="s">
        <v>147</v>
      </c>
      <c r="C630" s="242" t="s">
        <v>26</v>
      </c>
      <c r="D630" s="252"/>
      <c r="E630" s="62"/>
      <c r="F630" s="62"/>
      <c r="G630" s="62"/>
      <c r="H630" s="25">
        <f t="shared" ref="H630:X630" si="1425">H598</f>
        <v>291.7</v>
      </c>
      <c r="I630" s="25">
        <f t="shared" si="1425"/>
        <v>49.699999999999996</v>
      </c>
      <c r="J630" s="25">
        <f t="shared" si="1425"/>
        <v>228.9</v>
      </c>
      <c r="K630" s="25">
        <f t="shared" si="1425"/>
        <v>115</v>
      </c>
      <c r="L630" s="25">
        <f t="shared" si="1425"/>
        <v>112</v>
      </c>
      <c r="M630" s="25">
        <f t="shared" si="1425"/>
        <v>253</v>
      </c>
      <c r="N630" s="25">
        <f t="shared" si="1425"/>
        <v>168</v>
      </c>
      <c r="O630" s="25">
        <f t="shared" si="1425"/>
        <v>290</v>
      </c>
      <c r="P630" s="25">
        <f t="shared" si="1425"/>
        <v>312</v>
      </c>
      <c r="Q630" s="25">
        <f t="shared" si="1425"/>
        <v>102</v>
      </c>
      <c r="R630" s="25">
        <f t="shared" si="1425"/>
        <v>52.4879649220847</v>
      </c>
      <c r="S630" s="25">
        <f t="shared" si="1425"/>
        <v>213.90368913544506</v>
      </c>
      <c r="T630" s="25">
        <f t="shared" si="1425"/>
        <v>265.01798631550173</v>
      </c>
      <c r="U630" s="25">
        <f t="shared" si="1425"/>
        <v>305.44584364041742</v>
      </c>
      <c r="V630" s="25">
        <f t="shared" si="1425"/>
        <v>346.73070951510738</v>
      </c>
      <c r="W630" s="25">
        <f t="shared" si="1425"/>
        <v>401.59668191445837</v>
      </c>
      <c r="X630" s="25">
        <f t="shared" si="1425"/>
        <v>474.49295243024858</v>
      </c>
      <c r="Y630" s="135" t="s">
        <v>4</v>
      </c>
    </row>
    <row r="631" spans="2:25" ht="15" customHeight="1" outlineLevel="1">
      <c r="B631" s="204" t="s">
        <v>148</v>
      </c>
      <c r="C631" s="242" t="s">
        <v>26</v>
      </c>
      <c r="D631" s="252"/>
      <c r="E631" s="62"/>
      <c r="F631" s="62"/>
      <c r="G631" s="62"/>
      <c r="H631" s="109">
        <v>27.8</v>
      </c>
      <c r="I631" s="109">
        <v>27.3</v>
      </c>
      <c r="J631" s="109">
        <v>30</v>
      </c>
      <c r="K631" s="109">
        <v>31</v>
      </c>
      <c r="L631" s="109">
        <v>31</v>
      </c>
      <c r="M631" s="109">
        <v>33</v>
      </c>
      <c r="N631" s="109">
        <v>34</v>
      </c>
      <c r="O631" s="109">
        <v>32</v>
      </c>
      <c r="P631" s="109">
        <v>31</v>
      </c>
      <c r="Q631" s="260">
        <v>56</v>
      </c>
      <c r="R631" s="325">
        <v>65</v>
      </c>
      <c r="S631" s="325">
        <f>R631*(1+S$433)</f>
        <v>51.808906385737799</v>
      </c>
      <c r="T631" s="325">
        <f t="shared" ref="T631:X631" si="1426">S631*(1+T$433)</f>
        <v>62.845276103340417</v>
      </c>
      <c r="U631" s="325">
        <f t="shared" si="1426"/>
        <v>71.445897997885012</v>
      </c>
      <c r="V631" s="325">
        <f t="shared" si="1426"/>
        <v>82.149581682405454</v>
      </c>
      <c r="W631" s="325">
        <f t="shared" si="1426"/>
        <v>95.700378314863883</v>
      </c>
      <c r="X631" s="325">
        <f t="shared" si="1426"/>
        <v>113.135329324832</v>
      </c>
      <c r="Y631" s="135" t="s">
        <v>4</v>
      </c>
    </row>
    <row r="632" spans="2:25" ht="15" customHeight="1" outlineLevel="1">
      <c r="B632" s="204" t="s">
        <v>149</v>
      </c>
      <c r="C632" s="242" t="s">
        <v>26</v>
      </c>
      <c r="D632" s="252"/>
      <c r="E632" s="62"/>
      <c r="F632" s="62"/>
      <c r="G632" s="62"/>
      <c r="H632" s="109">
        <v>34.9</v>
      </c>
      <c r="I632" s="109">
        <v>38.9</v>
      </c>
      <c r="J632" s="109">
        <v>32.700000000000003</v>
      </c>
      <c r="K632" s="109">
        <v>29</v>
      </c>
      <c r="L632" s="109">
        <v>29</v>
      </c>
      <c r="M632" s="109">
        <v>26</v>
      </c>
      <c r="N632" s="109">
        <v>27</v>
      </c>
      <c r="O632" s="109">
        <v>28</v>
      </c>
      <c r="P632" s="109">
        <v>27</v>
      </c>
      <c r="Q632" s="260">
        <v>25</v>
      </c>
      <c r="R632" s="444">
        <f t="shared" ref="R632:X632" si="1427">-R559</f>
        <v>24.39373897707231</v>
      </c>
      <c r="S632" s="444">
        <f t="shared" si="1427"/>
        <v>23.802180051261473</v>
      </c>
      <c r="T632" s="444">
        <f t="shared" si="1427"/>
        <v>23.224966690230001</v>
      </c>
      <c r="U632" s="444">
        <f t="shared" si="1427"/>
        <v>22.661751007706787</v>
      </c>
      <c r="V632" s="444">
        <f t="shared" si="1427"/>
        <v>22.112193553816191</v>
      </c>
      <c r="W632" s="444">
        <f t="shared" si="1427"/>
        <v>21.575963110491724</v>
      </c>
      <c r="X632" s="444">
        <f t="shared" si="1427"/>
        <v>21.05273649185105</v>
      </c>
      <c r="Y632" s="135" t="s">
        <v>4</v>
      </c>
    </row>
    <row r="633" spans="2:25" ht="15" customHeight="1" outlineLevel="1">
      <c r="B633" s="204" t="s">
        <v>150</v>
      </c>
      <c r="C633" s="242" t="s">
        <v>26</v>
      </c>
      <c r="D633" s="252"/>
      <c r="E633" s="62"/>
      <c r="F633" s="62"/>
      <c r="G633" s="62"/>
      <c r="H633" s="109">
        <v>53.2</v>
      </c>
      <c r="I633" s="109">
        <v>12.6</v>
      </c>
      <c r="J633" s="109">
        <v>134.5</v>
      </c>
      <c r="K633" s="109">
        <v>12</v>
      </c>
      <c r="L633" s="109">
        <v>37</v>
      </c>
      <c r="M633" s="109">
        <v>129</v>
      </c>
      <c r="N633" s="109">
        <v>59</v>
      </c>
      <c r="O633" s="109">
        <v>64</v>
      </c>
      <c r="P633" s="109">
        <v>65</v>
      </c>
      <c r="Q633" s="260">
        <v>31</v>
      </c>
      <c r="R633" s="325">
        <f>AVERAGE($H$633:Q633)</f>
        <v>59.73</v>
      </c>
      <c r="S633" s="325">
        <f>AVERAGE($H$633:R633)</f>
        <v>59.73</v>
      </c>
      <c r="T633" s="325">
        <f>AVERAGE($H$633:S633)</f>
        <v>59.73</v>
      </c>
      <c r="U633" s="325">
        <f>AVERAGE($H$633:T633)</f>
        <v>59.730000000000004</v>
      </c>
      <c r="V633" s="325">
        <f>AVERAGE($H$633:U633)</f>
        <v>59.730000000000004</v>
      </c>
      <c r="W633" s="325">
        <f>AVERAGE($H$633:V633)</f>
        <v>59.730000000000004</v>
      </c>
      <c r="X633" s="325">
        <f>AVERAGE($H$633:W633)</f>
        <v>59.730000000000004</v>
      </c>
      <c r="Y633" s="135" t="s">
        <v>4</v>
      </c>
    </row>
    <row r="634" spans="2:25" ht="15" customHeight="1" outlineLevel="1">
      <c r="B634" s="204" t="s">
        <v>151</v>
      </c>
      <c r="C634" s="242" t="s">
        <v>26</v>
      </c>
      <c r="D634" s="252"/>
      <c r="E634" s="62"/>
      <c r="F634" s="62"/>
      <c r="G634" s="62"/>
      <c r="H634" s="109">
        <v>-271.2</v>
      </c>
      <c r="I634" s="109">
        <v>-270</v>
      </c>
      <c r="J634" s="109">
        <v>-256.5</v>
      </c>
      <c r="K634" s="109">
        <v>0</v>
      </c>
      <c r="L634" s="109">
        <v>0</v>
      </c>
      <c r="M634" s="109">
        <v>0</v>
      </c>
      <c r="N634" s="109">
        <v>0</v>
      </c>
      <c r="O634" s="109">
        <v>0</v>
      </c>
      <c r="P634" s="109">
        <v>0</v>
      </c>
      <c r="Q634" s="260">
        <v>0</v>
      </c>
      <c r="R634" s="325">
        <v>0</v>
      </c>
      <c r="S634" s="325">
        <v>0</v>
      </c>
      <c r="T634" s="325">
        <v>0</v>
      </c>
      <c r="U634" s="325">
        <v>0</v>
      </c>
      <c r="V634" s="325">
        <v>0</v>
      </c>
      <c r="W634" s="325">
        <v>0</v>
      </c>
      <c r="X634" s="325">
        <v>0</v>
      </c>
      <c r="Y634" s="135" t="s">
        <v>4</v>
      </c>
    </row>
    <row r="635" spans="2:25" ht="15" customHeight="1" outlineLevel="1">
      <c r="B635" s="244" t="s">
        <v>152</v>
      </c>
      <c r="C635" s="243" t="s">
        <v>26</v>
      </c>
      <c r="D635" s="253"/>
      <c r="E635" s="63"/>
      <c r="F635" s="63"/>
      <c r="G635" s="63"/>
      <c r="H635" s="257">
        <f>-H574-249.7</f>
        <v>-87.5</v>
      </c>
      <c r="I635" s="257">
        <f>-I574-272.1</f>
        <v>-28.200000000000017</v>
      </c>
      <c r="J635" s="257">
        <f>-J574-214.9</f>
        <v>-348.5</v>
      </c>
      <c r="K635" s="257">
        <f>-K574-272</f>
        <v>-34</v>
      </c>
      <c r="L635" s="257">
        <f>-L574-313</f>
        <v>28</v>
      </c>
      <c r="M635" s="257">
        <f>-M574-225</f>
        <v>-159</v>
      </c>
      <c r="N635" s="257">
        <f>-N574-239</f>
        <v>-129</v>
      </c>
      <c r="O635" s="257">
        <f>-O574-213</f>
        <v>-330</v>
      </c>
      <c r="P635" s="257">
        <f>-P574-214</f>
        <v>-479</v>
      </c>
      <c r="Q635" s="258">
        <f>-Q574-333</f>
        <v>31</v>
      </c>
      <c r="R635" s="446">
        <f t="shared" ref="R635:X635" si="1428">-R574+R658</f>
        <v>-422.98971425119475</v>
      </c>
      <c r="S635" s="446">
        <f t="shared" si="1428"/>
        <v>-53.233522811978162</v>
      </c>
      <c r="T635" s="446">
        <f t="shared" si="1428"/>
        <v>-46.580478390011933</v>
      </c>
      <c r="U635" s="446">
        <f t="shared" si="1428"/>
        <v>-48.9118785996057</v>
      </c>
      <c r="V635" s="446">
        <f t="shared" si="1428"/>
        <v>-65.92521231972222</v>
      </c>
      <c r="W635" s="446">
        <f t="shared" si="1428"/>
        <v>-97.213144084494843</v>
      </c>
      <c r="X635" s="446">
        <f t="shared" si="1428"/>
        <v>-96.301338644126872</v>
      </c>
      <c r="Y635" s="135" t="s">
        <v>4</v>
      </c>
    </row>
    <row r="636" spans="2:25" ht="15" customHeight="1" outlineLevel="1">
      <c r="B636" s="6"/>
      <c r="D636" s="24"/>
      <c r="E636" s="24"/>
      <c r="F636" s="24"/>
      <c r="G636" s="24"/>
      <c r="H636" s="24"/>
      <c r="I636" s="24"/>
      <c r="J636" s="24"/>
      <c r="K636" s="24"/>
      <c r="L636" s="24"/>
      <c r="M636" s="24"/>
      <c r="N636" s="24"/>
      <c r="O636" s="499"/>
      <c r="P636" s="499"/>
      <c r="Q636" s="499"/>
      <c r="R636" s="499"/>
      <c r="S636" s="24"/>
      <c r="T636" s="24"/>
      <c r="U636" s="24"/>
      <c r="V636" s="24"/>
      <c r="W636" s="24"/>
      <c r="X636" s="24"/>
      <c r="Y636" s="135" t="s">
        <v>4</v>
      </c>
    </row>
    <row r="637" spans="2:25" ht="15" customHeight="1" outlineLevel="1">
      <c r="B637" s="237" t="s">
        <v>153</v>
      </c>
      <c r="C637" s="238" t="s">
        <v>26</v>
      </c>
      <c r="D637" s="250"/>
      <c r="E637" s="250"/>
      <c r="F637" s="250"/>
      <c r="G637" s="250"/>
      <c r="H637" s="239">
        <f t="shared" ref="H637:X637" si="1429">H625+H629</f>
        <v>561.0999999999998</v>
      </c>
      <c r="I637" s="239">
        <f t="shared" si="1429"/>
        <v>786.30000000000007</v>
      </c>
      <c r="J637" s="239">
        <f t="shared" si="1429"/>
        <v>1055.7000000000005</v>
      </c>
      <c r="K637" s="239">
        <f t="shared" si="1429"/>
        <v>1297.0999999999999</v>
      </c>
      <c r="L637" s="239">
        <f t="shared" si="1429"/>
        <v>1348</v>
      </c>
      <c r="M637" s="239">
        <f t="shared" si="1429"/>
        <v>1032</v>
      </c>
      <c r="N637" s="239">
        <f t="shared" si="1429"/>
        <v>1412</v>
      </c>
      <c r="O637" s="239">
        <f t="shared" si="1429"/>
        <v>1566</v>
      </c>
      <c r="P637" s="239">
        <f t="shared" si="1429"/>
        <v>1674</v>
      </c>
      <c r="Q637" s="239">
        <f t="shared" si="1429"/>
        <v>1690</v>
      </c>
      <c r="R637" s="239">
        <f t="shared" si="1429"/>
        <v>1729.2464674786618</v>
      </c>
      <c r="S637" s="239">
        <f t="shared" si="1429"/>
        <v>2035.0252851264258</v>
      </c>
      <c r="T637" s="239">
        <f t="shared" si="1429"/>
        <v>2488.7310660377798</v>
      </c>
      <c r="U637" s="239">
        <f t="shared" si="1429"/>
        <v>2877.9737154072759</v>
      </c>
      <c r="V637" s="239">
        <f t="shared" si="1429"/>
        <v>3399.9585711347513</v>
      </c>
      <c r="W637" s="239">
        <f t="shared" si="1429"/>
        <v>4069.4649270057107</v>
      </c>
      <c r="X637" s="239">
        <f t="shared" si="1429"/>
        <v>4938.9250317951819</v>
      </c>
      <c r="Y637" s="135" t="s">
        <v>4</v>
      </c>
    </row>
    <row r="638" spans="2:25" ht="15" customHeight="1" outlineLevel="1">
      <c r="B638" s="6" t="s">
        <v>27</v>
      </c>
      <c r="C638" s="1" t="s">
        <v>21</v>
      </c>
      <c r="D638" s="72"/>
      <c r="E638" s="72"/>
      <c r="F638" s="72"/>
      <c r="G638" s="72"/>
      <c r="H638" s="24" t="str">
        <f t="shared" ref="H638" si="1430">IFERROR(H637/G637-1,"n.m.")</f>
        <v>n.m.</v>
      </c>
      <c r="I638" s="24">
        <f t="shared" ref="I638" si="1431">IFERROR(I637/H637-1,"n.m.")</f>
        <v>0.40135448226697612</v>
      </c>
      <c r="J638" s="24">
        <f t="shared" ref="J638" si="1432">IFERROR(J637/I637-1,"n.m.")</f>
        <v>0.3426173216329651</v>
      </c>
      <c r="K638" s="24">
        <f t="shared" ref="K638" si="1433">IFERROR(K637/J637-1,"n.m.")</f>
        <v>0.22866344605474964</v>
      </c>
      <c r="L638" s="24">
        <f t="shared" ref="L638" si="1434">IFERROR(L637/K637-1,"n.m.")</f>
        <v>3.9241384627245468E-2</v>
      </c>
      <c r="M638" s="24">
        <f t="shared" ref="M638" si="1435">IFERROR(M637/L637-1,"n.m.")</f>
        <v>-0.23442136498516319</v>
      </c>
      <c r="N638" s="24">
        <f t="shared" ref="N638" si="1436">IFERROR(N637/M637-1,"n.m.")</f>
        <v>0.36821705426356588</v>
      </c>
      <c r="O638" s="24">
        <f t="shared" ref="O638" si="1437">IFERROR(O637/N637-1,"n.m.")</f>
        <v>0.10906515580736542</v>
      </c>
      <c r="P638" s="24">
        <f>IFERROR(P637/O637-1,"n.m.")</f>
        <v>6.8965517241379226E-2</v>
      </c>
      <c r="Q638" s="24">
        <f t="shared" ref="Q638" si="1438">IFERROR(Q637/P637-1,"n.m.")</f>
        <v>9.5579450418159517E-3</v>
      </c>
      <c r="R638" s="24">
        <f t="shared" ref="R638" si="1439">IFERROR(R637/Q637-1,"n.m.")</f>
        <v>2.3222761821693361E-2</v>
      </c>
      <c r="S638" s="24">
        <f t="shared" ref="S638" si="1440">IFERROR(S637/R637-1,"n.m.")</f>
        <v>0.17682778215739647</v>
      </c>
      <c r="T638" s="24">
        <f t="shared" ref="T638" si="1441">IFERROR(T637/S637-1,"n.m.")</f>
        <v>0.22294847352875391</v>
      </c>
      <c r="U638" s="24">
        <f t="shared" ref="U638" si="1442">IFERROR(U637/T637-1,"n.m.")</f>
        <v>0.1564020535128352</v>
      </c>
      <c r="V638" s="24">
        <f t="shared" ref="V638" si="1443">IFERROR(V637/U637-1,"n.m.")</f>
        <v>0.18137234990473394</v>
      </c>
      <c r="W638" s="24">
        <f t="shared" ref="W638:X638" si="1444">IFERROR(W637/V637-1,"n.m.")</f>
        <v>0.19691603349375764</v>
      </c>
      <c r="X638" s="24">
        <f t="shared" si="1444"/>
        <v>0.2136546500301737</v>
      </c>
      <c r="Y638" s="135" t="s">
        <v>4</v>
      </c>
    </row>
    <row r="639" spans="2:25" ht="15" customHeight="1" outlineLevel="1">
      <c r="B639" s="6" t="s">
        <v>125</v>
      </c>
      <c r="C639" s="1" t="s">
        <v>21</v>
      </c>
      <c r="D639" s="72"/>
      <c r="E639" s="72"/>
      <c r="F639" s="72"/>
      <c r="G639" s="72"/>
      <c r="H639" s="24">
        <f t="shared" ref="H639:W639" si="1445">H637/H$432</f>
        <v>0.13846799269532595</v>
      </c>
      <c r="I639" s="24">
        <f t="shared" si="1445"/>
        <v>0.18966182642674514</v>
      </c>
      <c r="J639" s="24">
        <f t="shared" si="1445"/>
        <v>0.23069862983763476</v>
      </c>
      <c r="K639" s="24">
        <f t="shared" si="1445"/>
        <v>0.24213179018107148</v>
      </c>
      <c r="L639" s="24">
        <f t="shared" si="1445"/>
        <v>0.24058540067820811</v>
      </c>
      <c r="M639" s="24">
        <f t="shared" si="1445"/>
        <v>0.20772946859903382</v>
      </c>
      <c r="N639" s="24">
        <f t="shared" si="1445"/>
        <v>0.24603589475518384</v>
      </c>
      <c r="O639" s="24">
        <f t="shared" si="1445"/>
        <v>0.24073789392774789</v>
      </c>
      <c r="P639" s="24">
        <f>P637/P$432</f>
        <v>0.23839362005126744</v>
      </c>
      <c r="Q639" s="24">
        <f t="shared" si="1445"/>
        <v>0.20104687128241733</v>
      </c>
      <c r="R639" s="24">
        <f t="shared" si="1445"/>
        <v>0.12692926539396293</v>
      </c>
      <c r="S639" s="24">
        <f t="shared" si="1445"/>
        <v>0.1874060515811572</v>
      </c>
      <c r="T639" s="24">
        <f t="shared" si="1445"/>
        <v>0.18893984573730718</v>
      </c>
      <c r="U639" s="24">
        <f t="shared" si="1445"/>
        <v>0.19218865613864855</v>
      </c>
      <c r="V639" s="24">
        <f t="shared" si="1445"/>
        <v>0.19746334740023294</v>
      </c>
      <c r="W639" s="24">
        <f t="shared" si="1445"/>
        <v>0.2028812356466132</v>
      </c>
      <c r="X639" s="24">
        <f t="shared" ref="X639" si="1446">X637/X$432</f>
        <v>0.20828232392289586</v>
      </c>
      <c r="Y639" s="135" t="s">
        <v>4</v>
      </c>
    </row>
    <row r="640" spans="2:25" ht="15" customHeight="1" outlineLevel="1">
      <c r="H640" s="25"/>
      <c r="I640" s="25"/>
      <c r="J640" s="25"/>
      <c r="K640" s="25"/>
      <c r="L640" s="25"/>
      <c r="M640" s="25"/>
      <c r="N640" s="25"/>
      <c r="O640" s="25"/>
      <c r="P640" s="25"/>
      <c r="Q640" s="25">
        <f>186+58</f>
        <v>244</v>
      </c>
      <c r="R640" s="25"/>
      <c r="S640" s="25"/>
      <c r="T640" s="25"/>
      <c r="U640" s="25"/>
      <c r="V640" s="25"/>
      <c r="W640" s="25"/>
      <c r="X640" s="25"/>
      <c r="Y640" s="135" t="s">
        <v>4</v>
      </c>
    </row>
    <row r="641" spans="2:25" ht="15" customHeight="1" outlineLevel="1">
      <c r="B641" s="240" t="s">
        <v>154</v>
      </c>
      <c r="C641" s="241" t="s">
        <v>26</v>
      </c>
      <c r="D641" s="251"/>
      <c r="E641" s="251"/>
      <c r="F641" s="251"/>
      <c r="G641" s="251"/>
      <c r="H641" s="248">
        <f t="shared" ref="H641:W641" si="1447">SUM(H642:H647)</f>
        <v>-67.70748643315244</v>
      </c>
      <c r="I641" s="248">
        <f t="shared" si="1447"/>
        <v>-213.08616780045355</v>
      </c>
      <c r="J641" s="248">
        <f t="shared" si="1447"/>
        <v>-226.17634975602078</v>
      </c>
      <c r="K641" s="248">
        <f t="shared" si="1447"/>
        <v>70.334777898158194</v>
      </c>
      <c r="L641" s="248">
        <f t="shared" si="1447"/>
        <v>146.91691751956648</v>
      </c>
      <c r="M641" s="248">
        <f t="shared" si="1447"/>
        <v>199.89976133651552</v>
      </c>
      <c r="N641" s="248">
        <f t="shared" si="1447"/>
        <v>58.081768625075711</v>
      </c>
      <c r="O641" s="248">
        <f t="shared" si="1447"/>
        <v>-76.209106239460368</v>
      </c>
      <c r="P641" s="248">
        <f t="shared" si="1447"/>
        <v>-249.70338983050851</v>
      </c>
      <c r="Q641" s="248">
        <f t="shared" si="1447"/>
        <v>84.604547701433546</v>
      </c>
      <c r="R641" s="248">
        <f t="shared" si="1447"/>
        <v>-451.69556179563131</v>
      </c>
      <c r="S641" s="248">
        <f t="shared" si="1447"/>
        <v>87.713153054911544</v>
      </c>
      <c r="T641" s="248">
        <f t="shared" si="1447"/>
        <v>112.28834822666752</v>
      </c>
      <c r="U641" s="248">
        <f t="shared" si="1447"/>
        <v>125.13931514229009</v>
      </c>
      <c r="V641" s="248">
        <f t="shared" si="1447"/>
        <v>119.71871858324738</v>
      </c>
      <c r="W641" s="248">
        <f t="shared" si="1447"/>
        <v>106.69742813348785</v>
      </c>
      <c r="X641" s="248">
        <f t="shared" ref="X641" si="1448">SUM(X642:X647)</f>
        <v>129.79296158573936</v>
      </c>
      <c r="Y641" s="135" t="s">
        <v>4</v>
      </c>
    </row>
    <row r="642" spans="2:25" ht="15" customHeight="1" outlineLevel="1">
      <c r="B642" s="204" t="s">
        <v>147</v>
      </c>
      <c r="C642" s="242" t="s">
        <v>26</v>
      </c>
      <c r="D642" s="252"/>
      <c r="E642" s="62"/>
      <c r="F642" s="62"/>
      <c r="G642" s="62"/>
      <c r="H642" s="42">
        <f t="shared" ref="H642:X642" si="1449">H613</f>
        <v>123.2</v>
      </c>
      <c r="I642" s="42">
        <f t="shared" si="1449"/>
        <v>-8.6999999999999993</v>
      </c>
      <c r="J642" s="42">
        <f t="shared" si="1449"/>
        <v>172</v>
      </c>
      <c r="K642" s="42">
        <f t="shared" si="1449"/>
        <v>15</v>
      </c>
      <c r="L642" s="42">
        <f t="shared" si="1449"/>
        <v>1</v>
      </c>
      <c r="M642" s="42">
        <f t="shared" si="1449"/>
        <v>153</v>
      </c>
      <c r="N642" s="42">
        <f t="shared" si="1449"/>
        <v>50</v>
      </c>
      <c r="O642" s="42">
        <f t="shared" si="1449"/>
        <v>108</v>
      </c>
      <c r="P642" s="42">
        <f t="shared" si="1449"/>
        <v>80</v>
      </c>
      <c r="Q642" s="42">
        <f t="shared" si="1449"/>
        <v>-90</v>
      </c>
      <c r="R642" s="42">
        <f t="shared" si="1449"/>
        <v>-219</v>
      </c>
      <c r="S642" s="42">
        <f t="shared" si="1449"/>
        <v>-29.86666666666666</v>
      </c>
      <c r="T642" s="42">
        <f t="shared" si="1449"/>
        <v>-27.924166666666657</v>
      </c>
      <c r="U642" s="42">
        <f t="shared" si="1449"/>
        <v>-25.884541666666657</v>
      </c>
      <c r="V642" s="42">
        <f t="shared" si="1449"/>
        <v>-32.309360416666657</v>
      </c>
      <c r="W642" s="42">
        <f t="shared" si="1449"/>
        <v>-37.770456354166662</v>
      </c>
      <c r="X642" s="42">
        <f t="shared" si="1449"/>
        <v>-42.412387901041662</v>
      </c>
      <c r="Y642" s="135" t="s">
        <v>4</v>
      </c>
    </row>
    <row r="643" spans="2:25" ht="15" customHeight="1" outlineLevel="1">
      <c r="B643" s="204" t="s">
        <v>148</v>
      </c>
      <c r="C643" s="242" t="s">
        <v>26</v>
      </c>
      <c r="D643" s="252"/>
      <c r="E643" s="62"/>
      <c r="F643" s="62"/>
      <c r="G643" s="62"/>
      <c r="H643" s="442">
        <f t="shared" ref="H643:X643" si="1450">H631</f>
        <v>27.8</v>
      </c>
      <c r="I643" s="442">
        <f t="shared" si="1450"/>
        <v>27.3</v>
      </c>
      <c r="J643" s="442">
        <f t="shared" si="1450"/>
        <v>30</v>
      </c>
      <c r="K643" s="442">
        <f t="shared" si="1450"/>
        <v>31</v>
      </c>
      <c r="L643" s="442">
        <f t="shared" si="1450"/>
        <v>31</v>
      </c>
      <c r="M643" s="442">
        <f t="shared" si="1450"/>
        <v>33</v>
      </c>
      <c r="N643" s="442">
        <f t="shared" si="1450"/>
        <v>34</v>
      </c>
      <c r="O643" s="442">
        <f t="shared" si="1450"/>
        <v>32</v>
      </c>
      <c r="P643" s="442">
        <f t="shared" si="1450"/>
        <v>31</v>
      </c>
      <c r="Q643" s="442">
        <f t="shared" si="1450"/>
        <v>56</v>
      </c>
      <c r="R643" s="442">
        <f t="shared" si="1450"/>
        <v>65</v>
      </c>
      <c r="S643" s="442">
        <f t="shared" si="1450"/>
        <v>51.808906385737799</v>
      </c>
      <c r="T643" s="442">
        <f t="shared" si="1450"/>
        <v>62.845276103340417</v>
      </c>
      <c r="U643" s="442">
        <f t="shared" si="1450"/>
        <v>71.445897997885012</v>
      </c>
      <c r="V643" s="442">
        <f t="shared" si="1450"/>
        <v>82.149581682405454</v>
      </c>
      <c r="W643" s="442">
        <f t="shared" si="1450"/>
        <v>95.700378314863883</v>
      </c>
      <c r="X643" s="442">
        <f t="shared" si="1450"/>
        <v>113.135329324832</v>
      </c>
      <c r="Y643" s="135" t="s">
        <v>4</v>
      </c>
    </row>
    <row r="644" spans="2:25" ht="15" customHeight="1" outlineLevel="1">
      <c r="B644" s="204" t="s">
        <v>149</v>
      </c>
      <c r="C644" s="242" t="s">
        <v>26</v>
      </c>
      <c r="D644" s="252"/>
      <c r="E644" s="62"/>
      <c r="F644" s="62"/>
      <c r="G644" s="62"/>
      <c r="H644" s="442">
        <f t="shared" ref="H644:X644" si="1451">H632</f>
        <v>34.9</v>
      </c>
      <c r="I644" s="442">
        <f t="shared" si="1451"/>
        <v>38.9</v>
      </c>
      <c r="J644" s="442">
        <f t="shared" si="1451"/>
        <v>32.700000000000003</v>
      </c>
      <c r="K644" s="442">
        <f t="shared" si="1451"/>
        <v>29</v>
      </c>
      <c r="L644" s="442">
        <f t="shared" si="1451"/>
        <v>29</v>
      </c>
      <c r="M644" s="442">
        <f t="shared" si="1451"/>
        <v>26</v>
      </c>
      <c r="N644" s="442">
        <f t="shared" si="1451"/>
        <v>27</v>
      </c>
      <c r="O644" s="442">
        <f t="shared" si="1451"/>
        <v>28</v>
      </c>
      <c r="P644" s="442">
        <f t="shared" si="1451"/>
        <v>27</v>
      </c>
      <c r="Q644" s="443">
        <f t="shared" si="1451"/>
        <v>25</v>
      </c>
      <c r="R644" s="444">
        <f t="shared" si="1451"/>
        <v>24.39373897707231</v>
      </c>
      <c r="S644" s="444">
        <f t="shared" si="1451"/>
        <v>23.802180051261473</v>
      </c>
      <c r="T644" s="444">
        <f t="shared" si="1451"/>
        <v>23.224966690230001</v>
      </c>
      <c r="U644" s="444">
        <f t="shared" si="1451"/>
        <v>22.661751007706787</v>
      </c>
      <c r="V644" s="444">
        <f t="shared" si="1451"/>
        <v>22.112193553816191</v>
      </c>
      <c r="W644" s="444">
        <f t="shared" si="1451"/>
        <v>21.575963110491724</v>
      </c>
      <c r="X644" s="444">
        <f t="shared" si="1451"/>
        <v>21.05273649185105</v>
      </c>
      <c r="Y644" s="135" t="s">
        <v>4</v>
      </c>
    </row>
    <row r="645" spans="2:25" ht="15" customHeight="1" outlineLevel="1">
      <c r="B645" s="204" t="s">
        <v>150</v>
      </c>
      <c r="C645" s="242" t="s">
        <v>26</v>
      </c>
      <c r="D645" s="252"/>
      <c r="E645" s="62"/>
      <c r="F645" s="62"/>
      <c r="G645" s="62"/>
      <c r="H645" s="442">
        <f t="shared" ref="H645:X645" si="1452">H633</f>
        <v>53.2</v>
      </c>
      <c r="I645" s="442">
        <f t="shared" si="1452"/>
        <v>12.6</v>
      </c>
      <c r="J645" s="442">
        <f t="shared" si="1452"/>
        <v>134.5</v>
      </c>
      <c r="K645" s="442">
        <f t="shared" si="1452"/>
        <v>12</v>
      </c>
      <c r="L645" s="442">
        <f t="shared" si="1452"/>
        <v>37</v>
      </c>
      <c r="M645" s="442">
        <f t="shared" si="1452"/>
        <v>129</v>
      </c>
      <c r="N645" s="442">
        <f t="shared" si="1452"/>
        <v>59</v>
      </c>
      <c r="O645" s="442">
        <f t="shared" si="1452"/>
        <v>64</v>
      </c>
      <c r="P645" s="442">
        <f t="shared" si="1452"/>
        <v>65</v>
      </c>
      <c r="Q645" s="443">
        <f t="shared" si="1452"/>
        <v>31</v>
      </c>
      <c r="R645" s="444">
        <f t="shared" si="1452"/>
        <v>59.73</v>
      </c>
      <c r="S645" s="444">
        <f t="shared" si="1452"/>
        <v>59.73</v>
      </c>
      <c r="T645" s="444">
        <f t="shared" si="1452"/>
        <v>59.73</v>
      </c>
      <c r="U645" s="444">
        <f t="shared" si="1452"/>
        <v>59.730000000000004</v>
      </c>
      <c r="V645" s="444">
        <f t="shared" si="1452"/>
        <v>59.730000000000004</v>
      </c>
      <c r="W645" s="444">
        <f t="shared" si="1452"/>
        <v>59.730000000000004</v>
      </c>
      <c r="X645" s="444">
        <f t="shared" si="1452"/>
        <v>59.730000000000004</v>
      </c>
      <c r="Y645" s="135" t="s">
        <v>4</v>
      </c>
    </row>
    <row r="646" spans="2:25" ht="15" customHeight="1" outlineLevel="1">
      <c r="B646" s="204" t="s">
        <v>151</v>
      </c>
      <c r="C646" s="242" t="s">
        <v>26</v>
      </c>
      <c r="D646" s="252"/>
      <c r="E646" s="62"/>
      <c r="F646" s="62"/>
      <c r="G646" s="62"/>
      <c r="H646" s="442">
        <f t="shared" ref="H646:X646" si="1453">H634</f>
        <v>-271.2</v>
      </c>
      <c r="I646" s="442">
        <f t="shared" si="1453"/>
        <v>-270</v>
      </c>
      <c r="J646" s="442">
        <f t="shared" si="1453"/>
        <v>-256.5</v>
      </c>
      <c r="K646" s="442">
        <f t="shared" si="1453"/>
        <v>0</v>
      </c>
      <c r="L646" s="442">
        <f t="shared" si="1453"/>
        <v>0</v>
      </c>
      <c r="M646" s="442">
        <f t="shared" si="1453"/>
        <v>0</v>
      </c>
      <c r="N646" s="442">
        <f t="shared" si="1453"/>
        <v>0</v>
      </c>
      <c r="O646" s="442">
        <f t="shared" si="1453"/>
        <v>0</v>
      </c>
      <c r="P646" s="442">
        <f t="shared" si="1453"/>
        <v>0</v>
      </c>
      <c r="Q646" s="443">
        <f t="shared" si="1453"/>
        <v>0</v>
      </c>
      <c r="R646" s="444">
        <f t="shared" si="1453"/>
        <v>0</v>
      </c>
      <c r="S646" s="444">
        <f t="shared" si="1453"/>
        <v>0</v>
      </c>
      <c r="T646" s="444">
        <f t="shared" si="1453"/>
        <v>0</v>
      </c>
      <c r="U646" s="444">
        <f t="shared" si="1453"/>
        <v>0</v>
      </c>
      <c r="V646" s="444">
        <f t="shared" si="1453"/>
        <v>0</v>
      </c>
      <c r="W646" s="444">
        <f t="shared" si="1453"/>
        <v>0</v>
      </c>
      <c r="X646" s="444">
        <f t="shared" si="1453"/>
        <v>0</v>
      </c>
      <c r="Y646" s="135" t="s">
        <v>4</v>
      </c>
    </row>
    <row r="647" spans="2:25" ht="15" customHeight="1" outlineLevel="1">
      <c r="B647" s="244" t="s">
        <v>152</v>
      </c>
      <c r="C647" s="243" t="s">
        <v>26</v>
      </c>
      <c r="D647" s="253"/>
      <c r="E647" s="63"/>
      <c r="F647" s="63"/>
      <c r="G647" s="63"/>
      <c r="H647" s="445">
        <f t="shared" ref="H647:X647" si="1454">-H574+H665</f>
        <v>-35.607486433152474</v>
      </c>
      <c r="I647" s="445">
        <f t="shared" si="1454"/>
        <v>-13.186167800453546</v>
      </c>
      <c r="J647" s="445">
        <f t="shared" si="1454"/>
        <v>-338.87634975602077</v>
      </c>
      <c r="K647" s="445">
        <f t="shared" si="1454"/>
        <v>-16.665222101841806</v>
      </c>
      <c r="L647" s="445">
        <f t="shared" si="1454"/>
        <v>48.916917519566482</v>
      </c>
      <c r="M647" s="445">
        <f t="shared" si="1454"/>
        <v>-141.10023866348448</v>
      </c>
      <c r="N647" s="445">
        <f t="shared" si="1454"/>
        <v>-111.91823137492429</v>
      </c>
      <c r="O647" s="445">
        <f t="shared" si="1454"/>
        <v>-308.20910623946037</v>
      </c>
      <c r="P647" s="445">
        <f t="shared" si="1454"/>
        <v>-452.70338983050851</v>
      </c>
      <c r="Q647" s="445">
        <f t="shared" si="1454"/>
        <v>62.604547701433546</v>
      </c>
      <c r="R647" s="445">
        <f t="shared" si="1454"/>
        <v>-381.81930077270357</v>
      </c>
      <c r="S647" s="445">
        <f t="shared" si="1454"/>
        <v>-17.761266715421073</v>
      </c>
      <c r="T647" s="445">
        <f t="shared" si="1454"/>
        <v>-5.5877279002362457</v>
      </c>
      <c r="U647" s="445">
        <f t="shared" si="1454"/>
        <v>-2.8137921966350632</v>
      </c>
      <c r="V647" s="445">
        <f t="shared" si="1454"/>
        <v>-11.963696236307612</v>
      </c>
      <c r="W647" s="445">
        <f t="shared" si="1454"/>
        <v>-32.538456937701085</v>
      </c>
      <c r="X647" s="445">
        <f t="shared" si="1454"/>
        <v>-21.712716329902037</v>
      </c>
      <c r="Y647" s="135" t="s">
        <v>4</v>
      </c>
    </row>
    <row r="648" spans="2:25" ht="15" customHeight="1" outlineLevel="1">
      <c r="Y648" s="135" t="s">
        <v>4</v>
      </c>
    </row>
    <row r="649" spans="2:25" ht="15" customHeight="1" outlineLevel="1">
      <c r="B649" s="237" t="s">
        <v>155</v>
      </c>
      <c r="C649" s="238" t="s">
        <v>26</v>
      </c>
      <c r="D649" s="250"/>
      <c r="E649" s="250"/>
      <c r="F649" s="250"/>
      <c r="G649" s="250"/>
      <c r="H649" s="239">
        <f t="shared" ref="H649:X649" si="1455">H625+H641</f>
        <v>444.49251356684738</v>
      </c>
      <c r="I649" s="239">
        <f t="shared" si="1455"/>
        <v>742.9138321995465</v>
      </c>
      <c r="J649" s="239">
        <f t="shared" si="1455"/>
        <v>1008.4236502439799</v>
      </c>
      <c r="K649" s="239">
        <f t="shared" si="1455"/>
        <v>1214.434777898158</v>
      </c>
      <c r="L649" s="239">
        <f t="shared" si="1455"/>
        <v>1257.9169175195666</v>
      </c>
      <c r="M649" s="239">
        <f t="shared" si="1455"/>
        <v>949.89976133651555</v>
      </c>
      <c r="N649" s="239">
        <f t="shared" si="1455"/>
        <v>1311.0817686250757</v>
      </c>
      <c r="O649" s="239">
        <f t="shared" si="1455"/>
        <v>1405.7908937605396</v>
      </c>
      <c r="P649" s="239">
        <f t="shared" si="1455"/>
        <v>1468.2966101694915</v>
      </c>
      <c r="Q649" s="239">
        <f t="shared" si="1455"/>
        <v>1529.6045477014336</v>
      </c>
      <c r="R649" s="239">
        <f t="shared" si="1455"/>
        <v>1498.9289160350681</v>
      </c>
      <c r="S649" s="239">
        <f t="shared" si="1455"/>
        <v>1826.7271854208714</v>
      </c>
      <c r="T649" s="239">
        <f t="shared" si="1455"/>
        <v>2236.7816635453869</v>
      </c>
      <c r="U649" s="239">
        <f t="shared" si="1455"/>
        <v>2592.7414165031623</v>
      </c>
      <c r="V649" s="239">
        <f t="shared" si="1455"/>
        <v>3074.8800172863916</v>
      </c>
      <c r="W649" s="239">
        <f t="shared" si="1455"/>
        <v>3694.7724758838795</v>
      </c>
      <c r="X649" s="239">
        <f t="shared" si="1455"/>
        <v>4496.6083137781161</v>
      </c>
      <c r="Y649" s="135" t="s">
        <v>4</v>
      </c>
    </row>
    <row r="650" spans="2:25" ht="15" customHeight="1" outlineLevel="1">
      <c r="B650" s="6" t="s">
        <v>27</v>
      </c>
      <c r="C650" s="1" t="s">
        <v>21</v>
      </c>
      <c r="D650" s="72"/>
      <c r="E650" s="72"/>
      <c r="F650" s="72"/>
      <c r="G650" s="72"/>
      <c r="H650" s="24" t="str">
        <f t="shared" ref="H650" si="1456">IFERROR(H649/G649-1,"n.m.")</f>
        <v>n.m.</v>
      </c>
      <c r="I650" s="24">
        <f t="shared" ref="I650" si="1457">IFERROR(I649/H649-1,"n.m.")</f>
        <v>0.67137535396941939</v>
      </c>
      <c r="J650" s="24">
        <f t="shared" ref="J650" si="1458">IFERROR(J649/I649-1,"n.m.")</f>
        <v>0.35738978941654365</v>
      </c>
      <c r="K650" s="24">
        <f t="shared" ref="K650" si="1459">IFERROR(K649/J649-1,"n.m.")</f>
        <v>0.20429025797276323</v>
      </c>
      <c r="L650" s="24">
        <f t="shared" ref="L650" si="1460">IFERROR(L649/K649-1,"n.m.")</f>
        <v>3.5804425575380661E-2</v>
      </c>
      <c r="M650" s="24">
        <f t="shared" ref="M650" si="1461">IFERROR(M649/L649-1,"n.m.")</f>
        <v>-0.24486287758210379</v>
      </c>
      <c r="N650" s="24">
        <f t="shared" ref="N650" si="1462">IFERROR(N649/M649-1,"n.m.")</f>
        <v>0.38023170653330252</v>
      </c>
      <c r="O650" s="24">
        <f t="shared" ref="O650" si="1463">IFERROR(O649/N649-1,"n.m.")</f>
        <v>7.2237390071242302E-2</v>
      </c>
      <c r="P650" s="24">
        <f t="shared" ref="P650" si="1464">IFERROR(P649/O649-1,"n.m.")</f>
        <v>4.4463025536996437E-2</v>
      </c>
      <c r="Q650" s="24">
        <f t="shared" ref="Q650" si="1465">IFERROR(Q649/P649-1,"n.m.")</f>
        <v>4.1754463714838375E-2</v>
      </c>
      <c r="R650" s="24">
        <f t="shared" ref="R650" si="1466">IFERROR(R649/Q649-1,"n.m.")</f>
        <v>-2.0054615889095184E-2</v>
      </c>
      <c r="S650" s="24">
        <f t="shared" ref="S650" si="1467">IFERROR(S649/R649-1,"n.m.")</f>
        <v>0.21868833530337617</v>
      </c>
      <c r="T650" s="24">
        <f t="shared" ref="T650" si="1468">IFERROR(T649/S649-1,"n.m.")</f>
        <v>0.22447494152228353</v>
      </c>
      <c r="U650" s="24">
        <f t="shared" ref="U650" si="1469">IFERROR(U649/T649-1,"n.m.")</f>
        <v>0.15913924848327188</v>
      </c>
      <c r="V650" s="24">
        <f t="shared" ref="V650" si="1470">IFERROR(V649/U649-1,"n.m.")</f>
        <v>0.1859570714280836</v>
      </c>
      <c r="W650" s="24">
        <f t="shared" ref="W650:X650" si="1471">IFERROR(W649/V649-1,"n.m.")</f>
        <v>0.20159890958755144</v>
      </c>
      <c r="X650" s="24">
        <f t="shared" si="1471"/>
        <v>0.21701900269310026</v>
      </c>
      <c r="Y650" s="135" t="s">
        <v>4</v>
      </c>
    </row>
    <row r="651" spans="2:25" ht="15" customHeight="1" outlineLevel="1">
      <c r="B651" s="6" t="s">
        <v>125</v>
      </c>
      <c r="C651" s="1" t="s">
        <v>21</v>
      </c>
      <c r="D651" s="72"/>
      <c r="E651" s="72"/>
      <c r="F651" s="72"/>
      <c r="G651" s="72"/>
      <c r="H651" s="24">
        <f t="shared" ref="H651:W651" si="1472">H649/H$432</f>
        <v>0.10969165232882074</v>
      </c>
      <c r="I651" s="24">
        <f t="shared" si="1472"/>
        <v>0.17919673698672064</v>
      </c>
      <c r="J651" s="24">
        <f t="shared" si="1472"/>
        <v>0.22036748546665932</v>
      </c>
      <c r="K651" s="24">
        <f t="shared" si="1472"/>
        <v>0.22670053722198208</v>
      </c>
      <c r="L651" s="24">
        <f t="shared" si="1472"/>
        <v>0.22450774897725623</v>
      </c>
      <c r="M651" s="24">
        <f t="shared" si="1472"/>
        <v>0.19120365566354983</v>
      </c>
      <c r="N651" s="24">
        <f t="shared" si="1472"/>
        <v>0.22845125781931969</v>
      </c>
      <c r="O651" s="24">
        <f t="shared" si="1472"/>
        <v>0.21610928420607833</v>
      </c>
      <c r="P651" s="24">
        <f t="shared" si="1472"/>
        <v>0.20909948877378118</v>
      </c>
      <c r="Q651" s="24">
        <f t="shared" si="1472"/>
        <v>0.1819658039140416</v>
      </c>
      <c r="R651" s="24">
        <f t="shared" si="1472"/>
        <v>0.11002361419740651</v>
      </c>
      <c r="S651" s="24">
        <f t="shared" si="1472"/>
        <v>0.16822382092142807</v>
      </c>
      <c r="T651" s="24">
        <f t="shared" si="1472"/>
        <v>0.16981231448648912</v>
      </c>
      <c r="U651" s="24">
        <f t="shared" si="1472"/>
        <v>0.17314108391092189</v>
      </c>
      <c r="V651" s="24">
        <f t="shared" si="1472"/>
        <v>0.17858338222774559</v>
      </c>
      <c r="W651" s="24">
        <f t="shared" si="1472"/>
        <v>0.18420112196223529</v>
      </c>
      <c r="X651" s="24">
        <f t="shared" ref="X651" si="1473">X649/X$432</f>
        <v>0.18962912442189903</v>
      </c>
      <c r="Y651" s="135" t="s">
        <v>4</v>
      </c>
    </row>
    <row r="652" spans="2:25" ht="15" customHeight="1" outlineLevel="1" thickBot="1">
      <c r="Y652" s="135" t="s">
        <v>4</v>
      </c>
    </row>
    <row r="653" spans="2:25" ht="15" customHeight="1" outlineLevel="1">
      <c r="B653" s="500"/>
      <c r="C653" s="501"/>
      <c r="D653" s="502"/>
      <c r="E653" s="502"/>
      <c r="F653" s="502"/>
      <c r="G653" s="502"/>
      <c r="H653" s="502"/>
      <c r="I653" s="502"/>
      <c r="J653" s="502"/>
      <c r="K653" s="502"/>
      <c r="L653" s="502"/>
      <c r="M653" s="502"/>
      <c r="N653" s="502"/>
      <c r="O653" s="502"/>
      <c r="P653" s="502"/>
      <c r="Q653" s="502"/>
      <c r="R653" s="502"/>
      <c r="S653" s="502"/>
      <c r="T653" s="502"/>
      <c r="U653" s="502"/>
      <c r="V653" s="502"/>
      <c r="W653" s="503"/>
      <c r="X653" s="502"/>
      <c r="Y653" s="135" t="s">
        <v>4</v>
      </c>
    </row>
    <row r="654" spans="2:25" ht="15" customHeight="1" outlineLevel="1">
      <c r="B654" s="505" t="s">
        <v>156</v>
      </c>
      <c r="C654" s="13" t="s">
        <v>26</v>
      </c>
      <c r="D654" s="506"/>
      <c r="E654" s="506"/>
      <c r="F654" s="506"/>
      <c r="G654" s="506"/>
      <c r="H654" s="507">
        <f t="shared" ref="H654:X654" si="1474">H570+SUM(H630:H634)</f>
        <v>810.79999999999984</v>
      </c>
      <c r="I654" s="507">
        <f t="shared" si="1474"/>
        <v>1058.4000000000001</v>
      </c>
      <c r="J654" s="507">
        <f t="shared" si="1474"/>
        <v>1270.6000000000006</v>
      </c>
      <c r="K654" s="507">
        <f t="shared" si="1474"/>
        <v>1569.1</v>
      </c>
      <c r="L654" s="507">
        <f t="shared" si="1474"/>
        <v>1661</v>
      </c>
      <c r="M654" s="507">
        <f t="shared" si="1474"/>
        <v>1257</v>
      </c>
      <c r="N654" s="507">
        <f t="shared" si="1474"/>
        <v>1651</v>
      </c>
      <c r="O654" s="507">
        <f t="shared" si="1474"/>
        <v>1779</v>
      </c>
      <c r="P654" s="507">
        <f t="shared" si="1474"/>
        <v>1888</v>
      </c>
      <c r="Q654" s="507">
        <f t="shared" si="1474"/>
        <v>2023</v>
      </c>
      <c r="R654" s="507">
        <f t="shared" si="1474"/>
        <v>2038.3579165457668</v>
      </c>
      <c r="S654" s="507">
        <f t="shared" si="1474"/>
        <v>2381.5811979216719</v>
      </c>
      <c r="T654" s="507">
        <f t="shared" si="1474"/>
        <v>2893.6533663767154</v>
      </c>
      <c r="U654" s="507">
        <f t="shared" si="1474"/>
        <v>3343.1001457170587</v>
      </c>
      <c r="V654" s="507">
        <f t="shared" si="1474"/>
        <v>3964.3357561175958</v>
      </c>
      <c r="W654" s="507">
        <f t="shared" si="1474"/>
        <v>4771.8846587642447</v>
      </c>
      <c r="X654" s="507">
        <f t="shared" si="1474"/>
        <v>5771.7843808298439</v>
      </c>
      <c r="Y654" s="135" t="s">
        <v>4</v>
      </c>
    </row>
    <row r="655" spans="2:25" ht="15" customHeight="1" outlineLevel="1">
      <c r="B655" s="6" t="s">
        <v>27</v>
      </c>
      <c r="C655" s="1" t="s">
        <v>21</v>
      </c>
      <c r="D655" s="72"/>
      <c r="E655" s="72"/>
      <c r="F655" s="72"/>
      <c r="G655" s="72"/>
      <c r="H655" s="24" t="str">
        <f t="shared" ref="H655" si="1475">IFERROR(H654/G654-1,"n.m.")</f>
        <v>n.m.</v>
      </c>
      <c r="I655" s="24">
        <f t="shared" ref="I655" si="1476">IFERROR(I654/H654-1,"n.m.")</f>
        <v>0.30537740503206745</v>
      </c>
      <c r="J655" s="24">
        <f t="shared" ref="J655" si="1477">IFERROR(J654/I654-1,"n.m.")</f>
        <v>0.20049130763416523</v>
      </c>
      <c r="K655" s="24">
        <f t="shared" ref="K655" si="1478">IFERROR(K654/J654-1,"n.m.")</f>
        <v>0.23492838029277441</v>
      </c>
      <c r="L655" s="24">
        <f t="shared" ref="L655" si="1479">IFERROR(L654/K654-1,"n.m.")</f>
        <v>5.8568606207380025E-2</v>
      </c>
      <c r="M655" s="24">
        <f t="shared" ref="M655" si="1480">IFERROR(M654/L654-1,"n.m.")</f>
        <v>-0.24322697170379293</v>
      </c>
      <c r="N655" s="24">
        <f t="shared" ref="N655" si="1481">IFERROR(N654/M654-1,"n.m.")</f>
        <v>0.31344470962609394</v>
      </c>
      <c r="O655" s="24">
        <f t="shared" ref="O655" si="1482">IFERROR(O654/N654-1,"n.m.")</f>
        <v>7.7528770442156336E-2</v>
      </c>
      <c r="P655" s="24">
        <f t="shared" ref="P655" si="1483">IFERROR(P654/O654-1,"n.m.")</f>
        <v>6.1270376616076483E-2</v>
      </c>
      <c r="Q655" s="24">
        <f t="shared" ref="Q655" si="1484">IFERROR(Q654/P654-1,"n.m.")</f>
        <v>7.1504237288135597E-2</v>
      </c>
      <c r="R655" s="24">
        <f t="shared" ref="R655" si="1485">IFERROR(R654/Q654-1,"n.m.")</f>
        <v>7.5916542490197525E-3</v>
      </c>
      <c r="S655" s="24">
        <f t="shared" ref="S655" si="1486">IFERROR(S654/R654-1,"n.m.")</f>
        <v>0.16838224464403018</v>
      </c>
      <c r="T655" s="24">
        <f t="shared" ref="T655" si="1487">IFERROR(T654/S654-1,"n.m.")</f>
        <v>0.21501352500679483</v>
      </c>
      <c r="U655" s="24">
        <f t="shared" ref="U655" si="1488">IFERROR(U654/T654-1,"n.m.")</f>
        <v>0.15532156842376654</v>
      </c>
      <c r="V655" s="24">
        <f t="shared" ref="V655" si="1489">IFERROR(V654/U654-1,"n.m.")</f>
        <v>0.18582620421838691</v>
      </c>
      <c r="W655" s="24">
        <f t="shared" ref="W655" si="1490">IFERROR(W654/V654-1,"n.m.")</f>
        <v>0.20370345811413015</v>
      </c>
      <c r="X655" s="24">
        <f t="shared" ref="X655" si="1491">IFERROR(X654/W654-1,"n.m.")</f>
        <v>0.20953979267481682</v>
      </c>
      <c r="Y655" s="135" t="s">
        <v>4</v>
      </c>
    </row>
    <row r="656" spans="2:25" ht="15" customHeight="1" outlineLevel="1">
      <c r="B656" s="6" t="s">
        <v>121</v>
      </c>
      <c r="C656" s="1" t="s">
        <v>21</v>
      </c>
      <c r="D656" s="72"/>
      <c r="E656" s="72"/>
      <c r="F656" s="72"/>
      <c r="G656" s="72"/>
      <c r="H656" s="24">
        <f t="shared" ref="H656:X656" si="1492">H654/H$432</f>
        <v>0.20008884062978133</v>
      </c>
      <c r="I656" s="24">
        <f t="shared" si="1492"/>
        <v>0.25529451493077332</v>
      </c>
      <c r="J656" s="24">
        <f t="shared" si="1492"/>
        <v>0.27766001617097541</v>
      </c>
      <c r="K656" s="24">
        <f t="shared" si="1492"/>
        <v>0.2929064775060668</v>
      </c>
      <c r="L656" s="24">
        <f t="shared" si="1492"/>
        <v>0.29644833125111547</v>
      </c>
      <c r="M656" s="24">
        <f t="shared" si="1492"/>
        <v>0.2530193236714976</v>
      </c>
      <c r="N656" s="24">
        <f t="shared" si="1492"/>
        <v>0.28768078062380203</v>
      </c>
      <c r="O656" s="24">
        <f t="shared" si="1492"/>
        <v>0.27348193697156031</v>
      </c>
      <c r="P656" s="24">
        <f t="shared" si="1492"/>
        <v>0.26886926801481059</v>
      </c>
      <c r="Q656" s="24">
        <f t="shared" si="1492"/>
        <v>0.24066143231025458</v>
      </c>
      <c r="R656" s="24">
        <f t="shared" si="1492"/>
        <v>0.14961850599259099</v>
      </c>
      <c r="S656" s="24">
        <f t="shared" si="1492"/>
        <v>0.21932048318244618</v>
      </c>
      <c r="T656" s="24">
        <f t="shared" si="1492"/>
        <v>0.21968079561560661</v>
      </c>
      <c r="U656" s="24">
        <f t="shared" si="1492"/>
        <v>0.22324940665809992</v>
      </c>
      <c r="V656" s="24">
        <f t="shared" si="1492"/>
        <v>0.23024133742904615</v>
      </c>
      <c r="W656" s="24">
        <f t="shared" si="1492"/>
        <v>0.23790003681037955</v>
      </c>
      <c r="X656" s="24">
        <f t="shared" si="1492"/>
        <v>0.24340532732973186</v>
      </c>
      <c r="Y656" s="135" t="s">
        <v>4</v>
      </c>
    </row>
    <row r="657" spans="1:26" ht="15" customHeight="1" outlineLevel="1">
      <c r="B657" s="504"/>
      <c r="D657" s="24"/>
      <c r="E657" s="24"/>
      <c r="F657" s="24"/>
      <c r="G657" s="24"/>
      <c r="H657" s="24"/>
      <c r="I657" s="24"/>
      <c r="J657" s="24"/>
      <c r="K657" s="24"/>
      <c r="L657" s="24"/>
      <c r="M657" s="24"/>
      <c r="N657" s="24"/>
      <c r="O657" s="24"/>
      <c r="P657" s="24"/>
      <c r="Q657" s="24"/>
      <c r="R657" s="24"/>
      <c r="S657" s="24"/>
      <c r="T657" s="24"/>
      <c r="U657" s="24"/>
      <c r="V657" s="24"/>
      <c r="W657" s="24"/>
      <c r="X657" s="24"/>
      <c r="Y657" s="135" t="s">
        <v>4</v>
      </c>
    </row>
    <row r="658" spans="1:26" ht="15" customHeight="1" outlineLevel="1">
      <c r="B658" s="508" t="s">
        <v>157</v>
      </c>
      <c r="C658" s="216" t="s">
        <v>26</v>
      </c>
      <c r="D658" s="509"/>
      <c r="E658" s="509"/>
      <c r="F658" s="509"/>
      <c r="G658" s="509"/>
      <c r="H658" s="507">
        <f t="shared" ref="H658:Q658" si="1493">H574+H635</f>
        <v>-249.7</v>
      </c>
      <c r="I658" s="507">
        <f t="shared" si="1493"/>
        <v>-272.10000000000002</v>
      </c>
      <c r="J658" s="507">
        <f t="shared" si="1493"/>
        <v>-214.9</v>
      </c>
      <c r="K658" s="507">
        <f t="shared" si="1493"/>
        <v>-272</v>
      </c>
      <c r="L658" s="507">
        <f t="shared" si="1493"/>
        <v>-313</v>
      </c>
      <c r="M658" s="507">
        <f t="shared" si="1493"/>
        <v>-225</v>
      </c>
      <c r="N658" s="507">
        <f t="shared" si="1493"/>
        <v>-239</v>
      </c>
      <c r="O658" s="507">
        <f t="shared" si="1493"/>
        <v>-213</v>
      </c>
      <c r="P658" s="507">
        <f t="shared" si="1493"/>
        <v>-214</v>
      </c>
      <c r="Q658" s="507">
        <f t="shared" si="1493"/>
        <v>-333</v>
      </c>
      <c r="R658" s="507">
        <f>R659*R654</f>
        <v>-309.11144906710496</v>
      </c>
      <c r="S658" s="507">
        <f t="shared" ref="S658:X658" si="1494">S659*S654</f>
        <v>-346.555912795246</v>
      </c>
      <c r="T658" s="507">
        <f t="shared" si="1494"/>
        <v>-404.92230033893588</v>
      </c>
      <c r="U658" s="507">
        <f t="shared" si="1494"/>
        <v>-465.12643030978268</v>
      </c>
      <c r="V658" s="507">
        <f t="shared" si="1494"/>
        <v>-564.37718498284482</v>
      </c>
      <c r="W658" s="507">
        <f t="shared" si="1494"/>
        <v>-702.41973175853354</v>
      </c>
      <c r="X658" s="507">
        <f t="shared" si="1494"/>
        <v>-832.85934903466239</v>
      </c>
      <c r="Y658" s="135" t="s">
        <v>4</v>
      </c>
    </row>
    <row r="659" spans="1:26" ht="15" customHeight="1" outlineLevel="1">
      <c r="B659" s="6" t="s">
        <v>123</v>
      </c>
      <c r="C659" s="1" t="s">
        <v>26</v>
      </c>
      <c r="D659" s="62"/>
      <c r="E659" s="62"/>
      <c r="F659" s="62"/>
      <c r="G659" s="62"/>
      <c r="H659" s="23">
        <f t="shared" ref="H659:P659" si="1495">H658/H654</f>
        <v>-0.30796743956586092</v>
      </c>
      <c r="I659" s="23">
        <f t="shared" si="1495"/>
        <v>-0.25708616780045351</v>
      </c>
      <c r="J659" s="23">
        <f t="shared" si="1495"/>
        <v>-0.16913269321580349</v>
      </c>
      <c r="K659" s="23">
        <f t="shared" si="1495"/>
        <v>-0.1733477789815818</v>
      </c>
      <c r="L659" s="23">
        <f t="shared" si="1495"/>
        <v>-0.18844069837447322</v>
      </c>
      <c r="M659" s="23">
        <f t="shared" si="1495"/>
        <v>-0.17899761336515513</v>
      </c>
      <c r="N659" s="23">
        <f t="shared" si="1495"/>
        <v>-0.14476075105996367</v>
      </c>
      <c r="O659" s="23">
        <f t="shared" si="1495"/>
        <v>-0.11973018549747048</v>
      </c>
      <c r="P659" s="23">
        <f t="shared" si="1495"/>
        <v>-0.11334745762711865</v>
      </c>
      <c r="Q659" s="23">
        <f>Q658/Q654</f>
        <v>-0.16460701927829954</v>
      </c>
      <c r="R659" s="176">
        <f t="shared" ref="R659:X659" si="1496">AVERAGE(L659:Q659)</f>
        <v>-0.15164728753374679</v>
      </c>
      <c r="S659" s="176">
        <f t="shared" si="1496"/>
        <v>-0.14551505239362572</v>
      </c>
      <c r="T659" s="176">
        <f t="shared" si="1496"/>
        <v>-0.13993462556503747</v>
      </c>
      <c r="U659" s="176">
        <f t="shared" si="1496"/>
        <v>-0.1391302713158831</v>
      </c>
      <c r="V659" s="176">
        <f t="shared" si="1496"/>
        <v>-0.14236361895228519</v>
      </c>
      <c r="W659" s="176">
        <f t="shared" si="1496"/>
        <v>-0.14719964583981296</v>
      </c>
      <c r="X659" s="176">
        <f t="shared" si="1496"/>
        <v>-0.14429841693339854</v>
      </c>
      <c r="Y659" s="135" t="s">
        <v>4</v>
      </c>
      <c r="Z659" s="659"/>
    </row>
    <row r="660" spans="1:26" ht="15" customHeight="1" outlineLevel="1">
      <c r="Y660" s="135" t="s">
        <v>4</v>
      </c>
    </row>
    <row r="661" spans="1:26" ht="15" customHeight="1" outlineLevel="1">
      <c r="B661" s="505" t="s">
        <v>158</v>
      </c>
      <c r="C661" s="13" t="s">
        <v>26</v>
      </c>
      <c r="D661" s="506"/>
      <c r="E661" s="506"/>
      <c r="F661" s="506"/>
      <c r="G661" s="506"/>
      <c r="H661" s="507">
        <f t="shared" ref="H661:X661" si="1497">H570+SUM(H642:H646)</f>
        <v>642.29999999999995</v>
      </c>
      <c r="I661" s="507">
        <f t="shared" si="1497"/>
        <v>1000.0000000000001</v>
      </c>
      <c r="J661" s="507">
        <f t="shared" si="1497"/>
        <v>1213.7000000000007</v>
      </c>
      <c r="K661" s="507">
        <f t="shared" si="1497"/>
        <v>1469.1</v>
      </c>
      <c r="L661" s="507">
        <f t="shared" si="1497"/>
        <v>1550</v>
      </c>
      <c r="M661" s="507">
        <f t="shared" si="1497"/>
        <v>1157</v>
      </c>
      <c r="N661" s="507">
        <f t="shared" si="1497"/>
        <v>1533</v>
      </c>
      <c r="O661" s="507">
        <f t="shared" si="1497"/>
        <v>1597</v>
      </c>
      <c r="P661" s="507">
        <f t="shared" si="1497"/>
        <v>1656</v>
      </c>
      <c r="Q661" s="507">
        <f t="shared" si="1497"/>
        <v>1831</v>
      </c>
      <c r="R661" s="507">
        <f t="shared" si="1497"/>
        <v>1766.869951623682</v>
      </c>
      <c r="S661" s="507">
        <f t="shared" si="1497"/>
        <v>2137.8108421195602</v>
      </c>
      <c r="T661" s="507">
        <f t="shared" si="1497"/>
        <v>2600.711213394547</v>
      </c>
      <c r="U661" s="507">
        <f t="shared" si="1497"/>
        <v>3011.7697604099749</v>
      </c>
      <c r="V661" s="507">
        <f t="shared" si="1497"/>
        <v>3585.295686185822</v>
      </c>
      <c r="W661" s="507">
        <f t="shared" si="1497"/>
        <v>4332.5175204956195</v>
      </c>
      <c r="X661" s="507">
        <f t="shared" si="1497"/>
        <v>5254.8790404985539</v>
      </c>
      <c r="Y661" s="135" t="s">
        <v>4</v>
      </c>
    </row>
    <row r="662" spans="1:26" ht="15" customHeight="1" outlineLevel="1">
      <c r="B662" s="6" t="s">
        <v>27</v>
      </c>
      <c r="C662" s="1" t="s">
        <v>21</v>
      </c>
      <c r="D662" s="72"/>
      <c r="E662" s="72"/>
      <c r="F662" s="72"/>
      <c r="G662" s="72"/>
      <c r="H662" s="24" t="str">
        <f t="shared" ref="H662" si="1498">IFERROR(H661/G661-1,"n.m.")</f>
        <v>n.m.</v>
      </c>
      <c r="I662" s="24">
        <f t="shared" ref="I662" si="1499">IFERROR(I661/H661-1,"n.m.")</f>
        <v>0.55690487311225323</v>
      </c>
      <c r="J662" s="24">
        <f t="shared" ref="J662" si="1500">IFERROR(J661/I661-1,"n.m.")</f>
        <v>0.21370000000000067</v>
      </c>
      <c r="K662" s="24">
        <f t="shared" ref="K662" si="1501">IFERROR(K661/J661-1,"n.m.")</f>
        <v>0.21043091373485945</v>
      </c>
      <c r="L662" s="24">
        <f t="shared" ref="L662" si="1502">IFERROR(L661/K661-1,"n.m.")</f>
        <v>5.5067728541283945E-2</v>
      </c>
      <c r="M662" s="24">
        <f t="shared" ref="M662" si="1503">IFERROR(M661/L661-1,"n.m.")</f>
        <v>-0.25354838709677419</v>
      </c>
      <c r="N662" s="24">
        <f t="shared" ref="N662" si="1504">IFERROR(N661/M661-1,"n.m.")</f>
        <v>0.32497839239412274</v>
      </c>
      <c r="O662" s="24">
        <f t="shared" ref="O662" si="1505">IFERROR(O661/N661-1,"n.m.")</f>
        <v>4.1748206131767773E-2</v>
      </c>
      <c r="P662" s="24">
        <f t="shared" ref="P662" si="1506">IFERROR(P661/O661-1,"n.m.")</f>
        <v>3.6944270507200949E-2</v>
      </c>
      <c r="Q662" s="24">
        <f t="shared" ref="Q662" si="1507">IFERROR(Q661/P661-1,"n.m.")</f>
        <v>0.10567632850241537</v>
      </c>
      <c r="R662" s="24">
        <f t="shared" ref="R662" si="1508">IFERROR(R661/Q661-1,"n.m.")</f>
        <v>-3.5024603154733991E-2</v>
      </c>
      <c r="S662" s="24">
        <f t="shared" ref="S662" si="1509">IFERROR(S661/R661-1,"n.m.")</f>
        <v>0.20994238435884793</v>
      </c>
      <c r="T662" s="24">
        <f t="shared" ref="T662" si="1510">IFERROR(T661/S661-1,"n.m.")</f>
        <v>0.21653008870328216</v>
      </c>
      <c r="U662" s="24">
        <f t="shared" ref="U662" si="1511">IFERROR(U661/T661-1,"n.m.")</f>
        <v>0.15805620589411729</v>
      </c>
      <c r="V662" s="24">
        <f t="shared" ref="V662" si="1512">IFERROR(V661/U661-1,"n.m.")</f>
        <v>0.1904282104544992</v>
      </c>
      <c r="W662" s="24">
        <f t="shared" ref="W662" si="1513">IFERROR(W661/V661-1,"n.m.")</f>
        <v>0.20841288967848604</v>
      </c>
      <c r="X662" s="24">
        <f t="shared" ref="X662" si="1514">IFERROR(X661/W661-1,"n.m.")</f>
        <v>0.21289273860741842</v>
      </c>
      <c r="Y662" s="135" t="s">
        <v>4</v>
      </c>
    </row>
    <row r="663" spans="1:26" ht="15" customHeight="1" outlineLevel="1">
      <c r="B663" s="6" t="s">
        <v>121</v>
      </c>
      <c r="C663" s="1" t="s">
        <v>21</v>
      </c>
      <c r="D663" s="72"/>
      <c r="E663" s="72"/>
      <c r="F663" s="72"/>
      <c r="G663" s="72"/>
      <c r="H663" s="24">
        <f t="shared" ref="H663:X663" si="1515">H661/H$432</f>
        <v>0.15850649030156458</v>
      </c>
      <c r="I663" s="24">
        <f t="shared" si="1515"/>
        <v>0.24120796951131268</v>
      </c>
      <c r="J663" s="24">
        <f t="shared" si="1515"/>
        <v>0.26522584733725241</v>
      </c>
      <c r="K663" s="24">
        <f t="shared" si="1515"/>
        <v>0.27423931304834792</v>
      </c>
      <c r="L663" s="24">
        <f t="shared" si="1515"/>
        <v>0.27663751561663397</v>
      </c>
      <c r="M663" s="24">
        <f t="shared" si="1515"/>
        <v>0.23289049919484703</v>
      </c>
      <c r="N663" s="24">
        <f t="shared" si="1515"/>
        <v>0.2671197072660742</v>
      </c>
      <c r="O663" s="24">
        <f t="shared" si="1515"/>
        <v>0.24550345887778632</v>
      </c>
      <c r="P663" s="24">
        <f t="shared" si="1515"/>
        <v>0.23583024779265166</v>
      </c>
      <c r="Q663" s="24">
        <f t="shared" si="1515"/>
        <v>0.21782060433024031</v>
      </c>
      <c r="R663" s="24">
        <f t="shared" si="1515"/>
        <v>0.12969088514794272</v>
      </c>
      <c r="S663" s="24">
        <f t="shared" si="1515"/>
        <v>0.19687160246961047</v>
      </c>
      <c r="T663" s="24">
        <f t="shared" si="1515"/>
        <v>0.19744117079245374</v>
      </c>
      <c r="U663" s="24">
        <f t="shared" si="1515"/>
        <v>0.20112344312022318</v>
      </c>
      <c r="V663" s="24">
        <f t="shared" si="1515"/>
        <v>0.20822738654064871</v>
      </c>
      <c r="W663" s="24">
        <f t="shared" si="1515"/>
        <v>0.21599559740290117</v>
      </c>
      <c r="X663" s="24">
        <f t="shared" si="1515"/>
        <v>0.2216066069929658</v>
      </c>
      <c r="Y663" s="135" t="s">
        <v>4</v>
      </c>
    </row>
    <row r="664" spans="1:26" ht="15" customHeight="1" outlineLevel="1">
      <c r="Y664" s="135" t="s">
        <v>4</v>
      </c>
    </row>
    <row r="665" spans="1:26" ht="15" customHeight="1" outlineLevel="1">
      <c r="B665" s="508" t="s">
        <v>157</v>
      </c>
      <c r="C665" s="216" t="s">
        <v>26</v>
      </c>
      <c r="D665" s="509"/>
      <c r="E665" s="509"/>
      <c r="F665" s="509"/>
      <c r="G665" s="509"/>
      <c r="H665" s="507">
        <f>H661*H666</f>
        <v>-197.80748643315246</v>
      </c>
      <c r="I665" s="507">
        <f t="shared" ref="I665:X665" si="1516">I661*I666</f>
        <v>-257.08616780045355</v>
      </c>
      <c r="J665" s="507">
        <f t="shared" si="1516"/>
        <v>-205.27634975602081</v>
      </c>
      <c r="K665" s="507">
        <f t="shared" si="1516"/>
        <v>-254.66522210184181</v>
      </c>
      <c r="L665" s="507">
        <f t="shared" si="1516"/>
        <v>-292.08308248043352</v>
      </c>
      <c r="M665" s="507">
        <f t="shared" si="1516"/>
        <v>-207.10023866348448</v>
      </c>
      <c r="N665" s="507">
        <f t="shared" si="1516"/>
        <v>-221.91823137492429</v>
      </c>
      <c r="O665" s="507">
        <f t="shared" si="1516"/>
        <v>-191.20910623946037</v>
      </c>
      <c r="P665" s="507">
        <f t="shared" si="1516"/>
        <v>-187.70338983050848</v>
      </c>
      <c r="Q665" s="507">
        <f t="shared" si="1516"/>
        <v>-301.39545229856645</v>
      </c>
      <c r="R665" s="507">
        <f t="shared" si="1516"/>
        <v>-267.94103558861377</v>
      </c>
      <c r="S665" s="507">
        <f t="shared" si="1516"/>
        <v>-311.08365669868891</v>
      </c>
      <c r="T665" s="507">
        <f t="shared" si="1516"/>
        <v>-363.9295498491602</v>
      </c>
      <c r="U665" s="507">
        <f t="shared" si="1516"/>
        <v>-419.02834390681204</v>
      </c>
      <c r="V665" s="507">
        <f t="shared" si="1516"/>
        <v>-510.41566889943022</v>
      </c>
      <c r="W665" s="507">
        <f t="shared" si="1516"/>
        <v>-637.74504461173979</v>
      </c>
      <c r="X665" s="507">
        <f t="shared" si="1516"/>
        <v>-758.27072672043755</v>
      </c>
      <c r="Y665" s="135" t="s">
        <v>4</v>
      </c>
    </row>
    <row r="666" spans="1:26" ht="15" customHeight="1" outlineLevel="1">
      <c r="B666" s="6" t="s">
        <v>123</v>
      </c>
      <c r="C666" s="1" t="s">
        <v>26</v>
      </c>
      <c r="D666" s="62"/>
      <c r="E666" s="62"/>
      <c r="F666" s="62"/>
      <c r="G666" s="62"/>
      <c r="H666" s="510">
        <f>H659</f>
        <v>-0.30796743956586092</v>
      </c>
      <c r="I666" s="510">
        <f t="shared" ref="I666:Q666" si="1517">I659</f>
        <v>-0.25708616780045351</v>
      </c>
      <c r="J666" s="510">
        <f t="shared" si="1517"/>
        <v>-0.16913269321580349</v>
      </c>
      <c r="K666" s="510">
        <f t="shared" si="1517"/>
        <v>-0.1733477789815818</v>
      </c>
      <c r="L666" s="510">
        <f t="shared" si="1517"/>
        <v>-0.18844069837447322</v>
      </c>
      <c r="M666" s="510">
        <f t="shared" si="1517"/>
        <v>-0.17899761336515513</v>
      </c>
      <c r="N666" s="510">
        <f t="shared" si="1517"/>
        <v>-0.14476075105996367</v>
      </c>
      <c r="O666" s="510">
        <f t="shared" si="1517"/>
        <v>-0.11973018549747048</v>
      </c>
      <c r="P666" s="510">
        <f t="shared" si="1517"/>
        <v>-0.11334745762711865</v>
      </c>
      <c r="Q666" s="510">
        <f t="shared" si="1517"/>
        <v>-0.16460701927829954</v>
      </c>
      <c r="R666" s="510">
        <f t="shared" ref="R666:X666" si="1518">R659</f>
        <v>-0.15164728753374679</v>
      </c>
      <c r="S666" s="510">
        <f t="shared" si="1518"/>
        <v>-0.14551505239362572</v>
      </c>
      <c r="T666" s="510">
        <f t="shared" si="1518"/>
        <v>-0.13993462556503747</v>
      </c>
      <c r="U666" s="510">
        <f t="shared" si="1518"/>
        <v>-0.1391302713158831</v>
      </c>
      <c r="V666" s="510">
        <f t="shared" si="1518"/>
        <v>-0.14236361895228519</v>
      </c>
      <c r="W666" s="510">
        <f t="shared" si="1518"/>
        <v>-0.14719964583981296</v>
      </c>
      <c r="X666" s="510">
        <f t="shared" si="1518"/>
        <v>-0.14429841693339854</v>
      </c>
      <c r="Y666" s="135" t="s">
        <v>4</v>
      </c>
      <c r="Z666" s="659"/>
    </row>
    <row r="667" spans="1:26" ht="15" customHeight="1" outlineLevel="1">
      <c r="Y667" s="135" t="s">
        <v>4</v>
      </c>
    </row>
    <row r="668" spans="1:26" ht="15" customHeight="1">
      <c r="Y668" s="135" t="s">
        <v>4</v>
      </c>
    </row>
    <row r="669" spans="1:26" ht="15" customHeight="1">
      <c r="A669" s="1" t="s">
        <v>4</v>
      </c>
      <c r="B669" s="148" t="s">
        <v>159</v>
      </c>
      <c r="C669" s="149" t="s">
        <v>11</v>
      </c>
      <c r="D669" s="150">
        <v>2011</v>
      </c>
      <c r="E669" s="150">
        <v>2012</v>
      </c>
      <c r="F669" s="150">
        <v>2013</v>
      </c>
      <c r="G669" s="150">
        <v>2014</v>
      </c>
      <c r="H669" s="150">
        <v>2015</v>
      </c>
      <c r="I669" s="150">
        <v>2016</v>
      </c>
      <c r="J669" s="150">
        <v>2017</v>
      </c>
      <c r="K669" s="150">
        <v>2018</v>
      </c>
      <c r="L669" s="150">
        <v>2019</v>
      </c>
      <c r="M669" s="150">
        <v>2020</v>
      </c>
      <c r="N669" s="150">
        <v>2021</v>
      </c>
      <c r="O669" s="150">
        <v>2022</v>
      </c>
      <c r="P669" s="150">
        <v>2023</v>
      </c>
      <c r="Q669" s="150">
        <v>2024</v>
      </c>
      <c r="R669" s="151" t="s">
        <v>23</v>
      </c>
      <c r="S669" s="151" t="s">
        <v>12</v>
      </c>
      <c r="T669" s="151" t="s">
        <v>13</v>
      </c>
      <c r="U669" s="151" t="s">
        <v>14</v>
      </c>
      <c r="V669" s="151" t="s">
        <v>15</v>
      </c>
      <c r="W669" s="152" t="s">
        <v>16</v>
      </c>
      <c r="X669" s="151" t="s">
        <v>17</v>
      </c>
      <c r="Y669" s="135" t="s">
        <v>4</v>
      </c>
    </row>
    <row r="670" spans="1:26" ht="15" customHeight="1" outlineLevel="1">
      <c r="G670" s="25"/>
      <c r="H670" s="25"/>
      <c r="I670" s="25"/>
      <c r="J670" s="25"/>
      <c r="K670" s="25"/>
      <c r="L670" s="25"/>
      <c r="M670" s="25"/>
      <c r="N670" s="25"/>
      <c r="O670" s="25"/>
      <c r="P670" s="25"/>
      <c r="Q670" s="25"/>
      <c r="Y670" s="135" t="s">
        <v>4</v>
      </c>
    </row>
    <row r="671" spans="1:26" ht="15" customHeight="1" outlineLevel="1">
      <c r="B671" s="188" t="s">
        <v>160</v>
      </c>
      <c r="C671" s="189" t="s">
        <v>26</v>
      </c>
      <c r="D671" s="210"/>
      <c r="E671" s="210"/>
      <c r="F671" s="210"/>
      <c r="G671" s="190">
        <f t="shared" ref="G671:Q671" si="1519">G672+G680</f>
        <v>21164</v>
      </c>
      <c r="H671" s="190">
        <f t="shared" si="1519"/>
        <v>18411.099999999999</v>
      </c>
      <c r="I671" s="190">
        <f t="shared" si="1519"/>
        <v>19124.900000000001</v>
      </c>
      <c r="J671" s="190">
        <f t="shared" si="1519"/>
        <v>21223.499999999996</v>
      </c>
      <c r="K671" s="190">
        <f t="shared" si="1519"/>
        <v>20141</v>
      </c>
      <c r="L671" s="190">
        <f t="shared" si="1519"/>
        <v>22360</v>
      </c>
      <c r="M671" s="190">
        <f t="shared" si="1519"/>
        <v>22777</v>
      </c>
      <c r="N671" s="190">
        <f t="shared" si="1519"/>
        <v>23246</v>
      </c>
      <c r="O671" s="190">
        <f t="shared" si="1519"/>
        <v>22746</v>
      </c>
      <c r="P671" s="190">
        <f t="shared" si="1519"/>
        <v>23391</v>
      </c>
      <c r="Q671" s="190">
        <f t="shared" si="1519"/>
        <v>24632</v>
      </c>
      <c r="R671" s="190">
        <f t="shared" ref="R671:W671" si="1520">R672+R680</f>
        <v>26692.700144368784</v>
      </c>
      <c r="S671" s="190">
        <f t="shared" si="1520"/>
        <v>23928.446374626263</v>
      </c>
      <c r="T671" s="190">
        <f t="shared" si="1520"/>
        <v>22015.088313418401</v>
      </c>
      <c r="U671" s="190">
        <f t="shared" si="1520"/>
        <v>19893.713971462956</v>
      </c>
      <c r="V671" s="190">
        <f t="shared" si="1520"/>
        <v>19160.61317947456</v>
      </c>
      <c r="W671" s="190">
        <f t="shared" si="1520"/>
        <v>19401.642669027475</v>
      </c>
      <c r="X671" s="190">
        <f t="shared" ref="X671" si="1521">X672+X680</f>
        <v>21877.030516717474</v>
      </c>
      <c r="Y671" s="135" t="s">
        <v>4</v>
      </c>
    </row>
    <row r="672" spans="1:26" ht="15" customHeight="1" outlineLevel="1">
      <c r="B672" s="201" t="s">
        <v>161</v>
      </c>
      <c r="C672" s="192" t="s">
        <v>26</v>
      </c>
      <c r="D672" s="211"/>
      <c r="E672" s="211"/>
      <c r="F672" s="211"/>
      <c r="G672" s="193">
        <f t="shared" ref="G672:Q672" si="1522">SUM(G673:G678)</f>
        <v>2661.1</v>
      </c>
      <c r="H672" s="193">
        <f t="shared" si="1522"/>
        <v>1369.5</v>
      </c>
      <c r="I672" s="193">
        <f t="shared" si="1522"/>
        <v>2097</v>
      </c>
      <c r="J672" s="193">
        <f t="shared" si="1522"/>
        <v>1749.6000000000001</v>
      </c>
      <c r="K672" s="193">
        <f t="shared" si="1522"/>
        <v>1500</v>
      </c>
      <c r="L672" s="193">
        <f t="shared" si="1522"/>
        <v>2196</v>
      </c>
      <c r="M672" s="193">
        <f t="shared" si="1522"/>
        <v>2264</v>
      </c>
      <c r="N672" s="193">
        <f t="shared" si="1522"/>
        <v>1816</v>
      </c>
      <c r="O672" s="193">
        <f t="shared" si="1522"/>
        <v>2048</v>
      </c>
      <c r="P672" s="193">
        <f t="shared" si="1522"/>
        <v>2173</v>
      </c>
      <c r="Q672" s="193">
        <f t="shared" si="1522"/>
        <v>2282</v>
      </c>
      <c r="R672" s="193">
        <f t="shared" ref="R672:W672" si="1523">SUM(R673:R678)</f>
        <v>4320.0528201132156</v>
      </c>
      <c r="S672" s="193">
        <f t="shared" si="1523"/>
        <v>1498.6801981585447</v>
      </c>
      <c r="T672" s="193">
        <f t="shared" si="1523"/>
        <v>-384.5064952893706</v>
      </c>
      <c r="U672" s="193">
        <f t="shared" si="1523"/>
        <v>-2201.1598196316118</v>
      </c>
      <c r="V672" s="193">
        <f t="shared" si="1523"/>
        <v>-2538.3676954957941</v>
      </c>
      <c r="W672" s="193">
        <f t="shared" si="1523"/>
        <v>-1790.8472070891876</v>
      </c>
      <c r="X672" s="193">
        <f t="shared" ref="X672" si="1524">SUM(X673:X678)</f>
        <v>1320.0952230544335</v>
      </c>
      <c r="Y672" s="135" t="s">
        <v>4</v>
      </c>
    </row>
    <row r="673" spans="2:25" ht="15" customHeight="1" outlineLevel="1">
      <c r="B673" s="202" t="s">
        <v>162</v>
      </c>
      <c r="C673" s="194" t="s">
        <v>26</v>
      </c>
      <c r="D673" s="212"/>
      <c r="E673" s="212"/>
      <c r="F673" s="212"/>
      <c r="G673" s="209">
        <f>1803.2+84.5</f>
        <v>1887.7</v>
      </c>
      <c r="H673" s="209">
        <v>757.8</v>
      </c>
      <c r="I673" s="209">
        <v>1460.4</v>
      </c>
      <c r="J673" s="209">
        <v>1073.4000000000001</v>
      </c>
      <c r="K673" s="209">
        <v>913</v>
      </c>
      <c r="L673" s="209">
        <v>1533</v>
      </c>
      <c r="M673" s="209">
        <v>1560</v>
      </c>
      <c r="N673" s="209">
        <v>1087</v>
      </c>
      <c r="O673" s="209">
        <v>1178</v>
      </c>
      <c r="P673" s="209">
        <v>1139</v>
      </c>
      <c r="Q673" s="209">
        <v>1334</v>
      </c>
      <c r="R673" s="195">
        <f>Q673+R757</f>
        <v>2538.514977578423</v>
      </c>
      <c r="S673" s="195">
        <f t="shared" ref="S673:W673" si="1525">R673+S757</f>
        <v>127.74394141124048</v>
      </c>
      <c r="T673" s="195">
        <f t="shared" si="1525"/>
        <v>-2076.5286778262489</v>
      </c>
      <c r="U673" s="195">
        <f t="shared" si="1525"/>
        <v>-4147.0589449246727</v>
      </c>
      <c r="V673" s="195">
        <f t="shared" si="1525"/>
        <v>-4773.2188938260197</v>
      </c>
      <c r="W673" s="195">
        <f t="shared" si="1525"/>
        <v>-4373.2717780602734</v>
      </c>
      <c r="X673" s="195">
        <f t="shared" ref="X673" si="1526">W673+X757</f>
        <v>-1780.5861507612208</v>
      </c>
      <c r="Y673" s="135" t="s">
        <v>4</v>
      </c>
    </row>
    <row r="674" spans="2:25" ht="15" customHeight="1" outlineLevel="1">
      <c r="B674" s="203" t="s">
        <v>163</v>
      </c>
      <c r="C674" s="197" t="s">
        <v>26</v>
      </c>
      <c r="D674" s="212"/>
      <c r="E674" s="212"/>
      <c r="F674" s="212"/>
      <c r="G674" s="209">
        <v>439.9</v>
      </c>
      <c r="H674" s="209">
        <v>422</v>
      </c>
      <c r="I674" s="209">
        <v>403.5</v>
      </c>
      <c r="J674" s="209">
        <v>455.9</v>
      </c>
      <c r="K674" s="209">
        <v>452</v>
      </c>
      <c r="L674" s="209">
        <v>527</v>
      </c>
      <c r="M674" s="209">
        <v>536</v>
      </c>
      <c r="N674" s="209">
        <v>547</v>
      </c>
      <c r="O674" s="209">
        <v>614</v>
      </c>
      <c r="P674" s="209">
        <v>749</v>
      </c>
      <c r="Q674" s="209">
        <v>698</v>
      </c>
      <c r="R674" s="195">
        <f>R872</f>
        <v>1131.2567082696987</v>
      </c>
      <c r="S674" s="195">
        <f t="shared" ref="S674:W674" si="1527">S872</f>
        <v>901.6795830305033</v>
      </c>
      <c r="T674" s="195">
        <f t="shared" si="1527"/>
        <v>1093.7560026917729</v>
      </c>
      <c r="U674" s="195">
        <f t="shared" si="1527"/>
        <v>1243.440790591693</v>
      </c>
      <c r="V674" s="195">
        <f t="shared" si="1527"/>
        <v>1429.7271593810879</v>
      </c>
      <c r="W674" s="195">
        <f t="shared" si="1527"/>
        <v>1665.5645377328883</v>
      </c>
      <c r="X674" s="195">
        <f t="shared" ref="X674" si="1528">X872</f>
        <v>1969.0015421695034</v>
      </c>
      <c r="Y674" s="135" t="s">
        <v>4</v>
      </c>
    </row>
    <row r="675" spans="2:25" ht="15" customHeight="1" outlineLevel="1">
      <c r="B675" s="203" t="s">
        <v>164</v>
      </c>
      <c r="C675" s="197" t="s">
        <v>26</v>
      </c>
      <c r="D675" s="212"/>
      <c r="E675" s="212"/>
      <c r="F675" s="212"/>
      <c r="G675" s="209">
        <v>0</v>
      </c>
      <c r="H675" s="209">
        <v>0</v>
      </c>
      <c r="I675" s="209">
        <v>71.8</v>
      </c>
      <c r="J675" s="209">
        <v>78</v>
      </c>
      <c r="K675" s="209">
        <v>75</v>
      </c>
      <c r="L675" s="209">
        <v>84</v>
      </c>
      <c r="M675" s="209">
        <v>96</v>
      </c>
      <c r="N675" s="209">
        <v>96</v>
      </c>
      <c r="O675" s="209">
        <v>133</v>
      </c>
      <c r="P675" s="209">
        <v>166</v>
      </c>
      <c r="Q675" s="209">
        <v>142</v>
      </c>
      <c r="R675" s="195">
        <f>R876</f>
        <v>451.68861045152244</v>
      </c>
      <c r="S675" s="195">
        <f t="shared" ref="S675:W675" si="1529">S876</f>
        <v>301.3812575948001</v>
      </c>
      <c r="T675" s="195">
        <f t="shared" si="1529"/>
        <v>392.50705402819307</v>
      </c>
      <c r="U675" s="195">
        <f t="shared" si="1529"/>
        <v>466.95378930136326</v>
      </c>
      <c r="V675" s="195">
        <f t="shared" si="1529"/>
        <v>543.46794369970189</v>
      </c>
      <c r="W675" s="195">
        <f t="shared" si="1529"/>
        <v>617.89419014759017</v>
      </c>
      <c r="X675" s="195">
        <f t="shared" ref="X675" si="1530">X876</f>
        <v>770.11876191377871</v>
      </c>
      <c r="Y675" s="135" t="s">
        <v>4</v>
      </c>
    </row>
    <row r="676" spans="2:25" ht="15" customHeight="1" outlineLevel="1">
      <c r="B676" s="203" t="s">
        <v>165</v>
      </c>
      <c r="C676" s="197" t="s">
        <v>26</v>
      </c>
      <c r="D676" s="212"/>
      <c r="E676" s="212"/>
      <c r="F676" s="212"/>
      <c r="G676" s="209">
        <v>194.9</v>
      </c>
      <c r="H676" s="209">
        <v>132.19999999999999</v>
      </c>
      <c r="I676" s="209">
        <v>103.6</v>
      </c>
      <c r="J676" s="209">
        <v>59</v>
      </c>
      <c r="K676" s="209">
        <v>60</v>
      </c>
      <c r="L676" s="209">
        <v>52</v>
      </c>
      <c r="M676" s="209">
        <v>72</v>
      </c>
      <c r="N676" s="209">
        <v>86</v>
      </c>
      <c r="O676" s="209">
        <v>123</v>
      </c>
      <c r="P676" s="209">
        <v>119</v>
      </c>
      <c r="Q676" s="209">
        <v>108</v>
      </c>
      <c r="R676" s="195">
        <f>R880</f>
        <v>198.59252381357172</v>
      </c>
      <c r="S676" s="195">
        <f t="shared" ref="S676:W676" si="1531">S880</f>
        <v>167.87541612200113</v>
      </c>
      <c r="T676" s="195">
        <f t="shared" si="1531"/>
        <v>205.7591258169123</v>
      </c>
      <c r="U676" s="195">
        <f t="shared" si="1531"/>
        <v>235.50454540000459</v>
      </c>
      <c r="V676" s="195">
        <f t="shared" si="1531"/>
        <v>261.65609524943585</v>
      </c>
      <c r="W676" s="195">
        <f t="shared" si="1531"/>
        <v>298.96584309060739</v>
      </c>
      <c r="X676" s="195">
        <f t="shared" ref="X676" si="1532">X880</f>
        <v>361.56106973237206</v>
      </c>
      <c r="Y676" s="135" t="s">
        <v>4</v>
      </c>
    </row>
    <row r="677" spans="2:25" ht="15" customHeight="1" outlineLevel="1">
      <c r="B677" s="203" t="s">
        <v>166</v>
      </c>
      <c r="C677" s="197" t="s">
        <v>26</v>
      </c>
      <c r="D677" s="212"/>
      <c r="E677" s="212"/>
      <c r="F677" s="212"/>
      <c r="G677" s="209">
        <v>53</v>
      </c>
      <c r="H677" s="209">
        <v>57.5</v>
      </c>
      <c r="I677" s="209">
        <v>57.7</v>
      </c>
      <c r="J677" s="209">
        <v>83.3</v>
      </c>
      <c r="K677" s="209">
        <v>0</v>
      </c>
      <c r="L677" s="209">
        <v>0</v>
      </c>
      <c r="M677" s="209">
        <v>0</v>
      </c>
      <c r="N677" s="209">
        <v>0</v>
      </c>
      <c r="O677" s="209">
        <v>0</v>
      </c>
      <c r="P677" s="209">
        <v>0</v>
      </c>
      <c r="Q677" s="209">
        <v>0</v>
      </c>
      <c r="R677" s="594">
        <f t="shared" ref="R677:X678" si="1533">Q677</f>
        <v>0</v>
      </c>
      <c r="S677" s="594">
        <f t="shared" si="1533"/>
        <v>0</v>
      </c>
      <c r="T677" s="594">
        <f t="shared" si="1533"/>
        <v>0</v>
      </c>
      <c r="U677" s="594">
        <f t="shared" si="1533"/>
        <v>0</v>
      </c>
      <c r="V677" s="594">
        <f t="shared" si="1533"/>
        <v>0</v>
      </c>
      <c r="W677" s="594">
        <f t="shared" si="1533"/>
        <v>0</v>
      </c>
      <c r="X677" s="594">
        <f t="shared" si="1533"/>
        <v>0</v>
      </c>
      <c r="Y677" s="135" t="s">
        <v>4</v>
      </c>
    </row>
    <row r="678" spans="2:25" ht="15" customHeight="1" outlineLevel="1">
      <c r="B678" s="203" t="s">
        <v>167</v>
      </c>
      <c r="C678" s="197" t="s">
        <v>26</v>
      </c>
      <c r="D678" s="212"/>
      <c r="E678" s="212"/>
      <c r="F678" s="212"/>
      <c r="G678" s="209">
        <v>85.6</v>
      </c>
      <c r="H678" s="209">
        <v>0</v>
      </c>
      <c r="I678" s="209">
        <v>0</v>
      </c>
      <c r="J678" s="209">
        <v>0</v>
      </c>
      <c r="K678" s="209">
        <v>0</v>
      </c>
      <c r="L678" s="209">
        <v>0</v>
      </c>
      <c r="M678" s="209">
        <v>0</v>
      </c>
      <c r="N678" s="209">
        <v>0</v>
      </c>
      <c r="O678" s="209">
        <v>0</v>
      </c>
      <c r="P678" s="209">
        <v>0</v>
      </c>
      <c r="Q678" s="209">
        <v>0</v>
      </c>
      <c r="R678" s="594">
        <f t="shared" si="1533"/>
        <v>0</v>
      </c>
      <c r="S678" s="594">
        <f t="shared" si="1533"/>
        <v>0</v>
      </c>
      <c r="T678" s="594">
        <f t="shared" si="1533"/>
        <v>0</v>
      </c>
      <c r="U678" s="594">
        <f t="shared" si="1533"/>
        <v>0</v>
      </c>
      <c r="V678" s="594">
        <f t="shared" si="1533"/>
        <v>0</v>
      </c>
      <c r="W678" s="594">
        <f t="shared" si="1533"/>
        <v>0</v>
      </c>
      <c r="X678" s="594">
        <f t="shared" si="1533"/>
        <v>0</v>
      </c>
      <c r="Y678" s="135" t="s">
        <v>4</v>
      </c>
    </row>
    <row r="679" spans="2:25" ht="15" customHeight="1" outlineLevel="1">
      <c r="B679" s="196"/>
      <c r="C679" s="198"/>
      <c r="D679" s="199"/>
      <c r="E679" s="199"/>
      <c r="F679" s="199"/>
      <c r="G679" s="199"/>
      <c r="H679" s="199"/>
      <c r="I679" s="199"/>
      <c r="J679" s="199"/>
      <c r="K679" s="199"/>
      <c r="L679" s="199"/>
      <c r="M679" s="199"/>
      <c r="N679" s="199"/>
      <c r="O679" s="199"/>
      <c r="P679" s="199"/>
      <c r="Q679" s="199"/>
      <c r="R679" s="199"/>
      <c r="S679" s="199"/>
      <c r="T679" s="199"/>
      <c r="U679" s="199"/>
      <c r="V679" s="199"/>
      <c r="W679" s="199"/>
      <c r="X679" s="199"/>
      <c r="Y679" s="135" t="s">
        <v>4</v>
      </c>
    </row>
    <row r="680" spans="2:25" ht="15" customHeight="1" outlineLevel="1">
      <c r="B680" s="201" t="s">
        <v>168</v>
      </c>
      <c r="C680" s="192" t="s">
        <v>26</v>
      </c>
      <c r="D680" s="212"/>
      <c r="E680" s="212"/>
      <c r="F680" s="212"/>
      <c r="G680" s="193">
        <f t="shared" ref="G680:Q680" si="1534">SUM(G681:G686)</f>
        <v>18502.900000000001</v>
      </c>
      <c r="H680" s="193">
        <f t="shared" si="1534"/>
        <v>17041.599999999999</v>
      </c>
      <c r="I680" s="193">
        <f t="shared" si="1534"/>
        <v>17027.900000000001</v>
      </c>
      <c r="J680" s="193">
        <f t="shared" si="1534"/>
        <v>19473.899999999998</v>
      </c>
      <c r="K680" s="193">
        <f t="shared" si="1534"/>
        <v>18641</v>
      </c>
      <c r="L680" s="193">
        <f t="shared" si="1534"/>
        <v>20164</v>
      </c>
      <c r="M680" s="193">
        <f t="shared" si="1534"/>
        <v>20513</v>
      </c>
      <c r="N680" s="193">
        <f t="shared" si="1534"/>
        <v>21430</v>
      </c>
      <c r="O680" s="193">
        <f t="shared" si="1534"/>
        <v>20698</v>
      </c>
      <c r="P680" s="193">
        <f t="shared" si="1534"/>
        <v>21218</v>
      </c>
      <c r="Q680" s="193">
        <f t="shared" si="1534"/>
        <v>22350</v>
      </c>
      <c r="R680" s="193">
        <f t="shared" ref="R680:W680" si="1535">SUM(R681:R686)</f>
        <v>22372.647324255569</v>
      </c>
      <c r="S680" s="193">
        <f t="shared" si="1535"/>
        <v>22429.766176467718</v>
      </c>
      <c r="T680" s="193">
        <f t="shared" si="1535"/>
        <v>22399.59480870777</v>
      </c>
      <c r="U680" s="193">
        <f t="shared" si="1535"/>
        <v>22094.873791094567</v>
      </c>
      <c r="V680" s="193">
        <f t="shared" si="1535"/>
        <v>21698.980874970355</v>
      </c>
      <c r="W680" s="193">
        <f t="shared" si="1535"/>
        <v>21192.489876116662</v>
      </c>
      <c r="X680" s="193">
        <f t="shared" ref="X680" si="1536">SUM(X681:X686)</f>
        <v>20556.935293663038</v>
      </c>
      <c r="Y680" s="135" t="s">
        <v>4</v>
      </c>
    </row>
    <row r="681" spans="2:25" ht="15" customHeight="1" outlineLevel="1">
      <c r="B681" s="203" t="s">
        <v>169</v>
      </c>
      <c r="C681" s="197" t="s">
        <v>26</v>
      </c>
      <c r="D681" s="212"/>
      <c r="E681" s="212"/>
      <c r="F681" s="212"/>
      <c r="G681" s="209">
        <v>2539.6</v>
      </c>
      <c r="H681" s="209">
        <v>2150.6</v>
      </c>
      <c r="I681" s="209">
        <v>2054.6999999999998</v>
      </c>
      <c r="J681" s="209">
        <v>2133.3000000000002</v>
      </c>
      <c r="K681" s="209">
        <v>1996</v>
      </c>
      <c r="L681" s="209">
        <v>2007</v>
      </c>
      <c r="M681" s="209">
        <v>2031</v>
      </c>
      <c r="N681" s="209">
        <v>2035</v>
      </c>
      <c r="O681" s="209">
        <v>1950</v>
      </c>
      <c r="P681" s="209">
        <v>1952</v>
      </c>
      <c r="Q681" s="209">
        <v>2236</v>
      </c>
      <c r="R681" s="195">
        <f t="shared" ref="R681:X681" si="1537">Q681+R901+R909</f>
        <v>2223.6473242555689</v>
      </c>
      <c r="S681" s="195">
        <f t="shared" si="1537"/>
        <v>2286.550082853455</v>
      </c>
      <c r="T681" s="195">
        <f t="shared" si="1537"/>
        <v>2268.9733661968498</v>
      </c>
      <c r="U681" s="195">
        <f t="shared" si="1537"/>
        <v>2087.2051372065284</v>
      </c>
      <c r="V681" s="195">
        <f t="shared" si="1537"/>
        <v>1823.6810211240995</v>
      </c>
      <c r="W681" s="195">
        <f t="shared" si="1537"/>
        <v>1461.8541384856633</v>
      </c>
      <c r="X681" s="195">
        <f t="shared" si="1537"/>
        <v>987.17452980974861</v>
      </c>
      <c r="Y681" s="135" t="s">
        <v>4</v>
      </c>
    </row>
    <row r="682" spans="2:25" ht="15" customHeight="1" outlineLevel="1">
      <c r="B682" s="203" t="s">
        <v>170</v>
      </c>
      <c r="C682" s="197" t="s">
        <v>26</v>
      </c>
      <c r="D682" s="212"/>
      <c r="E682" s="212"/>
      <c r="F682" s="212"/>
      <c r="G682" s="209">
        <v>0</v>
      </c>
      <c r="H682" s="209">
        <v>0</v>
      </c>
      <c r="I682" s="209">
        <v>0</v>
      </c>
      <c r="J682" s="209">
        <v>0</v>
      </c>
      <c r="K682" s="209">
        <v>0</v>
      </c>
      <c r="L682" s="209">
        <v>1176</v>
      </c>
      <c r="M682" s="209">
        <v>1152</v>
      </c>
      <c r="N682" s="209">
        <v>1130</v>
      </c>
      <c r="O682" s="209">
        <v>1082</v>
      </c>
      <c r="P682" s="209">
        <v>1122</v>
      </c>
      <c r="Q682" s="209">
        <v>1852</v>
      </c>
      <c r="R682" s="594">
        <v>1961</v>
      </c>
      <c r="S682" s="594">
        <f>R682*(1+2.5%)</f>
        <v>2010.0249999999999</v>
      </c>
      <c r="T682" s="594">
        <f>S682*(1+2.5%)</f>
        <v>2060.2756249999998</v>
      </c>
      <c r="U682" s="594">
        <f>T682*(1-2.5%)</f>
        <v>2008.7687343749997</v>
      </c>
      <c r="V682" s="594">
        <f>U682*(1-2.5%)</f>
        <v>1958.5495160156247</v>
      </c>
      <c r="W682" s="594">
        <f>V682*(1-2.5%)</f>
        <v>1909.585778115234</v>
      </c>
      <c r="X682" s="594">
        <f>W682*(1-2.5%)</f>
        <v>1861.8461336623532</v>
      </c>
      <c r="Y682" s="135" t="s">
        <v>4</v>
      </c>
    </row>
    <row r="683" spans="2:25" ht="15" customHeight="1" outlineLevel="1">
      <c r="B683" s="203" t="s">
        <v>171</v>
      </c>
      <c r="C683" s="197" t="s">
        <v>26</v>
      </c>
      <c r="D683" s="212"/>
      <c r="E683" s="212"/>
      <c r="F683" s="212"/>
      <c r="G683" s="209">
        <v>9441.1</v>
      </c>
      <c r="H683" s="209">
        <v>9147.7999999999993</v>
      </c>
      <c r="I683" s="209">
        <v>9228</v>
      </c>
      <c r="J683" s="209">
        <v>11062.2</v>
      </c>
      <c r="K683" s="209">
        <v>10463</v>
      </c>
      <c r="L683" s="209">
        <v>10563</v>
      </c>
      <c r="M683" s="209">
        <v>10701</v>
      </c>
      <c r="N683" s="209">
        <v>11417</v>
      </c>
      <c r="O683" s="209">
        <v>10991</v>
      </c>
      <c r="P683" s="209">
        <v>11107</v>
      </c>
      <c r="Q683" s="209">
        <v>10922</v>
      </c>
      <c r="R683" s="195">
        <f t="shared" ref="R683:X683" si="1538">Q683+R913</f>
        <v>10857</v>
      </c>
      <c r="S683" s="195">
        <f t="shared" si="1538"/>
        <v>10805.191093614263</v>
      </c>
      <c r="T683" s="195">
        <f t="shared" si="1538"/>
        <v>10742.345817510923</v>
      </c>
      <c r="U683" s="195">
        <f t="shared" si="1538"/>
        <v>10670.899919513038</v>
      </c>
      <c r="V683" s="195">
        <f t="shared" si="1538"/>
        <v>10588.750337830632</v>
      </c>
      <c r="W683" s="195">
        <f t="shared" si="1538"/>
        <v>10493.049959515767</v>
      </c>
      <c r="X683" s="195">
        <f t="shared" si="1538"/>
        <v>10379.914630190935</v>
      </c>
      <c r="Y683" s="135" t="s">
        <v>4</v>
      </c>
    </row>
    <row r="684" spans="2:25" ht="15" customHeight="1" outlineLevel="1">
      <c r="B684" s="203" t="s">
        <v>172</v>
      </c>
      <c r="C684" s="197" t="s">
        <v>26</v>
      </c>
      <c r="D684" s="212"/>
      <c r="E684" s="212"/>
      <c r="F684" s="212"/>
      <c r="G684" s="209">
        <v>5851.3</v>
      </c>
      <c r="H684" s="209">
        <v>4574.3999999999996</v>
      </c>
      <c r="I684" s="209">
        <v>4675.1000000000004</v>
      </c>
      <c r="J684" s="209">
        <v>5782.3</v>
      </c>
      <c r="K684" s="209">
        <v>5486</v>
      </c>
      <c r="L684" s="209">
        <v>5651</v>
      </c>
      <c r="M684" s="209">
        <v>5739</v>
      </c>
      <c r="N684" s="209">
        <v>6006</v>
      </c>
      <c r="O684" s="209">
        <v>5688</v>
      </c>
      <c r="P684" s="209">
        <v>5775</v>
      </c>
      <c r="Q684" s="209">
        <v>5986</v>
      </c>
      <c r="R684" s="594">
        <v>6306</v>
      </c>
      <c r="S684" s="594">
        <f t="shared" ref="R684:X685" si="1539">R684</f>
        <v>6306</v>
      </c>
      <c r="T684" s="594">
        <f t="shared" si="1539"/>
        <v>6306</v>
      </c>
      <c r="U684" s="594">
        <f t="shared" si="1539"/>
        <v>6306</v>
      </c>
      <c r="V684" s="594">
        <f t="shared" si="1539"/>
        <v>6306</v>
      </c>
      <c r="W684" s="594">
        <f t="shared" si="1539"/>
        <v>6306</v>
      </c>
      <c r="X684" s="594">
        <f t="shared" si="1539"/>
        <v>6306</v>
      </c>
      <c r="Y684" s="135" t="s">
        <v>4</v>
      </c>
    </row>
    <row r="685" spans="2:25" ht="15" customHeight="1" outlineLevel="1">
      <c r="B685" s="203" t="s">
        <v>173</v>
      </c>
      <c r="C685" s="197" t="s">
        <v>26</v>
      </c>
      <c r="D685" s="212"/>
      <c r="E685" s="212"/>
      <c r="F685" s="212"/>
      <c r="G685" s="209">
        <v>140.5</v>
      </c>
      <c r="H685" s="209">
        <v>117.2</v>
      </c>
      <c r="I685" s="209">
        <v>91.9</v>
      </c>
      <c r="J685" s="209">
        <v>71.3</v>
      </c>
      <c r="K685" s="209">
        <v>54</v>
      </c>
      <c r="L685" s="209">
        <v>48</v>
      </c>
      <c r="M685" s="209">
        <v>66</v>
      </c>
      <c r="N685" s="209">
        <v>80</v>
      </c>
      <c r="O685" s="209">
        <v>82</v>
      </c>
      <c r="P685" s="209">
        <v>0</v>
      </c>
      <c r="Q685" s="209">
        <v>0</v>
      </c>
      <c r="R685" s="594">
        <f t="shared" si="1539"/>
        <v>0</v>
      </c>
      <c r="S685" s="594">
        <f t="shared" si="1539"/>
        <v>0</v>
      </c>
      <c r="T685" s="594">
        <f t="shared" si="1539"/>
        <v>0</v>
      </c>
      <c r="U685" s="594">
        <f t="shared" si="1539"/>
        <v>0</v>
      </c>
      <c r="V685" s="594">
        <f t="shared" si="1539"/>
        <v>0</v>
      </c>
      <c r="W685" s="594">
        <f t="shared" si="1539"/>
        <v>0</v>
      </c>
      <c r="X685" s="594">
        <f t="shared" si="1539"/>
        <v>0</v>
      </c>
      <c r="Y685" s="135" t="s">
        <v>4</v>
      </c>
    </row>
    <row r="686" spans="2:25" ht="15" customHeight="1" outlineLevel="1">
      <c r="B686" s="203" t="s">
        <v>174</v>
      </c>
      <c r="C686" s="197" t="s">
        <v>26</v>
      </c>
      <c r="D686" s="212"/>
      <c r="E686" s="212"/>
      <c r="F686" s="212"/>
      <c r="G686" s="209">
        <v>530.4</v>
      </c>
      <c r="H686" s="209">
        <v>1051.5999999999999</v>
      </c>
      <c r="I686" s="209">
        <v>978.2</v>
      </c>
      <c r="J686" s="209">
        <v>424.8</v>
      </c>
      <c r="K686" s="209">
        <v>642</v>
      </c>
      <c r="L686" s="209">
        <v>719</v>
      </c>
      <c r="M686" s="209">
        <v>824</v>
      </c>
      <c r="N686" s="209">
        <v>762</v>
      </c>
      <c r="O686" s="209">
        <v>905</v>
      </c>
      <c r="P686" s="209">
        <v>1262</v>
      </c>
      <c r="Q686" s="209">
        <v>1354</v>
      </c>
      <c r="R686" s="594">
        <v>1025</v>
      </c>
      <c r="S686" s="594">
        <f>AVERAGE($M$686:R686)</f>
        <v>1022</v>
      </c>
      <c r="T686" s="594">
        <f>AVERAGE($M$686:S686)</f>
        <v>1022</v>
      </c>
      <c r="U686" s="594">
        <f>AVERAGE($M$686:T686)</f>
        <v>1022</v>
      </c>
      <c r="V686" s="594">
        <f>AVERAGE($M$686:U686)</f>
        <v>1022</v>
      </c>
      <c r="W686" s="594">
        <f>AVERAGE($M$686:V686)</f>
        <v>1022</v>
      </c>
      <c r="X686" s="594">
        <f>AVERAGE($M$686:W686)</f>
        <v>1022</v>
      </c>
      <c r="Y686" s="135" t="s">
        <v>4</v>
      </c>
    </row>
    <row r="687" spans="2:25" ht="15" customHeight="1" outlineLevel="1">
      <c r="B687" s="198"/>
      <c r="C687" s="198"/>
      <c r="D687" s="199"/>
      <c r="E687" s="199"/>
      <c r="F687" s="199"/>
      <c r="G687" s="199"/>
      <c r="H687" s="199"/>
      <c r="I687" s="199"/>
      <c r="J687" s="199"/>
      <c r="K687" s="199"/>
      <c r="L687" s="199"/>
      <c r="M687" s="199"/>
      <c r="N687" s="199"/>
      <c r="O687" s="199"/>
      <c r="P687" s="199"/>
      <c r="Q687" s="199"/>
      <c r="R687" s="199"/>
      <c r="S687" s="199"/>
      <c r="T687" s="199"/>
      <c r="U687" s="199"/>
      <c r="V687" s="199"/>
      <c r="W687" s="199"/>
      <c r="X687" s="199"/>
      <c r="Y687" s="135" t="s">
        <v>4</v>
      </c>
    </row>
    <row r="688" spans="2:25" ht="15" customHeight="1" outlineLevel="1">
      <c r="B688" s="188" t="s">
        <v>175</v>
      </c>
      <c r="C688" s="189" t="s">
        <v>26</v>
      </c>
      <c r="D688" s="210"/>
      <c r="E688" s="210"/>
      <c r="F688" s="210"/>
      <c r="G688" s="190">
        <f t="shared" ref="G688:W688" si="1540">G689+G697</f>
        <v>13543.800000000003</v>
      </c>
      <c r="H688" s="190">
        <f t="shared" si="1540"/>
        <v>12201.399999999998</v>
      </c>
      <c r="I688" s="190">
        <f t="shared" si="1540"/>
        <v>12339.300000000001</v>
      </c>
      <c r="J688" s="190">
        <f t="shared" si="1540"/>
        <v>16662.900000000001</v>
      </c>
      <c r="K688" s="190">
        <f t="shared" si="1540"/>
        <v>16523</v>
      </c>
      <c r="L688" s="190">
        <f t="shared" si="1540"/>
        <v>18101</v>
      </c>
      <c r="M688" s="190">
        <f t="shared" si="1540"/>
        <v>19056</v>
      </c>
      <c r="N688" s="190">
        <f t="shared" si="1540"/>
        <v>19393</v>
      </c>
      <c r="O688" s="190">
        <f t="shared" si="1540"/>
        <v>18478</v>
      </c>
      <c r="P688" s="190">
        <f t="shared" si="1540"/>
        <v>18661</v>
      </c>
      <c r="Q688" s="190">
        <f t="shared" si="1540"/>
        <v>19789</v>
      </c>
      <c r="R688" s="190">
        <f t="shared" si="1540"/>
        <v>21140.597905477131</v>
      </c>
      <c r="S688" s="190">
        <f t="shared" si="1540"/>
        <v>17632.425550770553</v>
      </c>
      <c r="T688" s="190">
        <f t="shared" si="1540"/>
        <v>14812.802657205226</v>
      </c>
      <c r="U688" s="190">
        <f t="shared" si="1540"/>
        <v>11764.154623605262</v>
      </c>
      <c r="V688" s="190">
        <f t="shared" si="1540"/>
        <v>9872.6382153578525</v>
      </c>
      <c r="W688" s="190">
        <f t="shared" si="1540"/>
        <v>8649.6425411229648</v>
      </c>
      <c r="X688" s="190">
        <f t="shared" ref="X688" si="1541">X689+X697</f>
        <v>9313.3278452746272</v>
      </c>
      <c r="Y688" s="135" t="s">
        <v>4</v>
      </c>
    </row>
    <row r="689" spans="2:26" ht="15" customHeight="1" outlineLevel="1">
      <c r="B689" s="201" t="s">
        <v>176</v>
      </c>
      <c r="C689" s="192" t="s">
        <v>26</v>
      </c>
      <c r="D689" s="211"/>
      <c r="E689" s="211"/>
      <c r="F689" s="211"/>
      <c r="G689" s="193">
        <f t="shared" ref="G689:V689" si="1542">SUM(G690:G695)</f>
        <v>1925.1999999999998</v>
      </c>
      <c r="H689" s="193">
        <f t="shared" si="1542"/>
        <v>1120.9999999999998</v>
      </c>
      <c r="I689" s="193">
        <f t="shared" si="1542"/>
        <v>1210.7</v>
      </c>
      <c r="J689" s="193">
        <f t="shared" si="1542"/>
        <v>1655</v>
      </c>
      <c r="K689" s="193">
        <f t="shared" si="1542"/>
        <v>1408</v>
      </c>
      <c r="L689" s="193">
        <f t="shared" si="1542"/>
        <v>1703</v>
      </c>
      <c r="M689" s="193">
        <f t="shared" si="1542"/>
        <v>1601</v>
      </c>
      <c r="N689" s="193">
        <f t="shared" si="1542"/>
        <v>1878</v>
      </c>
      <c r="O689" s="193">
        <f t="shared" si="1542"/>
        <v>2116</v>
      </c>
      <c r="P689" s="193">
        <f t="shared" si="1542"/>
        <v>2144</v>
      </c>
      <c r="Q689" s="193">
        <f t="shared" si="1542"/>
        <v>2364</v>
      </c>
      <c r="R689" s="193">
        <f t="shared" si="1542"/>
        <v>3410.597905477131</v>
      </c>
      <c r="S689" s="193">
        <f t="shared" si="1542"/>
        <v>2958.5155507705549</v>
      </c>
      <c r="T689" s="193">
        <f t="shared" si="1542"/>
        <v>3419.7377572052274</v>
      </c>
      <c r="U689" s="193">
        <f t="shared" si="1542"/>
        <v>3760.5275726052619</v>
      </c>
      <c r="V689" s="193">
        <f t="shared" si="1542"/>
        <v>4135.9094348678518</v>
      </c>
      <c r="W689" s="193">
        <f>SUM(W690:W695)</f>
        <v>4596.0437984378659</v>
      </c>
      <c r="X689" s="193">
        <f t="shared" ref="X689" si="1543">SUM(X690:X695)</f>
        <v>5275.7927675163783</v>
      </c>
      <c r="Y689" s="135" t="s">
        <v>4</v>
      </c>
    </row>
    <row r="690" spans="2:26" ht="15" customHeight="1" outlineLevel="1">
      <c r="B690" s="203" t="s">
        <v>177</v>
      </c>
      <c r="C690" s="197" t="s">
        <v>26</v>
      </c>
      <c r="D690" s="212"/>
      <c r="E690" s="212"/>
      <c r="F690" s="212"/>
      <c r="G690" s="209">
        <v>223</v>
      </c>
      <c r="H690" s="209">
        <v>361.5</v>
      </c>
      <c r="I690" s="209">
        <v>369.8</v>
      </c>
      <c r="J690" s="209">
        <v>412.9</v>
      </c>
      <c r="K690" s="209">
        <v>513</v>
      </c>
      <c r="L690" s="209">
        <v>644</v>
      </c>
      <c r="M690" s="209">
        <v>464</v>
      </c>
      <c r="N690" s="209">
        <v>614</v>
      </c>
      <c r="O690" s="209">
        <v>758</v>
      </c>
      <c r="P690" s="209">
        <v>790</v>
      </c>
      <c r="Q690" s="209">
        <v>765</v>
      </c>
      <c r="R690" s="195">
        <f>R888</f>
        <v>1672.5578380033862</v>
      </c>
      <c r="S690" s="195">
        <f t="shared" ref="S690:W690" si="1544">S888</f>
        <v>1243.928856572071</v>
      </c>
      <c r="T690" s="195">
        <f t="shared" si="1544"/>
        <v>1565.0382441675035</v>
      </c>
      <c r="U690" s="195">
        <f t="shared" si="1544"/>
        <v>1783.9081353350941</v>
      </c>
      <c r="V690" s="195">
        <f t="shared" si="1544"/>
        <v>2014.6602137568025</v>
      </c>
      <c r="W690" s="195">
        <f t="shared" si="1544"/>
        <v>2308.6473214126531</v>
      </c>
      <c r="X690" s="195">
        <f t="shared" ref="X690" si="1545">X888</f>
        <v>2782.1975603124552</v>
      </c>
      <c r="Y690" s="135" t="s">
        <v>4</v>
      </c>
    </row>
    <row r="691" spans="2:26" ht="15" customHeight="1" outlineLevel="1">
      <c r="B691" s="203" t="s">
        <v>178</v>
      </c>
      <c r="C691" s="197" t="s">
        <v>26</v>
      </c>
      <c r="D691" s="212"/>
      <c r="E691" s="212"/>
      <c r="F691" s="212"/>
      <c r="G691" s="209">
        <v>551.4</v>
      </c>
      <c r="H691" s="209">
        <v>658.19999999999993</v>
      </c>
      <c r="I691" s="209">
        <v>469.3</v>
      </c>
      <c r="J691" s="209">
        <v>838.2</v>
      </c>
      <c r="K691" s="209">
        <v>637</v>
      </c>
      <c r="L691" s="209">
        <v>790</v>
      </c>
      <c r="M691" s="209">
        <v>835</v>
      </c>
      <c r="N691" s="209">
        <v>947</v>
      </c>
      <c r="O691" s="209">
        <v>1001</v>
      </c>
      <c r="P691" s="209">
        <v>1005</v>
      </c>
      <c r="Q691" s="209">
        <v>1141</v>
      </c>
      <c r="R691" s="594">
        <v>1271</v>
      </c>
      <c r="S691" s="594">
        <f>R691*(1+5%)</f>
        <v>1334.55</v>
      </c>
      <c r="T691" s="594">
        <f t="shared" ref="T691:W691" si="1546">S691*(1+5%)</f>
        <v>1401.2774999999999</v>
      </c>
      <c r="U691" s="594">
        <f t="shared" si="1546"/>
        <v>1471.341375</v>
      </c>
      <c r="V691" s="594">
        <f t="shared" si="1546"/>
        <v>1544.9084437500001</v>
      </c>
      <c r="W691" s="594">
        <f t="shared" si="1546"/>
        <v>1622.1538659375001</v>
      </c>
      <c r="X691" s="594">
        <f>W691*(1+4%)</f>
        <v>1687.0400205750002</v>
      </c>
      <c r="Y691" s="135" t="s">
        <v>4</v>
      </c>
    </row>
    <row r="692" spans="2:26" ht="15" customHeight="1" outlineLevel="1">
      <c r="B692" s="203" t="s">
        <v>179</v>
      </c>
      <c r="C692" s="197" t="s">
        <v>26</v>
      </c>
      <c r="D692" s="212"/>
      <c r="E692" s="212"/>
      <c r="F692" s="212"/>
      <c r="G692" s="209">
        <v>0</v>
      </c>
      <c r="H692" s="209">
        <v>0</v>
      </c>
      <c r="I692" s="209">
        <v>194.4</v>
      </c>
      <c r="J692" s="209">
        <v>214.9</v>
      </c>
      <c r="K692" s="209">
        <v>167</v>
      </c>
      <c r="L692" s="209">
        <v>168</v>
      </c>
      <c r="M692" s="209">
        <v>191</v>
      </c>
      <c r="N692" s="209">
        <v>221</v>
      </c>
      <c r="O692" s="209">
        <v>230</v>
      </c>
      <c r="P692" s="209">
        <v>248</v>
      </c>
      <c r="Q692" s="209">
        <v>236</v>
      </c>
      <c r="R692" s="195">
        <f>R892</f>
        <v>467.04006747374478</v>
      </c>
      <c r="S692" s="195">
        <f t="shared" ref="S692:W692" si="1547">S892</f>
        <v>380.03669419848376</v>
      </c>
      <c r="T692" s="195">
        <f t="shared" si="1547"/>
        <v>453.42201303772407</v>
      </c>
      <c r="U692" s="195">
        <f t="shared" si="1547"/>
        <v>505.27806227016788</v>
      </c>
      <c r="V692" s="195">
        <f t="shared" si="1547"/>
        <v>576.34077736104882</v>
      </c>
      <c r="W692" s="195">
        <f t="shared" si="1547"/>
        <v>665.24261108771293</v>
      </c>
      <c r="X692" s="195">
        <f t="shared" ref="X692" si="1548">X892</f>
        <v>806.55518662892325</v>
      </c>
      <c r="Y692" s="135" t="s">
        <v>4</v>
      </c>
    </row>
    <row r="693" spans="2:26" ht="15" customHeight="1" outlineLevel="1">
      <c r="B693" s="203" t="s">
        <v>180</v>
      </c>
      <c r="C693" s="197" t="s">
        <v>26</v>
      </c>
      <c r="D693" s="212"/>
      <c r="E693" s="212"/>
      <c r="F693" s="212"/>
      <c r="G693" s="209">
        <v>25.9</v>
      </c>
      <c r="H693" s="209">
        <v>45.2</v>
      </c>
      <c r="I693" s="209">
        <v>83.3</v>
      </c>
      <c r="J693" s="209">
        <v>110.8</v>
      </c>
      <c r="K693" s="209">
        <v>0</v>
      </c>
      <c r="L693" s="209">
        <v>0</v>
      </c>
      <c r="M693" s="209">
        <v>0</v>
      </c>
      <c r="N693" s="209">
        <v>0</v>
      </c>
      <c r="O693" s="209">
        <v>0</v>
      </c>
      <c r="P693" s="209">
        <v>0</v>
      </c>
      <c r="Q693" s="209">
        <v>0</v>
      </c>
      <c r="R693" s="594">
        <f t="shared" ref="R693:X694" si="1549">Q693</f>
        <v>0</v>
      </c>
      <c r="S693" s="594">
        <f t="shared" si="1549"/>
        <v>0</v>
      </c>
      <c r="T693" s="594">
        <f t="shared" si="1549"/>
        <v>0</v>
      </c>
      <c r="U693" s="594">
        <f t="shared" si="1549"/>
        <v>0</v>
      </c>
      <c r="V693" s="594">
        <f t="shared" si="1549"/>
        <v>0</v>
      </c>
      <c r="W693" s="594">
        <f t="shared" si="1549"/>
        <v>0</v>
      </c>
      <c r="X693" s="594">
        <f t="shared" si="1549"/>
        <v>0</v>
      </c>
      <c r="Y693" s="135" t="s">
        <v>4</v>
      </c>
    </row>
    <row r="694" spans="2:26" ht="15" customHeight="1" outlineLevel="1">
      <c r="B694" s="203" t="s">
        <v>181</v>
      </c>
      <c r="C694" s="197" t="s">
        <v>26</v>
      </c>
      <c r="D694" s="212"/>
      <c r="E694" s="212"/>
      <c r="F694" s="212"/>
      <c r="G694" s="209">
        <v>0</v>
      </c>
      <c r="H694" s="209">
        <v>0</v>
      </c>
      <c r="I694" s="209">
        <v>0</v>
      </c>
      <c r="J694" s="209">
        <v>0</v>
      </c>
      <c r="K694" s="209">
        <v>0</v>
      </c>
      <c r="L694" s="209">
        <v>0</v>
      </c>
      <c r="M694" s="209">
        <v>0</v>
      </c>
      <c r="N694" s="209">
        <v>0</v>
      </c>
      <c r="O694" s="209">
        <v>0</v>
      </c>
      <c r="P694" s="209">
        <v>0</v>
      </c>
      <c r="Q694" s="209">
        <v>0</v>
      </c>
      <c r="R694" s="594">
        <f t="shared" si="1549"/>
        <v>0</v>
      </c>
      <c r="S694" s="594">
        <f t="shared" si="1549"/>
        <v>0</v>
      </c>
      <c r="T694" s="594">
        <f t="shared" si="1549"/>
        <v>0</v>
      </c>
      <c r="U694" s="594">
        <f t="shared" si="1549"/>
        <v>0</v>
      </c>
      <c r="V694" s="594">
        <f t="shared" si="1549"/>
        <v>0</v>
      </c>
      <c r="W694" s="594">
        <f t="shared" si="1549"/>
        <v>0</v>
      </c>
      <c r="X694" s="594">
        <f t="shared" si="1549"/>
        <v>0</v>
      </c>
      <c r="Y694" s="135" t="s">
        <v>4</v>
      </c>
    </row>
    <row r="695" spans="2:26" ht="15" customHeight="1" outlineLevel="1">
      <c r="B695" s="203" t="s">
        <v>182</v>
      </c>
      <c r="C695" s="197" t="s">
        <v>26</v>
      </c>
      <c r="D695" s="212"/>
      <c r="E695" s="212"/>
      <c r="F695" s="212"/>
      <c r="G695" s="209">
        <v>1124.8999999999999</v>
      </c>
      <c r="H695" s="209">
        <v>56.1</v>
      </c>
      <c r="I695" s="209">
        <v>93.9</v>
      </c>
      <c r="J695" s="209">
        <v>78.2</v>
      </c>
      <c r="K695" s="209">
        <v>91</v>
      </c>
      <c r="L695" s="209">
        <v>101</v>
      </c>
      <c r="M695" s="209">
        <v>111</v>
      </c>
      <c r="N695" s="209">
        <v>96</v>
      </c>
      <c r="O695" s="209">
        <v>127</v>
      </c>
      <c r="P695" s="209">
        <v>101</v>
      </c>
      <c r="Q695" s="209">
        <v>222</v>
      </c>
      <c r="R695" s="287"/>
      <c r="S695" s="287"/>
      <c r="T695" s="287"/>
      <c r="U695" s="287"/>
      <c r="V695" s="287"/>
      <c r="W695" s="287"/>
      <c r="X695" s="287"/>
      <c r="Y695" s="135" t="s">
        <v>4</v>
      </c>
    </row>
    <row r="696" spans="2:26" ht="15" customHeight="1" outlineLevel="1">
      <c r="B696" s="198"/>
      <c r="C696" s="198"/>
      <c r="D696" s="199"/>
      <c r="E696" s="199"/>
      <c r="F696" s="199"/>
      <c r="G696" s="199"/>
      <c r="H696" s="199"/>
      <c r="I696" s="199"/>
      <c r="J696" s="199"/>
      <c r="K696" s="199"/>
      <c r="L696" s="199"/>
      <c r="M696" s="199"/>
      <c r="N696" s="199"/>
      <c r="O696" s="199"/>
      <c r="P696" s="199"/>
      <c r="Q696" s="199"/>
      <c r="R696" s="199"/>
      <c r="S696" s="199"/>
      <c r="T696" s="199"/>
      <c r="U696" s="199"/>
      <c r="V696" s="199"/>
      <c r="W696" s="199"/>
      <c r="X696" s="199"/>
      <c r="Y696" s="135" t="s">
        <v>4</v>
      </c>
    </row>
    <row r="697" spans="2:26" ht="15" customHeight="1" outlineLevel="1">
      <c r="B697" s="191" t="s">
        <v>183</v>
      </c>
      <c r="C697" s="192" t="s">
        <v>26</v>
      </c>
      <c r="D697" s="211"/>
      <c r="E697" s="211"/>
      <c r="F697" s="211"/>
      <c r="G697" s="193">
        <f t="shared" ref="G697:W697" si="1550">SUM(G698:G701)</f>
        <v>11618.600000000002</v>
      </c>
      <c r="H697" s="193">
        <f t="shared" si="1550"/>
        <v>11080.399999999998</v>
      </c>
      <c r="I697" s="193">
        <f t="shared" si="1550"/>
        <v>11128.6</v>
      </c>
      <c r="J697" s="193">
        <f t="shared" si="1550"/>
        <v>15007.9</v>
      </c>
      <c r="K697" s="193">
        <f t="shared" si="1550"/>
        <v>15115</v>
      </c>
      <c r="L697" s="193">
        <f t="shared" si="1550"/>
        <v>16398</v>
      </c>
      <c r="M697" s="193">
        <f t="shared" si="1550"/>
        <v>17455</v>
      </c>
      <c r="N697" s="193">
        <f t="shared" si="1550"/>
        <v>17515</v>
      </c>
      <c r="O697" s="193">
        <f t="shared" si="1550"/>
        <v>16362</v>
      </c>
      <c r="P697" s="193">
        <f t="shared" si="1550"/>
        <v>16517</v>
      </c>
      <c r="Q697" s="193">
        <f t="shared" si="1550"/>
        <v>17425</v>
      </c>
      <c r="R697" s="193">
        <f t="shared" si="1550"/>
        <v>17730</v>
      </c>
      <c r="S697" s="193">
        <f t="shared" si="1550"/>
        <v>14673.909999999998</v>
      </c>
      <c r="T697" s="193">
        <f t="shared" si="1550"/>
        <v>11393.064899999999</v>
      </c>
      <c r="U697" s="193">
        <f t="shared" si="1550"/>
        <v>8003.6270509999995</v>
      </c>
      <c r="V697" s="193">
        <f t="shared" si="1550"/>
        <v>5736.7287804899997</v>
      </c>
      <c r="W697" s="193">
        <f t="shared" si="1550"/>
        <v>4053.5987426850998</v>
      </c>
      <c r="X697" s="193">
        <f t="shared" ref="X697" si="1551">SUM(X698:X701)</f>
        <v>4037.5350777582489</v>
      </c>
      <c r="Y697" s="135" t="s">
        <v>4</v>
      </c>
    </row>
    <row r="698" spans="2:26" ht="15" customHeight="1" outlineLevel="1">
      <c r="B698" s="203" t="s">
        <v>184</v>
      </c>
      <c r="C698" s="197" t="s">
        <v>26</v>
      </c>
      <c r="D698" s="212"/>
      <c r="E698" s="212"/>
      <c r="F698" s="212"/>
      <c r="G698" s="209">
        <v>8936.7000000000007</v>
      </c>
      <c r="H698" s="209">
        <v>8462.2999999999993</v>
      </c>
      <c r="I698" s="209">
        <v>8410.2000000000007</v>
      </c>
      <c r="J698" s="209">
        <v>11800.9</v>
      </c>
      <c r="K698" s="209">
        <v>11823</v>
      </c>
      <c r="L698" s="209">
        <v>11759</v>
      </c>
      <c r="M698" s="209">
        <v>12397</v>
      </c>
      <c r="N698" s="209">
        <v>12916</v>
      </c>
      <c r="O698" s="209">
        <v>12839</v>
      </c>
      <c r="P698" s="209">
        <v>12854</v>
      </c>
      <c r="Q698" s="209">
        <v>13455</v>
      </c>
      <c r="R698" s="195">
        <f>R798</f>
        <v>13415</v>
      </c>
      <c r="S698" s="195">
        <f t="shared" ref="S698:W698" si="1552">S798</f>
        <v>10423.739999999998</v>
      </c>
      <c r="T698" s="195">
        <f t="shared" si="1552"/>
        <v>7205.78</v>
      </c>
      <c r="U698" s="195">
        <f t="shared" si="1552"/>
        <v>3836.6749999999997</v>
      </c>
      <c r="V698" s="195">
        <f t="shared" si="1552"/>
        <v>1589.9062499999998</v>
      </c>
      <c r="W698" s="195">
        <f t="shared" si="1552"/>
        <v>-73.295562500000059</v>
      </c>
      <c r="X698" s="195">
        <f t="shared" ref="X698" si="1553">X798</f>
        <v>-69.630284375000059</v>
      </c>
      <c r="Y698" s="135" t="s">
        <v>4</v>
      </c>
    </row>
    <row r="699" spans="2:26" ht="15" customHeight="1" outlineLevel="1">
      <c r="B699" s="203" t="s">
        <v>185</v>
      </c>
      <c r="C699" s="197" t="s">
        <v>26</v>
      </c>
      <c r="D699" s="212"/>
      <c r="E699" s="212"/>
      <c r="F699" s="212"/>
      <c r="G699" s="209">
        <v>175.7</v>
      </c>
      <c r="H699" s="209">
        <v>203.4</v>
      </c>
      <c r="I699" s="209">
        <v>218.4</v>
      </c>
      <c r="J699" s="209">
        <v>243.8</v>
      </c>
      <c r="K699" s="209">
        <v>226</v>
      </c>
      <c r="L699" s="209">
        <v>1377</v>
      </c>
      <c r="M699" s="209">
        <v>1397</v>
      </c>
      <c r="N699" s="209">
        <v>1403</v>
      </c>
      <c r="O699" s="209">
        <v>1338</v>
      </c>
      <c r="P699" s="209">
        <v>1371</v>
      </c>
      <c r="Q699" s="209">
        <v>2056</v>
      </c>
      <c r="R699" s="594">
        <v>2161</v>
      </c>
      <c r="S699" s="594">
        <f>R699*(1-3%)</f>
        <v>2096.17</v>
      </c>
      <c r="T699" s="594">
        <f t="shared" ref="T699" si="1554">S699*(1-3%)</f>
        <v>2033.2849000000001</v>
      </c>
      <c r="U699" s="594">
        <f>T699*(1-1%)</f>
        <v>2012.952051</v>
      </c>
      <c r="V699" s="594">
        <f t="shared" ref="V699:X699" si="1555">U699*(1-1%)</f>
        <v>1992.82253049</v>
      </c>
      <c r="W699" s="594">
        <f t="shared" si="1555"/>
        <v>1972.8943051850999</v>
      </c>
      <c r="X699" s="594">
        <f t="shared" si="1555"/>
        <v>1953.1653621332489</v>
      </c>
      <c r="Y699" s="135" t="s">
        <v>4</v>
      </c>
    </row>
    <row r="700" spans="2:26" ht="15" customHeight="1" outlineLevel="1">
      <c r="B700" s="203" t="s">
        <v>186</v>
      </c>
      <c r="C700" s="197" t="s">
        <v>26</v>
      </c>
      <c r="D700" s="212"/>
      <c r="E700" s="212"/>
      <c r="F700" s="212"/>
      <c r="G700" s="209">
        <v>644.1</v>
      </c>
      <c r="H700" s="209">
        <v>795.9</v>
      </c>
      <c r="I700" s="209">
        <v>784.9</v>
      </c>
      <c r="J700" s="209">
        <v>1455.1</v>
      </c>
      <c r="K700" s="209">
        <v>1547</v>
      </c>
      <c r="L700" s="209">
        <v>1698</v>
      </c>
      <c r="M700" s="209">
        <v>2236</v>
      </c>
      <c r="N700" s="209">
        <v>1822</v>
      </c>
      <c r="O700" s="209">
        <v>872</v>
      </c>
      <c r="P700" s="209">
        <v>996</v>
      </c>
      <c r="Q700" s="209">
        <v>706</v>
      </c>
      <c r="R700" s="594">
        <v>1034</v>
      </c>
      <c r="S700" s="594">
        <f t="shared" ref="S700:X700" si="1556">R700</f>
        <v>1034</v>
      </c>
      <c r="T700" s="594">
        <f t="shared" si="1556"/>
        <v>1034</v>
      </c>
      <c r="U700" s="594">
        <f t="shared" si="1556"/>
        <v>1034</v>
      </c>
      <c r="V700" s="594">
        <f t="shared" si="1556"/>
        <v>1034</v>
      </c>
      <c r="W700" s="594">
        <f t="shared" si="1556"/>
        <v>1034</v>
      </c>
      <c r="X700" s="594">
        <f t="shared" si="1556"/>
        <v>1034</v>
      </c>
      <c r="Y700" s="135" t="s">
        <v>4</v>
      </c>
      <c r="Z700" s="659"/>
    </row>
    <row r="701" spans="2:26" ht="15" customHeight="1" outlineLevel="1">
      <c r="B701" s="203" t="s">
        <v>187</v>
      </c>
      <c r="C701" s="197" t="s">
        <v>26</v>
      </c>
      <c r="D701" s="212"/>
      <c r="E701" s="212"/>
      <c r="F701" s="212"/>
      <c r="G701" s="209">
        <v>1862.1</v>
      </c>
      <c r="H701" s="209">
        <v>1618.8</v>
      </c>
      <c r="I701" s="209">
        <v>1715.1</v>
      </c>
      <c r="J701" s="209">
        <v>1508.1</v>
      </c>
      <c r="K701" s="209">
        <v>1519</v>
      </c>
      <c r="L701" s="209">
        <v>1564</v>
      </c>
      <c r="M701" s="209">
        <v>1425</v>
      </c>
      <c r="N701" s="209">
        <v>1374</v>
      </c>
      <c r="O701" s="209">
        <v>1313</v>
      </c>
      <c r="P701" s="209">
        <v>1296</v>
      </c>
      <c r="Q701" s="209">
        <v>1208</v>
      </c>
      <c r="R701" s="594">
        <v>1120</v>
      </c>
      <c r="S701" s="594">
        <f t="shared" ref="S701:X701" si="1557">R701</f>
        <v>1120</v>
      </c>
      <c r="T701" s="594">
        <f t="shared" si="1557"/>
        <v>1120</v>
      </c>
      <c r="U701" s="594">
        <f t="shared" si="1557"/>
        <v>1120</v>
      </c>
      <c r="V701" s="594">
        <f t="shared" si="1557"/>
        <v>1120</v>
      </c>
      <c r="W701" s="594">
        <f t="shared" si="1557"/>
        <v>1120</v>
      </c>
      <c r="X701" s="594">
        <f t="shared" si="1557"/>
        <v>1120</v>
      </c>
      <c r="Y701" s="135" t="s">
        <v>4</v>
      </c>
      <c r="Z701" s="659"/>
    </row>
    <row r="702" spans="2:26" ht="15" customHeight="1" outlineLevel="1">
      <c r="B702" s="198"/>
      <c r="C702" s="198"/>
      <c r="D702" s="199"/>
      <c r="E702" s="199"/>
      <c r="F702" s="199"/>
      <c r="G702" s="685">
        <f t="shared" ref="G702:X702" si="1558">G703/SUM(G698,G695,G703)</f>
        <v>0.30053945831711248</v>
      </c>
      <c r="H702" s="685">
        <f t="shared" si="1558"/>
        <v>0.25480487442153427</v>
      </c>
      <c r="I702" s="685">
        <f t="shared" si="1558"/>
        <v>0.29089362695639842</v>
      </c>
      <c r="J702" s="685">
        <f t="shared" si="1558"/>
        <v>0.2774138214200989</v>
      </c>
      <c r="K702" s="685">
        <f t="shared" si="1558"/>
        <v>0.23293844965233068</v>
      </c>
      <c r="L702" s="685">
        <f t="shared" si="1558"/>
        <v>0.26422234629939823</v>
      </c>
      <c r="M702" s="685">
        <f t="shared" si="1558"/>
        <v>0.22928091687719515</v>
      </c>
      <c r="N702" s="685">
        <f t="shared" si="1558"/>
        <v>0.22846131040616663</v>
      </c>
      <c r="O702" s="685">
        <f t="shared" si="1558"/>
        <v>0.24764999419751654</v>
      </c>
      <c r="P702" s="685">
        <f t="shared" si="1558"/>
        <v>0.26745829799264914</v>
      </c>
      <c r="Q702" s="685">
        <f t="shared" si="1558"/>
        <v>0.26150107991360694</v>
      </c>
      <c r="R702" s="685">
        <f t="shared" si="1558"/>
        <v>0.29841910615830725</v>
      </c>
      <c r="S702" s="685">
        <f t="shared" si="1558"/>
        <v>0.38174937800317416</v>
      </c>
      <c r="T702" s="685">
        <f t="shared" si="1558"/>
        <v>0.5042307631929992</v>
      </c>
      <c r="U702" s="685">
        <f t="shared" si="1558"/>
        <v>0.68597305375693052</v>
      </c>
      <c r="V702" s="685">
        <f t="shared" si="1558"/>
        <v>0.85862274154695883</v>
      </c>
      <c r="W702" s="685">
        <f t="shared" si="1558"/>
        <v>1.0065643728320941</v>
      </c>
      <c r="X702" s="685">
        <f t="shared" si="1558"/>
        <v>1.0053207793920229</v>
      </c>
      <c r="Y702" s="135" t="s">
        <v>4</v>
      </c>
    </row>
    <row r="703" spans="2:26" ht="15" customHeight="1" outlineLevel="1">
      <c r="B703" s="200" t="s">
        <v>188</v>
      </c>
      <c r="C703" s="189" t="s">
        <v>26</v>
      </c>
      <c r="D703" s="210"/>
      <c r="E703" s="210"/>
      <c r="F703" s="210"/>
      <c r="G703" s="190">
        <f>SUM(G704:G710)</f>
        <v>4323.2</v>
      </c>
      <c r="H703" s="190">
        <f t="shared" ref="H703:W703" si="1559">SUM(H704:H710)</f>
        <v>2912.7</v>
      </c>
      <c r="I703" s="190">
        <f t="shared" si="1559"/>
        <v>3488.5999999999995</v>
      </c>
      <c r="J703" s="190">
        <f t="shared" si="1559"/>
        <v>4560.6000000000004</v>
      </c>
      <c r="K703" s="190">
        <f t="shared" si="1559"/>
        <v>3618</v>
      </c>
      <c r="L703" s="190">
        <f t="shared" si="1559"/>
        <v>4259</v>
      </c>
      <c r="M703" s="190">
        <f t="shared" si="1559"/>
        <v>3721</v>
      </c>
      <c r="N703" s="190">
        <f t="shared" si="1559"/>
        <v>3853</v>
      </c>
      <c r="O703" s="190">
        <f t="shared" si="1559"/>
        <v>4268</v>
      </c>
      <c r="P703" s="190">
        <f t="shared" si="1559"/>
        <v>4730</v>
      </c>
      <c r="Q703" s="190">
        <f t="shared" si="1559"/>
        <v>4843</v>
      </c>
      <c r="R703" s="190">
        <f t="shared" si="1559"/>
        <v>5706.1022388916545</v>
      </c>
      <c r="S703" s="190">
        <f t="shared" si="1559"/>
        <v>6436.3158238557098</v>
      </c>
      <c r="T703" s="190">
        <f t="shared" si="1559"/>
        <v>7328.7644312131742</v>
      </c>
      <c r="U703" s="190">
        <f t="shared" si="1559"/>
        <v>8380.9867194826911</v>
      </c>
      <c r="V703" s="190">
        <f t="shared" si="1559"/>
        <v>9655.935318841086</v>
      </c>
      <c r="W703" s="190">
        <f t="shared" si="1559"/>
        <v>11238.956681205627</v>
      </c>
      <c r="X703" s="190">
        <f t="shared" ref="X703" si="1560">SUM(X704:X710)</f>
        <v>13156.112403778818</v>
      </c>
      <c r="Y703" s="135" t="s">
        <v>4</v>
      </c>
    </row>
    <row r="704" spans="2:26" ht="15" customHeight="1" outlineLevel="1">
      <c r="B704" s="6" t="s">
        <v>189</v>
      </c>
      <c r="C704" s="197" t="s">
        <v>26</v>
      </c>
      <c r="D704" s="211"/>
      <c r="E704" s="211"/>
      <c r="F704" s="211"/>
      <c r="G704" s="209">
        <v>1755</v>
      </c>
      <c r="H704" s="209">
        <v>1824.5</v>
      </c>
      <c r="I704" s="209">
        <v>1955.1</v>
      </c>
      <c r="J704" s="209">
        <v>2051.5</v>
      </c>
      <c r="K704" s="209">
        <v>1737</v>
      </c>
      <c r="L704" s="209">
        <v>2478</v>
      </c>
      <c r="M704" s="209">
        <v>2399</v>
      </c>
      <c r="N704" s="209">
        <v>2156</v>
      </c>
      <c r="O704" s="209">
        <v>2057</v>
      </c>
      <c r="P704" s="209">
        <v>1973</v>
      </c>
      <c r="Q704" s="209">
        <v>2357</v>
      </c>
      <c r="R704" s="595">
        <f>Q704+R728</f>
        <v>2614.4879649220848</v>
      </c>
      <c r="S704" s="595">
        <f t="shared" ref="S704:X704" si="1561">R704+S728</f>
        <v>2843.9783207241962</v>
      </c>
      <c r="T704" s="595">
        <f t="shared" si="1561"/>
        <v>3122.3548737063647</v>
      </c>
      <c r="U704" s="595">
        <f t="shared" si="1561"/>
        <v>3438.8283470134488</v>
      </c>
      <c r="V704" s="595">
        <f t="shared" si="1561"/>
        <v>3802.7143667052228</v>
      </c>
      <c r="W704" s="595">
        <f t="shared" si="1561"/>
        <v>4226.6243737290479</v>
      </c>
      <c r="X704" s="595">
        <f t="shared" si="1561"/>
        <v>4727.7634401906416</v>
      </c>
      <c r="Y704" s="135" t="s">
        <v>4</v>
      </c>
    </row>
    <row r="705" spans="1:26" ht="15" customHeight="1" outlineLevel="1">
      <c r="B705" s="6" t="s">
        <v>190</v>
      </c>
      <c r="C705" s="197" t="s">
        <v>26</v>
      </c>
      <c r="D705" s="212"/>
      <c r="E705" s="212"/>
      <c r="F705" s="212"/>
      <c r="G705" s="209">
        <v>0</v>
      </c>
      <c r="H705" s="209">
        <v>0</v>
      </c>
      <c r="I705" s="209">
        <v>0</v>
      </c>
      <c r="J705" s="209">
        <v>0</v>
      </c>
      <c r="K705" s="209">
        <v>0</v>
      </c>
      <c r="L705" s="209">
        <v>0</v>
      </c>
      <c r="M705" s="209">
        <v>0</v>
      </c>
      <c r="N705" s="209">
        <v>0</v>
      </c>
      <c r="O705" s="209">
        <v>0</v>
      </c>
      <c r="P705" s="209">
        <v>0</v>
      </c>
      <c r="Q705" s="209">
        <v>0</v>
      </c>
      <c r="R705" s="594">
        <f t="shared" ref="R705:X706" si="1562">Q705</f>
        <v>0</v>
      </c>
      <c r="S705" s="594">
        <f t="shared" si="1562"/>
        <v>0</v>
      </c>
      <c r="T705" s="594">
        <f t="shared" si="1562"/>
        <v>0</v>
      </c>
      <c r="U705" s="594">
        <f t="shared" si="1562"/>
        <v>0</v>
      </c>
      <c r="V705" s="594">
        <f t="shared" si="1562"/>
        <v>0</v>
      </c>
      <c r="W705" s="594">
        <f t="shared" si="1562"/>
        <v>0</v>
      </c>
      <c r="X705" s="594">
        <f t="shared" si="1562"/>
        <v>0</v>
      </c>
      <c r="Y705" s="135" t="s">
        <v>4</v>
      </c>
    </row>
    <row r="706" spans="1:26" ht="15" customHeight="1" outlineLevel="1">
      <c r="B706" s="6" t="s">
        <v>191</v>
      </c>
      <c r="C706" s="197" t="s">
        <v>26</v>
      </c>
      <c r="D706" s="212"/>
      <c r="E706" s="212"/>
      <c r="F706" s="212"/>
      <c r="G706" s="209">
        <v>0</v>
      </c>
      <c r="H706" s="209">
        <v>0</v>
      </c>
      <c r="I706" s="209">
        <v>0</v>
      </c>
      <c r="J706" s="209">
        <v>0</v>
      </c>
      <c r="K706" s="209">
        <v>0</v>
      </c>
      <c r="L706" s="209">
        <v>0</v>
      </c>
      <c r="M706" s="209">
        <v>0</v>
      </c>
      <c r="N706" s="209">
        <v>0</v>
      </c>
      <c r="O706" s="209">
        <v>0</v>
      </c>
      <c r="P706" s="209">
        <v>0</v>
      </c>
      <c r="Q706" s="209">
        <v>0</v>
      </c>
      <c r="R706" s="594">
        <f t="shared" si="1562"/>
        <v>0</v>
      </c>
      <c r="S706" s="594">
        <f t="shared" si="1562"/>
        <v>0</v>
      </c>
      <c r="T706" s="594">
        <f t="shared" si="1562"/>
        <v>0</v>
      </c>
      <c r="U706" s="594">
        <f t="shared" si="1562"/>
        <v>0</v>
      </c>
      <c r="V706" s="594">
        <f t="shared" si="1562"/>
        <v>0</v>
      </c>
      <c r="W706" s="594">
        <f t="shared" si="1562"/>
        <v>0</v>
      </c>
      <c r="X706" s="594">
        <f t="shared" si="1562"/>
        <v>0</v>
      </c>
      <c r="Y706" s="135" t="s">
        <v>4</v>
      </c>
    </row>
    <row r="707" spans="1:26" ht="15" customHeight="1" outlineLevel="1">
      <c r="B707" s="6" t="s">
        <v>192</v>
      </c>
      <c r="C707" s="197" t="s">
        <v>26</v>
      </c>
      <c r="D707" s="212"/>
      <c r="E707" s="212"/>
      <c r="F707" s="212"/>
      <c r="G707" s="209">
        <v>227.6</v>
      </c>
      <c r="H707" s="209">
        <v>245.8</v>
      </c>
      <c r="I707" s="209">
        <v>445.7</v>
      </c>
      <c r="J707" s="209">
        <v>650.6</v>
      </c>
      <c r="K707" s="209">
        <v>674</v>
      </c>
      <c r="L707" s="209">
        <v>775</v>
      </c>
      <c r="M707" s="209">
        <v>622</v>
      </c>
      <c r="N707" s="209">
        <v>791</v>
      </c>
      <c r="O707" s="209">
        <v>1121</v>
      </c>
      <c r="P707" s="209">
        <v>1599</v>
      </c>
      <c r="Q707" s="209">
        <v>1860</v>
      </c>
      <c r="R707" s="596">
        <f t="shared" ref="R707:X707" si="1563">Q707+R578+R749</f>
        <v>2686.6142739695697</v>
      </c>
      <c r="S707" s="596">
        <f t="shared" si="1563"/>
        <v>3153.7375031315132</v>
      </c>
      <c r="T707" s="596">
        <f t="shared" si="1563"/>
        <v>3735.2175575068095</v>
      </c>
      <c r="U707" s="596">
        <f t="shared" si="1563"/>
        <v>4447.2556924692435</v>
      </c>
      <c r="V707" s="596">
        <f t="shared" si="1563"/>
        <v>5345.4420556358637</v>
      </c>
      <c r="W707" s="596">
        <f t="shared" si="1563"/>
        <v>6491.8381471828288</v>
      </c>
      <c r="X707" s="596">
        <f t="shared" si="1563"/>
        <v>7895.2984802980973</v>
      </c>
      <c r="Y707" s="135" t="s">
        <v>4</v>
      </c>
    </row>
    <row r="708" spans="1:26" ht="15" customHeight="1" outlineLevel="1">
      <c r="B708" s="6" t="s">
        <v>193</v>
      </c>
      <c r="C708" s="197" t="s">
        <v>26</v>
      </c>
      <c r="D708" s="212"/>
      <c r="E708" s="212"/>
      <c r="F708" s="212"/>
      <c r="G708" s="209">
        <v>-111.7</v>
      </c>
      <c r="H708" s="209">
        <v>-733.7</v>
      </c>
      <c r="I708" s="209">
        <v>-698.3</v>
      </c>
      <c r="J708" s="209">
        <v>-475.7</v>
      </c>
      <c r="K708" s="209">
        <v>-800</v>
      </c>
      <c r="L708" s="209">
        <v>-763</v>
      </c>
      <c r="M708" s="209">
        <v>-854</v>
      </c>
      <c r="N708" s="209">
        <v>-710</v>
      </c>
      <c r="O708" s="209">
        <v>-679</v>
      </c>
      <c r="P708" s="209">
        <v>-706</v>
      </c>
      <c r="Q708" s="209">
        <v>-1107</v>
      </c>
      <c r="R708" s="594">
        <v>-1120</v>
      </c>
      <c r="S708" s="594">
        <f>R708*(1-3%)</f>
        <v>-1086.3999999999999</v>
      </c>
      <c r="T708" s="594">
        <f>S708*(1-3%)</f>
        <v>-1053.8079999999998</v>
      </c>
      <c r="U708" s="594">
        <f t="shared" ref="U708" si="1564">T708*(1-2.25%)</f>
        <v>-1030.0973199999999</v>
      </c>
      <c r="V708" s="594">
        <f>U708*(1-1.25%)</f>
        <v>-1017.2211034999999</v>
      </c>
      <c r="W708" s="594">
        <f t="shared" ref="W708:X708" si="1565">V708*(1-1.25%)</f>
        <v>-1004.50583970625</v>
      </c>
      <c r="X708" s="594">
        <f t="shared" si="1565"/>
        <v>-991.94951670992191</v>
      </c>
      <c r="Y708" s="135" t="s">
        <v>4</v>
      </c>
    </row>
    <row r="709" spans="1:26" ht="15" customHeight="1" outlineLevel="1">
      <c r="B709" s="6" t="s">
        <v>194</v>
      </c>
      <c r="C709" s="197" t="s">
        <v>26</v>
      </c>
      <c r="D709" s="212"/>
      <c r="E709" s="212"/>
      <c r="F709" s="212"/>
      <c r="G709" s="209">
        <v>0</v>
      </c>
      <c r="H709" s="209">
        <v>0</v>
      </c>
      <c r="I709" s="209">
        <v>0</v>
      </c>
      <c r="J709" s="209">
        <v>0</v>
      </c>
      <c r="K709" s="209">
        <v>0</v>
      </c>
      <c r="L709" s="209">
        <v>0</v>
      </c>
      <c r="M709" s="209">
        <v>0</v>
      </c>
      <c r="N709" s="209">
        <v>0</v>
      </c>
      <c r="O709" s="209">
        <v>0</v>
      </c>
      <c r="P709" s="209">
        <v>0</v>
      </c>
      <c r="Q709" s="209">
        <v>0</v>
      </c>
      <c r="R709" s="594">
        <f t="shared" ref="R709:X709" si="1566">Q709</f>
        <v>0</v>
      </c>
      <c r="S709" s="594">
        <f t="shared" si="1566"/>
        <v>0</v>
      </c>
      <c r="T709" s="594">
        <f t="shared" si="1566"/>
        <v>0</v>
      </c>
      <c r="U709" s="594">
        <f t="shared" si="1566"/>
        <v>0</v>
      </c>
      <c r="V709" s="594">
        <f t="shared" si="1566"/>
        <v>0</v>
      </c>
      <c r="W709" s="594">
        <f t="shared" si="1566"/>
        <v>0</v>
      </c>
      <c r="X709" s="594">
        <f t="shared" si="1566"/>
        <v>0</v>
      </c>
      <c r="Y709" s="135" t="s">
        <v>4</v>
      </c>
    </row>
    <row r="710" spans="1:26" ht="15" customHeight="1" outlineLevel="1">
      <c r="B710" s="6" t="s">
        <v>195</v>
      </c>
      <c r="C710" s="197" t="s">
        <v>26</v>
      </c>
      <c r="D710" s="212"/>
      <c r="E710" s="212"/>
      <c r="F710" s="212"/>
      <c r="G710" s="209">
        <v>2452.3000000000002</v>
      </c>
      <c r="H710" s="209">
        <v>1576.1</v>
      </c>
      <c r="I710" s="209">
        <v>1786.1</v>
      </c>
      <c r="J710" s="209">
        <v>2334.1999999999998</v>
      </c>
      <c r="K710" s="209">
        <v>2007</v>
      </c>
      <c r="L710" s="209">
        <v>1769</v>
      </c>
      <c r="M710" s="209">
        <v>1554</v>
      </c>
      <c r="N710" s="209">
        <v>1616</v>
      </c>
      <c r="O710" s="209">
        <v>1769</v>
      </c>
      <c r="P710" s="209">
        <v>1864</v>
      </c>
      <c r="Q710" s="209">
        <v>1733</v>
      </c>
      <c r="R710" s="594">
        <v>1525</v>
      </c>
      <c r="S710" s="594">
        <f t="shared" ref="R710:X712" si="1567">R710</f>
        <v>1525</v>
      </c>
      <c r="T710" s="594">
        <f t="shared" si="1567"/>
        <v>1525</v>
      </c>
      <c r="U710" s="594">
        <f t="shared" si="1567"/>
        <v>1525</v>
      </c>
      <c r="V710" s="594">
        <f t="shared" si="1567"/>
        <v>1525</v>
      </c>
      <c r="W710" s="594">
        <f t="shared" si="1567"/>
        <v>1525</v>
      </c>
      <c r="X710" s="594">
        <f t="shared" si="1567"/>
        <v>1525</v>
      </c>
      <c r="Y710" s="135" t="s">
        <v>4</v>
      </c>
      <c r="Z710" s="659"/>
    </row>
    <row r="711" spans="1:26" ht="15" customHeight="1" outlineLevel="1">
      <c r="B711" s="6"/>
      <c r="C711" s="197"/>
      <c r="Y711" s="135" t="s">
        <v>4</v>
      </c>
    </row>
    <row r="712" spans="1:26" ht="15" customHeight="1" outlineLevel="1">
      <c r="B712" s="205" t="s">
        <v>196</v>
      </c>
      <c r="C712" s="192" t="s">
        <v>26</v>
      </c>
      <c r="D712" s="212"/>
      <c r="E712" s="212"/>
      <c r="F712" s="212"/>
      <c r="G712" s="214">
        <v>3297</v>
      </c>
      <c r="H712" s="214">
        <v>3297</v>
      </c>
      <c r="I712" s="214">
        <v>3297</v>
      </c>
      <c r="J712" s="214">
        <v>0</v>
      </c>
      <c r="K712" s="214">
        <v>0</v>
      </c>
      <c r="L712" s="214">
        <v>0</v>
      </c>
      <c r="M712" s="214">
        <v>0</v>
      </c>
      <c r="N712" s="214">
        <v>0</v>
      </c>
      <c r="O712" s="214">
        <v>0</v>
      </c>
      <c r="P712" s="214">
        <v>0</v>
      </c>
      <c r="Q712" s="214">
        <v>0</v>
      </c>
      <c r="R712" s="597">
        <f t="shared" si="1567"/>
        <v>0</v>
      </c>
      <c r="S712" s="597">
        <f t="shared" si="1567"/>
        <v>0</v>
      </c>
      <c r="T712" s="597">
        <f t="shared" si="1567"/>
        <v>0</v>
      </c>
      <c r="U712" s="597">
        <f t="shared" si="1567"/>
        <v>0</v>
      </c>
      <c r="V712" s="597">
        <f t="shared" si="1567"/>
        <v>0</v>
      </c>
      <c r="W712" s="597">
        <f t="shared" si="1567"/>
        <v>0</v>
      </c>
      <c r="X712" s="597">
        <f t="shared" si="1567"/>
        <v>0</v>
      </c>
      <c r="Y712" s="135" t="s">
        <v>4</v>
      </c>
    </row>
    <row r="713" spans="1:26" ht="15" customHeight="1" outlineLevel="1">
      <c r="B713" s="6"/>
      <c r="C713" s="197"/>
      <c r="Y713" s="135" t="s">
        <v>4</v>
      </c>
    </row>
    <row r="714" spans="1:26" ht="15" customHeight="1" outlineLevel="1">
      <c r="B714" s="207" t="s">
        <v>85</v>
      </c>
      <c r="C714" s="208" t="s">
        <v>26</v>
      </c>
      <c r="D714" s="212"/>
      <c r="E714" s="212"/>
      <c r="F714" s="212"/>
      <c r="G714" s="206">
        <f>TRUNC(G671-G688-G703-G712,0.5)</f>
        <v>0</v>
      </c>
      <c r="H714" s="206">
        <f t="shared" ref="H714:W714" si="1568">TRUNC(H671-H688-H703-H712,0.5)</f>
        <v>0</v>
      </c>
      <c r="I714" s="206">
        <f t="shared" si="1568"/>
        <v>0</v>
      </c>
      <c r="J714" s="206">
        <f t="shared" si="1568"/>
        <v>0</v>
      </c>
      <c r="K714" s="206">
        <f t="shared" si="1568"/>
        <v>0</v>
      </c>
      <c r="L714" s="206">
        <f t="shared" si="1568"/>
        <v>0</v>
      </c>
      <c r="M714" s="206">
        <f t="shared" si="1568"/>
        <v>0</v>
      </c>
      <c r="N714" s="206">
        <f t="shared" si="1568"/>
        <v>0</v>
      </c>
      <c r="O714" s="206">
        <f t="shared" si="1568"/>
        <v>0</v>
      </c>
      <c r="P714" s="206">
        <f t="shared" si="1568"/>
        <v>0</v>
      </c>
      <c r="Q714" s="206">
        <f t="shared" si="1568"/>
        <v>0</v>
      </c>
      <c r="R714" s="596">
        <f>TRUNC(R671-R688-R703-R712,0.5)</f>
        <v>-154</v>
      </c>
      <c r="S714" s="596">
        <f t="shared" si="1568"/>
        <v>-140</v>
      </c>
      <c r="T714" s="596">
        <f t="shared" si="1568"/>
        <v>-126</v>
      </c>
      <c r="U714" s="596">
        <f t="shared" si="1568"/>
        <v>-251</v>
      </c>
      <c r="V714" s="596">
        <f t="shared" si="1568"/>
        <v>-367</v>
      </c>
      <c r="W714" s="596">
        <f t="shared" si="1568"/>
        <v>-486</v>
      </c>
      <c r="X714" s="596">
        <f t="shared" ref="X714" si="1569">TRUNC(X671-X688-X703-X712,0.5)</f>
        <v>-592</v>
      </c>
      <c r="Y714" s="135" t="s">
        <v>4</v>
      </c>
    </row>
    <row r="715" spans="1:26" ht="15" customHeight="1" outlineLevel="1">
      <c r="Y715" s="135" t="s">
        <v>4</v>
      </c>
    </row>
    <row r="716" spans="1:26" ht="15" customHeight="1">
      <c r="Y716" s="135" t="s">
        <v>4</v>
      </c>
    </row>
    <row r="717" spans="1:26" ht="15" customHeight="1">
      <c r="A717" s="1" t="s">
        <v>4</v>
      </c>
      <c r="B717" s="148" t="s">
        <v>197</v>
      </c>
      <c r="C717" s="149" t="s">
        <v>11</v>
      </c>
      <c r="D717" s="150">
        <v>2011</v>
      </c>
      <c r="E717" s="150">
        <v>2012</v>
      </c>
      <c r="F717" s="150">
        <v>2013</v>
      </c>
      <c r="G717" s="150">
        <v>2014</v>
      </c>
      <c r="H717" s="150">
        <v>2015</v>
      </c>
      <c r="I717" s="150">
        <v>2016</v>
      </c>
      <c r="J717" s="150">
        <v>2017</v>
      </c>
      <c r="K717" s="150">
        <v>2018</v>
      </c>
      <c r="L717" s="150">
        <v>2019</v>
      </c>
      <c r="M717" s="150">
        <v>2020</v>
      </c>
      <c r="N717" s="150">
        <v>2021</v>
      </c>
      <c r="O717" s="150">
        <v>2022</v>
      </c>
      <c r="P717" s="150">
        <v>2023</v>
      </c>
      <c r="Q717" s="150">
        <v>2024</v>
      </c>
      <c r="R717" s="151" t="s">
        <v>23</v>
      </c>
      <c r="S717" s="151" t="s">
        <v>12</v>
      </c>
      <c r="T717" s="151" t="s">
        <v>13</v>
      </c>
      <c r="U717" s="151" t="s">
        <v>14</v>
      </c>
      <c r="V717" s="151" t="s">
        <v>15</v>
      </c>
      <c r="W717" s="152" t="s">
        <v>16</v>
      </c>
      <c r="X717" s="151" t="s">
        <v>17</v>
      </c>
      <c r="Y717" s="135" t="s">
        <v>4</v>
      </c>
    </row>
    <row r="718" spans="1:26" ht="15" customHeight="1" outlineLevel="1">
      <c r="Y718" s="135" t="s">
        <v>4</v>
      </c>
    </row>
    <row r="719" spans="1:26" ht="15" customHeight="1" outlineLevel="1">
      <c r="B719" s="215" t="s">
        <v>198</v>
      </c>
      <c r="C719" s="216" t="s">
        <v>26</v>
      </c>
      <c r="D719" s="210"/>
      <c r="E719" s="210"/>
      <c r="F719" s="210"/>
      <c r="G719" s="22">
        <f t="shared" ref="G719:K719" si="1570">G721+G723+G731</f>
        <v>259.3</v>
      </c>
      <c r="H719" s="22">
        <f t="shared" si="1570"/>
        <v>1204.8</v>
      </c>
      <c r="I719" s="22">
        <f t="shared" si="1570"/>
        <v>1269</v>
      </c>
      <c r="J719" s="22">
        <f t="shared" si="1570"/>
        <v>1382</v>
      </c>
      <c r="K719" s="22">
        <f t="shared" si="1570"/>
        <v>1165</v>
      </c>
      <c r="L719" s="22">
        <f>L721+L723+L731</f>
        <v>1476</v>
      </c>
      <c r="M719" s="22">
        <f t="shared" ref="M719:W719" si="1571">M721+M723+M731</f>
        <v>921</v>
      </c>
      <c r="N719" s="22">
        <f t="shared" si="1571"/>
        <v>1726</v>
      </c>
      <c r="O719" s="22">
        <f t="shared" si="1571"/>
        <v>1490</v>
      </c>
      <c r="P719" s="22">
        <f t="shared" si="1571"/>
        <v>1323</v>
      </c>
      <c r="Q719" s="22">
        <f t="shared" si="1571"/>
        <v>1503</v>
      </c>
      <c r="R719" s="22">
        <f t="shared" si="1571"/>
        <v>2950.4933350072342</v>
      </c>
      <c r="S719" s="22">
        <f t="shared" si="1571"/>
        <v>2222.5017319190665</v>
      </c>
      <c r="T719" s="22">
        <f t="shared" si="1571"/>
        <v>2924.8524389941504</v>
      </c>
      <c r="U719" s="22">
        <f t="shared" si="1571"/>
        <v>3326.18632645661</v>
      </c>
      <c r="V719" s="22">
        <f t="shared" si="1571"/>
        <v>3941.9035434914167</v>
      </c>
      <c r="W719" s="22">
        <f t="shared" si="1571"/>
        <v>4765.0203494836642</v>
      </c>
      <c r="X719" s="22">
        <f t="shared" ref="X719" si="1572">X721+X723+X731</f>
        <v>5821.5210147328644</v>
      </c>
      <c r="Y719" s="135" t="s">
        <v>4</v>
      </c>
    </row>
    <row r="720" spans="1:26" ht="15" customHeight="1" outlineLevel="1">
      <c r="B720" s="217"/>
      <c r="C720" s="218"/>
      <c r="D720" s="25"/>
      <c r="E720" s="25"/>
      <c r="F720" s="25"/>
      <c r="G720" s="25"/>
      <c r="H720" s="25"/>
      <c r="I720" s="25"/>
      <c r="J720" s="25"/>
      <c r="K720" s="25"/>
      <c r="L720" s="25"/>
      <c r="M720" s="25"/>
      <c r="N720" s="25"/>
      <c r="O720" s="25"/>
      <c r="P720" s="25"/>
      <c r="Q720" s="25"/>
      <c r="R720" s="25"/>
      <c r="S720" s="25"/>
      <c r="T720" s="25"/>
      <c r="U720" s="25"/>
      <c r="V720" s="25"/>
      <c r="W720" s="25"/>
      <c r="X720" s="25"/>
      <c r="Y720" s="135" t="s">
        <v>4</v>
      </c>
    </row>
    <row r="721" spans="2:25" ht="15" customHeight="1" outlineLevel="1">
      <c r="B721" s="219" t="s">
        <v>124</v>
      </c>
      <c r="C721" s="220" t="s">
        <v>26</v>
      </c>
      <c r="D721" s="211"/>
      <c r="E721" s="211"/>
      <c r="F721" s="211"/>
      <c r="G721" s="233">
        <v>-277.39999999999998</v>
      </c>
      <c r="H721" s="233">
        <v>511.7</v>
      </c>
      <c r="I721" s="233">
        <v>955.9</v>
      </c>
      <c r="J721" s="233">
        <v>1235.3</v>
      </c>
      <c r="K721" s="233">
        <v>1144</v>
      </c>
      <c r="L721" s="233">
        <v>1111</v>
      </c>
      <c r="M721" s="233">
        <v>750</v>
      </c>
      <c r="N721" s="233">
        <v>1253</v>
      </c>
      <c r="O721" s="233">
        <v>1482</v>
      </c>
      <c r="P721" s="233">
        <v>1718</v>
      </c>
      <c r="Q721" s="233">
        <v>1445</v>
      </c>
      <c r="R721" s="222">
        <f t="shared" ref="R721:X721" si="1573">R578</f>
        <v>1950.6244778306996</v>
      </c>
      <c r="S721" s="222">
        <f t="shared" si="1573"/>
        <v>1739.0140323659598</v>
      </c>
      <c r="T721" s="222">
        <f t="shared" si="1573"/>
        <v>2124.4933153187194</v>
      </c>
      <c r="U721" s="222">
        <f t="shared" si="1573"/>
        <v>2467.6021013608724</v>
      </c>
      <c r="V721" s="222">
        <f t="shared" si="1573"/>
        <v>2955.1612987031444</v>
      </c>
      <c r="W721" s="222">
        <f t="shared" si="1573"/>
        <v>3588.0750477503916</v>
      </c>
      <c r="X721" s="222">
        <f t="shared" si="1573"/>
        <v>4366.8153521923768</v>
      </c>
      <c r="Y721" s="135" t="s">
        <v>4</v>
      </c>
    </row>
    <row r="722" spans="2:25" ht="15" customHeight="1" outlineLevel="1">
      <c r="B722" s="217"/>
      <c r="C722" s="218"/>
      <c r="D722" s="25"/>
      <c r="E722" s="25"/>
      <c r="F722" s="25"/>
      <c r="G722" s="25"/>
      <c r="H722" s="25"/>
      <c r="I722" s="25"/>
      <c r="J722" s="25"/>
      <c r="K722" s="25"/>
      <c r="L722" s="25"/>
      <c r="M722" s="25"/>
      <c r="N722" s="25"/>
      <c r="O722" s="25"/>
      <c r="P722" s="25"/>
      <c r="Q722" s="25"/>
      <c r="R722" s="25"/>
      <c r="S722" s="25"/>
      <c r="T722" s="25"/>
      <c r="U722" s="25"/>
      <c r="V722" s="25"/>
      <c r="W722" s="25"/>
      <c r="X722" s="25"/>
      <c r="Y722" s="135" t="s">
        <v>4</v>
      </c>
    </row>
    <row r="723" spans="2:25" ht="15" customHeight="1" outlineLevel="1">
      <c r="B723" s="219" t="s">
        <v>199</v>
      </c>
      <c r="C723" s="220" t="s">
        <v>26</v>
      </c>
      <c r="D723" s="211"/>
      <c r="E723" s="211"/>
      <c r="F723" s="211"/>
      <c r="G723" s="231">
        <f>SUM(G725:G729)</f>
        <v>132.5</v>
      </c>
      <c r="H723" s="231">
        <f t="shared" ref="H723:W723" si="1574">SUM(H725:H729)</f>
        <v>239.5</v>
      </c>
      <c r="I723" s="231">
        <f t="shared" si="1574"/>
        <v>306</v>
      </c>
      <c r="J723" s="231">
        <f t="shared" si="1574"/>
        <v>-492.7</v>
      </c>
      <c r="K723" s="231">
        <f t="shared" si="1574"/>
        <v>264</v>
      </c>
      <c r="L723" s="231">
        <f t="shared" si="1574"/>
        <v>329</v>
      </c>
      <c r="M723" s="231">
        <f t="shared" si="1574"/>
        <v>120</v>
      </c>
      <c r="N723" s="231">
        <f t="shared" si="1574"/>
        <v>329</v>
      </c>
      <c r="O723" s="231">
        <f t="shared" si="1574"/>
        <v>338</v>
      </c>
      <c r="P723" s="231">
        <f t="shared" si="1574"/>
        <v>-26</v>
      </c>
      <c r="Q723" s="231">
        <f t="shared" si="1574"/>
        <v>387</v>
      </c>
      <c r="R723" s="231">
        <f t="shared" si="1574"/>
        <v>694.80879423419674</v>
      </c>
      <c r="S723" s="231">
        <f t="shared" si="1574"/>
        <v>588.51846847219417</v>
      </c>
      <c r="T723" s="231">
        <f t="shared" si="1574"/>
        <v>726.95034303033231</v>
      </c>
      <c r="U723" s="231">
        <f t="shared" si="1574"/>
        <v>841.73522745188586</v>
      </c>
      <c r="V723" s="231">
        <f t="shared" si="1574"/>
        <v>973.87952431284725</v>
      </c>
      <c r="W723" s="231">
        <f t="shared" si="1574"/>
        <v>1141.6297329916176</v>
      </c>
      <c r="X723" s="231">
        <f t="shared" ref="X723" si="1575">SUM(X725:X729)</f>
        <v>1358.099650944044</v>
      </c>
      <c r="Y723" s="135" t="s">
        <v>4</v>
      </c>
    </row>
    <row r="724" spans="2:25" ht="15" customHeight="1" outlineLevel="1">
      <c r="B724" s="219"/>
      <c r="C724" s="220"/>
      <c r="D724" s="211"/>
      <c r="E724" s="211"/>
      <c r="F724" s="211"/>
      <c r="G724" s="231"/>
      <c r="H724" s="231"/>
      <c r="I724" s="231"/>
      <c r="J724" s="231"/>
      <c r="K724" s="231"/>
      <c r="L724" s="231"/>
      <c r="M724" s="231"/>
      <c r="N724" s="231"/>
      <c r="O724" s="231"/>
      <c r="P724" s="231"/>
      <c r="Q724" s="231"/>
      <c r="R724" s="231"/>
      <c r="S724" s="231"/>
      <c r="T724" s="231"/>
      <c r="U724" s="231"/>
      <c r="V724" s="231"/>
      <c r="W724" s="231"/>
      <c r="X724" s="231"/>
      <c r="Y724" s="135" t="s">
        <v>4</v>
      </c>
    </row>
    <row r="725" spans="2:25" ht="15" customHeight="1" outlineLevel="1">
      <c r="B725" s="221" t="s">
        <v>200</v>
      </c>
      <c r="C725" s="218" t="s">
        <v>26</v>
      </c>
      <c r="D725" s="211"/>
      <c r="E725" s="211"/>
      <c r="F725" s="211"/>
      <c r="G725" s="232">
        <v>72.900000000000006</v>
      </c>
      <c r="H725" s="232">
        <v>182</v>
      </c>
      <c r="I725" s="232">
        <v>172.1</v>
      </c>
      <c r="J725" s="232">
        <v>181.1</v>
      </c>
      <c r="K725" s="232">
        <v>180</v>
      </c>
      <c r="L725" s="232">
        <v>185</v>
      </c>
      <c r="M725" s="232">
        <v>189</v>
      </c>
      <c r="N725" s="232">
        <v>201</v>
      </c>
      <c r="O725" s="232">
        <v>190</v>
      </c>
      <c r="P725" s="232">
        <v>191</v>
      </c>
      <c r="Q725" s="232">
        <v>264</v>
      </c>
      <c r="R725" s="224">
        <f>-R905</f>
        <v>437.3208293121121</v>
      </c>
      <c r="S725" s="224">
        <f t="shared" ref="S725:W725" si="1576">-S905</f>
        <v>359.02811267008252</v>
      </c>
      <c r="T725" s="224">
        <f t="shared" si="1576"/>
        <v>448.57379004816391</v>
      </c>
      <c r="U725" s="224">
        <f t="shared" si="1576"/>
        <v>525.26175414480178</v>
      </c>
      <c r="V725" s="224">
        <f t="shared" si="1576"/>
        <v>609.99350462107316</v>
      </c>
      <c r="W725" s="224">
        <f t="shared" si="1576"/>
        <v>717.71972596779256</v>
      </c>
      <c r="X725" s="224">
        <f t="shared" ref="X725" si="1577">-X905</f>
        <v>856.9605844824498</v>
      </c>
      <c r="Y725" s="135" t="s">
        <v>4</v>
      </c>
    </row>
    <row r="726" spans="2:25" ht="15" customHeight="1" outlineLevel="1">
      <c r="B726" s="221" t="s">
        <v>201</v>
      </c>
      <c r="C726" s="218" t="s">
        <v>26</v>
      </c>
      <c r="D726" s="211"/>
      <c r="E726" s="211"/>
      <c r="F726" s="211"/>
      <c r="G726" s="232">
        <v>60.2</v>
      </c>
      <c r="H726" s="232">
        <v>34.9</v>
      </c>
      <c r="I726" s="232">
        <v>38.9</v>
      </c>
      <c r="J726" s="232">
        <v>32.700000000000003</v>
      </c>
      <c r="K726" s="232">
        <v>29</v>
      </c>
      <c r="L726" s="232">
        <v>29</v>
      </c>
      <c r="M726" s="232">
        <v>26</v>
      </c>
      <c r="N726" s="232">
        <v>27</v>
      </c>
      <c r="O726" s="232">
        <v>28</v>
      </c>
      <c r="P726" s="232">
        <v>27</v>
      </c>
      <c r="Q726" s="232">
        <v>25</v>
      </c>
      <c r="R726" s="287"/>
      <c r="S726" s="287"/>
      <c r="T726" s="287"/>
      <c r="U726" s="287"/>
      <c r="V726" s="287"/>
      <c r="W726" s="287"/>
      <c r="X726" s="287"/>
      <c r="Y726" s="135" t="s">
        <v>4</v>
      </c>
    </row>
    <row r="727" spans="2:25" ht="15" customHeight="1" outlineLevel="1">
      <c r="B727" s="221" t="s">
        <v>202</v>
      </c>
      <c r="C727" s="218" t="s">
        <v>26</v>
      </c>
      <c r="D727" s="211"/>
      <c r="E727" s="211"/>
      <c r="F727" s="211"/>
      <c r="G727" s="232">
        <v>9.1999999999999993</v>
      </c>
      <c r="H727" s="232">
        <v>4.0999999999999996</v>
      </c>
      <c r="I727" s="232">
        <v>-20.2</v>
      </c>
      <c r="J727" s="232">
        <v>-12.4</v>
      </c>
      <c r="K727" s="232">
        <v>-22</v>
      </c>
      <c r="L727" s="232">
        <v>-11</v>
      </c>
      <c r="M727" s="232">
        <v>39</v>
      </c>
      <c r="N727" s="232">
        <v>4</v>
      </c>
      <c r="O727" s="232">
        <v>44</v>
      </c>
      <c r="P727" s="232">
        <v>-8</v>
      </c>
      <c r="Q727" s="232">
        <v>-69</v>
      </c>
      <c r="R727" s="287"/>
      <c r="S727" s="287"/>
      <c r="T727" s="287"/>
      <c r="U727" s="287"/>
      <c r="V727" s="287"/>
      <c r="W727" s="287"/>
      <c r="X727" s="287"/>
      <c r="Y727" s="135" t="s">
        <v>4</v>
      </c>
    </row>
    <row r="728" spans="2:25" ht="15" customHeight="1" outlineLevel="1">
      <c r="B728" s="221" t="s">
        <v>203</v>
      </c>
      <c r="C728" s="218" t="s">
        <v>26</v>
      </c>
      <c r="D728" s="211"/>
      <c r="E728" s="211"/>
      <c r="F728" s="211"/>
      <c r="G728" s="82">
        <v>43.1</v>
      </c>
      <c r="H728" s="82">
        <v>50.8</v>
      </c>
      <c r="I728" s="82">
        <v>35.1</v>
      </c>
      <c r="J728" s="82">
        <v>48.3</v>
      </c>
      <c r="K728" s="82">
        <v>48</v>
      </c>
      <c r="L728" s="82">
        <v>68</v>
      </c>
      <c r="M728" s="82">
        <v>74</v>
      </c>
      <c r="N728" s="82">
        <v>102</v>
      </c>
      <c r="O728" s="82">
        <v>136</v>
      </c>
      <c r="P728" s="82">
        <v>194</v>
      </c>
      <c r="Q728" s="82">
        <v>172</v>
      </c>
      <c r="R728" s="224">
        <f t="shared" ref="R728:X728" si="1578">R607</f>
        <v>257.4879649220847</v>
      </c>
      <c r="S728" s="224">
        <f t="shared" si="1578"/>
        <v>229.49035580211171</v>
      </c>
      <c r="T728" s="224">
        <f t="shared" si="1578"/>
        <v>278.37655298216839</v>
      </c>
      <c r="U728" s="224">
        <f t="shared" si="1578"/>
        <v>316.47347330708408</v>
      </c>
      <c r="V728" s="224">
        <f t="shared" si="1578"/>
        <v>363.88601969177404</v>
      </c>
      <c r="W728" s="224">
        <f t="shared" si="1578"/>
        <v>423.91000702382502</v>
      </c>
      <c r="X728" s="224">
        <f t="shared" si="1578"/>
        <v>501.13906646159421</v>
      </c>
      <c r="Y728" s="135" t="s">
        <v>4</v>
      </c>
    </row>
    <row r="729" spans="2:25" ht="15" customHeight="1" outlineLevel="1">
      <c r="B729" s="221" t="s">
        <v>167</v>
      </c>
      <c r="C729" s="218" t="s">
        <v>26</v>
      </c>
      <c r="D729" s="211"/>
      <c r="E729" s="211"/>
      <c r="F729" s="211"/>
      <c r="G729" s="82">
        <v>-52.9</v>
      </c>
      <c r="H729" s="82">
        <v>-32.299999999999997</v>
      </c>
      <c r="I729" s="82">
        <v>80.099999999999994</v>
      </c>
      <c r="J729" s="82">
        <v>-742.4</v>
      </c>
      <c r="K729" s="82">
        <v>29</v>
      </c>
      <c r="L729" s="82">
        <v>58</v>
      </c>
      <c r="M729" s="82">
        <v>-208</v>
      </c>
      <c r="N729" s="82">
        <v>-5</v>
      </c>
      <c r="O729" s="82">
        <v>-60</v>
      </c>
      <c r="P729" s="82">
        <v>-430</v>
      </c>
      <c r="Q729" s="82">
        <v>-5</v>
      </c>
      <c r="R729" s="288"/>
      <c r="S729" s="288"/>
      <c r="T729" s="288"/>
      <c r="U729" s="288"/>
      <c r="V729" s="288"/>
      <c r="W729" s="288"/>
      <c r="X729" s="288"/>
      <c r="Y729" s="135" t="s">
        <v>4</v>
      </c>
    </row>
    <row r="730" spans="2:25" ht="15" customHeight="1" outlineLevel="1">
      <c r="B730" s="219"/>
      <c r="C730" s="218"/>
      <c r="D730" s="223"/>
      <c r="E730" s="223"/>
      <c r="F730" s="223"/>
      <c r="G730" s="223"/>
      <c r="H730" s="223"/>
      <c r="I730" s="223"/>
      <c r="J730" s="223"/>
      <c r="K730" s="223"/>
      <c r="L730" s="223"/>
      <c r="M730" s="223"/>
      <c r="N730" s="223"/>
      <c r="O730" s="223"/>
      <c r="P730" s="223"/>
      <c r="Q730" s="223"/>
      <c r="R730" s="223"/>
      <c r="S730" s="223"/>
      <c r="T730" s="223"/>
      <c r="U730" s="223"/>
      <c r="V730" s="223"/>
      <c r="W730" s="223"/>
      <c r="X730" s="223"/>
      <c r="Y730" s="135" t="s">
        <v>4</v>
      </c>
    </row>
    <row r="731" spans="2:25" ht="15" customHeight="1" outlineLevel="1">
      <c r="B731" s="219" t="s">
        <v>204</v>
      </c>
      <c r="C731" s="220" t="s">
        <v>26</v>
      </c>
      <c r="D731" s="211"/>
      <c r="E731" s="211"/>
      <c r="F731" s="211"/>
      <c r="G731" s="213">
        <f t="shared" ref="G731" si="1579">SUM(G732:G739)</f>
        <v>404.2</v>
      </c>
      <c r="H731" s="213">
        <f t="shared" ref="H731" si="1580">SUM(H732:H739)</f>
        <v>453.59999999999997</v>
      </c>
      <c r="I731" s="213">
        <f t="shared" ref="I731" si="1581">SUM(I732:I739)</f>
        <v>7.0999999999999988</v>
      </c>
      <c r="J731" s="213">
        <f t="shared" ref="J731" si="1582">SUM(J732:J739)</f>
        <v>639.4</v>
      </c>
      <c r="K731" s="213">
        <f t="shared" ref="K731" si="1583">SUM(K732:K739)</f>
        <v>-243</v>
      </c>
      <c r="L731" s="213">
        <f t="shared" ref="L731" si="1584">SUM(L732:L739)</f>
        <v>36</v>
      </c>
      <c r="M731" s="213">
        <f t="shared" ref="M731" si="1585">SUM(M732:M739)</f>
        <v>51</v>
      </c>
      <c r="N731" s="213">
        <f t="shared" ref="N731" si="1586">SUM(N732:N739)</f>
        <v>144</v>
      </c>
      <c r="O731" s="213">
        <f t="shared" ref="O731" si="1587">SUM(O732:O739)</f>
        <v>-330</v>
      </c>
      <c r="P731" s="213">
        <f t="shared" ref="P731" si="1588">SUM(P732:P739)</f>
        <v>-369</v>
      </c>
      <c r="Q731" s="213">
        <f t="shared" ref="Q731" si="1589">SUM(Q732:Q739)</f>
        <v>-329</v>
      </c>
      <c r="R731" s="213">
        <f t="shared" ref="R731" si="1590">SUM(R732:R739)</f>
        <v>305.06006294233816</v>
      </c>
      <c r="S731" s="213">
        <f t="shared" ref="S731" si="1591">SUM(S732:S739)</f>
        <v>-105.03076891908785</v>
      </c>
      <c r="T731" s="213">
        <f t="shared" ref="T731" si="1592">SUM(T732:T739)</f>
        <v>73.408780645099085</v>
      </c>
      <c r="U731" s="213">
        <f t="shared" ref="U731" si="1593">SUM(U732:U739)</f>
        <v>16.848997643851789</v>
      </c>
      <c r="V731" s="213">
        <f t="shared" ref="V731" si="1594">SUM(V732:V739)</f>
        <v>12.862720475424567</v>
      </c>
      <c r="W731" s="213">
        <f t="shared" ref="W731" si="1595">SUM(W732:W739)</f>
        <v>35.315568741654488</v>
      </c>
      <c r="X731" s="213">
        <f t="shared" ref="X731" si="1596">SUM(X732:X739)</f>
        <v>96.606011596444034</v>
      </c>
      <c r="Y731" s="135" t="s">
        <v>4</v>
      </c>
    </row>
    <row r="732" spans="2:25" ht="15" customHeight="1" outlineLevel="1">
      <c r="B732" s="221" t="s">
        <v>163</v>
      </c>
      <c r="C732" s="218" t="s">
        <v>26</v>
      </c>
      <c r="D732" s="211"/>
      <c r="E732" s="211"/>
      <c r="F732" s="211"/>
      <c r="G732" s="82">
        <v>-24</v>
      </c>
      <c r="H732" s="82">
        <v>-26.5</v>
      </c>
      <c r="I732" s="82">
        <v>-15.8</v>
      </c>
      <c r="J732" s="82">
        <v>-30.4</v>
      </c>
      <c r="K732" s="82">
        <v>19</v>
      </c>
      <c r="L732" s="82">
        <v>-53</v>
      </c>
      <c r="M732" s="82">
        <v>-30</v>
      </c>
      <c r="N732" s="82">
        <v>8</v>
      </c>
      <c r="O732" s="82">
        <v>-110</v>
      </c>
      <c r="P732" s="82">
        <v>-147</v>
      </c>
      <c r="Q732" s="82">
        <v>7</v>
      </c>
      <c r="R732" s="224">
        <f>-R874</f>
        <v>-433.25670826969872</v>
      </c>
      <c r="S732" s="224">
        <f t="shared" ref="S732:W732" si="1597">-S874</f>
        <v>229.57712523919542</v>
      </c>
      <c r="T732" s="224">
        <f t="shared" si="1597"/>
        <v>-192.0764196612696</v>
      </c>
      <c r="U732" s="224">
        <f t="shared" si="1597"/>
        <v>-149.68478789992014</v>
      </c>
      <c r="V732" s="224">
        <f t="shared" si="1597"/>
        <v>-186.28636878939483</v>
      </c>
      <c r="W732" s="224">
        <f t="shared" si="1597"/>
        <v>-235.83737835180045</v>
      </c>
      <c r="X732" s="224">
        <f t="shared" ref="X732" si="1598">-X874</f>
        <v>-303.4370044366151</v>
      </c>
      <c r="Y732" s="135" t="s">
        <v>4</v>
      </c>
    </row>
    <row r="733" spans="2:25" ht="15" customHeight="1" outlineLevel="1">
      <c r="B733" s="221" t="s">
        <v>205</v>
      </c>
      <c r="C733" s="218" t="s">
        <v>26</v>
      </c>
      <c r="D733" s="211"/>
      <c r="E733" s="211"/>
      <c r="F733" s="211"/>
      <c r="G733" s="82">
        <v>-24.1</v>
      </c>
      <c r="H733" s="82">
        <v>9.1999999999999993</v>
      </c>
      <c r="I733" s="82">
        <v>7.7</v>
      </c>
      <c r="J733" s="82">
        <v>2.9</v>
      </c>
      <c r="K733" s="82">
        <v>-7</v>
      </c>
      <c r="L733" s="82">
        <v>-15</v>
      </c>
      <c r="M733" s="82">
        <v>-10</v>
      </c>
      <c r="N733" s="82">
        <v>12</v>
      </c>
      <c r="O733" s="82">
        <v>-61</v>
      </c>
      <c r="P733" s="82">
        <v>-43</v>
      </c>
      <c r="Q733" s="82">
        <v>30</v>
      </c>
      <c r="R733" s="224">
        <f>-R882</f>
        <v>-90.592523813571717</v>
      </c>
      <c r="S733" s="224">
        <f t="shared" ref="S733:W733" si="1599">-S882</f>
        <v>30.71710769157059</v>
      </c>
      <c r="T733" s="224">
        <f t="shared" si="1599"/>
        <v>-37.883709694911175</v>
      </c>
      <c r="U733" s="224">
        <f t="shared" si="1599"/>
        <v>-29.745419583092286</v>
      </c>
      <c r="V733" s="224">
        <f t="shared" si="1599"/>
        <v>-26.151549849431262</v>
      </c>
      <c r="W733" s="224">
        <f t="shared" si="1599"/>
        <v>-37.309747841171543</v>
      </c>
      <c r="X733" s="224">
        <f t="shared" ref="X733" si="1600">-X882</f>
        <v>-62.595226641764668</v>
      </c>
      <c r="Y733" s="135" t="s">
        <v>4</v>
      </c>
    </row>
    <row r="734" spans="2:25" ht="15" customHeight="1" outlineLevel="1">
      <c r="B734" s="221" t="s">
        <v>177</v>
      </c>
      <c r="C734" s="218" t="s">
        <v>26</v>
      </c>
      <c r="D734" s="211"/>
      <c r="E734" s="211"/>
      <c r="F734" s="211"/>
      <c r="G734" s="82">
        <v>-17.899999999999999</v>
      </c>
      <c r="H734" s="82">
        <v>191.2</v>
      </c>
      <c r="I734" s="82">
        <v>27.5</v>
      </c>
      <c r="J734" s="82">
        <v>19.899999999999999</v>
      </c>
      <c r="K734" s="82">
        <v>41</v>
      </c>
      <c r="L734" s="82">
        <v>112</v>
      </c>
      <c r="M734" s="82">
        <v>-183</v>
      </c>
      <c r="N734" s="82">
        <v>149</v>
      </c>
      <c r="O734" s="82">
        <v>169</v>
      </c>
      <c r="P734" s="82">
        <v>22</v>
      </c>
      <c r="Q734" s="82">
        <v>-30</v>
      </c>
      <c r="R734" s="224">
        <f>R890</f>
        <v>907.55783800338622</v>
      </c>
      <c r="S734" s="224">
        <f t="shared" ref="S734:W734" si="1601">S890</f>
        <v>-428.6289814313152</v>
      </c>
      <c r="T734" s="224">
        <f t="shared" si="1601"/>
        <v>321.10938759543251</v>
      </c>
      <c r="U734" s="224">
        <f t="shared" si="1601"/>
        <v>218.86989116759059</v>
      </c>
      <c r="V734" s="224">
        <f t="shared" si="1601"/>
        <v>230.75207842170835</v>
      </c>
      <c r="W734" s="224">
        <f t="shared" si="1601"/>
        <v>293.98710765585065</v>
      </c>
      <c r="X734" s="224">
        <f t="shared" ref="X734" si="1602">X890</f>
        <v>473.55023889980203</v>
      </c>
      <c r="Y734" s="135" t="s">
        <v>4</v>
      </c>
    </row>
    <row r="735" spans="2:25" ht="15" customHeight="1" outlineLevel="1">
      <c r="B735" s="221" t="s">
        <v>206</v>
      </c>
      <c r="C735" s="218" t="s">
        <v>26</v>
      </c>
      <c r="D735" s="211"/>
      <c r="E735" s="211"/>
      <c r="F735" s="211"/>
      <c r="G735" s="82">
        <v>-35.9</v>
      </c>
      <c r="H735" s="82">
        <v>32.9</v>
      </c>
      <c r="I735" s="82">
        <v>-10.1</v>
      </c>
      <c r="J735" s="82">
        <v>1.3</v>
      </c>
      <c r="K735" s="82">
        <v>0</v>
      </c>
      <c r="L735" s="82">
        <v>0</v>
      </c>
      <c r="M735" s="82">
        <v>0</v>
      </c>
      <c r="N735" s="82">
        <v>0</v>
      </c>
      <c r="O735" s="82">
        <v>0</v>
      </c>
      <c r="P735" s="82">
        <v>0</v>
      </c>
      <c r="Q735" s="82">
        <v>0</v>
      </c>
      <c r="R735" s="288"/>
      <c r="S735" s="288"/>
      <c r="T735" s="288"/>
      <c r="U735" s="288"/>
      <c r="V735" s="288"/>
      <c r="W735" s="288"/>
      <c r="X735" s="288"/>
      <c r="Y735" s="135" t="s">
        <v>4</v>
      </c>
    </row>
    <row r="736" spans="2:25" ht="15" customHeight="1" outlineLevel="1">
      <c r="B736" s="221" t="s">
        <v>207</v>
      </c>
      <c r="C736" s="218" t="s">
        <v>26</v>
      </c>
      <c r="D736" s="211"/>
      <c r="E736" s="211"/>
      <c r="F736" s="211"/>
      <c r="G736" s="82">
        <v>122.9</v>
      </c>
      <c r="H736" s="82">
        <v>135.4</v>
      </c>
      <c r="I736" s="82">
        <v>-1.2</v>
      </c>
      <c r="J736" s="82">
        <v>360.1</v>
      </c>
      <c r="K736" s="82">
        <v>-219</v>
      </c>
      <c r="L736" s="82">
        <v>-51</v>
      </c>
      <c r="M736" s="82">
        <v>16</v>
      </c>
      <c r="N736" s="82">
        <v>67</v>
      </c>
      <c r="O736" s="82">
        <v>37</v>
      </c>
      <c r="P736" s="82">
        <v>9</v>
      </c>
      <c r="Q736" s="82">
        <v>-37</v>
      </c>
      <c r="R736" s="224">
        <f>R894</f>
        <v>231.04006747374478</v>
      </c>
      <c r="S736" s="224">
        <f t="shared" ref="S736:X736" si="1603">S894</f>
        <v>-87.003373275261026</v>
      </c>
      <c r="T736" s="224">
        <f t="shared" si="1603"/>
        <v>73.385318839240313</v>
      </c>
      <c r="U736" s="224">
        <f t="shared" si="1603"/>
        <v>51.856049232443809</v>
      </c>
      <c r="V736" s="224">
        <f t="shared" si="1603"/>
        <v>71.062715090880943</v>
      </c>
      <c r="W736" s="224">
        <f t="shared" si="1603"/>
        <v>88.901833726664108</v>
      </c>
      <c r="X736" s="224">
        <f t="shared" si="1603"/>
        <v>141.31257554121032</v>
      </c>
      <c r="Y736" s="135" t="s">
        <v>4</v>
      </c>
    </row>
    <row r="737" spans="2:25" ht="15" customHeight="1" outlineLevel="1">
      <c r="B737" s="221" t="s">
        <v>208</v>
      </c>
      <c r="C737" s="218" t="s">
        <v>26</v>
      </c>
      <c r="D737" s="211"/>
      <c r="E737" s="211"/>
      <c r="F737" s="211"/>
      <c r="G737" s="82">
        <v>0</v>
      </c>
      <c r="H737" s="82">
        <v>0</v>
      </c>
      <c r="I737" s="82">
        <v>0</v>
      </c>
      <c r="J737" s="82">
        <v>0</v>
      </c>
      <c r="K737" s="82">
        <v>-52</v>
      </c>
      <c r="L737" s="82">
        <v>-54</v>
      </c>
      <c r="M737" s="82">
        <v>-22</v>
      </c>
      <c r="N737" s="82">
        <v>-20</v>
      </c>
      <c r="O737" s="82">
        <v>-26</v>
      </c>
      <c r="P737" s="82">
        <v>-32</v>
      </c>
      <c r="Q737" s="82">
        <v>-38</v>
      </c>
      <c r="R737" s="288"/>
      <c r="S737" s="288"/>
      <c r="T737" s="288"/>
      <c r="U737" s="288"/>
      <c r="V737" s="288"/>
      <c r="W737" s="288"/>
      <c r="X737" s="288"/>
      <c r="Y737" s="135" t="s">
        <v>4</v>
      </c>
    </row>
    <row r="738" spans="2:25" ht="15" customHeight="1" outlineLevel="1">
      <c r="B738" s="221" t="s">
        <v>209</v>
      </c>
      <c r="C738" s="218" t="s">
        <v>26</v>
      </c>
      <c r="D738" s="211"/>
      <c r="E738" s="211"/>
      <c r="F738" s="211"/>
      <c r="G738" s="82">
        <v>-58.4</v>
      </c>
      <c r="H738" s="82">
        <v>-28.8</v>
      </c>
      <c r="I738" s="82">
        <v>-5.7</v>
      </c>
      <c r="J738" s="82">
        <v>40.200000000000003</v>
      </c>
      <c r="K738" s="82">
        <v>43</v>
      </c>
      <c r="L738" s="82">
        <v>138</v>
      </c>
      <c r="M738" s="82">
        <v>23</v>
      </c>
      <c r="N738" s="82">
        <v>-78</v>
      </c>
      <c r="O738" s="82">
        <v>-345</v>
      </c>
      <c r="P738" s="82">
        <v>-78</v>
      </c>
      <c r="Q738" s="82">
        <v>-41</v>
      </c>
      <c r="R738" s="288"/>
      <c r="S738" s="288"/>
      <c r="T738" s="288"/>
      <c r="U738" s="288"/>
      <c r="V738" s="288"/>
      <c r="W738" s="288"/>
      <c r="X738" s="288"/>
      <c r="Y738" s="135" t="s">
        <v>4</v>
      </c>
    </row>
    <row r="739" spans="2:25" ht="15" customHeight="1" outlineLevel="1">
      <c r="B739" s="221" t="s">
        <v>210</v>
      </c>
      <c r="C739" s="218" t="s">
        <v>26</v>
      </c>
      <c r="D739" s="211"/>
      <c r="E739" s="211"/>
      <c r="F739" s="211"/>
      <c r="G739" s="82">
        <v>441.59999999999997</v>
      </c>
      <c r="H739" s="82">
        <v>140.19999999999999</v>
      </c>
      <c r="I739" s="82">
        <v>4.6999999999999993</v>
      </c>
      <c r="J739" s="82">
        <v>245.39999999999998</v>
      </c>
      <c r="K739" s="82">
        <v>-68</v>
      </c>
      <c r="L739" s="82">
        <v>-41</v>
      </c>
      <c r="M739" s="82">
        <v>257</v>
      </c>
      <c r="N739" s="82">
        <v>6</v>
      </c>
      <c r="O739" s="82">
        <v>6</v>
      </c>
      <c r="P739" s="82">
        <v>-100</v>
      </c>
      <c r="Q739" s="82">
        <v>-220</v>
      </c>
      <c r="R739" s="224">
        <f>-R878</f>
        <v>-309.68861045152244</v>
      </c>
      <c r="S739" s="224">
        <f t="shared" ref="S739:W739" si="1604">-S878</f>
        <v>150.30735285672233</v>
      </c>
      <c r="T739" s="224">
        <f t="shared" si="1604"/>
        <v>-91.125796433392964</v>
      </c>
      <c r="U739" s="224">
        <f t="shared" si="1604"/>
        <v>-74.446735273170191</v>
      </c>
      <c r="V739" s="224">
        <f t="shared" si="1604"/>
        <v>-76.514154398338633</v>
      </c>
      <c r="W739" s="224">
        <f t="shared" si="1604"/>
        <v>-74.426246447888275</v>
      </c>
      <c r="X739" s="224">
        <f t="shared" ref="X739" si="1605">-X878</f>
        <v>-152.22457176618855</v>
      </c>
      <c r="Y739" s="135" t="s">
        <v>4</v>
      </c>
    </row>
    <row r="740" spans="2:25" ht="15" customHeight="1" outlineLevel="1">
      <c r="B740" s="217"/>
      <c r="C740" s="218"/>
      <c r="D740" s="25"/>
      <c r="E740" s="25"/>
      <c r="F740" s="25"/>
      <c r="G740" s="25"/>
      <c r="H740" s="25"/>
      <c r="I740" s="25"/>
      <c r="J740" s="25"/>
      <c r="K740" s="25"/>
      <c r="L740" s="25"/>
      <c r="M740" s="25"/>
      <c r="N740" s="25"/>
      <c r="O740" s="25"/>
      <c r="P740" s="25"/>
      <c r="Q740" s="25"/>
      <c r="R740" s="25"/>
      <c r="S740" s="25"/>
      <c r="T740" s="25"/>
      <c r="U740" s="25"/>
      <c r="V740" s="25"/>
      <c r="W740" s="25"/>
      <c r="X740" s="25"/>
      <c r="Y740" s="135" t="s">
        <v>4</v>
      </c>
    </row>
    <row r="741" spans="2:25" ht="15" customHeight="1" outlineLevel="1">
      <c r="B741" s="215" t="s">
        <v>211</v>
      </c>
      <c r="C741" s="216" t="s">
        <v>26</v>
      </c>
      <c r="D741" s="210"/>
      <c r="E741" s="210"/>
      <c r="F741" s="210"/>
      <c r="G741" s="75">
        <f>SUM(G742:G745)</f>
        <v>-7790.8</v>
      </c>
      <c r="H741" s="75">
        <f t="shared" ref="H741:W741" si="1606">SUM(H742:H745)</f>
        <v>-61.499999999999986</v>
      </c>
      <c r="I741" s="75">
        <f t="shared" si="1606"/>
        <v>26.9</v>
      </c>
      <c r="J741" s="75">
        <f t="shared" si="1606"/>
        <v>-857.8000000000003</v>
      </c>
      <c r="K741" s="75">
        <f t="shared" si="1606"/>
        <v>-44</v>
      </c>
      <c r="L741" s="75">
        <f t="shared" si="1606"/>
        <v>-30</v>
      </c>
      <c r="M741" s="75">
        <f t="shared" si="1606"/>
        <v>-79</v>
      </c>
      <c r="N741" s="75">
        <f t="shared" si="1606"/>
        <v>-1103</v>
      </c>
      <c r="O741" s="75">
        <f t="shared" si="1606"/>
        <v>-64</v>
      </c>
      <c r="P741" s="75">
        <f t="shared" si="1606"/>
        <v>11</v>
      </c>
      <c r="Q741" s="75">
        <f t="shared" si="1606"/>
        <v>-660</v>
      </c>
      <c r="R741" s="75">
        <f t="shared" si="1606"/>
        <v>-359.9681535676811</v>
      </c>
      <c r="S741" s="75">
        <f t="shared" si="1606"/>
        <v>-370.12196488223066</v>
      </c>
      <c r="T741" s="75">
        <f t="shared" si="1606"/>
        <v>-368.15179728821823</v>
      </c>
      <c r="U741" s="75">
        <f t="shared" si="1606"/>
        <v>-272.04762715659541</v>
      </c>
      <c r="V741" s="75">
        <f t="shared" si="1606"/>
        <v>-264.31980685623864</v>
      </c>
      <c r="W741" s="75">
        <f t="shared" si="1606"/>
        <v>-260.19246501449226</v>
      </c>
      <c r="X741" s="75">
        <f t="shared" ref="X741" si="1607">SUM(X742:X745)</f>
        <v>-269.14564648170312</v>
      </c>
      <c r="Y741" s="135" t="s">
        <v>4</v>
      </c>
    </row>
    <row r="742" spans="2:25" ht="15" customHeight="1" outlineLevel="1">
      <c r="B742" s="221" t="s">
        <v>212</v>
      </c>
      <c r="C742" s="218" t="s">
        <v>26</v>
      </c>
      <c r="D742" s="211"/>
      <c r="E742" s="211"/>
      <c r="F742" s="211"/>
      <c r="G742" s="82">
        <v>-30.9</v>
      </c>
      <c r="H742" s="82">
        <v>-115.3</v>
      </c>
      <c r="I742" s="82">
        <v>-33.700000000000003</v>
      </c>
      <c r="J742" s="82">
        <v>-36.700000000000003</v>
      </c>
      <c r="K742" s="82">
        <v>-86</v>
      </c>
      <c r="L742" s="82">
        <v>-62</v>
      </c>
      <c r="M742" s="82">
        <v>-117</v>
      </c>
      <c r="N742" s="82">
        <v>-106</v>
      </c>
      <c r="O742" s="82">
        <v>-100</v>
      </c>
      <c r="P742" s="82">
        <v>-120</v>
      </c>
      <c r="Q742" s="82">
        <v>-201</v>
      </c>
      <c r="R742" s="224">
        <f>-R901</f>
        <v>-359.9681535676811</v>
      </c>
      <c r="S742" s="224">
        <f t="shared" ref="S742:W742" si="1608">-S901</f>
        <v>-370.12196488223066</v>
      </c>
      <c r="T742" s="224">
        <f t="shared" si="1608"/>
        <v>-368.15179728821823</v>
      </c>
      <c r="U742" s="224">
        <f t="shared" si="1608"/>
        <v>-272.04762715659541</v>
      </c>
      <c r="V742" s="224">
        <f t="shared" si="1608"/>
        <v>-264.31980685623864</v>
      </c>
      <c r="W742" s="224">
        <f t="shared" si="1608"/>
        <v>-260.19246501449226</v>
      </c>
      <c r="X742" s="224">
        <f t="shared" ref="X742" si="1609">-X901</f>
        <v>-269.14564648170312</v>
      </c>
      <c r="Y742" s="135" t="s">
        <v>4</v>
      </c>
    </row>
    <row r="743" spans="2:25" ht="15" customHeight="1" outlineLevel="1">
      <c r="B743" s="221" t="s">
        <v>213</v>
      </c>
      <c r="C743" s="218" t="s">
        <v>26</v>
      </c>
      <c r="D743" s="211"/>
      <c r="E743" s="211"/>
      <c r="F743" s="211"/>
      <c r="G743" s="82">
        <v>-7.8</v>
      </c>
      <c r="H743" s="82">
        <v>19.600000000000001</v>
      </c>
      <c r="I743" s="82">
        <v>30</v>
      </c>
      <c r="J743" s="82">
        <v>-1609.8000000000002</v>
      </c>
      <c r="K743" s="82">
        <v>0</v>
      </c>
      <c r="L743" s="82">
        <v>8</v>
      </c>
      <c r="M743" s="82">
        <v>12</v>
      </c>
      <c r="N743" s="82">
        <v>16</v>
      </c>
      <c r="O743" s="82">
        <v>12</v>
      </c>
      <c r="P743" s="82">
        <v>37</v>
      </c>
      <c r="Q743" s="82">
        <v>34</v>
      </c>
      <c r="R743" s="288"/>
      <c r="S743" s="288"/>
      <c r="T743" s="288"/>
      <c r="U743" s="288"/>
      <c r="V743" s="288"/>
      <c r="W743" s="288"/>
      <c r="X743" s="288"/>
      <c r="Y743" s="135" t="s">
        <v>4</v>
      </c>
    </row>
    <row r="744" spans="2:25" ht="15" customHeight="1" outlineLevel="1">
      <c r="B744" s="221" t="s">
        <v>214</v>
      </c>
      <c r="C744" s="218" t="s">
        <v>26</v>
      </c>
      <c r="D744" s="211"/>
      <c r="E744" s="211"/>
      <c r="F744" s="211"/>
      <c r="G744" s="82">
        <v>-3.9</v>
      </c>
      <c r="H744" s="82">
        <v>0</v>
      </c>
      <c r="I744" s="82">
        <v>0</v>
      </c>
      <c r="J744" s="82">
        <v>0</v>
      </c>
      <c r="K744" s="82">
        <v>0</v>
      </c>
      <c r="L744" s="82">
        <v>0</v>
      </c>
      <c r="M744" s="82">
        <v>0</v>
      </c>
      <c r="N744" s="82">
        <v>0</v>
      </c>
      <c r="O744" s="82">
        <v>0</v>
      </c>
      <c r="P744" s="82">
        <v>0</v>
      </c>
      <c r="Q744" s="82">
        <v>-540</v>
      </c>
      <c r="R744" s="288"/>
      <c r="S744" s="288"/>
      <c r="T744" s="288"/>
      <c r="U744" s="288"/>
      <c r="V744" s="288"/>
      <c r="W744" s="288"/>
      <c r="X744" s="288"/>
      <c r="Y744" s="135" t="s">
        <v>4</v>
      </c>
    </row>
    <row r="745" spans="2:25" ht="15" customHeight="1" outlineLevel="1">
      <c r="B745" s="221" t="s">
        <v>210</v>
      </c>
      <c r="C745" s="218" t="s">
        <v>26</v>
      </c>
      <c r="D745" s="211"/>
      <c r="E745" s="211"/>
      <c r="F745" s="211"/>
      <c r="G745" s="82">
        <v>-7748.2</v>
      </c>
      <c r="H745" s="82">
        <v>34.200000000000003</v>
      </c>
      <c r="I745" s="82">
        <v>30.6</v>
      </c>
      <c r="J745" s="82">
        <v>788.69999999999993</v>
      </c>
      <c r="K745" s="82">
        <v>42</v>
      </c>
      <c r="L745" s="82">
        <v>24</v>
      </c>
      <c r="M745" s="82">
        <v>26</v>
      </c>
      <c r="N745" s="82">
        <v>-1013</v>
      </c>
      <c r="O745" s="82">
        <v>24</v>
      </c>
      <c r="P745" s="82">
        <v>94</v>
      </c>
      <c r="Q745" s="82">
        <v>47</v>
      </c>
      <c r="R745" s="288"/>
      <c r="S745" s="288"/>
      <c r="T745" s="288"/>
      <c r="U745" s="288"/>
      <c r="V745" s="288"/>
      <c r="W745" s="288"/>
      <c r="X745" s="288"/>
      <c r="Y745" s="135" t="s">
        <v>4</v>
      </c>
    </row>
    <row r="746" spans="2:25" ht="15" customHeight="1" outlineLevel="1">
      <c r="B746" s="217"/>
      <c r="C746" s="218"/>
      <c r="D746" s="25"/>
      <c r="E746" s="25"/>
      <c r="F746" s="25"/>
      <c r="G746" s="25"/>
      <c r="H746" s="25"/>
      <c r="I746" s="25"/>
      <c r="J746" s="25"/>
      <c r="K746" s="25"/>
      <c r="L746" s="25"/>
      <c r="M746" s="25"/>
      <c r="N746" s="25"/>
      <c r="O746" s="25"/>
      <c r="P746" s="25"/>
      <c r="Q746" s="25"/>
      <c r="R746" s="25"/>
      <c r="S746" s="25"/>
      <c r="T746" s="25"/>
      <c r="U746" s="25"/>
      <c r="V746" s="25"/>
      <c r="W746" s="25"/>
      <c r="X746" s="25"/>
      <c r="Y746" s="135" t="s">
        <v>4</v>
      </c>
    </row>
    <row r="747" spans="2:25" ht="15" customHeight="1" outlineLevel="1">
      <c r="B747" s="215" t="s">
        <v>215</v>
      </c>
      <c r="C747" s="216" t="s">
        <v>26</v>
      </c>
      <c r="D747" s="210"/>
      <c r="E747" s="210"/>
      <c r="F747" s="210"/>
      <c r="G747" s="225">
        <f>SUM(G748:G753)</f>
        <v>8565.6</v>
      </c>
      <c r="H747" s="225">
        <f t="shared" ref="H747:W747" si="1610">SUM(H748:H753)</f>
        <v>-2115.1999999999998</v>
      </c>
      <c r="I747" s="225">
        <f t="shared" si="1610"/>
        <v>-590.9</v>
      </c>
      <c r="J747" s="225">
        <f t="shared" si="1610"/>
        <v>-935.19999999999982</v>
      </c>
      <c r="K747" s="225">
        <f t="shared" si="1610"/>
        <v>-1261.4000000000001</v>
      </c>
      <c r="L747" s="225">
        <f t="shared" si="1610"/>
        <v>-842</v>
      </c>
      <c r="M747" s="225">
        <f t="shared" si="1610"/>
        <v>-821</v>
      </c>
      <c r="N747" s="225">
        <f t="shared" si="1610"/>
        <v>-1093</v>
      </c>
      <c r="O747" s="225">
        <f t="shared" si="1610"/>
        <v>-1307</v>
      </c>
      <c r="P747" s="225">
        <f t="shared" si="1610"/>
        <v>-1374</v>
      </c>
      <c r="Q747" s="225">
        <f t="shared" si="1610"/>
        <v>-625</v>
      </c>
      <c r="R747" s="225">
        <f t="shared" si="1610"/>
        <v>-1386.0102038611301</v>
      </c>
      <c r="S747" s="225">
        <f t="shared" si="1610"/>
        <v>-4263.1508032040183</v>
      </c>
      <c r="T747" s="225">
        <f t="shared" si="1610"/>
        <v>-4760.9732609434213</v>
      </c>
      <c r="U747" s="225">
        <f t="shared" si="1610"/>
        <v>-5124.668966398438</v>
      </c>
      <c r="V747" s="225">
        <f t="shared" si="1610"/>
        <v>-4303.7436855365249</v>
      </c>
      <c r="W747" s="225">
        <f t="shared" si="1610"/>
        <v>-4104.8807687034259</v>
      </c>
      <c r="X747" s="225">
        <f t="shared" ref="X747" si="1611">SUM(X748:X753)</f>
        <v>-2959.6897409521089</v>
      </c>
      <c r="Y747" s="135" t="s">
        <v>4</v>
      </c>
    </row>
    <row r="748" spans="2:25" ht="15" customHeight="1" outlineLevel="1">
      <c r="B748" s="221" t="s">
        <v>216</v>
      </c>
      <c r="C748" s="218" t="s">
        <v>26</v>
      </c>
      <c r="D748" s="211"/>
      <c r="E748" s="211"/>
      <c r="F748" s="211"/>
      <c r="G748" s="82">
        <v>8828.7000000000007</v>
      </c>
      <c r="H748" s="82">
        <v>-1459.1000000000001</v>
      </c>
      <c r="I748" s="82">
        <v>-69.7</v>
      </c>
      <c r="J748" s="82">
        <v>39.900000000000183</v>
      </c>
      <c r="K748" s="82">
        <v>-2</v>
      </c>
      <c r="L748" s="82">
        <v>-66</v>
      </c>
      <c r="M748" s="82">
        <v>484</v>
      </c>
      <c r="N748" s="82">
        <v>427</v>
      </c>
      <c r="O748" s="82">
        <v>-92</v>
      </c>
      <c r="P748" s="82">
        <v>-81</v>
      </c>
      <c r="Q748" s="82">
        <v>219</v>
      </c>
      <c r="R748" s="224">
        <f>R799</f>
        <v>-262</v>
      </c>
      <c r="S748" s="224">
        <f t="shared" ref="S748:W748" si="1612">S799</f>
        <v>-2991.260000000002</v>
      </c>
      <c r="T748" s="224">
        <f t="shared" si="1612"/>
        <v>-3217.9599999999982</v>
      </c>
      <c r="U748" s="224">
        <f t="shared" si="1612"/>
        <v>-3369.105</v>
      </c>
      <c r="V748" s="224">
        <f t="shared" si="1612"/>
        <v>-2246.7687500000002</v>
      </c>
      <c r="W748" s="224">
        <f t="shared" si="1612"/>
        <v>-1663.2018124999997</v>
      </c>
      <c r="X748" s="224">
        <f t="shared" ref="X748" si="1613">X799</f>
        <v>3.6652781250000004</v>
      </c>
      <c r="Y748" s="135" t="s">
        <v>4</v>
      </c>
    </row>
    <row r="749" spans="2:25" ht="15" customHeight="1" outlineLevel="1">
      <c r="B749" s="221" t="s">
        <v>217</v>
      </c>
      <c r="C749" s="218" t="s">
        <v>26</v>
      </c>
      <c r="D749" s="211"/>
      <c r="E749" s="211"/>
      <c r="F749" s="211"/>
      <c r="G749" s="82">
        <v>-105.6</v>
      </c>
      <c r="H749" s="82">
        <v>-362.4</v>
      </c>
      <c r="I749" s="82">
        <v>-538.1</v>
      </c>
      <c r="J749" s="82">
        <v>-663.5</v>
      </c>
      <c r="K749" s="82">
        <v>-728</v>
      </c>
      <c r="L749" s="82">
        <v>-901</v>
      </c>
      <c r="M749" s="82">
        <v>-959</v>
      </c>
      <c r="N749" s="82">
        <v>-974</v>
      </c>
      <c r="O749" s="82">
        <v>-971</v>
      </c>
      <c r="P749" s="82">
        <v>-990</v>
      </c>
      <c r="Q749" s="82">
        <v>-1029</v>
      </c>
      <c r="R749" s="224">
        <f>-R924</f>
        <v>-1124.0102038611301</v>
      </c>
      <c r="S749" s="224">
        <f t="shared" ref="S749:W749" si="1614">-S924</f>
        <v>-1271.8908032040163</v>
      </c>
      <c r="T749" s="224">
        <f t="shared" si="1614"/>
        <v>-1543.0132609434233</v>
      </c>
      <c r="U749" s="224">
        <f t="shared" si="1614"/>
        <v>-1755.5639663984382</v>
      </c>
      <c r="V749" s="224">
        <f t="shared" si="1614"/>
        <v>-2056.9749355365243</v>
      </c>
      <c r="W749" s="224">
        <f t="shared" si="1614"/>
        <v>-2441.6789562034264</v>
      </c>
      <c r="X749" s="224">
        <f t="shared" ref="X749" si="1615">-X924</f>
        <v>-2963.3550190771089</v>
      </c>
      <c r="Y749" s="135" t="s">
        <v>4</v>
      </c>
    </row>
    <row r="750" spans="2:25" ht="15" customHeight="1" outlineLevel="1">
      <c r="B750" s="221" t="s">
        <v>218</v>
      </c>
      <c r="C750" s="218" t="s">
        <v>26</v>
      </c>
      <c r="D750" s="211"/>
      <c r="E750" s="211"/>
      <c r="F750" s="211"/>
      <c r="G750" s="82">
        <v>0</v>
      </c>
      <c r="H750" s="82">
        <v>3</v>
      </c>
      <c r="I750" s="82">
        <v>13.7</v>
      </c>
      <c r="J750" s="82">
        <v>28.7</v>
      </c>
      <c r="K750" s="82">
        <v>61</v>
      </c>
      <c r="L750" s="82">
        <v>102</v>
      </c>
      <c r="M750" s="82">
        <v>82</v>
      </c>
      <c r="N750" s="82">
        <v>60</v>
      </c>
      <c r="O750" s="82">
        <v>21</v>
      </c>
      <c r="P750" s="82">
        <v>60</v>
      </c>
      <c r="Q750" s="82">
        <v>78</v>
      </c>
      <c r="R750" s="288"/>
      <c r="S750" s="288"/>
      <c r="T750" s="288"/>
      <c r="U750" s="288"/>
      <c r="V750" s="288"/>
      <c r="W750" s="288"/>
      <c r="X750" s="288"/>
      <c r="Y750" s="135" t="s">
        <v>4</v>
      </c>
    </row>
    <row r="751" spans="2:25" ht="15" customHeight="1" outlineLevel="1">
      <c r="B751" s="221" t="s">
        <v>219</v>
      </c>
      <c r="C751" s="218" t="s">
        <v>26</v>
      </c>
      <c r="D751" s="211"/>
      <c r="E751" s="211"/>
      <c r="F751" s="211"/>
      <c r="G751" s="82">
        <v>0.5</v>
      </c>
      <c r="H751" s="82">
        <v>0</v>
      </c>
      <c r="I751" s="82">
        <v>0</v>
      </c>
      <c r="J751" s="82">
        <v>0</v>
      </c>
      <c r="K751" s="82">
        <v>0</v>
      </c>
      <c r="L751" s="82">
        <v>0</v>
      </c>
      <c r="M751" s="82">
        <v>0</v>
      </c>
      <c r="N751" s="82">
        <v>0</v>
      </c>
      <c r="O751" s="82">
        <v>0</v>
      </c>
      <c r="P751" s="82">
        <v>0</v>
      </c>
      <c r="Q751" s="82">
        <v>0</v>
      </c>
      <c r="R751" s="288"/>
      <c r="S751" s="288"/>
      <c r="T751" s="288"/>
      <c r="U751" s="288"/>
      <c r="V751" s="288"/>
      <c r="W751" s="288"/>
      <c r="X751" s="288"/>
      <c r="Y751" s="135" t="s">
        <v>4</v>
      </c>
    </row>
    <row r="752" spans="2:25" ht="15" customHeight="1" outlineLevel="1">
      <c r="B752" s="221" t="s">
        <v>220</v>
      </c>
      <c r="C752" s="218" t="s">
        <v>26</v>
      </c>
      <c r="D752" s="211"/>
      <c r="E752" s="211"/>
      <c r="F752" s="211"/>
      <c r="G752" s="82">
        <v>0</v>
      </c>
      <c r="H752" s="82">
        <v>-293.7</v>
      </c>
      <c r="I752" s="82">
        <v>0</v>
      </c>
      <c r="J752" s="82">
        <v>0</v>
      </c>
      <c r="K752" s="82">
        <v>-561</v>
      </c>
      <c r="L752" s="82">
        <v>0</v>
      </c>
      <c r="M752" s="82">
        <v>0</v>
      </c>
      <c r="N752" s="82">
        <v>-551</v>
      </c>
      <c r="O752" s="82">
        <v>-326</v>
      </c>
      <c r="P752" s="82">
        <v>-500</v>
      </c>
      <c r="Q752" s="82">
        <v>0</v>
      </c>
      <c r="R752" s="288"/>
      <c r="S752" s="288"/>
      <c r="T752" s="288"/>
      <c r="U752" s="288"/>
      <c r="V752" s="288"/>
      <c r="W752" s="288"/>
      <c r="X752" s="288"/>
      <c r="Y752" s="135" t="s">
        <v>4</v>
      </c>
    </row>
    <row r="753" spans="1:25" ht="15" customHeight="1" outlineLevel="1">
      <c r="B753" s="221" t="s">
        <v>210</v>
      </c>
      <c r="C753" s="218" t="s">
        <v>26</v>
      </c>
      <c r="D753" s="211"/>
      <c r="E753" s="211"/>
      <c r="F753" s="211"/>
      <c r="G753" s="82">
        <v>-158</v>
      </c>
      <c r="H753" s="82">
        <v>-2.9999999999999996</v>
      </c>
      <c r="I753" s="82">
        <v>3.1999999999999993</v>
      </c>
      <c r="J753" s="82">
        <v>-340.3</v>
      </c>
      <c r="K753" s="82">
        <v>-31.400000000000091</v>
      </c>
      <c r="L753" s="82">
        <v>23</v>
      </c>
      <c r="M753" s="82">
        <v>-428</v>
      </c>
      <c r="N753" s="82">
        <v>-55</v>
      </c>
      <c r="O753" s="82">
        <v>61</v>
      </c>
      <c r="P753" s="82">
        <v>137</v>
      </c>
      <c r="Q753" s="82">
        <v>107</v>
      </c>
      <c r="R753" s="288"/>
      <c r="S753" s="288"/>
      <c r="T753" s="288"/>
      <c r="U753" s="288"/>
      <c r="V753" s="288"/>
      <c r="W753" s="288"/>
      <c r="X753" s="288"/>
      <c r="Y753" s="135" t="s">
        <v>4</v>
      </c>
    </row>
    <row r="754" spans="1:25" ht="15" customHeight="1" outlineLevel="1">
      <c r="B754" s="217"/>
      <c r="C754" s="218"/>
      <c r="D754" s="25"/>
      <c r="E754" s="25"/>
      <c r="F754" s="25"/>
      <c r="G754" s="25"/>
      <c r="H754" s="25"/>
      <c r="I754" s="25"/>
      <c r="J754" s="25"/>
      <c r="K754" s="25"/>
      <c r="L754" s="25"/>
      <c r="M754" s="25"/>
      <c r="N754" s="25"/>
      <c r="O754" s="25"/>
      <c r="P754" s="25"/>
      <c r="Q754" s="25"/>
      <c r="R754" s="25"/>
      <c r="S754" s="25"/>
      <c r="T754" s="25"/>
      <c r="U754" s="25"/>
      <c r="V754" s="25"/>
      <c r="W754" s="25"/>
      <c r="X754" s="25"/>
      <c r="Y754" s="135" t="s">
        <v>4</v>
      </c>
    </row>
    <row r="755" spans="1:25" ht="15" customHeight="1" outlineLevel="1">
      <c r="B755" s="221" t="s">
        <v>221</v>
      </c>
      <c r="C755" s="218" t="s">
        <v>26</v>
      </c>
      <c r="D755" s="211"/>
      <c r="E755" s="211"/>
      <c r="F755" s="211"/>
      <c r="G755" s="82">
        <v>-17.8</v>
      </c>
      <c r="H755" s="82">
        <v>-73.5</v>
      </c>
      <c r="I755" s="82">
        <v>-2.4</v>
      </c>
      <c r="J755" s="82">
        <v>24</v>
      </c>
      <c r="K755" s="82">
        <v>-20</v>
      </c>
      <c r="L755" s="82">
        <v>16</v>
      </c>
      <c r="M755" s="82">
        <v>6</v>
      </c>
      <c r="N755" s="82">
        <v>-3</v>
      </c>
      <c r="O755" s="82">
        <v>-28</v>
      </c>
      <c r="P755" s="82">
        <v>1</v>
      </c>
      <c r="Q755" s="82">
        <v>-23</v>
      </c>
      <c r="R755" s="288"/>
      <c r="S755" s="288"/>
      <c r="T755" s="288"/>
      <c r="U755" s="288"/>
      <c r="V755" s="288"/>
      <c r="W755" s="288"/>
      <c r="X755" s="288"/>
      <c r="Y755" s="135" t="s">
        <v>4</v>
      </c>
    </row>
    <row r="756" spans="1:25" ht="15" customHeight="1" outlineLevel="1">
      <c r="B756" s="217"/>
      <c r="C756" s="218"/>
      <c r="D756" s="224"/>
      <c r="E756" s="224"/>
      <c r="F756" s="224"/>
      <c r="G756" s="224"/>
      <c r="H756" s="224"/>
      <c r="I756" s="224"/>
      <c r="J756" s="224"/>
      <c r="K756" s="224"/>
      <c r="L756" s="224"/>
      <c r="M756" s="224"/>
      <c r="N756" s="224"/>
      <c r="O756" s="224"/>
      <c r="P756" s="224"/>
      <c r="Q756" s="224"/>
      <c r="R756" s="224"/>
      <c r="S756" s="224"/>
      <c r="T756" s="224"/>
      <c r="U756" s="224"/>
      <c r="V756" s="224"/>
      <c r="W756" s="224"/>
      <c r="X756" s="224"/>
      <c r="Y756" s="135" t="s">
        <v>4</v>
      </c>
    </row>
    <row r="757" spans="1:25" ht="15" customHeight="1" outlineLevel="1">
      <c r="B757" s="219" t="s">
        <v>222</v>
      </c>
      <c r="C757" s="220" t="s">
        <v>26</v>
      </c>
      <c r="D757" s="211"/>
      <c r="E757" s="211"/>
      <c r="F757" s="211"/>
      <c r="G757" s="222">
        <f t="shared" ref="G757:W757" si="1616">G719+G741+G747+G755</f>
        <v>1016.3000000000004</v>
      </c>
      <c r="H757" s="222">
        <f t="shared" si="1616"/>
        <v>-1045.3999999999999</v>
      </c>
      <c r="I757" s="222">
        <f t="shared" si="1616"/>
        <v>702.60000000000014</v>
      </c>
      <c r="J757" s="222">
        <f t="shared" si="1616"/>
        <v>-387.00000000000011</v>
      </c>
      <c r="K757" s="222">
        <f t="shared" si="1616"/>
        <v>-160.40000000000009</v>
      </c>
      <c r="L757" s="222">
        <f t="shared" si="1616"/>
        <v>620</v>
      </c>
      <c r="M757" s="222">
        <f t="shared" si="1616"/>
        <v>27</v>
      </c>
      <c r="N757" s="222">
        <f t="shared" si="1616"/>
        <v>-473</v>
      </c>
      <c r="O757" s="222">
        <f t="shared" si="1616"/>
        <v>91</v>
      </c>
      <c r="P757" s="222">
        <f t="shared" si="1616"/>
        <v>-39</v>
      </c>
      <c r="Q757" s="222">
        <f t="shared" si="1616"/>
        <v>195</v>
      </c>
      <c r="R757" s="222">
        <f t="shared" si="1616"/>
        <v>1204.5149775784232</v>
      </c>
      <c r="S757" s="222">
        <f t="shared" si="1616"/>
        <v>-2410.7710361671825</v>
      </c>
      <c r="T757" s="222">
        <f t="shared" si="1616"/>
        <v>-2204.2726192374894</v>
      </c>
      <c r="U757" s="222">
        <f t="shared" si="1616"/>
        <v>-2070.5302670984233</v>
      </c>
      <c r="V757" s="222">
        <f t="shared" si="1616"/>
        <v>-626.15994890134698</v>
      </c>
      <c r="W757" s="222">
        <f t="shared" si="1616"/>
        <v>399.94711576574628</v>
      </c>
      <c r="X757" s="222">
        <f t="shared" ref="X757" si="1617">X719+X741+X747+X755</f>
        <v>2592.6856272990526</v>
      </c>
      <c r="Y757" s="135" t="s">
        <v>4</v>
      </c>
    </row>
    <row r="758" spans="1:25" ht="15" customHeight="1" outlineLevel="1">
      <c r="B758" s="217"/>
      <c r="C758" s="218"/>
      <c r="D758" s="25"/>
      <c r="E758" s="25"/>
      <c r="F758" s="25"/>
      <c r="G758" s="25"/>
      <c r="H758" s="25"/>
      <c r="I758" s="25"/>
      <c r="J758" s="25"/>
      <c r="K758" s="25"/>
      <c r="L758" s="25"/>
      <c r="M758" s="25"/>
      <c r="N758" s="25"/>
      <c r="O758" s="25"/>
      <c r="P758" s="25"/>
      <c r="Q758" s="25"/>
      <c r="R758" s="25"/>
      <c r="S758" s="25"/>
      <c r="T758" s="25"/>
      <c r="U758" s="25"/>
      <c r="V758" s="25"/>
      <c r="W758" s="25"/>
      <c r="X758" s="25"/>
      <c r="Y758" s="135" t="s">
        <v>4</v>
      </c>
    </row>
    <row r="759" spans="1:25" ht="15" customHeight="1" outlineLevel="1">
      <c r="B759" s="217" t="s">
        <v>223</v>
      </c>
      <c r="C759" s="218" t="s">
        <v>26</v>
      </c>
      <c r="D759" s="211"/>
      <c r="E759" s="211"/>
      <c r="F759" s="211"/>
      <c r="G759" s="234">
        <v>786.89999999999873</v>
      </c>
      <c r="H759" s="226">
        <f>G760</f>
        <v>1803.1999999999991</v>
      </c>
      <c r="I759" s="226">
        <f t="shared" ref="I759:Q759" si="1618">H760</f>
        <v>757.8</v>
      </c>
      <c r="J759" s="226">
        <f t="shared" si="1618"/>
        <v>1460.4</v>
      </c>
      <c r="K759" s="226">
        <f t="shared" si="1618"/>
        <v>1073.4000000000001</v>
      </c>
      <c r="L759" s="226">
        <f t="shared" si="1618"/>
        <v>913</v>
      </c>
      <c r="M759" s="226">
        <f t="shared" si="1618"/>
        <v>1533</v>
      </c>
      <c r="N759" s="226">
        <f t="shared" si="1618"/>
        <v>1560</v>
      </c>
      <c r="O759" s="226">
        <f t="shared" si="1618"/>
        <v>1087</v>
      </c>
      <c r="P759" s="226">
        <f t="shared" si="1618"/>
        <v>1178</v>
      </c>
      <c r="Q759" s="226">
        <f t="shared" si="1618"/>
        <v>1139</v>
      </c>
      <c r="R759" s="226">
        <f t="shared" ref="R759" si="1619">Q760</f>
        <v>1334</v>
      </c>
      <c r="S759" s="226">
        <f t="shared" ref="S759" si="1620">R760</f>
        <v>2538.514977578423</v>
      </c>
      <c r="T759" s="226">
        <f t="shared" ref="T759" si="1621">S760</f>
        <v>127.74394141124048</v>
      </c>
      <c r="U759" s="226">
        <f t="shared" ref="U759" si="1622">T760</f>
        <v>-2076.5286778262489</v>
      </c>
      <c r="V759" s="226">
        <f t="shared" ref="V759" si="1623">U760</f>
        <v>-4147.0589449246727</v>
      </c>
      <c r="W759" s="226">
        <f t="shared" ref="W759:X759" si="1624">V760</f>
        <v>-4773.2188938260197</v>
      </c>
      <c r="X759" s="226">
        <f t="shared" si="1624"/>
        <v>-4373.2717780602734</v>
      </c>
      <c r="Y759" s="135" t="s">
        <v>4</v>
      </c>
    </row>
    <row r="760" spans="1:25" ht="15" customHeight="1" outlineLevel="1">
      <c r="B760" s="217" t="s">
        <v>224</v>
      </c>
      <c r="C760" s="218" t="s">
        <v>26</v>
      </c>
      <c r="D760" s="211"/>
      <c r="E760" s="211"/>
      <c r="F760" s="211"/>
      <c r="G760" s="82">
        <v>1803.1999999999991</v>
      </c>
      <c r="H760" s="25">
        <f t="shared" ref="H760:W760" si="1625">H673</f>
        <v>757.8</v>
      </c>
      <c r="I760" s="25">
        <f t="shared" si="1625"/>
        <v>1460.4</v>
      </c>
      <c r="J760" s="25">
        <f t="shared" si="1625"/>
        <v>1073.4000000000001</v>
      </c>
      <c r="K760" s="25">
        <f t="shared" si="1625"/>
        <v>913</v>
      </c>
      <c r="L760" s="25">
        <f t="shared" si="1625"/>
        <v>1533</v>
      </c>
      <c r="M760" s="25">
        <f t="shared" si="1625"/>
        <v>1560</v>
      </c>
      <c r="N760" s="25">
        <f t="shared" si="1625"/>
        <v>1087</v>
      </c>
      <c r="O760" s="25">
        <f t="shared" si="1625"/>
        <v>1178</v>
      </c>
      <c r="P760" s="25">
        <f t="shared" si="1625"/>
        <v>1139</v>
      </c>
      <c r="Q760" s="25">
        <f t="shared" si="1625"/>
        <v>1334</v>
      </c>
      <c r="R760" s="25">
        <f t="shared" si="1625"/>
        <v>2538.514977578423</v>
      </c>
      <c r="S760" s="25">
        <f t="shared" si="1625"/>
        <v>127.74394141124048</v>
      </c>
      <c r="T760" s="25">
        <f t="shared" si="1625"/>
        <v>-2076.5286778262489</v>
      </c>
      <c r="U760" s="25">
        <f t="shared" si="1625"/>
        <v>-4147.0589449246727</v>
      </c>
      <c r="V760" s="25">
        <f t="shared" si="1625"/>
        <v>-4773.2188938260197</v>
      </c>
      <c r="W760" s="25">
        <f t="shared" si="1625"/>
        <v>-4373.2717780602734</v>
      </c>
      <c r="X760" s="25">
        <f t="shared" ref="X760" si="1626">X673</f>
        <v>-1780.5861507612208</v>
      </c>
      <c r="Y760" s="135" t="s">
        <v>4</v>
      </c>
    </row>
    <row r="761" spans="1:25" ht="15" customHeight="1" outlineLevel="1">
      <c r="B761" s="217"/>
      <c r="C761" s="218"/>
      <c r="D761" s="25"/>
      <c r="E761" s="25"/>
      <c r="F761" s="25"/>
      <c r="G761" s="25"/>
      <c r="H761" s="25"/>
      <c r="I761" s="25"/>
      <c r="J761" s="25"/>
      <c r="K761" s="25"/>
      <c r="L761" s="25"/>
      <c r="M761" s="25"/>
      <c r="N761" s="25"/>
      <c r="O761" s="25"/>
      <c r="P761" s="25"/>
      <c r="Q761" s="25"/>
      <c r="R761" s="25"/>
      <c r="S761" s="25"/>
      <c r="T761" s="25"/>
      <c r="U761" s="25"/>
      <c r="V761" s="25"/>
      <c r="W761" s="25"/>
      <c r="X761" s="25"/>
      <c r="Y761" s="135" t="s">
        <v>4</v>
      </c>
    </row>
    <row r="762" spans="1:25" ht="15" customHeight="1" outlineLevel="1">
      <c r="B762" s="228" t="s">
        <v>85</v>
      </c>
      <c r="C762" s="229" t="s">
        <v>26</v>
      </c>
      <c r="D762" s="230"/>
      <c r="E762" s="230"/>
      <c r="F762" s="230"/>
      <c r="G762" s="227">
        <f>TRUNC(G757-(G760-G759),0.5)</f>
        <v>0</v>
      </c>
      <c r="H762" s="227">
        <f t="shared" ref="H762:W762" si="1627">TRUNC(H757-(H760-H759),0.5)</f>
        <v>0</v>
      </c>
      <c r="I762" s="227">
        <f t="shared" si="1627"/>
        <v>0</v>
      </c>
      <c r="J762" s="227">
        <f t="shared" si="1627"/>
        <v>0</v>
      </c>
      <c r="K762" s="227">
        <f t="shared" si="1627"/>
        <v>0</v>
      </c>
      <c r="L762" s="227">
        <f t="shared" si="1627"/>
        <v>0</v>
      </c>
      <c r="M762" s="227">
        <f t="shared" si="1627"/>
        <v>0</v>
      </c>
      <c r="N762" s="227">
        <f t="shared" si="1627"/>
        <v>0</v>
      </c>
      <c r="O762" s="227">
        <f t="shared" si="1627"/>
        <v>0</v>
      </c>
      <c r="P762" s="227">
        <f t="shared" si="1627"/>
        <v>0</v>
      </c>
      <c r="Q762" s="227">
        <f t="shared" si="1627"/>
        <v>0</v>
      </c>
      <c r="R762" s="227">
        <f t="shared" si="1627"/>
        <v>0</v>
      </c>
      <c r="S762" s="227">
        <f t="shared" si="1627"/>
        <v>0</v>
      </c>
      <c r="T762" s="227">
        <f t="shared" si="1627"/>
        <v>0</v>
      </c>
      <c r="U762" s="227">
        <f t="shared" si="1627"/>
        <v>0</v>
      </c>
      <c r="V762" s="227">
        <f t="shared" si="1627"/>
        <v>0</v>
      </c>
      <c r="W762" s="227">
        <f t="shared" si="1627"/>
        <v>0</v>
      </c>
      <c r="X762" s="227">
        <f t="shared" ref="X762" si="1628">TRUNC(X757-(X760-X759),0.5)</f>
        <v>0</v>
      </c>
      <c r="Y762" s="135" t="s">
        <v>4</v>
      </c>
    </row>
    <row r="763" spans="1:25" ht="15" customHeight="1" outlineLevel="1">
      <c r="Y763" s="135" t="s">
        <v>4</v>
      </c>
    </row>
    <row r="764" spans="1:25" ht="15" customHeight="1">
      <c r="Y764" s="135" t="s">
        <v>4</v>
      </c>
    </row>
    <row r="765" spans="1:25" ht="15" customHeight="1">
      <c r="A765" s="1" t="s">
        <v>4</v>
      </c>
      <c r="B765" s="148" t="s">
        <v>225</v>
      </c>
      <c r="C765" s="149" t="s">
        <v>11</v>
      </c>
      <c r="D765" s="150">
        <v>2011</v>
      </c>
      <c r="E765" s="150">
        <v>2012</v>
      </c>
      <c r="F765" s="150">
        <v>2013</v>
      </c>
      <c r="G765" s="150">
        <v>2014</v>
      </c>
      <c r="H765" s="150">
        <v>2015</v>
      </c>
      <c r="I765" s="150">
        <v>2016</v>
      </c>
      <c r="J765" s="150">
        <v>2017</v>
      </c>
      <c r="K765" s="150">
        <v>2018</v>
      </c>
      <c r="L765" s="150">
        <v>2019</v>
      </c>
      <c r="M765" s="150">
        <v>2020</v>
      </c>
      <c r="N765" s="150">
        <v>2021</v>
      </c>
      <c r="O765" s="150">
        <v>2022</v>
      </c>
      <c r="P765" s="150">
        <v>2023</v>
      </c>
      <c r="Q765" s="150">
        <v>2024</v>
      </c>
      <c r="R765" s="151" t="s">
        <v>23</v>
      </c>
      <c r="S765" s="151" t="s">
        <v>12</v>
      </c>
      <c r="T765" s="151" t="s">
        <v>13</v>
      </c>
      <c r="U765" s="151" t="s">
        <v>14</v>
      </c>
      <c r="V765" s="151" t="s">
        <v>15</v>
      </c>
      <c r="W765" s="152" t="s">
        <v>16</v>
      </c>
      <c r="X765" s="151" t="s">
        <v>17</v>
      </c>
      <c r="Y765" s="135" t="s">
        <v>4</v>
      </c>
    </row>
    <row r="766" spans="1:25" ht="15" customHeight="1" outlineLevel="1">
      <c r="Y766" s="135" t="s">
        <v>4</v>
      </c>
    </row>
    <row r="767" spans="1:25" ht="15" customHeight="1" outlineLevel="1">
      <c r="B767" s="203" t="s">
        <v>124</v>
      </c>
      <c r="C767" s="283" t="s">
        <v>26</v>
      </c>
      <c r="D767" s="295"/>
      <c r="E767" s="295"/>
      <c r="F767" s="295"/>
      <c r="G767" s="296">
        <f t="shared" ref="G767:W767" si="1629">G721</f>
        <v>-277.39999999999998</v>
      </c>
      <c r="H767" s="296">
        <f t="shared" si="1629"/>
        <v>511.7</v>
      </c>
      <c r="I767" s="296">
        <f t="shared" si="1629"/>
        <v>955.9</v>
      </c>
      <c r="J767" s="296">
        <f t="shared" si="1629"/>
        <v>1235.3</v>
      </c>
      <c r="K767" s="296">
        <f t="shared" si="1629"/>
        <v>1144</v>
      </c>
      <c r="L767" s="296">
        <f t="shared" si="1629"/>
        <v>1111</v>
      </c>
      <c r="M767" s="296">
        <f t="shared" si="1629"/>
        <v>750</v>
      </c>
      <c r="N767" s="296">
        <f t="shared" si="1629"/>
        <v>1253</v>
      </c>
      <c r="O767" s="296">
        <f t="shared" si="1629"/>
        <v>1482</v>
      </c>
      <c r="P767" s="296">
        <f t="shared" si="1629"/>
        <v>1718</v>
      </c>
      <c r="Q767" s="296">
        <f t="shared" si="1629"/>
        <v>1445</v>
      </c>
      <c r="R767" s="296">
        <f t="shared" si="1629"/>
        <v>1950.6244778306996</v>
      </c>
      <c r="S767" s="296">
        <f t="shared" si="1629"/>
        <v>1739.0140323659598</v>
      </c>
      <c r="T767" s="296">
        <f t="shared" si="1629"/>
        <v>2124.4933153187194</v>
      </c>
      <c r="U767" s="296">
        <f t="shared" si="1629"/>
        <v>2467.6021013608724</v>
      </c>
      <c r="V767" s="296">
        <f t="shared" si="1629"/>
        <v>2955.1612987031444</v>
      </c>
      <c r="W767" s="296">
        <f t="shared" si="1629"/>
        <v>3588.0750477503916</v>
      </c>
      <c r="X767" s="296">
        <f t="shared" ref="X767" si="1630">X721</f>
        <v>4366.8153521923768</v>
      </c>
      <c r="Y767" s="135" t="s">
        <v>4</v>
      </c>
    </row>
    <row r="768" spans="1:25" ht="15" customHeight="1" outlineLevel="1">
      <c r="B768" s="203" t="s">
        <v>200</v>
      </c>
      <c r="C768" s="283" t="s">
        <v>26</v>
      </c>
      <c r="D768" s="295"/>
      <c r="E768" s="295"/>
      <c r="F768" s="295"/>
      <c r="G768" s="296">
        <f t="shared" ref="G768:W768" si="1631">G725</f>
        <v>72.900000000000006</v>
      </c>
      <c r="H768" s="296">
        <f t="shared" si="1631"/>
        <v>182</v>
      </c>
      <c r="I768" s="296">
        <f t="shared" si="1631"/>
        <v>172.1</v>
      </c>
      <c r="J768" s="296">
        <f t="shared" si="1631"/>
        <v>181.1</v>
      </c>
      <c r="K768" s="296">
        <f t="shared" si="1631"/>
        <v>180</v>
      </c>
      <c r="L768" s="296">
        <f t="shared" si="1631"/>
        <v>185</v>
      </c>
      <c r="M768" s="296">
        <f t="shared" si="1631"/>
        <v>189</v>
      </c>
      <c r="N768" s="296">
        <f t="shared" si="1631"/>
        <v>201</v>
      </c>
      <c r="O768" s="296">
        <f t="shared" si="1631"/>
        <v>190</v>
      </c>
      <c r="P768" s="296">
        <f t="shared" si="1631"/>
        <v>191</v>
      </c>
      <c r="Q768" s="296">
        <f t="shared" si="1631"/>
        <v>264</v>
      </c>
      <c r="R768" s="296">
        <f t="shared" si="1631"/>
        <v>437.3208293121121</v>
      </c>
      <c r="S768" s="296">
        <f t="shared" si="1631"/>
        <v>359.02811267008252</v>
      </c>
      <c r="T768" s="296">
        <f t="shared" si="1631"/>
        <v>448.57379004816391</v>
      </c>
      <c r="U768" s="296">
        <f t="shared" si="1631"/>
        <v>525.26175414480178</v>
      </c>
      <c r="V768" s="296">
        <f t="shared" si="1631"/>
        <v>609.99350462107316</v>
      </c>
      <c r="W768" s="296">
        <f t="shared" si="1631"/>
        <v>717.71972596779256</v>
      </c>
      <c r="X768" s="296">
        <f t="shared" ref="X768" si="1632">X725</f>
        <v>856.9605844824498</v>
      </c>
      <c r="Y768" s="135" t="s">
        <v>4</v>
      </c>
    </row>
    <row r="769" spans="2:25" ht="15" customHeight="1" outlineLevel="1">
      <c r="B769" s="203" t="s">
        <v>226</v>
      </c>
      <c r="C769" s="283" t="s">
        <v>26</v>
      </c>
      <c r="D769" s="295"/>
      <c r="E769" s="295"/>
      <c r="F769" s="295"/>
      <c r="G769" s="296">
        <f>G731</f>
        <v>404.2</v>
      </c>
      <c r="H769" s="296">
        <f t="shared" ref="H769:W769" si="1633">H731</f>
        <v>453.59999999999997</v>
      </c>
      <c r="I769" s="296">
        <f t="shared" si="1633"/>
        <v>7.0999999999999988</v>
      </c>
      <c r="J769" s="296">
        <f t="shared" si="1633"/>
        <v>639.4</v>
      </c>
      <c r="K769" s="296">
        <f t="shared" si="1633"/>
        <v>-243</v>
      </c>
      <c r="L769" s="296">
        <f t="shared" si="1633"/>
        <v>36</v>
      </c>
      <c r="M769" s="296">
        <f t="shared" si="1633"/>
        <v>51</v>
      </c>
      <c r="N769" s="296">
        <f t="shared" si="1633"/>
        <v>144</v>
      </c>
      <c r="O769" s="296">
        <f t="shared" si="1633"/>
        <v>-330</v>
      </c>
      <c r="P769" s="296">
        <f t="shared" si="1633"/>
        <v>-369</v>
      </c>
      <c r="Q769" s="296">
        <f t="shared" si="1633"/>
        <v>-329</v>
      </c>
      <c r="R769" s="296">
        <f t="shared" si="1633"/>
        <v>305.06006294233816</v>
      </c>
      <c r="S769" s="296">
        <f t="shared" si="1633"/>
        <v>-105.03076891908785</v>
      </c>
      <c r="T769" s="296">
        <f t="shared" si="1633"/>
        <v>73.408780645099085</v>
      </c>
      <c r="U769" s="296">
        <f t="shared" si="1633"/>
        <v>16.848997643851789</v>
      </c>
      <c r="V769" s="296">
        <f t="shared" si="1633"/>
        <v>12.862720475424567</v>
      </c>
      <c r="W769" s="296">
        <f t="shared" si="1633"/>
        <v>35.315568741654488</v>
      </c>
      <c r="X769" s="296">
        <f t="shared" ref="X769" si="1634">X731</f>
        <v>96.606011596444034</v>
      </c>
      <c r="Y769" s="135" t="s">
        <v>4</v>
      </c>
    </row>
    <row r="770" spans="2:25" ht="15" customHeight="1" outlineLevel="1">
      <c r="B770" s="203" t="s">
        <v>227</v>
      </c>
      <c r="C770" s="283" t="s">
        <v>26</v>
      </c>
      <c r="D770" s="295"/>
      <c r="E770" s="295"/>
      <c r="F770" s="295"/>
      <c r="G770" s="296">
        <f>(G723-G725)</f>
        <v>59.599999999999994</v>
      </c>
      <c r="H770" s="296">
        <f t="shared" ref="H770:W770" si="1635">(H723-H725)</f>
        <v>57.5</v>
      </c>
      <c r="I770" s="296">
        <f t="shared" si="1635"/>
        <v>133.9</v>
      </c>
      <c r="J770" s="296">
        <f t="shared" si="1635"/>
        <v>-673.8</v>
      </c>
      <c r="K770" s="296">
        <f t="shared" si="1635"/>
        <v>84</v>
      </c>
      <c r="L770" s="296">
        <f t="shared" si="1635"/>
        <v>144</v>
      </c>
      <c r="M770" s="296">
        <f t="shared" si="1635"/>
        <v>-69</v>
      </c>
      <c r="N770" s="296">
        <f t="shared" si="1635"/>
        <v>128</v>
      </c>
      <c r="O770" s="296">
        <f t="shared" si="1635"/>
        <v>148</v>
      </c>
      <c r="P770" s="296">
        <f t="shared" si="1635"/>
        <v>-217</v>
      </c>
      <c r="Q770" s="296">
        <f t="shared" si="1635"/>
        <v>123</v>
      </c>
      <c r="R770" s="296">
        <f t="shared" si="1635"/>
        <v>257.48796492208464</v>
      </c>
      <c r="S770" s="296">
        <f t="shared" si="1635"/>
        <v>229.49035580211165</v>
      </c>
      <c r="T770" s="296">
        <f t="shared" si="1635"/>
        <v>278.37655298216839</v>
      </c>
      <c r="U770" s="296">
        <f t="shared" si="1635"/>
        <v>316.47347330708408</v>
      </c>
      <c r="V770" s="296">
        <f t="shared" si="1635"/>
        <v>363.8860196917741</v>
      </c>
      <c r="W770" s="296">
        <f t="shared" si="1635"/>
        <v>423.91000702382507</v>
      </c>
      <c r="X770" s="296">
        <f t="shared" ref="X770" si="1636">(X723-X725)</f>
        <v>501.13906646159421</v>
      </c>
      <c r="Y770" s="135" t="s">
        <v>4</v>
      </c>
    </row>
    <row r="771" spans="2:25" ht="15" customHeight="1" outlineLevel="1">
      <c r="B771" s="188" t="s">
        <v>198</v>
      </c>
      <c r="C771" s="282" t="s">
        <v>26</v>
      </c>
      <c r="D771" s="297"/>
      <c r="E771" s="297"/>
      <c r="F771" s="297"/>
      <c r="G771" s="298">
        <f>SUM(G767:G770)</f>
        <v>259.3</v>
      </c>
      <c r="H771" s="298">
        <f t="shared" ref="H771:W771" si="1637">SUM(H767:H770)</f>
        <v>1204.8</v>
      </c>
      <c r="I771" s="298">
        <f t="shared" si="1637"/>
        <v>1269</v>
      </c>
      <c r="J771" s="298">
        <f t="shared" si="1637"/>
        <v>1381.9999999999998</v>
      </c>
      <c r="K771" s="298">
        <f t="shared" si="1637"/>
        <v>1165</v>
      </c>
      <c r="L771" s="298">
        <f t="shared" si="1637"/>
        <v>1476</v>
      </c>
      <c r="M771" s="298">
        <f t="shared" si="1637"/>
        <v>921</v>
      </c>
      <c r="N771" s="298">
        <f t="shared" si="1637"/>
        <v>1726</v>
      </c>
      <c r="O771" s="298">
        <f t="shared" si="1637"/>
        <v>1490</v>
      </c>
      <c r="P771" s="298">
        <f t="shared" si="1637"/>
        <v>1323</v>
      </c>
      <c r="Q771" s="298">
        <f t="shared" si="1637"/>
        <v>1503</v>
      </c>
      <c r="R771" s="298">
        <f t="shared" si="1637"/>
        <v>2950.4933350072342</v>
      </c>
      <c r="S771" s="298">
        <f t="shared" si="1637"/>
        <v>2222.5017319190661</v>
      </c>
      <c r="T771" s="298">
        <f t="shared" si="1637"/>
        <v>2924.8524389941508</v>
      </c>
      <c r="U771" s="298">
        <f t="shared" si="1637"/>
        <v>3326.18632645661</v>
      </c>
      <c r="V771" s="298">
        <f t="shared" si="1637"/>
        <v>3941.9035434914158</v>
      </c>
      <c r="W771" s="298">
        <f t="shared" si="1637"/>
        <v>4765.0203494836642</v>
      </c>
      <c r="X771" s="298">
        <f t="shared" ref="X771" si="1638">SUM(X767:X770)</f>
        <v>5821.5210147328653</v>
      </c>
      <c r="Y771" s="135" t="s">
        <v>4</v>
      </c>
    </row>
    <row r="772" spans="2:25" ht="15" customHeight="1" outlineLevel="1">
      <c r="B772" s="203" t="s">
        <v>228</v>
      </c>
      <c r="C772" s="283" t="s">
        <v>21</v>
      </c>
      <c r="D772" s="299"/>
      <c r="E772" s="299"/>
      <c r="F772" s="299"/>
      <c r="G772" s="300">
        <f>G771/G$432</f>
        <v>0.21629963296629964</v>
      </c>
      <c r="H772" s="300">
        <f t="shared" ref="H772:W772" si="1639">H771/H$432</f>
        <v>0.29731997433492918</v>
      </c>
      <c r="I772" s="300">
        <f t="shared" si="1639"/>
        <v>0.30609291330985572</v>
      </c>
      <c r="J772" s="300">
        <f t="shared" si="1639"/>
        <v>0.30200388977513598</v>
      </c>
      <c r="K772" s="300">
        <f t="shared" si="1639"/>
        <v>0.21747246593242486</v>
      </c>
      <c r="L772" s="300">
        <f t="shared" si="1639"/>
        <v>0.26343030519364624</v>
      </c>
      <c r="M772" s="300">
        <f t="shared" si="1639"/>
        <v>0.18538647342995168</v>
      </c>
      <c r="N772" s="300">
        <f t="shared" si="1639"/>
        <v>0.30074925945286635</v>
      </c>
      <c r="O772" s="300">
        <f t="shared" si="1639"/>
        <v>0.22905457340507301</v>
      </c>
      <c r="P772" s="300">
        <f t="shared" si="1639"/>
        <v>0.18840786100825976</v>
      </c>
      <c r="Q772" s="300">
        <f t="shared" si="1639"/>
        <v>0.17880085653104924</v>
      </c>
      <c r="R772" s="300">
        <f t="shared" si="1639"/>
        <v>0.21657060378923298</v>
      </c>
      <c r="S772" s="300">
        <f t="shared" si="1639"/>
        <v>0.20467081036064869</v>
      </c>
      <c r="T772" s="300">
        <f t="shared" si="1639"/>
        <v>0.22204937133193345</v>
      </c>
      <c r="U772" s="300">
        <f t="shared" si="1639"/>
        <v>0.22211991608060255</v>
      </c>
      <c r="V772" s="300">
        <f t="shared" si="1639"/>
        <v>0.2289385157322274</v>
      </c>
      <c r="W772" s="300">
        <f t="shared" si="1639"/>
        <v>0.23755781994067199</v>
      </c>
      <c r="X772" s="300">
        <f t="shared" ref="X772" si="1640">X771/X$432</f>
        <v>0.2455028002872548</v>
      </c>
      <c r="Y772" s="135" t="s">
        <v>4</v>
      </c>
    </row>
    <row r="773" spans="2:25" ht="15" customHeight="1" outlineLevel="1">
      <c r="B773" s="203" t="s">
        <v>229</v>
      </c>
      <c r="C773" s="283" t="s">
        <v>21</v>
      </c>
      <c r="D773" s="299"/>
      <c r="E773" s="299"/>
      <c r="F773" s="299"/>
      <c r="G773" s="301" t="str">
        <f>IFERROR(G771/G$620,"n.m.")</f>
        <v>n.m.</v>
      </c>
      <c r="H773" s="301">
        <f t="shared" ref="H773:W773" si="1641">IFERROR(H771/H$620,"n.m.")</f>
        <v>0.80432605647907074</v>
      </c>
      <c r="I773" s="301">
        <f t="shared" si="1641"/>
        <v>0.69336684515353508</v>
      </c>
      <c r="J773" s="301">
        <f t="shared" si="1641"/>
        <v>0.6618456970451605</v>
      </c>
      <c r="K773" s="301">
        <f t="shared" si="1641"/>
        <v>0.55158373183087928</v>
      </c>
      <c r="L773" s="301">
        <f t="shared" si="1641"/>
        <v>0.67305061559507529</v>
      </c>
      <c r="M773" s="301">
        <f t="shared" si="1641"/>
        <v>0.52210884353741494</v>
      </c>
      <c r="N773" s="301">
        <f t="shared" si="1641"/>
        <v>0.81032863849765258</v>
      </c>
      <c r="O773" s="301">
        <f t="shared" si="1641"/>
        <v>0.67850637522768675</v>
      </c>
      <c r="P773" s="301">
        <f t="shared" si="1641"/>
        <v>0.56976744186046513</v>
      </c>
      <c r="Q773" s="301">
        <f t="shared" si="1641"/>
        <v>0.57963748553798689</v>
      </c>
      <c r="R773" s="301">
        <f t="shared" si="1641"/>
        <v>1.0665865656064117</v>
      </c>
      <c r="S773" s="301">
        <f t="shared" si="1641"/>
        <v>0.77688156079767023</v>
      </c>
      <c r="T773" s="301">
        <f t="shared" si="1641"/>
        <v>0.88852363063996787</v>
      </c>
      <c r="U773" s="301">
        <f t="shared" si="1641"/>
        <v>0.90986281193457397</v>
      </c>
      <c r="V773" s="301">
        <f t="shared" si="1641"/>
        <v>0.93196554850574709</v>
      </c>
      <c r="W773" s="301">
        <f t="shared" si="1641"/>
        <v>0.95220288930898245</v>
      </c>
      <c r="X773" s="301">
        <f t="shared" ref="X773" si="1642">IFERROR(X771/X$620,"n.m.")</f>
        <v>0.96367854648654749</v>
      </c>
      <c r="Y773" s="135" t="s">
        <v>4</v>
      </c>
    </row>
    <row r="774" spans="2:25" ht="15" customHeight="1" outlineLevel="1">
      <c r="B774" s="302"/>
      <c r="C774" s="303"/>
      <c r="D774" s="304"/>
      <c r="E774" s="304"/>
      <c r="F774" s="304"/>
      <c r="G774" s="304"/>
      <c r="H774" s="304"/>
      <c r="I774" s="304"/>
      <c r="J774" s="304"/>
      <c r="K774" s="304"/>
      <c r="L774" s="304"/>
      <c r="M774" s="304"/>
      <c r="N774" s="304"/>
      <c r="O774" s="304"/>
      <c r="P774" s="304"/>
      <c r="Q774" s="304"/>
      <c r="R774" s="304"/>
      <c r="S774" s="304"/>
      <c r="T774" s="304"/>
      <c r="U774" s="304"/>
      <c r="V774" s="304"/>
      <c r="W774" s="304"/>
      <c r="X774" s="304"/>
      <c r="Y774" s="135" t="s">
        <v>4</v>
      </c>
    </row>
    <row r="775" spans="2:25" ht="15" customHeight="1" outlineLevel="1">
      <c r="B775" s="305" t="s">
        <v>212</v>
      </c>
      <c r="C775" s="283" t="s">
        <v>26</v>
      </c>
      <c r="D775" s="299"/>
      <c r="E775" s="299"/>
      <c r="F775" s="299"/>
      <c r="G775" s="296">
        <f>G742</f>
        <v>-30.9</v>
      </c>
      <c r="H775" s="296">
        <f t="shared" ref="H775:Q775" si="1643">H742</f>
        <v>-115.3</v>
      </c>
      <c r="I775" s="296">
        <f t="shared" si="1643"/>
        <v>-33.700000000000003</v>
      </c>
      <c r="J775" s="296">
        <f t="shared" si="1643"/>
        <v>-36.700000000000003</v>
      </c>
      <c r="K775" s="296">
        <f t="shared" si="1643"/>
        <v>-86</v>
      </c>
      <c r="L775" s="296">
        <f t="shared" si="1643"/>
        <v>-62</v>
      </c>
      <c r="M775" s="296">
        <f t="shared" si="1643"/>
        <v>-117</v>
      </c>
      <c r="N775" s="296">
        <f t="shared" si="1643"/>
        <v>-106</v>
      </c>
      <c r="O775" s="296">
        <f t="shared" si="1643"/>
        <v>-100</v>
      </c>
      <c r="P775" s="296">
        <f t="shared" si="1643"/>
        <v>-120</v>
      </c>
      <c r="Q775" s="296">
        <f t="shared" si="1643"/>
        <v>-201</v>
      </c>
      <c r="R775" s="296">
        <f t="shared" ref="R775:W775" si="1644">R742</f>
        <v>-359.9681535676811</v>
      </c>
      <c r="S775" s="296">
        <f t="shared" si="1644"/>
        <v>-370.12196488223066</v>
      </c>
      <c r="T775" s="296">
        <f t="shared" si="1644"/>
        <v>-368.15179728821823</v>
      </c>
      <c r="U775" s="296">
        <f t="shared" si="1644"/>
        <v>-272.04762715659541</v>
      </c>
      <c r="V775" s="296">
        <f t="shared" si="1644"/>
        <v>-264.31980685623864</v>
      </c>
      <c r="W775" s="296">
        <f t="shared" si="1644"/>
        <v>-260.19246501449226</v>
      </c>
      <c r="X775" s="296">
        <f t="shared" ref="X775" si="1645">X742</f>
        <v>-269.14564648170312</v>
      </c>
      <c r="Y775" s="135" t="s">
        <v>4</v>
      </c>
    </row>
    <row r="776" spans="2:25" ht="15" customHeight="1" outlineLevel="1">
      <c r="B776" s="305" t="s">
        <v>214</v>
      </c>
      <c r="C776" s="283" t="s">
        <v>26</v>
      </c>
      <c r="D776" s="299"/>
      <c r="E776" s="299"/>
      <c r="F776" s="299"/>
      <c r="G776" s="296">
        <f t="shared" ref="G776:P776" si="1646">G744</f>
        <v>-3.9</v>
      </c>
      <c r="H776" s="296">
        <f t="shared" si="1646"/>
        <v>0</v>
      </c>
      <c r="I776" s="296">
        <f t="shared" si="1646"/>
        <v>0</v>
      </c>
      <c r="J776" s="296">
        <f t="shared" si="1646"/>
        <v>0</v>
      </c>
      <c r="K776" s="296">
        <f t="shared" si="1646"/>
        <v>0</v>
      </c>
      <c r="L776" s="296">
        <f t="shared" si="1646"/>
        <v>0</v>
      </c>
      <c r="M776" s="296">
        <f t="shared" si="1646"/>
        <v>0</v>
      </c>
      <c r="N776" s="296">
        <f t="shared" si="1646"/>
        <v>0</v>
      </c>
      <c r="O776" s="296">
        <f t="shared" si="1646"/>
        <v>0</v>
      </c>
      <c r="P776" s="296">
        <f t="shared" si="1646"/>
        <v>0</v>
      </c>
      <c r="Q776" s="296">
        <f>Q744</f>
        <v>-540</v>
      </c>
      <c r="R776" s="296">
        <f t="shared" ref="R776:W776" si="1647">R744</f>
        <v>0</v>
      </c>
      <c r="S776" s="296">
        <f t="shared" si="1647"/>
        <v>0</v>
      </c>
      <c r="T776" s="296">
        <f t="shared" si="1647"/>
        <v>0</v>
      </c>
      <c r="U776" s="296">
        <f t="shared" si="1647"/>
        <v>0</v>
      </c>
      <c r="V776" s="296">
        <f t="shared" si="1647"/>
        <v>0</v>
      </c>
      <c r="W776" s="296">
        <f t="shared" si="1647"/>
        <v>0</v>
      </c>
      <c r="X776" s="296">
        <f t="shared" ref="X776" si="1648">X744</f>
        <v>0</v>
      </c>
      <c r="Y776" s="135" t="s">
        <v>4</v>
      </c>
    </row>
    <row r="777" spans="2:25" ht="15" customHeight="1" outlineLevel="1">
      <c r="B777" s="188" t="s">
        <v>211</v>
      </c>
      <c r="C777" s="282" t="s">
        <v>26</v>
      </c>
      <c r="D777" s="297"/>
      <c r="E777" s="297"/>
      <c r="F777" s="297"/>
      <c r="G777" s="298">
        <f>G775+G776</f>
        <v>-34.799999999999997</v>
      </c>
      <c r="H777" s="298">
        <f t="shared" ref="H777:Q777" si="1649">H775+H776</f>
        <v>-115.3</v>
      </c>
      <c r="I777" s="298">
        <f t="shared" si="1649"/>
        <v>-33.700000000000003</v>
      </c>
      <c r="J777" s="298">
        <f t="shared" si="1649"/>
        <v>-36.700000000000003</v>
      </c>
      <c r="K777" s="298">
        <f t="shared" si="1649"/>
        <v>-86</v>
      </c>
      <c r="L777" s="298">
        <f t="shared" si="1649"/>
        <v>-62</v>
      </c>
      <c r="M777" s="298">
        <f t="shared" si="1649"/>
        <v>-117</v>
      </c>
      <c r="N777" s="298">
        <f t="shared" si="1649"/>
        <v>-106</v>
      </c>
      <c r="O777" s="298">
        <f t="shared" si="1649"/>
        <v>-100</v>
      </c>
      <c r="P777" s="298">
        <f t="shared" si="1649"/>
        <v>-120</v>
      </c>
      <c r="Q777" s="298">
        <f t="shared" si="1649"/>
        <v>-741</v>
      </c>
      <c r="R777" s="298">
        <f t="shared" ref="R777" si="1650">R775+R776</f>
        <v>-359.9681535676811</v>
      </c>
      <c r="S777" s="298">
        <f t="shared" ref="S777" si="1651">S775+S776</f>
        <v>-370.12196488223066</v>
      </c>
      <c r="T777" s="298">
        <f t="shared" ref="T777" si="1652">T775+T776</f>
        <v>-368.15179728821823</v>
      </c>
      <c r="U777" s="298">
        <f t="shared" ref="U777" si="1653">U775+U776</f>
        <v>-272.04762715659541</v>
      </c>
      <c r="V777" s="298">
        <f t="shared" ref="V777" si="1654">V775+V776</f>
        <v>-264.31980685623864</v>
      </c>
      <c r="W777" s="298">
        <f t="shared" ref="W777" si="1655">W775+W776</f>
        <v>-260.19246501449226</v>
      </c>
      <c r="X777" s="298">
        <f t="shared" ref="X777" si="1656">X775+X776</f>
        <v>-269.14564648170312</v>
      </c>
      <c r="Y777" s="135" t="s">
        <v>4</v>
      </c>
    </row>
    <row r="778" spans="2:25" ht="15" customHeight="1" outlineLevel="1">
      <c r="B778" s="203" t="s">
        <v>228</v>
      </c>
      <c r="C778" s="283" t="s">
        <v>21</v>
      </c>
      <c r="D778" s="299"/>
      <c r="E778" s="299"/>
      <c r="F778" s="299"/>
      <c r="G778" s="300">
        <f>G777/G$432</f>
        <v>-2.9029029029029027E-2</v>
      </c>
      <c r="H778" s="300">
        <f t="shared" ref="H778:W778" si="1657">H777/H$432</f>
        <v>-2.8453679482750113E-2</v>
      </c>
      <c r="I778" s="300">
        <f t="shared" si="1657"/>
        <v>-8.1287085725312361E-3</v>
      </c>
      <c r="J778" s="300">
        <f t="shared" si="1657"/>
        <v>-8.0199296344048432E-3</v>
      </c>
      <c r="K778" s="300">
        <f t="shared" si="1657"/>
        <v>-1.6053761433638229E-2</v>
      </c>
      <c r="L778" s="300">
        <f t="shared" si="1657"/>
        <v>-1.1065500624665358E-2</v>
      </c>
      <c r="M778" s="300">
        <f t="shared" si="1657"/>
        <v>-2.355072463768116E-2</v>
      </c>
      <c r="N778" s="300">
        <f t="shared" si="1657"/>
        <v>-1.847011674507754E-2</v>
      </c>
      <c r="O778" s="300">
        <f t="shared" si="1657"/>
        <v>-1.5372790161414296E-2</v>
      </c>
      <c r="P778" s="300">
        <f t="shared" si="1657"/>
        <v>-1.7089148390771861E-2</v>
      </c>
      <c r="Q778" s="300">
        <f t="shared" si="1657"/>
        <v>-8.8151320485367599E-2</v>
      </c>
      <c r="R778" s="300">
        <f t="shared" si="1657"/>
        <v>-2.6422198429693077E-2</v>
      </c>
      <c r="S778" s="300">
        <f t="shared" si="1657"/>
        <v>-3.408463597430407E-2</v>
      </c>
      <c r="T778" s="300">
        <f t="shared" si="1657"/>
        <v>-2.7949401498929341E-2</v>
      </c>
      <c r="U778" s="300">
        <f t="shared" si="1657"/>
        <v>-1.8167110974304072E-2</v>
      </c>
      <c r="V778" s="300">
        <f t="shared" si="1657"/>
        <v>-1.535120877328694E-2</v>
      </c>
      <c r="W778" s="300">
        <f t="shared" si="1657"/>
        <v>-1.2971771413427466E-2</v>
      </c>
      <c r="X778" s="300">
        <f t="shared" ref="X778" si="1658">X777/X$432</f>
        <v>-1.1350299986749031E-2</v>
      </c>
      <c r="Y778" s="135" t="s">
        <v>4</v>
      </c>
    </row>
    <row r="779" spans="2:25" ht="15" customHeight="1" outlineLevel="1">
      <c r="B779" s="203" t="s">
        <v>229</v>
      </c>
      <c r="C779" s="283" t="s">
        <v>21</v>
      </c>
      <c r="D779" s="299"/>
      <c r="E779" s="299"/>
      <c r="F779" s="299"/>
      <c r="G779" s="301" t="str">
        <f>IFERROR(G777/G$620,"n.m.")</f>
        <v>n.m.</v>
      </c>
      <c r="H779" s="301">
        <f t="shared" ref="H779:W779" si="1659">IFERROR(H777/H$620,"n.m.")</f>
        <v>-7.6974430869884508E-2</v>
      </c>
      <c r="I779" s="301">
        <f t="shared" si="1659"/>
        <v>-1.8413288165227845E-2</v>
      </c>
      <c r="J779" s="301">
        <f t="shared" si="1659"/>
        <v>-1.7575786600258606E-2</v>
      </c>
      <c r="K779" s="301">
        <f t="shared" si="1659"/>
        <v>-4.0717769045026282E-2</v>
      </c>
      <c r="L779" s="301">
        <f t="shared" si="1659"/>
        <v>-2.8271773825809393E-2</v>
      </c>
      <c r="M779" s="301">
        <f t="shared" si="1659"/>
        <v>-6.6326530612244902E-2</v>
      </c>
      <c r="N779" s="301">
        <f t="shared" si="1659"/>
        <v>-4.9765258215962442E-2</v>
      </c>
      <c r="O779" s="301">
        <f t="shared" si="1659"/>
        <v>-4.553734061930783E-2</v>
      </c>
      <c r="P779" s="301">
        <f t="shared" si="1659"/>
        <v>-5.1679586563307491E-2</v>
      </c>
      <c r="Q779" s="301">
        <f t="shared" si="1659"/>
        <v>-0.28576937909757039</v>
      </c>
      <c r="R779" s="301">
        <f t="shared" si="1659"/>
        <v>-0.13012644091958031</v>
      </c>
      <c r="S779" s="301">
        <f t="shared" si="1659"/>
        <v>-0.12937714541843104</v>
      </c>
      <c r="T779" s="301">
        <f t="shared" si="1659"/>
        <v>-0.11183865797539173</v>
      </c>
      <c r="U779" s="301">
        <f t="shared" si="1659"/>
        <v>-7.4417364131406968E-2</v>
      </c>
      <c r="V779" s="301">
        <f t="shared" si="1659"/>
        <v>-6.2491877606807814E-2</v>
      </c>
      <c r="W779" s="301">
        <f t="shared" si="1659"/>
        <v>-5.1994744784263643E-2</v>
      </c>
      <c r="X779" s="301">
        <f t="shared" ref="X779" si="1660">IFERROR(X777/X$620,"n.m.")</f>
        <v>-4.4553628637304103E-2</v>
      </c>
      <c r="Y779" s="135" t="s">
        <v>4</v>
      </c>
    </row>
    <row r="780" spans="2:25" ht="15" customHeight="1" outlineLevel="1">
      <c r="B780" s="196"/>
      <c r="C780" s="283"/>
      <c r="D780" s="300"/>
      <c r="E780" s="300"/>
      <c r="F780" s="300"/>
      <c r="G780" s="300"/>
      <c r="H780" s="300"/>
      <c r="I780" s="300"/>
      <c r="J780" s="300"/>
      <c r="K780" s="300"/>
      <c r="L780" s="300"/>
      <c r="M780" s="300"/>
      <c r="N780" s="300"/>
      <c r="O780" s="300"/>
      <c r="P780" s="300"/>
      <c r="Q780" s="300"/>
      <c r="R780" s="300"/>
      <c r="S780" s="300"/>
      <c r="T780" s="300"/>
      <c r="U780" s="300"/>
      <c r="V780" s="300"/>
      <c r="W780" s="300"/>
      <c r="X780" s="300"/>
      <c r="Y780" s="135" t="s">
        <v>4</v>
      </c>
    </row>
    <row r="781" spans="2:25" ht="15" customHeight="1" outlineLevel="1">
      <c r="B781" s="188" t="s">
        <v>230</v>
      </c>
      <c r="C781" s="282" t="s">
        <v>26</v>
      </c>
      <c r="D781" s="297"/>
      <c r="E781" s="297"/>
      <c r="F781" s="297"/>
      <c r="G781" s="298">
        <f>G771+G777</f>
        <v>224.5</v>
      </c>
      <c r="H781" s="298">
        <f t="shared" ref="H781:W781" si="1661">H771+H777</f>
        <v>1089.5</v>
      </c>
      <c r="I781" s="298">
        <f t="shared" si="1661"/>
        <v>1235.3</v>
      </c>
      <c r="J781" s="298">
        <f t="shared" si="1661"/>
        <v>1345.2999999999997</v>
      </c>
      <c r="K781" s="298">
        <f t="shared" si="1661"/>
        <v>1079</v>
      </c>
      <c r="L781" s="298">
        <f t="shared" si="1661"/>
        <v>1414</v>
      </c>
      <c r="M781" s="298">
        <f t="shared" si="1661"/>
        <v>804</v>
      </c>
      <c r="N781" s="298">
        <f t="shared" si="1661"/>
        <v>1620</v>
      </c>
      <c r="O781" s="298">
        <f t="shared" si="1661"/>
        <v>1390</v>
      </c>
      <c r="P781" s="298">
        <f t="shared" si="1661"/>
        <v>1203</v>
      </c>
      <c r="Q781" s="298">
        <f t="shared" si="1661"/>
        <v>762</v>
      </c>
      <c r="R781" s="298">
        <f t="shared" si="1661"/>
        <v>2590.5251814395533</v>
      </c>
      <c r="S781" s="298">
        <f t="shared" si="1661"/>
        <v>1852.3797670368353</v>
      </c>
      <c r="T781" s="298">
        <f t="shared" si="1661"/>
        <v>2556.7006417059324</v>
      </c>
      <c r="U781" s="298">
        <f t="shared" si="1661"/>
        <v>3054.1386993000147</v>
      </c>
      <c r="V781" s="298">
        <f t="shared" si="1661"/>
        <v>3677.583736635177</v>
      </c>
      <c r="W781" s="298">
        <f t="shared" si="1661"/>
        <v>4504.8278844691722</v>
      </c>
      <c r="X781" s="298">
        <f t="shared" ref="X781" si="1662">X771+X777</f>
        <v>5552.3753682511624</v>
      </c>
      <c r="Y781" s="135" t="s">
        <v>4</v>
      </c>
    </row>
    <row r="782" spans="2:25" ht="15" customHeight="1" outlineLevel="1">
      <c r="B782" s="203" t="s">
        <v>228</v>
      </c>
      <c r="C782" s="283" t="s">
        <v>21</v>
      </c>
      <c r="D782" s="299"/>
      <c r="E782" s="299"/>
      <c r="F782" s="299"/>
      <c r="G782" s="300">
        <f>G781/G$432</f>
        <v>0.1872706039372706</v>
      </c>
      <c r="H782" s="300">
        <f t="shared" ref="H782" si="1663">H781/H$432</f>
        <v>0.26886629485217906</v>
      </c>
      <c r="I782" s="300">
        <f t="shared" ref="I782" si="1664">I781/I$432</f>
        <v>0.29796420473732449</v>
      </c>
      <c r="J782" s="300">
        <f t="shared" ref="J782" si="1665">J781/J$432</f>
        <v>0.29398396014073108</v>
      </c>
      <c r="K782" s="300">
        <f t="shared" ref="K782" si="1666">K781/K$432</f>
        <v>0.20141870449878663</v>
      </c>
      <c r="L782" s="300">
        <f t="shared" ref="L782" si="1667">L781/L$432</f>
        <v>0.25236480456898092</v>
      </c>
      <c r="M782" s="300">
        <f t="shared" ref="M782" si="1668">M781/M$432</f>
        <v>0.16183574879227053</v>
      </c>
      <c r="N782" s="300">
        <f t="shared" ref="N782" si="1669">N781/N$432</f>
        <v>0.28227914270778881</v>
      </c>
      <c r="O782" s="300">
        <f t="shared" ref="O782" si="1670">O781/O$432</f>
        <v>0.21368178324365872</v>
      </c>
      <c r="P782" s="300">
        <f t="shared" ref="P782" si="1671">P781/P$432</f>
        <v>0.17131871261748791</v>
      </c>
      <c r="Q782" s="300">
        <f t="shared" ref="Q782" si="1672">Q781/Q$432</f>
        <v>9.0649536045681656E-2</v>
      </c>
      <c r="R782" s="300">
        <f t="shared" ref="R782" si="1673">R781/R$432</f>
        <v>0.19014840535953992</v>
      </c>
      <c r="S782" s="300">
        <f t="shared" ref="S782" si="1674">S781/S$432</f>
        <v>0.1705861743863446</v>
      </c>
      <c r="T782" s="300">
        <f t="shared" ref="T782" si="1675">T781/T$432</f>
        <v>0.19409996983300409</v>
      </c>
      <c r="U782" s="300">
        <f t="shared" ref="U782" si="1676">U781/U$432</f>
        <v>0.20395280510629848</v>
      </c>
      <c r="V782" s="300">
        <f t="shared" ref="V782" si="1677">V781/V$432</f>
        <v>0.21358730695894046</v>
      </c>
      <c r="W782" s="300">
        <f t="shared" ref="W782" si="1678">W781/W$432</f>
        <v>0.22458604852724454</v>
      </c>
      <c r="X782" s="300">
        <f t="shared" ref="X782" si="1679">X781/X$432</f>
        <v>0.23415250030050577</v>
      </c>
      <c r="Y782" s="135" t="s">
        <v>4</v>
      </c>
    </row>
    <row r="783" spans="2:25" ht="15" customHeight="1" outlineLevel="1">
      <c r="B783" s="203" t="s">
        <v>231</v>
      </c>
      <c r="C783" s="283" t="s">
        <v>21</v>
      </c>
      <c r="D783" s="299"/>
      <c r="E783" s="299"/>
      <c r="F783" s="299"/>
      <c r="G783" s="301" t="str">
        <f t="shared" ref="G783:X783" si="1680">IFERROR(G781/G$649,"n.m.")</f>
        <v>n.m.</v>
      </c>
      <c r="H783" s="301">
        <f t="shared" si="1680"/>
        <v>2.4511098989210529</v>
      </c>
      <c r="I783" s="301">
        <f t="shared" si="1680"/>
        <v>1.6627769553605494</v>
      </c>
      <c r="J783" s="301">
        <f t="shared" si="1680"/>
        <v>1.3340623255657633</v>
      </c>
      <c r="K783" s="301">
        <f t="shared" si="1680"/>
        <v>0.88847916712945496</v>
      </c>
      <c r="L783" s="301">
        <f t="shared" si="1680"/>
        <v>1.1240805973006605</v>
      </c>
      <c r="M783" s="301">
        <f t="shared" si="1680"/>
        <v>0.84640509738497716</v>
      </c>
      <c r="N783" s="301">
        <f t="shared" si="1680"/>
        <v>1.235620873363898</v>
      </c>
      <c r="O783" s="301">
        <f t="shared" si="1680"/>
        <v>0.98876725277519872</v>
      </c>
      <c r="P783" s="301">
        <f t="shared" si="1680"/>
        <v>0.81931674545045285</v>
      </c>
      <c r="Q783" s="301">
        <f t="shared" si="1680"/>
        <v>0.49816797494821269</v>
      </c>
      <c r="R783" s="301">
        <f t="shared" si="1680"/>
        <v>1.7282508554788243</v>
      </c>
      <c r="S783" s="301">
        <f t="shared" si="1680"/>
        <v>1.014042918844531</v>
      </c>
      <c r="T783" s="301">
        <f t="shared" si="1680"/>
        <v>1.1430264667198056</v>
      </c>
      <c r="U783" s="301">
        <f t="shared" si="1680"/>
        <v>1.1779573079906827</v>
      </c>
      <c r="V783" s="301">
        <f t="shared" si="1680"/>
        <v>1.1960088575685879</v>
      </c>
      <c r="W783" s="301">
        <f t="shared" si="1680"/>
        <v>1.2192436513676008</v>
      </c>
      <c r="X783" s="301">
        <f t="shared" si="1680"/>
        <v>1.2347918655129593</v>
      </c>
      <c r="Y783" s="135" t="s">
        <v>4</v>
      </c>
    </row>
    <row r="784" spans="2:25" ht="15" customHeight="1" outlineLevel="1">
      <c r="B784" s="196"/>
      <c r="C784" s="283"/>
      <c r="D784" s="304"/>
      <c r="E784" s="304"/>
      <c r="F784" s="304"/>
      <c r="G784" s="304"/>
      <c r="H784" s="304"/>
      <c r="I784" s="304"/>
      <c r="J784" s="304"/>
      <c r="K784" s="304"/>
      <c r="L784" s="304"/>
      <c r="M784" s="304"/>
      <c r="N784" s="304"/>
      <c r="O784" s="304"/>
      <c r="P784" s="304"/>
      <c r="Q784" s="304"/>
      <c r="R784" s="304"/>
      <c r="S784" s="304"/>
      <c r="T784" s="304"/>
      <c r="U784" s="304"/>
      <c r="V784" s="304"/>
      <c r="W784" s="304"/>
      <c r="X784" s="304"/>
      <c r="Y784" s="135" t="s">
        <v>4</v>
      </c>
    </row>
    <row r="785" spans="1:25" ht="15" customHeight="1" outlineLevel="1">
      <c r="B785" s="191" t="s">
        <v>232</v>
      </c>
      <c r="C785" s="303" t="s">
        <v>26</v>
      </c>
      <c r="D785" s="299"/>
      <c r="E785" s="299"/>
      <c r="F785" s="299"/>
      <c r="G785" s="579">
        <f>(G548)*(1+H666)</f>
        <v>-301.24177355698072</v>
      </c>
      <c r="H785" s="306">
        <f t="shared" ref="H785:X785" si="1681">(H548)*(1+H666)</f>
        <v>-358.68047607301423</v>
      </c>
      <c r="I785" s="306">
        <f t="shared" si="1681"/>
        <v>-346.86646825396826</v>
      </c>
      <c r="J785" s="306">
        <f t="shared" si="1681"/>
        <v>-526.76987250118054</v>
      </c>
      <c r="K785" s="306">
        <f t="shared" si="1681"/>
        <v>-442.25893824485371</v>
      </c>
      <c r="L785" s="306">
        <f t="shared" si="1681"/>
        <v>-450.41541240216736</v>
      </c>
      <c r="M785" s="306">
        <f t="shared" si="1681"/>
        <v>-497.52744630071595</v>
      </c>
      <c r="N785" s="306">
        <f t="shared" si="1681"/>
        <v>-441.30345245305875</v>
      </c>
      <c r="O785" s="306">
        <f t="shared" si="1681"/>
        <v>-469.18381112984821</v>
      </c>
      <c r="P785" s="306">
        <f t="shared" si="1681"/>
        <v>-530.21822033898309</v>
      </c>
      <c r="Q785" s="306">
        <f t="shared" si="1681"/>
        <v>-509.58971824023729</v>
      </c>
      <c r="R785" s="306">
        <f t="shared" si="1681"/>
        <v>-603.37236742926052</v>
      </c>
      <c r="S785" s="306">
        <f t="shared" si="1681"/>
        <v>-426.64501498161781</v>
      </c>
      <c r="T785" s="306">
        <f t="shared" si="1681"/>
        <v>-333.98651183460612</v>
      </c>
      <c r="U785" s="306">
        <f t="shared" si="1681"/>
        <v>-234.59308140352329</v>
      </c>
      <c r="V785" s="306">
        <f t="shared" si="1681"/>
        <v>-170.12862081895983</v>
      </c>
      <c r="W785" s="306">
        <f t="shared" si="1681"/>
        <v>-111.69644707934901</v>
      </c>
      <c r="X785" s="306">
        <f t="shared" si="1681"/>
        <v>-105.26417639670497</v>
      </c>
      <c r="Y785" s="135" t="s">
        <v>4</v>
      </c>
    </row>
    <row r="786" spans="1:25" ht="15" customHeight="1" outlineLevel="1">
      <c r="B786" s="196"/>
      <c r="C786" s="283"/>
      <c r="D786" s="304"/>
      <c r="E786" s="304"/>
      <c r="F786" s="304"/>
      <c r="G786" s="304"/>
      <c r="H786" s="304"/>
      <c r="I786" s="304"/>
      <c r="J786" s="304"/>
      <c r="K786" s="304"/>
      <c r="L786" s="304"/>
      <c r="M786" s="304"/>
      <c r="N786" s="304"/>
      <c r="O786" s="304"/>
      <c r="P786" s="304"/>
      <c r="Q786" s="304"/>
      <c r="R786" s="304"/>
      <c r="S786" s="304"/>
      <c r="T786" s="304"/>
      <c r="U786" s="304"/>
      <c r="V786" s="304"/>
      <c r="W786" s="304"/>
      <c r="X786" s="304"/>
      <c r="Y786" s="135" t="s">
        <v>4</v>
      </c>
    </row>
    <row r="787" spans="1:25" ht="15" customHeight="1" outlineLevel="1">
      <c r="B787" s="188" t="s">
        <v>233</v>
      </c>
      <c r="C787" s="282" t="s">
        <v>26</v>
      </c>
      <c r="D787" s="297"/>
      <c r="E787" s="297"/>
      <c r="F787" s="297"/>
      <c r="G787" s="298">
        <f>G781-G785</f>
        <v>525.74177355698066</v>
      </c>
      <c r="H787" s="298">
        <f t="shared" ref="H787:W787" si="1682">H781-H785</f>
        <v>1448.1804760730142</v>
      </c>
      <c r="I787" s="298">
        <f t="shared" si="1682"/>
        <v>1582.1664682539681</v>
      </c>
      <c r="J787" s="298">
        <f t="shared" si="1682"/>
        <v>1872.0698725011803</v>
      </c>
      <c r="K787" s="298">
        <f t="shared" si="1682"/>
        <v>1521.2589382448537</v>
      </c>
      <c r="L787" s="298">
        <f t="shared" si="1682"/>
        <v>1864.4154124021675</v>
      </c>
      <c r="M787" s="298">
        <f t="shared" si="1682"/>
        <v>1301.5274463007158</v>
      </c>
      <c r="N787" s="298">
        <f t="shared" si="1682"/>
        <v>2061.3034524530585</v>
      </c>
      <c r="O787" s="298">
        <f t="shared" si="1682"/>
        <v>1859.1838111298482</v>
      </c>
      <c r="P787" s="298">
        <f t="shared" si="1682"/>
        <v>1733.218220338983</v>
      </c>
      <c r="Q787" s="298">
        <f t="shared" si="1682"/>
        <v>1271.5897182402373</v>
      </c>
      <c r="R787" s="298">
        <f t="shared" si="1682"/>
        <v>3193.8975488688138</v>
      </c>
      <c r="S787" s="298">
        <f t="shared" si="1682"/>
        <v>2279.0247820184532</v>
      </c>
      <c r="T787" s="298">
        <f t="shared" si="1682"/>
        <v>2890.6871535405385</v>
      </c>
      <c r="U787" s="298">
        <f t="shared" si="1682"/>
        <v>3288.7317807035379</v>
      </c>
      <c r="V787" s="298">
        <f t="shared" si="1682"/>
        <v>3847.712357454137</v>
      </c>
      <c r="W787" s="298">
        <f t="shared" si="1682"/>
        <v>4616.5243315485213</v>
      </c>
      <c r="X787" s="298">
        <f t="shared" ref="X787" si="1683">X781-X785</f>
        <v>5657.6395446478673</v>
      </c>
      <c r="Y787" s="135" t="s">
        <v>4</v>
      </c>
    </row>
    <row r="788" spans="1:25" ht="15" customHeight="1" outlineLevel="1">
      <c r="B788" s="203" t="s">
        <v>234</v>
      </c>
      <c r="C788" s="283" t="s">
        <v>21</v>
      </c>
      <c r="D788" s="299"/>
      <c r="E788" s="299"/>
      <c r="F788" s="299"/>
      <c r="G788" s="300">
        <f>G787/G$432</f>
        <v>0.43855670133214936</v>
      </c>
      <c r="H788" s="300">
        <f t="shared" ref="H788:W788" si="1684">H787/H$432</f>
        <v>0.35738129314274081</v>
      </c>
      <c r="I788" s="300">
        <f t="shared" si="1684"/>
        <v>0.38163116123642432</v>
      </c>
      <c r="J788" s="300">
        <f t="shared" si="1684"/>
        <v>0.40909723836917466</v>
      </c>
      <c r="K788" s="300">
        <f t="shared" si="1684"/>
        <v>0.28397590782991483</v>
      </c>
      <c r="L788" s="300">
        <f t="shared" si="1684"/>
        <v>0.33275306307374042</v>
      </c>
      <c r="M788" s="300">
        <f t="shared" si="1684"/>
        <v>0.26198217518130351</v>
      </c>
      <c r="N788" s="300">
        <f t="shared" si="1684"/>
        <v>0.35917467371546585</v>
      </c>
      <c r="O788" s="300">
        <f t="shared" si="1684"/>
        <v>0.28580842599997669</v>
      </c>
      <c r="P788" s="300">
        <f t="shared" si="1684"/>
        <v>0.24682686134135332</v>
      </c>
      <c r="Q788" s="300">
        <f t="shared" si="1684"/>
        <v>0.15127167716395876</v>
      </c>
      <c r="R788" s="300">
        <f t="shared" si="1684"/>
        <v>0.23443683549204639</v>
      </c>
      <c r="S788" s="300">
        <f t="shared" si="1684"/>
        <v>0.20987603396149057</v>
      </c>
      <c r="T788" s="300">
        <f t="shared" si="1684"/>
        <v>0.21945560623964744</v>
      </c>
      <c r="U788" s="300">
        <f t="shared" si="1684"/>
        <v>0.21961873312120647</v>
      </c>
      <c r="V788" s="300">
        <f t="shared" si="1684"/>
        <v>0.22346806469543387</v>
      </c>
      <c r="W788" s="300">
        <f t="shared" si="1684"/>
        <v>0.23015462169528234</v>
      </c>
      <c r="X788" s="300">
        <f t="shared" ref="X788" si="1685">X787/X$432</f>
        <v>0.23859165804122698</v>
      </c>
      <c r="Y788" s="135" t="s">
        <v>4</v>
      </c>
    </row>
    <row r="789" spans="1:25" ht="15" customHeight="1" outlineLevel="1">
      <c r="B789" s="203" t="s">
        <v>229</v>
      </c>
      <c r="C789" s="283" t="s">
        <v>21</v>
      </c>
      <c r="D789" s="299"/>
      <c r="E789" s="299"/>
      <c r="F789" s="299"/>
      <c r="G789" s="301" t="str">
        <f>IFERROR(G787/G$620,"n.m.")</f>
        <v>n.m.</v>
      </c>
      <c r="H789" s="301">
        <f t="shared" ref="H789:W789" si="1686">IFERROR(H787/H$620,"n.m.")</f>
        <v>0.96680718076841865</v>
      </c>
      <c r="I789" s="301">
        <f t="shared" si="1686"/>
        <v>0.86447736217570104</v>
      </c>
      <c r="J789" s="301">
        <f t="shared" si="1686"/>
        <v>0.89654225013226374</v>
      </c>
      <c r="K789" s="301">
        <f t="shared" si="1686"/>
        <v>0.72025895471088197</v>
      </c>
      <c r="L789" s="301">
        <f t="shared" si="1686"/>
        <v>0.85016662672237464</v>
      </c>
      <c r="M789" s="301">
        <f t="shared" si="1686"/>
        <v>0.73782735051060988</v>
      </c>
      <c r="N789" s="301">
        <f t="shared" si="1686"/>
        <v>0.96774809974321996</v>
      </c>
      <c r="O789" s="301">
        <f t="shared" si="1686"/>
        <v>0.84662286481322779</v>
      </c>
      <c r="P789" s="301">
        <f t="shared" si="1686"/>
        <v>0.74643334209258527</v>
      </c>
      <c r="Q789" s="301">
        <f t="shared" si="1686"/>
        <v>0.49039325809496231</v>
      </c>
      <c r="R789" s="301">
        <f t="shared" si="1686"/>
        <v>1.1545758050452848</v>
      </c>
      <c r="S789" s="301">
        <f t="shared" si="1686"/>
        <v>0.79663934759783628</v>
      </c>
      <c r="T789" s="301">
        <f t="shared" si="1686"/>
        <v>0.87814476055805213</v>
      </c>
      <c r="U789" s="301">
        <f t="shared" si="1686"/>
        <v>0.89961729500500187</v>
      </c>
      <c r="V789" s="301">
        <f t="shared" si="1686"/>
        <v>0.90969637337471676</v>
      </c>
      <c r="W789" s="301">
        <f t="shared" si="1686"/>
        <v>0.92252865353283442</v>
      </c>
      <c r="X789" s="301">
        <f t="shared" ref="X789" si="1687">IFERROR(X787/X$620,"n.m.")</f>
        <v>0.93655005953478543</v>
      </c>
      <c r="Y789" s="135" t="s">
        <v>4</v>
      </c>
    </row>
    <row r="790" spans="1:25" ht="15" customHeight="1" outlineLevel="1">
      <c r="B790" s="203"/>
      <c r="C790" s="283"/>
      <c r="D790" s="304"/>
      <c r="E790" s="304"/>
      <c r="F790" s="304"/>
      <c r="G790" s="304"/>
      <c r="H790" s="304"/>
      <c r="I790" s="304"/>
      <c r="J790" s="304"/>
      <c r="K790" s="304"/>
      <c r="L790" s="304"/>
      <c r="M790" s="304"/>
      <c r="N790" s="304"/>
      <c r="O790" s="304"/>
      <c r="P790" s="304"/>
      <c r="Q790" s="304"/>
      <c r="R790" s="304"/>
      <c r="S790" s="304"/>
      <c r="T790" s="304"/>
      <c r="U790" s="304"/>
      <c r="V790" s="304"/>
      <c r="W790" s="304"/>
      <c r="X790" s="304"/>
      <c r="Y790" s="135" t="s">
        <v>4</v>
      </c>
    </row>
    <row r="791" spans="1:25" ht="15" customHeight="1" outlineLevel="1">
      <c r="B791" s="191" t="s">
        <v>235</v>
      </c>
      <c r="C791" s="303" t="s">
        <v>26</v>
      </c>
      <c r="D791" s="299"/>
      <c r="E791" s="299"/>
      <c r="F791" s="299"/>
      <c r="G791" s="306">
        <f>G748</f>
        <v>8828.7000000000007</v>
      </c>
      <c r="H791" s="306">
        <f t="shared" ref="H791:W791" si="1688">H748</f>
        <v>-1459.1000000000001</v>
      </c>
      <c r="I791" s="306">
        <f t="shared" si="1688"/>
        <v>-69.7</v>
      </c>
      <c r="J791" s="306">
        <f t="shared" si="1688"/>
        <v>39.900000000000183</v>
      </c>
      <c r="K791" s="306">
        <f t="shared" si="1688"/>
        <v>-2</v>
      </c>
      <c r="L791" s="306">
        <f t="shared" si="1688"/>
        <v>-66</v>
      </c>
      <c r="M791" s="306">
        <f t="shared" si="1688"/>
        <v>484</v>
      </c>
      <c r="N791" s="306">
        <f t="shared" si="1688"/>
        <v>427</v>
      </c>
      <c r="O791" s="306">
        <f t="shared" si="1688"/>
        <v>-92</v>
      </c>
      <c r="P791" s="306">
        <f t="shared" si="1688"/>
        <v>-81</v>
      </c>
      <c r="Q791" s="306">
        <f t="shared" si="1688"/>
        <v>219</v>
      </c>
      <c r="R791" s="306">
        <f t="shared" si="1688"/>
        <v>-262</v>
      </c>
      <c r="S791" s="306">
        <f t="shared" si="1688"/>
        <v>-2991.260000000002</v>
      </c>
      <c r="T791" s="306">
        <f t="shared" si="1688"/>
        <v>-3217.9599999999982</v>
      </c>
      <c r="U791" s="306">
        <f>U748</f>
        <v>-3369.105</v>
      </c>
      <c r="V791" s="306">
        <f t="shared" si="1688"/>
        <v>-2246.7687500000002</v>
      </c>
      <c r="W791" s="306">
        <f t="shared" si="1688"/>
        <v>-1663.2018124999997</v>
      </c>
      <c r="X791" s="306">
        <f t="shared" ref="X791" si="1689">X748</f>
        <v>3.6652781250000004</v>
      </c>
      <c r="Y791" s="135" t="s">
        <v>4</v>
      </c>
    </row>
    <row r="792" spans="1:25" ht="15" customHeight="1" outlineLevel="1">
      <c r="B792" s="196"/>
      <c r="C792" s="283"/>
      <c r="D792" s="304"/>
      <c r="E792" s="304"/>
      <c r="F792" s="304"/>
      <c r="G792" s="304"/>
      <c r="H792" s="304"/>
      <c r="I792" s="304"/>
      <c r="J792" s="304"/>
      <c r="K792" s="304"/>
      <c r="L792" s="304"/>
      <c r="M792" s="304"/>
      <c r="N792" s="304"/>
      <c r="O792" s="304"/>
      <c r="P792" s="304"/>
      <c r="Q792" s="304"/>
      <c r="R792" s="304"/>
      <c r="S792" s="304"/>
      <c r="T792" s="304"/>
      <c r="U792" s="304"/>
      <c r="V792" s="304"/>
      <c r="W792" s="304"/>
      <c r="X792" s="304"/>
      <c r="Y792" s="135" t="s">
        <v>4</v>
      </c>
    </row>
    <row r="793" spans="1:25" ht="15" customHeight="1" outlineLevel="1">
      <c r="B793" s="188" t="s">
        <v>236</v>
      </c>
      <c r="C793" s="282" t="s">
        <v>26</v>
      </c>
      <c r="D793" s="297"/>
      <c r="E793" s="297"/>
      <c r="F793" s="297"/>
      <c r="G793" s="298">
        <f>G781+G791</f>
        <v>9053.2000000000007</v>
      </c>
      <c r="H793" s="298">
        <f t="shared" ref="H793:W793" si="1690">H781+H791</f>
        <v>-369.60000000000014</v>
      </c>
      <c r="I793" s="298">
        <f t="shared" si="1690"/>
        <v>1165.5999999999999</v>
      </c>
      <c r="J793" s="298">
        <f t="shared" si="1690"/>
        <v>1385.1999999999998</v>
      </c>
      <c r="K793" s="298">
        <f t="shared" si="1690"/>
        <v>1077</v>
      </c>
      <c r="L793" s="298">
        <f t="shared" si="1690"/>
        <v>1348</v>
      </c>
      <c r="M793" s="298">
        <f t="shared" si="1690"/>
        <v>1288</v>
      </c>
      <c r="N793" s="298">
        <f t="shared" si="1690"/>
        <v>2047</v>
      </c>
      <c r="O793" s="298">
        <f t="shared" si="1690"/>
        <v>1298</v>
      </c>
      <c r="P793" s="298">
        <f t="shared" si="1690"/>
        <v>1122</v>
      </c>
      <c r="Q793" s="298">
        <f t="shared" si="1690"/>
        <v>981</v>
      </c>
      <c r="R793" s="298">
        <f t="shared" si="1690"/>
        <v>2328.5251814395533</v>
      </c>
      <c r="S793" s="298">
        <f t="shared" si="1690"/>
        <v>-1138.8802329631667</v>
      </c>
      <c r="T793" s="298">
        <f t="shared" si="1690"/>
        <v>-661.25935829406581</v>
      </c>
      <c r="U793" s="298">
        <f t="shared" si="1690"/>
        <v>-314.96630069998537</v>
      </c>
      <c r="V793" s="298">
        <f t="shared" si="1690"/>
        <v>1430.8149866351769</v>
      </c>
      <c r="W793" s="298">
        <f t="shared" si="1690"/>
        <v>2841.6260719691727</v>
      </c>
      <c r="X793" s="298">
        <f t="shared" ref="X793" si="1691">X781+X791</f>
        <v>5556.0406463761628</v>
      </c>
      <c r="Y793" s="135" t="s">
        <v>4</v>
      </c>
    </row>
    <row r="794" spans="1:25" ht="15" customHeight="1" outlineLevel="1">
      <c r="Y794" s="135" t="s">
        <v>4</v>
      </c>
    </row>
    <row r="795" spans="1:25" ht="15" customHeight="1">
      <c r="Y795" s="135" t="s">
        <v>4</v>
      </c>
    </row>
    <row r="796" spans="1:25" ht="15" customHeight="1">
      <c r="A796" s="1" t="s">
        <v>4</v>
      </c>
      <c r="B796" s="148" t="s">
        <v>237</v>
      </c>
      <c r="C796" s="149" t="s">
        <v>11</v>
      </c>
      <c r="D796" s="150">
        <v>2011</v>
      </c>
      <c r="E796" s="150">
        <v>2012</v>
      </c>
      <c r="F796" s="150">
        <v>2013</v>
      </c>
      <c r="G796" s="150">
        <v>2014</v>
      </c>
      <c r="H796" s="150">
        <v>2015</v>
      </c>
      <c r="I796" s="150">
        <v>2016</v>
      </c>
      <c r="J796" s="150">
        <v>2017</v>
      </c>
      <c r="K796" s="150">
        <v>2018</v>
      </c>
      <c r="L796" s="150">
        <v>2019</v>
      </c>
      <c r="M796" s="150">
        <v>2020</v>
      </c>
      <c r="N796" s="150">
        <v>2021</v>
      </c>
      <c r="O796" s="150">
        <v>2022</v>
      </c>
      <c r="P796" s="150">
        <v>2023</v>
      </c>
      <c r="Q796" s="150">
        <v>2024</v>
      </c>
      <c r="R796" s="151" t="s">
        <v>23</v>
      </c>
      <c r="S796" s="151" t="s">
        <v>12</v>
      </c>
      <c r="T796" s="151" t="s">
        <v>13</v>
      </c>
      <c r="U796" s="151" t="s">
        <v>14</v>
      </c>
      <c r="V796" s="151" t="s">
        <v>15</v>
      </c>
      <c r="W796" s="152" t="s">
        <v>16</v>
      </c>
      <c r="X796" s="151" t="s">
        <v>17</v>
      </c>
      <c r="Y796" s="135" t="s">
        <v>4</v>
      </c>
    </row>
    <row r="797" spans="1:25" ht="15" customHeight="1" outlineLevel="1">
      <c r="Y797" s="135" t="s">
        <v>4</v>
      </c>
    </row>
    <row r="798" spans="1:25" ht="15" customHeight="1" outlineLevel="1">
      <c r="B798" s="265" t="s">
        <v>238</v>
      </c>
      <c r="C798" s="254" t="s">
        <v>26</v>
      </c>
      <c r="D798" s="307"/>
      <c r="E798" s="307"/>
      <c r="F798" s="307"/>
      <c r="G798" s="222">
        <f t="shared" ref="G798:Q798" si="1692">G695+G698</f>
        <v>10061.6</v>
      </c>
      <c r="H798" s="222">
        <f t="shared" si="1692"/>
        <v>8518.4</v>
      </c>
      <c r="I798" s="222">
        <f t="shared" si="1692"/>
        <v>8504.1</v>
      </c>
      <c r="J798" s="222">
        <f t="shared" si="1692"/>
        <v>11879.1</v>
      </c>
      <c r="K798" s="222">
        <f t="shared" si="1692"/>
        <v>11914</v>
      </c>
      <c r="L798" s="222">
        <f t="shared" si="1692"/>
        <v>11860</v>
      </c>
      <c r="M798" s="222">
        <f t="shared" si="1692"/>
        <v>12508</v>
      </c>
      <c r="N798" s="222">
        <f t="shared" si="1692"/>
        <v>13012</v>
      </c>
      <c r="O798" s="222">
        <f t="shared" si="1692"/>
        <v>12966</v>
      </c>
      <c r="P798" s="222">
        <f t="shared" si="1692"/>
        <v>12955</v>
      </c>
      <c r="Q798" s="222">
        <f t="shared" si="1692"/>
        <v>13677</v>
      </c>
      <c r="R798" s="222">
        <f>R813+R818+R823+R828+R833+R838+R843+R848+R853</f>
        <v>13415</v>
      </c>
      <c r="S798" s="222">
        <f t="shared" ref="S798:W798" si="1693">S813+S818+S823+S828+S833+S838+S843+S848+S853</f>
        <v>10423.739999999998</v>
      </c>
      <c r="T798" s="222">
        <f t="shared" si="1693"/>
        <v>7205.78</v>
      </c>
      <c r="U798" s="222">
        <f t="shared" si="1693"/>
        <v>3836.6749999999997</v>
      </c>
      <c r="V798" s="222">
        <f t="shared" si="1693"/>
        <v>1589.9062499999998</v>
      </c>
      <c r="W798" s="222">
        <f t="shared" si="1693"/>
        <v>-73.295562500000059</v>
      </c>
      <c r="X798" s="222">
        <f t="shared" ref="X798" si="1694">X813+X818+X823+X828+X833+X838+X843+X848+X853</f>
        <v>-69.630284375000059</v>
      </c>
      <c r="Y798" s="135" t="s">
        <v>4</v>
      </c>
    </row>
    <row r="799" spans="1:25" ht="15" customHeight="1" outlineLevel="1">
      <c r="B799" s="204" t="s">
        <v>239</v>
      </c>
      <c r="C799" s="242" t="s">
        <v>26</v>
      </c>
      <c r="D799" s="307"/>
      <c r="E799" s="307"/>
      <c r="F799" s="307"/>
      <c r="G799" s="308" t="s">
        <v>44</v>
      </c>
      <c r="H799" s="309">
        <f t="shared" ref="H799:P799" si="1695">H798-G798</f>
        <v>-1543.2000000000007</v>
      </c>
      <c r="I799" s="309">
        <f t="shared" si="1695"/>
        <v>-14.299999999999272</v>
      </c>
      <c r="J799" s="309">
        <f t="shared" si="1695"/>
        <v>3375</v>
      </c>
      <c r="K799" s="309">
        <f t="shared" si="1695"/>
        <v>34.899999999999636</v>
      </c>
      <c r="L799" s="309">
        <f t="shared" si="1695"/>
        <v>-54</v>
      </c>
      <c r="M799" s="309">
        <f t="shared" si="1695"/>
        <v>648</v>
      </c>
      <c r="N799" s="309">
        <f t="shared" si="1695"/>
        <v>504</v>
      </c>
      <c r="O799" s="309">
        <f t="shared" si="1695"/>
        <v>-46</v>
      </c>
      <c r="P799" s="309">
        <f t="shared" si="1695"/>
        <v>-11</v>
      </c>
      <c r="Q799" s="309">
        <f>Q798-P798</f>
        <v>722</v>
      </c>
      <c r="R799" s="309">
        <f t="shared" ref="R799:W799" si="1696">R798-Q798</f>
        <v>-262</v>
      </c>
      <c r="S799" s="309">
        <f t="shared" si="1696"/>
        <v>-2991.260000000002</v>
      </c>
      <c r="T799" s="309">
        <f t="shared" si="1696"/>
        <v>-3217.9599999999982</v>
      </c>
      <c r="U799" s="309">
        <f t="shared" si="1696"/>
        <v>-3369.105</v>
      </c>
      <c r="V799" s="309">
        <f t="shared" si="1696"/>
        <v>-2246.7687500000002</v>
      </c>
      <c r="W799" s="309">
        <f t="shared" si="1696"/>
        <v>-1663.2018124999997</v>
      </c>
      <c r="X799" s="309">
        <f t="shared" ref="X799" si="1697">X798-W798</f>
        <v>3.6652781250000004</v>
      </c>
      <c r="Y799" s="135" t="s">
        <v>4</v>
      </c>
    </row>
    <row r="800" spans="1:25" ht="15" customHeight="1" outlineLevel="1">
      <c r="D800" s="309"/>
      <c r="E800" s="309"/>
      <c r="F800" s="309"/>
      <c r="G800" s="309"/>
      <c r="H800" s="309"/>
      <c r="I800" s="309"/>
      <c r="J800" s="309"/>
      <c r="K800" s="309"/>
      <c r="L800" s="309"/>
      <c r="M800" s="309"/>
      <c r="N800" s="309"/>
      <c r="O800" s="309"/>
      <c r="P800" s="309"/>
      <c r="Q800" s="309"/>
      <c r="R800" s="309"/>
      <c r="S800" s="309"/>
      <c r="T800" s="309"/>
      <c r="U800" s="309"/>
      <c r="V800" s="309"/>
      <c r="W800" s="309"/>
      <c r="X800" s="309"/>
      <c r="Y800" s="135" t="s">
        <v>4</v>
      </c>
    </row>
    <row r="801" spans="2:25" ht="15" customHeight="1" outlineLevel="1">
      <c r="B801" s="267" t="s">
        <v>240</v>
      </c>
      <c r="C801" s="262" t="s">
        <v>26</v>
      </c>
      <c r="D801" s="307"/>
      <c r="E801" s="307"/>
      <c r="F801" s="307"/>
      <c r="G801" s="310">
        <f t="shared" ref="G801:W801" si="1698">G673</f>
        <v>1887.7</v>
      </c>
      <c r="H801" s="310">
        <f t="shared" si="1698"/>
        <v>757.8</v>
      </c>
      <c r="I801" s="310">
        <f t="shared" si="1698"/>
        <v>1460.4</v>
      </c>
      <c r="J801" s="310">
        <f t="shared" si="1698"/>
        <v>1073.4000000000001</v>
      </c>
      <c r="K801" s="310">
        <f t="shared" si="1698"/>
        <v>913</v>
      </c>
      <c r="L801" s="310">
        <f t="shared" si="1698"/>
        <v>1533</v>
      </c>
      <c r="M801" s="310">
        <f t="shared" si="1698"/>
        <v>1560</v>
      </c>
      <c r="N801" s="310">
        <f t="shared" si="1698"/>
        <v>1087</v>
      </c>
      <c r="O801" s="310">
        <f t="shared" si="1698"/>
        <v>1178</v>
      </c>
      <c r="P801" s="310">
        <f t="shared" si="1698"/>
        <v>1139</v>
      </c>
      <c r="Q801" s="310">
        <f t="shared" si="1698"/>
        <v>1334</v>
      </c>
      <c r="R801" s="310">
        <f t="shared" si="1698"/>
        <v>2538.514977578423</v>
      </c>
      <c r="S801" s="310">
        <f t="shared" si="1698"/>
        <v>127.74394141124048</v>
      </c>
      <c r="T801" s="310">
        <f t="shared" si="1698"/>
        <v>-2076.5286778262489</v>
      </c>
      <c r="U801" s="310">
        <f t="shared" si="1698"/>
        <v>-4147.0589449246727</v>
      </c>
      <c r="V801" s="310">
        <f t="shared" si="1698"/>
        <v>-4773.2188938260197</v>
      </c>
      <c r="W801" s="310">
        <f t="shared" si="1698"/>
        <v>-4373.2717780602734</v>
      </c>
      <c r="X801" s="310">
        <f t="shared" ref="X801" si="1699">X673</f>
        <v>-1780.5861507612208</v>
      </c>
      <c r="Y801" s="135" t="s">
        <v>4</v>
      </c>
    </row>
    <row r="802" spans="2:25" ht="15" customHeight="1" outlineLevel="1">
      <c r="B802" s="267"/>
      <c r="D802" s="309"/>
      <c r="E802" s="309"/>
      <c r="F802" s="309"/>
      <c r="G802" s="309"/>
      <c r="H802" s="309"/>
      <c r="I802" s="309"/>
      <c r="J802" s="309"/>
      <c r="K802" s="309"/>
      <c r="L802" s="309"/>
      <c r="M802" s="309"/>
      <c r="N802" s="309"/>
      <c r="O802" s="309"/>
      <c r="P802" s="309"/>
      <c r="Q802" s="309"/>
      <c r="R802" s="309"/>
      <c r="S802" s="309"/>
      <c r="T802" s="309"/>
      <c r="U802" s="309"/>
      <c r="V802" s="309"/>
      <c r="W802" s="309"/>
      <c r="X802" s="309"/>
      <c r="Y802" s="135" t="s">
        <v>4</v>
      </c>
    </row>
    <row r="803" spans="2:25" ht="15" customHeight="1" outlineLevel="1">
      <c r="B803" s="263" t="s">
        <v>241</v>
      </c>
      <c r="C803" s="262" t="s">
        <v>26</v>
      </c>
      <c r="D803" s="307"/>
      <c r="E803" s="307"/>
      <c r="F803" s="307"/>
      <c r="G803" s="310">
        <f>G798-G801</f>
        <v>8173.9000000000005</v>
      </c>
      <c r="H803" s="310">
        <f t="shared" ref="H803:Q803" si="1700">H798-H801</f>
        <v>7760.5999999999995</v>
      </c>
      <c r="I803" s="310">
        <f t="shared" si="1700"/>
        <v>7043.7000000000007</v>
      </c>
      <c r="J803" s="310">
        <f t="shared" si="1700"/>
        <v>10805.7</v>
      </c>
      <c r="K803" s="310">
        <f t="shared" si="1700"/>
        <v>11001</v>
      </c>
      <c r="L803" s="310">
        <f t="shared" si="1700"/>
        <v>10327</v>
      </c>
      <c r="M803" s="310">
        <f t="shared" si="1700"/>
        <v>10948</v>
      </c>
      <c r="N803" s="310">
        <f t="shared" si="1700"/>
        <v>11925</v>
      </c>
      <c r="O803" s="310">
        <f t="shared" si="1700"/>
        <v>11788</v>
      </c>
      <c r="P803" s="310">
        <f t="shared" si="1700"/>
        <v>11816</v>
      </c>
      <c r="Q803" s="310">
        <f t="shared" si="1700"/>
        <v>12343</v>
      </c>
      <c r="R803" s="310">
        <f t="shared" ref="R803:W803" si="1701">R798-R801</f>
        <v>10876.485022421577</v>
      </c>
      <c r="S803" s="310">
        <f t="shared" si="1701"/>
        <v>10295.996058588757</v>
      </c>
      <c r="T803" s="310">
        <f t="shared" si="1701"/>
        <v>9282.3086778262477</v>
      </c>
      <c r="U803" s="310">
        <f t="shared" si="1701"/>
        <v>7983.733944924672</v>
      </c>
      <c r="V803" s="310">
        <f t="shared" si="1701"/>
        <v>6363.1251438260197</v>
      </c>
      <c r="W803" s="310">
        <f t="shared" si="1701"/>
        <v>4299.976215560273</v>
      </c>
      <c r="X803" s="310">
        <f t="shared" ref="X803" si="1702">X798-X801</f>
        <v>1710.9558663862208</v>
      </c>
      <c r="Y803" s="135" t="s">
        <v>4</v>
      </c>
    </row>
    <row r="804" spans="2:25" ht="15" customHeight="1" outlineLevel="1">
      <c r="B804" s="204" t="s">
        <v>239</v>
      </c>
      <c r="C804" s="242" t="s">
        <v>26</v>
      </c>
      <c r="D804" s="307"/>
      <c r="E804" s="307"/>
      <c r="F804" s="307"/>
      <c r="G804" s="308" t="s">
        <v>44</v>
      </c>
      <c r="H804" s="309">
        <f t="shared" ref="H804" si="1703">H803-G803</f>
        <v>-413.30000000000109</v>
      </c>
      <c r="I804" s="309">
        <f t="shared" ref="I804" si="1704">I803-H803</f>
        <v>-716.89999999999873</v>
      </c>
      <c r="J804" s="309">
        <f t="shared" ref="J804" si="1705">J803-I803</f>
        <v>3762</v>
      </c>
      <c r="K804" s="309">
        <f t="shared" ref="K804" si="1706">K803-J803</f>
        <v>195.29999999999927</v>
      </c>
      <c r="L804" s="309">
        <f t="shared" ref="L804" si="1707">L803-K803</f>
        <v>-674</v>
      </c>
      <c r="M804" s="309">
        <f t="shared" ref="M804" si="1708">M803-L803</f>
        <v>621</v>
      </c>
      <c r="N804" s="309">
        <f t="shared" ref="N804" si="1709">N803-M803</f>
        <v>977</v>
      </c>
      <c r="O804" s="309">
        <f t="shared" ref="O804" si="1710">O803-N803</f>
        <v>-137</v>
      </c>
      <c r="P804" s="309">
        <f t="shared" ref="P804" si="1711">P803-O803</f>
        <v>28</v>
      </c>
      <c r="Q804" s="309">
        <f>Q803-P803</f>
        <v>527</v>
      </c>
      <c r="R804" s="309">
        <f t="shared" ref="R804:W804" si="1712">R803-Q803</f>
        <v>-1466.514977578423</v>
      </c>
      <c r="S804" s="309">
        <f t="shared" si="1712"/>
        <v>-580.48896383282045</v>
      </c>
      <c r="T804" s="309">
        <f t="shared" si="1712"/>
        <v>-1013.6873807625088</v>
      </c>
      <c r="U804" s="309">
        <f t="shared" si="1712"/>
        <v>-1298.5747329015758</v>
      </c>
      <c r="V804" s="309">
        <f t="shared" si="1712"/>
        <v>-1620.6088010986523</v>
      </c>
      <c r="W804" s="309">
        <f t="shared" si="1712"/>
        <v>-2063.1489282657467</v>
      </c>
      <c r="X804" s="309">
        <f t="shared" ref="X804" si="1713">X803-W803</f>
        <v>-2589.0203491740522</v>
      </c>
      <c r="Y804" s="135" t="s">
        <v>4</v>
      </c>
    </row>
    <row r="805" spans="2:25" ht="15" customHeight="1" outlineLevel="1">
      <c r="B805" s="266"/>
      <c r="C805" s="242"/>
      <c r="D805" s="308"/>
      <c r="E805" s="308"/>
      <c r="F805" s="308"/>
      <c r="G805" s="308"/>
      <c r="H805" s="308"/>
      <c r="I805" s="308"/>
      <c r="J805" s="308"/>
      <c r="K805" s="308"/>
      <c r="L805" s="308"/>
      <c r="M805" s="308"/>
      <c r="N805" s="308"/>
      <c r="O805" s="308"/>
      <c r="P805" s="308"/>
      <c r="Q805" s="308"/>
      <c r="R805" s="311"/>
      <c r="S805" s="311"/>
      <c r="T805" s="311"/>
      <c r="U805" s="311"/>
      <c r="V805" s="311"/>
      <c r="W805" s="311"/>
      <c r="X805" s="311"/>
      <c r="Y805" s="135" t="s">
        <v>4</v>
      </c>
    </row>
    <row r="806" spans="2:25" ht="15" customHeight="1" outlineLevel="1">
      <c r="B806" s="265" t="s">
        <v>242</v>
      </c>
      <c r="C806" s="254" t="s">
        <v>39</v>
      </c>
      <c r="D806" s="312"/>
      <c r="E806" s="312"/>
      <c r="F806" s="312"/>
      <c r="G806" s="312"/>
      <c r="H806" s="313">
        <f t="shared" ref="H806:X806" si="1714">H803/H620</f>
        <v>5.1809867147339608</v>
      </c>
      <c r="I806" s="313">
        <f t="shared" si="1714"/>
        <v>3.848595781881762</v>
      </c>
      <c r="J806" s="313">
        <f t="shared" si="1714"/>
        <v>5.1748958383219188</v>
      </c>
      <c r="K806" s="313">
        <f t="shared" si="1714"/>
        <v>5.2085602007480709</v>
      </c>
      <c r="L806" s="313">
        <f t="shared" si="1714"/>
        <v>4.7090743274053803</v>
      </c>
      <c r="M806" s="313">
        <f t="shared" si="1714"/>
        <v>6.2063492063492065</v>
      </c>
      <c r="N806" s="313">
        <f t="shared" si="1714"/>
        <v>5.598591549295775</v>
      </c>
      <c r="O806" s="313">
        <f t="shared" si="1714"/>
        <v>5.367941712204007</v>
      </c>
      <c r="P806" s="313">
        <f t="shared" si="1714"/>
        <v>5.0887166236003445</v>
      </c>
      <c r="Q806" s="313">
        <f t="shared" si="1714"/>
        <v>4.7601234091785578</v>
      </c>
      <c r="R806" s="313">
        <f t="shared" si="1714"/>
        <v>3.9317874974646441</v>
      </c>
      <c r="S806" s="313">
        <f t="shared" si="1714"/>
        <v>3.598993590460057</v>
      </c>
      <c r="T806" s="313">
        <f t="shared" si="1714"/>
        <v>2.8198176759916711</v>
      </c>
      <c r="U806" s="313">
        <f t="shared" si="1714"/>
        <v>2.1839133181108128</v>
      </c>
      <c r="V806" s="313">
        <f t="shared" si="1714"/>
        <v>1.5044034815788592</v>
      </c>
      <c r="W806" s="313">
        <f t="shared" si="1714"/>
        <v>0.85927225407548757</v>
      </c>
      <c r="X806" s="313">
        <f t="shared" si="1714"/>
        <v>0.28322691926198684</v>
      </c>
      <c r="Y806" s="135" t="s">
        <v>4</v>
      </c>
    </row>
    <row r="807" spans="2:25" ht="15" customHeight="1" outlineLevel="1">
      <c r="B807" s="268"/>
      <c r="C807" s="269"/>
      <c r="D807" s="310"/>
      <c r="E807" s="310"/>
      <c r="F807" s="310"/>
      <c r="G807" s="310"/>
      <c r="H807" s="310"/>
      <c r="I807" s="310"/>
      <c r="J807" s="310"/>
      <c r="K807" s="310"/>
      <c r="L807" s="310"/>
      <c r="M807" s="310"/>
      <c r="N807" s="310"/>
      <c r="O807" s="310"/>
      <c r="P807" s="310"/>
      <c r="Q807" s="310"/>
      <c r="R807" s="310"/>
      <c r="S807" s="310"/>
      <c r="T807" s="310"/>
      <c r="U807" s="310"/>
      <c r="V807" s="310"/>
      <c r="W807" s="310"/>
      <c r="X807" s="310"/>
      <c r="Y807" s="135" t="s">
        <v>4</v>
      </c>
    </row>
    <row r="808" spans="2:25" ht="15" customHeight="1" outlineLevel="1">
      <c r="B808" s="265" t="s">
        <v>243</v>
      </c>
      <c r="C808" s="254" t="s">
        <v>39</v>
      </c>
      <c r="D808" s="312"/>
      <c r="E808" s="312"/>
      <c r="F808" s="312"/>
      <c r="G808" s="312"/>
      <c r="H808" s="313">
        <f t="shared" ref="H808:X808" si="1715">H803/H609</f>
        <v>4.6571051368218912</v>
      </c>
      <c r="I808" s="313">
        <f t="shared" si="1715"/>
        <v>3.7295880546436515</v>
      </c>
      <c r="J808" s="313">
        <f t="shared" si="1715"/>
        <v>5.0376223776223767</v>
      </c>
      <c r="K808" s="313">
        <f t="shared" si="1715"/>
        <v>4.9731024818046201</v>
      </c>
      <c r="L808" s="313">
        <f t="shared" si="1715"/>
        <v>4.4822048611111107</v>
      </c>
      <c r="M808" s="313">
        <f t="shared" si="1715"/>
        <v>5.8733905579399144</v>
      </c>
      <c r="N808" s="313">
        <f t="shared" si="1715"/>
        <v>5.3047153024911031</v>
      </c>
      <c r="O808" s="313">
        <f t="shared" si="1715"/>
        <v>4.9571068124474351</v>
      </c>
      <c r="P808" s="313">
        <f t="shared" si="1715"/>
        <v>4.6264682850430701</v>
      </c>
      <c r="Q808" s="313">
        <f t="shared" si="1715"/>
        <v>4.431956912028725</v>
      </c>
      <c r="R808" s="313">
        <f t="shared" si="1715"/>
        <v>3.5804019917648278</v>
      </c>
      <c r="S808" s="313">
        <f t="shared" si="1715"/>
        <v>3.3164010817336047</v>
      </c>
      <c r="T808" s="313">
        <f t="shared" si="1715"/>
        <v>2.5893852651958769</v>
      </c>
      <c r="U808" s="313">
        <f t="shared" si="1715"/>
        <v>2.0024256938101979</v>
      </c>
      <c r="V808" s="313">
        <f t="shared" si="1715"/>
        <v>1.3806747995544504</v>
      </c>
      <c r="W808" s="313">
        <f t="shared" si="1715"/>
        <v>0.78991782208983896</v>
      </c>
      <c r="X808" s="313">
        <f t="shared" si="1715"/>
        <v>0.26090227220100948</v>
      </c>
      <c r="Y808" s="135" t="s">
        <v>4</v>
      </c>
    </row>
    <row r="809" spans="2:25" ht="15" customHeight="1" outlineLevel="1">
      <c r="B809" s="268"/>
      <c r="C809" s="269"/>
      <c r="D809" s="310"/>
      <c r="E809" s="310"/>
      <c r="F809" s="310"/>
      <c r="G809" s="310"/>
      <c r="H809" s="310"/>
      <c r="I809" s="310"/>
      <c r="J809" s="310"/>
      <c r="K809" s="310"/>
      <c r="L809" s="310"/>
      <c r="M809" s="310"/>
      <c r="N809" s="310"/>
      <c r="O809" s="310"/>
      <c r="P809" s="310"/>
      <c r="Q809" s="310"/>
      <c r="R809" s="310"/>
      <c r="S809" s="310"/>
      <c r="T809" s="310"/>
      <c r="U809" s="310"/>
      <c r="V809" s="310"/>
      <c r="W809" s="310"/>
      <c r="X809" s="310"/>
      <c r="Y809" s="135" t="s">
        <v>4</v>
      </c>
    </row>
    <row r="810" spans="2:25" ht="15" customHeight="1" outlineLevel="1">
      <c r="B810" s="278" t="s">
        <v>244</v>
      </c>
      <c r="C810" s="279" t="s">
        <v>26</v>
      </c>
      <c r="D810" s="88"/>
      <c r="E810" s="88"/>
      <c r="F810" s="88"/>
      <c r="G810" s="88"/>
      <c r="H810" s="88"/>
      <c r="I810" s="88"/>
      <c r="J810" s="88"/>
      <c r="K810" s="88"/>
      <c r="L810" s="88"/>
      <c r="M810" s="88"/>
      <c r="N810" s="88"/>
      <c r="O810" s="88"/>
      <c r="P810" s="88"/>
      <c r="Q810" s="88"/>
      <c r="R810" s="314">
        <f>R816+R821+R826+R831+R836+R841+R846+R851</f>
        <v>683.50091204819273</v>
      </c>
      <c r="S810" s="314">
        <f t="shared" ref="S810:W810" si="1716">S816+S821+S826+S831+S836+S841+S846+S851</f>
        <v>487.3599815</v>
      </c>
      <c r="T810" s="314">
        <f t="shared" si="1716"/>
        <v>335.9392489999999</v>
      </c>
      <c r="U810" s="314">
        <f t="shared" si="1716"/>
        <v>184.37835299999998</v>
      </c>
      <c r="V810" s="314">
        <f t="shared" si="1716"/>
        <v>76.673540999999986</v>
      </c>
      <c r="W810" s="314">
        <f t="shared" si="1716"/>
        <v>4.20999999997224E-4</v>
      </c>
      <c r="X810" s="314">
        <f t="shared" ref="X810" si="1717">X816+X821+X826+X831+X836+X841+X846+X851</f>
        <v>4.20999999997224E-4</v>
      </c>
      <c r="Y810" s="135" t="s">
        <v>4</v>
      </c>
    </row>
    <row r="811" spans="2:25" ht="15" customHeight="1" outlineLevel="1">
      <c r="B811" s="292" t="s">
        <v>245</v>
      </c>
      <c r="C811" s="269" t="s">
        <v>21</v>
      </c>
      <c r="D811" s="453"/>
      <c r="E811" s="453"/>
      <c r="F811" s="453"/>
      <c r="G811" s="453"/>
      <c r="H811" s="453"/>
      <c r="I811" s="453"/>
      <c r="J811" s="453"/>
      <c r="K811" s="453"/>
      <c r="L811" s="453"/>
      <c r="M811" s="453"/>
      <c r="N811" s="453"/>
      <c r="O811" s="453"/>
      <c r="P811" s="453"/>
      <c r="Q811" s="453"/>
      <c r="R811" s="308">
        <f>R810/R798</f>
        <v>5.095049661186677E-2</v>
      </c>
      <c r="S811" s="308">
        <f t="shared" ref="S811:W811" si="1718">S810/S798</f>
        <v>4.6754809837927666E-2</v>
      </c>
      <c r="T811" s="308">
        <f t="shared" si="1718"/>
        <v>4.6620802883240942E-2</v>
      </c>
      <c r="U811" s="308">
        <f t="shared" si="1718"/>
        <v>4.805680778278066E-2</v>
      </c>
      <c r="V811" s="308">
        <f t="shared" si="1718"/>
        <v>4.8225196296951468E-2</v>
      </c>
      <c r="W811" s="308">
        <f t="shared" si="1718"/>
        <v>-5.7438675089944722E-6</v>
      </c>
      <c r="X811" s="308">
        <f t="shared" ref="X811" si="1719">X810/X798</f>
        <v>-6.0462197415407816E-6</v>
      </c>
      <c r="Y811" s="135" t="s">
        <v>4</v>
      </c>
    </row>
    <row r="812" spans="2:25" ht="15" customHeight="1" outlineLevel="2">
      <c r="B812" s="268"/>
      <c r="C812" s="269"/>
      <c r="D812" s="310"/>
      <c r="E812" s="310"/>
      <c r="F812" s="310"/>
      <c r="G812" s="310"/>
      <c r="H812" s="310"/>
      <c r="I812" s="310"/>
      <c r="J812" s="310"/>
      <c r="K812" s="310"/>
      <c r="L812" s="310"/>
      <c r="M812" s="310"/>
      <c r="N812" s="310"/>
      <c r="O812" s="310"/>
      <c r="P812" s="310"/>
      <c r="Q812" s="310"/>
      <c r="R812" s="310"/>
      <c r="S812" s="310"/>
      <c r="T812" s="310"/>
      <c r="U812" s="310"/>
      <c r="V812" s="310"/>
      <c r="W812" s="310"/>
      <c r="X812" s="310"/>
      <c r="Y812" s="135" t="s">
        <v>4</v>
      </c>
    </row>
    <row r="813" spans="2:25" ht="15" customHeight="1" outlineLevel="2">
      <c r="B813" s="240" t="s">
        <v>246</v>
      </c>
      <c r="C813" s="241" t="s">
        <v>26</v>
      </c>
      <c r="D813" s="44"/>
      <c r="E813" s="44"/>
      <c r="F813" s="44"/>
      <c r="G813" s="44"/>
      <c r="H813" s="44"/>
      <c r="I813" s="44"/>
      <c r="J813" s="44"/>
      <c r="K813" s="44"/>
      <c r="L813" s="44"/>
      <c r="M813" s="44"/>
      <c r="N813" s="44"/>
      <c r="O813" s="44"/>
      <c r="P813" s="44"/>
      <c r="Q813" s="44"/>
      <c r="R813" s="315">
        <v>4691</v>
      </c>
      <c r="S813" s="598">
        <f>R813-841.02</f>
        <v>3849.98</v>
      </c>
      <c r="T813" s="598">
        <f>S813-887.02</f>
        <v>2962.96</v>
      </c>
      <c r="U813" s="598">
        <f>T813-935.54</f>
        <v>2027.42</v>
      </c>
      <c r="V813" s="661">
        <f>U813-986.72</f>
        <v>1040.7</v>
      </c>
      <c r="W813" s="598">
        <v>0</v>
      </c>
      <c r="X813" s="598">
        <f>W813</f>
        <v>0</v>
      </c>
      <c r="Y813" s="135" t="s">
        <v>4</v>
      </c>
    </row>
    <row r="814" spans="2:25" ht="15" customHeight="1" outlineLevel="2">
      <c r="B814" s="276" t="s">
        <v>247</v>
      </c>
      <c r="C814" s="52" t="s">
        <v>21</v>
      </c>
      <c r="D814" s="4"/>
      <c r="E814" s="4"/>
      <c r="F814" s="4"/>
      <c r="G814" s="4"/>
      <c r="H814" s="4"/>
      <c r="I814" s="4"/>
      <c r="J814" s="4"/>
      <c r="K814" s="4"/>
      <c r="L814" s="4"/>
      <c r="M814" s="4"/>
      <c r="N814" s="4"/>
      <c r="O814" s="4"/>
      <c r="P814" s="4"/>
      <c r="Q814" s="4"/>
      <c r="R814" s="599">
        <f t="shared" ref="R814:W814" si="1720">R813/R$798</f>
        <v>0.34968319045844204</v>
      </c>
      <c r="S814" s="599">
        <f t="shared" si="1720"/>
        <v>0.36934727842405901</v>
      </c>
      <c r="T814" s="599">
        <f t="shared" si="1720"/>
        <v>0.4111921263208147</v>
      </c>
      <c r="U814" s="599">
        <f t="shared" si="1720"/>
        <v>0.52843151947975797</v>
      </c>
      <c r="V814" s="599">
        <f t="shared" si="1720"/>
        <v>0.65456689663305634</v>
      </c>
      <c r="W814" s="599">
        <f t="shared" si="1720"/>
        <v>0</v>
      </c>
      <c r="X814" s="599">
        <f t="shared" ref="X814" si="1721">X813/X$798</f>
        <v>0</v>
      </c>
      <c r="Y814" s="135" t="s">
        <v>4</v>
      </c>
    </row>
    <row r="815" spans="2:25" ht="15" customHeight="1" outlineLevel="2">
      <c r="B815" s="276" t="s">
        <v>248</v>
      </c>
      <c r="C815" s="52" t="s">
        <v>21</v>
      </c>
      <c r="D815" s="4"/>
      <c r="E815" s="4"/>
      <c r="F815" s="4"/>
      <c r="G815" s="4"/>
      <c r="H815" s="4"/>
      <c r="I815" s="4"/>
      <c r="J815" s="4"/>
      <c r="K815" s="4"/>
      <c r="L815" s="4"/>
      <c r="M815" s="4"/>
      <c r="N815" s="4"/>
      <c r="O815" s="4"/>
      <c r="P815" s="4"/>
      <c r="Q815" s="4"/>
      <c r="R815" s="600">
        <f>R$16+1.75%</f>
        <v>5.9934939759036132E-2</v>
      </c>
      <c r="S815" s="600">
        <f>S$16+1.75%</f>
        <v>5.0525E-2</v>
      </c>
      <c r="T815" s="600">
        <f t="shared" ref="T815:X815" si="1722">T$16+1.75%</f>
        <v>4.9225000000000005E-2</v>
      </c>
      <c r="U815" s="600">
        <f t="shared" si="1722"/>
        <v>4.9599999999999998E-2</v>
      </c>
      <c r="V815" s="600">
        <f t="shared" si="1722"/>
        <v>4.9599999999999998E-2</v>
      </c>
      <c r="W815" s="600">
        <f t="shared" si="1722"/>
        <v>4.9599999999999998E-2</v>
      </c>
      <c r="X815" s="600">
        <f t="shared" si="1722"/>
        <v>4.9599999999999998E-2</v>
      </c>
      <c r="Y815" s="135" t="s">
        <v>4</v>
      </c>
    </row>
    <row r="816" spans="2:25" ht="15" customHeight="1" outlineLevel="2">
      <c r="B816" s="276" t="s">
        <v>249</v>
      </c>
      <c r="C816" s="52" t="s">
        <v>26</v>
      </c>
      <c r="D816" s="4"/>
      <c r="E816" s="4"/>
      <c r="F816" s="4"/>
      <c r="G816" s="4"/>
      <c r="H816" s="4"/>
      <c r="I816" s="4"/>
      <c r="J816" s="4"/>
      <c r="K816" s="4"/>
      <c r="L816" s="4"/>
      <c r="M816" s="4"/>
      <c r="N816" s="4"/>
      <c r="O816" s="4"/>
      <c r="P816" s="4"/>
      <c r="Q816" s="4"/>
      <c r="R816" s="601">
        <f>R813*R815</f>
        <v>281.15480240963848</v>
      </c>
      <c r="S816" s="601">
        <f t="shared" ref="S816:W816" si="1723">S813*S815</f>
        <v>194.5202395</v>
      </c>
      <c r="T816" s="601">
        <f t="shared" si="1723"/>
        <v>145.85170600000001</v>
      </c>
      <c r="U816" s="601">
        <f t="shared" si="1723"/>
        <v>100.56003200000001</v>
      </c>
      <c r="V816" s="601">
        <f t="shared" si="1723"/>
        <v>51.618720000000003</v>
      </c>
      <c r="W816" s="601">
        <f t="shared" si="1723"/>
        <v>0</v>
      </c>
      <c r="X816" s="601">
        <f t="shared" ref="X816" si="1724">X813*X815</f>
        <v>0</v>
      </c>
      <c r="Y816" s="135" t="s">
        <v>4</v>
      </c>
    </row>
    <row r="817" spans="2:25" ht="15" customHeight="1" outlineLevel="2">
      <c r="B817" s="270"/>
      <c r="C817" s="52"/>
      <c r="D817" s="42"/>
      <c r="E817" s="42"/>
      <c r="F817" s="42"/>
      <c r="G817" s="42"/>
      <c r="H817" s="42"/>
      <c r="I817" s="42"/>
      <c r="J817" s="42"/>
      <c r="K817" s="42"/>
      <c r="L817" s="42"/>
      <c r="M817" s="42"/>
      <c r="N817" s="42"/>
      <c r="O817" s="42"/>
      <c r="P817" s="42"/>
      <c r="Q817" s="42"/>
      <c r="R817" s="42"/>
      <c r="S817" s="42"/>
      <c r="T817" s="42"/>
      <c r="U817" s="42"/>
      <c r="V817" s="42"/>
      <c r="W817" s="42"/>
      <c r="X817" s="42"/>
      <c r="Y817" s="135" t="s">
        <v>4</v>
      </c>
    </row>
    <row r="818" spans="2:25" ht="15" customHeight="1" outlineLevel="2">
      <c r="B818" s="271" t="s">
        <v>250</v>
      </c>
      <c r="C818" s="272" t="s">
        <v>26</v>
      </c>
      <c r="D818" s="4"/>
      <c r="E818" s="4"/>
      <c r="F818" s="4"/>
      <c r="G818" s="4"/>
      <c r="H818" s="4"/>
      <c r="I818" s="4"/>
      <c r="J818" s="4"/>
      <c r="K818" s="4"/>
      <c r="L818" s="4"/>
      <c r="M818" s="4"/>
      <c r="N818" s="4"/>
      <c r="O818" s="4"/>
      <c r="P818" s="4"/>
      <c r="Q818" s="4"/>
      <c r="R818" s="317">
        <v>1251</v>
      </c>
      <c r="S818" s="602">
        <f>R818-397.92</f>
        <v>853.07999999999993</v>
      </c>
      <c r="T818" s="602">
        <f>S818-416.7</f>
        <v>436.37999999999994</v>
      </c>
      <c r="U818" s="602">
        <f>T818-436.37</f>
        <v>9.9999999999340616E-3</v>
      </c>
      <c r="V818" s="602">
        <f>U818</f>
        <v>9.9999999999340616E-3</v>
      </c>
      <c r="W818" s="602">
        <f t="shared" ref="W818" si="1725">V818</f>
        <v>9.9999999999340616E-3</v>
      </c>
      <c r="X818" s="602">
        <f t="shared" ref="X818" si="1726">W818</f>
        <v>9.9999999999340616E-3</v>
      </c>
      <c r="Y818" s="135" t="s">
        <v>4</v>
      </c>
    </row>
    <row r="819" spans="2:25" ht="15" customHeight="1" outlineLevel="2">
      <c r="B819" s="276" t="s">
        <v>247</v>
      </c>
      <c r="C819" s="52" t="s">
        <v>21</v>
      </c>
      <c r="D819" s="4"/>
      <c r="E819" s="4"/>
      <c r="F819" s="4"/>
      <c r="G819" s="4"/>
      <c r="H819" s="4"/>
      <c r="I819" s="4"/>
      <c r="J819" s="4"/>
      <c r="K819" s="4"/>
      <c r="L819" s="4"/>
      <c r="M819" s="4"/>
      <c r="N819" s="4"/>
      <c r="O819" s="4"/>
      <c r="P819" s="4"/>
      <c r="Q819" s="4"/>
      <c r="R819" s="599">
        <f>R818/R$798</f>
        <v>9.325382035035408E-2</v>
      </c>
      <c r="S819" s="599">
        <f t="shared" ref="S819" si="1727">S818/S$798</f>
        <v>8.1840107293543407E-2</v>
      </c>
      <c r="T819" s="599">
        <f t="shared" ref="T819" si="1728">T818/T$798</f>
        <v>6.0559717338025856E-2</v>
      </c>
      <c r="U819" s="599">
        <f t="shared" ref="U819" si="1729">U818/U$798</f>
        <v>2.60642353077445E-6</v>
      </c>
      <c r="V819" s="599">
        <f t="shared" ref="V819" si="1730">V818/V$798</f>
        <v>6.2896790297755376E-6</v>
      </c>
      <c r="W819" s="599">
        <f t="shared" ref="W819:X819" si="1731">W818/W$798</f>
        <v>-1.3643390757706584E-4</v>
      </c>
      <c r="X819" s="599">
        <f t="shared" si="1731"/>
        <v>-1.4361567082044613E-4</v>
      </c>
      <c r="Y819" s="135" t="s">
        <v>4</v>
      </c>
    </row>
    <row r="820" spans="2:25" ht="15" customHeight="1" outlineLevel="2">
      <c r="B820" s="276" t="s">
        <v>248</v>
      </c>
      <c r="C820" s="52" t="s">
        <v>21</v>
      </c>
      <c r="D820" s="4"/>
      <c r="E820" s="4"/>
      <c r="F820" s="4"/>
      <c r="G820" s="4"/>
      <c r="H820" s="4"/>
      <c r="I820" s="4"/>
      <c r="J820" s="4"/>
      <c r="K820" s="4"/>
      <c r="L820" s="4"/>
      <c r="M820" s="4"/>
      <c r="N820" s="4"/>
      <c r="O820" s="4"/>
      <c r="P820" s="4"/>
      <c r="Q820" s="4"/>
      <c r="R820" s="600">
        <f>R$16+1%</f>
        <v>5.2434939759036132E-2</v>
      </c>
      <c r="S820" s="600">
        <f t="shared" ref="S820:X820" si="1732">S$16+1%</f>
        <v>4.3025000000000001E-2</v>
      </c>
      <c r="T820" s="600">
        <f t="shared" si="1732"/>
        <v>4.1725000000000005E-2</v>
      </c>
      <c r="U820" s="600">
        <f t="shared" si="1732"/>
        <v>4.2099999999999999E-2</v>
      </c>
      <c r="V820" s="600">
        <f t="shared" si="1732"/>
        <v>4.2099999999999999E-2</v>
      </c>
      <c r="W820" s="600">
        <f t="shared" si="1732"/>
        <v>4.2099999999999999E-2</v>
      </c>
      <c r="X820" s="600">
        <f t="shared" si="1732"/>
        <v>4.2099999999999999E-2</v>
      </c>
      <c r="Y820" s="135" t="s">
        <v>4</v>
      </c>
    </row>
    <row r="821" spans="2:25" ht="15" customHeight="1" outlineLevel="2">
      <c r="B821" s="276" t="s">
        <v>249</v>
      </c>
      <c r="C821" s="52" t="s">
        <v>26</v>
      </c>
      <c r="D821" s="4"/>
      <c r="E821" s="4"/>
      <c r="F821" s="4"/>
      <c r="G821" s="4"/>
      <c r="H821" s="4"/>
      <c r="I821" s="4"/>
      <c r="J821" s="4"/>
      <c r="K821" s="4"/>
      <c r="L821" s="4"/>
      <c r="M821" s="4"/>
      <c r="N821" s="4"/>
      <c r="O821" s="4"/>
      <c r="P821" s="4"/>
      <c r="Q821" s="4"/>
      <c r="R821" s="601">
        <f>R818*R820</f>
        <v>65.596109638554196</v>
      </c>
      <c r="S821" s="601">
        <f t="shared" ref="S821" si="1733">S818*S820</f>
        <v>36.703766999999999</v>
      </c>
      <c r="T821" s="601">
        <f t="shared" ref="T821" si="1734">T818*T820</f>
        <v>18.207955500000001</v>
      </c>
      <c r="U821" s="601">
        <f t="shared" ref="U821" si="1735">U818*U820</f>
        <v>4.20999999997224E-4</v>
      </c>
      <c r="V821" s="601">
        <f t="shared" ref="V821" si="1736">V818*V820</f>
        <v>4.20999999997224E-4</v>
      </c>
      <c r="W821" s="601">
        <f t="shared" ref="W821:X821" si="1737">W818*W820</f>
        <v>4.20999999997224E-4</v>
      </c>
      <c r="X821" s="601">
        <f t="shared" si="1737"/>
        <v>4.20999999997224E-4</v>
      </c>
      <c r="Y821" s="135" t="s">
        <v>4</v>
      </c>
    </row>
    <row r="822" spans="2:25" ht="15" customHeight="1" outlineLevel="2">
      <c r="B822" s="268"/>
      <c r="C822" s="269"/>
      <c r="D822" s="42"/>
      <c r="E822" s="42"/>
      <c r="F822" s="42"/>
      <c r="G822" s="42"/>
      <c r="H822" s="42"/>
      <c r="I822" s="42"/>
      <c r="J822" s="42"/>
      <c r="K822" s="42"/>
      <c r="L822" s="42"/>
      <c r="M822" s="42"/>
      <c r="N822" s="42"/>
      <c r="O822" s="42"/>
      <c r="P822" s="42"/>
      <c r="Q822" s="42"/>
      <c r="R822" s="42"/>
      <c r="S822" s="42"/>
      <c r="T822" s="42"/>
      <c r="U822" s="42"/>
      <c r="V822" s="42"/>
      <c r="W822" s="42"/>
      <c r="X822" s="42"/>
      <c r="Y822" s="135" t="s">
        <v>4</v>
      </c>
    </row>
    <row r="823" spans="2:25" ht="15" customHeight="1" outlineLevel="2">
      <c r="B823" s="271" t="s">
        <v>251</v>
      </c>
      <c r="C823" s="272" t="s">
        <v>26</v>
      </c>
      <c r="D823" s="4"/>
      <c r="E823" s="4"/>
      <c r="F823" s="4"/>
      <c r="G823" s="4"/>
      <c r="H823" s="4"/>
      <c r="I823" s="4"/>
      <c r="J823" s="4"/>
      <c r="K823" s="4"/>
      <c r="L823" s="4"/>
      <c r="M823" s="4"/>
      <c r="N823" s="4"/>
      <c r="O823" s="4"/>
      <c r="P823" s="4"/>
      <c r="Q823" s="4"/>
      <c r="R823" s="317">
        <v>1550</v>
      </c>
      <c r="S823" s="602">
        <f>R823-499.59</f>
        <v>1050.4100000000001</v>
      </c>
      <c r="T823" s="602">
        <f>S823-516.58</f>
        <v>533.83000000000004</v>
      </c>
      <c r="U823" s="602">
        <v>0</v>
      </c>
      <c r="V823" s="602">
        <f t="shared" ref="V823:W823" si="1738">U823</f>
        <v>0</v>
      </c>
      <c r="W823" s="602">
        <f t="shared" si="1738"/>
        <v>0</v>
      </c>
      <c r="X823" s="602">
        <f t="shared" ref="X823" si="1739">W823</f>
        <v>0</v>
      </c>
      <c r="Y823" s="135" t="s">
        <v>4</v>
      </c>
    </row>
    <row r="824" spans="2:25" ht="15" customHeight="1" outlineLevel="2">
      <c r="B824" s="276" t="s">
        <v>247</v>
      </c>
      <c r="C824" s="52" t="s">
        <v>21</v>
      </c>
      <c r="D824" s="4"/>
      <c r="E824" s="4"/>
      <c r="F824" s="4"/>
      <c r="G824" s="4"/>
      <c r="H824" s="4"/>
      <c r="I824" s="4"/>
      <c r="J824" s="4"/>
      <c r="K824" s="4"/>
      <c r="L824" s="4"/>
      <c r="M824" s="4"/>
      <c r="N824" s="4"/>
      <c r="O824" s="4"/>
      <c r="P824" s="4"/>
      <c r="Q824" s="4"/>
      <c r="R824" s="599">
        <f>R823/R$798</f>
        <v>0.11554230339172568</v>
      </c>
      <c r="S824" s="599">
        <f t="shared" ref="S824" si="1740">S823/S$798</f>
        <v>0.10077093250599116</v>
      </c>
      <c r="T824" s="599">
        <f t="shared" ref="T824" si="1741">T823/T$798</f>
        <v>7.4083582901504075E-2</v>
      </c>
      <c r="U824" s="599">
        <f t="shared" ref="U824" si="1742">U823/U$798</f>
        <v>0</v>
      </c>
      <c r="V824" s="599">
        <f t="shared" ref="V824" si="1743">V823/V$798</f>
        <v>0</v>
      </c>
      <c r="W824" s="599">
        <f t="shared" ref="W824:X824" si="1744">W823/W$798</f>
        <v>0</v>
      </c>
      <c r="X824" s="599">
        <f t="shared" si="1744"/>
        <v>0</v>
      </c>
      <c r="Y824" s="135" t="s">
        <v>4</v>
      </c>
    </row>
    <row r="825" spans="2:25" ht="15" customHeight="1" outlineLevel="2">
      <c r="B825" s="276" t="s">
        <v>248</v>
      </c>
      <c r="C825" s="52" t="s">
        <v>21</v>
      </c>
      <c r="D825" s="4"/>
      <c r="E825" s="4"/>
      <c r="F825" s="4"/>
      <c r="G825" s="4"/>
      <c r="H825" s="4"/>
      <c r="I825" s="4"/>
      <c r="J825" s="4"/>
      <c r="K825" s="4"/>
      <c r="L825" s="4"/>
      <c r="M825" s="4"/>
      <c r="N825" s="4"/>
      <c r="O825" s="4"/>
      <c r="P825" s="4"/>
      <c r="Q825" s="4"/>
      <c r="R825" s="316">
        <v>3.875E-2</v>
      </c>
      <c r="S825" s="316">
        <v>3.875E-2</v>
      </c>
      <c r="T825" s="316">
        <v>3.875E-2</v>
      </c>
      <c r="U825" s="316">
        <v>3.875E-2</v>
      </c>
      <c r="V825" s="316">
        <v>3.875E-2</v>
      </c>
      <c r="W825" s="316">
        <v>3.875E-2</v>
      </c>
      <c r="X825" s="316">
        <v>3.875E-2</v>
      </c>
      <c r="Y825" s="135" t="s">
        <v>4</v>
      </c>
    </row>
    <row r="826" spans="2:25" ht="15" customHeight="1" outlineLevel="2">
      <c r="B826" s="276" t="s">
        <v>249</v>
      </c>
      <c r="C826" s="52" t="s">
        <v>26</v>
      </c>
      <c r="D826" s="4"/>
      <c r="E826" s="4"/>
      <c r="F826" s="4"/>
      <c r="G826" s="4"/>
      <c r="H826" s="4"/>
      <c r="I826" s="4"/>
      <c r="J826" s="4"/>
      <c r="K826" s="4"/>
      <c r="L826" s="4"/>
      <c r="M826" s="4"/>
      <c r="N826" s="4"/>
      <c r="O826" s="4"/>
      <c r="P826" s="4"/>
      <c r="Q826" s="4"/>
      <c r="R826" s="601">
        <f>R823*R825</f>
        <v>60.0625</v>
      </c>
      <c r="S826" s="601">
        <f t="shared" ref="S826" si="1745">S823*S825</f>
        <v>40.703387500000005</v>
      </c>
      <c r="T826" s="601">
        <f t="shared" ref="T826" si="1746">T823*T825</f>
        <v>20.685912500000001</v>
      </c>
      <c r="U826" s="601">
        <f t="shared" ref="U826" si="1747">U823*U825</f>
        <v>0</v>
      </c>
      <c r="V826" s="601">
        <f t="shared" ref="V826" si="1748">V823*V825</f>
        <v>0</v>
      </c>
      <c r="W826" s="601">
        <f t="shared" ref="W826:X826" si="1749">W823*W825</f>
        <v>0</v>
      </c>
      <c r="X826" s="601">
        <f t="shared" si="1749"/>
        <v>0</v>
      </c>
      <c r="Y826" s="135" t="s">
        <v>4</v>
      </c>
    </row>
    <row r="827" spans="2:25" ht="15" customHeight="1" outlineLevel="2">
      <c r="B827" s="268"/>
      <c r="C827" s="269"/>
      <c r="D827" s="42"/>
      <c r="E827" s="42"/>
      <c r="F827" s="42"/>
      <c r="G827" s="42"/>
      <c r="H827" s="42"/>
      <c r="I827" s="42"/>
      <c r="J827" s="42"/>
      <c r="K827" s="42"/>
      <c r="L827" s="42"/>
      <c r="M827" s="42"/>
      <c r="N827" s="42"/>
      <c r="O827" s="42"/>
      <c r="P827" s="42"/>
      <c r="Q827" s="42"/>
      <c r="R827" s="42"/>
      <c r="S827" s="42"/>
      <c r="T827" s="42"/>
      <c r="U827" s="42"/>
      <c r="V827" s="42"/>
      <c r="W827" s="42"/>
      <c r="X827" s="42"/>
      <c r="Y827" s="135" t="s">
        <v>4</v>
      </c>
    </row>
    <row r="828" spans="2:25" ht="15" customHeight="1" outlineLevel="2">
      <c r="B828" s="271" t="s">
        <v>252</v>
      </c>
      <c r="C828" s="272" t="s">
        <v>26</v>
      </c>
      <c r="D828" s="4"/>
      <c r="E828" s="4"/>
      <c r="F828" s="4"/>
      <c r="G828" s="4"/>
      <c r="H828" s="4"/>
      <c r="I828" s="4"/>
      <c r="J828" s="4"/>
      <c r="K828" s="4"/>
      <c r="L828" s="4"/>
      <c r="M828" s="4"/>
      <c r="N828" s="4"/>
      <c r="O828" s="4"/>
      <c r="P828" s="4"/>
      <c r="Q828" s="4"/>
      <c r="R828" s="317">
        <v>750</v>
      </c>
      <c r="S828" s="602">
        <f>R828-239.36</f>
        <v>510.64</v>
      </c>
      <c r="T828" s="602">
        <f>S828-249.85</f>
        <v>260.78999999999996</v>
      </c>
      <c r="U828" s="602">
        <v>0</v>
      </c>
      <c r="V828" s="602">
        <f>U828</f>
        <v>0</v>
      </c>
      <c r="W828" s="602">
        <f t="shared" ref="W828" si="1750">V828</f>
        <v>0</v>
      </c>
      <c r="X828" s="602">
        <f t="shared" ref="X828" si="1751">W828</f>
        <v>0</v>
      </c>
      <c r="Y828" s="135" t="s">
        <v>4</v>
      </c>
    </row>
    <row r="829" spans="2:25" ht="15" customHeight="1" outlineLevel="2">
      <c r="B829" s="276" t="s">
        <v>247</v>
      </c>
      <c r="C829" s="52" t="s">
        <v>21</v>
      </c>
      <c r="D829" s="4"/>
      <c r="E829" s="4"/>
      <c r="F829" s="4"/>
      <c r="G829" s="4"/>
      <c r="H829" s="4"/>
      <c r="I829" s="4"/>
      <c r="J829" s="4"/>
      <c r="K829" s="4"/>
      <c r="L829" s="4"/>
      <c r="M829" s="4"/>
      <c r="N829" s="4"/>
      <c r="O829" s="4"/>
      <c r="P829" s="4"/>
      <c r="Q829" s="95"/>
      <c r="R829" s="599">
        <f>R828/R$798</f>
        <v>5.590756615728662E-2</v>
      </c>
      <c r="S829" s="599">
        <f t="shared" ref="S829" si="1752">S828/S$798</f>
        <v>4.8988175069600744E-2</v>
      </c>
      <c r="T829" s="599">
        <f t="shared" ref="T829" si="1753">T828/T$798</f>
        <v>3.6191779377111148E-2</v>
      </c>
      <c r="U829" s="599">
        <f t="shared" ref="U829" si="1754">U828/U$798</f>
        <v>0</v>
      </c>
      <c r="V829" s="599">
        <f t="shared" ref="V829" si="1755">V828/V$798</f>
        <v>0</v>
      </c>
      <c r="W829" s="599">
        <f t="shared" ref="W829:X829" si="1756">W828/W$798</f>
        <v>0</v>
      </c>
      <c r="X829" s="599">
        <f t="shared" si="1756"/>
        <v>0</v>
      </c>
      <c r="Y829" s="135" t="s">
        <v>4</v>
      </c>
    </row>
    <row r="830" spans="2:25" ht="15" customHeight="1" outlineLevel="2">
      <c r="B830" s="276" t="s">
        <v>248</v>
      </c>
      <c r="C830" s="52" t="s">
        <v>21</v>
      </c>
      <c r="D830" s="4"/>
      <c r="E830" s="4"/>
      <c r="F830" s="4"/>
      <c r="G830" s="4"/>
      <c r="H830" s="4"/>
      <c r="I830" s="4"/>
      <c r="J830" s="4"/>
      <c r="K830" s="4"/>
      <c r="L830" s="4"/>
      <c r="M830" s="4"/>
      <c r="N830" s="4"/>
      <c r="O830" s="4"/>
      <c r="P830" s="4"/>
      <c r="Q830" s="4"/>
      <c r="R830" s="316">
        <v>4.3749999999999997E-2</v>
      </c>
      <c r="S830" s="316">
        <v>4.3749999999999997E-2</v>
      </c>
      <c r="T830" s="316">
        <v>4.3749999999999997E-2</v>
      </c>
      <c r="U830" s="316">
        <v>4.3749999999999997E-2</v>
      </c>
      <c r="V830" s="316">
        <v>4.3749999999999997E-2</v>
      </c>
      <c r="W830" s="316">
        <v>4.3749999999999997E-2</v>
      </c>
      <c r="X830" s="316">
        <v>4.3749999999999997E-2</v>
      </c>
      <c r="Y830" s="135" t="s">
        <v>4</v>
      </c>
    </row>
    <row r="831" spans="2:25" ht="15" customHeight="1" outlineLevel="2">
      <c r="B831" s="276" t="s">
        <v>249</v>
      </c>
      <c r="C831" s="52" t="s">
        <v>26</v>
      </c>
      <c r="D831" s="4"/>
      <c r="E831" s="4"/>
      <c r="F831" s="4"/>
      <c r="G831" s="4"/>
      <c r="H831" s="4"/>
      <c r="I831" s="4"/>
      <c r="J831" s="4"/>
      <c r="K831" s="4"/>
      <c r="L831" s="4"/>
      <c r="M831" s="4"/>
      <c r="N831" s="4"/>
      <c r="O831" s="4"/>
      <c r="P831" s="4"/>
      <c r="Q831" s="4"/>
      <c r="R831" s="601">
        <f>R828*R830</f>
        <v>32.8125</v>
      </c>
      <c r="S831" s="601">
        <f t="shared" ref="S831" si="1757">S828*S830</f>
        <v>22.340499999999999</v>
      </c>
      <c r="T831" s="601">
        <f t="shared" ref="T831" si="1758">T828*T830</f>
        <v>11.409562499999998</v>
      </c>
      <c r="U831" s="601">
        <f t="shared" ref="U831" si="1759">U828*U830</f>
        <v>0</v>
      </c>
      <c r="V831" s="601">
        <f t="shared" ref="V831" si="1760">V828*V830</f>
        <v>0</v>
      </c>
      <c r="W831" s="601">
        <f t="shared" ref="W831:X831" si="1761">W828*W830</f>
        <v>0</v>
      </c>
      <c r="X831" s="601">
        <f t="shared" si="1761"/>
        <v>0</v>
      </c>
      <c r="Y831" s="135" t="s">
        <v>4</v>
      </c>
    </row>
    <row r="832" spans="2:25" ht="15" customHeight="1" outlineLevel="2">
      <c r="B832" s="268"/>
      <c r="C832" s="269"/>
      <c r="D832" s="42"/>
      <c r="E832" s="42"/>
      <c r="F832" s="42"/>
      <c r="G832" s="42"/>
      <c r="H832" s="42"/>
      <c r="I832" s="42"/>
      <c r="J832" s="42"/>
      <c r="K832" s="42"/>
      <c r="L832" s="42"/>
      <c r="M832" s="42"/>
      <c r="N832" s="42"/>
      <c r="O832" s="42"/>
      <c r="P832" s="42"/>
      <c r="Q832" s="42"/>
      <c r="R832" s="42"/>
      <c r="S832" s="42"/>
      <c r="T832" s="42"/>
      <c r="U832" s="42"/>
      <c r="V832" s="42"/>
      <c r="W832" s="42"/>
      <c r="X832" s="42"/>
      <c r="Y832" s="135" t="s">
        <v>4</v>
      </c>
    </row>
    <row r="833" spans="2:25" ht="15" customHeight="1" outlineLevel="2">
      <c r="B833" s="271" t="s">
        <v>253</v>
      </c>
      <c r="C833" s="272" t="s">
        <v>26</v>
      </c>
      <c r="D833" s="4"/>
      <c r="E833" s="4"/>
      <c r="F833" s="4"/>
      <c r="G833" s="4"/>
      <c r="H833" s="4"/>
      <c r="I833" s="4"/>
      <c r="J833" s="4"/>
      <c r="K833" s="4"/>
      <c r="L833" s="4"/>
      <c r="M833" s="4"/>
      <c r="N833" s="4"/>
      <c r="O833" s="4"/>
      <c r="P833" s="4"/>
      <c r="Q833" s="4"/>
      <c r="R833" s="317">
        <v>2900</v>
      </c>
      <c r="S833" s="602">
        <f>R833-535.42</f>
        <v>2364.58</v>
      </c>
      <c r="T833" s="602">
        <f>S833-556.84</f>
        <v>1807.7399999999998</v>
      </c>
      <c r="U833" s="602">
        <f>T833-579.11</f>
        <v>1228.6299999999997</v>
      </c>
      <c r="V833" s="602">
        <f>U833-602.27</f>
        <v>626.35999999999967</v>
      </c>
      <c r="W833" s="602">
        <v>0</v>
      </c>
      <c r="X833" s="602">
        <f t="shared" ref="X833" si="1762">W833</f>
        <v>0</v>
      </c>
      <c r="Y833" s="135" t="s">
        <v>4</v>
      </c>
    </row>
    <row r="834" spans="2:25" ht="15" customHeight="1" outlineLevel="2">
      <c r="B834" s="276" t="s">
        <v>247</v>
      </c>
      <c r="C834" s="52" t="s">
        <v>21</v>
      </c>
      <c r="D834" s="4"/>
      <c r="E834" s="4"/>
      <c r="F834" s="4"/>
      <c r="G834" s="4"/>
      <c r="H834" s="4"/>
      <c r="I834" s="4"/>
      <c r="J834" s="4"/>
      <c r="K834" s="4"/>
      <c r="L834" s="4"/>
      <c r="M834" s="4"/>
      <c r="N834" s="4"/>
      <c r="O834" s="4"/>
      <c r="P834" s="4"/>
      <c r="Q834" s="4"/>
      <c r="R834" s="599">
        <f>R833/R$798</f>
        <v>0.2161759224748416</v>
      </c>
      <c r="S834" s="599">
        <f t="shared" ref="S834" si="1763">S833/S$798</f>
        <v>0.22684564273475744</v>
      </c>
      <c r="T834" s="599">
        <f t="shared" ref="T834" si="1764">T833/T$798</f>
        <v>0.25087360424548066</v>
      </c>
      <c r="U834" s="599">
        <f t="shared" ref="U834" si="1765">U833/U$798</f>
        <v>0.32023301426365269</v>
      </c>
      <c r="V834" s="599">
        <f t="shared" ref="V834" si="1766">V833/V$798</f>
        <v>0.39396033571161809</v>
      </c>
      <c r="W834" s="599">
        <f t="shared" ref="W834:X834" si="1767">W833/W$798</f>
        <v>0</v>
      </c>
      <c r="X834" s="599">
        <f t="shared" si="1767"/>
        <v>0</v>
      </c>
      <c r="Y834" s="135" t="s">
        <v>4</v>
      </c>
    </row>
    <row r="835" spans="2:25" ht="15" customHeight="1" outlineLevel="2">
      <c r="B835" s="276" t="s">
        <v>248</v>
      </c>
      <c r="C835" s="52" t="s">
        <v>21</v>
      </c>
      <c r="D835" s="4"/>
      <c r="E835" s="4"/>
      <c r="F835" s="4"/>
      <c r="G835" s="4"/>
      <c r="H835" s="4"/>
      <c r="I835" s="4"/>
      <c r="J835" s="4"/>
      <c r="K835" s="4"/>
      <c r="L835" s="4"/>
      <c r="M835" s="4"/>
      <c r="N835" s="4"/>
      <c r="O835" s="4"/>
      <c r="P835" s="4"/>
      <c r="Q835" s="4"/>
      <c r="R835" s="316">
        <v>0.04</v>
      </c>
      <c r="S835" s="316">
        <v>0.04</v>
      </c>
      <c r="T835" s="316">
        <v>0.04</v>
      </c>
      <c r="U835" s="316">
        <v>0.04</v>
      </c>
      <c r="V835" s="316">
        <v>0.04</v>
      </c>
      <c r="W835" s="316">
        <v>0.04</v>
      </c>
      <c r="X835" s="316">
        <v>0.04</v>
      </c>
      <c r="Y835" s="135" t="s">
        <v>4</v>
      </c>
    </row>
    <row r="836" spans="2:25" ht="15" customHeight="1" outlineLevel="2">
      <c r="B836" s="276" t="s">
        <v>249</v>
      </c>
      <c r="C836" s="52" t="s">
        <v>26</v>
      </c>
      <c r="D836" s="4"/>
      <c r="E836" s="4"/>
      <c r="F836" s="4"/>
      <c r="G836" s="4"/>
      <c r="H836" s="4"/>
      <c r="I836" s="4"/>
      <c r="J836" s="4"/>
      <c r="K836" s="4"/>
      <c r="L836" s="4"/>
      <c r="M836" s="4"/>
      <c r="N836" s="4"/>
      <c r="O836" s="4"/>
      <c r="P836" s="4"/>
      <c r="Q836" s="4"/>
      <c r="R836" s="601">
        <f>R833*R835</f>
        <v>116</v>
      </c>
      <c r="S836" s="601">
        <f t="shared" ref="S836" si="1768">S833*S835</f>
        <v>94.583200000000005</v>
      </c>
      <c r="T836" s="601">
        <f t="shared" ref="T836" si="1769">T833*T835</f>
        <v>72.309599999999989</v>
      </c>
      <c r="U836" s="601">
        <f t="shared" ref="U836" si="1770">U833*U835</f>
        <v>49.145199999999988</v>
      </c>
      <c r="V836" s="601">
        <f t="shared" ref="V836" si="1771">V833*V835</f>
        <v>25.054399999999987</v>
      </c>
      <c r="W836" s="601">
        <f t="shared" ref="W836:X836" si="1772">W833*W835</f>
        <v>0</v>
      </c>
      <c r="X836" s="601">
        <f t="shared" si="1772"/>
        <v>0</v>
      </c>
      <c r="Y836" s="135" t="s">
        <v>4</v>
      </c>
    </row>
    <row r="837" spans="2:25" ht="15" customHeight="1" outlineLevel="2">
      <c r="B837" s="268"/>
      <c r="C837" s="269"/>
      <c r="D837" s="42"/>
      <c r="E837" s="42"/>
      <c r="F837" s="42"/>
      <c r="G837" s="42"/>
      <c r="H837" s="42"/>
      <c r="I837" s="42"/>
      <c r="J837" s="42"/>
      <c r="K837" s="42"/>
      <c r="L837" s="42"/>
      <c r="M837" s="42"/>
      <c r="N837" s="42"/>
      <c r="O837" s="42"/>
      <c r="P837" s="42"/>
      <c r="Q837" s="42"/>
      <c r="R837" s="42"/>
      <c r="S837" s="42"/>
      <c r="T837" s="42"/>
      <c r="U837" s="42"/>
      <c r="V837" s="42"/>
      <c r="W837" s="42"/>
      <c r="X837" s="42"/>
      <c r="Y837" s="135" t="s">
        <v>4</v>
      </c>
    </row>
    <row r="838" spans="2:25" ht="15" customHeight="1" outlineLevel="2">
      <c r="B838" s="271" t="s">
        <v>254</v>
      </c>
      <c r="C838" s="272" t="s">
        <v>26</v>
      </c>
      <c r="D838" s="4"/>
      <c r="E838" s="4"/>
      <c r="F838" s="4"/>
      <c r="G838" s="4"/>
      <c r="H838" s="4"/>
      <c r="I838" s="4"/>
      <c r="J838" s="4"/>
      <c r="K838" s="4"/>
      <c r="L838" s="4"/>
      <c r="M838" s="4"/>
      <c r="N838" s="4"/>
      <c r="O838" s="4"/>
      <c r="P838" s="4"/>
      <c r="Q838" s="4"/>
      <c r="R838" s="317">
        <v>750</v>
      </c>
      <c r="S838" s="602">
        <f>R838-177.94</f>
        <v>572.05999999999995</v>
      </c>
      <c r="T838" s="602">
        <f>S838-184.17</f>
        <v>387.89</v>
      </c>
      <c r="U838" s="602">
        <f>T838-190.61</f>
        <v>197.27999999999997</v>
      </c>
      <c r="V838" s="602">
        <v>0</v>
      </c>
      <c r="W838" s="602">
        <f t="shared" ref="W838" si="1773">V838</f>
        <v>0</v>
      </c>
      <c r="X838" s="602">
        <f t="shared" ref="X838" si="1774">W838</f>
        <v>0</v>
      </c>
      <c r="Y838" s="135" t="s">
        <v>4</v>
      </c>
    </row>
    <row r="839" spans="2:25" ht="15" customHeight="1" outlineLevel="2">
      <c r="B839" s="276" t="s">
        <v>247</v>
      </c>
      <c r="C839" s="52" t="s">
        <v>21</v>
      </c>
      <c r="D839" s="4"/>
      <c r="E839" s="4"/>
      <c r="F839" s="4"/>
      <c r="G839" s="4"/>
      <c r="H839" s="4"/>
      <c r="I839" s="4"/>
      <c r="J839" s="4"/>
      <c r="K839" s="4"/>
      <c r="L839" s="4"/>
      <c r="M839" s="4"/>
      <c r="N839" s="4"/>
      <c r="O839" s="4"/>
      <c r="P839" s="4"/>
      <c r="Q839" s="4"/>
      <c r="R839" s="599">
        <f>R838/R$798</f>
        <v>5.590756615728662E-2</v>
      </c>
      <c r="S839" s="599">
        <f t="shared" ref="S839" si="1775">S838/S$798</f>
        <v>5.4880493949388612E-2</v>
      </c>
      <c r="T839" s="599">
        <f t="shared" ref="T839" si="1776">T838/T$798</f>
        <v>5.3830397264418288E-2</v>
      </c>
      <c r="U839" s="599">
        <f t="shared" ref="U839" si="1777">U838/U$798</f>
        <v>5.1419523415457392E-2</v>
      </c>
      <c r="V839" s="599">
        <f t="shared" ref="V839" si="1778">V838/V$798</f>
        <v>0</v>
      </c>
      <c r="W839" s="599">
        <f t="shared" ref="W839:X839" si="1779">W838/W$798</f>
        <v>0</v>
      </c>
      <c r="X839" s="599">
        <f t="shared" si="1779"/>
        <v>0</v>
      </c>
      <c r="Y839" s="135" t="s">
        <v>4</v>
      </c>
    </row>
    <row r="840" spans="2:25" ht="15" customHeight="1" outlineLevel="2">
      <c r="B840" s="276" t="s">
        <v>248</v>
      </c>
      <c r="C840" s="52" t="s">
        <v>21</v>
      </c>
      <c r="D840" s="4"/>
      <c r="E840" s="4"/>
      <c r="F840" s="4"/>
      <c r="G840" s="4"/>
      <c r="H840" s="4"/>
      <c r="I840" s="4"/>
      <c r="J840" s="4"/>
      <c r="K840" s="4"/>
      <c r="L840" s="4"/>
      <c r="M840" s="4"/>
      <c r="N840" s="4"/>
      <c r="O840" s="4"/>
      <c r="P840" s="4"/>
      <c r="Q840" s="4"/>
      <c r="R840" s="316">
        <v>3.5000000000000003E-2</v>
      </c>
      <c r="S840" s="316">
        <v>3.5000000000000003E-2</v>
      </c>
      <c r="T840" s="316">
        <v>3.5000000000000003E-2</v>
      </c>
      <c r="U840" s="316">
        <v>3.5000000000000003E-2</v>
      </c>
      <c r="V840" s="316">
        <v>3.5000000000000003E-2</v>
      </c>
      <c r="W840" s="316">
        <v>3.5000000000000003E-2</v>
      </c>
      <c r="X840" s="316">
        <v>3.5000000000000003E-2</v>
      </c>
      <c r="Y840" s="135" t="s">
        <v>4</v>
      </c>
    </row>
    <row r="841" spans="2:25" ht="15" customHeight="1" outlineLevel="2">
      <c r="B841" s="276" t="s">
        <v>249</v>
      </c>
      <c r="C841" s="52" t="s">
        <v>26</v>
      </c>
      <c r="D841" s="4"/>
      <c r="E841" s="4"/>
      <c r="F841" s="4"/>
      <c r="G841" s="4"/>
      <c r="H841" s="4"/>
      <c r="I841" s="4"/>
      <c r="J841" s="4"/>
      <c r="K841" s="4"/>
      <c r="L841" s="4"/>
      <c r="M841" s="4"/>
      <c r="N841" s="4"/>
      <c r="O841" s="4"/>
      <c r="P841" s="4"/>
      <c r="Q841" s="4"/>
      <c r="R841" s="601">
        <f>R838*R840</f>
        <v>26.250000000000004</v>
      </c>
      <c r="S841" s="601">
        <f t="shared" ref="S841" si="1780">S838*S840</f>
        <v>20.022099999999998</v>
      </c>
      <c r="T841" s="601">
        <f t="shared" ref="T841" si="1781">T838*T840</f>
        <v>13.57615</v>
      </c>
      <c r="U841" s="601">
        <f t="shared" ref="U841" si="1782">U838*U840</f>
        <v>6.9047999999999998</v>
      </c>
      <c r="V841" s="601">
        <f t="shared" ref="V841" si="1783">V838*V840</f>
        <v>0</v>
      </c>
      <c r="W841" s="601">
        <f t="shared" ref="W841:X841" si="1784">W838*W840</f>
        <v>0</v>
      </c>
      <c r="X841" s="601">
        <f t="shared" si="1784"/>
        <v>0</v>
      </c>
      <c r="Y841" s="135" t="s">
        <v>4</v>
      </c>
    </row>
    <row r="842" spans="2:25" ht="15" customHeight="1" outlineLevel="2">
      <c r="B842" s="268"/>
      <c r="C842" s="269"/>
      <c r="D842" s="42"/>
      <c r="E842" s="42"/>
      <c r="F842" s="42"/>
      <c r="G842" s="42"/>
      <c r="H842" s="42"/>
      <c r="I842" s="42"/>
      <c r="J842" s="42"/>
      <c r="K842" s="42"/>
      <c r="L842" s="42"/>
      <c r="M842" s="42"/>
      <c r="N842" s="42"/>
      <c r="O842" s="42"/>
      <c r="P842" s="42"/>
      <c r="Q842" s="42"/>
      <c r="R842" s="42"/>
      <c r="S842" s="42"/>
      <c r="T842" s="42"/>
      <c r="U842" s="42"/>
      <c r="V842" s="42"/>
      <c r="W842" s="42"/>
      <c r="X842" s="42"/>
      <c r="Y842" s="135" t="s">
        <v>4</v>
      </c>
    </row>
    <row r="843" spans="2:25" ht="15" customHeight="1" outlineLevel="2">
      <c r="B843" s="271" t="s">
        <v>255</v>
      </c>
      <c r="C843" s="272" t="s">
        <v>26</v>
      </c>
      <c r="D843" s="4"/>
      <c r="E843" s="4"/>
      <c r="F843" s="4"/>
      <c r="G843" s="4"/>
      <c r="H843" s="4"/>
      <c r="I843" s="4"/>
      <c r="J843" s="4"/>
      <c r="K843" s="4"/>
      <c r="L843" s="4"/>
      <c r="M843" s="4"/>
      <c r="N843" s="4"/>
      <c r="O843" s="4"/>
      <c r="P843" s="4"/>
      <c r="Q843" s="4"/>
      <c r="R843" s="317">
        <v>1200</v>
      </c>
      <c r="S843" s="602">
        <f>R843-273.78</f>
        <v>926.22</v>
      </c>
      <c r="T843" s="602">
        <f>S843-290.56</f>
        <v>635.66000000000008</v>
      </c>
      <c r="U843" s="602">
        <f>T843-308.38</f>
        <v>327.28000000000009</v>
      </c>
      <c r="V843" s="602">
        <v>0</v>
      </c>
      <c r="W843" s="602">
        <f>V843</f>
        <v>0</v>
      </c>
      <c r="X843" s="602">
        <f>W843</f>
        <v>0</v>
      </c>
      <c r="Y843" s="135" t="s">
        <v>4</v>
      </c>
    </row>
    <row r="844" spans="2:25" ht="15" customHeight="1" outlineLevel="2">
      <c r="B844" s="276" t="s">
        <v>247</v>
      </c>
      <c r="C844" s="52" t="s">
        <v>21</v>
      </c>
      <c r="D844" s="4"/>
      <c r="E844" s="4"/>
      <c r="F844" s="4"/>
      <c r="G844" s="4"/>
      <c r="H844" s="4"/>
      <c r="I844" s="4"/>
      <c r="J844" s="4"/>
      <c r="K844" s="4"/>
      <c r="L844" s="4"/>
      <c r="M844" s="4"/>
      <c r="N844" s="4"/>
      <c r="O844" s="4"/>
      <c r="P844" s="4"/>
      <c r="Q844" s="4"/>
      <c r="R844" s="599">
        <f>R843/R$798</f>
        <v>8.9452105851658595E-2</v>
      </c>
      <c r="S844" s="599">
        <f t="shared" ref="S844" si="1785">S843/S$798</f>
        <v>8.8856782690282007E-2</v>
      </c>
      <c r="T844" s="599">
        <f t="shared" ref="T844" si="1786">T843/T$798</f>
        <v>8.8215293833561401E-2</v>
      </c>
      <c r="U844" s="599">
        <f t="shared" ref="U844" si="1787">U843/U$798</f>
        <v>8.5303029315748694E-2</v>
      </c>
      <c r="V844" s="599">
        <f t="shared" ref="V844" si="1788">V843/V$798</f>
        <v>0</v>
      </c>
      <c r="W844" s="599">
        <f t="shared" ref="W844:X844" si="1789">W843/W$798</f>
        <v>0</v>
      </c>
      <c r="X844" s="599">
        <f t="shared" si="1789"/>
        <v>0</v>
      </c>
      <c r="Y844" s="135" t="s">
        <v>4</v>
      </c>
    </row>
    <row r="845" spans="2:25" ht="15" customHeight="1" outlineLevel="2">
      <c r="B845" s="276" t="s">
        <v>248</v>
      </c>
      <c r="C845" s="52" t="s">
        <v>21</v>
      </c>
      <c r="D845" s="4"/>
      <c r="E845" s="4"/>
      <c r="F845" s="4"/>
      <c r="G845" s="4"/>
      <c r="H845" s="4"/>
      <c r="I845" s="4"/>
      <c r="J845" s="4"/>
      <c r="K845" s="4"/>
      <c r="L845" s="4"/>
      <c r="M845" s="4"/>
      <c r="N845" s="4"/>
      <c r="O845" s="4"/>
      <c r="P845" s="4"/>
      <c r="Q845" s="4"/>
      <c r="R845" s="316">
        <v>6.1249999999999999E-2</v>
      </c>
      <c r="S845" s="316">
        <v>6.1249999999999999E-2</v>
      </c>
      <c r="T845" s="316">
        <v>6.1249999999999999E-2</v>
      </c>
      <c r="U845" s="316">
        <v>6.1249999999999999E-2</v>
      </c>
      <c r="V845" s="316">
        <v>6.1249999999999999E-2</v>
      </c>
      <c r="W845" s="316">
        <v>6.1249999999999999E-2</v>
      </c>
      <c r="X845" s="316">
        <v>6.1249999999999999E-2</v>
      </c>
      <c r="Y845" s="135" t="s">
        <v>4</v>
      </c>
    </row>
    <row r="846" spans="2:25" ht="15" customHeight="1" outlineLevel="2">
      <c r="B846" s="276" t="s">
        <v>249</v>
      </c>
      <c r="C846" s="52" t="s">
        <v>26</v>
      </c>
      <c r="D846" s="4"/>
      <c r="E846" s="4"/>
      <c r="F846" s="4"/>
      <c r="G846" s="4"/>
      <c r="H846" s="4"/>
      <c r="I846" s="4"/>
      <c r="J846" s="4"/>
      <c r="K846" s="4"/>
      <c r="L846" s="4"/>
      <c r="M846" s="4"/>
      <c r="N846" s="4"/>
      <c r="O846" s="4"/>
      <c r="P846" s="4"/>
      <c r="Q846" s="4"/>
      <c r="R846" s="601">
        <f>R843*R845</f>
        <v>73.5</v>
      </c>
      <c r="S846" s="601">
        <f t="shared" ref="S846" si="1790">S843*S845</f>
        <v>56.730975000000001</v>
      </c>
      <c r="T846" s="601">
        <f t="shared" ref="T846" si="1791">T843*T845</f>
        <v>38.934175000000003</v>
      </c>
      <c r="U846" s="601">
        <f t="shared" ref="U846" si="1792">U843*U845</f>
        <v>20.045900000000003</v>
      </c>
      <c r="V846" s="601">
        <f t="shared" ref="V846" si="1793">V843*V845</f>
        <v>0</v>
      </c>
      <c r="W846" s="601">
        <f t="shared" ref="W846:X846" si="1794">W843*W845</f>
        <v>0</v>
      </c>
      <c r="X846" s="601">
        <f t="shared" si="1794"/>
        <v>0</v>
      </c>
      <c r="Y846" s="135" t="s">
        <v>4</v>
      </c>
    </row>
    <row r="847" spans="2:25" ht="15" customHeight="1" outlineLevel="2">
      <c r="B847" s="268"/>
      <c r="C847" s="269"/>
      <c r="D847" s="42"/>
      <c r="E847" s="42"/>
      <c r="F847" s="42"/>
      <c r="G847" s="42"/>
      <c r="H847" s="42"/>
      <c r="I847" s="42"/>
      <c r="J847" s="42"/>
      <c r="K847" s="42"/>
      <c r="L847" s="42"/>
      <c r="M847" s="42"/>
      <c r="N847" s="42"/>
      <c r="O847" s="42"/>
      <c r="P847" s="42"/>
      <c r="Q847" s="42"/>
      <c r="R847" s="42"/>
      <c r="S847" s="42"/>
      <c r="T847" s="42"/>
      <c r="U847" s="42"/>
      <c r="V847" s="42"/>
      <c r="W847" s="42"/>
      <c r="X847" s="42"/>
      <c r="Y847" s="135" t="s">
        <v>4</v>
      </c>
    </row>
    <row r="848" spans="2:25" ht="15" customHeight="1" outlineLevel="2">
      <c r="B848" s="271" t="s">
        <v>256</v>
      </c>
      <c r="C848" s="272" t="s">
        <v>26</v>
      </c>
      <c r="D848" s="4"/>
      <c r="E848" s="4"/>
      <c r="F848" s="4"/>
      <c r="G848" s="4"/>
      <c r="H848" s="4"/>
      <c r="I848" s="4"/>
      <c r="J848" s="4"/>
      <c r="K848" s="4"/>
      <c r="L848" s="4"/>
      <c r="M848" s="4"/>
      <c r="N848" s="4"/>
      <c r="O848" s="4"/>
      <c r="P848" s="4"/>
      <c r="Q848" s="4"/>
      <c r="R848" s="317">
        <v>500</v>
      </c>
      <c r="S848" s="602">
        <f>R848-113.23</f>
        <v>386.77</v>
      </c>
      <c r="T848" s="602">
        <f>S848-120.74</f>
        <v>266.02999999999997</v>
      </c>
      <c r="U848" s="602">
        <f>T848-128.75</f>
        <v>137.27999999999997</v>
      </c>
      <c r="V848" s="602">
        <v>0</v>
      </c>
      <c r="W848" s="602">
        <f t="shared" ref="W848" si="1795">V848</f>
        <v>0</v>
      </c>
      <c r="X848" s="602">
        <f t="shared" ref="X848" si="1796">W848</f>
        <v>0</v>
      </c>
      <c r="Y848" s="135" t="s">
        <v>4</v>
      </c>
    </row>
    <row r="849" spans="1:25" ht="15" customHeight="1" outlineLevel="2">
      <c r="B849" s="276" t="s">
        <v>247</v>
      </c>
      <c r="C849" s="52" t="s">
        <v>21</v>
      </c>
      <c r="D849" s="4"/>
      <c r="E849" s="4"/>
      <c r="F849" s="4"/>
      <c r="G849" s="4"/>
      <c r="H849" s="4"/>
      <c r="I849" s="4"/>
      <c r="J849" s="4"/>
      <c r="K849" s="4"/>
      <c r="L849" s="4"/>
      <c r="M849" s="4"/>
      <c r="N849" s="4"/>
      <c r="O849" s="4"/>
      <c r="P849" s="4"/>
      <c r="Q849" s="4"/>
      <c r="R849" s="599">
        <f>R848/R$798</f>
        <v>3.7271710771524413E-2</v>
      </c>
      <c r="S849" s="599">
        <f t="shared" ref="S849" si="1797">S848/S$798</f>
        <v>3.7104724407938036E-2</v>
      </c>
      <c r="T849" s="599">
        <f t="shared" ref="T849" si="1798">T848/T$798</f>
        <v>3.6918973379703512E-2</v>
      </c>
      <c r="U849" s="599">
        <f t="shared" ref="U849" si="1799">U848/U$798</f>
        <v>3.5780982230707574E-2</v>
      </c>
      <c r="V849" s="599">
        <f t="shared" ref="V849" si="1800">V848/V$798</f>
        <v>0</v>
      </c>
      <c r="W849" s="599">
        <f t="shared" ref="W849:X849" si="1801">W848/W$798</f>
        <v>0</v>
      </c>
      <c r="X849" s="599">
        <f t="shared" si="1801"/>
        <v>0</v>
      </c>
      <c r="Y849" s="135" t="s">
        <v>4</v>
      </c>
    </row>
    <row r="850" spans="1:25" ht="15" customHeight="1" outlineLevel="2">
      <c r="B850" s="276" t="s">
        <v>248</v>
      </c>
      <c r="C850" s="52" t="s">
        <v>21</v>
      </c>
      <c r="D850" s="4"/>
      <c r="E850" s="4"/>
      <c r="F850" s="4"/>
      <c r="G850" s="4"/>
      <c r="H850" s="4"/>
      <c r="I850" s="4"/>
      <c r="J850" s="4"/>
      <c r="K850" s="4"/>
      <c r="L850" s="4"/>
      <c r="M850" s="4"/>
      <c r="N850" s="4"/>
      <c r="O850" s="4"/>
      <c r="P850" s="4"/>
      <c r="Q850" s="4"/>
      <c r="R850" s="316">
        <v>5.6250000000000001E-2</v>
      </c>
      <c r="S850" s="316">
        <v>5.6250000000000001E-2</v>
      </c>
      <c r="T850" s="316">
        <v>5.6250000000000001E-2</v>
      </c>
      <c r="U850" s="316">
        <v>5.6250000000000001E-2</v>
      </c>
      <c r="V850" s="316">
        <v>5.6250000000000001E-2</v>
      </c>
      <c r="W850" s="316">
        <v>5.6250000000000001E-2</v>
      </c>
      <c r="X850" s="316">
        <v>5.6250000000000001E-2</v>
      </c>
      <c r="Y850" s="135" t="s">
        <v>4</v>
      </c>
    </row>
    <row r="851" spans="1:25" ht="15" customHeight="1" outlineLevel="2">
      <c r="B851" s="276" t="s">
        <v>249</v>
      </c>
      <c r="C851" s="52" t="s">
        <v>26</v>
      </c>
      <c r="D851" s="4"/>
      <c r="E851" s="4"/>
      <c r="F851" s="4"/>
      <c r="G851" s="4"/>
      <c r="H851" s="4"/>
      <c r="I851" s="4"/>
      <c r="J851" s="4"/>
      <c r="K851" s="4"/>
      <c r="L851" s="4"/>
      <c r="M851" s="4"/>
      <c r="N851" s="4"/>
      <c r="O851" s="4"/>
      <c r="P851" s="4"/>
      <c r="Q851" s="4"/>
      <c r="R851" s="601">
        <f>R848*R850</f>
        <v>28.125</v>
      </c>
      <c r="S851" s="601">
        <f t="shared" ref="S851" si="1802">S848*S850</f>
        <v>21.755812500000001</v>
      </c>
      <c r="T851" s="601">
        <f t="shared" ref="T851" si="1803">T848*T850</f>
        <v>14.9641875</v>
      </c>
      <c r="U851" s="601">
        <f t="shared" ref="U851" si="1804">U848*U850</f>
        <v>7.7219999999999986</v>
      </c>
      <c r="V851" s="601">
        <f t="shared" ref="V851" si="1805">V848*V850</f>
        <v>0</v>
      </c>
      <c r="W851" s="601">
        <f t="shared" ref="W851:X851" si="1806">W848*W850</f>
        <v>0</v>
      </c>
      <c r="X851" s="601">
        <f t="shared" si="1806"/>
        <v>0</v>
      </c>
      <c r="Y851" s="135" t="s">
        <v>4</v>
      </c>
    </row>
    <row r="852" spans="1:25" ht="15" customHeight="1" outlineLevel="2">
      <c r="B852" s="273"/>
      <c r="C852" s="52"/>
      <c r="D852" s="42"/>
      <c r="E852" s="42"/>
      <c r="F852" s="42"/>
      <c r="G852" s="42"/>
      <c r="H852" s="42"/>
      <c r="I852" s="42"/>
      <c r="J852" s="42"/>
      <c r="K852" s="42"/>
      <c r="L852" s="42"/>
      <c r="M852" s="42"/>
      <c r="N852" s="42"/>
      <c r="O852" s="42"/>
      <c r="P852" s="42"/>
      <c r="Q852" s="42"/>
      <c r="R852" s="311"/>
      <c r="S852" s="311"/>
      <c r="T852" s="311"/>
      <c r="U852" s="311"/>
      <c r="V852" s="311"/>
      <c r="W852" s="311"/>
      <c r="X852" s="311"/>
      <c r="Y852" s="135" t="s">
        <v>4</v>
      </c>
    </row>
    <row r="853" spans="1:25" ht="15" customHeight="1" outlineLevel="2">
      <c r="B853" s="274" t="s">
        <v>257</v>
      </c>
      <c r="C853" s="275" t="s">
        <v>26</v>
      </c>
      <c r="D853" s="318"/>
      <c r="E853" s="318"/>
      <c r="F853" s="318"/>
      <c r="G853" s="318"/>
      <c r="H853" s="318"/>
      <c r="I853" s="318"/>
      <c r="J853" s="318"/>
      <c r="K853" s="318"/>
      <c r="L853" s="318"/>
      <c r="M853" s="318"/>
      <c r="N853" s="318"/>
      <c r="O853" s="318"/>
      <c r="P853" s="318"/>
      <c r="Q853" s="318"/>
      <c r="R853" s="319">
        <v>-177</v>
      </c>
      <c r="S853" s="603">
        <v>-90</v>
      </c>
      <c r="T853" s="603">
        <f>S853*(1-5%)</f>
        <v>-85.5</v>
      </c>
      <c r="U853" s="603">
        <f t="shared" ref="U853:X853" si="1807">T853*(1-5%)</f>
        <v>-81.224999999999994</v>
      </c>
      <c r="V853" s="603">
        <f t="shared" si="1807"/>
        <v>-77.163749999999993</v>
      </c>
      <c r="W853" s="603">
        <f t="shared" si="1807"/>
        <v>-73.305562499999994</v>
      </c>
      <c r="X853" s="603">
        <f t="shared" si="1807"/>
        <v>-69.640284374999993</v>
      </c>
      <c r="Y853" s="135" t="s">
        <v>4</v>
      </c>
    </row>
    <row r="854" spans="1:25" ht="15" customHeight="1" outlineLevel="1">
      <c r="Y854" s="135" t="s">
        <v>4</v>
      </c>
    </row>
    <row r="855" spans="1:25" ht="15" customHeight="1">
      <c r="Y855" s="135" t="s">
        <v>4</v>
      </c>
    </row>
    <row r="856" spans="1:25" ht="15" customHeight="1">
      <c r="A856" s="1" t="s">
        <v>4</v>
      </c>
      <c r="B856" s="148" t="s">
        <v>258</v>
      </c>
      <c r="C856" s="149" t="s">
        <v>11</v>
      </c>
      <c r="D856" s="150">
        <v>2011</v>
      </c>
      <c r="E856" s="150">
        <v>2012</v>
      </c>
      <c r="F856" s="150">
        <v>2013</v>
      </c>
      <c r="G856" s="150">
        <v>2014</v>
      </c>
      <c r="H856" s="150">
        <v>2015</v>
      </c>
      <c r="I856" s="150">
        <v>2016</v>
      </c>
      <c r="J856" s="150">
        <v>2017</v>
      </c>
      <c r="K856" s="150">
        <v>2018</v>
      </c>
      <c r="L856" s="150">
        <v>2019</v>
      </c>
      <c r="M856" s="150">
        <v>2020</v>
      </c>
      <c r="N856" s="150">
        <v>2021</v>
      </c>
      <c r="O856" s="150">
        <v>2022</v>
      </c>
      <c r="P856" s="150">
        <v>2023</v>
      </c>
      <c r="Q856" s="150">
        <v>2024</v>
      </c>
      <c r="R856" s="151" t="s">
        <v>23</v>
      </c>
      <c r="S856" s="151" t="s">
        <v>12</v>
      </c>
      <c r="T856" s="151" t="s">
        <v>13</v>
      </c>
      <c r="U856" s="151" t="s">
        <v>14</v>
      </c>
      <c r="V856" s="151" t="s">
        <v>15</v>
      </c>
      <c r="W856" s="152" t="s">
        <v>16</v>
      </c>
      <c r="X856" s="151" t="s">
        <v>17</v>
      </c>
      <c r="Y856" s="135" t="s">
        <v>4</v>
      </c>
    </row>
    <row r="857" spans="1:25" ht="15" customHeight="1" outlineLevel="1">
      <c r="Y857" s="135" t="s">
        <v>4</v>
      </c>
    </row>
    <row r="858" spans="1:25" ht="15" customHeight="1" outlineLevel="2">
      <c r="B858" s="264" t="s">
        <v>25</v>
      </c>
      <c r="C858" s="280" t="s">
        <v>26</v>
      </c>
      <c r="D858" s="25">
        <f t="shared" ref="D858:X858" si="1808">D432</f>
        <v>2335.6999999999998</v>
      </c>
      <c r="E858" s="25">
        <f t="shared" si="1808"/>
        <v>1966.3</v>
      </c>
      <c r="F858" s="25">
        <f t="shared" si="1808"/>
        <v>1146.3</v>
      </c>
      <c r="G858" s="25">
        <f t="shared" si="1808"/>
        <v>1198.8</v>
      </c>
      <c r="H858" s="25">
        <f t="shared" si="1808"/>
        <v>4052.2</v>
      </c>
      <c r="I858" s="25">
        <f t="shared" si="1808"/>
        <v>4145.8</v>
      </c>
      <c r="J858" s="25">
        <f t="shared" si="1808"/>
        <v>4576.1000000000004</v>
      </c>
      <c r="K858" s="25">
        <f t="shared" si="1808"/>
        <v>5357</v>
      </c>
      <c r="L858" s="25">
        <f t="shared" si="1808"/>
        <v>5603</v>
      </c>
      <c r="M858" s="25">
        <f t="shared" si="1808"/>
        <v>4968</v>
      </c>
      <c r="N858" s="25">
        <f t="shared" si="1808"/>
        <v>5739</v>
      </c>
      <c r="O858" s="25">
        <f t="shared" si="1808"/>
        <v>6505</v>
      </c>
      <c r="P858" s="25">
        <f t="shared" si="1808"/>
        <v>7022</v>
      </c>
      <c r="Q858" s="25">
        <f t="shared" si="1808"/>
        <v>8406</v>
      </c>
      <c r="R858" s="25">
        <f t="shared" si="1808"/>
        <v>13623.70184772935</v>
      </c>
      <c r="S858" s="25">
        <f t="shared" si="1808"/>
        <v>10858.909133172507</v>
      </c>
      <c r="T858" s="25">
        <f t="shared" si="1808"/>
        <v>13172.081602617538</v>
      </c>
      <c r="U858" s="25">
        <f t="shared" si="1808"/>
        <v>14974.732501022594</v>
      </c>
      <c r="V858" s="25">
        <f t="shared" si="1808"/>
        <v>17218.175503950464</v>
      </c>
      <c r="W858" s="25">
        <f t="shared" si="1808"/>
        <v>20058.360321178596</v>
      </c>
      <c r="X858" s="25">
        <f t="shared" si="1808"/>
        <v>23712.64607947972</v>
      </c>
      <c r="Y858" s="135" t="s">
        <v>4</v>
      </c>
    </row>
    <row r="859" spans="1:25" ht="15" customHeight="1" outlineLevel="2">
      <c r="B859" s="264"/>
      <c r="C859" s="280"/>
      <c r="Y859" s="135" t="s">
        <v>4</v>
      </c>
    </row>
    <row r="860" spans="1:25" ht="15" customHeight="1" outlineLevel="2">
      <c r="B860" s="264" t="s">
        <v>90</v>
      </c>
      <c r="C860" s="280" t="s">
        <v>26</v>
      </c>
      <c r="D860" s="62"/>
      <c r="E860" s="62"/>
      <c r="F860" s="62"/>
      <c r="G860" s="25">
        <f t="shared" ref="G860:X860" si="1809">G492</f>
        <v>-156.4</v>
      </c>
      <c r="H860" s="25">
        <f t="shared" si="1809"/>
        <v>-1809</v>
      </c>
      <c r="I860" s="25">
        <f t="shared" si="1809"/>
        <v>-1727.3000000000002</v>
      </c>
      <c r="J860" s="25">
        <f t="shared" si="1809"/>
        <v>-1850.2999999999997</v>
      </c>
      <c r="K860" s="25">
        <f t="shared" si="1809"/>
        <v>-1817.9</v>
      </c>
      <c r="L860" s="25">
        <f t="shared" si="1809"/>
        <v>-1813</v>
      </c>
      <c r="M860" s="25">
        <f t="shared" si="1809"/>
        <v>-1610</v>
      </c>
      <c r="N860" s="25">
        <f t="shared" si="1809"/>
        <v>-1890</v>
      </c>
      <c r="O860" s="25">
        <f t="shared" si="1809"/>
        <v>-2312</v>
      </c>
      <c r="P860" s="25">
        <f t="shared" si="1809"/>
        <v>-2435</v>
      </c>
      <c r="Q860" s="25">
        <f t="shared" si="1809"/>
        <v>-3508</v>
      </c>
      <c r="R860" s="25">
        <f t="shared" si="1809"/>
        <v>-8392.3097133477786</v>
      </c>
      <c r="S860" s="25">
        <f t="shared" si="1809"/>
        <v>-5472.6931626733694</v>
      </c>
      <c r="T860" s="25">
        <f t="shared" si="1809"/>
        <v>-7227.0993826460326</v>
      </c>
      <c r="U860" s="25">
        <f t="shared" si="1809"/>
        <v>-8506.062033182332</v>
      </c>
      <c r="V860" s="25">
        <f t="shared" si="1809"/>
        <v>-9979.5132941971951</v>
      </c>
      <c r="W860" s="25">
        <f t="shared" si="1809"/>
        <v>-11843.25313346067</v>
      </c>
      <c r="X860" s="25">
        <f t="shared" si="1809"/>
        <v>-14229.406561705526</v>
      </c>
      <c r="Y860" s="135" t="s">
        <v>4</v>
      </c>
    </row>
    <row r="861" spans="1:25" ht="15" customHeight="1" outlineLevel="2">
      <c r="B861" s="264"/>
      <c r="C861" s="280"/>
      <c r="Y861" s="135" t="s">
        <v>4</v>
      </c>
    </row>
    <row r="862" spans="1:25" ht="15" customHeight="1" outlineLevel="2">
      <c r="B862" s="264" t="s">
        <v>259</v>
      </c>
      <c r="C862" s="280" t="s">
        <v>26</v>
      </c>
      <c r="D862" s="62"/>
      <c r="E862" s="62"/>
      <c r="F862" s="62"/>
      <c r="G862" s="25">
        <f t="shared" ref="G862:X862" si="1810">G492+G504+G528</f>
        <v>-680.8</v>
      </c>
      <c r="H862" s="25">
        <f t="shared" si="1810"/>
        <v>-2750</v>
      </c>
      <c r="I862" s="25">
        <f t="shared" si="1810"/>
        <v>-2499.9</v>
      </c>
      <c r="J862" s="25">
        <f t="shared" si="1810"/>
        <v>-2744.2999999999997</v>
      </c>
      <c r="K862" s="25">
        <f t="shared" si="1810"/>
        <v>-3453.9</v>
      </c>
      <c r="L862" s="25">
        <f t="shared" si="1810"/>
        <v>-3617</v>
      </c>
      <c r="M862" s="25">
        <f t="shared" si="1810"/>
        <v>-3402</v>
      </c>
      <c r="N862" s="25">
        <f t="shared" si="1810"/>
        <v>-3849</v>
      </c>
      <c r="O862" s="25">
        <f t="shared" si="1810"/>
        <v>-4538</v>
      </c>
      <c r="P862" s="25">
        <f t="shared" si="1810"/>
        <v>-4924</v>
      </c>
      <c r="Q862" s="25">
        <f t="shared" si="1810"/>
        <v>-6115</v>
      </c>
      <c r="R862" s="25">
        <f t="shared" si="1810"/>
        <v>-10831.047441239649</v>
      </c>
      <c r="S862" s="25">
        <f t="shared" si="1810"/>
        <v>-8266.1349809378753</v>
      </c>
      <c r="T862" s="25">
        <f t="shared" si="1810"/>
        <v>-10240.115570268179</v>
      </c>
      <c r="U862" s="25">
        <f t="shared" si="1810"/>
        <v>-11757.944366161706</v>
      </c>
      <c r="V862" s="25">
        <f t="shared" si="1810"/>
        <v>-13506.075017731073</v>
      </c>
      <c r="W862" s="25">
        <f t="shared" si="1810"/>
        <v>-15674.337871517382</v>
      </c>
      <c r="X862" s="25">
        <f t="shared" si="1810"/>
        <v>-18426.853300306768</v>
      </c>
      <c r="Y862" s="135" t="s">
        <v>4</v>
      </c>
    </row>
    <row r="863" spans="1:25" ht="15" customHeight="1" outlineLevel="2">
      <c r="B863" s="264"/>
      <c r="C863" s="280"/>
      <c r="Y863" s="135" t="s">
        <v>4</v>
      </c>
    </row>
    <row r="864" spans="1:25" ht="15" customHeight="1" outlineLevel="1">
      <c r="B864" s="200" t="s">
        <v>260</v>
      </c>
      <c r="C864" s="282" t="s">
        <v>26</v>
      </c>
      <c r="D864" s="281"/>
      <c r="E864" s="281"/>
      <c r="F864" s="281"/>
      <c r="G864" s="22">
        <f>G868-G884</f>
        <v>411.79999999999995</v>
      </c>
      <c r="H864" s="22">
        <f t="shared" ref="H864:W864" si="1811">H868-H884</f>
        <v>192.70000000000005</v>
      </c>
      <c r="I864" s="22">
        <f t="shared" si="1811"/>
        <v>14.699999999999932</v>
      </c>
      <c r="J864" s="22">
        <f t="shared" si="1811"/>
        <v>-34.899999999999977</v>
      </c>
      <c r="K864" s="22">
        <f t="shared" si="1811"/>
        <v>-93</v>
      </c>
      <c r="L864" s="22">
        <f t="shared" si="1811"/>
        <v>-149</v>
      </c>
      <c r="M864" s="22">
        <f t="shared" si="1811"/>
        <v>49</v>
      </c>
      <c r="N864" s="22">
        <f t="shared" si="1811"/>
        <v>-106</v>
      </c>
      <c r="O864" s="22">
        <f t="shared" si="1811"/>
        <v>-118</v>
      </c>
      <c r="P864" s="22">
        <f t="shared" si="1811"/>
        <v>-4</v>
      </c>
      <c r="Q864" s="22">
        <f t="shared" si="1811"/>
        <v>-53</v>
      </c>
      <c r="R864" s="22">
        <f t="shared" si="1811"/>
        <v>-358.06006294233816</v>
      </c>
      <c r="S864" s="22">
        <f t="shared" si="1811"/>
        <v>-253.02929402325026</v>
      </c>
      <c r="T864" s="22">
        <f t="shared" si="1811"/>
        <v>-326.43807466834937</v>
      </c>
      <c r="U864" s="22">
        <f t="shared" si="1811"/>
        <v>-343.28707231220096</v>
      </c>
      <c r="V864" s="22">
        <f t="shared" si="1811"/>
        <v>-356.14979278762576</v>
      </c>
      <c r="W864" s="22">
        <f t="shared" si="1811"/>
        <v>-391.46536152928002</v>
      </c>
      <c r="X864" s="22">
        <f t="shared" ref="X864" si="1812">X868-X884</f>
        <v>-488.07137312572422</v>
      </c>
      <c r="Y864" s="135" t="s">
        <v>4</v>
      </c>
    </row>
    <row r="865" spans="2:25" ht="15" customHeight="1" outlineLevel="1">
      <c r="B865" s="204" t="s">
        <v>261</v>
      </c>
      <c r="C865" s="283" t="s">
        <v>39</v>
      </c>
      <c r="D865" s="62"/>
      <c r="E865" s="62"/>
      <c r="F865" s="62"/>
      <c r="G865" s="25">
        <f t="shared" ref="G865" si="1813">G864/G$858*365</f>
        <v>125.3812145478812</v>
      </c>
      <c r="H865" s="25">
        <f t="shared" ref="H865" si="1814">H864/H$858*365</f>
        <v>17.357361433295498</v>
      </c>
      <c r="I865" s="25">
        <f t="shared" ref="I865" si="1815">I864/I$858*365</f>
        <v>1.2942013604129419</v>
      </c>
      <c r="J865" s="25">
        <f t="shared" ref="J865" si="1816">J864/J$858*365</f>
        <v>-2.7837022792334061</v>
      </c>
      <c r="K865" s="25">
        <f t="shared" ref="K865" si="1817">K864/K$858*365</f>
        <v>-6.3365689751726721</v>
      </c>
      <c r="L865" s="25">
        <f t="shared" ref="L865" si="1818">L864/L$858*365</f>
        <v>-9.7064072818133145</v>
      </c>
      <c r="M865" s="25">
        <f t="shared" ref="M865" si="1819">M864/M$858*365</f>
        <v>3.6000402576489536</v>
      </c>
      <c r="N865" s="25">
        <f t="shared" ref="N865" si="1820">N864/N$858*365</f>
        <v>-6.7415926119533021</v>
      </c>
      <c r="O865" s="25">
        <f t="shared" ref="O865" si="1821">O864/O$858*365</f>
        <v>-6.621060722521138</v>
      </c>
      <c r="P865" s="25">
        <f t="shared" ref="P865" si="1822">P864/P$858*365</f>
        <v>-0.20791797208772431</v>
      </c>
      <c r="Q865" s="25">
        <f t="shared" ref="Q865" si="1823">Q864/Q$858*365</f>
        <v>-2.3013323816321676</v>
      </c>
      <c r="R865" s="25">
        <f t="shared" ref="R865" si="1824">R864/R$858*365</f>
        <v>-9.5929817339430201</v>
      </c>
      <c r="S865" s="25">
        <f t="shared" ref="S865" si="1825">S864/S$858*365</f>
        <v>-8.5050617134599769</v>
      </c>
      <c r="T865" s="25">
        <f t="shared" ref="T865" si="1826">T864/T$858*365</f>
        <v>-9.0456391668777858</v>
      </c>
      <c r="U865" s="25">
        <f t="shared" ref="U865" si="1827">U864/U$858*365</f>
        <v>-8.3674136673491084</v>
      </c>
      <c r="V865" s="25">
        <f t="shared" ref="V865" si="1828">V864/V$858*365</f>
        <v>-7.54985186076527</v>
      </c>
      <c r="W865" s="25">
        <f>W864/W$858*365</f>
        <v>-7.1234564874837947</v>
      </c>
      <c r="X865" s="25">
        <f t="shared" ref="X865" si="1829">X864/X$858*365</f>
        <v>-7.5127023189981363</v>
      </c>
      <c r="Y865" s="135" t="s">
        <v>4</v>
      </c>
    </row>
    <row r="866" spans="2:25" ht="15" customHeight="1" outlineLevel="1">
      <c r="B866" s="204" t="s">
        <v>239</v>
      </c>
      <c r="C866" s="283" t="s">
        <v>26</v>
      </c>
      <c r="D866" s="62"/>
      <c r="E866" s="62"/>
      <c r="F866" s="62"/>
      <c r="G866" s="26" t="s">
        <v>44</v>
      </c>
      <c r="H866" s="25">
        <f>H864-G864</f>
        <v>-219.09999999999991</v>
      </c>
      <c r="I866" s="25">
        <f t="shared" ref="I866:W866" si="1830">I864-H864</f>
        <v>-178.00000000000011</v>
      </c>
      <c r="J866" s="25">
        <f t="shared" si="1830"/>
        <v>-49.599999999999909</v>
      </c>
      <c r="K866" s="25">
        <f t="shared" si="1830"/>
        <v>-58.100000000000023</v>
      </c>
      <c r="L866" s="25">
        <f t="shared" si="1830"/>
        <v>-56</v>
      </c>
      <c r="M866" s="25">
        <f t="shared" si="1830"/>
        <v>198</v>
      </c>
      <c r="N866" s="25">
        <f t="shared" si="1830"/>
        <v>-155</v>
      </c>
      <c r="O866" s="25">
        <f t="shared" si="1830"/>
        <v>-12</v>
      </c>
      <c r="P866" s="25">
        <f t="shared" si="1830"/>
        <v>114</v>
      </c>
      <c r="Q866" s="25">
        <f t="shared" si="1830"/>
        <v>-49</v>
      </c>
      <c r="R866" s="25">
        <f t="shared" si="1830"/>
        <v>-305.06006294233816</v>
      </c>
      <c r="S866" s="25">
        <f t="shared" si="1830"/>
        <v>105.0307689190879</v>
      </c>
      <c r="T866" s="25">
        <f t="shared" si="1830"/>
        <v>-73.408780645099114</v>
      </c>
      <c r="U866" s="25">
        <f t="shared" si="1830"/>
        <v>-16.84899764385159</v>
      </c>
      <c r="V866" s="25">
        <f t="shared" si="1830"/>
        <v>-12.862720475424794</v>
      </c>
      <c r="W866" s="25">
        <f t="shared" si="1830"/>
        <v>-35.315568741654261</v>
      </c>
      <c r="X866" s="25">
        <f t="shared" ref="X866" si="1831">X864-W864</f>
        <v>-96.606011596444205</v>
      </c>
      <c r="Y866" s="135" t="s">
        <v>4</v>
      </c>
    </row>
    <row r="867" spans="2:25" ht="15" customHeight="1" outlineLevel="1">
      <c r="B867" s="266"/>
      <c r="C867" s="283"/>
      <c r="G867" s="25"/>
      <c r="H867" s="25"/>
      <c r="I867" s="25"/>
      <c r="J867" s="25"/>
      <c r="K867" s="25"/>
      <c r="L867" s="25"/>
      <c r="M867" s="25"/>
      <c r="N867" s="25"/>
      <c r="O867" s="25"/>
      <c r="P867" s="25"/>
      <c r="Q867" s="25"/>
      <c r="R867" s="25"/>
      <c r="S867" s="25"/>
      <c r="T867" s="25"/>
      <c r="U867" s="25"/>
      <c r="V867" s="25"/>
      <c r="W867" s="115"/>
      <c r="X867" s="115"/>
      <c r="Y867" s="135" t="s">
        <v>4</v>
      </c>
    </row>
    <row r="868" spans="2:25" ht="15" customHeight="1" outlineLevel="1">
      <c r="B868" s="265" t="s">
        <v>161</v>
      </c>
      <c r="C868" s="254" t="s">
        <v>26</v>
      </c>
      <c r="D868" s="62"/>
      <c r="E868" s="62"/>
      <c r="F868" s="62"/>
      <c r="G868" s="213">
        <f>G872+G876+G880</f>
        <v>634.79999999999995</v>
      </c>
      <c r="H868" s="213">
        <f t="shared" ref="H868:W868" si="1832">H872+H876+H880</f>
        <v>554.20000000000005</v>
      </c>
      <c r="I868" s="213">
        <f t="shared" si="1832"/>
        <v>578.9</v>
      </c>
      <c r="J868" s="213">
        <f t="shared" si="1832"/>
        <v>592.9</v>
      </c>
      <c r="K868" s="213">
        <f t="shared" si="1832"/>
        <v>587</v>
      </c>
      <c r="L868" s="213">
        <f t="shared" si="1832"/>
        <v>663</v>
      </c>
      <c r="M868" s="213">
        <f t="shared" si="1832"/>
        <v>704</v>
      </c>
      <c r="N868" s="213">
        <f t="shared" si="1832"/>
        <v>729</v>
      </c>
      <c r="O868" s="213">
        <f t="shared" si="1832"/>
        <v>870</v>
      </c>
      <c r="P868" s="213">
        <f t="shared" si="1832"/>
        <v>1034</v>
      </c>
      <c r="Q868" s="213">
        <f t="shared" si="1832"/>
        <v>948</v>
      </c>
      <c r="R868" s="213">
        <f t="shared" si="1832"/>
        <v>1781.5378425347928</v>
      </c>
      <c r="S868" s="213">
        <f t="shared" si="1832"/>
        <v>1370.9362567473045</v>
      </c>
      <c r="T868" s="213">
        <f t="shared" si="1832"/>
        <v>1692.0221825368783</v>
      </c>
      <c r="U868" s="213">
        <f t="shared" si="1832"/>
        <v>1945.8991252930609</v>
      </c>
      <c r="V868" s="213">
        <f t="shared" si="1832"/>
        <v>2234.8511983302255</v>
      </c>
      <c r="W868" s="213">
        <f t="shared" si="1832"/>
        <v>2582.4245709710858</v>
      </c>
      <c r="X868" s="213">
        <f t="shared" ref="X868" si="1833">X872+X876+X880</f>
        <v>3100.6813738156543</v>
      </c>
      <c r="Y868" s="135" t="s">
        <v>4</v>
      </c>
    </row>
    <row r="869" spans="2:25" ht="15" customHeight="1" outlineLevel="1">
      <c r="B869" s="204" t="s">
        <v>261</v>
      </c>
      <c r="C869" s="269" t="s">
        <v>39</v>
      </c>
      <c r="D869" s="62"/>
      <c r="E869" s="62"/>
      <c r="F869" s="62"/>
      <c r="G869" s="25">
        <f t="shared" ref="G869:V869" si="1834">G868/G$858*365</f>
        <v>193.27827827827826</v>
      </c>
      <c r="H869" s="25">
        <f t="shared" si="1834"/>
        <v>49.91930309461528</v>
      </c>
      <c r="I869" s="25">
        <f t="shared" si="1834"/>
        <v>50.966882145786087</v>
      </c>
      <c r="J869" s="25">
        <f t="shared" si="1834"/>
        <v>47.291033849784746</v>
      </c>
      <c r="K869" s="25">
        <f t="shared" si="1834"/>
        <v>39.995333208885576</v>
      </c>
      <c r="L869" s="25">
        <f t="shared" si="1834"/>
        <v>43.190255220417633</v>
      </c>
      <c r="M869" s="25">
        <f t="shared" si="1834"/>
        <v>51.723027375201283</v>
      </c>
      <c r="N869" s="25">
        <f t="shared" si="1834"/>
        <v>46.364349189754314</v>
      </c>
      <c r="O869" s="25">
        <f t="shared" si="1834"/>
        <v>48.816295157571105</v>
      </c>
      <c r="P869" s="25">
        <f t="shared" si="1834"/>
        <v>53.746795784676735</v>
      </c>
      <c r="Q869" s="25">
        <f t="shared" si="1834"/>
        <v>41.163454675231975</v>
      </c>
      <c r="R869" s="25">
        <f t="shared" si="1834"/>
        <v>47.730148515660446</v>
      </c>
      <c r="S869" s="25">
        <f t="shared" si="1834"/>
        <v>46.08121567056277</v>
      </c>
      <c r="T869" s="25">
        <f t="shared" si="1834"/>
        <v>46.886142620254816</v>
      </c>
      <c r="U869" s="25">
        <f t="shared" si="1834"/>
        <v>47.430108062595814</v>
      </c>
      <c r="V869" s="25">
        <f t="shared" si="1834"/>
        <v>47.375558879823053</v>
      </c>
      <c r="W869" s="25">
        <f>W868/W$858*365</f>
        <v>46.992124645862461</v>
      </c>
      <c r="X869" s="25">
        <f t="shared" ref="X869" si="1835">X868/X$858*365</f>
        <v>47.72764277969376</v>
      </c>
      <c r="Y869" s="135" t="s">
        <v>4</v>
      </c>
    </row>
    <row r="870" spans="2:25" ht="15" customHeight="1" outlineLevel="1">
      <c r="B870" s="204" t="s">
        <v>239</v>
      </c>
      <c r="C870" s="283" t="s">
        <v>26</v>
      </c>
      <c r="D870" s="62"/>
      <c r="E870" s="62"/>
      <c r="F870" s="62"/>
      <c r="G870" s="26" t="s">
        <v>44</v>
      </c>
      <c r="H870" s="25">
        <f>H868-G868</f>
        <v>-80.599999999999909</v>
      </c>
      <c r="I870" s="25">
        <f t="shared" ref="I870:W870" si="1836">I868-H868</f>
        <v>24.699999999999932</v>
      </c>
      <c r="J870" s="25">
        <f t="shared" si="1836"/>
        <v>14</v>
      </c>
      <c r="K870" s="25">
        <f t="shared" si="1836"/>
        <v>-5.8999999999999773</v>
      </c>
      <c r="L870" s="25">
        <f t="shared" si="1836"/>
        <v>76</v>
      </c>
      <c r="M870" s="25">
        <f t="shared" si="1836"/>
        <v>41</v>
      </c>
      <c r="N870" s="25">
        <f t="shared" si="1836"/>
        <v>25</v>
      </c>
      <c r="O870" s="25">
        <f t="shared" si="1836"/>
        <v>141</v>
      </c>
      <c r="P870" s="25">
        <f t="shared" si="1836"/>
        <v>164</v>
      </c>
      <c r="Q870" s="25">
        <f t="shared" si="1836"/>
        <v>-86</v>
      </c>
      <c r="R870" s="25">
        <f t="shared" si="1836"/>
        <v>833.53784253479284</v>
      </c>
      <c r="S870" s="25">
        <f t="shared" si="1836"/>
        <v>-410.60158578748837</v>
      </c>
      <c r="T870" s="25">
        <f t="shared" si="1836"/>
        <v>321.08592578957382</v>
      </c>
      <c r="U870" s="25">
        <f t="shared" si="1836"/>
        <v>253.87694275618264</v>
      </c>
      <c r="V870" s="25">
        <f t="shared" si="1836"/>
        <v>288.95207303716461</v>
      </c>
      <c r="W870" s="25">
        <f t="shared" si="1836"/>
        <v>347.57337264086027</v>
      </c>
      <c r="X870" s="25">
        <f t="shared" ref="X870" si="1837">X868-W868</f>
        <v>518.25680284456848</v>
      </c>
      <c r="Y870" s="135" t="s">
        <v>4</v>
      </c>
    </row>
    <row r="871" spans="2:25" ht="15" customHeight="1" outlineLevel="1">
      <c r="B871" s="289"/>
      <c r="C871" s="290"/>
      <c r="G871" s="25"/>
      <c r="H871" s="25"/>
      <c r="I871" s="25"/>
      <c r="J871" s="25"/>
      <c r="K871" s="25"/>
      <c r="L871" s="25"/>
      <c r="M871" s="25"/>
      <c r="N871" s="25"/>
      <c r="O871" s="25"/>
      <c r="P871" s="25"/>
      <c r="Q871" s="25"/>
      <c r="R871" s="25"/>
      <c r="S871" s="25"/>
      <c r="T871" s="25"/>
      <c r="U871" s="25"/>
      <c r="V871" s="25"/>
      <c r="W871" s="115"/>
      <c r="X871" s="115"/>
      <c r="Y871" s="135" t="s">
        <v>4</v>
      </c>
    </row>
    <row r="872" spans="2:25" ht="15" customHeight="1" outlineLevel="1">
      <c r="B872" s="292" t="s">
        <v>262</v>
      </c>
      <c r="C872" s="218" t="s">
        <v>26</v>
      </c>
      <c r="D872" s="62"/>
      <c r="E872" s="62"/>
      <c r="F872" s="62"/>
      <c r="G872" s="25">
        <f t="shared" ref="G872:Q872" si="1838">G674</f>
        <v>439.9</v>
      </c>
      <c r="H872" s="25">
        <f t="shared" si="1838"/>
        <v>422</v>
      </c>
      <c r="I872" s="25">
        <f t="shared" si="1838"/>
        <v>403.5</v>
      </c>
      <c r="J872" s="25">
        <f t="shared" si="1838"/>
        <v>455.9</v>
      </c>
      <c r="K872" s="25">
        <f t="shared" si="1838"/>
        <v>452</v>
      </c>
      <c r="L872" s="25">
        <f t="shared" si="1838"/>
        <v>527</v>
      </c>
      <c r="M872" s="25">
        <f t="shared" si="1838"/>
        <v>536</v>
      </c>
      <c r="N872" s="25">
        <f t="shared" si="1838"/>
        <v>547</v>
      </c>
      <c r="O872" s="25">
        <f t="shared" si="1838"/>
        <v>614</v>
      </c>
      <c r="P872" s="25">
        <f t="shared" si="1838"/>
        <v>749</v>
      </c>
      <c r="Q872" s="25">
        <f t="shared" si="1838"/>
        <v>698</v>
      </c>
      <c r="R872" s="25">
        <f>R873*R$858/365</f>
        <v>1131.2567082696987</v>
      </c>
      <c r="S872" s="25">
        <f t="shared" ref="S872:X872" si="1839">S873*S$858/365</f>
        <v>901.6795830305033</v>
      </c>
      <c r="T872" s="25">
        <f t="shared" si="1839"/>
        <v>1093.7560026917729</v>
      </c>
      <c r="U872" s="25">
        <f t="shared" si="1839"/>
        <v>1243.440790591693</v>
      </c>
      <c r="V872" s="25">
        <f t="shared" si="1839"/>
        <v>1429.7271593810879</v>
      </c>
      <c r="W872" s="25">
        <f t="shared" si="1839"/>
        <v>1665.5645377328883</v>
      </c>
      <c r="X872" s="25">
        <f t="shared" si="1839"/>
        <v>1969.0015421695034</v>
      </c>
      <c r="Y872" s="135" t="s">
        <v>4</v>
      </c>
    </row>
    <row r="873" spans="2:25" ht="15" customHeight="1" outlineLevel="1">
      <c r="B873" s="293" t="s">
        <v>263</v>
      </c>
      <c r="C873" s="269" t="s">
        <v>39</v>
      </c>
      <c r="D873" s="62"/>
      <c r="E873" s="62"/>
      <c r="F873" s="62"/>
      <c r="G873" s="25">
        <f t="shared" ref="G873" si="1840">G872/G$858*365</f>
        <v>133.93685352018684</v>
      </c>
      <c r="H873" s="25">
        <f t="shared" ref="H873" si="1841">H872/H$858*365</f>
        <v>38.01145057006071</v>
      </c>
      <c r="I873" s="25">
        <f t="shared" ref="I873" si="1842">I872/I$858*365</f>
        <v>35.524506729702345</v>
      </c>
      <c r="J873" s="25">
        <f t="shared" ref="J873" si="1843">J872/J$858*365</f>
        <v>36.363606564541854</v>
      </c>
      <c r="K873" s="25">
        <f t="shared" ref="K873" si="1844">K872/K$858*365</f>
        <v>30.797087922344598</v>
      </c>
      <c r="L873" s="25">
        <f t="shared" ref="L873" si="1845">L872/L$858*365</f>
        <v>34.33071568802427</v>
      </c>
      <c r="M873" s="25">
        <f t="shared" ref="M873" si="1846">M872/M$858*365</f>
        <v>39.380032206119161</v>
      </c>
      <c r="N873" s="25">
        <f t="shared" ref="N873" si="1847">N872/N$858*365</f>
        <v>34.789161874891093</v>
      </c>
      <c r="O873" s="25">
        <f t="shared" ref="O873" si="1848">O872/O$858*365</f>
        <v>34.451960030745582</v>
      </c>
      <c r="P873" s="25">
        <f t="shared" ref="P873" si="1849">P872/P$858*365</f>
        <v>38.932640273426372</v>
      </c>
      <c r="Q873" s="25">
        <f t="shared" ref="Q873" si="1850">Q872/Q$858*365</f>
        <v>30.308113252438737</v>
      </c>
      <c r="R873" s="186">
        <f>Q873</f>
        <v>30.308113252438737</v>
      </c>
      <c r="S873" s="186">
        <f t="shared" ref="S873:X873" si="1851">R873</f>
        <v>30.308113252438737</v>
      </c>
      <c r="T873" s="186">
        <f t="shared" si="1851"/>
        <v>30.308113252438737</v>
      </c>
      <c r="U873" s="186">
        <f t="shared" si="1851"/>
        <v>30.308113252438737</v>
      </c>
      <c r="V873" s="186">
        <f t="shared" si="1851"/>
        <v>30.308113252438737</v>
      </c>
      <c r="W873" s="186">
        <f t="shared" si="1851"/>
        <v>30.308113252438737</v>
      </c>
      <c r="X873" s="186">
        <f t="shared" si="1851"/>
        <v>30.308113252438737</v>
      </c>
      <c r="Y873" s="135" t="s">
        <v>4</v>
      </c>
    </row>
    <row r="874" spans="2:25" ht="15" customHeight="1" outlineLevel="1">
      <c r="B874" s="294" t="s">
        <v>239</v>
      </c>
      <c r="C874" s="283" t="s">
        <v>26</v>
      </c>
      <c r="D874" s="62"/>
      <c r="E874" s="62"/>
      <c r="F874" s="62"/>
      <c r="G874" s="26" t="s">
        <v>44</v>
      </c>
      <c r="H874" s="25">
        <f>H872-G872</f>
        <v>-17.899999999999977</v>
      </c>
      <c r="I874" s="25">
        <f t="shared" ref="I874:W874" si="1852">I872-H872</f>
        <v>-18.5</v>
      </c>
      <c r="J874" s="25">
        <f t="shared" si="1852"/>
        <v>52.399999999999977</v>
      </c>
      <c r="K874" s="25">
        <f t="shared" si="1852"/>
        <v>-3.8999999999999773</v>
      </c>
      <c r="L874" s="25">
        <f t="shared" si="1852"/>
        <v>75</v>
      </c>
      <c r="M874" s="25">
        <f t="shared" si="1852"/>
        <v>9</v>
      </c>
      <c r="N874" s="25">
        <f t="shared" si="1852"/>
        <v>11</v>
      </c>
      <c r="O874" s="25">
        <f t="shared" si="1852"/>
        <v>67</v>
      </c>
      <c r="P874" s="25">
        <f t="shared" si="1852"/>
        <v>135</v>
      </c>
      <c r="Q874" s="25">
        <f t="shared" si="1852"/>
        <v>-51</v>
      </c>
      <c r="R874" s="25">
        <f t="shared" si="1852"/>
        <v>433.25670826969872</v>
      </c>
      <c r="S874" s="25">
        <f t="shared" si="1852"/>
        <v>-229.57712523919542</v>
      </c>
      <c r="T874" s="25">
        <f t="shared" si="1852"/>
        <v>192.0764196612696</v>
      </c>
      <c r="U874" s="25">
        <f t="shared" si="1852"/>
        <v>149.68478789992014</v>
      </c>
      <c r="V874" s="25">
        <f t="shared" si="1852"/>
        <v>186.28636878939483</v>
      </c>
      <c r="W874" s="25">
        <f t="shared" si="1852"/>
        <v>235.83737835180045</v>
      </c>
      <c r="X874" s="25">
        <f t="shared" ref="X874" si="1853">X872-W872</f>
        <v>303.4370044366151</v>
      </c>
      <c r="Y874" s="135" t="s">
        <v>4</v>
      </c>
    </row>
    <row r="875" spans="2:25" ht="15" customHeight="1" outlineLevel="1">
      <c r="B875" s="291"/>
      <c r="C875" s="291"/>
      <c r="G875" s="25"/>
      <c r="H875" s="25"/>
      <c r="I875" s="25"/>
      <c r="J875" s="25"/>
      <c r="K875" s="25"/>
      <c r="L875" s="25"/>
      <c r="M875" s="25"/>
      <c r="N875" s="25"/>
      <c r="O875" s="25"/>
      <c r="P875" s="25"/>
      <c r="Q875" s="25"/>
      <c r="R875" s="25"/>
      <c r="S875" s="25"/>
      <c r="T875" s="25"/>
      <c r="U875" s="25"/>
      <c r="V875" s="25"/>
      <c r="W875" s="115"/>
      <c r="X875" s="115"/>
      <c r="Y875" s="135" t="s">
        <v>4</v>
      </c>
    </row>
    <row r="876" spans="2:25" ht="15" customHeight="1" outlineLevel="1">
      <c r="B876" s="292" t="s">
        <v>264</v>
      </c>
      <c r="C876" s="218" t="s">
        <v>26</v>
      </c>
      <c r="D876" s="62"/>
      <c r="E876" s="62"/>
      <c r="F876" s="62"/>
      <c r="G876" s="25">
        <f t="shared" ref="G876:Q876" si="1854">G675</f>
        <v>0</v>
      </c>
      <c r="H876" s="25">
        <f t="shared" si="1854"/>
        <v>0</v>
      </c>
      <c r="I876" s="25">
        <f t="shared" si="1854"/>
        <v>71.8</v>
      </c>
      <c r="J876" s="25">
        <f t="shared" si="1854"/>
        <v>78</v>
      </c>
      <c r="K876" s="25">
        <f t="shared" si="1854"/>
        <v>75</v>
      </c>
      <c r="L876" s="25">
        <f t="shared" si="1854"/>
        <v>84</v>
      </c>
      <c r="M876" s="25">
        <f t="shared" si="1854"/>
        <v>96</v>
      </c>
      <c r="N876" s="25">
        <f t="shared" si="1854"/>
        <v>96</v>
      </c>
      <c r="O876" s="25">
        <f t="shared" si="1854"/>
        <v>133</v>
      </c>
      <c r="P876" s="25">
        <f t="shared" si="1854"/>
        <v>166</v>
      </c>
      <c r="Q876" s="25">
        <f t="shared" si="1854"/>
        <v>142</v>
      </c>
      <c r="R876" s="25">
        <f t="shared" ref="R876:X876" si="1855">R877*-R860/365</f>
        <v>451.68861045152244</v>
      </c>
      <c r="S876" s="25">
        <f t="shared" si="1855"/>
        <v>301.3812575948001</v>
      </c>
      <c r="T876" s="25">
        <f t="shared" si="1855"/>
        <v>392.50705402819307</v>
      </c>
      <c r="U876" s="25">
        <f t="shared" si="1855"/>
        <v>466.95378930136326</v>
      </c>
      <c r="V876" s="25">
        <f t="shared" si="1855"/>
        <v>543.46794369970189</v>
      </c>
      <c r="W876" s="25">
        <f t="shared" si="1855"/>
        <v>617.89419014759017</v>
      </c>
      <c r="X876" s="25">
        <f t="shared" si="1855"/>
        <v>770.11876191377871</v>
      </c>
      <c r="Y876" s="135" t="s">
        <v>4</v>
      </c>
    </row>
    <row r="877" spans="2:25" ht="15" customHeight="1" outlineLevel="1">
      <c r="B877" s="293" t="s">
        <v>263</v>
      </c>
      <c r="C877" s="269" t="s">
        <v>39</v>
      </c>
      <c r="D877" s="62"/>
      <c r="E877" s="62"/>
      <c r="F877" s="62"/>
      <c r="G877" s="25">
        <f>-G876/G$860*365</f>
        <v>0</v>
      </c>
      <c r="H877" s="25">
        <f t="shared" ref="H877:P877" si="1856">-H876/H$860*365</f>
        <v>0</v>
      </c>
      <c r="I877" s="25">
        <f t="shared" si="1856"/>
        <v>15.172234122619114</v>
      </c>
      <c r="J877" s="25">
        <f t="shared" si="1856"/>
        <v>15.386694049613579</v>
      </c>
      <c r="K877" s="25">
        <f t="shared" si="1856"/>
        <v>15.058584080532482</v>
      </c>
      <c r="L877" s="25">
        <f t="shared" si="1856"/>
        <v>16.91119691119691</v>
      </c>
      <c r="M877" s="25">
        <f t="shared" si="1856"/>
        <v>21.763975155279503</v>
      </c>
      <c r="N877" s="25">
        <f t="shared" si="1856"/>
        <v>18.539682539682541</v>
      </c>
      <c r="O877" s="25">
        <f t="shared" si="1856"/>
        <v>20.9969723183391</v>
      </c>
      <c r="P877" s="25">
        <f t="shared" si="1856"/>
        <v>24.882956878850106</v>
      </c>
      <c r="Q877" s="25">
        <f>-Q876/Q$860*365</f>
        <v>14.774800456100342</v>
      </c>
      <c r="R877" s="186">
        <f>AVERAGE(L877:Q877)</f>
        <v>19.644930709908085</v>
      </c>
      <c r="S877" s="186">
        <f t="shared" ref="S877:X877" si="1857">AVERAGE(M877:R877)</f>
        <v>20.100553009693279</v>
      </c>
      <c r="T877" s="186">
        <f t="shared" si="1857"/>
        <v>19.823315985428906</v>
      </c>
      <c r="U877" s="186">
        <f t="shared" si="1857"/>
        <v>20.037254893053301</v>
      </c>
      <c r="V877" s="186">
        <f t="shared" si="1857"/>
        <v>19.877301988839005</v>
      </c>
      <c r="W877" s="186">
        <f t="shared" si="1857"/>
        <v>19.043026173837152</v>
      </c>
      <c r="X877" s="186">
        <f t="shared" si="1857"/>
        <v>19.75439712679329</v>
      </c>
      <c r="Y877" s="135" t="s">
        <v>4</v>
      </c>
    </row>
    <row r="878" spans="2:25" ht="15" customHeight="1" outlineLevel="1">
      <c r="B878" s="294" t="s">
        <v>239</v>
      </c>
      <c r="C878" s="283" t="s">
        <v>26</v>
      </c>
      <c r="D878" s="62"/>
      <c r="E878" s="62"/>
      <c r="F878" s="62"/>
      <c r="G878" s="26" t="s">
        <v>44</v>
      </c>
      <c r="H878" s="25">
        <f>H876-G876</f>
        <v>0</v>
      </c>
      <c r="I878" s="25">
        <f t="shared" ref="I878:W878" si="1858">I876-H876</f>
        <v>71.8</v>
      </c>
      <c r="J878" s="25">
        <f t="shared" si="1858"/>
        <v>6.2000000000000028</v>
      </c>
      <c r="K878" s="25">
        <f t="shared" si="1858"/>
        <v>-3</v>
      </c>
      <c r="L878" s="25">
        <f t="shared" si="1858"/>
        <v>9</v>
      </c>
      <c r="M878" s="25">
        <f t="shared" si="1858"/>
        <v>12</v>
      </c>
      <c r="N878" s="25">
        <f t="shared" si="1858"/>
        <v>0</v>
      </c>
      <c r="O878" s="25">
        <f t="shared" si="1858"/>
        <v>37</v>
      </c>
      <c r="P878" s="25">
        <f t="shared" si="1858"/>
        <v>33</v>
      </c>
      <c r="Q878" s="25">
        <f t="shared" si="1858"/>
        <v>-24</v>
      </c>
      <c r="R878" s="25">
        <f t="shared" si="1858"/>
        <v>309.68861045152244</v>
      </c>
      <c r="S878" s="25">
        <f t="shared" si="1858"/>
        <v>-150.30735285672233</v>
      </c>
      <c r="T878" s="25">
        <f t="shared" si="1858"/>
        <v>91.125796433392964</v>
      </c>
      <c r="U878" s="25">
        <f t="shared" si="1858"/>
        <v>74.446735273170191</v>
      </c>
      <c r="V878" s="25">
        <f t="shared" si="1858"/>
        <v>76.514154398338633</v>
      </c>
      <c r="W878" s="25">
        <f t="shared" si="1858"/>
        <v>74.426246447888275</v>
      </c>
      <c r="X878" s="25">
        <f t="shared" ref="X878" si="1859">X876-W876</f>
        <v>152.22457176618855</v>
      </c>
      <c r="Y878" s="135" t="s">
        <v>4</v>
      </c>
    </row>
    <row r="879" spans="2:25" ht="15" customHeight="1" outlineLevel="1">
      <c r="B879" s="291"/>
      <c r="C879" s="291"/>
      <c r="G879" s="25"/>
      <c r="H879" s="25"/>
      <c r="I879" s="25"/>
      <c r="J879" s="25"/>
      <c r="K879" s="25"/>
      <c r="L879" s="25"/>
      <c r="M879" s="25"/>
      <c r="N879" s="25"/>
      <c r="O879" s="25"/>
      <c r="P879" s="25"/>
      <c r="Q879" s="25"/>
      <c r="R879" s="25"/>
      <c r="S879" s="25"/>
      <c r="T879" s="25"/>
      <c r="U879" s="25"/>
      <c r="V879" s="25"/>
      <c r="W879" s="115"/>
      <c r="X879" s="115"/>
      <c r="Y879" s="135" t="s">
        <v>4</v>
      </c>
    </row>
    <row r="880" spans="2:25" ht="15" customHeight="1" outlineLevel="1">
      <c r="B880" s="292" t="s">
        <v>165</v>
      </c>
      <c r="C880" s="218" t="s">
        <v>26</v>
      </c>
      <c r="D880" s="62"/>
      <c r="E880" s="62"/>
      <c r="F880" s="62"/>
      <c r="G880" s="25">
        <f t="shared" ref="G880:Q880" si="1860">G676</f>
        <v>194.9</v>
      </c>
      <c r="H880" s="25">
        <f t="shared" si="1860"/>
        <v>132.19999999999999</v>
      </c>
      <c r="I880" s="25">
        <f t="shared" si="1860"/>
        <v>103.6</v>
      </c>
      <c r="J880" s="25">
        <f t="shared" si="1860"/>
        <v>59</v>
      </c>
      <c r="K880" s="25">
        <f t="shared" si="1860"/>
        <v>60</v>
      </c>
      <c r="L880" s="25">
        <f t="shared" si="1860"/>
        <v>52</v>
      </c>
      <c r="M880" s="25">
        <f t="shared" si="1860"/>
        <v>72</v>
      </c>
      <c r="N880" s="25">
        <f t="shared" si="1860"/>
        <v>86</v>
      </c>
      <c r="O880" s="25">
        <f t="shared" si="1860"/>
        <v>123</v>
      </c>
      <c r="P880" s="25">
        <f t="shared" si="1860"/>
        <v>119</v>
      </c>
      <c r="Q880" s="25">
        <f t="shared" si="1860"/>
        <v>108</v>
      </c>
      <c r="R880" s="25">
        <f>R881*R$858/365</f>
        <v>198.59252381357172</v>
      </c>
      <c r="S880" s="25">
        <f t="shared" ref="S880" si="1861">S881*S$858/365</f>
        <v>167.87541612200113</v>
      </c>
      <c r="T880" s="25">
        <f t="shared" ref="T880" si="1862">T881*T$858/365</f>
        <v>205.7591258169123</v>
      </c>
      <c r="U880" s="25">
        <f t="shared" ref="U880" si="1863">U881*U$858/365</f>
        <v>235.50454540000459</v>
      </c>
      <c r="V880" s="25">
        <f t="shared" ref="V880" si="1864">V881*V$858/365</f>
        <v>261.65609524943585</v>
      </c>
      <c r="W880" s="25">
        <f t="shared" ref="W880:X880" si="1865">W881*W$858/365</f>
        <v>298.96584309060739</v>
      </c>
      <c r="X880" s="25">
        <f t="shared" si="1865"/>
        <v>361.56106973237206</v>
      </c>
      <c r="Y880" s="135" t="s">
        <v>4</v>
      </c>
    </row>
    <row r="881" spans="2:25" ht="15" customHeight="1" outlineLevel="1">
      <c r="B881" s="293" t="s">
        <v>263</v>
      </c>
      <c r="C881" s="269" t="s">
        <v>39</v>
      </c>
      <c r="D881" s="62"/>
      <c r="E881" s="62"/>
      <c r="F881" s="62"/>
      <c r="G881" s="25">
        <f t="shared" ref="G881" si="1866">G880/G$858*365</f>
        <v>59.341424758091428</v>
      </c>
      <c r="H881" s="25">
        <f t="shared" ref="H881" si="1867">H880/H$858*365</f>
        <v>11.907852524554562</v>
      </c>
      <c r="I881" s="25">
        <f t="shared" ref="I881" si="1868">I880/I$858*365</f>
        <v>9.1210381591007756</v>
      </c>
      <c r="J881" s="25">
        <f t="shared" ref="J881" si="1869">J880/J$858*365</f>
        <v>4.7059723345206619</v>
      </c>
      <c r="K881" s="25">
        <f t="shared" ref="K881" si="1870">K880/K$858*365</f>
        <v>4.0881090162404332</v>
      </c>
      <c r="L881" s="25">
        <f t="shared" ref="L881" si="1871">L880/L$858*365</f>
        <v>3.3874709976798143</v>
      </c>
      <c r="M881" s="25">
        <f t="shared" ref="M881" si="1872">M880/M$858*365</f>
        <v>5.2898550724637685</v>
      </c>
      <c r="N881" s="25">
        <f t="shared" ref="N881" si="1873">N880/N$858*365</f>
        <v>5.4695940059243773</v>
      </c>
      <c r="O881" s="25">
        <f t="shared" ref="O881" si="1874">O880/O$858*365</f>
        <v>6.9016141429669489</v>
      </c>
      <c r="P881" s="25">
        <f t="shared" ref="P881" si="1875">P880/P$858*365</f>
        <v>6.1855596696097974</v>
      </c>
      <c r="Q881" s="25">
        <f t="shared" ref="Q881" si="1876">Q880/Q$858*365</f>
        <v>4.6895074946466808</v>
      </c>
      <c r="R881" s="186">
        <f>AVERAGE(L881:Q881)</f>
        <v>5.3206002305485649</v>
      </c>
      <c r="S881" s="186">
        <f t="shared" ref="S881:X881" si="1877">AVERAGE(M881:R881)</f>
        <v>5.6427884360266889</v>
      </c>
      <c r="T881" s="186">
        <f t="shared" si="1877"/>
        <v>5.7016106632871768</v>
      </c>
      <c r="U881" s="186">
        <f t="shared" si="1877"/>
        <v>5.7402801061809754</v>
      </c>
      <c r="V881" s="186">
        <f t="shared" si="1877"/>
        <v>5.5467244333833134</v>
      </c>
      <c r="W881" s="186">
        <f t="shared" si="1877"/>
        <v>5.440251894012234</v>
      </c>
      <c r="X881" s="186">
        <f t="shared" si="1877"/>
        <v>5.5653759605731592</v>
      </c>
      <c r="Y881" s="135" t="s">
        <v>4</v>
      </c>
    </row>
    <row r="882" spans="2:25" ht="15" customHeight="1" outlineLevel="1">
      <c r="B882" s="294" t="s">
        <v>239</v>
      </c>
      <c r="C882" s="283" t="s">
        <v>26</v>
      </c>
      <c r="D882" s="62"/>
      <c r="E882" s="62"/>
      <c r="F882" s="62"/>
      <c r="G882" s="26" t="s">
        <v>44</v>
      </c>
      <c r="H882" s="25">
        <f>H880-G880</f>
        <v>-62.700000000000017</v>
      </c>
      <c r="I882" s="25">
        <f t="shared" ref="I882:W882" si="1878">I880-H880</f>
        <v>-28.599999999999994</v>
      </c>
      <c r="J882" s="25">
        <f t="shared" si="1878"/>
        <v>-44.599999999999994</v>
      </c>
      <c r="K882" s="25">
        <f t="shared" si="1878"/>
        <v>1</v>
      </c>
      <c r="L882" s="25">
        <f t="shared" si="1878"/>
        <v>-8</v>
      </c>
      <c r="M882" s="25">
        <f t="shared" si="1878"/>
        <v>20</v>
      </c>
      <c r="N882" s="25">
        <f t="shared" si="1878"/>
        <v>14</v>
      </c>
      <c r="O882" s="25">
        <f t="shared" si="1878"/>
        <v>37</v>
      </c>
      <c r="P882" s="25">
        <f t="shared" si="1878"/>
        <v>-4</v>
      </c>
      <c r="Q882" s="25">
        <f t="shared" si="1878"/>
        <v>-11</v>
      </c>
      <c r="R882" s="25">
        <f t="shared" si="1878"/>
        <v>90.592523813571717</v>
      </c>
      <c r="S882" s="25">
        <f t="shared" si="1878"/>
        <v>-30.71710769157059</v>
      </c>
      <c r="T882" s="25">
        <f t="shared" si="1878"/>
        <v>37.883709694911175</v>
      </c>
      <c r="U882" s="25">
        <f t="shared" si="1878"/>
        <v>29.745419583092286</v>
      </c>
      <c r="V882" s="25">
        <f t="shared" si="1878"/>
        <v>26.151549849431262</v>
      </c>
      <c r="W882" s="25">
        <f t="shared" si="1878"/>
        <v>37.309747841171543</v>
      </c>
      <c r="X882" s="25">
        <f t="shared" ref="X882" si="1879">X880-W880</f>
        <v>62.595226641764668</v>
      </c>
      <c r="Y882" s="135" t="s">
        <v>4</v>
      </c>
    </row>
    <row r="883" spans="2:25" ht="15" customHeight="1" outlineLevel="1">
      <c r="B883" s="291"/>
      <c r="C883" s="291"/>
      <c r="G883" s="25"/>
      <c r="H883" s="25"/>
      <c r="I883" s="25"/>
      <c r="J883" s="25"/>
      <c r="K883" s="25"/>
      <c r="L883" s="25"/>
      <c r="M883" s="25"/>
      <c r="N883" s="25"/>
      <c r="O883" s="25"/>
      <c r="P883" s="25"/>
      <c r="Q883" s="25"/>
      <c r="R883" s="25"/>
      <c r="S883" s="25"/>
      <c r="T883" s="25"/>
      <c r="U883" s="25"/>
      <c r="V883" s="25"/>
      <c r="W883" s="115"/>
      <c r="X883" s="115"/>
      <c r="Y883" s="135" t="s">
        <v>4</v>
      </c>
    </row>
    <row r="884" spans="2:25" ht="15" customHeight="1" outlineLevel="1">
      <c r="B884" s="265" t="s">
        <v>265</v>
      </c>
      <c r="C884" s="254" t="s">
        <v>26</v>
      </c>
      <c r="D884" s="62"/>
      <c r="E884" s="62"/>
      <c r="F884" s="62"/>
      <c r="G884" s="213">
        <f>G888+G892</f>
        <v>223</v>
      </c>
      <c r="H884" s="213">
        <f t="shared" ref="H884:X884" si="1880">H888+H892</f>
        <v>361.5</v>
      </c>
      <c r="I884" s="213">
        <f t="shared" si="1880"/>
        <v>564.20000000000005</v>
      </c>
      <c r="J884" s="213">
        <f t="shared" si="1880"/>
        <v>627.79999999999995</v>
      </c>
      <c r="K884" s="213">
        <f t="shared" si="1880"/>
        <v>680</v>
      </c>
      <c r="L884" s="213">
        <f t="shared" si="1880"/>
        <v>812</v>
      </c>
      <c r="M884" s="213">
        <f t="shared" si="1880"/>
        <v>655</v>
      </c>
      <c r="N884" s="213">
        <f t="shared" si="1880"/>
        <v>835</v>
      </c>
      <c r="O884" s="213">
        <f t="shared" si="1880"/>
        <v>988</v>
      </c>
      <c r="P884" s="213">
        <f t="shared" si="1880"/>
        <v>1038</v>
      </c>
      <c r="Q884" s="213">
        <f t="shared" si="1880"/>
        <v>1001</v>
      </c>
      <c r="R884" s="213">
        <f t="shared" si="1880"/>
        <v>2139.597905477131</v>
      </c>
      <c r="S884" s="213">
        <f t="shared" si="1880"/>
        <v>1623.9655507705547</v>
      </c>
      <c r="T884" s="213">
        <f t="shared" si="1880"/>
        <v>2018.4602572052277</v>
      </c>
      <c r="U884" s="213">
        <f t="shared" si="1880"/>
        <v>2289.1861976052619</v>
      </c>
      <c r="V884" s="213">
        <f t="shared" si="1880"/>
        <v>2591.0009911178513</v>
      </c>
      <c r="W884" s="213">
        <f t="shared" si="1880"/>
        <v>2973.8899325003658</v>
      </c>
      <c r="X884" s="213">
        <f t="shared" si="1880"/>
        <v>3588.7527469413785</v>
      </c>
      <c r="Y884" s="135" t="s">
        <v>4</v>
      </c>
    </row>
    <row r="885" spans="2:25" ht="15" customHeight="1" outlineLevel="1">
      <c r="B885" s="204" t="s">
        <v>261</v>
      </c>
      <c r="C885" s="269" t="s">
        <v>39</v>
      </c>
      <c r="D885" s="62"/>
      <c r="E885" s="62"/>
      <c r="F885" s="62"/>
      <c r="G885" s="25">
        <f t="shared" ref="G885" si="1881">G884/G$858*365</f>
        <v>67.897063730397065</v>
      </c>
      <c r="H885" s="25">
        <f t="shared" ref="H885" si="1882">H884/H$858*365</f>
        <v>32.561941661319779</v>
      </c>
      <c r="I885" s="25">
        <f t="shared" ref="I885" si="1883">I884/I$858*365</f>
        <v>49.672680785373153</v>
      </c>
      <c r="J885" s="25">
        <f t="shared" ref="J885" si="1884">J884/J$858*365</f>
        <v>50.074736129018149</v>
      </c>
      <c r="K885" s="25">
        <f t="shared" ref="K885" si="1885">K884/K$858*365</f>
        <v>46.331902184058244</v>
      </c>
      <c r="L885" s="25">
        <f t="shared" ref="L885" si="1886">L884/L$858*365</f>
        <v>52.896662502230946</v>
      </c>
      <c r="M885" s="25">
        <f t="shared" ref="M885" si="1887">M884/M$858*365</f>
        <v>48.122987117552334</v>
      </c>
      <c r="N885" s="25">
        <f t="shared" ref="N885" si="1888">N884/N$858*365</f>
        <v>53.105941801707615</v>
      </c>
      <c r="O885" s="25">
        <f t="shared" ref="O885" si="1889">O884/O$858*365</f>
        <v>55.437355880092241</v>
      </c>
      <c r="P885" s="25">
        <f t="shared" ref="P885" si="1890">P884/P$858*365</f>
        <v>53.954713756764455</v>
      </c>
      <c r="Q885" s="25">
        <f t="shared" ref="Q885" si="1891">Q884/Q$858*365</f>
        <v>43.464787056864139</v>
      </c>
      <c r="R885" s="25">
        <f t="shared" ref="R885" si="1892">R884/R$858*365</f>
        <v>57.323130249603459</v>
      </c>
      <c r="S885" s="25">
        <f t="shared" ref="S885" si="1893">S884/S$858*365</f>
        <v>54.58627738402275</v>
      </c>
      <c r="T885" s="25">
        <f t="shared" ref="T885" si="1894">T884/T$858*365</f>
        <v>55.931781787132607</v>
      </c>
      <c r="U885" s="25">
        <f t="shared" ref="U885" si="1895">U884/U$858*365</f>
        <v>55.797521729944918</v>
      </c>
      <c r="V885" s="25">
        <f t="shared" ref="V885" si="1896">V884/V$858*365</f>
        <v>54.925410740588333</v>
      </c>
      <c r="W885" s="25">
        <f>W884/W$858*365</f>
        <v>54.115581133346254</v>
      </c>
      <c r="X885" s="25">
        <f t="shared" ref="X885" si="1897">X884/X$858*365</f>
        <v>55.240345098691897</v>
      </c>
      <c r="Y885" s="135" t="s">
        <v>4</v>
      </c>
    </row>
    <row r="886" spans="2:25" ht="15" customHeight="1" outlineLevel="1">
      <c r="B886" s="204" t="s">
        <v>239</v>
      </c>
      <c r="C886" s="283" t="s">
        <v>26</v>
      </c>
      <c r="D886" s="62"/>
      <c r="E886" s="62"/>
      <c r="F886" s="62"/>
      <c r="G886" s="26" t="s">
        <v>44</v>
      </c>
      <c r="H886" s="25">
        <f>H884-G884</f>
        <v>138.5</v>
      </c>
      <c r="I886" s="25">
        <f t="shared" ref="I886:W886" si="1898">I884-H884</f>
        <v>202.70000000000005</v>
      </c>
      <c r="J886" s="25">
        <f t="shared" si="1898"/>
        <v>63.599999999999909</v>
      </c>
      <c r="K886" s="25">
        <f t="shared" si="1898"/>
        <v>52.200000000000045</v>
      </c>
      <c r="L886" s="25">
        <f t="shared" si="1898"/>
        <v>132</v>
      </c>
      <c r="M886" s="25">
        <f t="shared" si="1898"/>
        <v>-157</v>
      </c>
      <c r="N886" s="25">
        <f t="shared" si="1898"/>
        <v>180</v>
      </c>
      <c r="O886" s="25">
        <f t="shared" si="1898"/>
        <v>153</v>
      </c>
      <c r="P886" s="25">
        <f t="shared" si="1898"/>
        <v>50</v>
      </c>
      <c r="Q886" s="25">
        <f t="shared" si="1898"/>
        <v>-37</v>
      </c>
      <c r="R886" s="25">
        <f t="shared" si="1898"/>
        <v>1138.597905477131</v>
      </c>
      <c r="S886" s="25">
        <f t="shared" si="1898"/>
        <v>-515.63235470657628</v>
      </c>
      <c r="T886" s="25">
        <f t="shared" si="1898"/>
        <v>394.49470643467293</v>
      </c>
      <c r="U886" s="25">
        <f t="shared" si="1898"/>
        <v>270.72594040003423</v>
      </c>
      <c r="V886" s="25">
        <f t="shared" si="1898"/>
        <v>301.8147935125894</v>
      </c>
      <c r="W886" s="25">
        <f t="shared" si="1898"/>
        <v>382.88894138251453</v>
      </c>
      <c r="X886" s="25">
        <f t="shared" ref="X886" si="1899">X884-W884</f>
        <v>614.86281444101269</v>
      </c>
      <c r="Y886" s="135" t="s">
        <v>4</v>
      </c>
    </row>
    <row r="887" spans="2:25" ht="15" customHeight="1" outlineLevel="1">
      <c r="B887" s="291"/>
      <c r="C887" s="291"/>
      <c r="G887" s="25"/>
      <c r="H887" s="25"/>
      <c r="I887" s="25"/>
      <c r="J887" s="25"/>
      <c r="K887" s="25"/>
      <c r="L887" s="25"/>
      <c r="M887" s="25"/>
      <c r="N887" s="25"/>
      <c r="O887" s="25"/>
      <c r="P887" s="25"/>
      <c r="Q887" s="25"/>
      <c r="R887" s="25"/>
      <c r="S887" s="25"/>
      <c r="T887" s="25"/>
      <c r="U887" s="25"/>
      <c r="V887" s="25"/>
      <c r="W887" s="115"/>
      <c r="X887" s="115"/>
      <c r="Y887" s="135" t="s">
        <v>4</v>
      </c>
    </row>
    <row r="888" spans="2:25" ht="15" customHeight="1" outlineLevel="1">
      <c r="B888" s="292" t="s">
        <v>177</v>
      </c>
      <c r="C888" s="218" t="s">
        <v>26</v>
      </c>
      <c r="D888" s="62"/>
      <c r="E888" s="62"/>
      <c r="F888" s="62"/>
      <c r="G888" s="25">
        <f t="shared" ref="G888:Q888" si="1900">G690</f>
        <v>223</v>
      </c>
      <c r="H888" s="25">
        <f t="shared" si="1900"/>
        <v>361.5</v>
      </c>
      <c r="I888" s="25">
        <f t="shared" si="1900"/>
        <v>369.8</v>
      </c>
      <c r="J888" s="25">
        <f t="shared" si="1900"/>
        <v>412.9</v>
      </c>
      <c r="K888" s="25">
        <f t="shared" si="1900"/>
        <v>513</v>
      </c>
      <c r="L888" s="25">
        <f t="shared" si="1900"/>
        <v>644</v>
      </c>
      <c r="M888" s="25">
        <f t="shared" si="1900"/>
        <v>464</v>
      </c>
      <c r="N888" s="25">
        <f t="shared" si="1900"/>
        <v>614</v>
      </c>
      <c r="O888" s="25">
        <f t="shared" si="1900"/>
        <v>758</v>
      </c>
      <c r="P888" s="25">
        <f t="shared" si="1900"/>
        <v>790</v>
      </c>
      <c r="Q888" s="25">
        <f t="shared" si="1900"/>
        <v>765</v>
      </c>
      <c r="R888" s="25">
        <f t="shared" ref="R888:X888" si="1901">-R889*R862/365</f>
        <v>1672.5578380033862</v>
      </c>
      <c r="S888" s="25">
        <f t="shared" si="1901"/>
        <v>1243.928856572071</v>
      </c>
      <c r="T888" s="25">
        <f t="shared" si="1901"/>
        <v>1565.0382441675035</v>
      </c>
      <c r="U888" s="25">
        <f t="shared" si="1901"/>
        <v>1783.9081353350941</v>
      </c>
      <c r="V888" s="25">
        <f t="shared" si="1901"/>
        <v>2014.6602137568025</v>
      </c>
      <c r="W888" s="25">
        <f t="shared" si="1901"/>
        <v>2308.6473214126531</v>
      </c>
      <c r="X888" s="25">
        <f t="shared" si="1901"/>
        <v>2782.1975603124552</v>
      </c>
      <c r="Y888" s="135" t="s">
        <v>4</v>
      </c>
    </row>
    <row r="889" spans="2:25" ht="15" customHeight="1" outlineLevel="1">
      <c r="B889" s="293" t="s">
        <v>263</v>
      </c>
      <c r="C889" s="269" t="s">
        <v>39</v>
      </c>
      <c r="D889" s="62"/>
      <c r="E889" s="62"/>
      <c r="F889" s="62"/>
      <c r="G889" s="25">
        <f t="shared" ref="G889:Q889" si="1902">-G888/G862*365</f>
        <v>119.55787309048179</v>
      </c>
      <c r="H889" s="25">
        <f t="shared" si="1902"/>
        <v>47.980909090909094</v>
      </c>
      <c r="I889" s="25">
        <f t="shared" si="1902"/>
        <v>53.992959718388732</v>
      </c>
      <c r="J889" s="25">
        <f t="shared" si="1902"/>
        <v>54.916918704223306</v>
      </c>
      <c r="K889" s="25">
        <f t="shared" si="1902"/>
        <v>54.212629201771911</v>
      </c>
      <c r="L889" s="25">
        <f t="shared" si="1902"/>
        <v>64.987558750345585</v>
      </c>
      <c r="M889" s="25">
        <f t="shared" si="1902"/>
        <v>49.782480893592002</v>
      </c>
      <c r="N889" s="25">
        <f t="shared" si="1902"/>
        <v>58.225513120290984</v>
      </c>
      <c r="O889" s="25">
        <f t="shared" si="1902"/>
        <v>60.967386513882765</v>
      </c>
      <c r="P889" s="25">
        <f t="shared" si="1902"/>
        <v>58.56011372867588</v>
      </c>
      <c r="Q889" s="25">
        <f t="shared" si="1902"/>
        <v>45.662305805396564</v>
      </c>
      <c r="R889" s="186">
        <f>AVERAGE(L889:Q889)</f>
        <v>56.364226468697296</v>
      </c>
      <c r="S889" s="186">
        <f t="shared" ref="S889:X889" si="1903">AVERAGE(M889:R889)</f>
        <v>54.927004421755917</v>
      </c>
      <c r="T889" s="186">
        <f t="shared" si="1903"/>
        <v>55.784425009783227</v>
      </c>
      <c r="U889" s="186">
        <f t="shared" si="1903"/>
        <v>55.377576991365267</v>
      </c>
      <c r="V889" s="186">
        <f t="shared" si="1903"/>
        <v>54.445942070945698</v>
      </c>
      <c r="W889" s="186">
        <f t="shared" si="1903"/>
        <v>53.760246794657327</v>
      </c>
      <c r="X889" s="186">
        <f t="shared" si="1903"/>
        <v>55.109903626200797</v>
      </c>
      <c r="Y889" s="135" t="s">
        <v>4</v>
      </c>
    </row>
    <row r="890" spans="2:25" ht="15" customHeight="1" outlineLevel="1">
      <c r="B890" s="294" t="s">
        <v>239</v>
      </c>
      <c r="C890" s="283" t="s">
        <v>26</v>
      </c>
      <c r="D890" s="62"/>
      <c r="E890" s="62"/>
      <c r="F890" s="62"/>
      <c r="G890" s="26" t="s">
        <v>44</v>
      </c>
      <c r="H890" s="25">
        <f>H888-G888</f>
        <v>138.5</v>
      </c>
      <c r="I890" s="25">
        <f t="shared" ref="I890:W890" si="1904">I888-H888</f>
        <v>8.3000000000000114</v>
      </c>
      <c r="J890" s="25">
        <f t="shared" si="1904"/>
        <v>43.099999999999966</v>
      </c>
      <c r="K890" s="25">
        <f t="shared" si="1904"/>
        <v>100.10000000000002</v>
      </c>
      <c r="L890" s="25">
        <f t="shared" si="1904"/>
        <v>131</v>
      </c>
      <c r="M890" s="25">
        <f t="shared" si="1904"/>
        <v>-180</v>
      </c>
      <c r="N890" s="25">
        <f t="shared" si="1904"/>
        <v>150</v>
      </c>
      <c r="O890" s="25">
        <f t="shared" si="1904"/>
        <v>144</v>
      </c>
      <c r="P890" s="25">
        <f t="shared" si="1904"/>
        <v>32</v>
      </c>
      <c r="Q890" s="25">
        <f t="shared" si="1904"/>
        <v>-25</v>
      </c>
      <c r="R890" s="25">
        <f t="shared" si="1904"/>
        <v>907.55783800338622</v>
      </c>
      <c r="S890" s="25">
        <f t="shared" si="1904"/>
        <v>-428.6289814313152</v>
      </c>
      <c r="T890" s="25">
        <f t="shared" si="1904"/>
        <v>321.10938759543251</v>
      </c>
      <c r="U890" s="25">
        <f t="shared" si="1904"/>
        <v>218.86989116759059</v>
      </c>
      <c r="V890" s="25">
        <f t="shared" si="1904"/>
        <v>230.75207842170835</v>
      </c>
      <c r="W890" s="25">
        <f t="shared" si="1904"/>
        <v>293.98710765585065</v>
      </c>
      <c r="X890" s="25">
        <f t="shared" ref="X890" si="1905">X888-W888</f>
        <v>473.55023889980203</v>
      </c>
      <c r="Y890" s="135" t="s">
        <v>4</v>
      </c>
    </row>
    <row r="891" spans="2:25" ht="15" customHeight="1" outlineLevel="1">
      <c r="B891" s="291"/>
      <c r="C891" s="291"/>
      <c r="G891" s="25"/>
      <c r="H891" s="25"/>
      <c r="I891" s="25"/>
      <c r="J891" s="25"/>
      <c r="K891" s="25"/>
      <c r="L891" s="25"/>
      <c r="M891" s="25"/>
      <c r="N891" s="25"/>
      <c r="O891" s="25"/>
      <c r="P891" s="25"/>
      <c r="Q891" s="25"/>
      <c r="R891" s="25"/>
      <c r="S891" s="25"/>
      <c r="T891" s="25"/>
      <c r="U891" s="25"/>
      <c r="V891" s="25"/>
      <c r="W891" s="115"/>
      <c r="X891" s="115"/>
      <c r="Y891" s="135" t="s">
        <v>4</v>
      </c>
    </row>
    <row r="892" spans="2:25" ht="15" customHeight="1" outlineLevel="1">
      <c r="B892" s="292" t="s">
        <v>179</v>
      </c>
      <c r="C892" s="218" t="s">
        <v>26</v>
      </c>
      <c r="D892" s="62"/>
      <c r="E892" s="62"/>
      <c r="F892" s="62"/>
      <c r="G892" s="25">
        <f t="shared" ref="G892:Q892" si="1906">G692</f>
        <v>0</v>
      </c>
      <c r="H892" s="25">
        <f t="shared" si="1906"/>
        <v>0</v>
      </c>
      <c r="I892" s="25">
        <f t="shared" si="1906"/>
        <v>194.4</v>
      </c>
      <c r="J892" s="25">
        <f t="shared" si="1906"/>
        <v>214.9</v>
      </c>
      <c r="K892" s="25">
        <f t="shared" si="1906"/>
        <v>167</v>
      </c>
      <c r="L892" s="25">
        <f t="shared" si="1906"/>
        <v>168</v>
      </c>
      <c r="M892" s="25">
        <f t="shared" si="1906"/>
        <v>191</v>
      </c>
      <c r="N892" s="25">
        <f t="shared" si="1906"/>
        <v>221</v>
      </c>
      <c r="O892" s="25">
        <f t="shared" si="1906"/>
        <v>230</v>
      </c>
      <c r="P892" s="25">
        <f t="shared" si="1906"/>
        <v>248</v>
      </c>
      <c r="Q892" s="25">
        <f t="shared" si="1906"/>
        <v>236</v>
      </c>
      <c r="R892" s="25">
        <f>R893*R$858/365</f>
        <v>467.04006747374478</v>
      </c>
      <c r="S892" s="25">
        <f t="shared" ref="S892" si="1907">S893*S$858/365</f>
        <v>380.03669419848376</v>
      </c>
      <c r="T892" s="25">
        <f t="shared" ref="T892" si="1908">T893*T$858/365</f>
        <v>453.42201303772407</v>
      </c>
      <c r="U892" s="25">
        <f t="shared" ref="U892" si="1909">U893*U$858/365</f>
        <v>505.27806227016788</v>
      </c>
      <c r="V892" s="25">
        <f t="shared" ref="V892" si="1910">V893*V$858/365</f>
        <v>576.34077736104882</v>
      </c>
      <c r="W892" s="25">
        <f t="shared" ref="W892:X892" si="1911">W893*W$858/365</f>
        <v>665.24261108771293</v>
      </c>
      <c r="X892" s="25">
        <f t="shared" si="1911"/>
        <v>806.55518662892325</v>
      </c>
      <c r="Y892" s="135" t="s">
        <v>4</v>
      </c>
    </row>
    <row r="893" spans="2:25" ht="15" customHeight="1" outlineLevel="1">
      <c r="B893" s="293" t="s">
        <v>263</v>
      </c>
      <c r="C893" s="269" t="s">
        <v>39</v>
      </c>
      <c r="D893" s="62"/>
      <c r="E893" s="62"/>
      <c r="F893" s="62"/>
      <c r="G893" s="25">
        <f t="shared" ref="G893" si="1912">G892/G$858*365</f>
        <v>0</v>
      </c>
      <c r="H893" s="25">
        <f t="shared" ref="H893" si="1913">H892/H$858*365</f>
        <v>0</v>
      </c>
      <c r="I893" s="25">
        <f t="shared" ref="I893" si="1914">I892/I$858*365</f>
        <v>17.115152684644702</v>
      </c>
      <c r="J893" s="25">
        <f t="shared" ref="J893" si="1915">J892/J$858*365</f>
        <v>17.140906011669323</v>
      </c>
      <c r="K893" s="25">
        <f t="shared" ref="K893" si="1916">K892/K$858*365</f>
        <v>11.378570095202539</v>
      </c>
      <c r="L893" s="25">
        <f t="shared" ref="L893" si="1917">L892/L$858*365</f>
        <v>10.944137069427091</v>
      </c>
      <c r="M893" s="25">
        <f t="shared" ref="M893" si="1918">M892/M$858*365</f>
        <v>14.032809983896939</v>
      </c>
      <c r="N893" s="25">
        <f t="shared" ref="N893" si="1919">N892/N$858*365</f>
        <v>14.055584596619621</v>
      </c>
      <c r="O893" s="25">
        <f t="shared" ref="O893" si="1920">O892/O$858*365</f>
        <v>12.905457340507303</v>
      </c>
      <c r="P893" s="25">
        <f t="shared" ref="P893" si="1921">P892/P$858*365</f>
        <v>12.890914269438907</v>
      </c>
      <c r="Q893" s="25">
        <f t="shared" ref="Q893" si="1922">Q892/Q$858*365</f>
        <v>10.24744230311682</v>
      </c>
      <c r="R893" s="186">
        <f>AVERAGE(L893:Q893)</f>
        <v>12.512724260501111</v>
      </c>
      <c r="S893" s="186">
        <f t="shared" ref="S893:X893" si="1923">AVERAGE(M893:R893)</f>
        <v>12.77415545901345</v>
      </c>
      <c r="T893" s="186">
        <f t="shared" si="1923"/>
        <v>12.564379704866203</v>
      </c>
      <c r="U893" s="186">
        <f t="shared" si="1923"/>
        <v>12.315845556240632</v>
      </c>
      <c r="V893" s="186">
        <f t="shared" si="1923"/>
        <v>12.217576925529521</v>
      </c>
      <c r="W893" s="186">
        <f t="shared" si="1923"/>
        <v>12.105354034877957</v>
      </c>
      <c r="X893" s="186">
        <f t="shared" si="1923"/>
        <v>12.41500599017148</v>
      </c>
      <c r="Y893" s="135" t="s">
        <v>4</v>
      </c>
    </row>
    <row r="894" spans="2:25" ht="15" customHeight="1" outlineLevel="1">
      <c r="B894" s="294" t="s">
        <v>239</v>
      </c>
      <c r="C894" s="283" t="s">
        <v>26</v>
      </c>
      <c r="D894" s="62"/>
      <c r="E894" s="62"/>
      <c r="F894" s="62"/>
      <c r="G894" s="26" t="s">
        <v>44</v>
      </c>
      <c r="H894" s="25">
        <f>H892-G892</f>
        <v>0</v>
      </c>
      <c r="I894" s="25">
        <f t="shared" ref="I894:W894" si="1924">I892-H892</f>
        <v>194.4</v>
      </c>
      <c r="J894" s="25">
        <f t="shared" si="1924"/>
        <v>20.5</v>
      </c>
      <c r="K894" s="25">
        <f t="shared" si="1924"/>
        <v>-47.900000000000006</v>
      </c>
      <c r="L894" s="25">
        <f t="shared" si="1924"/>
        <v>1</v>
      </c>
      <c r="M894" s="25">
        <f t="shared" si="1924"/>
        <v>23</v>
      </c>
      <c r="N894" s="25">
        <f t="shared" si="1924"/>
        <v>30</v>
      </c>
      <c r="O894" s="25">
        <f t="shared" si="1924"/>
        <v>9</v>
      </c>
      <c r="P894" s="25">
        <f t="shared" si="1924"/>
        <v>18</v>
      </c>
      <c r="Q894" s="25">
        <f t="shared" si="1924"/>
        <v>-12</v>
      </c>
      <c r="R894" s="25">
        <f t="shared" si="1924"/>
        <v>231.04006747374478</v>
      </c>
      <c r="S894" s="25">
        <f t="shared" si="1924"/>
        <v>-87.003373275261026</v>
      </c>
      <c r="T894" s="25">
        <f t="shared" si="1924"/>
        <v>73.385318839240313</v>
      </c>
      <c r="U894" s="25">
        <f t="shared" si="1924"/>
        <v>51.856049232443809</v>
      </c>
      <c r="V894" s="25">
        <f t="shared" si="1924"/>
        <v>71.062715090880943</v>
      </c>
      <c r="W894" s="25">
        <f t="shared" si="1924"/>
        <v>88.901833726664108</v>
      </c>
      <c r="X894" s="25">
        <f t="shared" ref="X894" si="1925">X892-W892</f>
        <v>141.31257554121032</v>
      </c>
      <c r="Y894" s="135" t="s">
        <v>4</v>
      </c>
    </row>
    <row r="895" spans="2:25" ht="15" customHeight="1" outlineLevel="1">
      <c r="Y895" s="135" t="s">
        <v>4</v>
      </c>
    </row>
    <row r="896" spans="2:25" ht="15" customHeight="1">
      <c r="Y896" s="135" t="s">
        <v>4</v>
      </c>
    </row>
    <row r="897" spans="1:25" ht="15" customHeight="1">
      <c r="A897" s="1" t="s">
        <v>4</v>
      </c>
      <c r="B897" s="148" t="s">
        <v>266</v>
      </c>
      <c r="C897" s="149" t="s">
        <v>11</v>
      </c>
      <c r="D897" s="150">
        <v>2011</v>
      </c>
      <c r="E897" s="150">
        <v>2012</v>
      </c>
      <c r="F897" s="150">
        <v>2013</v>
      </c>
      <c r="G897" s="150">
        <v>2014</v>
      </c>
      <c r="H897" s="150">
        <v>2015</v>
      </c>
      <c r="I897" s="150">
        <v>2016</v>
      </c>
      <c r="J897" s="150">
        <v>2017</v>
      </c>
      <c r="K897" s="150">
        <v>2018</v>
      </c>
      <c r="L897" s="150">
        <v>2019</v>
      </c>
      <c r="M897" s="150">
        <v>2020</v>
      </c>
      <c r="N897" s="150">
        <v>2021</v>
      </c>
      <c r="O897" s="150">
        <v>2022</v>
      </c>
      <c r="P897" s="150">
        <v>2023</v>
      </c>
      <c r="Q897" s="150">
        <v>2024</v>
      </c>
      <c r="R897" s="151">
        <v>2025</v>
      </c>
      <c r="S897" s="151" t="s">
        <v>12</v>
      </c>
      <c r="T897" s="151" t="s">
        <v>13</v>
      </c>
      <c r="U897" s="151" t="s">
        <v>14</v>
      </c>
      <c r="V897" s="151" t="s">
        <v>15</v>
      </c>
      <c r="W897" s="152" t="s">
        <v>16</v>
      </c>
      <c r="X897" s="151" t="s">
        <v>17</v>
      </c>
      <c r="Y897" s="135" t="s">
        <v>4</v>
      </c>
    </row>
    <row r="898" spans="1:25" ht="15" customHeight="1" outlineLevel="1">
      <c r="Y898" s="135" t="s">
        <v>4</v>
      </c>
    </row>
    <row r="899" spans="1:25" ht="15" customHeight="1" outlineLevel="1">
      <c r="B899" s="215" t="s">
        <v>267</v>
      </c>
      <c r="C899" s="279" t="s">
        <v>26</v>
      </c>
      <c r="D899" s="320"/>
      <c r="E899" s="320"/>
      <c r="F899" s="320"/>
      <c r="G899" s="320"/>
      <c r="H899" s="22">
        <f>G681+G683</f>
        <v>11980.7</v>
      </c>
      <c r="I899" s="22">
        <f>H919</f>
        <v>11298.4</v>
      </c>
      <c r="J899" s="22">
        <f t="shared" ref="J899:W899" si="1926">I919</f>
        <v>11282.7</v>
      </c>
      <c r="K899" s="22">
        <f t="shared" si="1926"/>
        <v>13195.5</v>
      </c>
      <c r="L899" s="22">
        <f t="shared" si="1926"/>
        <v>12459</v>
      </c>
      <c r="M899" s="22">
        <f t="shared" si="1926"/>
        <v>12570</v>
      </c>
      <c r="N899" s="22">
        <f t="shared" si="1926"/>
        <v>12732</v>
      </c>
      <c r="O899" s="22">
        <f t="shared" si="1926"/>
        <v>13452</v>
      </c>
      <c r="P899" s="22">
        <f t="shared" si="1926"/>
        <v>12941</v>
      </c>
      <c r="Q899" s="22">
        <f t="shared" si="1926"/>
        <v>13059</v>
      </c>
      <c r="R899" s="22">
        <f t="shared" si="1926"/>
        <v>13158</v>
      </c>
      <c r="S899" s="22">
        <f t="shared" si="1926"/>
        <v>13282.813990922235</v>
      </c>
      <c r="T899" s="22">
        <f t="shared" si="1926"/>
        <v>13496.074509801048</v>
      </c>
      <c r="U899" s="22">
        <f t="shared" si="1926"/>
        <v>13617.819183707768</v>
      </c>
      <c r="V899" s="22">
        <f t="shared" si="1926"/>
        <v>13566.771723386228</v>
      </c>
      <c r="W899" s="22">
        <f t="shared" si="1926"/>
        <v>13423.264692288058</v>
      </c>
      <c r="X899" s="22">
        <f t="shared" ref="X899" si="1927">W919</f>
        <v>13167.904098001423</v>
      </c>
      <c r="Y899" s="135" t="s">
        <v>4</v>
      </c>
    </row>
    <row r="900" spans="1:25" ht="15" customHeight="1" outlineLevel="1">
      <c r="B900" s="217"/>
      <c r="C900" s="269"/>
      <c r="D900" s="42"/>
      <c r="E900" s="42"/>
      <c r="F900" s="42"/>
      <c r="G900" s="42"/>
      <c r="Y900" s="135" t="s">
        <v>4</v>
      </c>
    </row>
    <row r="901" spans="1:25" ht="15" customHeight="1" outlineLevel="1">
      <c r="B901" s="284" t="s">
        <v>212</v>
      </c>
      <c r="C901" s="277" t="s">
        <v>26</v>
      </c>
      <c r="D901" s="321"/>
      <c r="E901" s="321"/>
      <c r="F901" s="321"/>
      <c r="G901" s="321"/>
      <c r="H901" s="213">
        <f t="shared" ref="H901:Q901" si="1928">-(H742)</f>
        <v>115.3</v>
      </c>
      <c r="I901" s="213">
        <f t="shared" si="1928"/>
        <v>33.700000000000003</v>
      </c>
      <c r="J901" s="213">
        <f t="shared" si="1928"/>
        <v>36.700000000000003</v>
      </c>
      <c r="K901" s="213">
        <f t="shared" si="1928"/>
        <v>86</v>
      </c>
      <c r="L901" s="213">
        <f t="shared" si="1928"/>
        <v>62</v>
      </c>
      <c r="M901" s="213">
        <f t="shared" si="1928"/>
        <v>117</v>
      </c>
      <c r="N901" s="213">
        <f t="shared" si="1928"/>
        <v>106</v>
      </c>
      <c r="O901" s="213">
        <f t="shared" si="1928"/>
        <v>100</v>
      </c>
      <c r="P901" s="213">
        <f t="shared" si="1928"/>
        <v>120</v>
      </c>
      <c r="Q901" s="213">
        <f t="shared" si="1928"/>
        <v>201</v>
      </c>
      <c r="R901" s="213">
        <f>R903*R$432</f>
        <v>359.9681535676811</v>
      </c>
      <c r="S901" s="213">
        <f>S903*S$432</f>
        <v>370.12196488223066</v>
      </c>
      <c r="T901" s="213">
        <f t="shared" ref="T901:W901" si="1929">T903*T$432</f>
        <v>368.15179728821823</v>
      </c>
      <c r="U901" s="213">
        <f t="shared" si="1929"/>
        <v>272.04762715659541</v>
      </c>
      <c r="V901" s="213">
        <f t="shared" si="1929"/>
        <v>264.31980685623864</v>
      </c>
      <c r="W901" s="213">
        <f t="shared" si="1929"/>
        <v>260.19246501449226</v>
      </c>
      <c r="X901" s="213">
        <f t="shared" ref="X901" si="1930">X903*X$432</f>
        <v>269.14564648170312</v>
      </c>
      <c r="Y901" s="135" t="s">
        <v>4</v>
      </c>
    </row>
    <row r="902" spans="1:25" ht="15" customHeight="1" outlineLevel="1">
      <c r="B902" s="285" t="s">
        <v>268</v>
      </c>
      <c r="C902" s="269" t="s">
        <v>21</v>
      </c>
      <c r="D902" s="322"/>
      <c r="E902" s="322"/>
      <c r="F902" s="322"/>
      <c r="G902" s="322"/>
      <c r="H902" s="23">
        <f t="shared" ref="H902:P902" si="1931">H901/H$899</f>
        <v>9.623811630372181E-3</v>
      </c>
      <c r="I902" s="23">
        <f t="shared" si="1931"/>
        <v>2.9827232174467187E-3</v>
      </c>
      <c r="J902" s="23">
        <f t="shared" si="1931"/>
        <v>3.2527675113226445E-3</v>
      </c>
      <c r="K902" s="23">
        <f t="shared" si="1931"/>
        <v>6.5173733469743476E-3</v>
      </c>
      <c r="L902" s="23">
        <f t="shared" si="1931"/>
        <v>4.9763223372662332E-3</v>
      </c>
      <c r="M902" s="23">
        <f t="shared" si="1931"/>
        <v>9.3078758949880665E-3</v>
      </c>
      <c r="N902" s="23">
        <f t="shared" si="1931"/>
        <v>8.3254791077599748E-3</v>
      </c>
      <c r="O902" s="23">
        <f t="shared" si="1931"/>
        <v>7.4338388343740706E-3</v>
      </c>
      <c r="P902" s="23">
        <f t="shared" si="1931"/>
        <v>9.2728537207325563E-3</v>
      </c>
      <c r="Q902" s="23">
        <f>Q901/Q$899</f>
        <v>1.5391683896163565E-2</v>
      </c>
      <c r="R902" s="23">
        <f t="shared" ref="R902" si="1932">R901/R$899</f>
        <v>2.7357360812257266E-2</v>
      </c>
      <c r="S902" s="23">
        <f t="shared" ref="S902:W902" si="1933">S901/S$899</f>
        <v>2.7864725436581441E-2</v>
      </c>
      <c r="T902" s="23">
        <f t="shared" si="1933"/>
        <v>2.7278435445866941E-2</v>
      </c>
      <c r="U902" s="23">
        <f t="shared" si="1933"/>
        <v>1.9977327021794403E-2</v>
      </c>
      <c r="V902" s="23">
        <f t="shared" si="1933"/>
        <v>1.9482881576064814E-2</v>
      </c>
      <c r="W902" s="23">
        <f t="shared" si="1933"/>
        <v>1.9383694725470042E-2</v>
      </c>
      <c r="X902" s="23">
        <f t="shared" ref="X902" si="1934">X901/X$899</f>
        <v>2.0439520555329157E-2</v>
      </c>
      <c r="Y902" s="135" t="s">
        <v>4</v>
      </c>
    </row>
    <row r="903" spans="1:25" ht="15" customHeight="1" outlineLevel="1">
      <c r="B903" s="285" t="s">
        <v>269</v>
      </c>
      <c r="C903" s="269" t="s">
        <v>21</v>
      </c>
      <c r="D903" s="322"/>
      <c r="E903" s="322"/>
      <c r="F903" s="322"/>
      <c r="G903" s="322"/>
      <c r="H903" s="23">
        <f t="shared" ref="H903:P903" si="1935">H901/H$432</f>
        <v>2.8453679482750113E-2</v>
      </c>
      <c r="I903" s="23">
        <f t="shared" si="1935"/>
        <v>8.1287085725312361E-3</v>
      </c>
      <c r="J903" s="23">
        <f t="shared" si="1935"/>
        <v>8.0199296344048432E-3</v>
      </c>
      <c r="K903" s="23">
        <f t="shared" si="1935"/>
        <v>1.6053761433638229E-2</v>
      </c>
      <c r="L903" s="23">
        <f t="shared" si="1935"/>
        <v>1.1065500624665358E-2</v>
      </c>
      <c r="M903" s="23">
        <f t="shared" si="1935"/>
        <v>2.355072463768116E-2</v>
      </c>
      <c r="N903" s="23">
        <f t="shared" si="1935"/>
        <v>1.847011674507754E-2</v>
      </c>
      <c r="O903" s="23">
        <f t="shared" si="1935"/>
        <v>1.5372790161414296E-2</v>
      </c>
      <c r="P903" s="23">
        <f t="shared" si="1935"/>
        <v>1.7089148390771861E-2</v>
      </c>
      <c r="Q903" s="23">
        <f>Q901/Q$432</f>
        <v>2.3911491791577446E-2</v>
      </c>
      <c r="R903" s="604">
        <f>Q903*(1+10.5%)</f>
        <v>2.6422198429693077E-2</v>
      </c>
      <c r="S903" s="604">
        <f>R903*(1+29%)</f>
        <v>3.408463597430407E-2</v>
      </c>
      <c r="T903" s="604">
        <f>S903*(1-18%)</f>
        <v>2.7949401498929341E-2</v>
      </c>
      <c r="U903" s="604">
        <f>T903*(1-35%)</f>
        <v>1.8167110974304072E-2</v>
      </c>
      <c r="V903" s="604">
        <f>U903*(1-15.5%)</f>
        <v>1.535120877328694E-2</v>
      </c>
      <c r="W903" s="604">
        <f>V903*(1-15.5%)</f>
        <v>1.2971771413427464E-2</v>
      </c>
      <c r="X903" s="604">
        <f>W903*(1-12.5%)</f>
        <v>1.1350299986749031E-2</v>
      </c>
      <c r="Y903" s="135" t="s">
        <v>4</v>
      </c>
    </row>
    <row r="904" spans="1:25" ht="15" customHeight="1" outlineLevel="1">
      <c r="B904" s="221"/>
      <c r="C904" s="269"/>
      <c r="D904" s="8"/>
      <c r="E904" s="8"/>
      <c r="F904" s="8"/>
      <c r="G904" s="8"/>
      <c r="Y904" s="135" t="s">
        <v>4</v>
      </c>
    </row>
    <row r="905" spans="1:25" ht="15" customHeight="1" outlineLevel="1">
      <c r="B905" s="284" t="s">
        <v>200</v>
      </c>
      <c r="C905" s="277" t="s">
        <v>26</v>
      </c>
      <c r="D905" s="321"/>
      <c r="E905" s="321"/>
      <c r="F905" s="321"/>
      <c r="G905" s="321"/>
      <c r="H905" s="213">
        <f t="shared" ref="H905:Q905" si="1936">-H725</f>
        <v>-182</v>
      </c>
      <c r="I905" s="213">
        <f t="shared" si="1936"/>
        <v>-172.1</v>
      </c>
      <c r="J905" s="213">
        <f t="shared" si="1936"/>
        <v>-181.1</v>
      </c>
      <c r="K905" s="213">
        <f t="shared" si="1936"/>
        <v>-180</v>
      </c>
      <c r="L905" s="213">
        <f t="shared" si="1936"/>
        <v>-185</v>
      </c>
      <c r="M905" s="213">
        <f t="shared" si="1936"/>
        <v>-189</v>
      </c>
      <c r="N905" s="213">
        <f t="shared" si="1936"/>
        <v>-201</v>
      </c>
      <c r="O905" s="213">
        <f t="shared" si="1936"/>
        <v>-190</v>
      </c>
      <c r="P905" s="213">
        <f t="shared" si="1936"/>
        <v>-191</v>
      </c>
      <c r="Q905" s="213">
        <f t="shared" si="1936"/>
        <v>-264</v>
      </c>
      <c r="R905" s="213">
        <f>R907*R$432</f>
        <v>-437.3208293121121</v>
      </c>
      <c r="S905" s="213">
        <f>S907*S$432</f>
        <v>-359.02811267008252</v>
      </c>
      <c r="T905" s="213">
        <f t="shared" ref="T905:W905" si="1937">T907*T$432</f>
        <v>-448.57379004816391</v>
      </c>
      <c r="U905" s="213">
        <f t="shared" si="1937"/>
        <v>-525.26175414480178</v>
      </c>
      <c r="V905" s="213">
        <f t="shared" si="1937"/>
        <v>-609.99350462107316</v>
      </c>
      <c r="W905" s="213">
        <f t="shared" si="1937"/>
        <v>-717.71972596779256</v>
      </c>
      <c r="X905" s="213">
        <f t="shared" ref="X905" si="1938">X907*X$432</f>
        <v>-856.9605844824498</v>
      </c>
      <c r="Y905" s="135" t="s">
        <v>4</v>
      </c>
    </row>
    <row r="906" spans="1:25" ht="15" customHeight="1" outlineLevel="1">
      <c r="B906" s="285" t="s">
        <v>268</v>
      </c>
      <c r="C906" s="269" t="s">
        <v>21</v>
      </c>
      <c r="D906" s="322"/>
      <c r="E906" s="322"/>
      <c r="F906" s="322"/>
      <c r="G906" s="322"/>
      <c r="H906" s="23">
        <f t="shared" ref="H906" si="1939">H905/H$899</f>
        <v>-1.5191099017586618E-2</v>
      </c>
      <c r="I906" s="23">
        <f t="shared" ref="I906" si="1940">I905/I$899</f>
        <v>-1.5232245273667068E-2</v>
      </c>
      <c r="J906" s="23">
        <f t="shared" ref="J906" si="1941">J905/J$899</f>
        <v>-1.6051122515000842E-2</v>
      </c>
      <c r="K906" s="23">
        <f t="shared" ref="K906" si="1942">K905/K$899</f>
        <v>-1.3641013982039332E-2</v>
      </c>
      <c r="L906" s="23">
        <f t="shared" ref="L906" si="1943">L905/L$899</f>
        <v>-1.4848703748294405E-2</v>
      </c>
      <c r="M906" s="23">
        <f t="shared" ref="M906" si="1944">M905/M$899</f>
        <v>-1.5035799522673031E-2</v>
      </c>
      <c r="N906" s="23">
        <f t="shared" ref="N906" si="1945">N905/N$899</f>
        <v>-1.578699340245052E-2</v>
      </c>
      <c r="O906" s="23">
        <f t="shared" ref="O906" si="1946">O905/O$899</f>
        <v>-1.4124293785310734E-2</v>
      </c>
      <c r="P906" s="23">
        <f t="shared" ref="P906" si="1947">P905/P$899</f>
        <v>-1.4759292172165985E-2</v>
      </c>
      <c r="Q906" s="23">
        <f>Q905/Q$899</f>
        <v>-2.0215943027796921E-2</v>
      </c>
      <c r="R906" s="23">
        <f t="shared" ref="R906" si="1948">R905/R$899</f>
        <v>-3.3236117138783411E-2</v>
      </c>
      <c r="S906" s="23">
        <f t="shared" ref="S906" si="1949">S905/S$899</f>
        <v>-2.7029521975949537E-2</v>
      </c>
      <c r="T906" s="23">
        <f t="shared" ref="T906" si="1950">T905/T$899</f>
        <v>-3.3237352811175055E-2</v>
      </c>
      <c r="U906" s="23">
        <f t="shared" ref="U906" si="1951">U905/U$899</f>
        <v>-3.8571649913902516E-2</v>
      </c>
      <c r="V906" s="23">
        <f t="shared" ref="V906" si="1952">V905/V$899</f>
        <v>-4.4962318011850536E-2</v>
      </c>
      <c r="W906" s="23">
        <f t="shared" ref="W906:X906" si="1953">W905/W$899</f>
        <v>-5.3468343388932603E-2</v>
      </c>
      <c r="X906" s="23">
        <f t="shared" si="1953"/>
        <v>-6.5079497701727357E-2</v>
      </c>
      <c r="Y906" s="135" t="s">
        <v>4</v>
      </c>
    </row>
    <row r="907" spans="1:25" ht="15" customHeight="1" outlineLevel="1">
      <c r="B907" s="285" t="s">
        <v>269</v>
      </c>
      <c r="C907" s="269" t="s">
        <v>21</v>
      </c>
      <c r="D907" s="322"/>
      <c r="E907" s="322"/>
      <c r="F907" s="322"/>
      <c r="G907" s="322"/>
      <c r="H907" s="23">
        <f t="shared" ref="H907:P907" si="1954">H905/H$432</f>
        <v>-4.4913873945017523E-2</v>
      </c>
      <c r="I907" s="23">
        <f t="shared" si="1954"/>
        <v>-4.1511891552896904E-2</v>
      </c>
      <c r="J907" s="23">
        <f t="shared" si="1954"/>
        <v>-3.9575184108738878E-2</v>
      </c>
      <c r="K907" s="23">
        <f t="shared" si="1954"/>
        <v>-3.3600896023893968E-2</v>
      </c>
      <c r="L907" s="23">
        <f t="shared" si="1954"/>
        <v>-3.3018026057469216E-2</v>
      </c>
      <c r="M907" s="23">
        <f t="shared" si="1954"/>
        <v>-3.8043478260869568E-2</v>
      </c>
      <c r="N907" s="23">
        <f t="shared" si="1954"/>
        <v>-3.5023523261892314E-2</v>
      </c>
      <c r="O907" s="23">
        <f t="shared" si="1954"/>
        <v>-2.9208301306687164E-2</v>
      </c>
      <c r="P907" s="23">
        <f t="shared" si="1954"/>
        <v>-2.7200227855311877E-2</v>
      </c>
      <c r="Q907" s="23">
        <f>Q905/Q$432</f>
        <v>-3.1406138472519628E-2</v>
      </c>
      <c r="R907" s="604">
        <v>-3.2099999999999997E-2</v>
      </c>
      <c r="S907" s="604">
        <f>R907*(1+3%)</f>
        <v>-3.3062999999999995E-2</v>
      </c>
      <c r="T907" s="604">
        <f t="shared" ref="T907:U907" si="1955">S907*(1+3%)</f>
        <v>-3.4054889999999997E-2</v>
      </c>
      <c r="U907" s="604">
        <f t="shared" si="1955"/>
        <v>-3.5076536700000001E-2</v>
      </c>
      <c r="V907" s="604">
        <f>U907*(1+1%)</f>
        <v>-3.5427302067000004E-2</v>
      </c>
      <c r="W907" s="604">
        <f t="shared" ref="W907:X907" si="1956">V907*(1+1%)</f>
        <v>-3.5781575087670006E-2</v>
      </c>
      <c r="X907" s="604">
        <f t="shared" si="1956"/>
        <v>-3.6139390838546705E-2</v>
      </c>
      <c r="Y907" s="135" t="s">
        <v>4</v>
      </c>
    </row>
    <row r="908" spans="1:25" ht="15" customHeight="1" outlineLevel="2">
      <c r="B908" s="221"/>
      <c r="C908" s="269"/>
      <c r="D908" s="42"/>
      <c r="E908" s="42"/>
      <c r="F908" s="42"/>
      <c r="G908" s="42"/>
      <c r="Y908" s="135" t="s">
        <v>4</v>
      </c>
    </row>
    <row r="909" spans="1:25" ht="15" customHeight="1" outlineLevel="2">
      <c r="B909" s="582" t="s">
        <v>270</v>
      </c>
      <c r="C909" s="580" t="s">
        <v>26</v>
      </c>
      <c r="D909" s="584"/>
      <c r="E909" s="584"/>
      <c r="F909" s="584"/>
      <c r="G909" s="584"/>
      <c r="H909" s="31">
        <f>H905-H913</f>
        <v>-154.19999999999999</v>
      </c>
      <c r="I909" s="31">
        <f t="shared" ref="I909:X909" si="1957">I905-I913</f>
        <v>-144.79999999999998</v>
      </c>
      <c r="J909" s="31">
        <f t="shared" si="1957"/>
        <v>-151.1</v>
      </c>
      <c r="K909" s="31">
        <f t="shared" si="1957"/>
        <v>-149</v>
      </c>
      <c r="L909" s="31">
        <f t="shared" si="1957"/>
        <v>-154</v>
      </c>
      <c r="M909" s="31">
        <f t="shared" si="1957"/>
        <v>-156</v>
      </c>
      <c r="N909" s="31">
        <f t="shared" si="1957"/>
        <v>-167</v>
      </c>
      <c r="O909" s="31">
        <f t="shared" si="1957"/>
        <v>-158</v>
      </c>
      <c r="P909" s="31">
        <f t="shared" si="1957"/>
        <v>-160</v>
      </c>
      <c r="Q909" s="31">
        <f t="shared" si="1957"/>
        <v>-208</v>
      </c>
      <c r="R909" s="31">
        <f t="shared" si="1957"/>
        <v>-372.3208293121121</v>
      </c>
      <c r="S909" s="31">
        <f t="shared" si="1957"/>
        <v>-307.21920628434475</v>
      </c>
      <c r="T909" s="31">
        <f t="shared" si="1957"/>
        <v>-385.72851394482348</v>
      </c>
      <c r="U909" s="31">
        <f t="shared" si="1957"/>
        <v>-453.81585614691676</v>
      </c>
      <c r="V909" s="31">
        <f t="shared" si="1957"/>
        <v>-527.84392293866767</v>
      </c>
      <c r="W909" s="31">
        <f t="shared" si="1957"/>
        <v>-622.01934765292867</v>
      </c>
      <c r="X909" s="31">
        <f t="shared" si="1957"/>
        <v>-743.82525515761779</v>
      </c>
      <c r="Y909" s="135" t="s">
        <v>4</v>
      </c>
    </row>
    <row r="910" spans="1:25" ht="15" customHeight="1" outlineLevel="2">
      <c r="B910" s="583" t="s">
        <v>268</v>
      </c>
      <c r="C910" s="269" t="s">
        <v>21</v>
      </c>
      <c r="D910" s="322"/>
      <c r="E910" s="322"/>
      <c r="F910" s="322"/>
      <c r="G910" s="322"/>
      <c r="H910" s="23">
        <f t="shared" ref="H910:P910" si="1958">H909/H$899</f>
        <v>-1.2870700376438771E-2</v>
      </c>
      <c r="I910" s="23">
        <f t="shared" si="1958"/>
        <v>-1.2815973943213196E-2</v>
      </c>
      <c r="J910" s="23">
        <f t="shared" si="1958"/>
        <v>-1.3392184494846091E-2</v>
      </c>
      <c r="K910" s="23">
        <f t="shared" si="1958"/>
        <v>-1.1291728240688113E-2</v>
      </c>
      <c r="L910" s="23">
        <f t="shared" si="1958"/>
        <v>-1.236054257966129E-2</v>
      </c>
      <c r="M910" s="23">
        <f t="shared" si="1958"/>
        <v>-1.2410501193317422E-2</v>
      </c>
      <c r="N910" s="23">
        <f t="shared" si="1958"/>
        <v>-1.311655670750864E-2</v>
      </c>
      <c r="O910" s="23">
        <f t="shared" si="1958"/>
        <v>-1.1745465358311032E-2</v>
      </c>
      <c r="P910" s="23">
        <f t="shared" si="1958"/>
        <v>-1.236380496097674E-2</v>
      </c>
      <c r="Q910" s="23">
        <f>Q909/Q$899</f>
        <v>-1.5927712688567273E-2</v>
      </c>
      <c r="R910" s="23">
        <f t="shared" ref="R910" si="1959">R909/R$899</f>
        <v>-2.8296156658467252E-2</v>
      </c>
      <c r="S910" s="23">
        <f t="shared" ref="S910" si="1960">S909/S$899</f>
        <v>-2.3129075397299477E-2</v>
      </c>
      <c r="T910" s="23">
        <f t="shared" ref="T910" si="1961">T909/T$899</f>
        <v>-2.8580793153201823E-2</v>
      </c>
      <c r="U910" s="23">
        <f t="shared" ref="U910" si="1962">U909/U$899</f>
        <v>-3.3325149205230879E-2</v>
      </c>
      <c r="V910" s="23">
        <f t="shared" ref="V910" si="1963">V909/V$899</f>
        <v>-3.8907113180711744E-2</v>
      </c>
      <c r="W910" s="23">
        <f t="shared" ref="W910" si="1964">W909/W$899</f>
        <v>-4.633890204149007E-2</v>
      </c>
      <c r="X910" s="23">
        <f t="shared" ref="X910" si="1965">X909/X$899</f>
        <v>-5.648774851500573E-2</v>
      </c>
      <c r="Y910" s="135" t="s">
        <v>4</v>
      </c>
    </row>
    <row r="911" spans="1:25" ht="15" customHeight="1" outlineLevel="2">
      <c r="B911" s="583" t="s">
        <v>269</v>
      </c>
      <c r="C911" s="269" t="s">
        <v>21</v>
      </c>
      <c r="D911" s="322"/>
      <c r="E911" s="322"/>
      <c r="F911" s="322"/>
      <c r="G911" s="322"/>
      <c r="H911" s="23">
        <f t="shared" ref="H911:P911" si="1966">H909/H$432</f>
        <v>-3.805340308967968E-2</v>
      </c>
      <c r="I911" s="23">
        <f t="shared" si="1966"/>
        <v>-3.4926913985238069E-2</v>
      </c>
      <c r="J911" s="23">
        <f t="shared" si="1966"/>
        <v>-3.3019383317672249E-2</v>
      </c>
      <c r="K911" s="23">
        <f t="shared" si="1966"/>
        <v>-2.7814075042001118E-2</v>
      </c>
      <c r="L911" s="23">
        <f t="shared" si="1966"/>
        <v>-2.7485275745136532E-2</v>
      </c>
      <c r="M911" s="23">
        <f t="shared" si="1966"/>
        <v>-3.140096618357488E-2</v>
      </c>
      <c r="N911" s="23">
        <f t="shared" si="1966"/>
        <v>-2.9099146192716502E-2</v>
      </c>
      <c r="O911" s="23">
        <f t="shared" si="1966"/>
        <v>-2.4289008455034587E-2</v>
      </c>
      <c r="P911" s="23">
        <f t="shared" si="1966"/>
        <v>-2.2785531187695812E-2</v>
      </c>
      <c r="Q911" s="23">
        <f>Q909/Q$432</f>
        <v>-2.474423031168213E-2</v>
      </c>
      <c r="R911" s="23">
        <f t="shared" ref="R911:X911" si="1967">R909/R$432</f>
        <v>-2.7328903221275829E-2</v>
      </c>
      <c r="S911" s="23">
        <f t="shared" si="1967"/>
        <v>-2.8291903221275828E-2</v>
      </c>
      <c r="T911" s="23">
        <f t="shared" si="1967"/>
        <v>-2.9283793221275826E-2</v>
      </c>
      <c r="U911" s="23">
        <f t="shared" si="1967"/>
        <v>-3.030543992127583E-2</v>
      </c>
      <c r="V911" s="23">
        <f t="shared" si="1967"/>
        <v>-3.0656205288275836E-2</v>
      </c>
      <c r="W911" s="23">
        <f t="shared" si="1967"/>
        <v>-3.1010478308945835E-2</v>
      </c>
      <c r="X911" s="23">
        <f t="shared" si="1967"/>
        <v>-3.1368294059822534E-2</v>
      </c>
      <c r="Y911" s="135" t="s">
        <v>4</v>
      </c>
    </row>
    <row r="912" spans="1:25" ht="15" customHeight="1" outlineLevel="2">
      <c r="B912" s="221"/>
      <c r="C912" s="269"/>
      <c r="D912" s="42"/>
      <c r="E912" s="42"/>
      <c r="F912" s="42"/>
      <c r="G912" s="42"/>
      <c r="Y912" s="135" t="s">
        <v>4</v>
      </c>
    </row>
    <row r="913" spans="1:25" ht="15" customHeight="1" outlineLevel="2">
      <c r="B913" s="285" t="s">
        <v>271</v>
      </c>
      <c r="C913" s="269" t="s">
        <v>26</v>
      </c>
      <c r="D913" s="322"/>
      <c r="E913" s="322"/>
      <c r="F913" s="322"/>
      <c r="G913" s="322"/>
      <c r="H913" s="25">
        <f t="shared" ref="H913:X913" si="1968">-H643</f>
        <v>-27.8</v>
      </c>
      <c r="I913" s="25">
        <f t="shared" si="1968"/>
        <v>-27.3</v>
      </c>
      <c r="J913" s="25">
        <f t="shared" si="1968"/>
        <v>-30</v>
      </c>
      <c r="K913" s="25">
        <f t="shared" si="1968"/>
        <v>-31</v>
      </c>
      <c r="L913" s="25">
        <f t="shared" si="1968"/>
        <v>-31</v>
      </c>
      <c r="M913" s="25">
        <f t="shared" si="1968"/>
        <v>-33</v>
      </c>
      <c r="N913" s="25">
        <f t="shared" si="1968"/>
        <v>-34</v>
      </c>
      <c r="O913" s="25">
        <f t="shared" si="1968"/>
        <v>-32</v>
      </c>
      <c r="P913" s="25">
        <f t="shared" si="1968"/>
        <v>-31</v>
      </c>
      <c r="Q913" s="25">
        <f t="shared" si="1968"/>
        <v>-56</v>
      </c>
      <c r="R913" s="25">
        <f t="shared" si="1968"/>
        <v>-65</v>
      </c>
      <c r="S913" s="25">
        <f t="shared" si="1968"/>
        <v>-51.808906385737799</v>
      </c>
      <c r="T913" s="25">
        <f t="shared" si="1968"/>
        <v>-62.845276103340417</v>
      </c>
      <c r="U913" s="25">
        <f t="shared" si="1968"/>
        <v>-71.445897997885012</v>
      </c>
      <c r="V913" s="25">
        <f t="shared" si="1968"/>
        <v>-82.149581682405454</v>
      </c>
      <c r="W913" s="25">
        <f t="shared" si="1968"/>
        <v>-95.700378314863883</v>
      </c>
      <c r="X913" s="25">
        <f t="shared" si="1968"/>
        <v>-113.135329324832</v>
      </c>
      <c r="Y913" s="135" t="s">
        <v>4</v>
      </c>
    </row>
    <row r="914" spans="1:25" ht="15" customHeight="1" outlineLevel="2">
      <c r="B914" s="583" t="s">
        <v>268</v>
      </c>
      <c r="C914" s="269" t="s">
        <v>21</v>
      </c>
      <c r="D914" s="322"/>
      <c r="E914" s="322"/>
      <c r="F914" s="322"/>
      <c r="G914" s="322"/>
      <c r="H914" s="23">
        <f t="shared" ref="H914:P914" si="1969">H913/H$899</f>
        <v>-2.3203986411478462E-3</v>
      </c>
      <c r="I914" s="23">
        <f t="shared" si="1969"/>
        <v>-2.4162713304538698E-3</v>
      </c>
      <c r="J914" s="23">
        <f t="shared" si="1969"/>
        <v>-2.6589380201547498E-3</v>
      </c>
      <c r="K914" s="23">
        <f t="shared" si="1969"/>
        <v>-2.3492857413512183E-3</v>
      </c>
      <c r="L914" s="23">
        <f t="shared" si="1969"/>
        <v>-2.4881611686331166E-3</v>
      </c>
      <c r="M914" s="23">
        <f t="shared" si="1969"/>
        <v>-2.6252983293556086E-3</v>
      </c>
      <c r="N914" s="23">
        <f t="shared" si="1969"/>
        <v>-2.6704366949418788E-3</v>
      </c>
      <c r="O914" s="23">
        <f t="shared" si="1969"/>
        <v>-2.3788284269997025E-3</v>
      </c>
      <c r="P914" s="23">
        <f t="shared" si="1969"/>
        <v>-2.3954872111892436E-3</v>
      </c>
      <c r="Q914" s="23">
        <f>Q913/Q$899</f>
        <v>-4.2882303392296501E-3</v>
      </c>
      <c r="R914" s="23">
        <f t="shared" ref="R914:X914" si="1970">R913/R$899</f>
        <v>-4.9399604803161577E-3</v>
      </c>
      <c r="S914" s="23">
        <f t="shared" si="1970"/>
        <v>-3.9004465786500611E-3</v>
      </c>
      <c r="T914" s="23">
        <f t="shared" si="1970"/>
        <v>-4.6565596579732317E-3</v>
      </c>
      <c r="U914" s="23">
        <f t="shared" si="1970"/>
        <v>-5.2465007086716364E-3</v>
      </c>
      <c r="V914" s="23">
        <f t="shared" si="1970"/>
        <v>-6.055204831138793E-3</v>
      </c>
      <c r="W914" s="23">
        <f t="shared" si="1970"/>
        <v>-7.1294413474425281E-3</v>
      </c>
      <c r="X914" s="23">
        <f t="shared" si="1970"/>
        <v>-8.5917491867216183E-3</v>
      </c>
      <c r="Y914" s="135" t="s">
        <v>4</v>
      </c>
    </row>
    <row r="915" spans="1:25" ht="15" customHeight="1" outlineLevel="2">
      <c r="B915" s="585" t="s">
        <v>269</v>
      </c>
      <c r="C915" s="581" t="s">
        <v>21</v>
      </c>
      <c r="D915" s="586"/>
      <c r="E915" s="586"/>
      <c r="F915" s="586"/>
      <c r="G915" s="586"/>
      <c r="H915" s="65">
        <f t="shared" ref="H915:P915" si="1971">H913/H$432</f>
        <v>-6.8604708553378418E-3</v>
      </c>
      <c r="I915" s="65">
        <f t="shared" si="1971"/>
        <v>-6.5849775676588354E-3</v>
      </c>
      <c r="J915" s="65">
        <f t="shared" si="1971"/>
        <v>-6.5558007910666285E-3</v>
      </c>
      <c r="K915" s="65">
        <f t="shared" si="1971"/>
        <v>-5.7868209818928507E-3</v>
      </c>
      <c r="L915" s="65">
        <f t="shared" si="1971"/>
        <v>-5.5327503123326792E-3</v>
      </c>
      <c r="M915" s="65">
        <f t="shared" si="1971"/>
        <v>-6.642512077294686E-3</v>
      </c>
      <c r="N915" s="65">
        <f t="shared" si="1971"/>
        <v>-5.924377069175815E-3</v>
      </c>
      <c r="O915" s="65">
        <f t="shared" si="1971"/>
        <v>-4.9192928516525753E-3</v>
      </c>
      <c r="P915" s="65">
        <f t="shared" si="1971"/>
        <v>-4.4146966676160641E-3</v>
      </c>
      <c r="Q915" s="65">
        <f>Q913/Q$432</f>
        <v>-6.6619081608374972E-3</v>
      </c>
      <c r="R915" s="65">
        <f t="shared" ref="R915:X915" si="1972">R913/R$432</f>
        <v>-4.7710967787241683E-3</v>
      </c>
      <c r="S915" s="65">
        <f t="shared" si="1972"/>
        <v>-4.7710967787241683E-3</v>
      </c>
      <c r="T915" s="65">
        <f t="shared" si="1972"/>
        <v>-4.7710967787241683E-3</v>
      </c>
      <c r="U915" s="65">
        <f t="shared" si="1972"/>
        <v>-4.7710967787241683E-3</v>
      </c>
      <c r="V915" s="65">
        <f t="shared" si="1972"/>
        <v>-4.7710967787241692E-3</v>
      </c>
      <c r="W915" s="65">
        <f t="shared" si="1972"/>
        <v>-4.7710967787241692E-3</v>
      </c>
      <c r="X915" s="65">
        <f t="shared" si="1972"/>
        <v>-4.7710967787241692E-3</v>
      </c>
      <c r="Y915" s="135" t="s">
        <v>4</v>
      </c>
    </row>
    <row r="916" spans="1:25" ht="15" customHeight="1" outlineLevel="1">
      <c r="B916" s="221"/>
      <c r="C916" s="269"/>
      <c r="D916" s="42"/>
      <c r="E916" s="42"/>
      <c r="F916" s="42"/>
      <c r="G916" s="42"/>
      <c r="Y916" s="135" t="s">
        <v>4</v>
      </c>
    </row>
    <row r="917" spans="1:25" ht="15" customHeight="1" outlineLevel="1">
      <c r="B917" s="221" t="s">
        <v>272</v>
      </c>
      <c r="C917" s="269" t="s">
        <v>26</v>
      </c>
      <c r="D917" s="322"/>
      <c r="E917" s="322"/>
      <c r="F917" s="322"/>
      <c r="G917" s="322"/>
      <c r="H917" s="25">
        <f t="shared" ref="H917:Q917" si="1973">-(H899+H901+H905)+H919</f>
        <v>-615.60000000000036</v>
      </c>
      <c r="I917" s="25">
        <f t="shared" si="1973"/>
        <v>122.70000000000073</v>
      </c>
      <c r="J917" s="25">
        <f t="shared" si="1973"/>
        <v>2057.1999999999989</v>
      </c>
      <c r="K917" s="25">
        <f t="shared" si="1973"/>
        <v>-642.5</v>
      </c>
      <c r="L917" s="25">
        <f t="shared" si="1973"/>
        <v>234</v>
      </c>
      <c r="M917" s="25">
        <f t="shared" si="1973"/>
        <v>234</v>
      </c>
      <c r="N917" s="25">
        <f t="shared" si="1973"/>
        <v>815</v>
      </c>
      <c r="O917" s="25">
        <f t="shared" si="1973"/>
        <v>-421</v>
      </c>
      <c r="P917" s="25">
        <f t="shared" si="1973"/>
        <v>189</v>
      </c>
      <c r="Q917" s="25">
        <f t="shared" si="1973"/>
        <v>162</v>
      </c>
      <c r="R917" s="286">
        <f>AVERAGE($L$917:Q917)</f>
        <v>202.16666666666666</v>
      </c>
      <c r="S917" s="286">
        <f>AVERAGE($L$917:R917)</f>
        <v>202.16666666666669</v>
      </c>
      <c r="T917" s="286">
        <f>AVERAGE($L$917:S917)</f>
        <v>202.16666666666669</v>
      </c>
      <c r="U917" s="286">
        <f>AVERAGE($L$917:T917)</f>
        <v>202.16666666666669</v>
      </c>
      <c r="V917" s="286">
        <f>AVERAGE($L$917:U917)</f>
        <v>202.16666666666669</v>
      </c>
      <c r="W917" s="286">
        <f>AVERAGE($L$917:V917)</f>
        <v>202.16666666666669</v>
      </c>
      <c r="X917" s="286">
        <f>AVERAGE($L$917:W917)</f>
        <v>202.16666666666666</v>
      </c>
      <c r="Y917" s="135" t="s">
        <v>4</v>
      </c>
    </row>
    <row r="918" spans="1:25" ht="15" customHeight="1" outlineLevel="1">
      <c r="B918" s="217"/>
      <c r="C918" s="269"/>
      <c r="D918" s="42"/>
      <c r="E918" s="42"/>
      <c r="F918" s="42"/>
      <c r="G918" s="42"/>
      <c r="Y918" s="135" t="s">
        <v>4</v>
      </c>
    </row>
    <row r="919" spans="1:25" ht="15" customHeight="1" outlineLevel="1">
      <c r="B919" s="215" t="s">
        <v>273</v>
      </c>
      <c r="C919" s="279" t="s">
        <v>26</v>
      </c>
      <c r="D919" s="320"/>
      <c r="E919" s="320"/>
      <c r="F919" s="320"/>
      <c r="G919" s="320"/>
      <c r="H919" s="22">
        <f t="shared" ref="H919:Q919" si="1974">H681+H683</f>
        <v>11298.4</v>
      </c>
      <c r="I919" s="22">
        <f t="shared" si="1974"/>
        <v>11282.7</v>
      </c>
      <c r="J919" s="22">
        <f t="shared" si="1974"/>
        <v>13195.5</v>
      </c>
      <c r="K919" s="22">
        <f t="shared" si="1974"/>
        <v>12459</v>
      </c>
      <c r="L919" s="22">
        <f t="shared" si="1974"/>
        <v>12570</v>
      </c>
      <c r="M919" s="22">
        <f t="shared" si="1974"/>
        <v>12732</v>
      </c>
      <c r="N919" s="22">
        <f t="shared" si="1974"/>
        <v>13452</v>
      </c>
      <c r="O919" s="22">
        <f t="shared" si="1974"/>
        <v>12941</v>
      </c>
      <c r="P919" s="22">
        <f t="shared" si="1974"/>
        <v>13059</v>
      </c>
      <c r="Q919" s="22">
        <f t="shared" si="1974"/>
        <v>13158</v>
      </c>
      <c r="R919" s="22">
        <f>R899+R901+R905+R917</f>
        <v>13282.813990922235</v>
      </c>
      <c r="S919" s="22">
        <f t="shared" ref="S919:X919" si="1975">S899+S901+S905+S917</f>
        <v>13496.074509801048</v>
      </c>
      <c r="T919" s="22">
        <f t="shared" si="1975"/>
        <v>13617.819183707768</v>
      </c>
      <c r="U919" s="22">
        <f t="shared" si="1975"/>
        <v>13566.771723386228</v>
      </c>
      <c r="V919" s="22">
        <f t="shared" si="1975"/>
        <v>13423.264692288058</v>
      </c>
      <c r="W919" s="22">
        <f t="shared" si="1975"/>
        <v>13167.904098001423</v>
      </c>
      <c r="X919" s="22">
        <f t="shared" si="1975"/>
        <v>12782.255826667344</v>
      </c>
      <c r="Y919" s="135" t="s">
        <v>4</v>
      </c>
    </row>
    <row r="920" spans="1:25" ht="15" customHeight="1" outlineLevel="1">
      <c r="Y920" s="135" t="s">
        <v>4</v>
      </c>
    </row>
    <row r="921" spans="1:25" ht="15" customHeight="1">
      <c r="Q921" s="25"/>
      <c r="R921" s="25"/>
      <c r="S921" s="25"/>
      <c r="T921" s="25"/>
      <c r="U921" s="25"/>
      <c r="V921" s="25"/>
      <c r="W921" s="25"/>
      <c r="X921" s="25"/>
    </row>
    <row r="922" spans="1:25" ht="15" customHeight="1">
      <c r="A922" s="1" t="s">
        <v>4</v>
      </c>
      <c r="B922" s="148" t="s">
        <v>274</v>
      </c>
      <c r="C922" s="149" t="s">
        <v>11</v>
      </c>
      <c r="D922" s="150">
        <v>2011</v>
      </c>
      <c r="E922" s="150">
        <v>2012</v>
      </c>
      <c r="F922" s="150">
        <v>2013</v>
      </c>
      <c r="G922" s="150">
        <v>2014</v>
      </c>
      <c r="H922" s="150">
        <v>2015</v>
      </c>
      <c r="I922" s="150">
        <v>2016</v>
      </c>
      <c r="J922" s="150">
        <v>2017</v>
      </c>
      <c r="K922" s="150">
        <v>2018</v>
      </c>
      <c r="L922" s="150">
        <v>2019</v>
      </c>
      <c r="M922" s="150">
        <v>2020</v>
      </c>
      <c r="N922" s="150">
        <v>2021</v>
      </c>
      <c r="O922" s="150">
        <v>2022</v>
      </c>
      <c r="P922" s="150">
        <v>2023</v>
      </c>
      <c r="Q922" s="150">
        <v>2024</v>
      </c>
      <c r="R922" s="151">
        <v>2025</v>
      </c>
      <c r="S922" s="151" t="s">
        <v>12</v>
      </c>
      <c r="T922" s="151" t="s">
        <v>13</v>
      </c>
      <c r="U922" s="151" t="s">
        <v>14</v>
      </c>
      <c r="V922" s="151" t="s">
        <v>15</v>
      </c>
      <c r="W922" s="152" t="s">
        <v>16</v>
      </c>
      <c r="X922" s="151" t="s">
        <v>17</v>
      </c>
      <c r="Y922" s="135" t="s">
        <v>4</v>
      </c>
    </row>
    <row r="923" spans="1:25" ht="15" customHeight="1" outlineLevel="1">
      <c r="Y923" s="135" t="s">
        <v>4</v>
      </c>
    </row>
    <row r="924" spans="1:25" ht="15" customHeight="1" outlineLevel="1">
      <c r="B924" s="215" t="s">
        <v>274</v>
      </c>
      <c r="C924" s="279" t="s">
        <v>26</v>
      </c>
      <c r="D924" s="320"/>
      <c r="E924" s="320"/>
      <c r="F924" s="320"/>
      <c r="G924" s="22">
        <f t="shared" ref="G924" si="1976">G927+G930</f>
        <v>105.6</v>
      </c>
      <c r="H924" s="22">
        <f>H927+H930</f>
        <v>656.09999999999991</v>
      </c>
      <c r="I924" s="22">
        <f t="shared" ref="I924:Q924" si="1977">I927+I930</f>
        <v>538.1</v>
      </c>
      <c r="J924" s="22">
        <f t="shared" si="1977"/>
        <v>663.5</v>
      </c>
      <c r="K924" s="22">
        <f t="shared" si="1977"/>
        <v>1289</v>
      </c>
      <c r="L924" s="22">
        <f t="shared" si="1977"/>
        <v>901</v>
      </c>
      <c r="M924" s="22">
        <f t="shared" si="1977"/>
        <v>959</v>
      </c>
      <c r="N924" s="22">
        <f t="shared" si="1977"/>
        <v>1525</v>
      </c>
      <c r="O924" s="22">
        <f t="shared" si="1977"/>
        <v>1297</v>
      </c>
      <c r="P924" s="22">
        <f t="shared" si="1977"/>
        <v>1490</v>
      </c>
      <c r="Q924" s="22">
        <f t="shared" si="1977"/>
        <v>1029</v>
      </c>
      <c r="R924" s="22">
        <f t="shared" ref="R924:X924" si="1978">R925*R637</f>
        <v>1124.0102038611301</v>
      </c>
      <c r="S924" s="22">
        <f t="shared" si="1978"/>
        <v>1271.8908032040163</v>
      </c>
      <c r="T924" s="22">
        <f t="shared" si="1978"/>
        <v>1543.0132609434233</v>
      </c>
      <c r="U924" s="22">
        <f t="shared" si="1978"/>
        <v>1755.5639663984382</v>
      </c>
      <c r="V924" s="22">
        <f t="shared" si="1978"/>
        <v>2056.9749355365243</v>
      </c>
      <c r="W924" s="22">
        <f t="shared" si="1978"/>
        <v>2441.6789562034264</v>
      </c>
      <c r="X924" s="22">
        <f t="shared" si="1978"/>
        <v>2963.3550190771089</v>
      </c>
      <c r="Y924" s="135" t="s">
        <v>4</v>
      </c>
    </row>
    <row r="925" spans="1:25" ht="15" customHeight="1" outlineLevel="1">
      <c r="B925" s="6" t="s">
        <v>275</v>
      </c>
      <c r="C925" s="1" t="s">
        <v>21</v>
      </c>
      <c r="D925" s="322"/>
      <c r="E925" s="322"/>
      <c r="F925" s="322"/>
      <c r="G925" s="53" t="str">
        <f>IFERROR(G924/#REF!,"n.m.")</f>
        <v>n.m.</v>
      </c>
      <c r="H925" s="53" t="str">
        <f>IFERROR(H924/#REF!,"n.m.")</f>
        <v>n.m.</v>
      </c>
      <c r="I925" s="53" t="str">
        <f>IFERROR(I924/#REF!,"n.m.")</f>
        <v>n.m.</v>
      </c>
      <c r="J925" s="53" t="str">
        <f>IFERROR(J924/#REF!,"n.m.")</f>
        <v>n.m.</v>
      </c>
      <c r="K925" s="53" t="str">
        <f>IFERROR(K924/#REF!,"n.m.")</f>
        <v>n.m.</v>
      </c>
      <c r="L925" s="53" t="str">
        <f>IFERROR(L924/#REF!,"n.m.")</f>
        <v>n.m.</v>
      </c>
      <c r="M925" s="53" t="str">
        <f>IFERROR(M924/#REF!,"n.m.")</f>
        <v>n.m.</v>
      </c>
      <c r="N925" s="53" t="str">
        <f>IFERROR(N924/#REF!,"n.m.")</f>
        <v>n.m.</v>
      </c>
      <c r="O925" s="53" t="str">
        <f>IFERROR(O924/#REF!,"n.m.")</f>
        <v>n.m.</v>
      </c>
      <c r="P925" s="53" t="str">
        <f>IFERROR(P924/#REF!,"n.m.")</f>
        <v>n.m.</v>
      </c>
      <c r="Q925" s="53" t="str">
        <f>IFERROR(Q924/#REF!,"n.m.")</f>
        <v>n.m.</v>
      </c>
      <c r="R925" s="136">
        <v>0.65</v>
      </c>
      <c r="S925" s="136">
        <v>0.625</v>
      </c>
      <c r="T925" s="136">
        <v>0.62</v>
      </c>
      <c r="U925" s="136">
        <v>0.61</v>
      </c>
      <c r="V925" s="136">
        <v>0.60499999999999998</v>
      </c>
      <c r="W925" s="136">
        <v>0.6</v>
      </c>
      <c r="X925" s="136">
        <v>0.6</v>
      </c>
      <c r="Y925" s="135" t="s">
        <v>4</v>
      </c>
    </row>
    <row r="926" spans="1:25" ht="15" customHeight="1" outlineLevel="1">
      <c r="Y926" s="135" t="s">
        <v>4</v>
      </c>
    </row>
    <row r="927" spans="1:25" ht="15" customHeight="1" outlineLevel="1">
      <c r="B927" s="17" t="s">
        <v>276</v>
      </c>
      <c r="C927" s="15" t="s">
        <v>26</v>
      </c>
      <c r="D927" s="61"/>
      <c r="E927" s="61"/>
      <c r="F927" s="61"/>
      <c r="G927" s="31">
        <f t="shared" ref="G927:Q927" si="1979">-G749</f>
        <v>105.6</v>
      </c>
      <c r="H927" s="31">
        <f t="shared" si="1979"/>
        <v>362.4</v>
      </c>
      <c r="I927" s="31">
        <f t="shared" si="1979"/>
        <v>538.1</v>
      </c>
      <c r="J927" s="31">
        <f t="shared" si="1979"/>
        <v>663.5</v>
      </c>
      <c r="K927" s="31">
        <f t="shared" si="1979"/>
        <v>728</v>
      </c>
      <c r="L927" s="31">
        <f t="shared" si="1979"/>
        <v>901</v>
      </c>
      <c r="M927" s="31">
        <f t="shared" si="1979"/>
        <v>959</v>
      </c>
      <c r="N927" s="31">
        <f t="shared" si="1979"/>
        <v>974</v>
      </c>
      <c r="O927" s="31">
        <f t="shared" si="1979"/>
        <v>971</v>
      </c>
      <c r="P927" s="31">
        <f t="shared" si="1979"/>
        <v>990</v>
      </c>
      <c r="Q927" s="31">
        <f t="shared" si="1979"/>
        <v>1029</v>
      </c>
      <c r="R927" s="61"/>
      <c r="S927" s="61"/>
      <c r="T927" s="61"/>
      <c r="U927" s="61"/>
      <c r="V927" s="61"/>
      <c r="W927" s="61"/>
      <c r="X927" s="61"/>
      <c r="Y927" s="135" t="s">
        <v>4</v>
      </c>
    </row>
    <row r="928" spans="1:25" ht="15" customHeight="1" outlineLevel="1">
      <c r="B928" s="18" t="s">
        <v>275</v>
      </c>
      <c r="C928" s="1" t="s">
        <v>21</v>
      </c>
      <c r="D928" s="62"/>
      <c r="E928" s="62"/>
      <c r="F928" s="62"/>
      <c r="G928" s="53" t="str">
        <f>IFERROR(G927/#REF!,"n.m.")</f>
        <v>n.m.</v>
      </c>
      <c r="H928" s="53" t="str">
        <f>IFERROR(H927/#REF!,"n.m.")</f>
        <v>n.m.</v>
      </c>
      <c r="I928" s="53" t="str">
        <f>IFERROR(I927/#REF!,"n.m.")</f>
        <v>n.m.</v>
      </c>
      <c r="J928" s="53" t="str">
        <f>IFERROR(J927/#REF!,"n.m.")</f>
        <v>n.m.</v>
      </c>
      <c r="K928" s="53" t="str">
        <f>IFERROR(K927/#REF!,"n.m.")</f>
        <v>n.m.</v>
      </c>
      <c r="L928" s="53" t="str">
        <f>IFERROR(L927/#REF!,"n.m.")</f>
        <v>n.m.</v>
      </c>
      <c r="M928" s="53" t="str">
        <f>IFERROR(M927/#REF!,"n.m.")</f>
        <v>n.m.</v>
      </c>
      <c r="N928" s="53" t="str">
        <f>IFERROR(N927/#REF!,"n.m.")</f>
        <v>n.m.</v>
      </c>
      <c r="O928" s="53" t="str">
        <f>IFERROR(O927/#REF!,"n.m.")</f>
        <v>n.m.</v>
      </c>
      <c r="P928" s="53" t="str">
        <f>IFERROR(P927/#REF!,"n.m.")</f>
        <v>n.m.</v>
      </c>
      <c r="Q928" s="53" t="str">
        <f>IFERROR(Q927/#REF!,"n.m.")</f>
        <v>n.m.</v>
      </c>
      <c r="R928" s="57"/>
      <c r="S928" s="57"/>
      <c r="T928" s="57"/>
      <c r="U928" s="57"/>
      <c r="V928" s="57"/>
      <c r="W928" s="57"/>
      <c r="X928" s="57"/>
      <c r="Y928" s="135" t="s">
        <v>4</v>
      </c>
    </row>
    <row r="929" spans="1:25" ht="15" customHeight="1" outlineLevel="1">
      <c r="Y929" s="135" t="s">
        <v>4</v>
      </c>
    </row>
    <row r="930" spans="1:25" ht="15" customHeight="1" outlineLevel="1">
      <c r="B930" s="6" t="s">
        <v>277</v>
      </c>
      <c r="C930" s="1" t="s">
        <v>26</v>
      </c>
      <c r="D930" s="173"/>
      <c r="E930" s="62"/>
      <c r="F930" s="62"/>
      <c r="G930" s="25">
        <f t="shared" ref="G930:Q930" si="1980">-G752</f>
        <v>0</v>
      </c>
      <c r="H930" s="25">
        <f t="shared" si="1980"/>
        <v>293.7</v>
      </c>
      <c r="I930" s="25">
        <f t="shared" si="1980"/>
        <v>0</v>
      </c>
      <c r="J930" s="25">
        <f t="shared" si="1980"/>
        <v>0</v>
      </c>
      <c r="K930" s="25">
        <f t="shared" si="1980"/>
        <v>561</v>
      </c>
      <c r="L930" s="25">
        <f t="shared" si="1980"/>
        <v>0</v>
      </c>
      <c r="M930" s="25">
        <f t="shared" si="1980"/>
        <v>0</v>
      </c>
      <c r="N930" s="25">
        <f t="shared" si="1980"/>
        <v>551</v>
      </c>
      <c r="O930" s="25">
        <f t="shared" si="1980"/>
        <v>326</v>
      </c>
      <c r="P930" s="25">
        <f t="shared" si="1980"/>
        <v>500</v>
      </c>
      <c r="Q930" s="25">
        <f t="shared" si="1980"/>
        <v>0</v>
      </c>
      <c r="R930" s="62"/>
      <c r="S930" s="62"/>
      <c r="T930" s="62"/>
      <c r="U930" s="62"/>
      <c r="V930" s="62"/>
      <c r="W930" s="323"/>
      <c r="X930" s="323"/>
      <c r="Y930" s="135" t="s">
        <v>4</v>
      </c>
    </row>
    <row r="931" spans="1:25" ht="15" customHeight="1" outlineLevel="1">
      <c r="B931" s="20" t="s">
        <v>275</v>
      </c>
      <c r="C931" s="21" t="s">
        <v>21</v>
      </c>
      <c r="D931" s="174"/>
      <c r="E931" s="63"/>
      <c r="F931" s="63"/>
      <c r="G931" s="83" t="str">
        <f>IFERROR(G930/#REF!,"n.m.")</f>
        <v>n.m.</v>
      </c>
      <c r="H931" s="83" t="str">
        <f>IFERROR(H930/#REF!,"n.m.")</f>
        <v>n.m.</v>
      </c>
      <c r="I931" s="83" t="str">
        <f>IFERROR(I930/#REF!,"n.m.")</f>
        <v>n.m.</v>
      </c>
      <c r="J931" s="83" t="str">
        <f>IFERROR(J930/#REF!,"n.m.")</f>
        <v>n.m.</v>
      </c>
      <c r="K931" s="83" t="str">
        <f>IFERROR(K930/#REF!,"n.m.")</f>
        <v>n.m.</v>
      </c>
      <c r="L931" s="83" t="str">
        <f>IFERROR(L930/#REF!,"n.m.")</f>
        <v>n.m.</v>
      </c>
      <c r="M931" s="83" t="str">
        <f>IFERROR(M930/#REF!,"n.m.")</f>
        <v>n.m.</v>
      </c>
      <c r="N931" s="83" t="str">
        <f>IFERROR(N930/#REF!,"n.m.")</f>
        <v>n.m.</v>
      </c>
      <c r="O931" s="83" t="str">
        <f>IFERROR(O930/#REF!,"n.m.")</f>
        <v>n.m.</v>
      </c>
      <c r="P931" s="83" t="str">
        <f>IFERROR(P930/#REF!,"n.m.")</f>
        <v>n.m.</v>
      </c>
      <c r="Q931" s="83" t="str">
        <f>IFERROR(Q930/#REF!,"n.m.")</f>
        <v>n.m.</v>
      </c>
      <c r="R931" s="324"/>
      <c r="S931" s="324"/>
      <c r="T931" s="324"/>
      <c r="U931" s="324"/>
      <c r="V931" s="324"/>
      <c r="W931" s="324"/>
      <c r="X931" s="324"/>
      <c r="Y931" s="135" t="s">
        <v>4</v>
      </c>
    </row>
    <row r="932" spans="1:25" ht="15" customHeight="1" outlineLevel="1">
      <c r="Y932" s="135" t="s">
        <v>4</v>
      </c>
    </row>
    <row r="933" spans="1:25" ht="15" customHeight="1">
      <c r="Y933" s="135" t="s">
        <v>4</v>
      </c>
    </row>
    <row r="934" spans="1:25" ht="15" customHeight="1">
      <c r="A934" s="1" t="s">
        <v>4</v>
      </c>
      <c r="B934" s="148" t="s">
        <v>278</v>
      </c>
      <c r="C934" s="149" t="s">
        <v>11</v>
      </c>
      <c r="D934" s="150">
        <v>2011</v>
      </c>
      <c r="E934" s="150">
        <v>2012</v>
      </c>
      <c r="F934" s="150">
        <v>2013</v>
      </c>
      <c r="G934" s="150">
        <v>2014</v>
      </c>
      <c r="H934" s="150">
        <v>2015</v>
      </c>
      <c r="I934" s="150">
        <v>2016</v>
      </c>
      <c r="J934" s="150">
        <v>2017</v>
      </c>
      <c r="K934" s="150">
        <v>2018</v>
      </c>
      <c r="L934" s="150">
        <v>2019</v>
      </c>
      <c r="M934" s="150">
        <v>2020</v>
      </c>
      <c r="N934" s="150">
        <v>2021</v>
      </c>
      <c r="O934" s="150">
        <v>2022</v>
      </c>
      <c r="P934" s="150">
        <v>2023</v>
      </c>
      <c r="Q934" s="150">
        <v>2024</v>
      </c>
      <c r="R934" s="151" t="s">
        <v>23</v>
      </c>
      <c r="S934" s="151" t="s">
        <v>12</v>
      </c>
      <c r="T934" s="151" t="s">
        <v>13</v>
      </c>
      <c r="U934" s="151" t="s">
        <v>14</v>
      </c>
      <c r="V934" s="151" t="s">
        <v>15</v>
      </c>
      <c r="W934" s="152" t="s">
        <v>16</v>
      </c>
      <c r="X934" s="151" t="s">
        <v>17</v>
      </c>
      <c r="Y934" s="135" t="s">
        <v>4</v>
      </c>
    </row>
    <row r="935" spans="1:25" ht="15" customHeight="1" outlineLevel="1">
      <c r="H935" s="25"/>
      <c r="Y935" s="135" t="s">
        <v>4</v>
      </c>
    </row>
    <row r="936" spans="1:25" ht="15" customHeight="1" outlineLevel="1">
      <c r="B936" s="2" t="s">
        <v>279</v>
      </c>
      <c r="C936" s="1" t="s">
        <v>26</v>
      </c>
      <c r="D936" s="173"/>
      <c r="E936" s="62"/>
      <c r="F936" s="62"/>
      <c r="G936" s="62"/>
      <c r="H936" s="25">
        <f t="shared" ref="H936:X936" si="1981">H620+H909</f>
        <v>1343.6999999999998</v>
      </c>
      <c r="I936" s="25">
        <f t="shared" si="1981"/>
        <v>1685.4</v>
      </c>
      <c r="J936" s="25">
        <f t="shared" si="1981"/>
        <v>1937.0000000000005</v>
      </c>
      <c r="K936" s="25">
        <f t="shared" si="1981"/>
        <v>1963.1</v>
      </c>
      <c r="L936" s="25">
        <f t="shared" si="1981"/>
        <v>2039</v>
      </c>
      <c r="M936" s="25">
        <f t="shared" si="1981"/>
        <v>1608</v>
      </c>
      <c r="N936" s="25">
        <f t="shared" si="1981"/>
        <v>1963</v>
      </c>
      <c r="O936" s="25">
        <f t="shared" si="1981"/>
        <v>2038</v>
      </c>
      <c r="P936" s="25">
        <f t="shared" si="1981"/>
        <v>2162</v>
      </c>
      <c r="Q936" s="25">
        <f t="shared" si="1981"/>
        <v>2385</v>
      </c>
      <c r="R936" s="25">
        <f t="shared" si="1981"/>
        <v>2393.9744064897009</v>
      </c>
      <c r="S936" s="25">
        <f t="shared" si="1981"/>
        <v>2553.5794586203701</v>
      </c>
      <c r="T936" s="25">
        <f t="shared" si="1981"/>
        <v>2906.0831364526985</v>
      </c>
      <c r="U936" s="25">
        <f t="shared" si="1981"/>
        <v>3201.8850724187714</v>
      </c>
      <c r="V936" s="25">
        <f t="shared" si="1981"/>
        <v>3701.8226670029962</v>
      </c>
      <c r="W936" s="25">
        <f t="shared" si="1981"/>
        <v>4382.1876369968022</v>
      </c>
      <c r="X936" s="25">
        <f t="shared" si="1981"/>
        <v>5297.111357945796</v>
      </c>
      <c r="Y936" s="135" t="s">
        <v>4</v>
      </c>
    </row>
    <row r="937" spans="1:25" ht="15" customHeight="1" outlineLevel="1">
      <c r="B937" s="2" t="s">
        <v>122</v>
      </c>
      <c r="C937" s="1" t="s">
        <v>26</v>
      </c>
      <c r="D937" s="173"/>
      <c r="E937" s="62"/>
      <c r="F937" s="62"/>
      <c r="G937" s="62"/>
      <c r="H937" s="25">
        <f t="shared" ref="H937:X937" si="1982">H936*H666</f>
        <v>-413.81584854464728</v>
      </c>
      <c r="I937" s="25">
        <f t="shared" si="1982"/>
        <v>-433.29302721088436</v>
      </c>
      <c r="J937" s="25">
        <f t="shared" si="1982"/>
        <v>-327.61002675901142</v>
      </c>
      <c r="K937" s="25">
        <f t="shared" si="1982"/>
        <v>-340.29902491874321</v>
      </c>
      <c r="L937" s="25">
        <f t="shared" si="1982"/>
        <v>-384.23058398555088</v>
      </c>
      <c r="M937" s="25">
        <f t="shared" si="1982"/>
        <v>-287.82816229116946</v>
      </c>
      <c r="N937" s="25">
        <f t="shared" si="1982"/>
        <v>-284.16535433070868</v>
      </c>
      <c r="O937" s="25">
        <f t="shared" si="1982"/>
        <v>-244.01011804384484</v>
      </c>
      <c r="P937" s="25">
        <f t="shared" si="1982"/>
        <v>-245.05720338983051</v>
      </c>
      <c r="Q937" s="25">
        <f t="shared" si="1982"/>
        <v>-392.58774097874442</v>
      </c>
      <c r="R937" s="25">
        <f t="shared" si="1982"/>
        <v>-363.03972516937449</v>
      </c>
      <c r="S937" s="25">
        <f t="shared" si="1982"/>
        <v>-371.58424871242954</v>
      </c>
      <c r="T937" s="25">
        <f t="shared" si="1982"/>
        <v>-406.66165556037805</v>
      </c>
      <c r="U937" s="25">
        <f t="shared" si="1982"/>
        <v>-445.47913884789966</v>
      </c>
      <c r="V937" s="25">
        <f t="shared" si="1982"/>
        <v>-527.00487159414672</v>
      </c>
      <c r="W937" s="25">
        <f t="shared" si="1982"/>
        <v>-645.05646816953617</v>
      </c>
      <c r="X937" s="25">
        <f t="shared" si="1982"/>
        <v>-764.36478327150337</v>
      </c>
      <c r="Y937" s="135" t="s">
        <v>4</v>
      </c>
    </row>
    <row r="938" spans="1:25" ht="15" customHeight="1" outlineLevel="1">
      <c r="B938" s="7" t="s">
        <v>280</v>
      </c>
      <c r="C938" s="13" t="s">
        <v>26</v>
      </c>
      <c r="D938" s="281"/>
      <c r="E938" s="281"/>
      <c r="F938" s="281"/>
      <c r="G938" s="281"/>
      <c r="H938" s="22">
        <f>H936+H937</f>
        <v>929.88415145535259</v>
      </c>
      <c r="I938" s="22">
        <f t="shared" ref="I938:X938" si="1983">I936+I937</f>
        <v>1252.1069727891158</v>
      </c>
      <c r="J938" s="22">
        <f t="shared" si="1983"/>
        <v>1609.3899732409891</v>
      </c>
      <c r="K938" s="22">
        <f t="shared" si="1983"/>
        <v>1622.8009750812566</v>
      </c>
      <c r="L938" s="22">
        <f t="shared" si="1983"/>
        <v>1654.7694160144492</v>
      </c>
      <c r="M938" s="22">
        <f t="shared" si="1983"/>
        <v>1320.1718377088305</v>
      </c>
      <c r="N938" s="22">
        <f t="shared" si="1983"/>
        <v>1678.8346456692914</v>
      </c>
      <c r="O938" s="22">
        <f t="shared" si="1983"/>
        <v>1793.9898819561552</v>
      </c>
      <c r="P938" s="22">
        <f t="shared" si="1983"/>
        <v>1916.9427966101696</v>
      </c>
      <c r="Q938" s="22">
        <f t="shared" si="1983"/>
        <v>1992.4122590212555</v>
      </c>
      <c r="R938" s="22">
        <f t="shared" si="1983"/>
        <v>2030.9346813203265</v>
      </c>
      <c r="S938" s="22">
        <f t="shared" si="1983"/>
        <v>2181.9952099079405</v>
      </c>
      <c r="T938" s="22">
        <f t="shared" si="1983"/>
        <v>2499.4214808923202</v>
      </c>
      <c r="U938" s="22">
        <f t="shared" si="1983"/>
        <v>2756.4059335708716</v>
      </c>
      <c r="V938" s="22">
        <f t="shared" si="1983"/>
        <v>3174.8177954088496</v>
      </c>
      <c r="W938" s="22">
        <f t="shared" si="1983"/>
        <v>3737.1311688272663</v>
      </c>
      <c r="X938" s="22">
        <f t="shared" si="1983"/>
        <v>4532.7465746742928</v>
      </c>
      <c r="Y938" s="135" t="s">
        <v>4</v>
      </c>
    </row>
    <row r="939" spans="1:25" ht="15" customHeight="1" outlineLevel="1">
      <c r="B939" s="6" t="s">
        <v>281</v>
      </c>
      <c r="C939" s="1" t="s">
        <v>21</v>
      </c>
      <c r="D939" s="62"/>
      <c r="E939" s="62"/>
      <c r="F939" s="62"/>
      <c r="G939" s="62"/>
      <c r="H939" s="23">
        <f t="shared" ref="H939:X939" si="1984">H938/H432</f>
        <v>0.22947637121942466</v>
      </c>
      <c r="I939" s="23">
        <f t="shared" si="1984"/>
        <v>0.30201818051741902</v>
      </c>
      <c r="J939" s="23">
        <f t="shared" si="1984"/>
        <v>0.35169466865693255</v>
      </c>
      <c r="K939" s="23">
        <f t="shared" si="1984"/>
        <v>0.30293092683988365</v>
      </c>
      <c r="L939" s="23">
        <f t="shared" si="1984"/>
        <v>0.29533632268685511</v>
      </c>
      <c r="M939" s="23">
        <f t="shared" si="1984"/>
        <v>0.26573507200258262</v>
      </c>
      <c r="N939" s="23">
        <f t="shared" si="1984"/>
        <v>0.29253086699238395</v>
      </c>
      <c r="O939" s="23">
        <f t="shared" si="1984"/>
        <v>0.27578630007012378</v>
      </c>
      <c r="P939" s="23">
        <f t="shared" si="1984"/>
        <v>0.27299099923243658</v>
      </c>
      <c r="Q939" s="23">
        <f t="shared" si="1984"/>
        <v>0.23702263371654242</v>
      </c>
      <c r="R939" s="23">
        <f t="shared" si="1984"/>
        <v>0.14907362947456315</v>
      </c>
      <c r="S939" s="23">
        <f t="shared" si="1984"/>
        <v>0.20094055334179367</v>
      </c>
      <c r="T939" s="23">
        <f t="shared" si="1984"/>
        <v>0.1897514422014846</v>
      </c>
      <c r="U939" s="23">
        <f t="shared" si="1984"/>
        <v>0.18407046225250717</v>
      </c>
      <c r="V939" s="23">
        <f t="shared" si="1984"/>
        <v>0.18438758477519485</v>
      </c>
      <c r="W939" s="23">
        <f t="shared" si="1984"/>
        <v>0.18631289442345</v>
      </c>
      <c r="X939" s="23">
        <f t="shared" si="1984"/>
        <v>0.19115313236158862</v>
      </c>
      <c r="Y939" s="135" t="s">
        <v>4</v>
      </c>
    </row>
    <row r="940" spans="1:25" ht="15" customHeight="1" outlineLevel="1">
      <c r="Y940" s="135" t="s">
        <v>4</v>
      </c>
    </row>
    <row r="941" spans="1:25" ht="15" customHeight="1" outlineLevel="1">
      <c r="B941" s="2" t="s">
        <v>258</v>
      </c>
      <c r="C941" s="1" t="s">
        <v>26</v>
      </c>
      <c r="D941" s="173"/>
      <c r="E941" s="62"/>
      <c r="F941" s="62"/>
      <c r="G941" s="62"/>
      <c r="H941" s="25">
        <f t="shared" ref="H941:X941" si="1985">H864</f>
        <v>192.70000000000005</v>
      </c>
      <c r="I941" s="25">
        <f t="shared" si="1985"/>
        <v>14.699999999999932</v>
      </c>
      <c r="J941" s="25">
        <f t="shared" si="1985"/>
        <v>-34.899999999999977</v>
      </c>
      <c r="K941" s="25">
        <f t="shared" si="1985"/>
        <v>-93</v>
      </c>
      <c r="L941" s="25">
        <f t="shared" si="1985"/>
        <v>-149</v>
      </c>
      <c r="M941" s="25">
        <f t="shared" si="1985"/>
        <v>49</v>
      </c>
      <c r="N941" s="25">
        <f t="shared" si="1985"/>
        <v>-106</v>
      </c>
      <c r="O941" s="25">
        <f t="shared" si="1985"/>
        <v>-118</v>
      </c>
      <c r="P941" s="25">
        <f t="shared" si="1985"/>
        <v>-4</v>
      </c>
      <c r="Q941" s="25">
        <f t="shared" si="1985"/>
        <v>-53</v>
      </c>
      <c r="R941" s="25">
        <f t="shared" si="1985"/>
        <v>-358.06006294233816</v>
      </c>
      <c r="S941" s="25">
        <f t="shared" si="1985"/>
        <v>-253.02929402325026</v>
      </c>
      <c r="T941" s="25">
        <f t="shared" si="1985"/>
        <v>-326.43807466834937</v>
      </c>
      <c r="U941" s="25">
        <f t="shared" si="1985"/>
        <v>-343.28707231220096</v>
      </c>
      <c r="V941" s="25">
        <f t="shared" si="1985"/>
        <v>-356.14979278762576</v>
      </c>
      <c r="W941" s="25">
        <f t="shared" si="1985"/>
        <v>-391.46536152928002</v>
      </c>
      <c r="X941" s="25">
        <f t="shared" si="1985"/>
        <v>-488.07137312572422</v>
      </c>
      <c r="Y941" s="135" t="s">
        <v>4</v>
      </c>
    </row>
    <row r="942" spans="1:25" ht="15" customHeight="1" outlineLevel="1">
      <c r="B942" s="2" t="s">
        <v>169</v>
      </c>
      <c r="C942" s="1" t="s">
        <v>26</v>
      </c>
      <c r="D942" s="173"/>
      <c r="E942" s="62"/>
      <c r="F942" s="62"/>
      <c r="G942" s="62"/>
      <c r="H942" s="25">
        <f t="shared" ref="H942:X942" si="1986">H681</f>
        <v>2150.6</v>
      </c>
      <c r="I942" s="25">
        <f t="shared" si="1986"/>
        <v>2054.6999999999998</v>
      </c>
      <c r="J942" s="25">
        <f t="shared" si="1986"/>
        <v>2133.3000000000002</v>
      </c>
      <c r="K942" s="25">
        <f t="shared" si="1986"/>
        <v>1996</v>
      </c>
      <c r="L942" s="25">
        <f t="shared" si="1986"/>
        <v>2007</v>
      </c>
      <c r="M942" s="25">
        <f t="shared" si="1986"/>
        <v>2031</v>
      </c>
      <c r="N942" s="25">
        <f t="shared" si="1986"/>
        <v>2035</v>
      </c>
      <c r="O942" s="25">
        <f t="shared" si="1986"/>
        <v>1950</v>
      </c>
      <c r="P942" s="25">
        <f t="shared" si="1986"/>
        <v>1952</v>
      </c>
      <c r="Q942" s="25">
        <f t="shared" si="1986"/>
        <v>2236</v>
      </c>
      <c r="R942" s="25">
        <f t="shared" si="1986"/>
        <v>2223.6473242555689</v>
      </c>
      <c r="S942" s="25">
        <f t="shared" si="1986"/>
        <v>2286.550082853455</v>
      </c>
      <c r="T942" s="25">
        <f t="shared" si="1986"/>
        <v>2268.9733661968498</v>
      </c>
      <c r="U942" s="25">
        <f t="shared" si="1986"/>
        <v>2087.2051372065284</v>
      </c>
      <c r="V942" s="25">
        <f t="shared" si="1986"/>
        <v>1823.6810211240995</v>
      </c>
      <c r="W942" s="25">
        <f t="shared" si="1986"/>
        <v>1461.8541384856633</v>
      </c>
      <c r="X942" s="25">
        <f t="shared" si="1986"/>
        <v>987.17452980974861</v>
      </c>
      <c r="Y942" s="135" t="s">
        <v>4</v>
      </c>
    </row>
    <row r="943" spans="1:25" ht="15" customHeight="1" outlineLevel="1">
      <c r="B943" s="7" t="s">
        <v>282</v>
      </c>
      <c r="C943" s="13" t="s">
        <v>26</v>
      </c>
      <c r="D943" s="281"/>
      <c r="E943" s="281"/>
      <c r="F943" s="281"/>
      <c r="G943" s="281"/>
      <c r="H943" s="22">
        <f>H941+H942</f>
        <v>2343.3000000000002</v>
      </c>
      <c r="I943" s="22">
        <f t="shared" ref="I943:X943" si="1987">I941+I942</f>
        <v>2069.3999999999996</v>
      </c>
      <c r="J943" s="22">
        <f t="shared" si="1987"/>
        <v>2098.4</v>
      </c>
      <c r="K943" s="22">
        <f t="shared" si="1987"/>
        <v>1903</v>
      </c>
      <c r="L943" s="22">
        <f t="shared" si="1987"/>
        <v>1858</v>
      </c>
      <c r="M943" s="22">
        <f t="shared" si="1987"/>
        <v>2080</v>
      </c>
      <c r="N943" s="22">
        <f t="shared" si="1987"/>
        <v>1929</v>
      </c>
      <c r="O943" s="22">
        <f t="shared" si="1987"/>
        <v>1832</v>
      </c>
      <c r="P943" s="22">
        <f t="shared" si="1987"/>
        <v>1948</v>
      </c>
      <c r="Q943" s="22">
        <f t="shared" si="1987"/>
        <v>2183</v>
      </c>
      <c r="R943" s="22">
        <f t="shared" si="1987"/>
        <v>1865.5872613132308</v>
      </c>
      <c r="S943" s="22">
        <f t="shared" si="1987"/>
        <v>2033.5207888302048</v>
      </c>
      <c r="T943" s="22">
        <f t="shared" si="1987"/>
        <v>1942.5352915285005</v>
      </c>
      <c r="U943" s="22">
        <f t="shared" si="1987"/>
        <v>1743.9180648943275</v>
      </c>
      <c r="V943" s="22">
        <f t="shared" si="1987"/>
        <v>1467.5312283364738</v>
      </c>
      <c r="W943" s="22">
        <f t="shared" si="1987"/>
        <v>1070.3887769563833</v>
      </c>
      <c r="X943" s="22">
        <f t="shared" si="1987"/>
        <v>499.10315668402438</v>
      </c>
      <c r="Y943" s="135" t="s">
        <v>4</v>
      </c>
    </row>
    <row r="944" spans="1:25" ht="15" customHeight="1" outlineLevel="1">
      <c r="B944" s="6" t="s">
        <v>283</v>
      </c>
      <c r="C944" s="1" t="s">
        <v>39</v>
      </c>
      <c r="D944" s="62"/>
      <c r="E944" s="62"/>
      <c r="F944" s="62"/>
      <c r="G944" s="62"/>
      <c r="H944" s="590">
        <f>H$432/H943</f>
        <v>1.729270686638501</v>
      </c>
      <c r="I944" s="590">
        <f t="shared" ref="I944:X944" si="1988">I$432/I943</f>
        <v>2.0033826229825076</v>
      </c>
      <c r="J944" s="590">
        <f t="shared" si="1988"/>
        <v>2.1807567670606178</v>
      </c>
      <c r="K944" s="590">
        <f t="shared" si="1988"/>
        <v>2.8150289017341041</v>
      </c>
      <c r="L944" s="590">
        <f t="shared" si="1988"/>
        <v>3.0156081808396125</v>
      </c>
      <c r="M944" s="590">
        <f t="shared" si="1988"/>
        <v>2.3884615384615384</v>
      </c>
      <c r="N944" s="590">
        <f t="shared" si="1988"/>
        <v>2.9751166407465006</v>
      </c>
      <c r="O944" s="590">
        <f t="shared" si="1988"/>
        <v>3.5507641921397379</v>
      </c>
      <c r="P944" s="590">
        <f t="shared" si="1988"/>
        <v>3.6047227926078027</v>
      </c>
      <c r="Q944" s="590">
        <f t="shared" si="1988"/>
        <v>3.8506642235455795</v>
      </c>
      <c r="R944" s="590">
        <f t="shared" si="1988"/>
        <v>7.30263447346832</v>
      </c>
      <c r="S944" s="590">
        <f t="shared" si="1988"/>
        <v>5.3399548176830596</v>
      </c>
      <c r="T944" s="590">
        <f t="shared" si="1988"/>
        <v>6.7808711944960205</v>
      </c>
      <c r="U944" s="590">
        <f t="shared" si="1988"/>
        <v>8.5868326055387154</v>
      </c>
      <c r="V944" s="590">
        <f t="shared" si="1988"/>
        <v>11.732748967439827</v>
      </c>
      <c r="W944" s="590">
        <f t="shared" si="1988"/>
        <v>18.739322340630206</v>
      </c>
      <c r="X944" s="590">
        <f t="shared" si="1988"/>
        <v>47.510511127646268</v>
      </c>
      <c r="Y944" s="135" t="s">
        <v>4</v>
      </c>
    </row>
    <row r="945" spans="2:25" ht="15" customHeight="1" outlineLevel="1">
      <c r="H945" s="23"/>
      <c r="I945" s="23"/>
      <c r="J945" s="23"/>
      <c r="K945" s="23"/>
      <c r="L945" s="23"/>
      <c r="M945" s="23"/>
      <c r="N945" s="23"/>
      <c r="O945" s="23"/>
      <c r="P945" s="23"/>
      <c r="Q945" s="23"/>
      <c r="R945" s="23"/>
      <c r="S945" s="23"/>
      <c r="T945" s="23"/>
      <c r="U945" s="23"/>
      <c r="V945" s="23"/>
      <c r="W945" s="23"/>
      <c r="X945" s="23"/>
      <c r="Y945" s="135" t="s">
        <v>4</v>
      </c>
    </row>
    <row r="946" spans="2:25" ht="15" customHeight="1" outlineLevel="1">
      <c r="B946" s="587" t="s">
        <v>284</v>
      </c>
      <c r="C946" s="588" t="s">
        <v>21</v>
      </c>
      <c r="D946" s="589"/>
      <c r="E946" s="589"/>
      <c r="F946" s="589"/>
      <c r="G946" s="589"/>
      <c r="H946" s="591">
        <f>H938/H943</f>
        <v>0.39682676202592604</v>
      </c>
      <c r="I946" s="591">
        <f t="shared" ref="I946:X946" si="1989">I938/I943</f>
        <v>0.6050579746733914</v>
      </c>
      <c r="J946" s="591">
        <f t="shared" si="1989"/>
        <v>0.76696052861274733</v>
      </c>
      <c r="K946" s="591">
        <f t="shared" si="1989"/>
        <v>0.85275931428337182</v>
      </c>
      <c r="L946" s="591">
        <f t="shared" si="1989"/>
        <v>0.89061863079356796</v>
      </c>
      <c r="M946" s="591">
        <f t="shared" si="1989"/>
        <v>0.63469799889847622</v>
      </c>
      <c r="N946" s="591">
        <f t="shared" si="1989"/>
        <v>0.87031345032104268</v>
      </c>
      <c r="O946" s="591">
        <f t="shared" si="1989"/>
        <v>0.97925211897170039</v>
      </c>
      <c r="P946" s="591">
        <f t="shared" si="1989"/>
        <v>0.98405687710994327</v>
      </c>
      <c r="Q946" s="591">
        <f t="shared" si="1989"/>
        <v>0.91269457582283808</v>
      </c>
      <c r="R946" s="591">
        <f>R938/R943</f>
        <v>1.0886302256859879</v>
      </c>
      <c r="S946" s="591">
        <f t="shared" si="1989"/>
        <v>1.0730134758854109</v>
      </c>
      <c r="T946" s="591">
        <f t="shared" si="1989"/>
        <v>1.2866800885381233</v>
      </c>
      <c r="U946" s="591">
        <f t="shared" si="1989"/>
        <v>1.5805822469864121</v>
      </c>
      <c r="V946" s="591">
        <f t="shared" si="1989"/>
        <v>2.163373244879891</v>
      </c>
      <c r="W946" s="591">
        <f t="shared" si="1989"/>
        <v>3.4913773848168335</v>
      </c>
      <c r="X946" s="591">
        <f t="shared" si="1989"/>
        <v>9.0817830221496969</v>
      </c>
      <c r="Y946" s="135" t="s">
        <v>4</v>
      </c>
    </row>
    <row r="947" spans="2:25" ht="15" customHeight="1" outlineLevel="1">
      <c r="Y947" s="135" t="s">
        <v>4</v>
      </c>
    </row>
    <row r="948" spans="2:25" ht="15" customHeight="1" outlineLevel="1">
      <c r="B948" s="2" t="s">
        <v>258</v>
      </c>
      <c r="C948" s="1" t="s">
        <v>26</v>
      </c>
      <c r="D948" s="62"/>
      <c r="E948" s="62"/>
      <c r="F948" s="62"/>
      <c r="G948" s="62"/>
      <c r="H948" s="25">
        <f t="shared" ref="H948:X948" si="1990">H864</f>
        <v>192.70000000000005</v>
      </c>
      <c r="I948" s="25">
        <f t="shared" si="1990"/>
        <v>14.699999999999932</v>
      </c>
      <c r="J948" s="25">
        <f t="shared" si="1990"/>
        <v>-34.899999999999977</v>
      </c>
      <c r="K948" s="25">
        <f t="shared" si="1990"/>
        <v>-93</v>
      </c>
      <c r="L948" s="25">
        <f t="shared" si="1990"/>
        <v>-149</v>
      </c>
      <c r="M948" s="25">
        <f t="shared" si="1990"/>
        <v>49</v>
      </c>
      <c r="N948" s="25">
        <f t="shared" si="1990"/>
        <v>-106</v>
      </c>
      <c r="O948" s="25">
        <f t="shared" si="1990"/>
        <v>-118</v>
      </c>
      <c r="P948" s="25">
        <f t="shared" si="1990"/>
        <v>-4</v>
      </c>
      <c r="Q948" s="25">
        <f t="shared" si="1990"/>
        <v>-53</v>
      </c>
      <c r="R948" s="25">
        <f t="shared" si="1990"/>
        <v>-358.06006294233816</v>
      </c>
      <c r="S948" s="25">
        <f t="shared" si="1990"/>
        <v>-253.02929402325026</v>
      </c>
      <c r="T948" s="25">
        <f t="shared" si="1990"/>
        <v>-326.43807466834937</v>
      </c>
      <c r="U948" s="25">
        <f t="shared" si="1990"/>
        <v>-343.28707231220096</v>
      </c>
      <c r="V948" s="25">
        <f t="shared" si="1990"/>
        <v>-356.14979278762576</v>
      </c>
      <c r="W948" s="115">
        <f t="shared" si="1990"/>
        <v>-391.46536152928002</v>
      </c>
      <c r="X948" s="115">
        <f t="shared" si="1990"/>
        <v>-488.07137312572422</v>
      </c>
      <c r="Y948" s="135" t="s">
        <v>4</v>
      </c>
    </row>
    <row r="949" spans="2:25" ht="15" customHeight="1" outlineLevel="1">
      <c r="B949" s="2" t="s">
        <v>169</v>
      </c>
      <c r="C949" s="1" t="s">
        <v>26</v>
      </c>
      <c r="D949" s="62"/>
      <c r="E949" s="62"/>
      <c r="F949" s="62"/>
      <c r="G949" s="62"/>
      <c r="H949" s="25">
        <f t="shared" ref="H949:X949" si="1991">H681</f>
        <v>2150.6</v>
      </c>
      <c r="I949" s="25">
        <f t="shared" si="1991"/>
        <v>2054.6999999999998</v>
      </c>
      <c r="J949" s="25">
        <f t="shared" si="1991"/>
        <v>2133.3000000000002</v>
      </c>
      <c r="K949" s="25">
        <f t="shared" si="1991"/>
        <v>1996</v>
      </c>
      <c r="L949" s="25">
        <f t="shared" si="1991"/>
        <v>2007</v>
      </c>
      <c r="M949" s="25">
        <f t="shared" si="1991"/>
        <v>2031</v>
      </c>
      <c r="N949" s="25">
        <f t="shared" si="1991"/>
        <v>2035</v>
      </c>
      <c r="O949" s="25">
        <f t="shared" si="1991"/>
        <v>1950</v>
      </c>
      <c r="P949" s="25">
        <f t="shared" si="1991"/>
        <v>1952</v>
      </c>
      <c r="Q949" s="25">
        <f t="shared" si="1991"/>
        <v>2236</v>
      </c>
      <c r="R949" s="25">
        <f t="shared" si="1991"/>
        <v>2223.6473242555689</v>
      </c>
      <c r="S949" s="25">
        <f t="shared" si="1991"/>
        <v>2286.550082853455</v>
      </c>
      <c r="T949" s="25">
        <f t="shared" si="1991"/>
        <v>2268.9733661968498</v>
      </c>
      <c r="U949" s="25">
        <f t="shared" si="1991"/>
        <v>2087.2051372065284</v>
      </c>
      <c r="V949" s="25">
        <f t="shared" si="1991"/>
        <v>1823.6810211240995</v>
      </c>
      <c r="W949" s="115">
        <f t="shared" si="1991"/>
        <v>1461.8541384856633</v>
      </c>
      <c r="X949" s="115">
        <f t="shared" si="1991"/>
        <v>987.17452980974861</v>
      </c>
      <c r="Y949" s="135" t="s">
        <v>4</v>
      </c>
    </row>
    <row r="950" spans="2:25" ht="15" customHeight="1" outlineLevel="1">
      <c r="B950" s="2" t="s">
        <v>285</v>
      </c>
      <c r="C950" s="1" t="s">
        <v>26</v>
      </c>
      <c r="D950" s="62"/>
      <c r="E950" s="62"/>
      <c r="F950" s="62"/>
      <c r="G950" s="62"/>
      <c r="H950" s="25">
        <f t="shared" ref="H950:X950" si="1992">H684+H683</f>
        <v>13722.199999999999</v>
      </c>
      <c r="I950" s="25">
        <f t="shared" si="1992"/>
        <v>13903.1</v>
      </c>
      <c r="J950" s="25">
        <f t="shared" si="1992"/>
        <v>16844.5</v>
      </c>
      <c r="K950" s="25">
        <f t="shared" si="1992"/>
        <v>15949</v>
      </c>
      <c r="L950" s="25">
        <f t="shared" si="1992"/>
        <v>16214</v>
      </c>
      <c r="M950" s="25">
        <f t="shared" si="1992"/>
        <v>16440</v>
      </c>
      <c r="N950" s="25">
        <f t="shared" si="1992"/>
        <v>17423</v>
      </c>
      <c r="O950" s="25">
        <f t="shared" si="1992"/>
        <v>16679</v>
      </c>
      <c r="P950" s="25">
        <f t="shared" si="1992"/>
        <v>16882</v>
      </c>
      <c r="Q950" s="25">
        <f t="shared" si="1992"/>
        <v>16908</v>
      </c>
      <c r="R950" s="25">
        <f t="shared" si="1992"/>
        <v>17163</v>
      </c>
      <c r="S950" s="25">
        <f t="shared" si="1992"/>
        <v>17111.191093614263</v>
      </c>
      <c r="T950" s="25">
        <f t="shared" si="1992"/>
        <v>17048.345817510923</v>
      </c>
      <c r="U950" s="25">
        <f t="shared" si="1992"/>
        <v>16976.899919513038</v>
      </c>
      <c r="V950" s="25">
        <f t="shared" si="1992"/>
        <v>16894.750337830632</v>
      </c>
      <c r="W950" s="25">
        <f t="shared" si="1992"/>
        <v>16799.049959515767</v>
      </c>
      <c r="X950" s="25">
        <f t="shared" si="1992"/>
        <v>16685.914630190935</v>
      </c>
      <c r="Y950" s="135" t="s">
        <v>4</v>
      </c>
    </row>
    <row r="951" spans="2:25" ht="15" customHeight="1" outlineLevel="1">
      <c r="B951" s="7" t="s">
        <v>286</v>
      </c>
      <c r="C951" s="13" t="s">
        <v>26</v>
      </c>
      <c r="D951" s="281"/>
      <c r="E951" s="281"/>
      <c r="F951" s="281"/>
      <c r="G951" s="281"/>
      <c r="H951" s="22">
        <f>H948+H949+H950</f>
        <v>16065.5</v>
      </c>
      <c r="I951" s="22">
        <f t="shared" ref="I951:X951" si="1993">I948+I949+I950</f>
        <v>15972.5</v>
      </c>
      <c r="J951" s="22">
        <f t="shared" si="1993"/>
        <v>18942.900000000001</v>
      </c>
      <c r="K951" s="22">
        <f t="shared" si="1993"/>
        <v>17852</v>
      </c>
      <c r="L951" s="22">
        <f t="shared" si="1993"/>
        <v>18072</v>
      </c>
      <c r="M951" s="22">
        <f t="shared" si="1993"/>
        <v>18520</v>
      </c>
      <c r="N951" s="22">
        <f t="shared" si="1993"/>
        <v>19352</v>
      </c>
      <c r="O951" s="22">
        <f t="shared" si="1993"/>
        <v>18511</v>
      </c>
      <c r="P951" s="22">
        <f t="shared" si="1993"/>
        <v>18830</v>
      </c>
      <c r="Q951" s="22">
        <f t="shared" si="1993"/>
        <v>19091</v>
      </c>
      <c r="R951" s="22">
        <f t="shared" si="1993"/>
        <v>19028.587261313231</v>
      </c>
      <c r="S951" s="22">
        <f t="shared" si="1993"/>
        <v>19144.71188244447</v>
      </c>
      <c r="T951" s="22">
        <f t="shared" si="1993"/>
        <v>18990.881109039423</v>
      </c>
      <c r="U951" s="22">
        <f t="shared" si="1993"/>
        <v>18720.817984407367</v>
      </c>
      <c r="V951" s="22">
        <f t="shared" si="1993"/>
        <v>18362.281566167105</v>
      </c>
      <c r="W951" s="22">
        <f t="shared" si="1993"/>
        <v>17869.438736472152</v>
      </c>
      <c r="X951" s="22">
        <f t="shared" si="1993"/>
        <v>17185.01778687496</v>
      </c>
      <c r="Y951" s="135" t="s">
        <v>4</v>
      </c>
    </row>
    <row r="952" spans="2:25" ht="15" customHeight="1" outlineLevel="1">
      <c r="B952" s="6" t="s">
        <v>283</v>
      </c>
      <c r="C952" s="1" t="s">
        <v>39</v>
      </c>
      <c r="D952" s="62"/>
      <c r="E952" s="62"/>
      <c r="F952" s="62"/>
      <c r="G952" s="62"/>
      <c r="H952" s="590">
        <f>H$432/H951</f>
        <v>0.25222993370887925</v>
      </c>
      <c r="I952" s="590">
        <f t="shared" ref="I952" si="1994">I$432/I951</f>
        <v>0.25955861637188921</v>
      </c>
      <c r="J952" s="590">
        <f t="shared" ref="J952" si="1995">J$432/J951</f>
        <v>0.24157335993960799</v>
      </c>
      <c r="K952" s="590">
        <f t="shared" ref="K952" si="1996">K$432/K951</f>
        <v>0.30007842258570466</v>
      </c>
      <c r="L952" s="590">
        <f t="shared" ref="L952" si="1997">L$432/L951</f>
        <v>0.31003762726870299</v>
      </c>
      <c r="M952" s="590">
        <f t="shared" ref="M952" si="1998">M$432/M951</f>
        <v>0.26825053995680348</v>
      </c>
      <c r="N952" s="590">
        <f t="shared" ref="N952" si="1999">N$432/N951</f>
        <v>0.29655849524596939</v>
      </c>
      <c r="O952" s="590">
        <f t="shared" ref="O952" si="2000">O$432/O951</f>
        <v>0.35141267354545946</v>
      </c>
      <c r="P952" s="590">
        <f t="shared" ref="P952" si="2001">P$432/P951</f>
        <v>0.37291556027615508</v>
      </c>
      <c r="Q952" s="590">
        <f t="shared" ref="Q952" si="2002">Q$432/Q951</f>
        <v>0.44031218898957625</v>
      </c>
      <c r="R952" s="590">
        <f t="shared" ref="R952" si="2003">R$432/R951</f>
        <v>0.71595971159811311</v>
      </c>
      <c r="S952" s="590">
        <f t="shared" ref="S952" si="2004">S$432/S951</f>
        <v>0.56720149145362853</v>
      </c>
      <c r="T952" s="590">
        <f t="shared" ref="T952" si="2005">T$432/T951</f>
        <v>0.69360034044696284</v>
      </c>
      <c r="U952" s="590">
        <f t="shared" ref="U952" si="2006">U$432/U951</f>
        <v>0.79989733960850962</v>
      </c>
      <c r="V952" s="590">
        <f t="shared" ref="V952" si="2007">V$432/V951</f>
        <v>0.93769259783464598</v>
      </c>
      <c r="W952" s="590">
        <f t="shared" ref="W952" si="2008">W$432/W951</f>
        <v>1.1224952622736146</v>
      </c>
      <c r="X952" s="590">
        <f t="shared" ref="X952" si="2009">X$432/X951</f>
        <v>1.3798441394451293</v>
      </c>
      <c r="Y952" s="135" t="s">
        <v>4</v>
      </c>
    </row>
    <row r="953" spans="2:25" ht="15" customHeight="1" outlineLevel="1">
      <c r="H953" s="23"/>
      <c r="I953" s="23"/>
      <c r="J953" s="23"/>
      <c r="K953" s="23"/>
      <c r="L953" s="23"/>
      <c r="M953" s="23"/>
      <c r="N953" s="23"/>
      <c r="O953" s="23"/>
      <c r="P953" s="23"/>
      <c r="Q953" s="23"/>
      <c r="R953" s="23"/>
      <c r="S953" s="23"/>
      <c r="T953" s="23"/>
      <c r="U953" s="23"/>
      <c r="V953" s="23"/>
      <c r="W953" s="23"/>
      <c r="X953" s="23"/>
      <c r="Y953" s="135" t="s">
        <v>4</v>
      </c>
    </row>
    <row r="954" spans="2:25" ht="15" customHeight="1" outlineLevel="1">
      <c r="B954" s="587" t="s">
        <v>287</v>
      </c>
      <c r="C954" s="588" t="s">
        <v>21</v>
      </c>
      <c r="D954" s="589"/>
      <c r="E954" s="589"/>
      <c r="F954" s="589"/>
      <c r="G954" s="589"/>
      <c r="H954" s="591">
        <f>H938/H951</f>
        <v>5.7880809900429653E-2</v>
      </c>
      <c r="I954" s="591">
        <f t="shared" ref="I954:X954" si="2010">I938/I951</f>
        <v>7.8391421054256741E-2</v>
      </c>
      <c r="J954" s="591">
        <f t="shared" si="2010"/>
        <v>8.4960062780302326E-2</v>
      </c>
      <c r="K954" s="591">
        <f t="shared" si="2010"/>
        <v>9.0903034678537789E-2</v>
      </c>
      <c r="L954" s="591">
        <f t="shared" si="2010"/>
        <v>9.156537273209657E-2</v>
      </c>
      <c r="M954" s="591">
        <f t="shared" si="2010"/>
        <v>7.1283576550152827E-2</v>
      </c>
      <c r="N954" s="591">
        <f t="shared" si="2010"/>
        <v>8.6752513728260205E-2</v>
      </c>
      <c r="O954" s="591">
        <f t="shared" si="2010"/>
        <v>9.6914801034852532E-2</v>
      </c>
      <c r="P954" s="591">
        <f t="shared" si="2010"/>
        <v>0.10180259142911151</v>
      </c>
      <c r="Q954" s="591">
        <f t="shared" si="2010"/>
        <v>0.10436395469180533</v>
      </c>
      <c r="R954" s="591">
        <f t="shared" si="2010"/>
        <v>0.10673071276549222</v>
      </c>
      <c r="S954" s="591">
        <f t="shared" si="2010"/>
        <v>0.11397378154898276</v>
      </c>
      <c r="T954" s="591">
        <f t="shared" si="2010"/>
        <v>0.1316116649112519</v>
      </c>
      <c r="U954" s="591">
        <f t="shared" si="2010"/>
        <v>0.14723747305628906</v>
      </c>
      <c r="V954" s="591">
        <f t="shared" si="2010"/>
        <v>0.17289887337630849</v>
      </c>
      <c r="W954" s="591">
        <f t="shared" si="2010"/>
        <v>0.20913534129080677</v>
      </c>
      <c r="X954" s="591">
        <f t="shared" si="2010"/>
        <v>0.26376152942571718</v>
      </c>
      <c r="Y954" s="135" t="s">
        <v>4</v>
      </c>
    </row>
    <row r="955" spans="2:25" ht="15" customHeight="1" outlineLevel="1">
      <c r="Y955" s="135" t="s">
        <v>4</v>
      </c>
    </row>
    <row r="956" spans="2:25" ht="15" customHeight="1">
      <c r="Y956" s="135" t="s">
        <v>4</v>
      </c>
    </row>
    <row r="957" spans="2:25" ht="15" customHeight="1">
      <c r="Y957" s="135" t="s">
        <v>4</v>
      </c>
    </row>
    <row r="958" spans="2:25" ht="15" customHeight="1">
      <c r="Y958" s="135" t="s">
        <v>4</v>
      </c>
    </row>
    <row r="959" spans="2:25" ht="15" customHeight="1">
      <c r="Y959" s="135" t="s">
        <v>4</v>
      </c>
    </row>
    <row r="960" spans="2:25" ht="15" customHeight="1">
      <c r="Y960" s="135" t="s">
        <v>4</v>
      </c>
    </row>
    <row r="961" spans="25:25" ht="15" customHeight="1">
      <c r="Y961" s="135" t="s">
        <v>4</v>
      </c>
    </row>
    <row r="962" spans="25:25" ht="15" customHeight="1">
      <c r="Y962" s="135" t="s">
        <v>4</v>
      </c>
    </row>
    <row r="963" spans="25:25" ht="15" customHeight="1">
      <c r="Y963" s="135" t="s">
        <v>4</v>
      </c>
    </row>
    <row r="964" spans="25:25" ht="15" customHeight="1">
      <c r="Y964" s="135" t="s">
        <v>4</v>
      </c>
    </row>
    <row r="965" spans="25:25" ht="15" customHeight="1">
      <c r="Y965" s="135" t="s">
        <v>4</v>
      </c>
    </row>
    <row r="966" spans="25:25" ht="15" customHeight="1">
      <c r="Y966" s="135" t="s">
        <v>4</v>
      </c>
    </row>
    <row r="967" spans="25:25" ht="15" customHeight="1">
      <c r="Y967" s="135" t="s">
        <v>4</v>
      </c>
    </row>
    <row r="968" spans="25:25" ht="15" customHeight="1">
      <c r="Y968" s="135" t="s">
        <v>4</v>
      </c>
    </row>
    <row r="969" spans="25:25" ht="15" customHeight="1">
      <c r="Y969" s="135" t="s">
        <v>4</v>
      </c>
    </row>
    <row r="970" spans="25:25" ht="15" customHeight="1">
      <c r="Y970" s="135" t="s">
        <v>4</v>
      </c>
    </row>
    <row r="971" spans="25:25" ht="15" customHeight="1">
      <c r="Y971" s="135" t="s">
        <v>4</v>
      </c>
    </row>
    <row r="972" spans="25:25" ht="15" customHeight="1">
      <c r="Y972" s="135" t="s">
        <v>4</v>
      </c>
    </row>
    <row r="973" spans="25:25" ht="15" customHeight="1">
      <c r="Y973" s="135" t="s">
        <v>4</v>
      </c>
    </row>
    <row r="974" spans="25:25" ht="15" customHeight="1">
      <c r="Y974" s="135" t="s">
        <v>4</v>
      </c>
    </row>
    <row r="975" spans="25:25" ht="15" customHeight="1">
      <c r="Y975" s="135" t="s">
        <v>4</v>
      </c>
    </row>
    <row r="976" spans="25:25" ht="15" customHeight="1">
      <c r="Y976" s="135" t="s">
        <v>4</v>
      </c>
    </row>
    <row r="977" spans="25:25" ht="15" customHeight="1">
      <c r="Y977" s="135" t="s">
        <v>4</v>
      </c>
    </row>
  </sheetData>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0F26F-2CE8-40AF-9BD8-19E3F194A101}">
  <sheetPr>
    <tabColor theme="4"/>
  </sheetPr>
  <dimension ref="B1:AB107"/>
  <sheetViews>
    <sheetView tabSelected="1" topLeftCell="D1" zoomScale="85" zoomScaleNormal="85" workbookViewId="0">
      <selection activeCell="H83" sqref="H83"/>
    </sheetView>
  </sheetViews>
  <sheetFormatPr defaultColWidth="12.5703125" defaultRowHeight="13.9" outlineLevelRow="1"/>
  <cols>
    <col min="1" max="1" width="2.42578125" style="336" customWidth="1"/>
    <col min="2" max="2" width="31.42578125" style="336" customWidth="1"/>
    <col min="3" max="3" width="12.42578125" style="390" customWidth="1"/>
    <col min="4" max="6" width="12.7109375" style="336" customWidth="1"/>
    <col min="7" max="8" width="12.85546875" style="336" customWidth="1"/>
    <col min="9" max="9" width="14.140625" style="336" customWidth="1"/>
    <col min="10" max="10" width="13.5703125" style="336" customWidth="1"/>
    <col min="11" max="11" width="14.42578125" style="336" customWidth="1"/>
    <col min="12" max="12" width="12.85546875" style="336" customWidth="1"/>
    <col min="13" max="13" width="12.85546875" style="326" customWidth="1"/>
    <col min="14" max="14" width="13.7109375" style="336" customWidth="1"/>
    <col min="15" max="20" width="12.7109375" style="336" customWidth="1"/>
    <col min="21" max="21" width="4.7109375" style="336" customWidth="1"/>
    <col min="22" max="22" width="16.42578125" style="336" customWidth="1"/>
    <col min="23" max="16384" width="12.5703125" style="336"/>
  </cols>
  <sheetData>
    <row r="1" spans="2:22" ht="14.45">
      <c r="N1"/>
    </row>
    <row r="2" spans="2:22" ht="19.5" customHeight="1">
      <c r="B2" s="712"/>
      <c r="C2" s="498" t="s">
        <v>288</v>
      </c>
      <c r="E2" s="714" t="s">
        <v>289</v>
      </c>
      <c r="F2" s="714"/>
      <c r="G2" s="714"/>
      <c r="I2" s="607"/>
      <c r="J2" s="592"/>
      <c r="K2" s="592"/>
      <c r="L2" s="592"/>
      <c r="N2" s="482"/>
      <c r="O2" s="483"/>
    </row>
    <row r="3" spans="2:22" ht="15" customHeight="1">
      <c r="B3" s="713"/>
      <c r="C3" s="667">
        <v>73.75</v>
      </c>
      <c r="E3" s="714"/>
      <c r="F3" s="714"/>
      <c r="G3" s="714"/>
      <c r="I3" s="608"/>
      <c r="J3" s="592"/>
      <c r="K3" s="592"/>
      <c r="L3" s="592"/>
      <c r="N3"/>
      <c r="O3" s="483"/>
    </row>
    <row r="4" spans="2:22" ht="19.5" customHeight="1">
      <c r="E4" s="486" t="s">
        <v>290</v>
      </c>
      <c r="F4" s="486" t="s">
        <v>291</v>
      </c>
      <c r="G4" s="486" t="s">
        <v>292</v>
      </c>
      <c r="I4" s="607"/>
      <c r="J4" s="552"/>
      <c r="K4" s="552"/>
      <c r="L4" s="552"/>
      <c r="N4" s="482"/>
      <c r="O4" s="484"/>
      <c r="Q4" s="353"/>
    </row>
    <row r="5" spans="2:22" ht="15" customHeight="1">
      <c r="B5" s="545" t="s">
        <v>293</v>
      </c>
      <c r="C5" s="544">
        <f>$N$19</f>
        <v>456</v>
      </c>
      <c r="D5" s="326"/>
      <c r="E5" s="487">
        <f>B93</f>
        <v>9.1500000000000012E-2</v>
      </c>
      <c r="F5" s="490">
        <f ca="1">J93/$C$5</f>
        <v>69.752946433819233</v>
      </c>
      <c r="G5" s="488">
        <f ca="1">F5/$C$3-1</f>
        <v>-5.4197336490586667E-2</v>
      </c>
      <c r="J5" s="551"/>
      <c r="K5" s="488"/>
      <c r="L5" s="488"/>
      <c r="N5" s="485"/>
      <c r="O5" s="326"/>
      <c r="P5" s="326"/>
      <c r="Q5" s="353"/>
      <c r="R5" s="415"/>
      <c r="S5" s="415"/>
      <c r="T5" s="415"/>
    </row>
    <row r="6" spans="2:22" ht="15" customHeight="1" thickBot="1">
      <c r="B6" s="546" t="s">
        <v>294</v>
      </c>
      <c r="C6" s="527">
        <f>C5*C3</f>
        <v>33630</v>
      </c>
      <c r="D6" s="410"/>
      <c r="E6" s="487">
        <f>B94</f>
        <v>8.6500000000000007E-2</v>
      </c>
      <c r="F6" s="490">
        <f ca="1">J94/$C$5</f>
        <v>77.286625035326097</v>
      </c>
      <c r="G6" s="488">
        <f ca="1">F6/$C$3-1</f>
        <v>4.795423776713359E-2</v>
      </c>
      <c r="J6" s="551"/>
      <c r="K6" s="488"/>
      <c r="L6" s="488"/>
      <c r="N6" s="416"/>
      <c r="O6" s="326"/>
      <c r="P6" s="326"/>
      <c r="Q6" s="353"/>
      <c r="R6" s="326"/>
      <c r="S6" s="326"/>
      <c r="T6" s="326"/>
    </row>
    <row r="7" spans="2:22" ht="15" customHeight="1" thickBot="1">
      <c r="C7" s="390" t="s">
        <v>295</v>
      </c>
      <c r="E7" s="489">
        <f>B95</f>
        <v>8.1500000000000003E-2</v>
      </c>
      <c r="F7" s="686">
        <f ca="1">J95/$C$5</f>
        <v>86.327172853993773</v>
      </c>
      <c r="G7" s="489">
        <f ca="1">F7/$C$3-1</f>
        <v>0.17053793700330533</v>
      </c>
      <c r="J7" s="553"/>
      <c r="K7" s="554"/>
      <c r="L7" s="554"/>
      <c r="N7" s="416"/>
      <c r="O7" s="326"/>
      <c r="P7" s="326"/>
      <c r="Q7" s="415"/>
      <c r="R7" s="415"/>
      <c r="S7" s="415"/>
      <c r="T7" s="415"/>
    </row>
    <row r="8" spans="2:22" ht="15" customHeight="1">
      <c r="C8" s="526"/>
      <c r="E8" s="487">
        <f>B96</f>
        <v>7.6499999999999999E-2</v>
      </c>
      <c r="F8" s="491">
        <f ca="1">J96/$C$5</f>
        <v>97.362151327695642</v>
      </c>
      <c r="G8" s="488">
        <f ca="1">F8/$C$3-1</f>
        <v>0.32016476376536462</v>
      </c>
      <c r="J8" s="551"/>
      <c r="K8" s="488"/>
      <c r="L8" s="488"/>
    </row>
    <row r="9" spans="2:22" ht="15" customHeight="1" thickBot="1">
      <c r="B9" s="355"/>
      <c r="D9" s="409">
        <v>42716</v>
      </c>
      <c r="E9" s="492">
        <f>B97</f>
        <v>7.1499999999999994E-2</v>
      </c>
      <c r="F9" s="493">
        <f ca="1">J97/$C$5</f>
        <v>111.11414841831576</v>
      </c>
      <c r="G9" s="494">
        <f ca="1">F9/$C$3-1</f>
        <v>0.50663252092631539</v>
      </c>
      <c r="I9" s="409">
        <v>44907</v>
      </c>
      <c r="J9" s="551"/>
      <c r="K9" s="487"/>
      <c r="L9" s="487"/>
    </row>
    <row r="10" spans="2:22" ht="15" customHeight="1">
      <c r="B10" s="355"/>
      <c r="D10" s="409"/>
      <c r="E10" s="409"/>
      <c r="F10" s="409"/>
      <c r="G10" s="409"/>
      <c r="I10" s="409"/>
      <c r="J10" s="409"/>
      <c r="K10" s="409"/>
      <c r="L10" s="409"/>
      <c r="M10" s="409"/>
    </row>
    <row r="11" spans="2:22" s="407" customFormat="1" ht="18" customHeight="1">
      <c r="B11" s="337"/>
      <c r="C11" s="338" t="s">
        <v>11</v>
      </c>
      <c r="D11" s="339">
        <v>2015</v>
      </c>
      <c r="E11" s="339">
        <v>2016</v>
      </c>
      <c r="F11" s="339">
        <v>2017</v>
      </c>
      <c r="G11" s="339">
        <v>2018</v>
      </c>
      <c r="H11" s="339">
        <v>2019</v>
      </c>
      <c r="I11" s="339">
        <v>2020</v>
      </c>
      <c r="J11" s="339">
        <v>2021</v>
      </c>
      <c r="K11" s="339">
        <v>2022</v>
      </c>
      <c r="L11" s="339">
        <v>2023</v>
      </c>
      <c r="M11" s="339">
        <v>2024</v>
      </c>
      <c r="N11" s="430">
        <v>2025</v>
      </c>
      <c r="O11" s="430" t="s">
        <v>12</v>
      </c>
      <c r="P11" s="430" t="s">
        <v>13</v>
      </c>
      <c r="Q11" s="430" t="s">
        <v>14</v>
      </c>
      <c r="R11" s="430" t="s">
        <v>15</v>
      </c>
      <c r="S11" s="430" t="s">
        <v>16</v>
      </c>
      <c r="T11" s="430" t="s">
        <v>17</v>
      </c>
      <c r="U11" s="326"/>
    </row>
    <row r="12" spans="2:22" ht="15" customHeight="1">
      <c r="B12" s="340" t="s">
        <v>296</v>
      </c>
      <c r="C12" s="341" t="s">
        <v>297</v>
      </c>
      <c r="D12" s="342">
        <f t="shared" ref="D12:T12" si="0">IFERROR(D21/D47,"n.m.")</f>
        <v>39.759841190985917</v>
      </c>
      <c r="E12" s="342">
        <f t="shared" si="0"/>
        <v>30.150210602060277</v>
      </c>
      <c r="F12" s="342">
        <f t="shared" si="0"/>
        <v>29.100805988534667</v>
      </c>
      <c r="G12" s="342">
        <f t="shared" si="0"/>
        <v>20.368811030603077</v>
      </c>
      <c r="H12" s="342">
        <f t="shared" si="0"/>
        <v>23.763244681487507</v>
      </c>
      <c r="I12" s="342">
        <f t="shared" si="0"/>
        <v>30.107892605173763</v>
      </c>
      <c r="J12" s="342">
        <f t="shared" si="0"/>
        <v>21.475029760749813</v>
      </c>
      <c r="K12" s="342">
        <f t="shared" si="0"/>
        <v>20.931171293397345</v>
      </c>
      <c r="L12" s="342">
        <f t="shared" si="0"/>
        <v>24.264361678181221</v>
      </c>
      <c r="M12" s="342">
        <f t="shared" si="0"/>
        <v>19.345993737053185</v>
      </c>
      <c r="N12" s="605">
        <f t="shared" si="0"/>
        <v>20.756741475305624</v>
      </c>
      <c r="O12" s="605">
        <f t="shared" si="0"/>
        <v>18.409974006190623</v>
      </c>
      <c r="P12" s="605">
        <f t="shared" si="0"/>
        <v>15.034994495929087</v>
      </c>
      <c r="Q12" s="605">
        <f t="shared" si="0"/>
        <v>12.970826857603438</v>
      </c>
      <c r="R12" s="605">
        <f t="shared" si="0"/>
        <v>10.937012114599115</v>
      </c>
      <c r="S12" s="605">
        <f t="shared" si="0"/>
        <v>9.1020489676985825</v>
      </c>
      <c r="T12" s="605">
        <f t="shared" si="0"/>
        <v>7.4789702934440339</v>
      </c>
      <c r="U12" s="326"/>
    </row>
    <row r="13" spans="2:22" ht="15" customHeight="1">
      <c r="B13" s="336" t="s">
        <v>298</v>
      </c>
      <c r="C13" s="343" t="s">
        <v>297</v>
      </c>
      <c r="D13" s="344">
        <f t="shared" ref="D13:T13" si="1">(D21+D56)/D43</f>
        <v>16.979472428065961</v>
      </c>
      <c r="E13" s="344">
        <f t="shared" si="1"/>
        <v>16.087153589771606</v>
      </c>
      <c r="F13" s="344">
        <f t="shared" si="1"/>
        <v>19.22879220343853</v>
      </c>
      <c r="G13" s="344">
        <f t="shared" si="1"/>
        <v>16.920407414421664</v>
      </c>
      <c r="H13" s="344">
        <f t="shared" si="1"/>
        <v>18.339802781577749</v>
      </c>
      <c r="I13" s="344">
        <f t="shared" si="1"/>
        <v>22.419206349206348</v>
      </c>
      <c r="J13" s="344">
        <f t="shared" si="1"/>
        <v>18.817145539906104</v>
      </c>
      <c r="K13" s="344">
        <f t="shared" si="1"/>
        <v>18.767235883424412</v>
      </c>
      <c r="L13" s="344">
        <f t="shared" si="1"/>
        <v>20.432075796726959</v>
      </c>
      <c r="M13" s="344">
        <f t="shared" si="1"/>
        <v>16.172279213266489</v>
      </c>
      <c r="N13" s="345">
        <f t="shared" si="1"/>
        <v>15.178916725513909</v>
      </c>
      <c r="O13" s="345">
        <f t="shared" si="1"/>
        <v>15.354452096702097</v>
      </c>
      <c r="P13" s="345">
        <f t="shared" si="1"/>
        <v>13.036076554575692</v>
      </c>
      <c r="Q13" s="345">
        <f t="shared" si="1"/>
        <v>11.383243530605714</v>
      </c>
      <c r="R13" s="345">
        <f t="shared" si="1"/>
        <v>9.4553847905958968</v>
      </c>
      <c r="S13" s="345">
        <f t="shared" si="1"/>
        <v>7.5796177759851755</v>
      </c>
      <c r="T13" s="345">
        <f t="shared" si="1"/>
        <v>5.850244445493443</v>
      </c>
      <c r="U13" s="326"/>
      <c r="V13" s="346"/>
    </row>
    <row r="14" spans="2:22" ht="15" customHeight="1">
      <c r="B14" s="336" t="s">
        <v>299</v>
      </c>
      <c r="C14" s="343" t="s">
        <v>300</v>
      </c>
      <c r="D14" s="347">
        <f t="shared" ref="D14:T14" si="2">D51/D21</f>
        <v>6.164787950603666E-2</v>
      </c>
      <c r="E14" s="347">
        <f t="shared" si="2"/>
        <v>5.514976254417691E-2</v>
      </c>
      <c r="F14" s="347">
        <f t="shared" si="2"/>
        <v>4.5842796453519748E-2</v>
      </c>
      <c r="G14" s="347">
        <f t="shared" si="2"/>
        <v>4.3619589076385523E-2</v>
      </c>
      <c r="H14" s="347">
        <f t="shared" si="2"/>
        <v>4.7303329674350532E-2</v>
      </c>
      <c r="I14" s="347">
        <f t="shared" si="2"/>
        <v>2.8112399246419867E-2</v>
      </c>
      <c r="J14" s="347">
        <f t="shared" si="2"/>
        <v>5.7537562794080878E-2</v>
      </c>
      <c r="K14" s="347">
        <f t="shared" si="2"/>
        <v>4.7238983376295882E-2</v>
      </c>
      <c r="L14" s="347">
        <f t="shared" si="2"/>
        <v>3.376626001199081E-2</v>
      </c>
      <c r="M14" s="347">
        <f t="shared" si="2"/>
        <v>2.5750446408657552E-2</v>
      </c>
      <c r="N14" s="348">
        <f t="shared" si="2"/>
        <v>8.3262146784211344E-2</v>
      </c>
      <c r="O14" s="348">
        <f t="shared" si="2"/>
        <v>5.5081170592828882E-2</v>
      </c>
      <c r="P14" s="348">
        <f t="shared" si="2"/>
        <v>7.6024402072730674E-2</v>
      </c>
      <c r="Q14" s="348">
        <f t="shared" si="2"/>
        <v>9.0815899473684653E-2</v>
      </c>
      <c r="R14" s="348">
        <f t="shared" si="2"/>
        <v>0.10935425919224434</v>
      </c>
      <c r="S14" s="348">
        <f t="shared" si="2"/>
        <v>0.1339526578789525</v>
      </c>
      <c r="T14" s="348">
        <f t="shared" si="2"/>
        <v>0.1651018545421101</v>
      </c>
      <c r="U14" s="326"/>
    </row>
    <row r="15" spans="2:22" ht="15" customHeight="1">
      <c r="B15" s="336" t="s">
        <v>301</v>
      </c>
      <c r="C15" s="343" t="s">
        <v>300</v>
      </c>
      <c r="D15" s="349">
        <f t="shared" ref="D15:T15" si="3">D59/D21</f>
        <v>3.7124528447829874E-2</v>
      </c>
      <c r="E15" s="349">
        <f t="shared" si="3"/>
        <v>2.4023384785089936E-2</v>
      </c>
      <c r="F15" s="349">
        <f t="shared" si="3"/>
        <v>2.26096004214007E-2</v>
      </c>
      <c r="G15" s="349">
        <f t="shared" si="3"/>
        <v>5.2109036440649618E-2</v>
      </c>
      <c r="H15" s="349">
        <f t="shared" si="3"/>
        <v>3.0141654905650513E-2</v>
      </c>
      <c r="I15" s="349">
        <f t="shared" si="3"/>
        <v>3.3532078205617724E-2</v>
      </c>
      <c r="J15" s="349">
        <f t="shared" si="3"/>
        <v>5.4163446457390949E-2</v>
      </c>
      <c r="K15" s="349">
        <f t="shared" si="3"/>
        <v>4.407838952450055E-2</v>
      </c>
      <c r="L15" s="349">
        <f t="shared" si="3"/>
        <v>4.182188480288139E-2</v>
      </c>
      <c r="M15" s="349">
        <f t="shared" si="3"/>
        <v>3.4773240622714724E-2</v>
      </c>
      <c r="N15" s="350">
        <f t="shared" si="3"/>
        <v>3.6126845340615527E-2</v>
      </c>
      <c r="O15" s="350">
        <f t="shared" si="3"/>
        <v>3.7820124983764983E-2</v>
      </c>
      <c r="P15" s="350">
        <f t="shared" si="3"/>
        <v>4.588204760462157E-2</v>
      </c>
      <c r="Q15" s="350">
        <f t="shared" si="3"/>
        <v>5.2202318358561942E-2</v>
      </c>
      <c r="R15" s="350">
        <f t="shared" si="3"/>
        <v>6.1164880628502061E-2</v>
      </c>
      <c r="S15" s="350">
        <f t="shared" si="3"/>
        <v>7.2604191382795905E-2</v>
      </c>
      <c r="T15" s="350">
        <f t="shared" si="3"/>
        <v>8.8116414483410913E-2</v>
      </c>
      <c r="U15" s="326"/>
    </row>
    <row r="16" spans="2:22" ht="15" customHeight="1">
      <c r="B16" s="336" t="s">
        <v>302</v>
      </c>
      <c r="C16" s="343" t="s">
        <v>297</v>
      </c>
      <c r="D16" s="344">
        <f>D56/D43</f>
        <v>5.1809867147339608</v>
      </c>
      <c r="E16" s="344">
        <f t="shared" ref="E16:T16" si="4">E56/E43</f>
        <v>3.848595781881762</v>
      </c>
      <c r="F16" s="344">
        <f t="shared" si="4"/>
        <v>5.1748958383219188</v>
      </c>
      <c r="G16" s="344">
        <f t="shared" si="4"/>
        <v>5.2085602007480709</v>
      </c>
      <c r="H16" s="344">
        <f t="shared" si="4"/>
        <v>4.7090743274053803</v>
      </c>
      <c r="I16" s="344">
        <f t="shared" si="4"/>
        <v>6.2063492063492065</v>
      </c>
      <c r="J16" s="344">
        <f t="shared" si="4"/>
        <v>5.598591549295775</v>
      </c>
      <c r="K16" s="344">
        <f t="shared" si="4"/>
        <v>5.367941712204007</v>
      </c>
      <c r="L16" s="344">
        <f t="shared" si="4"/>
        <v>5.0887166236003445</v>
      </c>
      <c r="M16" s="344">
        <f t="shared" si="4"/>
        <v>4.7601234091785578</v>
      </c>
      <c r="N16" s="345">
        <f t="shared" si="4"/>
        <v>3.9317874974646441</v>
      </c>
      <c r="O16" s="345">
        <f t="shared" si="4"/>
        <v>3.598993590460057</v>
      </c>
      <c r="P16" s="345">
        <f t="shared" si="4"/>
        <v>2.8198176759916711</v>
      </c>
      <c r="Q16" s="345">
        <f t="shared" si="4"/>
        <v>2.1839133181108128</v>
      </c>
      <c r="R16" s="345">
        <f t="shared" si="4"/>
        <v>1.5044034815788592</v>
      </c>
      <c r="S16" s="345">
        <f t="shared" si="4"/>
        <v>0.85927225407548757</v>
      </c>
      <c r="T16" s="345">
        <f t="shared" si="4"/>
        <v>0.28322691926198684</v>
      </c>
      <c r="U16" s="326"/>
    </row>
    <row r="17" spans="2:26" ht="15" customHeight="1">
      <c r="B17" s="336" t="s">
        <v>303</v>
      </c>
      <c r="C17" s="343" t="s">
        <v>304</v>
      </c>
      <c r="D17" s="411">
        <f t="shared" ref="D17:T17" si="5">D47/D19</f>
        <v>0.93385684871442276</v>
      </c>
      <c r="E17" s="411">
        <f t="shared" si="5"/>
        <v>1.58075181062726</v>
      </c>
      <c r="F17" s="411">
        <f t="shared" si="5"/>
        <v>2.1126562619682185</v>
      </c>
      <c r="G17" s="411">
        <f t="shared" si="5"/>
        <v>2.5676510976228299</v>
      </c>
      <c r="H17" s="411">
        <f t="shared" si="5"/>
        <v>2.6835560907084086</v>
      </c>
      <c r="I17" s="411">
        <f t="shared" si="5"/>
        <v>2.0297003447361441</v>
      </c>
      <c r="J17" s="411">
        <f t="shared" si="5"/>
        <v>2.8256072599678355</v>
      </c>
      <c r="K17" s="411">
        <f t="shared" si="5"/>
        <v>3.0896503159572299</v>
      </c>
      <c r="L17" s="411">
        <f t="shared" si="5"/>
        <v>3.2199487065120427</v>
      </c>
      <c r="M17" s="411">
        <f t="shared" si="5"/>
        <v>3.3691730125582238</v>
      </c>
      <c r="N17" s="352">
        <f t="shared" si="5"/>
        <v>3.2871248158663775</v>
      </c>
      <c r="O17" s="352">
        <f t="shared" si="5"/>
        <v>4.0059806697826126</v>
      </c>
      <c r="P17" s="352">
        <f t="shared" si="5"/>
        <v>4.9052229463714623</v>
      </c>
      <c r="Q17" s="352">
        <f t="shared" si="5"/>
        <v>5.6858364396999175</v>
      </c>
      <c r="R17" s="352">
        <f t="shared" si="5"/>
        <v>6.7431579326455955</v>
      </c>
      <c r="S17" s="352">
        <f t="shared" si="5"/>
        <v>8.102571219043595</v>
      </c>
      <c r="T17" s="352">
        <f t="shared" si="5"/>
        <v>9.8609831442502554</v>
      </c>
      <c r="U17" s="326"/>
    </row>
    <row r="18" spans="2:26" ht="15" customHeight="1">
      <c r="B18" s="336" t="s">
        <v>305</v>
      </c>
      <c r="C18" s="343" t="s">
        <v>304</v>
      </c>
      <c r="D18" s="353">
        <f t="shared" ref="D18:T18" si="6">D59/D19</f>
        <v>1.3784337412679235</v>
      </c>
      <c r="E18" s="353">
        <f t="shared" si="6"/>
        <v>1.1449545188573862</v>
      </c>
      <c r="F18" s="353">
        <f t="shared" si="6"/>
        <v>1.3900382339077149</v>
      </c>
      <c r="G18" s="353">
        <f t="shared" si="6"/>
        <v>2.7253026058459748</v>
      </c>
      <c r="H18" s="353">
        <f t="shared" si="6"/>
        <v>1.9221333333333332</v>
      </c>
      <c r="I18" s="353">
        <f t="shared" si="6"/>
        <v>2.049145299145299</v>
      </c>
      <c r="J18" s="353">
        <f t="shared" si="6"/>
        <v>3.2866379310344827</v>
      </c>
      <c r="K18" s="353">
        <f t="shared" si="6"/>
        <v>2.8505494505494506</v>
      </c>
      <c r="L18" s="353">
        <f t="shared" si="6"/>
        <v>3.2675438596491229</v>
      </c>
      <c r="M18" s="353">
        <f t="shared" si="6"/>
        <v>2.2665198237885464</v>
      </c>
      <c r="N18" s="354">
        <f t="shared" si="6"/>
        <v>2.4649346575901974</v>
      </c>
      <c r="O18" s="354">
        <f t="shared" si="6"/>
        <v>2.7892342175526674</v>
      </c>
      <c r="P18" s="354">
        <f t="shared" si="6"/>
        <v>3.3838010108408407</v>
      </c>
      <c r="Q18" s="354">
        <f t="shared" si="6"/>
        <v>3.8499209789439433</v>
      </c>
      <c r="R18" s="354">
        <f t="shared" si="6"/>
        <v>4.5109099463520268</v>
      </c>
      <c r="S18" s="354">
        <f t="shared" si="6"/>
        <v>5.3545591144811979</v>
      </c>
      <c r="T18" s="354">
        <f t="shared" si="6"/>
        <v>6.4985855681515545</v>
      </c>
      <c r="U18" s="326"/>
    </row>
    <row r="19" spans="2:26" ht="15" customHeight="1">
      <c r="B19" s="412" t="s">
        <v>306</v>
      </c>
      <c r="C19" s="413" t="s">
        <v>307</v>
      </c>
      <c r="D19" s="528">
        <v>475.97500000000002</v>
      </c>
      <c r="E19" s="528">
        <v>469.97499999999997</v>
      </c>
      <c r="F19" s="528">
        <v>477.32499999999999</v>
      </c>
      <c r="G19" s="528">
        <v>472.97500000000002</v>
      </c>
      <c r="H19" s="528">
        <v>468.75</v>
      </c>
      <c r="I19" s="528">
        <v>468</v>
      </c>
      <c r="J19" s="528">
        <v>464</v>
      </c>
      <c r="K19" s="528">
        <v>455</v>
      </c>
      <c r="L19" s="528">
        <v>456</v>
      </c>
      <c r="M19" s="528">
        <v>454</v>
      </c>
      <c r="N19" s="529">
        <v>456</v>
      </c>
      <c r="O19" s="530">
        <f>N19</f>
        <v>456</v>
      </c>
      <c r="P19" s="530">
        <f t="shared" ref="P19:T19" si="7">O19</f>
        <v>456</v>
      </c>
      <c r="Q19" s="530">
        <f t="shared" si="7"/>
        <v>456</v>
      </c>
      <c r="R19" s="530">
        <f t="shared" si="7"/>
        <v>456</v>
      </c>
      <c r="S19" s="530">
        <f t="shared" si="7"/>
        <v>456</v>
      </c>
      <c r="T19" s="530">
        <f t="shared" si="7"/>
        <v>456</v>
      </c>
      <c r="U19" s="326"/>
    </row>
    <row r="20" spans="2:26" ht="15" customHeight="1">
      <c r="B20" s="336" t="s">
        <v>308</v>
      </c>
      <c r="C20" s="343" t="s">
        <v>304</v>
      </c>
      <c r="D20" s="511">
        <v>37.130000000000003</v>
      </c>
      <c r="E20" s="511">
        <v>47.66</v>
      </c>
      <c r="F20" s="511">
        <v>61.48</v>
      </c>
      <c r="G20" s="511">
        <v>52.3</v>
      </c>
      <c r="H20" s="511">
        <v>63.77</v>
      </c>
      <c r="I20" s="511">
        <v>61.11</v>
      </c>
      <c r="J20" s="511">
        <v>60.68</v>
      </c>
      <c r="K20" s="511">
        <v>64.67</v>
      </c>
      <c r="L20" s="511">
        <v>78.13</v>
      </c>
      <c r="M20" s="511">
        <v>65.180000000000007</v>
      </c>
      <c r="N20" s="512">
        <v>68.23</v>
      </c>
      <c r="O20" s="543">
        <f>$C$3</f>
        <v>73.75</v>
      </c>
      <c r="P20" s="543">
        <f t="shared" ref="P20:T20" si="8">$C$3</f>
        <v>73.75</v>
      </c>
      <c r="Q20" s="543">
        <f t="shared" si="8"/>
        <v>73.75</v>
      </c>
      <c r="R20" s="543">
        <f t="shared" si="8"/>
        <v>73.75</v>
      </c>
      <c r="S20" s="543">
        <f t="shared" si="8"/>
        <v>73.75</v>
      </c>
      <c r="T20" s="543">
        <f t="shared" si="8"/>
        <v>73.75</v>
      </c>
      <c r="U20" s="326"/>
    </row>
    <row r="21" spans="2:26" ht="15" customHeight="1">
      <c r="B21" s="336" t="s">
        <v>309</v>
      </c>
      <c r="C21" s="343" t="s">
        <v>310</v>
      </c>
      <c r="D21" s="355">
        <f>D20*D19</f>
        <v>17672.951750000004</v>
      </c>
      <c r="E21" s="355">
        <f t="shared" ref="E21:S21" si="9">E20*E19</f>
        <v>22399.008499999996</v>
      </c>
      <c r="F21" s="355">
        <f t="shared" si="9"/>
        <v>29345.940999999999</v>
      </c>
      <c r="G21" s="355">
        <f t="shared" si="9"/>
        <v>24736.592499999999</v>
      </c>
      <c r="H21" s="355">
        <f t="shared" si="9"/>
        <v>29892.1875</v>
      </c>
      <c r="I21" s="355">
        <f t="shared" si="9"/>
        <v>28599.48</v>
      </c>
      <c r="J21" s="355">
        <f t="shared" si="9"/>
        <v>28155.52</v>
      </c>
      <c r="K21" s="355">
        <f t="shared" si="9"/>
        <v>29424.850000000002</v>
      </c>
      <c r="L21" s="355">
        <f t="shared" si="9"/>
        <v>35627.279999999999</v>
      </c>
      <c r="M21" s="355">
        <f t="shared" si="9"/>
        <v>29591.720000000005</v>
      </c>
      <c r="N21" s="356">
        <f t="shared" si="9"/>
        <v>31112.880000000001</v>
      </c>
      <c r="O21" s="356">
        <f t="shared" si="9"/>
        <v>33630</v>
      </c>
      <c r="P21" s="356">
        <f t="shared" si="9"/>
        <v>33630</v>
      </c>
      <c r="Q21" s="356">
        <f t="shared" si="9"/>
        <v>33630</v>
      </c>
      <c r="R21" s="356">
        <f t="shared" si="9"/>
        <v>33630</v>
      </c>
      <c r="S21" s="356">
        <f t="shared" si="9"/>
        <v>33630</v>
      </c>
      <c r="T21" s="356">
        <f>T20*T19</f>
        <v>33630</v>
      </c>
      <c r="U21" s="326"/>
    </row>
    <row r="22" spans="2:26" ht="15" customHeight="1">
      <c r="C22" s="336"/>
      <c r="D22" s="355"/>
      <c r="E22" s="355"/>
      <c r="K22" s="414"/>
      <c r="L22" s="414"/>
      <c r="M22" s="414"/>
      <c r="N22" s="353"/>
      <c r="O22" s="414"/>
      <c r="P22" s="414"/>
      <c r="Q22" s="414"/>
      <c r="R22" s="414"/>
      <c r="S22" s="414"/>
      <c r="T22" s="414"/>
      <c r="U22" s="326"/>
    </row>
    <row r="23" spans="2:26" s="407" customFormat="1" ht="18" customHeight="1">
      <c r="B23" s="337"/>
      <c r="C23" s="338" t="s">
        <v>11</v>
      </c>
      <c r="D23" s="339">
        <v>2015</v>
      </c>
      <c r="E23" s="339">
        <v>2016</v>
      </c>
      <c r="F23" s="339">
        <v>2017</v>
      </c>
      <c r="G23" s="339">
        <v>2018</v>
      </c>
      <c r="H23" s="339">
        <v>2019</v>
      </c>
      <c r="I23" s="339">
        <v>2020</v>
      </c>
      <c r="J23" s="339">
        <v>2021</v>
      </c>
      <c r="K23" s="339">
        <v>2022</v>
      </c>
      <c r="L23" s="339">
        <v>2023</v>
      </c>
      <c r="M23" s="339">
        <v>2024</v>
      </c>
      <c r="N23" s="430">
        <v>2025</v>
      </c>
      <c r="O23" s="430" t="s">
        <v>12</v>
      </c>
      <c r="P23" s="430" t="s">
        <v>13</v>
      </c>
      <c r="Q23" s="430" t="s">
        <v>14</v>
      </c>
      <c r="R23" s="430" t="s">
        <v>15</v>
      </c>
      <c r="S23" s="430" t="s">
        <v>16</v>
      </c>
      <c r="T23" s="430" t="s">
        <v>17</v>
      </c>
      <c r="U23" s="326"/>
      <c r="V23" s="495" t="s">
        <v>311</v>
      </c>
      <c r="X23" s="351"/>
      <c r="Y23" s="351"/>
      <c r="Z23" s="351"/>
    </row>
    <row r="24" spans="2:26" ht="15" customHeight="1">
      <c r="B24" s="357" t="s">
        <v>25</v>
      </c>
      <c r="C24" s="358" t="s">
        <v>310</v>
      </c>
      <c r="D24" s="359">
        <f>Model!H432</f>
        <v>4052.2</v>
      </c>
      <c r="E24" s="359">
        <f>Model!I432</f>
        <v>4145.8</v>
      </c>
      <c r="F24" s="359">
        <f>Model!J432</f>
        <v>4576.1000000000004</v>
      </c>
      <c r="G24" s="359">
        <f>Model!K432</f>
        <v>5357</v>
      </c>
      <c r="H24" s="359">
        <f>Model!L432</f>
        <v>5603</v>
      </c>
      <c r="I24" s="359">
        <f>Model!M432</f>
        <v>4968</v>
      </c>
      <c r="J24" s="359">
        <f>Model!N432</f>
        <v>5739</v>
      </c>
      <c r="K24" s="359">
        <f>Model!O432</f>
        <v>6505</v>
      </c>
      <c r="L24" s="359">
        <f>Model!P432</f>
        <v>7022</v>
      </c>
      <c r="M24" s="359">
        <f>Model!Q432</f>
        <v>8406</v>
      </c>
      <c r="N24" s="360">
        <f>Model!R432</f>
        <v>13623.70184772935</v>
      </c>
      <c r="O24" s="360">
        <f>Model!S432</f>
        <v>10858.909133172507</v>
      </c>
      <c r="P24" s="360">
        <f>Model!T432</f>
        <v>13172.081602617538</v>
      </c>
      <c r="Q24" s="360">
        <f>Model!U432</f>
        <v>14974.732501022594</v>
      </c>
      <c r="R24" s="360">
        <f>Model!V432</f>
        <v>17218.175503950464</v>
      </c>
      <c r="S24" s="360">
        <f>Model!W432</f>
        <v>20058.360321178596</v>
      </c>
      <c r="T24" s="360">
        <f>Model!X432</f>
        <v>23712.64607947972</v>
      </c>
      <c r="U24" s="326"/>
      <c r="V24" s="361">
        <f>(R24/O24)^(1/3)-1</f>
        <v>0.16609422287668907</v>
      </c>
      <c r="X24" s="355"/>
      <c r="Y24" s="355"/>
      <c r="Z24" s="355"/>
    </row>
    <row r="25" spans="2:26" ht="15" customHeight="1">
      <c r="B25" s="362" t="s">
        <v>27</v>
      </c>
      <c r="C25" s="363" t="s">
        <v>300</v>
      </c>
      <c r="D25" s="364" t="str">
        <f t="shared" ref="D25:T25" si="10">IFERROR(D24/C24-1,"n.m")</f>
        <v>n.m</v>
      </c>
      <c r="E25" s="364">
        <f t="shared" si="10"/>
        <v>2.3098563743152001E-2</v>
      </c>
      <c r="F25" s="364">
        <f t="shared" si="10"/>
        <v>0.10379178928071786</v>
      </c>
      <c r="G25" s="364">
        <f t="shared" si="10"/>
        <v>0.17064749459146422</v>
      </c>
      <c r="H25" s="364">
        <f t="shared" si="10"/>
        <v>4.592122456598835E-2</v>
      </c>
      <c r="I25" s="364">
        <f t="shared" si="10"/>
        <v>-0.11333214349455645</v>
      </c>
      <c r="J25" s="364">
        <f t="shared" si="10"/>
        <v>0.15519323671497576</v>
      </c>
      <c r="K25" s="364">
        <f t="shared" si="10"/>
        <v>0.1334727304408434</v>
      </c>
      <c r="L25" s="364">
        <f t="shared" si="10"/>
        <v>7.9477325134512E-2</v>
      </c>
      <c r="M25" s="364">
        <f t="shared" si="10"/>
        <v>0.19709484477356876</v>
      </c>
      <c r="N25" s="365">
        <f t="shared" si="10"/>
        <v>0.62071161643223283</v>
      </c>
      <c r="O25" s="365">
        <f t="shared" si="10"/>
        <v>-0.20293990175788001</v>
      </c>
      <c r="P25" s="365">
        <f t="shared" si="10"/>
        <v>0.21302070411277318</v>
      </c>
      <c r="Q25" s="365">
        <f t="shared" si="10"/>
        <v>0.13685391214451914</v>
      </c>
      <c r="R25" s="365">
        <f t="shared" si="10"/>
        <v>0.14981523060760327</v>
      </c>
      <c r="S25" s="365">
        <f t="shared" si="10"/>
        <v>0.16495271619089324</v>
      </c>
      <c r="T25" s="365">
        <f t="shared" si="10"/>
        <v>0.18218267594100168</v>
      </c>
      <c r="U25" s="326"/>
      <c r="V25" s="366"/>
    </row>
    <row r="26" spans="2:26" s="408" customFormat="1" ht="6.75" customHeight="1">
      <c r="B26" s="367"/>
      <c r="C26" s="368"/>
      <c r="D26" s="369"/>
      <c r="E26" s="369"/>
      <c r="F26" s="369"/>
      <c r="G26" s="369"/>
      <c r="H26" s="369"/>
      <c r="I26" s="369"/>
      <c r="J26" s="369"/>
      <c r="K26" s="369"/>
      <c r="L26" s="369"/>
      <c r="M26" s="369"/>
      <c r="N26" s="370"/>
      <c r="O26" s="370"/>
      <c r="P26" s="370"/>
      <c r="Q26" s="370"/>
      <c r="R26" s="370"/>
      <c r="S26" s="370"/>
      <c r="T26" s="370"/>
      <c r="U26" s="371"/>
      <c r="V26" s="372"/>
    </row>
    <row r="27" spans="2:26" ht="15" hidden="1" customHeight="1" outlineLevel="1">
      <c r="B27" s="379" t="s">
        <v>87</v>
      </c>
      <c r="C27" s="373" t="s">
        <v>310</v>
      </c>
      <c r="D27" s="431"/>
      <c r="E27" s="431"/>
      <c r="F27" s="431"/>
      <c r="G27" s="431"/>
      <c r="H27" s="431"/>
      <c r="I27" s="431"/>
      <c r="J27" s="434">
        <f>Model!N467</f>
        <v>184</v>
      </c>
      <c r="K27" s="434">
        <f>Model!O467</f>
        <v>236</v>
      </c>
      <c r="L27" s="434">
        <f>Model!P467</f>
        <v>273</v>
      </c>
      <c r="M27" s="434">
        <f>Model!Q467</f>
        <v>1591</v>
      </c>
      <c r="N27" s="435">
        <f>Model!R467</f>
        <v>7014.9888889677459</v>
      </c>
      <c r="O27" s="435">
        <f>Model!S467</f>
        <v>3250.3638186679818</v>
      </c>
      <c r="P27" s="435">
        <f>Model!T467</f>
        <v>4987.2953334789809</v>
      </c>
      <c r="Q27" s="435">
        <f>Model!U467</f>
        <v>6146.6574594342201</v>
      </c>
      <c r="R27" s="435">
        <f>Model!V467</f>
        <v>7642.8113418930316</v>
      </c>
      <c r="S27" s="435">
        <f>Model!W467</f>
        <v>9593.5854692854373</v>
      </c>
      <c r="T27" s="435">
        <f>Model!X467</f>
        <v>12161.72743756146</v>
      </c>
      <c r="U27" s="326"/>
      <c r="V27" s="366">
        <f>(R27/O27)^(1/3)-1</f>
        <v>0.32976139776889424</v>
      </c>
    </row>
    <row r="28" spans="2:26" ht="15" hidden="1" customHeight="1" outlineLevel="1">
      <c r="B28" s="376" t="s">
        <v>27</v>
      </c>
      <c r="C28" s="363" t="s">
        <v>300</v>
      </c>
      <c r="D28" s="432"/>
      <c r="E28" s="432"/>
      <c r="F28" s="432"/>
      <c r="G28" s="432"/>
      <c r="H28" s="432"/>
      <c r="I28" s="432"/>
      <c r="J28" s="364" t="str">
        <f t="shared" ref="J28" si="11">IFERROR(J27/I27-1,"n.m")</f>
        <v>n.m</v>
      </c>
      <c r="K28" s="364">
        <f t="shared" ref="K28" si="12">IFERROR(K27/J27-1,"n.m")</f>
        <v>0.28260869565217384</v>
      </c>
      <c r="L28" s="364">
        <f t="shared" ref="L28" si="13">IFERROR(L27/K27-1,"n.m")</f>
        <v>0.15677966101694918</v>
      </c>
      <c r="M28" s="364">
        <f t="shared" ref="M28" si="14">IFERROR(M27/L27-1,"n.m")</f>
        <v>4.8278388278388276</v>
      </c>
      <c r="N28" s="365">
        <f t="shared" ref="N28" si="15">IFERROR(N27/M27-1,"n.m")</f>
        <v>3.4091696348005947</v>
      </c>
      <c r="O28" s="365">
        <f t="shared" ref="O28" si="16">IFERROR(O27/N27-1,"n.m")</f>
        <v>-0.53665445945613288</v>
      </c>
      <c r="P28" s="365">
        <f t="shared" ref="P28" si="17">IFERROR(P27/O27-1,"n.m")</f>
        <v>0.53438064527890416</v>
      </c>
      <c r="Q28" s="365">
        <f t="shared" ref="Q28" si="18">IFERROR(Q27/P27-1,"n.m")</f>
        <v>0.23246309841982127</v>
      </c>
      <c r="R28" s="365">
        <f t="shared" ref="R28" si="19">IFERROR(R27/Q27-1,"n.m")</f>
        <v>0.24340934765486799</v>
      </c>
      <c r="S28" s="365">
        <f t="shared" ref="S28:T28" si="20">IFERROR(S27/R27-1,"n.m")</f>
        <v>0.2552430041939544</v>
      </c>
      <c r="T28" s="365">
        <f t="shared" si="20"/>
        <v>0.26769365598483663</v>
      </c>
      <c r="U28" s="326"/>
      <c r="V28" s="382"/>
    </row>
    <row r="29" spans="2:26" ht="15" hidden="1" customHeight="1" outlineLevel="1">
      <c r="B29" s="376" t="s">
        <v>29</v>
      </c>
      <c r="C29" s="363" t="s">
        <v>300</v>
      </c>
      <c r="D29" s="432"/>
      <c r="E29" s="432"/>
      <c r="F29" s="432"/>
      <c r="G29" s="432"/>
      <c r="H29" s="432"/>
      <c r="I29" s="432"/>
      <c r="J29" s="364">
        <f t="shared" ref="J29:R29" si="21">J27/J$24</f>
        <v>3.2061334727304408E-2</v>
      </c>
      <c r="K29" s="364">
        <f t="shared" si="21"/>
        <v>3.6279784780937741E-2</v>
      </c>
      <c r="L29" s="364">
        <f t="shared" si="21"/>
        <v>3.8877812589005981E-2</v>
      </c>
      <c r="M29" s="364">
        <f t="shared" si="21"/>
        <v>0.18926956935522246</v>
      </c>
      <c r="N29" s="365">
        <f t="shared" si="21"/>
        <v>0.51491062909138219</v>
      </c>
      <c r="O29" s="365">
        <f t="shared" si="21"/>
        <v>0.29932691938074679</v>
      </c>
      <c r="P29" s="365">
        <f t="shared" si="21"/>
        <v>0.37862620988378271</v>
      </c>
      <c r="Q29" s="365">
        <f t="shared" si="21"/>
        <v>0.41046859828811483</v>
      </c>
      <c r="R29" s="365">
        <f t="shared" si="21"/>
        <v>0.44388044134754567</v>
      </c>
      <c r="S29" s="365">
        <f>S27/S$24</f>
        <v>0.47828363413913061</v>
      </c>
      <c r="T29" s="365">
        <f>T27/T$24</f>
        <v>0.51287938920008969</v>
      </c>
      <c r="U29" s="326"/>
      <c r="V29" s="366"/>
    </row>
    <row r="30" spans="2:26" ht="9.9499999999999993" hidden="1" customHeight="1" outlineLevel="1">
      <c r="B30" s="374"/>
      <c r="C30" s="363"/>
      <c r="D30" s="364"/>
      <c r="E30" s="364"/>
      <c r="F30" s="364"/>
      <c r="G30" s="364"/>
      <c r="H30" s="364"/>
      <c r="I30" s="364"/>
      <c r="J30" s="364"/>
      <c r="K30" s="364"/>
      <c r="L30" s="364"/>
      <c r="M30" s="364"/>
      <c r="N30" s="365"/>
      <c r="O30" s="365"/>
      <c r="P30" s="365"/>
      <c r="Q30" s="365"/>
      <c r="R30" s="365"/>
      <c r="S30" s="365"/>
      <c r="T30" s="365"/>
      <c r="U30" s="326"/>
      <c r="V30" s="366"/>
    </row>
    <row r="31" spans="2:26" ht="15" hidden="1" customHeight="1" outlineLevel="1">
      <c r="B31" s="380" t="s">
        <v>88</v>
      </c>
      <c r="C31" s="375" t="s">
        <v>310</v>
      </c>
      <c r="D31" s="432"/>
      <c r="E31" s="432"/>
      <c r="F31" s="432"/>
      <c r="G31" s="432"/>
      <c r="H31" s="432"/>
      <c r="I31" s="432"/>
      <c r="J31" s="438">
        <f>Model!N471</f>
        <v>2193</v>
      </c>
      <c r="K31" s="438">
        <f>Model!O471</f>
        <v>2583</v>
      </c>
      <c r="L31" s="438">
        <f>Model!P471</f>
        <v>2678</v>
      </c>
      <c r="M31" s="438">
        <f>Model!Q471</f>
        <v>2708</v>
      </c>
      <c r="N31" s="439">
        <f>Model!R471</f>
        <v>2908.9336000000003</v>
      </c>
      <c r="O31" s="439">
        <f>Model!S471</f>
        <v>3124.7764731200004</v>
      </c>
      <c r="P31" s="439">
        <f>Model!T471</f>
        <v>3356.6348874255045</v>
      </c>
      <c r="Q31" s="439">
        <f>Model!U471</f>
        <v>3605.6971960724773</v>
      </c>
      <c r="R31" s="439">
        <f>Model!V471</f>
        <v>3873.2399280210552</v>
      </c>
      <c r="S31" s="439">
        <f>Model!W471</f>
        <v>4160.6343306802173</v>
      </c>
      <c r="T31" s="439">
        <f>Model!X471</f>
        <v>4469.3533980166894</v>
      </c>
      <c r="U31" s="326"/>
      <c r="V31" s="366">
        <f>(R31/O31)^(1/3)-1</f>
        <v>7.4200000000000044E-2</v>
      </c>
    </row>
    <row r="32" spans="2:26" ht="15" hidden="1" customHeight="1" outlineLevel="1">
      <c r="B32" s="376" t="s">
        <v>27</v>
      </c>
      <c r="C32" s="363" t="s">
        <v>300</v>
      </c>
      <c r="D32" s="432"/>
      <c r="E32" s="432"/>
      <c r="F32" s="432"/>
      <c r="G32" s="432"/>
      <c r="H32" s="432"/>
      <c r="I32" s="432"/>
      <c r="J32" s="364" t="str">
        <f t="shared" ref="J32" si="22">IFERROR(J31/I31-1,"n.m")</f>
        <v>n.m</v>
      </c>
      <c r="K32" s="364">
        <f t="shared" ref="K32" si="23">IFERROR(K31/J31-1,"n.m")</f>
        <v>0.17783857729138175</v>
      </c>
      <c r="L32" s="364">
        <f t="shared" ref="L32" si="24">IFERROR(L31/K31-1,"n.m")</f>
        <v>3.6778939217963602E-2</v>
      </c>
      <c r="M32" s="364">
        <f t="shared" ref="M32" si="25">IFERROR(M31/L31-1,"n.m")</f>
        <v>1.1202389843166571E-2</v>
      </c>
      <c r="N32" s="365">
        <f t="shared" ref="N32" si="26">IFERROR(N31/M31-1,"n.m")</f>
        <v>7.4200000000000044E-2</v>
      </c>
      <c r="O32" s="365">
        <f t="shared" ref="O32" si="27">IFERROR(O31/N31-1,"n.m")</f>
        <v>7.4200000000000044E-2</v>
      </c>
      <c r="P32" s="365">
        <f t="shared" ref="P32" si="28">IFERROR(P31/O31-1,"n.m")</f>
        <v>7.4200000000000044E-2</v>
      </c>
      <c r="Q32" s="365">
        <f t="shared" ref="Q32" si="29">IFERROR(Q31/P31-1,"n.m")</f>
        <v>7.4200000000000044E-2</v>
      </c>
      <c r="R32" s="365">
        <f t="shared" ref="R32" si="30">IFERROR(R31/Q31-1,"n.m")</f>
        <v>7.4200000000000044E-2</v>
      </c>
      <c r="S32" s="365">
        <f t="shared" ref="S32:T32" si="31">IFERROR(S31/R31-1,"n.m")</f>
        <v>7.4200000000000044E-2</v>
      </c>
      <c r="T32" s="365">
        <f t="shared" si="31"/>
        <v>7.4200000000000044E-2</v>
      </c>
      <c r="U32" s="326"/>
      <c r="V32" s="366"/>
    </row>
    <row r="33" spans="2:28" ht="15" hidden="1" customHeight="1" outlineLevel="1">
      <c r="B33" s="376" t="s">
        <v>29</v>
      </c>
      <c r="C33" s="363" t="s">
        <v>300</v>
      </c>
      <c r="D33" s="432"/>
      <c r="E33" s="432"/>
      <c r="F33" s="432"/>
      <c r="G33" s="432"/>
      <c r="H33" s="432"/>
      <c r="I33" s="432"/>
      <c r="J33" s="364">
        <f t="shared" ref="J33:R33" si="32">J31/J$24</f>
        <v>0.38212232096184007</v>
      </c>
      <c r="K33" s="364">
        <f t="shared" si="32"/>
        <v>0.39707916986933128</v>
      </c>
      <c r="L33" s="364">
        <f t="shared" si="32"/>
        <v>0.38137282825405866</v>
      </c>
      <c r="M33" s="364">
        <f t="shared" si="32"/>
        <v>0.32215084463478466</v>
      </c>
      <c r="N33" s="365">
        <f t="shared" si="32"/>
        <v>0.21352005736126922</v>
      </c>
      <c r="O33" s="365">
        <f t="shared" si="32"/>
        <v>0.28776154536317361</v>
      </c>
      <c r="P33" s="365">
        <f t="shared" si="32"/>
        <v>0.25482949382567432</v>
      </c>
      <c r="Q33" s="365">
        <f t="shared" si="32"/>
        <v>0.2407854160884845</v>
      </c>
      <c r="R33" s="365">
        <f t="shared" si="32"/>
        <v>0.22495065909465237</v>
      </c>
      <c r="S33" s="365">
        <f>S31/S$24</f>
        <v>0.20742644284274905</v>
      </c>
      <c r="T33" s="365">
        <f>T31/T$24</f>
        <v>0.18847974127545161</v>
      </c>
      <c r="U33" s="326"/>
      <c r="V33" s="366"/>
    </row>
    <row r="34" spans="2:28" ht="9.9499999999999993" hidden="1" customHeight="1" outlineLevel="1">
      <c r="B34" s="374"/>
      <c r="C34" s="363"/>
      <c r="D34" s="364"/>
      <c r="E34" s="364"/>
      <c r="F34" s="364"/>
      <c r="G34" s="364"/>
      <c r="H34" s="364"/>
      <c r="I34" s="364"/>
      <c r="J34" s="364"/>
      <c r="K34" s="364"/>
      <c r="L34" s="364"/>
      <c r="M34" s="364"/>
      <c r="N34" s="365"/>
      <c r="O34" s="365"/>
      <c r="P34" s="365"/>
      <c r="Q34" s="365"/>
      <c r="R34" s="365"/>
      <c r="S34" s="365"/>
      <c r="T34" s="365"/>
      <c r="U34" s="326"/>
      <c r="V34" s="366"/>
    </row>
    <row r="35" spans="2:28" ht="15" hidden="1" customHeight="1" outlineLevel="1">
      <c r="B35" s="380" t="s">
        <v>31</v>
      </c>
      <c r="C35" s="375" t="s">
        <v>310</v>
      </c>
      <c r="D35" s="432"/>
      <c r="E35" s="432"/>
      <c r="F35" s="432"/>
      <c r="G35" s="432"/>
      <c r="H35" s="432"/>
      <c r="I35" s="432"/>
      <c r="J35" s="438">
        <f>Model!N475</f>
        <v>3357</v>
      </c>
      <c r="K35" s="438">
        <f>Model!O475</f>
        <v>3684</v>
      </c>
      <c r="L35" s="438">
        <f>Model!P475</f>
        <v>4073</v>
      </c>
      <c r="M35" s="438">
        <f>Model!Q475</f>
        <v>4101.3</v>
      </c>
      <c r="N35" s="439">
        <f>Model!R475</f>
        <v>3697.1043587616005</v>
      </c>
      <c r="O35" s="439">
        <f>Model!S475</f>
        <v>4481.0938413845224</v>
      </c>
      <c r="P35" s="439">
        <f>Model!T475</f>
        <v>4825.4763817130552</v>
      </c>
      <c r="Q35" s="439">
        <f>Model!U475</f>
        <v>5219.7028455158961</v>
      </c>
      <c r="R35" s="439">
        <f>Model!V475</f>
        <v>5699.4492340363786</v>
      </c>
      <c r="S35" s="439">
        <f>Model!W475</f>
        <v>6301.4655212129437</v>
      </c>
      <c r="T35" s="439">
        <f>Model!X475</f>
        <v>7078.8902439015746</v>
      </c>
      <c r="U35" s="326"/>
      <c r="V35" s="366">
        <f>(R35/O35)^(1/3)-1</f>
        <v>8.3468485392210523E-2</v>
      </c>
    </row>
    <row r="36" spans="2:28" ht="15" hidden="1" customHeight="1" outlineLevel="1">
      <c r="B36" s="376" t="s">
        <v>27</v>
      </c>
      <c r="C36" s="363" t="s">
        <v>300</v>
      </c>
      <c r="D36" s="432"/>
      <c r="E36" s="432"/>
      <c r="F36" s="432"/>
      <c r="G36" s="432"/>
      <c r="H36" s="432"/>
      <c r="I36" s="432"/>
      <c r="J36" s="364" t="str">
        <f t="shared" ref="J36" si="33">IFERROR(J35/I35-1,"n.m")</f>
        <v>n.m</v>
      </c>
      <c r="K36" s="364">
        <f t="shared" ref="K36" si="34">IFERROR(K35/J35-1,"n.m")</f>
        <v>9.7408400357462011E-2</v>
      </c>
      <c r="L36" s="364">
        <f t="shared" ref="L36" si="35">IFERROR(L35/K35-1,"n.m")</f>
        <v>0.10559174809989136</v>
      </c>
      <c r="M36" s="364">
        <f t="shared" ref="M36" si="36">IFERROR(M35/L35-1,"n.m")</f>
        <v>6.9481954333414642E-3</v>
      </c>
      <c r="N36" s="365">
        <f t="shared" ref="N36" si="37">IFERROR(N35/M35-1,"n.m")</f>
        <v>-9.8553054211688917E-2</v>
      </c>
      <c r="O36" s="365">
        <f t="shared" ref="O36" si="38">IFERROR(O35/N35-1,"n.m")</f>
        <v>0.21205500482153838</v>
      </c>
      <c r="P36" s="365">
        <f t="shared" ref="P36" si="39">IFERROR(P35/O35-1,"n.m")</f>
        <v>7.6852338406314002E-2</v>
      </c>
      <c r="Q36" s="365">
        <f t="shared" ref="Q36" si="40">IFERROR(Q35/P35-1,"n.m")</f>
        <v>8.1696900496047942E-2</v>
      </c>
      <c r="R36" s="365">
        <f t="shared" ref="R36" si="41">IFERROR(R35/Q35-1,"n.m")</f>
        <v>9.1910670534170347E-2</v>
      </c>
      <c r="S36" s="365">
        <f t="shared" ref="S36:T36" si="42">IFERROR(S35/R35-1,"n.m")</f>
        <v>0.10562709876971987</v>
      </c>
      <c r="T36" s="365">
        <f t="shared" si="42"/>
        <v>0.12337205052880895</v>
      </c>
      <c r="U36" s="326"/>
      <c r="V36" s="366"/>
    </row>
    <row r="37" spans="2:28" ht="15" hidden="1" customHeight="1" outlineLevel="1">
      <c r="B37" s="376" t="s">
        <v>29</v>
      </c>
      <c r="C37" s="363" t="s">
        <v>300</v>
      </c>
      <c r="D37" s="432"/>
      <c r="E37" s="432"/>
      <c r="F37" s="432"/>
      <c r="G37" s="432"/>
      <c r="H37" s="432"/>
      <c r="I37" s="432"/>
      <c r="J37" s="364">
        <f t="shared" ref="J37:R37" si="43">J35/J$24</f>
        <v>0.58494511238891789</v>
      </c>
      <c r="K37" s="364">
        <f t="shared" si="43"/>
        <v>0.5663335895465027</v>
      </c>
      <c r="L37" s="364">
        <f t="shared" si="43"/>
        <v>0.5800341782967815</v>
      </c>
      <c r="M37" s="364">
        <f t="shared" si="43"/>
        <v>0.48790149892933621</v>
      </c>
      <c r="N37" s="365">
        <f t="shared" si="43"/>
        <v>0.27137296456453158</v>
      </c>
      <c r="O37" s="365">
        <f t="shared" si="43"/>
        <v>0.41266519375278532</v>
      </c>
      <c r="P37" s="365">
        <f t="shared" si="43"/>
        <v>0.36634121525288327</v>
      </c>
      <c r="Q37" s="365">
        <f t="shared" si="43"/>
        <v>0.34856735138069767</v>
      </c>
      <c r="R37" s="365">
        <f t="shared" si="43"/>
        <v>0.33101354047231785</v>
      </c>
      <c r="S37" s="365">
        <f>S35/S$24</f>
        <v>0.31415656216722504</v>
      </c>
      <c r="T37" s="365">
        <f>T35/T$24</f>
        <v>0.29852806051988662</v>
      </c>
      <c r="U37" s="326"/>
      <c r="V37" s="366"/>
    </row>
    <row r="38" spans="2:28" ht="9.9499999999999993" hidden="1" customHeight="1" outlineLevel="1">
      <c r="B38" s="374"/>
      <c r="C38" s="363"/>
      <c r="D38" s="364"/>
      <c r="E38" s="364"/>
      <c r="F38" s="364"/>
      <c r="G38" s="364"/>
      <c r="H38" s="364"/>
      <c r="I38" s="364"/>
      <c r="J38" s="364"/>
      <c r="K38" s="364"/>
      <c r="L38" s="364"/>
      <c r="M38" s="364"/>
      <c r="N38" s="365"/>
      <c r="O38" s="365"/>
      <c r="P38" s="365"/>
      <c r="Q38" s="365"/>
      <c r="R38" s="365"/>
      <c r="S38" s="365"/>
      <c r="T38" s="365"/>
      <c r="U38" s="326"/>
      <c r="V38" s="366"/>
    </row>
    <row r="39" spans="2:28" ht="15" hidden="1" customHeight="1" outlineLevel="1">
      <c r="B39" s="380" t="s">
        <v>89</v>
      </c>
      <c r="C39" s="375" t="s">
        <v>310</v>
      </c>
      <c r="D39" s="432"/>
      <c r="E39" s="432"/>
      <c r="F39" s="432"/>
      <c r="G39" s="432"/>
      <c r="H39" s="432"/>
      <c r="I39" s="432"/>
      <c r="J39" s="438">
        <f t="shared" ref="J39:R39" si="44">J24-J27-J31-J35</f>
        <v>5</v>
      </c>
      <c r="K39" s="438">
        <f t="shared" si="44"/>
        <v>2</v>
      </c>
      <c r="L39" s="438">
        <f t="shared" si="44"/>
        <v>-2</v>
      </c>
      <c r="M39" s="438">
        <f t="shared" si="44"/>
        <v>5.6999999999998181</v>
      </c>
      <c r="N39" s="439">
        <f t="shared" si="44"/>
        <v>2.6750000000029104</v>
      </c>
      <c r="O39" s="439">
        <f t="shared" si="44"/>
        <v>2.6750000000020009</v>
      </c>
      <c r="P39" s="439">
        <f t="shared" si="44"/>
        <v>2.6749999999974534</v>
      </c>
      <c r="Q39" s="439">
        <f t="shared" si="44"/>
        <v>2.6750000000010914</v>
      </c>
      <c r="R39" s="439">
        <f t="shared" si="44"/>
        <v>2.6749999999983629</v>
      </c>
      <c r="S39" s="439">
        <f>S24-S27-S31-S35</f>
        <v>2.6749999999974534</v>
      </c>
      <c r="T39" s="439">
        <f>T24-T27-T31-T35</f>
        <v>2.6749999999965439</v>
      </c>
      <c r="U39" s="326"/>
      <c r="V39" s="366">
        <f>IFERROR((R39/O39)^(1/3)-1,"n.m.")</f>
        <v>-4.5330406095445142E-13</v>
      </c>
    </row>
    <row r="40" spans="2:28" ht="15" hidden="1" customHeight="1" outlineLevel="1">
      <c r="B40" s="376" t="s">
        <v>27</v>
      </c>
      <c r="C40" s="363" t="s">
        <v>300</v>
      </c>
      <c r="D40" s="432"/>
      <c r="E40" s="432"/>
      <c r="F40" s="432"/>
      <c r="G40" s="432"/>
      <c r="H40" s="432"/>
      <c r="I40" s="432"/>
      <c r="J40" s="384" t="str">
        <f t="shared" ref="J40" si="45">IFERROR(J39/I39-1,"n.m")</f>
        <v>n.m</v>
      </c>
      <c r="K40" s="384">
        <f t="shared" ref="K40" si="46">IFERROR(K39/J39-1,"n.m")</f>
        <v>-0.6</v>
      </c>
      <c r="L40" s="384">
        <f t="shared" ref="L40" si="47">IFERROR(L39/K39-1,"n.m")</f>
        <v>-2</v>
      </c>
      <c r="M40" s="384">
        <f t="shared" ref="M40" si="48">IFERROR(M39/L39-1,"n.m")</f>
        <v>-3.8499999999999091</v>
      </c>
      <c r="N40" s="385">
        <f t="shared" ref="N40" si="49">IFERROR(N39/M39-1,"n.m")</f>
        <v>-0.53070175438543932</v>
      </c>
      <c r="O40" s="385">
        <f t="shared" ref="O40" si="50">IFERROR(O39/N39-1,"n.m")</f>
        <v>-3.3995029014022293E-13</v>
      </c>
      <c r="P40" s="385">
        <f t="shared" ref="P40" si="51">IFERROR(P39/O39-1,"n.m")</f>
        <v>-1.6999734953060397E-12</v>
      </c>
      <c r="Q40" s="385">
        <f t="shared" ref="Q40" si="52">IFERROR(Q39/P39-1,"n.m")</f>
        <v>1.3600232051658168E-12</v>
      </c>
      <c r="R40" s="385">
        <f t="shared" ref="R40" si="53">IFERROR(R39/Q39-1,"n.m")</f>
        <v>-1.0199618927231313E-12</v>
      </c>
      <c r="S40" s="385">
        <f t="shared" ref="S40:T40" si="54">IFERROR(S39/R39-1,"n.m")</f>
        <v>-3.3995029014022293E-13</v>
      </c>
      <c r="T40" s="385">
        <f t="shared" si="54"/>
        <v>-3.3995029014022293E-13</v>
      </c>
      <c r="U40" s="326"/>
      <c r="V40" s="366"/>
    </row>
    <row r="41" spans="2:28" ht="15" hidden="1" customHeight="1" outlineLevel="1">
      <c r="B41" s="381" t="s">
        <v>29</v>
      </c>
      <c r="C41" s="377" t="s">
        <v>300</v>
      </c>
      <c r="D41" s="433"/>
      <c r="E41" s="433"/>
      <c r="F41" s="433"/>
      <c r="G41" s="433"/>
      <c r="H41" s="433"/>
      <c r="I41" s="433"/>
      <c r="J41" s="436">
        <f t="shared" ref="J41:R41" si="55">J39/J$24</f>
        <v>8.7123192193761976E-4</v>
      </c>
      <c r="K41" s="436">
        <f t="shared" si="55"/>
        <v>3.0745580322828596E-4</v>
      </c>
      <c r="L41" s="436">
        <f t="shared" si="55"/>
        <v>-2.8481913984619768E-4</v>
      </c>
      <c r="M41" s="436">
        <f t="shared" si="55"/>
        <v>6.7808708065665222E-4</v>
      </c>
      <c r="N41" s="437">
        <f t="shared" si="55"/>
        <v>1.9634898281693902E-4</v>
      </c>
      <c r="O41" s="437">
        <f t="shared" si="55"/>
        <v>2.4634150329430751E-4</v>
      </c>
      <c r="P41" s="437">
        <f t="shared" si="55"/>
        <v>2.0308103765967264E-4</v>
      </c>
      <c r="Q41" s="437">
        <f t="shared" si="55"/>
        <v>1.7863424270306137E-4</v>
      </c>
      <c r="R41" s="437">
        <f t="shared" si="55"/>
        <v>1.553590854840934E-4</v>
      </c>
      <c r="S41" s="437">
        <f>S39/S$24</f>
        <v>1.3336085089532757E-4</v>
      </c>
      <c r="T41" s="437">
        <f>T39/T$24</f>
        <v>1.1280900457209692E-4</v>
      </c>
      <c r="U41" s="326"/>
      <c r="V41" s="366"/>
    </row>
    <row r="42" spans="2:28" ht="15" hidden="1" customHeight="1" outlineLevel="1">
      <c r="B42" s="374"/>
      <c r="C42" s="363"/>
      <c r="D42" s="364"/>
      <c r="E42" s="364"/>
      <c r="F42" s="364"/>
      <c r="G42" s="364"/>
      <c r="H42" s="364"/>
      <c r="I42" s="364"/>
      <c r="J42" s="364"/>
      <c r="K42" s="364"/>
      <c r="L42" s="364"/>
      <c r="M42" s="364"/>
      <c r="N42" s="365"/>
      <c r="O42" s="365"/>
      <c r="P42" s="365"/>
      <c r="Q42" s="365"/>
      <c r="R42" s="365"/>
      <c r="S42" s="365"/>
      <c r="T42" s="365"/>
      <c r="U42" s="326"/>
      <c r="V42" s="366"/>
    </row>
    <row r="43" spans="2:28" ht="15" customHeight="1" collapsed="1">
      <c r="B43" s="357" t="s">
        <v>312</v>
      </c>
      <c r="C43" s="358" t="s">
        <v>310</v>
      </c>
      <c r="D43" s="359">
        <f>Model!H620</f>
        <v>1497.8999999999999</v>
      </c>
      <c r="E43" s="359">
        <f>Model!I620</f>
        <v>1830.2</v>
      </c>
      <c r="F43" s="359">
        <f>Model!J620</f>
        <v>2088.1000000000004</v>
      </c>
      <c r="G43" s="359">
        <f>Model!K620</f>
        <v>2112.1</v>
      </c>
      <c r="H43" s="359">
        <f>Model!L620</f>
        <v>2193</v>
      </c>
      <c r="I43" s="359">
        <f>Model!M620</f>
        <v>1764</v>
      </c>
      <c r="J43" s="359">
        <f>Model!N620</f>
        <v>2130</v>
      </c>
      <c r="K43" s="359">
        <f>Model!O620</f>
        <v>2196</v>
      </c>
      <c r="L43" s="359">
        <f>Model!P620</f>
        <v>2322</v>
      </c>
      <c r="M43" s="359">
        <f>Model!Q620</f>
        <v>2593</v>
      </c>
      <c r="N43" s="360">
        <f>Model!R620</f>
        <v>2766.2952358018129</v>
      </c>
      <c r="O43" s="360">
        <f>Model!S620</f>
        <v>2860.7986649047148</v>
      </c>
      <c r="P43" s="360">
        <f>Model!T620</f>
        <v>3291.811650397522</v>
      </c>
      <c r="Q43" s="360">
        <f>Model!U620</f>
        <v>3655.7009285656882</v>
      </c>
      <c r="R43" s="360">
        <f>Model!V620</f>
        <v>4229.6665899416639</v>
      </c>
      <c r="S43" s="360">
        <f>Model!W620</f>
        <v>5004.2069846497307</v>
      </c>
      <c r="T43" s="360">
        <f>Model!X620</f>
        <v>6040.9366131034139</v>
      </c>
      <c r="U43" s="326"/>
      <c r="V43" s="361">
        <f>(R43/O43)^(1/3)-1</f>
        <v>0.13921653571025527</v>
      </c>
      <c r="X43" s="418"/>
      <c r="Y43" s="418"/>
      <c r="Z43" s="418"/>
      <c r="AA43" s="418"/>
    </row>
    <row r="44" spans="2:28" ht="15" customHeight="1">
      <c r="B44" s="362" t="s">
        <v>27</v>
      </c>
      <c r="C44" s="363" t="s">
        <v>300</v>
      </c>
      <c r="D44" s="364" t="str">
        <f t="shared" ref="D44" si="56">IFERROR(D43/C43-1,"n.m")</f>
        <v>n.m</v>
      </c>
      <c r="E44" s="364">
        <f t="shared" ref="E44" si="57">IFERROR(E43/D43-1,"n.m")</f>
        <v>0.22184391481407317</v>
      </c>
      <c r="F44" s="364">
        <f t="shared" ref="F44" si="58">IFERROR(F43/E43-1,"n.m")</f>
        <v>0.14091356135941435</v>
      </c>
      <c r="G44" s="364">
        <f t="shared" ref="G44" si="59">IFERROR(G43/F43-1,"n.m")</f>
        <v>1.149370240888814E-2</v>
      </c>
      <c r="H44" s="364">
        <f t="shared" ref="H44" si="60">IFERROR(H43/G43-1,"n.m")</f>
        <v>3.8303110648170158E-2</v>
      </c>
      <c r="I44" s="364">
        <f t="shared" ref="I44" si="61">IFERROR(I43/H43-1,"n.m")</f>
        <v>-0.19562243502051979</v>
      </c>
      <c r="J44" s="364">
        <f t="shared" ref="J44" si="62">IFERROR(J43/I43-1,"n.m")</f>
        <v>0.20748299319727881</v>
      </c>
      <c r="K44" s="364">
        <f t="shared" ref="K44" si="63">IFERROR(K43/J43-1,"n.m")</f>
        <v>3.0985915492957705E-2</v>
      </c>
      <c r="L44" s="364">
        <f t="shared" ref="L44" si="64">IFERROR(L43/K43-1,"n.m")</f>
        <v>5.7377049180327822E-2</v>
      </c>
      <c r="M44" s="364">
        <f t="shared" ref="M44" si="65">IFERROR(M43/L43-1,"n.m")</f>
        <v>0.11670973298880272</v>
      </c>
      <c r="N44" s="365">
        <f t="shared" ref="N44" si="66">IFERROR(N43/M43-1,"n.m")</f>
        <v>6.6831945932052772E-2</v>
      </c>
      <c r="O44" s="365">
        <f t="shared" ref="O44" si="67">IFERROR(O43/N43-1,"n.m")</f>
        <v>3.4162452322450632E-2</v>
      </c>
      <c r="P44" s="365">
        <f t="shared" ref="P44" si="68">IFERROR(P43/O43-1,"n.m")</f>
        <v>0.15066176826084443</v>
      </c>
      <c r="Q44" s="365">
        <f t="shared" ref="Q44" si="69">IFERROR(Q43/P43-1,"n.m")</f>
        <v>0.11054377249203262</v>
      </c>
      <c r="R44" s="365">
        <f t="shared" ref="R44" si="70">IFERROR(R43/Q43-1,"n.m")</f>
        <v>0.15700563929915634</v>
      </c>
      <c r="S44" s="365">
        <f t="shared" ref="S44:T44" si="71">IFERROR(S43/R43-1,"n.m")</f>
        <v>0.18312090994357777</v>
      </c>
      <c r="T44" s="365">
        <f t="shared" si="71"/>
        <v>0.20717161213231661</v>
      </c>
      <c r="U44" s="326"/>
      <c r="V44" s="383"/>
      <c r="X44" s="346"/>
      <c r="Y44" s="346"/>
      <c r="Z44" s="346"/>
      <c r="AA44" s="346"/>
      <c r="AB44" s="346"/>
    </row>
    <row r="45" spans="2:28" ht="15" customHeight="1">
      <c r="B45" s="362" t="s">
        <v>132</v>
      </c>
      <c r="C45" s="363" t="s">
        <v>300</v>
      </c>
      <c r="D45" s="384">
        <f t="shared" ref="D45:R45" si="72">D43/D$24</f>
        <v>0.36965105374858098</v>
      </c>
      <c r="E45" s="384">
        <f t="shared" si="72"/>
        <v>0.44145882579960444</v>
      </c>
      <c r="F45" s="384">
        <f t="shared" si="72"/>
        <v>0.45630558772754098</v>
      </c>
      <c r="G45" s="384">
        <f t="shared" si="72"/>
        <v>0.3942691805114803</v>
      </c>
      <c r="H45" s="384">
        <f t="shared" si="72"/>
        <v>0.39139746564340533</v>
      </c>
      <c r="I45" s="384">
        <f t="shared" si="72"/>
        <v>0.35507246376811596</v>
      </c>
      <c r="J45" s="384">
        <f t="shared" si="72"/>
        <v>0.37114479874542605</v>
      </c>
      <c r="K45" s="384">
        <f t="shared" si="72"/>
        <v>0.33758647194465796</v>
      </c>
      <c r="L45" s="384">
        <f t="shared" si="72"/>
        <v>0.33067502136143551</v>
      </c>
      <c r="M45" s="384">
        <f t="shared" si="72"/>
        <v>0.30847014037592196</v>
      </c>
      <c r="N45" s="385">
        <f t="shared" si="72"/>
        <v>0.20305018905436989</v>
      </c>
      <c r="O45" s="385">
        <f t="shared" si="72"/>
        <v>0.26345175466708343</v>
      </c>
      <c r="P45" s="385">
        <f t="shared" si="72"/>
        <v>0.24990823392282793</v>
      </c>
      <c r="Q45" s="385">
        <f t="shared" si="72"/>
        <v>0.24412462314876396</v>
      </c>
      <c r="R45" s="385">
        <f t="shared" si="72"/>
        <v>0.2456512647911637</v>
      </c>
      <c r="S45" s="385">
        <f>S43/S$24</f>
        <v>0.24948235571209901</v>
      </c>
      <c r="T45" s="385">
        <f>T43/T$24</f>
        <v>0.25475590504979856</v>
      </c>
      <c r="U45" s="326"/>
      <c r="V45" s="383"/>
    </row>
    <row r="46" spans="2:28" s="408" customFormat="1" ht="6.75" customHeight="1">
      <c r="B46" s="367"/>
      <c r="C46" s="368"/>
      <c r="D46" s="369"/>
      <c r="E46" s="369"/>
      <c r="F46" s="369"/>
      <c r="G46" s="369"/>
      <c r="H46" s="369"/>
      <c r="I46" s="369"/>
      <c r="J46" s="369"/>
      <c r="K46" s="369"/>
      <c r="L46" s="369"/>
      <c r="M46" s="369"/>
      <c r="N46" s="370"/>
      <c r="O46" s="370"/>
      <c r="P46" s="370"/>
      <c r="Q46" s="370"/>
      <c r="R46" s="370"/>
      <c r="S46" s="370"/>
      <c r="T46" s="370"/>
      <c r="U46" s="371"/>
      <c r="V46" s="372"/>
    </row>
    <row r="47" spans="2:28" ht="15" customHeight="1">
      <c r="B47" s="357" t="s">
        <v>313</v>
      </c>
      <c r="C47" s="358" t="s">
        <v>310</v>
      </c>
      <c r="D47" s="359">
        <f>Model!H649</f>
        <v>444.49251356684738</v>
      </c>
      <c r="E47" s="359">
        <f>Model!I649</f>
        <v>742.9138321995465</v>
      </c>
      <c r="F47" s="359">
        <f>Model!J649</f>
        <v>1008.4236502439799</v>
      </c>
      <c r="G47" s="359">
        <f>Model!K649</f>
        <v>1214.434777898158</v>
      </c>
      <c r="H47" s="359">
        <f>Model!L649</f>
        <v>1257.9169175195666</v>
      </c>
      <c r="I47" s="359">
        <f>Model!M649</f>
        <v>949.89976133651555</v>
      </c>
      <c r="J47" s="359">
        <f>Model!N649</f>
        <v>1311.0817686250757</v>
      </c>
      <c r="K47" s="359">
        <f>Model!O649</f>
        <v>1405.7908937605396</v>
      </c>
      <c r="L47" s="359">
        <f>Model!P649</f>
        <v>1468.2966101694915</v>
      </c>
      <c r="M47" s="359">
        <f>Model!Q649</f>
        <v>1529.6045477014336</v>
      </c>
      <c r="N47" s="360">
        <f>Model!R649</f>
        <v>1498.9289160350681</v>
      </c>
      <c r="O47" s="360">
        <f>Model!S649</f>
        <v>1826.7271854208714</v>
      </c>
      <c r="P47" s="360">
        <f>Model!T649</f>
        <v>2236.7816635453869</v>
      </c>
      <c r="Q47" s="360">
        <f>Model!U649</f>
        <v>2592.7414165031623</v>
      </c>
      <c r="R47" s="360">
        <f>Model!V649</f>
        <v>3074.8800172863916</v>
      </c>
      <c r="S47" s="360">
        <f>Model!W649</f>
        <v>3694.7724758838795</v>
      </c>
      <c r="T47" s="360">
        <f>Model!X649</f>
        <v>4496.6083137781161</v>
      </c>
      <c r="U47" s="326"/>
      <c r="V47" s="361">
        <f>(R47/O47)^(1/3)-1</f>
        <v>0.18955582335459908</v>
      </c>
    </row>
    <row r="48" spans="2:28" ht="15" customHeight="1">
      <c r="B48" s="362" t="s">
        <v>27</v>
      </c>
      <c r="C48" s="363" t="s">
        <v>300</v>
      </c>
      <c r="D48" s="364" t="str">
        <f t="shared" ref="D48" si="73">IFERROR(D47/C47-1,"n.m")</f>
        <v>n.m</v>
      </c>
      <c r="E48" s="364">
        <f t="shared" ref="E48" si="74">IFERROR(E47/D47-1,"n.m")</f>
        <v>0.67137535396941939</v>
      </c>
      <c r="F48" s="364">
        <f t="shared" ref="F48" si="75">IFERROR(F47/E47-1,"n.m")</f>
        <v>0.35738978941654365</v>
      </c>
      <c r="G48" s="364">
        <f t="shared" ref="G48" si="76">IFERROR(G47/F47-1,"n.m")</f>
        <v>0.20429025797276323</v>
      </c>
      <c r="H48" s="364">
        <f t="shared" ref="H48" si="77">IFERROR(H47/G47-1,"n.m")</f>
        <v>3.5804425575380661E-2</v>
      </c>
      <c r="I48" s="364">
        <f t="shared" ref="I48" si="78">IFERROR(I47/H47-1,"n.m")</f>
        <v>-0.24486287758210379</v>
      </c>
      <c r="J48" s="364">
        <f t="shared" ref="J48" si="79">IFERROR(J47/I47-1,"n.m")</f>
        <v>0.38023170653330252</v>
      </c>
      <c r="K48" s="364">
        <f t="shared" ref="K48" si="80">IFERROR(K47/J47-1,"n.m")</f>
        <v>7.2237390071242302E-2</v>
      </c>
      <c r="L48" s="364">
        <f t="shared" ref="L48" si="81">IFERROR(L47/K47-1,"n.m")</f>
        <v>4.4463025536996437E-2</v>
      </c>
      <c r="M48" s="364">
        <f t="shared" ref="M48" si="82">IFERROR(M47/L47-1,"n.m")</f>
        <v>4.1754463714838375E-2</v>
      </c>
      <c r="N48" s="365">
        <f t="shared" ref="N48" si="83">IFERROR(N47/M47-1,"n.m")</f>
        <v>-2.0054615889095184E-2</v>
      </c>
      <c r="O48" s="365">
        <f t="shared" ref="O48" si="84">IFERROR(O47/N47-1,"n.m")</f>
        <v>0.21868833530337617</v>
      </c>
      <c r="P48" s="365">
        <f t="shared" ref="P48" si="85">IFERROR(P47/O47-1,"n.m")</f>
        <v>0.22447494152228353</v>
      </c>
      <c r="Q48" s="365">
        <f t="shared" ref="Q48" si="86">IFERROR(Q47/P47-1,"n.m")</f>
        <v>0.15913924848327188</v>
      </c>
      <c r="R48" s="365">
        <f t="shared" ref="R48" si="87">IFERROR(R47/Q47-1,"n.m")</f>
        <v>0.1859570714280836</v>
      </c>
      <c r="S48" s="365">
        <f t="shared" ref="S48:T48" si="88">IFERROR(S47/R47-1,"n.m")</f>
        <v>0.20159890958755144</v>
      </c>
      <c r="T48" s="365">
        <f t="shared" si="88"/>
        <v>0.21701900269310026</v>
      </c>
      <c r="U48" s="326"/>
    </row>
    <row r="49" spans="2:22" ht="15" customHeight="1">
      <c r="B49" s="362" t="s">
        <v>125</v>
      </c>
      <c r="C49" s="363" t="s">
        <v>300</v>
      </c>
      <c r="D49" s="384">
        <f t="shared" ref="D49:R49" si="89">D47/D$24</f>
        <v>0.10969165232882074</v>
      </c>
      <c r="E49" s="384">
        <f t="shared" si="89"/>
        <v>0.17919673698672064</v>
      </c>
      <c r="F49" s="384">
        <f t="shared" si="89"/>
        <v>0.22036748546665932</v>
      </c>
      <c r="G49" s="384">
        <f t="shared" si="89"/>
        <v>0.22670053722198208</v>
      </c>
      <c r="H49" s="384">
        <f t="shared" si="89"/>
        <v>0.22450774897725623</v>
      </c>
      <c r="I49" s="384">
        <f t="shared" si="89"/>
        <v>0.19120365566354983</v>
      </c>
      <c r="J49" s="384">
        <f t="shared" si="89"/>
        <v>0.22845125781931969</v>
      </c>
      <c r="K49" s="384">
        <f t="shared" si="89"/>
        <v>0.21610928420607833</v>
      </c>
      <c r="L49" s="384">
        <f t="shared" si="89"/>
        <v>0.20909948877378118</v>
      </c>
      <c r="M49" s="384">
        <f t="shared" si="89"/>
        <v>0.1819658039140416</v>
      </c>
      <c r="N49" s="385">
        <f t="shared" si="89"/>
        <v>0.11002361419740651</v>
      </c>
      <c r="O49" s="385">
        <f t="shared" si="89"/>
        <v>0.16822382092142807</v>
      </c>
      <c r="P49" s="385">
        <f t="shared" si="89"/>
        <v>0.16981231448648912</v>
      </c>
      <c r="Q49" s="385">
        <f t="shared" si="89"/>
        <v>0.17314108391092189</v>
      </c>
      <c r="R49" s="385">
        <f t="shared" si="89"/>
        <v>0.17858338222774559</v>
      </c>
      <c r="S49" s="385">
        <f>S47/S$24</f>
        <v>0.18420112196223529</v>
      </c>
      <c r="T49" s="385">
        <f>T47/T$24</f>
        <v>0.18962912442189903</v>
      </c>
      <c r="U49" s="326"/>
    </row>
    <row r="50" spans="2:22" s="408" customFormat="1" ht="6.75" customHeight="1">
      <c r="B50" s="367"/>
      <c r="C50" s="368"/>
      <c r="D50" s="369"/>
      <c r="E50" s="369"/>
      <c r="F50" s="369"/>
      <c r="G50" s="369"/>
      <c r="H50" s="369"/>
      <c r="I50" s="369"/>
      <c r="J50" s="369"/>
      <c r="K50" s="369"/>
      <c r="L50" s="369"/>
      <c r="M50" s="369"/>
      <c r="N50" s="370"/>
      <c r="O50" s="370"/>
      <c r="P50" s="370"/>
      <c r="Q50" s="370"/>
      <c r="R50" s="370"/>
      <c r="S50" s="370"/>
      <c r="T50" s="370"/>
      <c r="U50" s="371"/>
      <c r="V50" s="372"/>
    </row>
    <row r="51" spans="2:22" ht="15" customHeight="1">
      <c r="B51" s="357" t="s">
        <v>230</v>
      </c>
      <c r="C51" s="358" t="s">
        <v>310</v>
      </c>
      <c r="D51" s="359">
        <f t="shared" ref="D51:S51" si="90">D74</f>
        <v>1089.5</v>
      </c>
      <c r="E51" s="359">
        <f t="shared" si="90"/>
        <v>1235.3</v>
      </c>
      <c r="F51" s="359">
        <f t="shared" si="90"/>
        <v>1345.2999999999997</v>
      </c>
      <c r="G51" s="359">
        <f t="shared" si="90"/>
        <v>1079</v>
      </c>
      <c r="H51" s="359">
        <f t="shared" si="90"/>
        <v>1414</v>
      </c>
      <c r="I51" s="359">
        <f t="shared" si="90"/>
        <v>804</v>
      </c>
      <c r="J51" s="359">
        <f t="shared" si="90"/>
        <v>1620</v>
      </c>
      <c r="K51" s="359">
        <f t="shared" si="90"/>
        <v>1390</v>
      </c>
      <c r="L51" s="359">
        <f t="shared" si="90"/>
        <v>1203</v>
      </c>
      <c r="M51" s="359">
        <f t="shared" si="90"/>
        <v>762</v>
      </c>
      <c r="N51" s="360">
        <f t="shared" si="90"/>
        <v>2590.5251814395533</v>
      </c>
      <c r="O51" s="360">
        <f t="shared" si="90"/>
        <v>1852.3797670368353</v>
      </c>
      <c r="P51" s="360">
        <f t="shared" si="90"/>
        <v>2556.7006417059324</v>
      </c>
      <c r="Q51" s="360">
        <f t="shared" si="90"/>
        <v>3054.1386993000147</v>
      </c>
      <c r="R51" s="360">
        <f t="shared" si="90"/>
        <v>3677.583736635177</v>
      </c>
      <c r="S51" s="360">
        <f t="shared" si="90"/>
        <v>4504.8278844691722</v>
      </c>
      <c r="T51" s="360">
        <f>T74</f>
        <v>5552.3753682511624</v>
      </c>
      <c r="U51" s="326"/>
      <c r="V51" s="361">
        <f>(R51/O51)^(1/3)-1</f>
        <v>0.25683282232521809</v>
      </c>
    </row>
    <row r="52" spans="2:22" ht="15" customHeight="1">
      <c r="B52" s="362" t="s">
        <v>27</v>
      </c>
      <c r="C52" s="363" t="s">
        <v>300</v>
      </c>
      <c r="D52" s="364" t="str">
        <f t="shared" ref="D52" si="91">IFERROR(D51/C51-1,"n.m")</f>
        <v>n.m</v>
      </c>
      <c r="E52" s="364">
        <f t="shared" ref="E52" si="92">IFERROR(E51/D51-1,"n.m")</f>
        <v>0.13382285452042209</v>
      </c>
      <c r="F52" s="364">
        <f t="shared" ref="F52" si="93">IFERROR(F51/E51-1,"n.m")</f>
        <v>8.9047195013356895E-2</v>
      </c>
      <c r="G52" s="364">
        <f t="shared" ref="G52" si="94">IFERROR(G51/F51-1,"n.m")</f>
        <v>-0.19794841299338417</v>
      </c>
      <c r="H52" s="364">
        <f t="shared" ref="H52" si="95">IFERROR(H51/G51-1,"n.m")</f>
        <v>0.3104726598702503</v>
      </c>
      <c r="I52" s="364">
        <f t="shared" ref="I52" si="96">IFERROR(I51/H51-1,"n.m")</f>
        <v>-0.43140028288543142</v>
      </c>
      <c r="J52" s="364">
        <f t="shared" ref="J52" si="97">IFERROR(J51/I51-1,"n.m")</f>
        <v>1.0149253731343282</v>
      </c>
      <c r="K52" s="364">
        <f t="shared" ref="K52" si="98">IFERROR(K51/J51-1,"n.m")</f>
        <v>-0.14197530864197527</v>
      </c>
      <c r="L52" s="364">
        <f t="shared" ref="L52" si="99">IFERROR(L51/K51-1,"n.m")</f>
        <v>-0.13453237410071939</v>
      </c>
      <c r="M52" s="364">
        <f t="shared" ref="M52" si="100">IFERROR(M51/L51-1,"n.m")</f>
        <v>-0.36658354114713221</v>
      </c>
      <c r="N52" s="365">
        <f t="shared" ref="N52" si="101">IFERROR(N51/M51-1,"n.m")</f>
        <v>2.3996393457211984</v>
      </c>
      <c r="O52" s="365">
        <f t="shared" ref="O52" si="102">IFERROR(O51/N51-1,"n.m")</f>
        <v>-0.28494045133833867</v>
      </c>
      <c r="P52" s="365">
        <f t="shared" ref="P52" si="103">IFERROR(P51/O51-1,"n.m")</f>
        <v>0.3802248800178627</v>
      </c>
      <c r="Q52" s="365">
        <f t="shared" ref="Q52" si="104">IFERROR(Q51/P51-1,"n.m")</f>
        <v>0.19456249569451822</v>
      </c>
      <c r="R52" s="365">
        <f t="shared" ref="R52" si="105">IFERROR(R51/Q51-1,"n.m")</f>
        <v>0.20413121299240644</v>
      </c>
      <c r="S52" s="365">
        <f t="shared" ref="S52:T52" si="106">IFERROR(S51/R51-1,"n.m")</f>
        <v>0.22494230099866774</v>
      </c>
      <c r="T52" s="365">
        <f t="shared" si="106"/>
        <v>0.23253884735386032</v>
      </c>
      <c r="U52" s="326"/>
    </row>
    <row r="53" spans="2:22" ht="15" customHeight="1">
      <c r="B53" s="362" t="s">
        <v>314</v>
      </c>
      <c r="C53" s="363" t="s">
        <v>300</v>
      </c>
      <c r="D53" s="384">
        <f t="shared" ref="D53:R53" si="107">D51/D$24</f>
        <v>0.26886629485217906</v>
      </c>
      <c r="E53" s="384">
        <f t="shared" si="107"/>
        <v>0.29796420473732449</v>
      </c>
      <c r="F53" s="384">
        <f t="shared" si="107"/>
        <v>0.29398396014073108</v>
      </c>
      <c r="G53" s="384">
        <f t="shared" si="107"/>
        <v>0.20141870449878663</v>
      </c>
      <c r="H53" s="384">
        <f t="shared" si="107"/>
        <v>0.25236480456898092</v>
      </c>
      <c r="I53" s="384">
        <f t="shared" si="107"/>
        <v>0.16183574879227053</v>
      </c>
      <c r="J53" s="384">
        <f t="shared" si="107"/>
        <v>0.28227914270778881</v>
      </c>
      <c r="K53" s="384">
        <f t="shared" si="107"/>
        <v>0.21368178324365872</v>
      </c>
      <c r="L53" s="384">
        <f>L51/L$24</f>
        <v>0.17131871261748791</v>
      </c>
      <c r="M53" s="384">
        <f t="shared" si="107"/>
        <v>9.0649536045681656E-2</v>
      </c>
      <c r="N53" s="385">
        <f t="shared" si="107"/>
        <v>0.19014840535953992</v>
      </c>
      <c r="O53" s="385">
        <f t="shared" si="107"/>
        <v>0.1705861743863446</v>
      </c>
      <c r="P53" s="385">
        <f t="shared" si="107"/>
        <v>0.19409996983300409</v>
      </c>
      <c r="Q53" s="385">
        <f t="shared" si="107"/>
        <v>0.20395280510629848</v>
      </c>
      <c r="R53" s="385">
        <f t="shared" si="107"/>
        <v>0.21358730695894046</v>
      </c>
      <c r="S53" s="385">
        <f>S51/S$24</f>
        <v>0.22458604852724454</v>
      </c>
      <c r="T53" s="385">
        <f>T51/T$24</f>
        <v>0.23415250030050577</v>
      </c>
      <c r="U53" s="326"/>
    </row>
    <row r="54" spans="2:22" ht="15" customHeight="1">
      <c r="B54" s="362" t="s">
        <v>315</v>
      </c>
      <c r="C54" s="363" t="s">
        <v>300</v>
      </c>
      <c r="D54" s="387">
        <f t="shared" ref="D54:T54" si="108">D51/D21</f>
        <v>6.164787950603666E-2</v>
      </c>
      <c r="E54" s="387">
        <f t="shared" si="108"/>
        <v>5.514976254417691E-2</v>
      </c>
      <c r="F54" s="387">
        <f t="shared" si="108"/>
        <v>4.5842796453519748E-2</v>
      </c>
      <c r="G54" s="387">
        <f t="shared" si="108"/>
        <v>4.3619589076385523E-2</v>
      </c>
      <c r="H54" s="387">
        <f t="shared" si="108"/>
        <v>4.7303329674350532E-2</v>
      </c>
      <c r="I54" s="387">
        <f t="shared" si="108"/>
        <v>2.8112399246419867E-2</v>
      </c>
      <c r="J54" s="387">
        <f t="shared" si="108"/>
        <v>5.7537562794080878E-2</v>
      </c>
      <c r="K54" s="387">
        <f t="shared" si="108"/>
        <v>4.7238983376295882E-2</v>
      </c>
      <c r="L54" s="387">
        <f t="shared" si="108"/>
        <v>3.376626001199081E-2</v>
      </c>
      <c r="M54" s="387">
        <f t="shared" si="108"/>
        <v>2.5750446408657552E-2</v>
      </c>
      <c r="N54" s="388">
        <f t="shared" si="108"/>
        <v>8.3262146784211344E-2</v>
      </c>
      <c r="O54" s="388">
        <f t="shared" si="108"/>
        <v>5.5081170592828882E-2</v>
      </c>
      <c r="P54" s="388">
        <f t="shared" si="108"/>
        <v>7.6024402072730674E-2</v>
      </c>
      <c r="Q54" s="388">
        <f t="shared" si="108"/>
        <v>9.0815899473684653E-2</v>
      </c>
      <c r="R54" s="388">
        <f t="shared" si="108"/>
        <v>0.10935425919224434</v>
      </c>
      <c r="S54" s="388">
        <f t="shared" si="108"/>
        <v>0.1339526578789525</v>
      </c>
      <c r="T54" s="388">
        <f t="shared" si="108"/>
        <v>0.1651018545421101</v>
      </c>
      <c r="U54" s="326"/>
    </row>
    <row r="55" spans="2:22" s="408" customFormat="1" ht="6.75" customHeight="1">
      <c r="B55" s="367"/>
      <c r="C55" s="368"/>
      <c r="D55" s="369"/>
      <c r="E55" s="369"/>
      <c r="F55" s="369"/>
      <c r="G55" s="369"/>
      <c r="H55" s="369"/>
      <c r="I55" s="369"/>
      <c r="J55" s="369"/>
      <c r="K55" s="369"/>
      <c r="L55" s="369"/>
      <c r="M55" s="369"/>
      <c r="N55" s="370"/>
      <c r="O55" s="370"/>
      <c r="P55" s="370"/>
      <c r="Q55" s="370"/>
      <c r="R55" s="370"/>
      <c r="S55" s="370"/>
      <c r="T55" s="370"/>
      <c r="U55" s="371"/>
      <c r="V55" s="372"/>
    </row>
    <row r="56" spans="2:22" ht="15" customHeight="1">
      <c r="B56" s="357" t="s">
        <v>316</v>
      </c>
      <c r="C56" s="358" t="s">
        <v>310</v>
      </c>
      <c r="D56" s="359">
        <f>Model!H803</f>
        <v>7760.5999999999995</v>
      </c>
      <c r="E56" s="359">
        <f>Model!I803</f>
        <v>7043.7000000000007</v>
      </c>
      <c r="F56" s="359">
        <f>Model!J803</f>
        <v>10805.7</v>
      </c>
      <c r="G56" s="359">
        <f>Model!K803</f>
        <v>11001</v>
      </c>
      <c r="H56" s="359">
        <f>Model!L803</f>
        <v>10327</v>
      </c>
      <c r="I56" s="359">
        <f>Model!M803</f>
        <v>10948</v>
      </c>
      <c r="J56" s="359">
        <f>Model!N803</f>
        <v>11925</v>
      </c>
      <c r="K56" s="359">
        <f>Model!O803</f>
        <v>11788</v>
      </c>
      <c r="L56" s="359">
        <f>Model!P803</f>
        <v>11816</v>
      </c>
      <c r="M56" s="359">
        <f>Model!Q803</f>
        <v>12343</v>
      </c>
      <c r="N56" s="360">
        <f>Model!R803</f>
        <v>10876.485022421577</v>
      </c>
      <c r="O56" s="360">
        <f>Model!S803</f>
        <v>10295.996058588757</v>
      </c>
      <c r="P56" s="360">
        <f>Model!T803</f>
        <v>9282.3086778262477</v>
      </c>
      <c r="Q56" s="360">
        <f>Model!U803</f>
        <v>7983.733944924672</v>
      </c>
      <c r="R56" s="360">
        <f>Model!V803</f>
        <v>6363.1251438260197</v>
      </c>
      <c r="S56" s="360">
        <f>Model!W803</f>
        <v>4299.976215560273</v>
      </c>
      <c r="T56" s="360">
        <f>Model!X803</f>
        <v>1710.9558663862208</v>
      </c>
      <c r="U56" s="326"/>
      <c r="V56" s="366"/>
    </row>
    <row r="57" spans="2:22" ht="15" customHeight="1">
      <c r="B57" s="362" t="s">
        <v>317</v>
      </c>
      <c r="C57" s="363" t="s">
        <v>310</v>
      </c>
      <c r="D57" s="364" t="s">
        <v>44</v>
      </c>
      <c r="E57" s="447">
        <f t="shared" ref="E57:R57" si="109">E56-D56</f>
        <v>-716.89999999999873</v>
      </c>
      <c r="F57" s="447">
        <f t="shared" si="109"/>
        <v>3762</v>
      </c>
      <c r="G57" s="447">
        <f t="shared" si="109"/>
        <v>195.29999999999927</v>
      </c>
      <c r="H57" s="447">
        <f t="shared" si="109"/>
        <v>-674</v>
      </c>
      <c r="I57" s="447">
        <f t="shared" si="109"/>
        <v>621</v>
      </c>
      <c r="J57" s="447">
        <f t="shared" si="109"/>
        <v>977</v>
      </c>
      <c r="K57" s="447">
        <f t="shared" si="109"/>
        <v>-137</v>
      </c>
      <c r="L57" s="447">
        <f t="shared" si="109"/>
        <v>28</v>
      </c>
      <c r="M57" s="447">
        <f t="shared" si="109"/>
        <v>527</v>
      </c>
      <c r="N57" s="448">
        <f t="shared" si="109"/>
        <v>-1466.514977578423</v>
      </c>
      <c r="O57" s="448">
        <f t="shared" si="109"/>
        <v>-580.48896383282045</v>
      </c>
      <c r="P57" s="448">
        <f t="shared" si="109"/>
        <v>-1013.6873807625088</v>
      </c>
      <c r="Q57" s="448">
        <f t="shared" si="109"/>
        <v>-1298.5747329015758</v>
      </c>
      <c r="R57" s="448">
        <f t="shared" si="109"/>
        <v>-1620.6088010986523</v>
      </c>
      <c r="S57" s="448">
        <f>S56-R56</f>
        <v>-2063.1489282657467</v>
      </c>
      <c r="T57" s="448">
        <f>T56-S56</f>
        <v>-2589.0203491740522</v>
      </c>
      <c r="U57" s="326"/>
    </row>
    <row r="58" spans="2:22" s="408" customFormat="1" ht="6.75" customHeight="1">
      <c r="B58" s="367"/>
      <c r="C58" s="368"/>
      <c r="D58" s="369"/>
      <c r="E58" s="369"/>
      <c r="F58" s="369"/>
      <c r="G58" s="369"/>
      <c r="H58" s="369"/>
      <c r="I58" s="369"/>
      <c r="J58" s="369"/>
      <c r="K58" s="369"/>
      <c r="L58" s="369"/>
      <c r="M58" s="369"/>
      <c r="N58" s="370"/>
      <c r="O58" s="370"/>
      <c r="P58" s="370"/>
      <c r="Q58" s="370"/>
      <c r="R58" s="370"/>
      <c r="S58" s="370"/>
      <c r="T58" s="370"/>
      <c r="U58" s="371"/>
      <c r="V58" s="372"/>
    </row>
    <row r="59" spans="2:22" ht="15" customHeight="1">
      <c r="B59" s="357" t="s">
        <v>318</v>
      </c>
      <c r="C59" s="358" t="s">
        <v>310</v>
      </c>
      <c r="D59" s="359">
        <f>Model!H924</f>
        <v>656.09999999999991</v>
      </c>
      <c r="E59" s="359">
        <f>Model!I924</f>
        <v>538.1</v>
      </c>
      <c r="F59" s="359">
        <f>Model!J924</f>
        <v>663.5</v>
      </c>
      <c r="G59" s="359">
        <f>Model!K924</f>
        <v>1289</v>
      </c>
      <c r="H59" s="359">
        <f>Model!L924</f>
        <v>901</v>
      </c>
      <c r="I59" s="359">
        <f>Model!M924</f>
        <v>959</v>
      </c>
      <c r="J59" s="359">
        <f>Model!N924</f>
        <v>1525</v>
      </c>
      <c r="K59" s="359">
        <f>Model!O924</f>
        <v>1297</v>
      </c>
      <c r="L59" s="359">
        <f>Model!P924</f>
        <v>1490</v>
      </c>
      <c r="M59" s="359">
        <f>Model!Q924</f>
        <v>1029</v>
      </c>
      <c r="N59" s="360">
        <f>Model!R924</f>
        <v>1124.0102038611301</v>
      </c>
      <c r="O59" s="360">
        <f>Model!S924</f>
        <v>1271.8908032040163</v>
      </c>
      <c r="P59" s="360">
        <f>Model!T924</f>
        <v>1543.0132609434233</v>
      </c>
      <c r="Q59" s="360">
        <f>Model!U924</f>
        <v>1755.5639663984382</v>
      </c>
      <c r="R59" s="360">
        <f>Model!V924</f>
        <v>2056.9749355365243</v>
      </c>
      <c r="S59" s="360">
        <f>Model!W924</f>
        <v>2441.6789562034264</v>
      </c>
      <c r="T59" s="360">
        <f>Model!X924</f>
        <v>2963.3550190771089</v>
      </c>
      <c r="U59" s="326"/>
      <c r="V59" s="361">
        <f>(R59/O59)^(1/3)-1</f>
        <v>0.17379716860794958</v>
      </c>
    </row>
    <row r="60" spans="2:22" ht="15" customHeight="1">
      <c r="B60" s="362" t="s">
        <v>275</v>
      </c>
      <c r="C60" s="363" t="s">
        <v>300</v>
      </c>
      <c r="D60" s="364">
        <f t="shared" ref="D60:R60" si="110">D59/D47</f>
        <v>1.4760653553759546</v>
      </c>
      <c r="E60" s="364">
        <f t="shared" si="110"/>
        <v>0.72431011064479212</v>
      </c>
      <c r="F60" s="364">
        <f t="shared" si="110"/>
        <v>0.65795759534147336</v>
      </c>
      <c r="G60" s="364">
        <f t="shared" si="110"/>
        <v>1.0613991162464016</v>
      </c>
      <c r="H60" s="364">
        <f t="shared" si="110"/>
        <v>0.71626352062793142</v>
      </c>
      <c r="I60" s="364">
        <f t="shared" si="110"/>
        <v>1.0095802094430262</v>
      </c>
      <c r="J60" s="364">
        <f t="shared" si="110"/>
        <v>1.1631616246172496</v>
      </c>
      <c r="K60" s="364">
        <f t="shared" si="110"/>
        <v>0.92261232147441208</v>
      </c>
      <c r="L60" s="364">
        <f t="shared" si="110"/>
        <v>1.0147813389203446</v>
      </c>
      <c r="M60" s="364">
        <f t="shared" si="110"/>
        <v>0.67272289530408247</v>
      </c>
      <c r="N60" s="365">
        <f t="shared" si="110"/>
        <v>0.74987558905350604</v>
      </c>
      <c r="O60" s="365">
        <f t="shared" si="110"/>
        <v>0.69626751786199381</v>
      </c>
      <c r="P60" s="365">
        <f t="shared" si="110"/>
        <v>0.68983633319744164</v>
      </c>
      <c r="Q60" s="365">
        <f t="shared" si="110"/>
        <v>0.67710723299440034</v>
      </c>
      <c r="R60" s="365">
        <f t="shared" si="110"/>
        <v>0.66896104042193572</v>
      </c>
      <c r="S60" s="365">
        <f>S59/S47</f>
        <v>0.6608469052263678</v>
      </c>
      <c r="T60" s="365">
        <f>T59/T47</f>
        <v>0.65902004628623179</v>
      </c>
      <c r="U60" s="326"/>
    </row>
    <row r="61" spans="2:22" ht="15" customHeight="1">
      <c r="M61" s="336"/>
      <c r="V61" s="326"/>
    </row>
    <row r="62" spans="2:22" ht="18" customHeight="1">
      <c r="B62" s="337"/>
      <c r="C62" s="338" t="s">
        <v>11</v>
      </c>
      <c r="D62" s="339">
        <v>2015</v>
      </c>
      <c r="E62" s="339">
        <v>2016</v>
      </c>
      <c r="F62" s="339">
        <v>2017</v>
      </c>
      <c r="G62" s="339">
        <v>2018</v>
      </c>
      <c r="H62" s="339">
        <v>2019</v>
      </c>
      <c r="I62" s="339">
        <v>2020</v>
      </c>
      <c r="J62" s="339">
        <v>2021</v>
      </c>
      <c r="K62" s="339">
        <v>2022</v>
      </c>
      <c r="L62" s="339">
        <v>2023</v>
      </c>
      <c r="M62" s="339">
        <v>2024</v>
      </c>
      <c r="N62" s="430">
        <v>2025</v>
      </c>
      <c r="O62" s="430" t="s">
        <v>12</v>
      </c>
      <c r="P62" s="430" t="s">
        <v>13</v>
      </c>
      <c r="Q62" s="430" t="s">
        <v>14</v>
      </c>
      <c r="R62" s="430" t="s">
        <v>15</v>
      </c>
      <c r="S62" s="430" t="s">
        <v>16</v>
      </c>
      <c r="T62" s="430" t="s">
        <v>17</v>
      </c>
      <c r="U62" s="389"/>
      <c r="V62" s="326"/>
    </row>
    <row r="63" spans="2:22" ht="15" customHeight="1">
      <c r="B63" s="327" t="s">
        <v>124</v>
      </c>
      <c r="C63" s="390" t="s">
        <v>310</v>
      </c>
      <c r="D63" s="329">
        <f>Model!H767</f>
        <v>511.7</v>
      </c>
      <c r="E63" s="329">
        <f>Model!I767</f>
        <v>955.9</v>
      </c>
      <c r="F63" s="329">
        <f>Model!J767</f>
        <v>1235.3</v>
      </c>
      <c r="G63" s="329">
        <f>Model!K767</f>
        <v>1144</v>
      </c>
      <c r="H63" s="329">
        <f>Model!L767</f>
        <v>1111</v>
      </c>
      <c r="I63" s="329">
        <f>Model!M767</f>
        <v>750</v>
      </c>
      <c r="J63" s="329">
        <f>Model!N767</f>
        <v>1253</v>
      </c>
      <c r="K63" s="329">
        <f>Model!O767</f>
        <v>1482</v>
      </c>
      <c r="L63" s="329">
        <f>Model!P767</f>
        <v>1718</v>
      </c>
      <c r="M63" s="329">
        <f>Model!Q767</f>
        <v>1445</v>
      </c>
      <c r="N63" s="328">
        <f>Model!R767</f>
        <v>1950.6244778306996</v>
      </c>
      <c r="O63" s="328">
        <f>Model!S767</f>
        <v>1739.0140323659598</v>
      </c>
      <c r="P63" s="328">
        <f>Model!T767</f>
        <v>2124.4933153187194</v>
      </c>
      <c r="Q63" s="328">
        <f>Model!U767</f>
        <v>2467.6021013608724</v>
      </c>
      <c r="R63" s="328">
        <f>Model!V767</f>
        <v>2955.1612987031444</v>
      </c>
      <c r="S63" s="328">
        <f>Model!W767</f>
        <v>3588.0750477503916</v>
      </c>
      <c r="T63" s="328">
        <f>Model!X767</f>
        <v>4366.8153521923768</v>
      </c>
      <c r="U63" s="329"/>
      <c r="V63" s="326"/>
    </row>
    <row r="64" spans="2:22" ht="15" customHeight="1">
      <c r="B64" s="327" t="s">
        <v>200</v>
      </c>
      <c r="C64" s="390" t="s">
        <v>310</v>
      </c>
      <c r="D64" s="329">
        <f>Model!H768</f>
        <v>182</v>
      </c>
      <c r="E64" s="329">
        <f>Model!I768</f>
        <v>172.1</v>
      </c>
      <c r="F64" s="329">
        <f>Model!J768</f>
        <v>181.1</v>
      </c>
      <c r="G64" s="329">
        <f>Model!K768</f>
        <v>180</v>
      </c>
      <c r="H64" s="329">
        <f>Model!L768</f>
        <v>185</v>
      </c>
      <c r="I64" s="329">
        <f>Model!M768</f>
        <v>189</v>
      </c>
      <c r="J64" s="329">
        <f>Model!N768</f>
        <v>201</v>
      </c>
      <c r="K64" s="329">
        <f>Model!O768</f>
        <v>190</v>
      </c>
      <c r="L64" s="329">
        <f>Model!P768</f>
        <v>191</v>
      </c>
      <c r="M64" s="329">
        <f>Model!Q768</f>
        <v>264</v>
      </c>
      <c r="N64" s="328">
        <f>Model!R768</f>
        <v>437.3208293121121</v>
      </c>
      <c r="O64" s="328">
        <f>Model!S768</f>
        <v>359.02811267008252</v>
      </c>
      <c r="P64" s="328">
        <f>Model!T768</f>
        <v>448.57379004816391</v>
      </c>
      <c r="Q64" s="328">
        <f>Model!U768</f>
        <v>525.26175414480178</v>
      </c>
      <c r="R64" s="328">
        <f>Model!V768</f>
        <v>609.99350462107316</v>
      </c>
      <c r="S64" s="328">
        <f>Model!W768</f>
        <v>717.71972596779256</v>
      </c>
      <c r="T64" s="328">
        <f>Model!X768</f>
        <v>856.9605844824498</v>
      </c>
      <c r="U64" s="329"/>
      <c r="V64" s="326"/>
    </row>
    <row r="65" spans="2:22" ht="15" customHeight="1">
      <c r="B65" s="327" t="s">
        <v>226</v>
      </c>
      <c r="C65" s="390" t="s">
        <v>310</v>
      </c>
      <c r="D65" s="329">
        <f>Model!H769</f>
        <v>453.59999999999997</v>
      </c>
      <c r="E65" s="329">
        <f>Model!I769</f>
        <v>7.0999999999999988</v>
      </c>
      <c r="F65" s="329">
        <f>Model!J769</f>
        <v>639.4</v>
      </c>
      <c r="G65" s="329">
        <f>Model!K769</f>
        <v>-243</v>
      </c>
      <c r="H65" s="329">
        <f>Model!L769</f>
        <v>36</v>
      </c>
      <c r="I65" s="329">
        <f>Model!M769</f>
        <v>51</v>
      </c>
      <c r="J65" s="329">
        <f>Model!N769</f>
        <v>144</v>
      </c>
      <c r="K65" s="329">
        <f>Model!O769</f>
        <v>-330</v>
      </c>
      <c r="L65" s="329">
        <f>Model!P769</f>
        <v>-369</v>
      </c>
      <c r="M65" s="329">
        <f>Model!Q769</f>
        <v>-329</v>
      </c>
      <c r="N65" s="328">
        <f>Model!R769</f>
        <v>305.06006294233816</v>
      </c>
      <c r="O65" s="328">
        <f>Model!S769</f>
        <v>-105.03076891908785</v>
      </c>
      <c r="P65" s="328">
        <f>Model!T769</f>
        <v>73.408780645099085</v>
      </c>
      <c r="Q65" s="328">
        <f>Model!U769</f>
        <v>16.848997643851789</v>
      </c>
      <c r="R65" s="328">
        <f>Model!V769</f>
        <v>12.862720475424567</v>
      </c>
      <c r="S65" s="328">
        <f>Model!W769</f>
        <v>35.315568741654488</v>
      </c>
      <c r="T65" s="328">
        <f>Model!X769</f>
        <v>96.606011596444034</v>
      </c>
      <c r="U65" s="329"/>
      <c r="V65" s="326"/>
    </row>
    <row r="66" spans="2:22" ht="15" customHeight="1">
      <c r="B66" s="327" t="s">
        <v>227</v>
      </c>
      <c r="C66" s="390" t="s">
        <v>310</v>
      </c>
      <c r="D66" s="329">
        <f>Model!H770</f>
        <v>57.5</v>
      </c>
      <c r="E66" s="329">
        <f>Model!I770</f>
        <v>133.9</v>
      </c>
      <c r="F66" s="329">
        <f>Model!J770</f>
        <v>-673.8</v>
      </c>
      <c r="G66" s="329">
        <f>Model!K770</f>
        <v>84</v>
      </c>
      <c r="H66" s="329">
        <f>Model!L770</f>
        <v>144</v>
      </c>
      <c r="I66" s="329">
        <f>Model!M770</f>
        <v>-69</v>
      </c>
      <c r="J66" s="329">
        <f>Model!N770</f>
        <v>128</v>
      </c>
      <c r="K66" s="329">
        <f>Model!O770</f>
        <v>148</v>
      </c>
      <c r="L66" s="329">
        <f>Model!P770</f>
        <v>-217</v>
      </c>
      <c r="M66" s="329">
        <f>Model!Q770</f>
        <v>123</v>
      </c>
      <c r="N66" s="328">
        <f>Model!R770</f>
        <v>257.48796492208464</v>
      </c>
      <c r="O66" s="328">
        <f>Model!S770</f>
        <v>229.49035580211165</v>
      </c>
      <c r="P66" s="328">
        <f>Model!T770</f>
        <v>278.37655298216839</v>
      </c>
      <c r="Q66" s="328">
        <f>Model!U770</f>
        <v>316.47347330708408</v>
      </c>
      <c r="R66" s="328">
        <f>Model!V770</f>
        <v>363.8860196917741</v>
      </c>
      <c r="S66" s="328">
        <f>Model!W770</f>
        <v>423.91000702382507</v>
      </c>
      <c r="T66" s="328">
        <f>Model!X770</f>
        <v>501.13906646159421</v>
      </c>
      <c r="U66" s="329"/>
      <c r="V66" s="326"/>
    </row>
    <row r="67" spans="2:22" ht="15" customHeight="1">
      <c r="B67" s="427" t="s">
        <v>198</v>
      </c>
      <c r="C67" s="358" t="s">
        <v>310</v>
      </c>
      <c r="D67" s="428">
        <f>SUM(D63:D66)</f>
        <v>1204.8</v>
      </c>
      <c r="E67" s="428">
        <f t="shared" ref="E67:T67" si="111">SUM(E63:E66)</f>
        <v>1269</v>
      </c>
      <c r="F67" s="428">
        <f t="shared" si="111"/>
        <v>1381.9999999999998</v>
      </c>
      <c r="G67" s="428">
        <f t="shared" si="111"/>
        <v>1165</v>
      </c>
      <c r="H67" s="428">
        <f t="shared" si="111"/>
        <v>1476</v>
      </c>
      <c r="I67" s="428">
        <f t="shared" si="111"/>
        <v>921</v>
      </c>
      <c r="J67" s="428">
        <f t="shared" si="111"/>
        <v>1726</v>
      </c>
      <c r="K67" s="428">
        <f t="shared" si="111"/>
        <v>1490</v>
      </c>
      <c r="L67" s="428">
        <f t="shared" si="111"/>
        <v>1323</v>
      </c>
      <c r="M67" s="428">
        <f t="shared" si="111"/>
        <v>1503</v>
      </c>
      <c r="N67" s="391">
        <f t="shared" si="111"/>
        <v>2950.4933350072342</v>
      </c>
      <c r="O67" s="391">
        <f t="shared" si="111"/>
        <v>2222.5017319190661</v>
      </c>
      <c r="P67" s="391">
        <f t="shared" si="111"/>
        <v>2924.8524389941508</v>
      </c>
      <c r="Q67" s="391">
        <f t="shared" si="111"/>
        <v>3326.18632645661</v>
      </c>
      <c r="R67" s="391">
        <f t="shared" si="111"/>
        <v>3941.9035434914158</v>
      </c>
      <c r="S67" s="391">
        <f t="shared" si="111"/>
        <v>4765.0203494836642</v>
      </c>
      <c r="T67" s="391">
        <f t="shared" si="111"/>
        <v>5821.5210147328653</v>
      </c>
      <c r="U67" s="392"/>
      <c r="V67" s="326"/>
    </row>
    <row r="68" spans="2:22" ht="15" customHeight="1">
      <c r="B68" s="327" t="s">
        <v>319</v>
      </c>
      <c r="C68" s="386" t="s">
        <v>300</v>
      </c>
      <c r="D68" s="449">
        <f t="shared" ref="D68:R68" si="112">D67/D$24</f>
        <v>0.29731997433492918</v>
      </c>
      <c r="E68" s="449">
        <f t="shared" si="112"/>
        <v>0.30609291330985572</v>
      </c>
      <c r="F68" s="449">
        <f t="shared" si="112"/>
        <v>0.30200388977513598</v>
      </c>
      <c r="G68" s="449">
        <f t="shared" si="112"/>
        <v>0.21747246593242486</v>
      </c>
      <c r="H68" s="449">
        <f t="shared" si="112"/>
        <v>0.26343030519364624</v>
      </c>
      <c r="I68" s="449">
        <f t="shared" si="112"/>
        <v>0.18538647342995168</v>
      </c>
      <c r="J68" s="449">
        <f t="shared" si="112"/>
        <v>0.30074925945286635</v>
      </c>
      <c r="K68" s="449">
        <f t="shared" si="112"/>
        <v>0.22905457340507301</v>
      </c>
      <c r="L68" s="449">
        <f t="shared" si="112"/>
        <v>0.18840786100825976</v>
      </c>
      <c r="M68" s="449">
        <f t="shared" si="112"/>
        <v>0.17880085653104924</v>
      </c>
      <c r="N68" s="450">
        <f t="shared" si="112"/>
        <v>0.21657060378923298</v>
      </c>
      <c r="O68" s="450">
        <f t="shared" si="112"/>
        <v>0.20467081036064869</v>
      </c>
      <c r="P68" s="450">
        <f t="shared" si="112"/>
        <v>0.22204937133193345</v>
      </c>
      <c r="Q68" s="450">
        <f t="shared" si="112"/>
        <v>0.22211991608060255</v>
      </c>
      <c r="R68" s="450">
        <f t="shared" si="112"/>
        <v>0.2289385157322274</v>
      </c>
      <c r="S68" s="450">
        <f>S67/S$24</f>
        <v>0.23755781994067199</v>
      </c>
      <c r="T68" s="450">
        <f>T67/T$24</f>
        <v>0.2455028002872548</v>
      </c>
      <c r="U68" s="394"/>
      <c r="V68" s="326"/>
    </row>
    <row r="69" spans="2:22" ht="15" customHeight="1">
      <c r="B69" s="327" t="s">
        <v>320</v>
      </c>
      <c r="C69" s="386" t="s">
        <v>300</v>
      </c>
      <c r="D69" s="449">
        <f>D67/D$43</f>
        <v>0.80432605647907074</v>
      </c>
      <c r="E69" s="449">
        <f t="shared" ref="E69:S69" si="113">E67/E$43</f>
        <v>0.69336684515353508</v>
      </c>
      <c r="F69" s="449">
        <f t="shared" si="113"/>
        <v>0.6618456970451605</v>
      </c>
      <c r="G69" s="449">
        <f t="shared" si="113"/>
        <v>0.55158373183087928</v>
      </c>
      <c r="H69" s="449">
        <f t="shared" si="113"/>
        <v>0.67305061559507529</v>
      </c>
      <c r="I69" s="449">
        <f t="shared" si="113"/>
        <v>0.52210884353741494</v>
      </c>
      <c r="J69" s="449">
        <f t="shared" si="113"/>
        <v>0.81032863849765258</v>
      </c>
      <c r="K69" s="449">
        <f t="shared" si="113"/>
        <v>0.67850637522768675</v>
      </c>
      <c r="L69" s="449">
        <f t="shared" si="113"/>
        <v>0.56976744186046513</v>
      </c>
      <c r="M69" s="449">
        <f t="shared" si="113"/>
        <v>0.57963748553798689</v>
      </c>
      <c r="N69" s="450">
        <f t="shared" si="113"/>
        <v>1.0665865656064117</v>
      </c>
      <c r="O69" s="450">
        <f t="shared" si="113"/>
        <v>0.77688156079767023</v>
      </c>
      <c r="P69" s="450">
        <f t="shared" si="113"/>
        <v>0.88852363063996787</v>
      </c>
      <c r="Q69" s="450">
        <f t="shared" si="113"/>
        <v>0.90986281193457397</v>
      </c>
      <c r="R69" s="450">
        <f t="shared" si="113"/>
        <v>0.93196554850574709</v>
      </c>
      <c r="S69" s="450">
        <f t="shared" si="113"/>
        <v>0.95220288930898245</v>
      </c>
      <c r="T69" s="450">
        <f t="shared" ref="T69" si="114">T67/T$43</f>
        <v>0.96367854648654749</v>
      </c>
      <c r="U69" s="394"/>
      <c r="V69" s="326"/>
    </row>
    <row r="70" spans="2:22" ht="15" customHeight="1">
      <c r="B70" s="327"/>
      <c r="C70" s="386"/>
      <c r="D70" s="394"/>
      <c r="E70" s="394"/>
      <c r="F70" s="394"/>
      <c r="G70" s="394"/>
      <c r="H70" s="394"/>
      <c r="I70" s="394"/>
      <c r="J70" s="394"/>
      <c r="K70" s="394"/>
      <c r="L70" s="394"/>
      <c r="M70" s="394"/>
      <c r="N70" s="393"/>
      <c r="O70" s="393"/>
      <c r="P70" s="393"/>
      <c r="Q70" s="393"/>
      <c r="R70" s="393"/>
      <c r="S70" s="393"/>
      <c r="T70" s="393"/>
      <c r="U70" s="394"/>
      <c r="V70" s="326"/>
    </row>
    <row r="71" spans="2:22" ht="15" customHeight="1">
      <c r="B71" s="340" t="s">
        <v>211</v>
      </c>
      <c r="C71" s="378" t="s">
        <v>310</v>
      </c>
      <c r="D71" s="395">
        <f>Model!H777</f>
        <v>-115.3</v>
      </c>
      <c r="E71" s="395">
        <f>Model!I777</f>
        <v>-33.700000000000003</v>
      </c>
      <c r="F71" s="395">
        <f>Model!J777</f>
        <v>-36.700000000000003</v>
      </c>
      <c r="G71" s="395">
        <f>Model!K777</f>
        <v>-86</v>
      </c>
      <c r="H71" s="395">
        <f>Model!L777</f>
        <v>-62</v>
      </c>
      <c r="I71" s="395">
        <f>Model!M777</f>
        <v>-117</v>
      </c>
      <c r="J71" s="395">
        <f>Model!N777</f>
        <v>-106</v>
      </c>
      <c r="K71" s="395">
        <f>Model!O777</f>
        <v>-100</v>
      </c>
      <c r="L71" s="395">
        <f>Model!P777</f>
        <v>-120</v>
      </c>
      <c r="M71" s="395">
        <f>Model!Q777</f>
        <v>-741</v>
      </c>
      <c r="N71" s="396">
        <f>Model!R777</f>
        <v>-359.9681535676811</v>
      </c>
      <c r="O71" s="396">
        <f>Model!S777</f>
        <v>-370.12196488223066</v>
      </c>
      <c r="P71" s="396">
        <f>Model!T777</f>
        <v>-368.15179728821823</v>
      </c>
      <c r="Q71" s="396">
        <f>Model!U777</f>
        <v>-272.04762715659541</v>
      </c>
      <c r="R71" s="396">
        <f>Model!V777</f>
        <v>-264.31980685623864</v>
      </c>
      <c r="S71" s="396">
        <f>Model!W777</f>
        <v>-260.19246501449226</v>
      </c>
      <c r="T71" s="396">
        <f>Model!X777</f>
        <v>-269.14564648170312</v>
      </c>
      <c r="U71" s="395"/>
      <c r="V71" s="326"/>
    </row>
    <row r="72" spans="2:22" ht="15" customHeight="1">
      <c r="B72" s="327" t="s">
        <v>319</v>
      </c>
      <c r="C72" s="386" t="s">
        <v>300</v>
      </c>
      <c r="D72" s="394">
        <f t="shared" ref="D72" si="115">D71/D$24</f>
        <v>-2.8453679482750113E-2</v>
      </c>
      <c r="E72" s="394">
        <f t="shared" ref="E72" si="116">E71/E$24</f>
        <v>-8.1287085725312361E-3</v>
      </c>
      <c r="F72" s="394">
        <f t="shared" ref="F72" si="117">F71/F$24</f>
        <v>-8.0199296344048432E-3</v>
      </c>
      <c r="G72" s="394">
        <f t="shared" ref="G72" si="118">G71/G$24</f>
        <v>-1.6053761433638229E-2</v>
      </c>
      <c r="H72" s="394">
        <f t="shared" ref="H72" si="119">H71/H$24</f>
        <v>-1.1065500624665358E-2</v>
      </c>
      <c r="I72" s="394">
        <f t="shared" ref="I72" si="120">I71/I$24</f>
        <v>-2.355072463768116E-2</v>
      </c>
      <c r="J72" s="394">
        <f t="shared" ref="J72" si="121">J71/J$24</f>
        <v>-1.847011674507754E-2</v>
      </c>
      <c r="K72" s="394">
        <f t="shared" ref="K72" si="122">K71/K$24</f>
        <v>-1.5372790161414296E-2</v>
      </c>
      <c r="L72" s="394">
        <f t="shared" ref="L72" si="123">L71/L$24</f>
        <v>-1.7089148390771861E-2</v>
      </c>
      <c r="M72" s="394">
        <f t="shared" ref="M72" si="124">M71/M$24</f>
        <v>-8.8151320485367599E-2</v>
      </c>
      <c r="N72" s="393">
        <f t="shared" ref="N72" si="125">N71/N$24</f>
        <v>-2.6422198429693077E-2</v>
      </c>
      <c r="O72" s="393">
        <f t="shared" ref="O72" si="126">O71/O$24</f>
        <v>-3.408463597430407E-2</v>
      </c>
      <c r="P72" s="393">
        <f t="shared" ref="P72" si="127">P71/P$24</f>
        <v>-2.7949401498929341E-2</v>
      </c>
      <c r="Q72" s="393">
        <f t="shared" ref="Q72" si="128">Q71/Q$24</f>
        <v>-1.8167110974304072E-2</v>
      </c>
      <c r="R72" s="393">
        <f t="shared" ref="R72" si="129">R71/R$24</f>
        <v>-1.535120877328694E-2</v>
      </c>
      <c r="S72" s="393">
        <f>S71/S$24</f>
        <v>-1.2971771413427466E-2</v>
      </c>
      <c r="T72" s="393">
        <f>T71/T$24</f>
        <v>-1.1350299986749031E-2</v>
      </c>
      <c r="U72" s="394"/>
      <c r="V72" s="326"/>
    </row>
    <row r="73" spans="2:22" ht="15" customHeight="1">
      <c r="C73" s="378"/>
      <c r="D73" s="398"/>
      <c r="E73" s="398"/>
      <c r="F73" s="398"/>
      <c r="G73" s="398"/>
      <c r="H73" s="398"/>
      <c r="I73" s="398"/>
      <c r="J73" s="398"/>
      <c r="K73" s="398"/>
      <c r="L73" s="398"/>
      <c r="M73" s="398"/>
      <c r="N73" s="397"/>
      <c r="O73" s="397"/>
      <c r="P73" s="397"/>
      <c r="Q73" s="397"/>
      <c r="R73" s="397"/>
      <c r="S73" s="397"/>
      <c r="T73" s="397"/>
      <c r="U73" s="398"/>
      <c r="V73" s="326"/>
    </row>
    <row r="74" spans="2:22" ht="15" customHeight="1">
      <c r="B74" s="427" t="s">
        <v>230</v>
      </c>
      <c r="C74" s="358" t="s">
        <v>310</v>
      </c>
      <c r="D74" s="399">
        <f>D67+D71</f>
        <v>1089.5</v>
      </c>
      <c r="E74" s="399">
        <f t="shared" ref="E74:S74" si="130">E67+E71</f>
        <v>1235.3</v>
      </c>
      <c r="F74" s="399">
        <f t="shared" si="130"/>
        <v>1345.2999999999997</v>
      </c>
      <c r="G74" s="399">
        <f t="shared" si="130"/>
        <v>1079</v>
      </c>
      <c r="H74" s="399">
        <f t="shared" si="130"/>
        <v>1414</v>
      </c>
      <c r="I74" s="399">
        <f t="shared" si="130"/>
        <v>804</v>
      </c>
      <c r="J74" s="399">
        <f t="shared" si="130"/>
        <v>1620</v>
      </c>
      <c r="K74" s="399">
        <f t="shared" si="130"/>
        <v>1390</v>
      </c>
      <c r="L74" s="399">
        <f t="shared" si="130"/>
        <v>1203</v>
      </c>
      <c r="M74" s="399">
        <f t="shared" si="130"/>
        <v>762</v>
      </c>
      <c r="N74" s="400">
        <f t="shared" si="130"/>
        <v>2590.5251814395533</v>
      </c>
      <c r="O74" s="400">
        <f t="shared" si="130"/>
        <v>1852.3797670368353</v>
      </c>
      <c r="P74" s="400">
        <f t="shared" si="130"/>
        <v>2556.7006417059324</v>
      </c>
      <c r="Q74" s="400">
        <f t="shared" si="130"/>
        <v>3054.1386993000147</v>
      </c>
      <c r="R74" s="400">
        <f t="shared" si="130"/>
        <v>3677.583736635177</v>
      </c>
      <c r="S74" s="400">
        <f t="shared" si="130"/>
        <v>4504.8278844691722</v>
      </c>
      <c r="T74" s="400">
        <f t="shared" ref="T74" si="131">T67+T71</f>
        <v>5552.3753682511624</v>
      </c>
      <c r="U74" s="395"/>
      <c r="V74" s="326"/>
    </row>
    <row r="75" spans="2:22" s="340" customFormat="1" ht="15" customHeight="1">
      <c r="B75" s="327" t="s">
        <v>319</v>
      </c>
      <c r="C75" s="386" t="s">
        <v>300</v>
      </c>
      <c r="D75" s="449">
        <f t="shared" ref="D75" si="132">D74/D$24</f>
        <v>0.26886629485217906</v>
      </c>
      <c r="E75" s="449">
        <f t="shared" ref="E75" si="133">E74/E$24</f>
        <v>0.29796420473732449</v>
      </c>
      <c r="F75" s="449">
        <f t="shared" ref="F75" si="134">F74/F$24</f>
        <v>0.29398396014073108</v>
      </c>
      <c r="G75" s="449">
        <f t="shared" ref="G75" si="135">G74/G$24</f>
        <v>0.20141870449878663</v>
      </c>
      <c r="H75" s="449">
        <f t="shared" ref="H75" si="136">H74/H$24</f>
        <v>0.25236480456898092</v>
      </c>
      <c r="I75" s="449">
        <f t="shared" ref="I75" si="137">I74/I$24</f>
        <v>0.16183574879227053</v>
      </c>
      <c r="J75" s="449">
        <f t="shared" ref="J75" si="138">J74/J$24</f>
        <v>0.28227914270778881</v>
      </c>
      <c r="K75" s="449">
        <f t="shared" ref="K75" si="139">K74/K$24</f>
        <v>0.21368178324365872</v>
      </c>
      <c r="L75" s="449">
        <f t="shared" ref="L75" si="140">L74/L$24</f>
        <v>0.17131871261748791</v>
      </c>
      <c r="M75" s="449">
        <f t="shared" ref="M75" si="141">M74/M$24</f>
        <v>9.0649536045681656E-2</v>
      </c>
      <c r="N75" s="450">
        <f t="shared" ref="N75" si="142">N74/N$24</f>
        <v>0.19014840535953992</v>
      </c>
      <c r="O75" s="450">
        <f t="shared" ref="O75" si="143">O74/O$24</f>
        <v>0.1705861743863446</v>
      </c>
      <c r="P75" s="450">
        <f t="shared" ref="P75" si="144">P74/P$24</f>
        <v>0.19409996983300409</v>
      </c>
      <c r="Q75" s="450">
        <f t="shared" ref="Q75" si="145">Q74/Q$24</f>
        <v>0.20395280510629848</v>
      </c>
      <c r="R75" s="450">
        <f t="shared" ref="R75" si="146">R74/R$24</f>
        <v>0.21358730695894046</v>
      </c>
      <c r="S75" s="450">
        <f>S74/S$24</f>
        <v>0.22458604852724454</v>
      </c>
      <c r="T75" s="450">
        <f>T74/T$24</f>
        <v>0.23415250030050577</v>
      </c>
      <c r="U75" s="394"/>
      <c r="V75" s="326"/>
    </row>
    <row r="76" spans="2:22" s="340" customFormat="1" ht="15" customHeight="1">
      <c r="B76" s="327" t="s">
        <v>321</v>
      </c>
      <c r="C76" s="386" t="s">
        <v>300</v>
      </c>
      <c r="D76" s="449">
        <f t="shared" ref="D76:M76" si="147">D74/D$47</f>
        <v>2.4511098989210529</v>
      </c>
      <c r="E76" s="449">
        <f t="shared" si="147"/>
        <v>1.6627769553605494</v>
      </c>
      <c r="F76" s="449">
        <f t="shared" si="147"/>
        <v>1.3340623255657633</v>
      </c>
      <c r="G76" s="449">
        <f t="shared" si="147"/>
        <v>0.88847916712945496</v>
      </c>
      <c r="H76" s="449">
        <f t="shared" si="147"/>
        <v>1.1240805973006605</v>
      </c>
      <c r="I76" s="449">
        <f t="shared" si="147"/>
        <v>0.84640509738497716</v>
      </c>
      <c r="J76" s="449">
        <f t="shared" si="147"/>
        <v>1.235620873363898</v>
      </c>
      <c r="K76" s="449">
        <f t="shared" si="147"/>
        <v>0.98876725277519872</v>
      </c>
      <c r="L76" s="449">
        <f t="shared" si="147"/>
        <v>0.81931674545045285</v>
      </c>
      <c r="M76" s="449">
        <f t="shared" si="147"/>
        <v>0.49816797494821269</v>
      </c>
      <c r="N76" s="606">
        <f t="shared" ref="N76:T76" si="148">IFERROR(N74/N$47,"n.m.")</f>
        <v>1.7282508554788243</v>
      </c>
      <c r="O76" s="606">
        <f t="shared" si="148"/>
        <v>1.014042918844531</v>
      </c>
      <c r="P76" s="606">
        <f t="shared" si="148"/>
        <v>1.1430264667198056</v>
      </c>
      <c r="Q76" s="606">
        <f t="shared" si="148"/>
        <v>1.1779573079906827</v>
      </c>
      <c r="R76" s="606">
        <f t="shared" si="148"/>
        <v>1.1960088575685879</v>
      </c>
      <c r="S76" s="606">
        <f t="shared" si="148"/>
        <v>1.2192436513676008</v>
      </c>
      <c r="T76" s="606">
        <f t="shared" si="148"/>
        <v>1.2347918655129593</v>
      </c>
      <c r="U76" s="394"/>
      <c r="V76" s="326"/>
    </row>
    <row r="77" spans="2:22" ht="15" customHeight="1">
      <c r="C77" s="386"/>
      <c r="D77" s="403"/>
      <c r="E77" s="403"/>
      <c r="F77" s="403"/>
      <c r="G77" s="403"/>
      <c r="H77" s="403"/>
      <c r="I77" s="403"/>
      <c r="J77" s="403"/>
      <c r="K77" s="403"/>
      <c r="L77" s="403"/>
      <c r="M77" s="403"/>
      <c r="N77" s="401"/>
      <c r="O77" s="402"/>
      <c r="P77" s="402"/>
      <c r="Q77" s="402"/>
      <c r="R77" s="402"/>
      <c r="S77" s="402"/>
      <c r="T77" s="402"/>
      <c r="U77" s="403"/>
      <c r="V77" s="326"/>
    </row>
    <row r="78" spans="2:22" ht="15" customHeight="1">
      <c r="B78" s="427" t="s">
        <v>233</v>
      </c>
      <c r="C78" s="358" t="s">
        <v>310</v>
      </c>
      <c r="D78" s="399">
        <f>Model!H787</f>
        <v>1448.1804760730142</v>
      </c>
      <c r="E78" s="399">
        <f>Model!I787</f>
        <v>1582.1664682539681</v>
      </c>
      <c r="F78" s="399">
        <f>Model!J787</f>
        <v>1872.0698725011803</v>
      </c>
      <c r="G78" s="399">
        <f>Model!K787</f>
        <v>1521.2589382448537</v>
      </c>
      <c r="H78" s="399">
        <f>Model!L787</f>
        <v>1864.4154124021675</v>
      </c>
      <c r="I78" s="399">
        <f>Model!M787</f>
        <v>1301.5274463007158</v>
      </c>
      <c r="J78" s="399">
        <f>Model!N787</f>
        <v>2061.3034524530585</v>
      </c>
      <c r="K78" s="399">
        <f>Model!O787</f>
        <v>1859.1838111298482</v>
      </c>
      <c r="L78" s="399">
        <f>Model!P787</f>
        <v>1733.218220338983</v>
      </c>
      <c r="M78" s="399">
        <f>Model!Q787</f>
        <v>1271.5897182402373</v>
      </c>
      <c r="N78" s="400">
        <f>Model!R787</f>
        <v>3193.8975488688138</v>
      </c>
      <c r="O78" s="400">
        <f>Model!S787</f>
        <v>2279.0247820184532</v>
      </c>
      <c r="P78" s="400">
        <f>Model!T787</f>
        <v>2890.6871535405385</v>
      </c>
      <c r="Q78" s="400">
        <f>Model!U787</f>
        <v>3288.7317807035379</v>
      </c>
      <c r="R78" s="400">
        <f>Model!V787</f>
        <v>3847.712357454137</v>
      </c>
      <c r="S78" s="400">
        <f>Model!W787</f>
        <v>4616.5243315485213</v>
      </c>
      <c r="T78" s="400">
        <f>Model!X787</f>
        <v>5657.6395446478673</v>
      </c>
      <c r="U78" s="395"/>
      <c r="V78" s="326"/>
    </row>
    <row r="79" spans="2:22" ht="15" customHeight="1">
      <c r="B79" s="327" t="s">
        <v>319</v>
      </c>
      <c r="C79" s="386" t="s">
        <v>300</v>
      </c>
      <c r="D79" s="449">
        <f t="shared" ref="D79" si="149">D78/D$24</f>
        <v>0.35738129314274081</v>
      </c>
      <c r="E79" s="449">
        <f t="shared" ref="E79" si="150">E78/E$24</f>
        <v>0.38163116123642432</v>
      </c>
      <c r="F79" s="449">
        <f t="shared" ref="F79" si="151">F78/F$24</f>
        <v>0.40909723836917466</v>
      </c>
      <c r="G79" s="449">
        <f t="shared" ref="G79" si="152">G78/G$24</f>
        <v>0.28397590782991483</v>
      </c>
      <c r="H79" s="449">
        <f t="shared" ref="H79" si="153">H78/H$24</f>
        <v>0.33275306307374042</v>
      </c>
      <c r="I79" s="449">
        <f t="shared" ref="I79" si="154">I78/I$24</f>
        <v>0.26198217518130351</v>
      </c>
      <c r="J79" s="449">
        <f t="shared" ref="J79" si="155">J78/J$24</f>
        <v>0.35917467371546585</v>
      </c>
      <c r="K79" s="449">
        <f t="shared" ref="K79" si="156">K78/K$24</f>
        <v>0.28580842599997669</v>
      </c>
      <c r="L79" s="449">
        <f t="shared" ref="L79" si="157">L78/L$24</f>
        <v>0.24682686134135332</v>
      </c>
      <c r="M79" s="449">
        <f t="shared" ref="M79" si="158">M78/M$24</f>
        <v>0.15127167716395876</v>
      </c>
      <c r="N79" s="450">
        <f t="shared" ref="N79" si="159">N78/N$24</f>
        <v>0.23443683549204639</v>
      </c>
      <c r="O79" s="450">
        <f t="shared" ref="O79" si="160">O78/O$24</f>
        <v>0.20987603396149057</v>
      </c>
      <c r="P79" s="450">
        <f t="shared" ref="P79" si="161">P78/P$24</f>
        <v>0.21945560623964744</v>
      </c>
      <c r="Q79" s="450">
        <f t="shared" ref="Q79" si="162">Q78/Q$24</f>
        <v>0.21961873312120647</v>
      </c>
      <c r="R79" s="450">
        <f t="shared" ref="R79" si="163">R78/R$24</f>
        <v>0.22346806469543387</v>
      </c>
      <c r="S79" s="450">
        <f>S78/S$24</f>
        <v>0.23015462169528234</v>
      </c>
      <c r="T79" s="450">
        <f>T78/T$24</f>
        <v>0.23859165804122698</v>
      </c>
      <c r="U79" s="394"/>
      <c r="V79" s="326"/>
    </row>
    <row r="80" spans="2:22" ht="15" customHeight="1">
      <c r="B80" s="327" t="s">
        <v>320</v>
      </c>
      <c r="C80" s="386" t="s">
        <v>300</v>
      </c>
      <c r="D80" s="449">
        <f>D78/D$43</f>
        <v>0.96680718076841865</v>
      </c>
      <c r="E80" s="449">
        <f t="shared" ref="E80:S80" si="164">E78/E$43</f>
        <v>0.86447736217570104</v>
      </c>
      <c r="F80" s="449">
        <f t="shared" si="164"/>
        <v>0.89654225013226374</v>
      </c>
      <c r="G80" s="449">
        <f t="shared" si="164"/>
        <v>0.72025895471088197</v>
      </c>
      <c r="H80" s="449">
        <f t="shared" si="164"/>
        <v>0.85016662672237464</v>
      </c>
      <c r="I80" s="449">
        <f t="shared" si="164"/>
        <v>0.73782735051060988</v>
      </c>
      <c r="J80" s="449">
        <f t="shared" si="164"/>
        <v>0.96774809974321996</v>
      </c>
      <c r="K80" s="449">
        <f t="shared" si="164"/>
        <v>0.84662286481322779</v>
      </c>
      <c r="L80" s="449">
        <f t="shared" si="164"/>
        <v>0.74643334209258527</v>
      </c>
      <c r="M80" s="449">
        <f t="shared" si="164"/>
        <v>0.49039325809496231</v>
      </c>
      <c r="N80" s="450">
        <f t="shared" si="164"/>
        <v>1.1545758050452848</v>
      </c>
      <c r="O80" s="450">
        <f t="shared" si="164"/>
        <v>0.79663934759783628</v>
      </c>
      <c r="P80" s="450">
        <f t="shared" si="164"/>
        <v>0.87814476055805213</v>
      </c>
      <c r="Q80" s="450">
        <f t="shared" si="164"/>
        <v>0.89961729500500187</v>
      </c>
      <c r="R80" s="450">
        <f t="shared" si="164"/>
        <v>0.90969637337471676</v>
      </c>
      <c r="S80" s="450">
        <f t="shared" si="164"/>
        <v>0.92252865353283442</v>
      </c>
      <c r="T80" s="450">
        <f t="shared" ref="T80" si="165">T78/T$43</f>
        <v>0.93655005953478543</v>
      </c>
      <c r="U80" s="394"/>
      <c r="V80" s="326"/>
    </row>
    <row r="81" spans="2:23" ht="15" customHeight="1">
      <c r="M81" s="336"/>
      <c r="N81" s="404"/>
      <c r="O81" s="404"/>
      <c r="P81" s="405"/>
      <c r="Q81" s="405"/>
      <c r="R81" s="405"/>
      <c r="S81" s="405"/>
      <c r="T81" s="405"/>
      <c r="V81" s="326"/>
    </row>
    <row r="82" spans="2:23" ht="15" customHeight="1">
      <c r="B82" s="427" t="s">
        <v>236</v>
      </c>
      <c r="C82" s="358" t="s">
        <v>310</v>
      </c>
      <c r="D82" s="399">
        <f>Model!H793</f>
        <v>-369.60000000000014</v>
      </c>
      <c r="E82" s="399">
        <f>Model!I793</f>
        <v>1165.5999999999999</v>
      </c>
      <c r="F82" s="399">
        <f>Model!J793</f>
        <v>1385.1999999999998</v>
      </c>
      <c r="G82" s="399">
        <f>Model!K793</f>
        <v>1077</v>
      </c>
      <c r="H82" s="399">
        <f>Model!L793</f>
        <v>1348</v>
      </c>
      <c r="I82" s="399">
        <f>Model!M793</f>
        <v>1288</v>
      </c>
      <c r="J82" s="399">
        <f>Model!N793</f>
        <v>2047</v>
      </c>
      <c r="K82" s="399">
        <f>Model!O793</f>
        <v>1298</v>
      </c>
      <c r="L82" s="399">
        <f>Model!P793</f>
        <v>1122</v>
      </c>
      <c r="M82" s="399">
        <f>Model!Q793</f>
        <v>981</v>
      </c>
      <c r="N82" s="400">
        <f>Model!R793</f>
        <v>2328.5251814395533</v>
      </c>
      <c r="O82" s="400">
        <f>Model!S793</f>
        <v>-1138.8802329631667</v>
      </c>
      <c r="P82" s="400">
        <f>Model!T793</f>
        <v>-661.25935829406581</v>
      </c>
      <c r="Q82" s="400">
        <f>Model!U793</f>
        <v>-314.96630069998537</v>
      </c>
      <c r="R82" s="400">
        <f>Model!V793</f>
        <v>1430.8149866351769</v>
      </c>
      <c r="S82" s="400">
        <f>Model!W793</f>
        <v>2841.6260719691727</v>
      </c>
      <c r="T82" s="400">
        <f>Model!X793</f>
        <v>5556.0406463761628</v>
      </c>
      <c r="U82" s="395"/>
      <c r="V82" s="326"/>
    </row>
    <row r="83" spans="2:23" ht="15" customHeight="1">
      <c r="M83" s="336"/>
      <c r="N83" s="326"/>
    </row>
    <row r="84" spans="2:23" ht="15" customHeight="1">
      <c r="K84" s="417"/>
      <c r="L84" s="419"/>
      <c r="N84" s="390"/>
      <c r="O84" s="420"/>
    </row>
    <row r="85" spans="2:23" ht="18" customHeight="1">
      <c r="B85" s="330"/>
      <c r="C85" s="496">
        <v>46387</v>
      </c>
      <c r="D85" s="496">
        <f>EOMONTH(C85,12)</f>
        <v>46752</v>
      </c>
      <c r="E85" s="496">
        <f>EOMONTH(D85,12)</f>
        <v>47118</v>
      </c>
      <c r="F85" s="496">
        <f>EOMONTH(E85,12)</f>
        <v>47483</v>
      </c>
      <c r="G85" s="496">
        <f>EOMONTH(F85,12)</f>
        <v>47848</v>
      </c>
      <c r="H85" s="497">
        <f>EOMONTH(G85,12)</f>
        <v>48213</v>
      </c>
      <c r="K85" s="425"/>
      <c r="L85" s="426"/>
      <c r="N85" s="454"/>
      <c r="O85" s="454"/>
      <c r="P85" s="454"/>
      <c r="Q85" s="454"/>
      <c r="R85" s="454"/>
      <c r="S85" s="454"/>
      <c r="T85" s="454"/>
      <c r="U85" s="454"/>
      <c r="V85" s="454"/>
      <c r="W85" s="454"/>
    </row>
    <row r="86" spans="2:23" ht="15" customHeight="1">
      <c r="B86" s="421" t="s">
        <v>322</v>
      </c>
      <c r="C86" s="422">
        <f t="shared" ref="C86:H86" ca="1" si="166">(C85-TODAY())/365</f>
        <v>0.77534246575342469</v>
      </c>
      <c r="D86" s="422">
        <f t="shared" ca="1" si="166"/>
        <v>1.7753424657534247</v>
      </c>
      <c r="E86" s="422">
        <f t="shared" ca="1" si="166"/>
        <v>2.7780821917808218</v>
      </c>
      <c r="F86" s="422">
        <f t="shared" ca="1" si="166"/>
        <v>3.7780821917808218</v>
      </c>
      <c r="G86" s="422">
        <f t="shared" ca="1" si="166"/>
        <v>4.7780821917808218</v>
      </c>
      <c r="H86" s="423">
        <f t="shared" ca="1" si="166"/>
        <v>5.7780821917808218</v>
      </c>
      <c r="K86" s="424"/>
      <c r="L86" s="416"/>
      <c r="N86" s="326"/>
      <c r="O86" s="326"/>
      <c r="P86" s="326"/>
    </row>
    <row r="87" spans="2:23" ht="15" customHeight="1">
      <c r="C87" s="424"/>
      <c r="D87" s="424"/>
      <c r="E87" s="424"/>
      <c r="F87" s="424"/>
      <c r="G87" s="424"/>
      <c r="H87" s="424"/>
      <c r="J87" s="424"/>
      <c r="K87" s="424"/>
      <c r="L87" s="416"/>
      <c r="N87" s="326"/>
      <c r="O87" s="326"/>
      <c r="P87" s="326"/>
    </row>
    <row r="88" spans="2:23" ht="15" customHeight="1">
      <c r="B88" s="515" t="s">
        <v>323</v>
      </c>
      <c r="C88" s="516">
        <v>0.03</v>
      </c>
      <c r="D88" s="424"/>
      <c r="E88" s="424"/>
      <c r="F88" s="424"/>
      <c r="G88" s="424"/>
      <c r="H88" s="424"/>
      <c r="J88" s="424"/>
      <c r="K88" s="424"/>
      <c r="L88" s="416"/>
      <c r="N88" s="326"/>
      <c r="O88" s="326"/>
      <c r="P88" s="326"/>
    </row>
    <row r="89" spans="2:23" ht="15" customHeight="1" thickBot="1">
      <c r="C89" s="424"/>
      <c r="D89" s="424"/>
      <c r="E89" s="424"/>
      <c r="F89" s="424"/>
      <c r="G89" s="424"/>
      <c r="H89" s="424"/>
      <c r="J89" s="424"/>
      <c r="K89" s="424"/>
      <c r="L89" s="416"/>
      <c r="N89" s="326"/>
      <c r="O89" s="326"/>
      <c r="P89" s="326"/>
    </row>
    <row r="90" spans="2:23" s="407" customFormat="1" ht="18" customHeight="1" thickBot="1">
      <c r="B90" s="451" t="s">
        <v>236</v>
      </c>
      <c r="C90" s="458">
        <f t="shared" ref="C90:H90" si="167">YEAR(C85)</f>
        <v>2026</v>
      </c>
      <c r="D90" s="458">
        <f t="shared" si="167"/>
        <v>2027</v>
      </c>
      <c r="E90" s="458">
        <f t="shared" si="167"/>
        <v>2028</v>
      </c>
      <c r="F90" s="458">
        <f t="shared" si="167"/>
        <v>2029</v>
      </c>
      <c r="G90" s="458">
        <f t="shared" si="167"/>
        <v>2030</v>
      </c>
      <c r="H90" s="458">
        <f t="shared" si="167"/>
        <v>2031</v>
      </c>
      <c r="I90" s="456" t="s">
        <v>324</v>
      </c>
      <c r="J90" s="331"/>
      <c r="K90" s="331" t="s">
        <v>325</v>
      </c>
      <c r="M90" s="187"/>
      <c r="P90" s="187"/>
    </row>
    <row r="91" spans="2:23" s="407" customFormat="1" ht="18" customHeight="1">
      <c r="B91" s="455">
        <f>-C6</f>
        <v>-33630</v>
      </c>
      <c r="C91" s="459">
        <f t="shared" ref="C91:H91" si="168">N82</f>
        <v>2328.5251814395533</v>
      </c>
      <c r="D91" s="481">
        <f t="shared" si="168"/>
        <v>-1138.8802329631667</v>
      </c>
      <c r="E91" s="481">
        <f t="shared" si="168"/>
        <v>-661.25935829406581</v>
      </c>
      <c r="F91" s="481">
        <f t="shared" si="168"/>
        <v>-314.96630069998537</v>
      </c>
      <c r="G91" s="481">
        <f t="shared" si="168"/>
        <v>1430.8149866351769</v>
      </c>
      <c r="H91" s="481">
        <f t="shared" si="168"/>
        <v>2841.6260719691727</v>
      </c>
      <c r="I91" s="457">
        <f>H91*(1+C88)</f>
        <v>2926.874854128248</v>
      </c>
      <c r="J91" s="332" t="s">
        <v>326</v>
      </c>
      <c r="K91" s="332" t="s">
        <v>327</v>
      </c>
      <c r="M91" s="336"/>
      <c r="N91" s="336"/>
      <c r="P91" s="187"/>
    </row>
    <row r="92" spans="2:23" ht="15" customHeight="1">
      <c r="B92" s="333" t="s">
        <v>290</v>
      </c>
      <c r="C92" s="460"/>
      <c r="D92" s="461"/>
      <c r="E92" s="462"/>
      <c r="F92" s="462"/>
      <c r="G92" s="462"/>
      <c r="H92" s="462"/>
      <c r="I92" s="514"/>
      <c r="J92" s="463"/>
      <c r="K92" s="464"/>
      <c r="M92" s="517"/>
      <c r="N92" s="518"/>
    </row>
    <row r="93" spans="2:23" ht="15" customHeight="1">
      <c r="B93" s="334">
        <f>B94+0.5%</f>
        <v>9.1500000000000012E-2</v>
      </c>
      <c r="C93" s="465">
        <f t="shared" ref="C93:H97" ca="1" si="169">C$91/((1+$B93)^C$86)</f>
        <v>2175.702538905759</v>
      </c>
      <c r="D93" s="465">
        <f t="shared" ca="1" si="169"/>
        <v>-974.92878842595337</v>
      </c>
      <c r="E93" s="465">
        <f t="shared" ca="1" si="169"/>
        <v>-518.48805587617585</v>
      </c>
      <c r="F93" s="465">
        <f t="shared" ca="1" si="169"/>
        <v>-226.25973520249062</v>
      </c>
      <c r="G93" s="465">
        <f t="shared" ca="1" si="169"/>
        <v>941.67908609850394</v>
      </c>
      <c r="H93" s="465">
        <f t="shared" ca="1" si="169"/>
        <v>1713.4152720950972</v>
      </c>
      <c r="I93" s="466">
        <f ca="1">(I$91/($B93-$C$88))/((1+$B93)^$H$86)</f>
        <v>28696.223256226829</v>
      </c>
      <c r="J93" s="467">
        <f ca="1">SUM(C93:I93)</f>
        <v>31807.34357382157</v>
      </c>
      <c r="K93" s="468">
        <f ca="1">J93/$C$6-1</f>
        <v>-5.4197336490586667E-2</v>
      </c>
      <c r="M93" s="517"/>
      <c r="N93" s="519"/>
    </row>
    <row r="94" spans="2:23" ht="15" customHeight="1">
      <c r="B94" s="334">
        <f>B95+0.5%</f>
        <v>8.6500000000000007E-2</v>
      </c>
      <c r="C94" s="465">
        <f ca="1">C$91/((1+$B94)^C$86)</f>
        <v>2183.4616009832739</v>
      </c>
      <c r="D94" s="465">
        <f t="shared" ca="1" si="169"/>
        <v>-982.90816847961253</v>
      </c>
      <c r="E94" s="465">
        <f t="shared" ca="1" si="169"/>
        <v>-525.14384324764274</v>
      </c>
      <c r="F94" s="465">
        <f t="shared" ca="1" si="169"/>
        <v>-230.2188106167969</v>
      </c>
      <c r="G94" s="465">
        <f t="shared" ca="1" si="169"/>
        <v>962.56588609652988</v>
      </c>
      <c r="H94" s="465">
        <f t="shared" ca="1" si="169"/>
        <v>1759.4793887276319</v>
      </c>
      <c r="I94" s="469">
        <f ca="1">(I$91/($B94-$C$88))/((1+$B94)^$H$86)</f>
        <v>32075.464962645321</v>
      </c>
      <c r="J94" s="470">
        <f ca="1">SUM(C94:I94)</f>
        <v>35242.701016108702</v>
      </c>
      <c r="K94" s="471">
        <f ca="1">J94/$C$6-1</f>
        <v>4.795423776713359E-2</v>
      </c>
      <c r="M94" s="520"/>
      <c r="N94" s="521"/>
    </row>
    <row r="95" spans="2:23" ht="15" customHeight="1">
      <c r="B95" s="609">
        <v>8.1500000000000003E-2</v>
      </c>
      <c r="C95" s="472">
        <f t="shared" ca="1" si="169"/>
        <v>2191.2843147376552</v>
      </c>
      <c r="D95" s="472">
        <f t="shared" ca="1" si="169"/>
        <v>-990.99011515048164</v>
      </c>
      <c r="E95" s="472">
        <f t="shared" ca="1" si="169"/>
        <v>-531.91636438017554</v>
      </c>
      <c r="F95" s="472">
        <f t="shared" ca="1" si="169"/>
        <v>-234.26590502275988</v>
      </c>
      <c r="G95" s="472">
        <f t="shared" ca="1" si="169"/>
        <v>984.01553101743309</v>
      </c>
      <c r="H95" s="472">
        <f t="shared" ca="1" si="169"/>
        <v>1807.0030171533092</v>
      </c>
      <c r="I95" s="473">
        <f ca="1">(I$91/($B95-$C$88))/((1+$B95)^$H$86)</f>
        <v>36140.060343066179</v>
      </c>
      <c r="J95" s="474">
        <f ca="1">SUM(C95:I95)</f>
        <v>39365.190821421158</v>
      </c>
      <c r="K95" s="475">
        <f ca="1">J95/$C$6-1</f>
        <v>0.17053793700330533</v>
      </c>
      <c r="M95" s="522"/>
      <c r="N95" s="523"/>
    </row>
    <row r="96" spans="2:23" ht="15" customHeight="1">
      <c r="B96" s="334">
        <f>B95-0.5%</f>
        <v>7.6499999999999999E-2</v>
      </c>
      <c r="C96" s="465">
        <f ca="1">C$91/((1+$B96)^C$86)</f>
        <v>2199.1715002494898</v>
      </c>
      <c r="D96" s="465">
        <f t="shared" ca="1" si="169"/>
        <v>-999.17643020369599</v>
      </c>
      <c r="E96" s="465">
        <f t="shared" ca="1" si="169"/>
        <v>-538.80822060177809</v>
      </c>
      <c r="F96" s="465">
        <f t="shared" ca="1" si="169"/>
        <v>-238.40339587575968</v>
      </c>
      <c r="G96" s="465">
        <f t="shared" ca="1" si="169"/>
        <v>1006.0458962658022</v>
      </c>
      <c r="H96" s="465">
        <f t="shared" ca="1" si="169"/>
        <v>1856.0394723503714</v>
      </c>
      <c r="I96" s="469">
        <f ca="1">(I$91/($B96-$C$88))/((1+$B96)^$H$86)</f>
        <v>41112.272183244786</v>
      </c>
      <c r="J96" s="470">
        <f ca="1">SUM(C96:I96)</f>
        <v>44397.141005429214</v>
      </c>
      <c r="K96" s="471">
        <f ca="1">J96/$C$6-1</f>
        <v>0.32016476376536462</v>
      </c>
      <c r="M96" s="524"/>
      <c r="N96" s="525"/>
    </row>
    <row r="97" spans="2:16" ht="15" customHeight="1" thickBot="1">
      <c r="B97" s="335">
        <f>B96-0.5%</f>
        <v>7.1499999999999994E-2</v>
      </c>
      <c r="C97" s="476">
        <f t="shared" ca="1" si="169"/>
        <v>2207.1239920392586</v>
      </c>
      <c r="D97" s="476">
        <f t="shared" ca="1" si="169"/>
        <v>-1007.4689556263661</v>
      </c>
      <c r="E97" s="476">
        <f t="shared" ca="1" si="169"/>
        <v>-545.8220836696413</v>
      </c>
      <c r="F97" s="476">
        <f t="shared" ca="1" si="169"/>
        <v>-242.63373631520008</v>
      </c>
      <c r="G97" s="476">
        <f t="shared" ca="1" si="169"/>
        <v>1028.675511769912</v>
      </c>
      <c r="H97" s="476">
        <f t="shared" ca="1" si="169"/>
        <v>1906.6442775996188</v>
      </c>
      <c r="I97" s="477">
        <f ca="1">(I$91/($B97-$C$88))/((1+$B97)^$H$86)</f>
        <v>47321.532672954403</v>
      </c>
      <c r="J97" s="478">
        <f ca="1">SUM(C97:I97)</f>
        <v>50668.051678751988</v>
      </c>
      <c r="K97" s="479">
        <f ca="1">J97/$C$6-1</f>
        <v>0.50663252092631539</v>
      </c>
    </row>
    <row r="98" spans="2:16" ht="15" customHeight="1">
      <c r="B98" s="429"/>
      <c r="C98" s="480"/>
      <c r="D98" s="480"/>
      <c r="E98" s="480"/>
      <c r="F98" s="480"/>
      <c r="G98" s="480"/>
      <c r="H98" s="480"/>
      <c r="I98" s="480"/>
      <c r="J98" s="480"/>
      <c r="K98" s="480"/>
      <c r="L98" s="406"/>
    </row>
    <row r="99" spans="2:16" s="407" customFormat="1" ht="18" customHeight="1">
      <c r="L99" s="452"/>
      <c r="M99" s="187"/>
      <c r="N99" s="513"/>
      <c r="P99" s="187"/>
    </row>
    <row r="100" spans="2:16" s="407" customFormat="1" ht="18" customHeight="1">
      <c r="L100" s="452"/>
      <c r="M100" s="187"/>
      <c r="N100" s="452"/>
      <c r="P100" s="187"/>
    </row>
    <row r="101" spans="2:16" ht="15" customHeight="1">
      <c r="C101" s="336"/>
      <c r="L101" s="326"/>
      <c r="N101" s="406"/>
      <c r="O101" s="406"/>
      <c r="P101" s="406"/>
    </row>
    <row r="102" spans="2:16" ht="15" customHeight="1">
      <c r="C102" s="336"/>
      <c r="L102" s="326"/>
      <c r="N102" s="406"/>
      <c r="O102" s="406"/>
      <c r="P102" s="406"/>
    </row>
    <row r="103" spans="2:16" ht="15" customHeight="1">
      <c r="C103" s="336"/>
      <c r="L103" s="326"/>
      <c r="N103" s="406"/>
      <c r="O103" s="406"/>
      <c r="P103" s="406"/>
    </row>
    <row r="104" spans="2:16" ht="15" customHeight="1">
      <c r="C104" s="336"/>
      <c r="L104" s="326"/>
      <c r="N104" s="406"/>
      <c r="O104" s="406"/>
      <c r="P104" s="406"/>
    </row>
    <row r="105" spans="2:16" ht="15" customHeight="1">
      <c r="C105" s="336"/>
      <c r="L105" s="326"/>
      <c r="N105" s="406"/>
      <c r="O105" s="406"/>
      <c r="P105" s="406"/>
    </row>
    <row r="106" spans="2:16" ht="15" customHeight="1">
      <c r="C106" s="336"/>
      <c r="L106" s="326"/>
      <c r="N106" s="406"/>
      <c r="O106" s="406"/>
      <c r="P106" s="406"/>
    </row>
    <row r="107" spans="2:16" ht="15" customHeight="1">
      <c r="B107" s="429"/>
      <c r="C107" s="429"/>
      <c r="D107" s="429"/>
      <c r="E107" s="429"/>
      <c r="F107" s="429"/>
      <c r="G107" s="429"/>
      <c r="H107" s="429"/>
      <c r="I107" s="429"/>
      <c r="J107" s="429"/>
      <c r="K107" s="429"/>
      <c r="L107" s="406"/>
      <c r="N107" s="406"/>
      <c r="O107" s="406"/>
      <c r="P107" s="406"/>
    </row>
  </sheetData>
  <mergeCells count="2">
    <mergeCell ref="B2:B3"/>
    <mergeCell ref="E2:G3"/>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1285E-87FC-47F6-B91D-E9961340583A}">
  <sheetPr>
    <tabColor theme="6"/>
  </sheetPr>
  <dimension ref="A1:D43"/>
  <sheetViews>
    <sheetView showGridLines="0" topLeftCell="A18" zoomScale="85" zoomScaleNormal="85" workbookViewId="0">
      <selection activeCell="C35" sqref="C35"/>
    </sheetView>
  </sheetViews>
  <sheetFormatPr defaultColWidth="0" defaultRowHeight="14.25" customHeight="1" zeroHeight="1"/>
  <cols>
    <col min="1" max="1" width="2.7109375" style="550" customWidth="1"/>
    <col min="2" max="2" width="22.85546875" style="550" customWidth="1"/>
    <col min="3" max="3" width="119.7109375" style="550" customWidth="1"/>
    <col min="4" max="4" width="26.7109375" style="550" hidden="1" customWidth="1"/>
    <col min="5" max="16384" width="12.5703125" style="550" hidden="1"/>
  </cols>
  <sheetData>
    <row r="1" spans="2:3" ht="13.9"/>
    <row r="2" spans="2:3" s="572" customFormat="1" ht="20.100000000000001" customHeight="1">
      <c r="B2" s="573" t="s">
        <v>328</v>
      </c>
      <c r="C2" s="573" t="s">
        <v>329</v>
      </c>
    </row>
    <row r="3" spans="2:3" s="572" customFormat="1" ht="13.9">
      <c r="B3" s="572" t="s">
        <v>330</v>
      </c>
      <c r="C3" s="574" t="s">
        <v>331</v>
      </c>
    </row>
    <row r="4" spans="2:3" s="572" customFormat="1" ht="13.9">
      <c r="B4" s="572" t="s">
        <v>212</v>
      </c>
      <c r="C4" s="572" t="s">
        <v>332</v>
      </c>
    </row>
    <row r="5" spans="2:3" s="572" customFormat="1" ht="13.9">
      <c r="B5" s="575" t="s">
        <v>215</v>
      </c>
      <c r="C5" s="575" t="s">
        <v>333</v>
      </c>
    </row>
    <row r="6" spans="2:3" s="572" customFormat="1" ht="13.9">
      <c r="B6" s="575" t="s">
        <v>211</v>
      </c>
      <c r="C6" s="575" t="s">
        <v>334</v>
      </c>
    </row>
    <row r="7" spans="2:3" s="572" customFormat="1" ht="13.9">
      <c r="B7" s="575" t="s">
        <v>198</v>
      </c>
      <c r="C7" s="575" t="s">
        <v>335</v>
      </c>
    </row>
    <row r="8" spans="2:3" s="572" customFormat="1" ht="13.9">
      <c r="B8" s="575" t="s">
        <v>200</v>
      </c>
      <c r="C8" s="575" t="s">
        <v>336</v>
      </c>
    </row>
    <row r="9" spans="2:3" s="572" customFormat="1" ht="13.9">
      <c r="B9" s="575" t="s">
        <v>305</v>
      </c>
      <c r="C9" s="575" t="s">
        <v>337</v>
      </c>
    </row>
    <row r="10" spans="2:3" s="572" customFormat="1" ht="13.9">
      <c r="B10" s="575" t="s">
        <v>338</v>
      </c>
      <c r="C10" s="576" t="s">
        <v>339</v>
      </c>
    </row>
    <row r="11" spans="2:3" s="572" customFormat="1" ht="13.9">
      <c r="B11" s="575" t="s">
        <v>303</v>
      </c>
      <c r="C11" s="575" t="s">
        <v>340</v>
      </c>
    </row>
    <row r="12" spans="2:3" s="572" customFormat="1" ht="13.9">
      <c r="B12" s="575" t="s">
        <v>341</v>
      </c>
      <c r="C12" s="575" t="s">
        <v>342</v>
      </c>
    </row>
    <row r="13" spans="2:3" s="572" customFormat="1" ht="13.9">
      <c r="B13" s="575" t="s">
        <v>230</v>
      </c>
      <c r="C13" s="575" t="s">
        <v>343</v>
      </c>
    </row>
    <row r="14" spans="2:3" s="572" customFormat="1" ht="13.9">
      <c r="B14" s="575" t="s">
        <v>236</v>
      </c>
      <c r="C14" s="575" t="s">
        <v>344</v>
      </c>
    </row>
    <row r="15" spans="2:3" s="572" customFormat="1" ht="13.9">
      <c r="B15" s="575" t="s">
        <v>233</v>
      </c>
      <c r="C15" s="575" t="s">
        <v>345</v>
      </c>
    </row>
    <row r="16" spans="2:3" s="572" customFormat="1" ht="13.9">
      <c r="B16" s="575" t="s">
        <v>221</v>
      </c>
      <c r="C16" s="575" t="s">
        <v>346</v>
      </c>
    </row>
    <row r="17" spans="2:3" s="572" customFormat="1" ht="14.25" customHeight="1">
      <c r="B17" s="575" t="s">
        <v>290</v>
      </c>
      <c r="C17" s="575" t="s">
        <v>347</v>
      </c>
    </row>
    <row r="18" spans="2:3" s="572" customFormat="1" ht="13.9">
      <c r="B18" s="575" t="s">
        <v>348</v>
      </c>
      <c r="C18" s="575" t="s">
        <v>241</v>
      </c>
    </row>
    <row r="19" spans="2:3" s="572" customFormat="1" ht="13.9">
      <c r="B19" s="575" t="s">
        <v>349</v>
      </c>
      <c r="C19" s="575" t="s">
        <v>350</v>
      </c>
    </row>
    <row r="20" spans="2:3" s="572" customFormat="1" ht="14.25" customHeight="1">
      <c r="B20" s="575" t="s">
        <v>169</v>
      </c>
      <c r="C20" s="575" t="s">
        <v>351</v>
      </c>
    </row>
    <row r="21" spans="2:3" s="572" customFormat="1" ht="14.25" customHeight="1">
      <c r="B21" s="575" t="s">
        <v>352</v>
      </c>
      <c r="C21" s="575" t="s">
        <v>58</v>
      </c>
    </row>
    <row r="22" spans="2:3" s="572" customFormat="1" ht="14.25" customHeight="1">
      <c r="B22" s="575" t="s">
        <v>20</v>
      </c>
      <c r="C22" s="575" t="s">
        <v>353</v>
      </c>
    </row>
    <row r="23" spans="2:3" s="572" customFormat="1" ht="14.25" customHeight="1">
      <c r="B23" s="575" t="s">
        <v>142</v>
      </c>
      <c r="C23" s="575" t="s">
        <v>354</v>
      </c>
    </row>
    <row r="24" spans="2:3" s="572" customFormat="1" ht="14.25" customHeight="1">
      <c r="B24" s="575" t="s">
        <v>355</v>
      </c>
      <c r="C24" s="575" t="s">
        <v>356</v>
      </c>
    </row>
    <row r="25" spans="2:3" s="572" customFormat="1" ht="13.9">
      <c r="B25" s="575" t="s">
        <v>35</v>
      </c>
      <c r="C25" s="575" t="s">
        <v>357</v>
      </c>
    </row>
    <row r="26" spans="2:3" s="572" customFormat="1" ht="14.25" customHeight="1">
      <c r="B26" s="575" t="s">
        <v>358</v>
      </c>
      <c r="C26" s="575" t="s">
        <v>359</v>
      </c>
    </row>
    <row r="27" spans="2:3" s="572" customFormat="1" ht="14.25" customHeight="1">
      <c r="B27" s="577" t="s">
        <v>360</v>
      </c>
      <c r="C27" s="577" t="s">
        <v>361</v>
      </c>
    </row>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6373A-6E01-4604-B03A-3826C34B56DB}">
  <dimension ref="A2:AC134"/>
  <sheetViews>
    <sheetView showGridLines="0" topLeftCell="E120" zoomScale="70" zoomScaleNormal="70" workbookViewId="0">
      <selection activeCell="R134" sqref="P131:R134"/>
    </sheetView>
  </sheetViews>
  <sheetFormatPr defaultColWidth="8.85546875" defaultRowHeight="14.45"/>
  <cols>
    <col min="1" max="1" width="8.85546875" style="617"/>
    <col min="2" max="2" width="71.28515625" style="617" bestFit="1" customWidth="1"/>
    <col min="3" max="3" width="14.42578125" style="617" customWidth="1"/>
    <col min="4" max="4" width="10.28515625" style="617" customWidth="1"/>
    <col min="5" max="5" width="12.7109375" style="617" bestFit="1" customWidth="1"/>
    <col min="6" max="6" width="28.28515625" style="617" customWidth="1"/>
    <col min="7" max="8" width="8.85546875" style="617"/>
    <col min="9" max="9" width="10.5703125" style="617" customWidth="1"/>
    <col min="10" max="10" width="10.85546875" style="617" customWidth="1"/>
    <col min="11" max="16" width="8.85546875" style="617"/>
    <col min="17" max="17" width="15.28515625" style="617" bestFit="1" customWidth="1"/>
    <col min="18" max="18" width="8.85546875" style="617"/>
    <col min="19" max="19" width="15.140625" style="617" bestFit="1" customWidth="1"/>
    <col min="20" max="29" width="12.85546875" style="617" bestFit="1" customWidth="1"/>
    <col min="30" max="16384" width="8.85546875" style="617"/>
  </cols>
  <sheetData>
    <row r="2" spans="1:15" ht="21">
      <c r="A2" s="645"/>
      <c r="B2" s="646" t="s">
        <v>362</v>
      </c>
      <c r="C2" s="645"/>
      <c r="D2" s="645"/>
      <c r="E2" s="645"/>
      <c r="F2" s="645"/>
      <c r="G2" s="645"/>
      <c r="H2" s="645"/>
      <c r="I2" s="645"/>
      <c r="J2" s="645"/>
      <c r="K2" s="645"/>
      <c r="L2" s="645"/>
      <c r="M2" s="645"/>
      <c r="N2" s="645"/>
      <c r="O2" s="645"/>
    </row>
    <row r="3" spans="1:15">
      <c r="D3" s="617" t="s">
        <v>363</v>
      </c>
    </row>
    <row r="4" spans="1:15">
      <c r="A4" s="617" t="s">
        <v>297</v>
      </c>
      <c r="B4" s="644" t="s">
        <v>362</v>
      </c>
      <c r="C4" s="643"/>
      <c r="D4" s="643"/>
      <c r="E4" s="643"/>
      <c r="F4" s="643"/>
      <c r="G4" s="643"/>
      <c r="H4" s="643"/>
      <c r="I4" s="643"/>
    </row>
    <row r="5" spans="1:15">
      <c r="B5" s="642" t="s">
        <v>364</v>
      </c>
    </row>
    <row r="6" spans="1:15">
      <c r="B6" s="642" t="s">
        <v>365</v>
      </c>
      <c r="L6" s="641"/>
      <c r="M6" s="641" t="s">
        <v>366</v>
      </c>
      <c r="N6" s="641"/>
    </row>
    <row r="7" spans="1:15">
      <c r="L7" s="640" t="s">
        <v>367</v>
      </c>
      <c r="M7" s="639" t="s">
        <v>368</v>
      </c>
      <c r="N7" s="639" t="s">
        <v>369</v>
      </c>
    </row>
    <row r="8" spans="1:15">
      <c r="F8" s="638"/>
      <c r="L8" s="621">
        <v>-100000</v>
      </c>
      <c r="M8" s="620" t="s">
        <v>370</v>
      </c>
      <c r="N8" s="619">
        <v>0.2</v>
      </c>
    </row>
    <row r="9" spans="1:15">
      <c r="B9" s="632" t="s">
        <v>371</v>
      </c>
      <c r="C9" s="628"/>
      <c r="D9" s="628"/>
      <c r="E9" s="631">
        <f>E10+E12*E13</f>
        <v>0.20673415982808646</v>
      </c>
      <c r="L9" s="621" t="s">
        <v>372</v>
      </c>
      <c r="M9" s="620" t="s">
        <v>373</v>
      </c>
      <c r="N9" s="619">
        <v>0.17499999999999999</v>
      </c>
    </row>
    <row r="10" spans="1:15">
      <c r="B10" s="629" t="s">
        <v>374</v>
      </c>
      <c r="C10" s="628"/>
      <c r="D10" s="628"/>
      <c r="E10" s="630">
        <v>0.1356</v>
      </c>
      <c r="F10" s="633" t="s">
        <v>375</v>
      </c>
      <c r="L10" s="621" t="s">
        <v>376</v>
      </c>
      <c r="M10" s="620" t="s">
        <v>377</v>
      </c>
      <c r="N10" s="619">
        <v>0.1578</v>
      </c>
    </row>
    <row r="11" spans="1:15">
      <c r="B11" s="637" t="s">
        <v>378</v>
      </c>
      <c r="C11" s="636"/>
      <c r="D11" s="636"/>
      <c r="E11" s="635">
        <v>3.3399999999999999E-2</v>
      </c>
      <c r="F11" s="633" t="s">
        <v>379</v>
      </c>
      <c r="L11" s="621" t="s">
        <v>380</v>
      </c>
      <c r="M11" s="620" t="s">
        <v>381</v>
      </c>
      <c r="N11" s="619">
        <v>0.1157</v>
      </c>
    </row>
    <row r="12" spans="1:15">
      <c r="B12" s="629" t="s">
        <v>382</v>
      </c>
      <c r="C12" s="628"/>
      <c r="D12" s="628"/>
      <c r="E12" s="634">
        <f>'[1]Cálculo Beta'!B9</f>
        <v>0.92743363530751588</v>
      </c>
      <c r="F12" s="633" t="s">
        <v>383</v>
      </c>
      <c r="L12" s="621" t="s">
        <v>384</v>
      </c>
      <c r="M12" s="620" t="s">
        <v>385</v>
      </c>
      <c r="N12" s="619">
        <v>7.3700000000000002E-2</v>
      </c>
    </row>
    <row r="13" spans="1:15">
      <c r="B13" s="629" t="s">
        <v>386</v>
      </c>
      <c r="C13" s="628"/>
      <c r="D13" s="628"/>
      <c r="E13" s="630">
        <v>7.6700000000000004E-2</v>
      </c>
      <c r="F13" s="633" t="s">
        <v>379</v>
      </c>
      <c r="L13" s="621" t="s">
        <v>387</v>
      </c>
      <c r="M13" s="620" t="s">
        <v>388</v>
      </c>
      <c r="N13" s="619">
        <v>5.2600000000000001E-2</v>
      </c>
    </row>
    <row r="14" spans="1:15">
      <c r="B14" s="629" t="s">
        <v>389</v>
      </c>
      <c r="C14" s="628"/>
      <c r="D14" s="628"/>
      <c r="E14" s="627">
        <f>E23/(E23+E24)</f>
        <v>0.40634634183021273</v>
      </c>
      <c r="F14" s="617" t="s">
        <v>390</v>
      </c>
      <c r="L14" s="621"/>
      <c r="M14" s="620"/>
      <c r="N14" s="619"/>
    </row>
    <row r="15" spans="1:15">
      <c r="B15" s="632" t="s">
        <v>391</v>
      </c>
      <c r="C15" s="628"/>
      <c r="D15" s="628"/>
      <c r="E15" s="631">
        <f>E16*(1-E17)</f>
        <v>7.9199999999999993E-2</v>
      </c>
      <c r="L15" s="621" t="s">
        <v>392</v>
      </c>
      <c r="M15" s="620" t="s">
        <v>393</v>
      </c>
      <c r="N15" s="619">
        <v>4.5499999999999999E-2</v>
      </c>
    </row>
    <row r="16" spans="1:15">
      <c r="B16" s="629" t="s">
        <v>394</v>
      </c>
      <c r="C16" s="628"/>
      <c r="D16" s="628"/>
      <c r="E16" s="630">
        <v>0.12</v>
      </c>
      <c r="F16" s="617" t="s">
        <v>395</v>
      </c>
      <c r="L16" s="621">
        <v>2</v>
      </c>
      <c r="M16" s="620" t="s">
        <v>396</v>
      </c>
      <c r="N16" s="619">
        <v>3.1300000000000001E-2</v>
      </c>
    </row>
    <row r="17" spans="1:14">
      <c r="B17" s="629" t="s">
        <v>397</v>
      </c>
      <c r="C17" s="628"/>
      <c r="D17" s="628"/>
      <c r="E17" s="630">
        <v>0.34</v>
      </c>
      <c r="F17" s="617" t="s">
        <v>398</v>
      </c>
      <c r="L17" s="621" t="s">
        <v>399</v>
      </c>
      <c r="M17" s="620" t="s">
        <v>400</v>
      </c>
      <c r="N17" s="619">
        <v>2.4199999999999999E-2</v>
      </c>
    </row>
    <row r="18" spans="1:14">
      <c r="B18" s="629" t="s">
        <v>401</v>
      </c>
      <c r="C18" s="628"/>
      <c r="D18" s="628"/>
      <c r="E18" s="627">
        <f>E24/(E23+E24)</f>
        <v>0.59365365816978721</v>
      </c>
      <c r="F18" s="626" t="s">
        <v>402</v>
      </c>
      <c r="L18" s="621" t="s">
        <v>403</v>
      </c>
      <c r="M18" s="620" t="s">
        <v>404</v>
      </c>
      <c r="N18" s="619">
        <v>0.02</v>
      </c>
    </row>
    <row r="19" spans="1:14">
      <c r="F19" s="625"/>
      <c r="L19" s="621">
        <v>3</v>
      </c>
      <c r="M19" s="620" t="s">
        <v>405</v>
      </c>
      <c r="N19" s="619">
        <v>1.6199999999999999E-2</v>
      </c>
    </row>
    <row r="20" spans="1:14">
      <c r="B20" s="624" t="s">
        <v>406</v>
      </c>
      <c r="C20" s="624"/>
      <c r="D20" s="624"/>
      <c r="E20" s="623">
        <f>E9*E14+E15*E18</f>
        <v>0.1310230393045326</v>
      </c>
      <c r="L20" s="621" t="s">
        <v>407</v>
      </c>
      <c r="M20" s="620" t="s">
        <v>408</v>
      </c>
      <c r="N20" s="619">
        <v>1.4200000000000001E-2</v>
      </c>
    </row>
    <row r="21" spans="1:14">
      <c r="L21" s="621" t="s">
        <v>409</v>
      </c>
      <c r="M21" s="620" t="s">
        <v>410</v>
      </c>
      <c r="N21" s="619">
        <v>1.23E-2</v>
      </c>
    </row>
    <row r="22" spans="1:14">
      <c r="L22" s="621" t="s">
        <v>411</v>
      </c>
      <c r="M22" s="620" t="s">
        <v>412</v>
      </c>
      <c r="N22" s="619">
        <v>8.5000000000000006E-3</v>
      </c>
    </row>
    <row r="23" spans="1:14">
      <c r="B23" s="617" t="s">
        <v>413</v>
      </c>
      <c r="E23" s="622">
        <f>Model!G703</f>
        <v>4323.2</v>
      </c>
      <c r="L23" s="621" t="s">
        <v>414</v>
      </c>
      <c r="M23" s="620" t="s">
        <v>415</v>
      </c>
      <c r="N23" s="619">
        <v>6.8999999999999999E-3</v>
      </c>
    </row>
    <row r="24" spans="1:14">
      <c r="A24" s="617" t="s">
        <v>297</v>
      </c>
      <c r="B24" s="617" t="s">
        <v>416</v>
      </c>
      <c r="E24" s="618">
        <v>6316</v>
      </c>
    </row>
    <row r="35" spans="2:29">
      <c r="B35" s="617">
        <v>2025</v>
      </c>
      <c r="C35" s="647">
        <v>2026</v>
      </c>
      <c r="D35" s="647">
        <v>2027</v>
      </c>
      <c r="E35" s="647">
        <v>2028</v>
      </c>
      <c r="F35" s="687">
        <v>2029</v>
      </c>
      <c r="G35" s="687">
        <v>2030</v>
      </c>
      <c r="H35" s="687">
        <v>2031</v>
      </c>
      <c r="I35" s="617">
        <v>2011</v>
      </c>
      <c r="J35" s="708">
        <v>2012</v>
      </c>
      <c r="K35" s="617">
        <v>2013</v>
      </c>
      <c r="L35" s="708">
        <v>2014</v>
      </c>
      <c r="M35" s="617">
        <v>2015</v>
      </c>
      <c r="N35" s="708">
        <v>2016</v>
      </c>
      <c r="O35" s="617">
        <v>2017</v>
      </c>
      <c r="P35" s="708">
        <v>2018</v>
      </c>
      <c r="Q35" s="617">
        <v>2019</v>
      </c>
      <c r="R35" s="708">
        <v>2020</v>
      </c>
      <c r="S35" s="617">
        <v>2021</v>
      </c>
      <c r="T35" s="708">
        <v>2022</v>
      </c>
      <c r="U35" s="617">
        <v>2023</v>
      </c>
      <c r="V35" s="708">
        <v>2024</v>
      </c>
      <c r="W35" s="617">
        <v>2025</v>
      </c>
      <c r="X35" s="708" t="s">
        <v>12</v>
      </c>
      <c r="Y35" s="708" t="s">
        <v>13</v>
      </c>
      <c r="Z35" s="708" t="s">
        <v>14</v>
      </c>
      <c r="AA35" s="708" t="s">
        <v>15</v>
      </c>
      <c r="AB35" s="708" t="s">
        <v>16</v>
      </c>
      <c r="AC35" s="708" t="s">
        <v>17</v>
      </c>
    </row>
    <row r="36" spans="2:29">
      <c r="B36" s="716" t="s">
        <v>417</v>
      </c>
      <c r="C36" s="647">
        <f>26%*F36</f>
        <v>104</v>
      </c>
      <c r="D36" s="647">
        <f>20%*F36</f>
        <v>80</v>
      </c>
      <c r="E36" s="647">
        <v>98</v>
      </c>
      <c r="F36" s="617">
        <v>400</v>
      </c>
      <c r="I36" s="617">
        <f>Model!D59</f>
        <v>3713</v>
      </c>
      <c r="J36" s="617">
        <f>Model!E61</f>
        <v>226</v>
      </c>
      <c r="K36" s="617">
        <f>Model!F61</f>
        <v>159</v>
      </c>
      <c r="L36" s="617">
        <f>Model!G61</f>
        <v>147</v>
      </c>
      <c r="M36" s="617">
        <f>Model!H61</f>
        <v>144</v>
      </c>
      <c r="N36" s="617">
        <f>Model!I61</f>
        <v>195</v>
      </c>
      <c r="O36" s="617">
        <f>Model!J61</f>
        <v>138</v>
      </c>
      <c r="P36" s="617">
        <f>Model!K61</f>
        <v>98</v>
      </c>
      <c r="Q36" s="617">
        <f>Model!L61</f>
        <v>86</v>
      </c>
      <c r="R36" s="617">
        <f>Model!M61</f>
        <v>-383.7412935323382</v>
      </c>
      <c r="S36" s="692">
        <f>Model!N61</f>
        <v>44.741293532338204</v>
      </c>
      <c r="T36" s="617">
        <f>Model!O61</f>
        <v>-55</v>
      </c>
      <c r="U36" s="617">
        <f>Model!P61</f>
        <v>5</v>
      </c>
      <c r="V36" s="617">
        <f>Model!Q61</f>
        <v>14</v>
      </c>
      <c r="W36" s="617">
        <f>Model!R61</f>
        <v>55</v>
      </c>
      <c r="X36" s="617">
        <f>Model!S61</f>
        <v>104</v>
      </c>
      <c r="Y36" s="617">
        <f>Model!T61</f>
        <v>80</v>
      </c>
      <c r="Z36" s="617">
        <f>Model!U61</f>
        <v>98</v>
      </c>
      <c r="AA36" s="617">
        <f>Model!V61</f>
        <v>88.199999999999818</v>
      </c>
      <c r="AB36" s="617">
        <f>Model!W61</f>
        <v>79.380000000000109</v>
      </c>
      <c r="AC36" s="617">
        <f>Model!X61</f>
        <v>71.442000000000007</v>
      </c>
    </row>
    <row r="37" spans="2:29">
      <c r="B37" s="716" t="s">
        <v>418</v>
      </c>
      <c r="C37" s="647">
        <f>23%*F36</f>
        <v>92</v>
      </c>
      <c r="D37" s="647">
        <f>29%*F36</f>
        <v>115.99999999999999</v>
      </c>
      <c r="E37" s="647">
        <v>98</v>
      </c>
      <c r="J37" s="617">
        <f>Model!E177</f>
        <v>2104</v>
      </c>
      <c r="K37" s="617">
        <f>Model!F177</f>
        <v>121</v>
      </c>
      <c r="L37" s="617">
        <f>Model!G177</f>
        <v>154</v>
      </c>
      <c r="M37" s="617">
        <f>Model!H177</f>
        <v>160</v>
      </c>
      <c r="N37" s="617">
        <f>Model!I177</f>
        <v>149</v>
      </c>
      <c r="O37" s="617">
        <f>Model!J177</f>
        <v>204</v>
      </c>
      <c r="P37" s="617">
        <f>Model!K177</f>
        <v>210</v>
      </c>
      <c r="Q37" s="617">
        <f>Model!L177</f>
        <v>214</v>
      </c>
      <c r="R37" s="617">
        <f>Model!M177</f>
        <v>-467</v>
      </c>
      <c r="S37" s="617">
        <f>Model!N177</f>
        <v>182</v>
      </c>
      <c r="T37" s="617">
        <f>Model!O177</f>
        <v>204</v>
      </c>
      <c r="U37" s="617">
        <f>Model!P177</f>
        <v>159</v>
      </c>
      <c r="V37" s="617">
        <f>Model!Q177</f>
        <v>126</v>
      </c>
      <c r="W37" s="617">
        <f>Model!R177</f>
        <v>20</v>
      </c>
      <c r="X37" s="617">
        <f>Model!S177</f>
        <v>92</v>
      </c>
      <c r="Y37" s="617">
        <f>Model!T177</f>
        <v>116</v>
      </c>
      <c r="Z37" s="617">
        <f>Model!U177</f>
        <v>98</v>
      </c>
      <c r="AA37" s="617">
        <f>Model!V177</f>
        <v>74.739999999999782</v>
      </c>
      <c r="AB37" s="617">
        <f>Model!W177</f>
        <v>76.234800000000178</v>
      </c>
      <c r="AC37" s="617">
        <f>Model!X177</f>
        <v>77.759496000000127</v>
      </c>
    </row>
    <row r="38" spans="2:29">
      <c r="B38" s="716" t="s">
        <v>419</v>
      </c>
      <c r="C38" s="647">
        <v>4</v>
      </c>
      <c r="D38" s="647">
        <v>4</v>
      </c>
      <c r="E38" s="647">
        <v>4</v>
      </c>
      <c r="S38" s="617">
        <f>Model!N120</f>
        <v>7433</v>
      </c>
      <c r="T38" s="617">
        <f>Model!O120</f>
        <v>-44</v>
      </c>
      <c r="U38" s="617">
        <f>Model!P120</f>
        <v>-245</v>
      </c>
      <c r="V38" s="617">
        <f>Model!Q120</f>
        <v>-62</v>
      </c>
      <c r="W38" s="617">
        <f>Model!R120</f>
        <v>-57</v>
      </c>
      <c r="X38" s="617">
        <f>Model!S120</f>
        <v>4</v>
      </c>
      <c r="Y38" s="617">
        <f>Model!T120</f>
        <v>4</v>
      </c>
      <c r="Z38" s="617">
        <f>Model!U120</f>
        <v>4</v>
      </c>
      <c r="AA38" s="617">
        <f>Model!V120</f>
        <v>4</v>
      </c>
      <c r="AB38" s="617">
        <f>Model!W120</f>
        <v>4</v>
      </c>
      <c r="AC38" s="617">
        <f>Model!X120</f>
        <v>20</v>
      </c>
    </row>
    <row r="39" spans="2:29">
      <c r="B39" s="716" t="s">
        <v>420</v>
      </c>
      <c r="C39" s="647">
        <v>200</v>
      </c>
      <c r="D39" s="647">
        <v>200</v>
      </c>
      <c r="E39" s="647">
        <v>200</v>
      </c>
      <c r="S39" s="617">
        <f>Model!N234</f>
        <v>1213</v>
      </c>
      <c r="T39" s="617">
        <f>Model!O234</f>
        <v>29</v>
      </c>
      <c r="U39" s="617">
        <f>Model!P234</f>
        <v>23</v>
      </c>
      <c r="V39" s="617">
        <f>Model!Q234</f>
        <v>80</v>
      </c>
      <c r="W39" s="617">
        <f>Model!R234</f>
        <v>104</v>
      </c>
      <c r="X39" s="617">
        <f>Model!S234</f>
        <v>200</v>
      </c>
      <c r="Y39" s="617">
        <f>Model!T234</f>
        <v>200</v>
      </c>
      <c r="Z39" s="617">
        <f>Model!U234</f>
        <v>200</v>
      </c>
      <c r="AA39" s="617">
        <f>Model!V234</f>
        <v>140.48999999999978</v>
      </c>
      <c r="AB39" s="617">
        <f>Model!W234</f>
        <v>150.32430000000022</v>
      </c>
      <c r="AC39" s="617">
        <f>Model!X234</f>
        <v>160.84700100000009</v>
      </c>
    </row>
    <row r="40" spans="2:29">
      <c r="B40" s="716" t="s">
        <v>421</v>
      </c>
      <c r="C40" s="647">
        <v>275</v>
      </c>
      <c r="D40" s="647">
        <v>275</v>
      </c>
      <c r="E40" s="647">
        <v>275</v>
      </c>
      <c r="F40" s="650"/>
      <c r="S40" s="617">
        <f>Model!N336</f>
        <v>720</v>
      </c>
      <c r="T40" s="617">
        <f>Model!O336</f>
        <v>361</v>
      </c>
      <c r="U40" s="617">
        <f>Model!P336</f>
        <v>227</v>
      </c>
      <c r="V40" s="617">
        <f>Model!Q336</f>
        <v>196</v>
      </c>
      <c r="W40" s="617">
        <f>Model!R336</f>
        <v>142</v>
      </c>
      <c r="X40" s="617">
        <f>Model!S336</f>
        <v>375</v>
      </c>
      <c r="Y40" s="617">
        <f>Model!T336</f>
        <v>375</v>
      </c>
      <c r="Z40" s="617">
        <f>Model!U336</f>
        <v>375</v>
      </c>
      <c r="AA40" s="617">
        <f>Model!V336</f>
        <v>277.10000000000002</v>
      </c>
      <c r="AB40" s="617">
        <f>Model!W336</f>
        <v>304.81</v>
      </c>
      <c r="AC40" s="617">
        <f>Model!X336</f>
        <v>335.291</v>
      </c>
    </row>
    <row r="41" spans="2:29">
      <c r="B41" s="716" t="s">
        <v>422</v>
      </c>
      <c r="C41" s="647">
        <v>375</v>
      </c>
      <c r="D41" s="647">
        <v>375</v>
      </c>
      <c r="E41" s="647">
        <v>375</v>
      </c>
      <c r="F41" s="650"/>
      <c r="S41" s="617">
        <f>Model!N374</f>
        <v>674</v>
      </c>
      <c r="T41" s="617">
        <f>Model!O374</f>
        <v>182</v>
      </c>
      <c r="U41" s="617">
        <f>Model!P374</f>
        <v>321</v>
      </c>
      <c r="V41" s="617">
        <f>Model!Q374</f>
        <v>282</v>
      </c>
      <c r="W41" s="617">
        <f>Model!R374</f>
        <v>376</v>
      </c>
      <c r="X41" s="617">
        <f>Model!S374</f>
        <v>475</v>
      </c>
      <c r="Y41" s="617">
        <f>Model!T374</f>
        <v>475</v>
      </c>
      <c r="Z41" s="617">
        <f>Model!U374</f>
        <v>475</v>
      </c>
      <c r="AA41" s="617">
        <f>Model!V374</f>
        <v>619.4</v>
      </c>
      <c r="AB41" s="617">
        <f>Model!W374</f>
        <v>737.08600000000001</v>
      </c>
      <c r="AC41" s="617">
        <f>Model!X374</f>
        <v>877.13234</v>
      </c>
    </row>
    <row r="42" spans="2:29">
      <c r="B42" s="716" t="s">
        <v>423</v>
      </c>
      <c r="C42" s="648">
        <v>275</v>
      </c>
      <c r="D42" s="648">
        <v>275</v>
      </c>
      <c r="E42" s="648">
        <v>275</v>
      </c>
      <c r="F42" s="650"/>
      <c r="S42" s="617">
        <f>Model!N355</f>
        <v>11814</v>
      </c>
      <c r="T42" s="617">
        <f>Model!O355</f>
        <v>-234</v>
      </c>
      <c r="U42" s="617">
        <f>Model!P355</f>
        <v>660</v>
      </c>
      <c r="V42" s="617">
        <f>Model!Q355</f>
        <v>410</v>
      </c>
      <c r="W42" s="617">
        <f>Model!R355</f>
        <v>225</v>
      </c>
      <c r="X42" s="617">
        <f>Model!S355</f>
        <v>475</v>
      </c>
      <c r="Y42" s="617">
        <f>Model!T355</f>
        <v>475</v>
      </c>
      <c r="Z42" s="617">
        <f>Model!U355</f>
        <v>475</v>
      </c>
      <c r="AA42" s="617">
        <f>Model!V355</f>
        <v>429</v>
      </c>
      <c r="AB42" s="617">
        <f>Model!W355</f>
        <v>441.87</v>
      </c>
      <c r="AC42" s="617">
        <f>Model!X355</f>
        <v>455.12610000000001</v>
      </c>
    </row>
    <row r="43" spans="2:29">
      <c r="B43" s="716" t="s">
        <v>424</v>
      </c>
      <c r="C43" s="716">
        <v>75</v>
      </c>
      <c r="D43" s="716">
        <v>75</v>
      </c>
      <c r="E43" s="716">
        <v>75</v>
      </c>
      <c r="F43" s="638"/>
      <c r="U43" s="617">
        <f>Model!P393</f>
        <v>17</v>
      </c>
      <c r="V43" s="617">
        <f>Model!Q393</f>
        <v>9</v>
      </c>
      <c r="W43" s="617">
        <f>Model!R393</f>
        <v>21</v>
      </c>
      <c r="X43" s="617">
        <f>Model!S393</f>
        <v>75</v>
      </c>
      <c r="Y43" s="617">
        <f>Model!T393</f>
        <v>75</v>
      </c>
      <c r="Z43" s="617">
        <f>Model!U393</f>
        <v>75</v>
      </c>
      <c r="AA43" s="617">
        <f>Model!V393</f>
        <v>108.80000000000001</v>
      </c>
      <c r="AB43" s="617">
        <f>Model!W393</f>
        <v>152.32000000000002</v>
      </c>
      <c r="AC43" s="617">
        <f>Model!X393</f>
        <v>213.24800000000002</v>
      </c>
    </row>
    <row r="44" spans="2:29">
      <c r="B44" s="716" t="s">
        <v>425</v>
      </c>
      <c r="C44" s="647">
        <v>100</v>
      </c>
      <c r="D44" s="647">
        <v>100</v>
      </c>
      <c r="E44" s="647">
        <v>100</v>
      </c>
    </row>
    <row r="45" spans="2:29">
      <c r="B45" s="716" t="s">
        <v>426</v>
      </c>
      <c r="C45" s="647">
        <v>100</v>
      </c>
      <c r="D45" s="647">
        <v>100</v>
      </c>
      <c r="E45" s="647">
        <v>100</v>
      </c>
    </row>
    <row r="46" spans="2:29">
      <c r="B46" s="716" t="s">
        <v>427</v>
      </c>
      <c r="C46" s="647">
        <v>200</v>
      </c>
      <c r="D46" s="647">
        <v>200</v>
      </c>
      <c r="E46" s="647">
        <v>200</v>
      </c>
    </row>
    <row r="47" spans="2:29">
      <c r="B47" s="716" t="s">
        <v>428</v>
      </c>
      <c r="C47" s="647">
        <v>0</v>
      </c>
      <c r="D47" s="647">
        <v>0</v>
      </c>
      <c r="E47" s="647">
        <v>0</v>
      </c>
    </row>
    <row r="48" spans="2:29">
      <c r="B48" s="716" t="s">
        <v>429</v>
      </c>
      <c r="C48" s="647">
        <f>C36+C37+C38+C39</f>
        <v>400</v>
      </c>
      <c r="D48" s="647">
        <f t="shared" ref="D48:E48" si="0">D36+D37+D38+D39</f>
        <v>400</v>
      </c>
      <c r="E48" s="647">
        <f t="shared" si="0"/>
        <v>400</v>
      </c>
    </row>
    <row r="49" spans="2:29">
      <c r="B49" s="716" t="s">
        <v>430</v>
      </c>
      <c r="C49" s="647">
        <f>SUM(C40:C47)</f>
        <v>1400</v>
      </c>
      <c r="D49" s="647">
        <f t="shared" ref="D49:E49" si="1">SUM(D40:D47)</f>
        <v>1400</v>
      </c>
      <c r="E49" s="647">
        <f t="shared" si="1"/>
        <v>1400</v>
      </c>
    </row>
    <row r="50" spans="2:29">
      <c r="B50" s="716" t="s">
        <v>431</v>
      </c>
      <c r="C50" s="647">
        <f>C48+C49</f>
        <v>1800</v>
      </c>
      <c r="D50" s="647">
        <f t="shared" ref="D50:E50" si="2">D48+D49</f>
        <v>1800</v>
      </c>
      <c r="E50" s="647">
        <f t="shared" si="2"/>
        <v>1800</v>
      </c>
      <c r="F50" s="617">
        <f>Model!V61+Model!V120+Model!V181+Model!V234+Model!V285+Model!V336+Model!V355+Model!V374+Model!V393</f>
        <v>1939.1799999999996</v>
      </c>
      <c r="G50" s="617">
        <f>Model!W61+Model!W120+Model!W181+Model!W234+Model!W285+Model!W336+Model!W355+Model!W374+Model!W393</f>
        <v>2163.2201000000005</v>
      </c>
      <c r="H50" s="617">
        <f>Model!X61+Model!X120+Model!X181+Model!X234+Model!X285+Model!X336+Model!X355+Model!X374+Model!X393</f>
        <v>2449.7604369999999</v>
      </c>
      <c r="I50" s="617">
        <f>SUM(I36:I49)</f>
        <v>3713</v>
      </c>
      <c r="J50" s="617">
        <f>SUM(J36:J49)</f>
        <v>2330</v>
      </c>
      <c r="K50" s="617">
        <f t="shared" ref="K50:AC50" si="3">SUM(K36:K49)</f>
        <v>280</v>
      </c>
      <c r="L50" s="617">
        <f t="shared" si="3"/>
        <v>301</v>
      </c>
      <c r="M50" s="617">
        <f t="shared" si="3"/>
        <v>304</v>
      </c>
      <c r="N50" s="617">
        <f t="shared" si="3"/>
        <v>344</v>
      </c>
      <c r="O50" s="617">
        <f t="shared" si="3"/>
        <v>342</v>
      </c>
      <c r="P50" s="617">
        <f t="shared" si="3"/>
        <v>308</v>
      </c>
      <c r="Q50" s="617">
        <f t="shared" si="3"/>
        <v>300</v>
      </c>
      <c r="R50" s="617">
        <f t="shared" si="3"/>
        <v>-850.7412935323382</v>
      </c>
      <c r="S50" s="692">
        <f>SUM(S36:S49)</f>
        <v>22080.741293532337</v>
      </c>
      <c r="T50" s="692">
        <f t="shared" si="3"/>
        <v>443</v>
      </c>
      <c r="U50" s="692">
        <f t="shared" si="3"/>
        <v>1167</v>
      </c>
      <c r="V50" s="692">
        <f t="shared" si="3"/>
        <v>1055</v>
      </c>
      <c r="W50" s="692">
        <f t="shared" si="3"/>
        <v>886</v>
      </c>
      <c r="X50" s="692">
        <f t="shared" si="3"/>
        <v>1800</v>
      </c>
      <c r="Y50" s="692">
        <f t="shared" si="3"/>
        <v>1800</v>
      </c>
      <c r="Z50" s="692">
        <f t="shared" si="3"/>
        <v>1800</v>
      </c>
      <c r="AA50" s="692">
        <f t="shared" si="3"/>
        <v>1741.7299999999993</v>
      </c>
      <c r="AB50" s="692">
        <f t="shared" si="3"/>
        <v>1946.0251000000005</v>
      </c>
      <c r="AC50" s="692">
        <f t="shared" si="3"/>
        <v>2210.845937</v>
      </c>
    </row>
    <row r="51" spans="2:29">
      <c r="B51" s="690">
        <f>Model!R59+Model!R118+Model!R175+Model!R232+Model!R334+Model!R353+Model!R372+Model!R391</f>
        <v>33003</v>
      </c>
      <c r="C51" s="649">
        <f>B51+SUM(C36:C47)</f>
        <v>34803</v>
      </c>
      <c r="D51" s="649">
        <f t="shared" ref="D51:E51" si="4">C51+SUM(D36:D47)</f>
        <v>36603</v>
      </c>
      <c r="E51" s="649">
        <f t="shared" si="4"/>
        <v>38403</v>
      </c>
      <c r="F51" s="649">
        <f>E51+F50</f>
        <v>40342.18</v>
      </c>
      <c r="G51" s="688">
        <f>F51+G50</f>
        <v>42505.400099999999</v>
      </c>
      <c r="H51" s="688">
        <f>G51+H50</f>
        <v>44955.160536999996</v>
      </c>
      <c r="I51" s="617">
        <f>I50</f>
        <v>3713</v>
      </c>
      <c r="J51" s="617">
        <f>J50+I51</f>
        <v>6043</v>
      </c>
      <c r="K51" s="617">
        <f t="shared" ref="K51:AC51" si="5">K50+J51</f>
        <v>6323</v>
      </c>
      <c r="L51" s="617">
        <f t="shared" si="5"/>
        <v>6624</v>
      </c>
      <c r="M51" s="617">
        <f t="shared" si="5"/>
        <v>6928</v>
      </c>
      <c r="N51" s="617">
        <f t="shared" si="5"/>
        <v>7272</v>
      </c>
      <c r="O51" s="617">
        <f t="shared" si="5"/>
        <v>7614</v>
      </c>
      <c r="P51" s="617">
        <f t="shared" si="5"/>
        <v>7922</v>
      </c>
      <c r="Q51" s="617">
        <f t="shared" si="5"/>
        <v>8222</v>
      </c>
      <c r="R51" s="617">
        <f>R50+Q51</f>
        <v>7371.2587064676618</v>
      </c>
      <c r="S51" s="692">
        <f>S50+R51</f>
        <v>29452</v>
      </c>
      <c r="T51" s="692">
        <f t="shared" si="5"/>
        <v>29895</v>
      </c>
      <c r="U51" s="692">
        <f t="shared" si="5"/>
        <v>31062</v>
      </c>
      <c r="V51" s="695">
        <f t="shared" si="5"/>
        <v>32117</v>
      </c>
      <c r="W51" s="692">
        <f t="shared" si="5"/>
        <v>33003</v>
      </c>
      <c r="X51" s="692">
        <f t="shared" si="5"/>
        <v>34803</v>
      </c>
      <c r="Y51" s="692">
        <f t="shared" si="5"/>
        <v>36603</v>
      </c>
      <c r="Z51" s="692">
        <f t="shared" si="5"/>
        <v>38403</v>
      </c>
      <c r="AA51" s="692">
        <f t="shared" si="5"/>
        <v>40144.729999999996</v>
      </c>
      <c r="AB51" s="692">
        <f t="shared" si="5"/>
        <v>42090.755099999995</v>
      </c>
      <c r="AC51" s="692">
        <f t="shared" si="5"/>
        <v>44301.601036999993</v>
      </c>
    </row>
    <row r="52" spans="2:29">
      <c r="B52" s="690"/>
      <c r="C52" s="717">
        <f t="shared" ref="C52:H52" si="6">(C51-B51)/B51</f>
        <v>5.4540496318516499E-2</v>
      </c>
      <c r="D52" s="717">
        <f t="shared" si="6"/>
        <v>5.1719679337988107E-2</v>
      </c>
      <c r="E52" s="717">
        <f t="shared" si="6"/>
        <v>4.9176297024834031E-2</v>
      </c>
      <c r="F52" s="689">
        <f t="shared" si="6"/>
        <v>5.0495534203057059E-2</v>
      </c>
      <c r="G52" s="689">
        <f t="shared" si="6"/>
        <v>5.3621794855905125E-2</v>
      </c>
      <c r="H52" s="689">
        <f t="shared" si="6"/>
        <v>5.7634098990636186E-2</v>
      </c>
      <c r="I52" s="689"/>
      <c r="J52" s="689">
        <f t="shared" ref="J52:AC52" si="7">(J51-I51)/I51</f>
        <v>0.6275249124697011</v>
      </c>
      <c r="K52" s="689">
        <f t="shared" si="7"/>
        <v>4.6334602018864801E-2</v>
      </c>
      <c r="L52" s="689">
        <f t="shared" si="7"/>
        <v>4.7603985449944645E-2</v>
      </c>
      <c r="M52" s="689">
        <f t="shared" si="7"/>
        <v>4.5893719806763288E-2</v>
      </c>
      <c r="N52" s="689">
        <f t="shared" si="7"/>
        <v>4.9653579676674366E-2</v>
      </c>
      <c r="O52" s="689">
        <f t="shared" si="7"/>
        <v>4.702970297029703E-2</v>
      </c>
      <c r="P52" s="689">
        <f t="shared" si="7"/>
        <v>4.0451799317047545E-2</v>
      </c>
      <c r="Q52" s="689">
        <f t="shared" si="7"/>
        <v>3.786922494319616E-2</v>
      </c>
      <c r="R52" s="689">
        <f t="shared" si="7"/>
        <v>-0.10347133222237147</v>
      </c>
      <c r="S52" s="689">
        <f t="shared" si="7"/>
        <v>2.9955184281021552</v>
      </c>
      <c r="T52" s="689">
        <f>(T51-S51)/S51</f>
        <v>1.5041423332880619E-2</v>
      </c>
      <c r="U52" s="689">
        <f t="shared" si="7"/>
        <v>3.9036628198695432E-2</v>
      </c>
      <c r="V52" s="689">
        <f t="shared" si="7"/>
        <v>3.3964329405704721E-2</v>
      </c>
      <c r="W52" s="689">
        <f t="shared" si="7"/>
        <v>2.7586636360805803E-2</v>
      </c>
      <c r="X52" s="689">
        <f t="shared" si="7"/>
        <v>5.4540496318516499E-2</v>
      </c>
      <c r="Y52" s="689">
        <f t="shared" si="7"/>
        <v>5.1719679337988107E-2</v>
      </c>
      <c r="Z52" s="689">
        <f t="shared" si="7"/>
        <v>4.9176297024834031E-2</v>
      </c>
      <c r="AA52" s="689">
        <f t="shared" si="7"/>
        <v>4.5354008801395618E-2</v>
      </c>
      <c r="AB52" s="689">
        <f t="shared" si="7"/>
        <v>4.8475231991845481E-2</v>
      </c>
      <c r="AC52" s="689">
        <f t="shared" si="7"/>
        <v>5.252568959020644E-2</v>
      </c>
    </row>
    <row r="53" spans="2:29">
      <c r="C53" s="717"/>
      <c r="S53" s="696">
        <f>SUM($I$36:S36)</f>
        <v>4567</v>
      </c>
      <c r="T53" s="692">
        <f>SUM($I$36:T36)</f>
        <v>4512</v>
      </c>
      <c r="U53" s="692">
        <f>SUM($I$36:U36)</f>
        <v>4517</v>
      </c>
      <c r="V53" s="692">
        <f>SUM($I$36:V36)</f>
        <v>4531</v>
      </c>
      <c r="W53" s="692">
        <f>SUM($I$36:W36)</f>
        <v>4586</v>
      </c>
      <c r="X53" s="692">
        <f>SUM($I$36:X36)</f>
        <v>4690</v>
      </c>
      <c r="Y53" s="692">
        <f>SUM($I$36:Y36)</f>
        <v>4770</v>
      </c>
      <c r="Z53" s="692">
        <f>SUM($I$36:Z36)</f>
        <v>4868</v>
      </c>
      <c r="AA53" s="692">
        <f>SUM($I$36:AA36)</f>
        <v>4956.2</v>
      </c>
      <c r="AB53" s="692">
        <f>SUM($I$36:AB36)</f>
        <v>5035.58</v>
      </c>
      <c r="AC53" s="692">
        <f>SUM($I$36:AC36)</f>
        <v>5107.0219999999999</v>
      </c>
    </row>
    <row r="54" spans="2:29">
      <c r="S54" s="692">
        <f>SUM($I$37:S37)</f>
        <v>3031</v>
      </c>
      <c r="T54" s="692">
        <f>SUM($I$37:T37)</f>
        <v>3235</v>
      </c>
      <c r="U54" s="692">
        <f>SUM($I$37:U37)</f>
        <v>3394</v>
      </c>
      <c r="V54" s="692">
        <f>SUM($I$37:V37)</f>
        <v>3520</v>
      </c>
      <c r="W54" s="692">
        <f>SUM($I$37:W37)</f>
        <v>3540</v>
      </c>
      <c r="X54" s="692">
        <f>SUM($I$37:X37)</f>
        <v>3632</v>
      </c>
      <c r="Y54" s="692">
        <f>SUM($I$37:Y37)</f>
        <v>3748</v>
      </c>
      <c r="Z54" s="692">
        <f>SUM($I$37:Z37)</f>
        <v>3846</v>
      </c>
      <c r="AA54" s="692">
        <f>SUM($I$37:AA37)</f>
        <v>3920.74</v>
      </c>
      <c r="AB54" s="692">
        <f>SUM($I$37:AB37)</f>
        <v>3996.9748</v>
      </c>
      <c r="AC54" s="692">
        <f>SUM($I$37:AC37)</f>
        <v>4074.7342960000001</v>
      </c>
    </row>
    <row r="55" spans="2:29">
      <c r="S55" s="695">
        <f>SUM($I$38:S38)</f>
        <v>7433</v>
      </c>
      <c r="T55" s="692">
        <f>SUM($I$38:T38)</f>
        <v>7389</v>
      </c>
      <c r="U55" s="692">
        <f>SUM($I$38:U38)</f>
        <v>7144</v>
      </c>
      <c r="V55" s="692">
        <f>SUM($I$38:V38)</f>
        <v>7082</v>
      </c>
      <c r="W55" s="692">
        <f>SUM($I$38:W38)</f>
        <v>7025</v>
      </c>
      <c r="X55" s="692">
        <f>SUM($I$38:X38)</f>
        <v>7029</v>
      </c>
      <c r="Y55" s="692">
        <f>SUM($I$38:Y38)</f>
        <v>7033</v>
      </c>
      <c r="Z55" s="692">
        <f>SUM($I$38:Z38)</f>
        <v>7037</v>
      </c>
      <c r="AA55" s="692">
        <f>SUM($I$38:AA38)</f>
        <v>7041</v>
      </c>
      <c r="AB55" s="692">
        <f>SUM($I$38:AB38)</f>
        <v>7045</v>
      </c>
      <c r="AC55" s="692">
        <f>SUM($I$38:AC38)</f>
        <v>7065</v>
      </c>
    </row>
    <row r="56" spans="2:29">
      <c r="C56" s="651"/>
      <c r="D56" s="651"/>
      <c r="E56" s="651"/>
      <c r="F56" s="651"/>
      <c r="G56" s="651"/>
      <c r="H56" s="651"/>
      <c r="I56" s="651"/>
      <c r="J56" s="651"/>
      <c r="K56" s="651"/>
      <c r="S56" s="692">
        <f>SUM($I$39:S39)</f>
        <v>1213</v>
      </c>
      <c r="T56" s="692">
        <f>SUM($I$39:T39)</f>
        <v>1242</v>
      </c>
      <c r="U56" s="692">
        <f>SUM($I$39:U39)</f>
        <v>1265</v>
      </c>
      <c r="V56" s="692">
        <f>SUM($I$39:V39)</f>
        <v>1345</v>
      </c>
      <c r="W56" s="692">
        <f>SUM($I$39:W39)</f>
        <v>1449</v>
      </c>
      <c r="X56" s="692">
        <f>SUM($I$39:X39)</f>
        <v>1649</v>
      </c>
      <c r="Y56" s="692">
        <f>SUM($I$39:Y39)</f>
        <v>1849</v>
      </c>
      <c r="Z56" s="692">
        <f>SUM($I$39:Z39)</f>
        <v>2049</v>
      </c>
      <c r="AA56" s="692">
        <f>SUM($I$39:AA39)</f>
        <v>2189.4899999999998</v>
      </c>
      <c r="AB56" s="692">
        <f>SUM($I$39:AB39)</f>
        <v>2339.8143</v>
      </c>
      <c r="AC56" s="692">
        <f>SUM($I$39:AC39)</f>
        <v>2500.6613010000001</v>
      </c>
    </row>
    <row r="57" spans="2:29">
      <c r="C57" s="652"/>
      <c r="D57" s="652"/>
      <c r="E57" s="652"/>
      <c r="F57" s="652"/>
      <c r="G57" s="652"/>
      <c r="H57" s="652"/>
      <c r="I57" s="652"/>
      <c r="J57" s="652"/>
      <c r="K57" s="652"/>
      <c r="S57" s="696">
        <f>SUM($I$40:S40)</f>
        <v>720</v>
      </c>
      <c r="T57" s="692">
        <f>SUM($I$40:T40)</f>
        <v>1081</v>
      </c>
      <c r="U57" s="692">
        <f>SUM($I$40:U40)</f>
        <v>1308</v>
      </c>
      <c r="V57" s="692">
        <f>SUM($I$40:V40)</f>
        <v>1504</v>
      </c>
      <c r="W57" s="692">
        <f>SUM($I$40:W40)</f>
        <v>1646</v>
      </c>
      <c r="X57" s="692">
        <f>SUM($I$40:X40)</f>
        <v>2021</v>
      </c>
      <c r="Y57" s="692">
        <f>SUM($I$40:Y40)</f>
        <v>2396</v>
      </c>
      <c r="Z57" s="692">
        <f>SUM($I$40:Z40)</f>
        <v>2771</v>
      </c>
      <c r="AA57" s="692">
        <f>SUM($I$40:AA40)</f>
        <v>3048.1</v>
      </c>
      <c r="AB57" s="692">
        <f>SUM($I$40:AB40)</f>
        <v>3352.91</v>
      </c>
      <c r="AC57" s="692">
        <f>SUM($I$40:AC40)</f>
        <v>3688.201</v>
      </c>
    </row>
    <row r="58" spans="2:29">
      <c r="C58" s="652"/>
      <c r="D58" s="652"/>
      <c r="E58" s="652"/>
      <c r="F58" s="652"/>
      <c r="G58" s="652"/>
      <c r="H58" s="652"/>
      <c r="I58" s="652"/>
      <c r="J58" s="652"/>
      <c r="K58" s="652"/>
      <c r="S58" s="692">
        <f>SUM($I$41:S41)</f>
        <v>674</v>
      </c>
      <c r="T58" s="692">
        <f>SUM($I$41:T41)</f>
        <v>856</v>
      </c>
      <c r="U58" s="692">
        <f>SUM($I$41:U41)</f>
        <v>1177</v>
      </c>
      <c r="V58" s="692">
        <f>SUM($I$41:V41)</f>
        <v>1459</v>
      </c>
      <c r="W58" s="692">
        <f>SUM($I$41:W41)</f>
        <v>1835</v>
      </c>
      <c r="X58" s="692">
        <f>SUM($I$41:X41)</f>
        <v>2310</v>
      </c>
      <c r="Y58" s="692">
        <f>SUM($I$41:Y41)</f>
        <v>2785</v>
      </c>
      <c r="Z58" s="692">
        <f>SUM($I$41:Z41)</f>
        <v>3260</v>
      </c>
      <c r="AA58" s="692">
        <f>SUM($I$41:AA41)</f>
        <v>3879.4</v>
      </c>
      <c r="AB58" s="692">
        <f>SUM($I$41:AB41)</f>
        <v>4616.4859999999999</v>
      </c>
      <c r="AC58" s="692">
        <f>SUM($I$41:AC41)</f>
        <v>5493.61834</v>
      </c>
    </row>
    <row r="59" spans="2:29">
      <c r="C59" s="652"/>
      <c r="D59" s="652"/>
      <c r="E59" s="652"/>
      <c r="F59" s="653"/>
      <c r="G59" s="652"/>
      <c r="H59" s="652"/>
      <c r="I59" s="652"/>
      <c r="J59" s="652"/>
      <c r="K59" s="652"/>
      <c r="S59" s="695">
        <f>SUM($I$42:S42)</f>
        <v>11814</v>
      </c>
      <c r="T59" s="692">
        <f>SUM($I$42:T42)</f>
        <v>11580</v>
      </c>
      <c r="U59" s="692">
        <f>SUM($I$42:U42)</f>
        <v>12240</v>
      </c>
      <c r="V59" s="692">
        <f>SUM($I$42:V42)</f>
        <v>12650</v>
      </c>
      <c r="W59" s="692">
        <f>SUM($I$42:W42)</f>
        <v>12875</v>
      </c>
      <c r="X59" s="692">
        <f>SUM($I$42:X42)</f>
        <v>13350</v>
      </c>
      <c r="Y59" s="692">
        <f>SUM($I$42:Y42)</f>
        <v>13825</v>
      </c>
      <c r="Z59" s="692">
        <f>SUM($I$42:Z42)</f>
        <v>14300</v>
      </c>
      <c r="AA59" s="692">
        <f>SUM($I$42:AA42)</f>
        <v>14729</v>
      </c>
      <c r="AB59" s="692">
        <f>SUM($I$42:AB42)</f>
        <v>15170.87</v>
      </c>
      <c r="AC59" s="692">
        <f>SUM($I$42:AC42)</f>
        <v>15625.9961</v>
      </c>
    </row>
    <row r="60" spans="2:29">
      <c r="C60" s="652"/>
      <c r="D60" s="652"/>
      <c r="E60" s="652"/>
      <c r="F60" s="652"/>
      <c r="G60" s="652"/>
      <c r="H60" s="652"/>
      <c r="I60" s="652"/>
      <c r="J60" s="652"/>
      <c r="K60" s="652"/>
      <c r="S60" s="692">
        <f>SUM($I$43:S43)</f>
        <v>0</v>
      </c>
      <c r="T60" s="692">
        <f>SUM($I$43:T43)</f>
        <v>0</v>
      </c>
      <c r="U60" s="692">
        <f>SUM($I$43:U43)</f>
        <v>17</v>
      </c>
      <c r="V60" s="692">
        <f>SUM($I$43:V43)</f>
        <v>26</v>
      </c>
      <c r="W60" s="692">
        <f>SUM($I$43:W43)</f>
        <v>47</v>
      </c>
      <c r="X60" s="692">
        <f>SUM($I$43:X43)</f>
        <v>122</v>
      </c>
      <c r="Y60" s="692">
        <f>SUM($I$43:Y43)</f>
        <v>197</v>
      </c>
      <c r="Z60" s="692">
        <f>SUM($I$43:Z43)</f>
        <v>272</v>
      </c>
      <c r="AA60" s="692">
        <f>SUM($I$43:AA43)</f>
        <v>380.8</v>
      </c>
      <c r="AB60" s="692">
        <f>SUM($I$43:AB43)</f>
        <v>533.12</v>
      </c>
      <c r="AC60" s="692">
        <f>SUM($I$43:AC43)</f>
        <v>746.36800000000005</v>
      </c>
    </row>
    <row r="61" spans="2:29">
      <c r="C61" s="652"/>
      <c r="D61" s="652"/>
      <c r="E61" s="652"/>
      <c r="F61" s="652"/>
      <c r="G61" s="652"/>
      <c r="H61" s="652"/>
      <c r="I61" s="652"/>
      <c r="J61" s="652"/>
      <c r="K61" s="652"/>
      <c r="S61" s="694">
        <f>S53+S57</f>
        <v>5287</v>
      </c>
      <c r="T61" s="694">
        <f t="shared" ref="T61:AC61" si="8">T53+T57</f>
        <v>5593</v>
      </c>
      <c r="U61" s="694">
        <f t="shared" si="8"/>
        <v>5825</v>
      </c>
      <c r="V61" s="694">
        <f t="shared" si="8"/>
        <v>6035</v>
      </c>
      <c r="W61" s="694">
        <f t="shared" si="8"/>
        <v>6232</v>
      </c>
      <c r="X61" s="694">
        <f t="shared" si="8"/>
        <v>6711</v>
      </c>
      <c r="Y61" s="694">
        <f t="shared" si="8"/>
        <v>7166</v>
      </c>
      <c r="Z61" s="694">
        <f t="shared" si="8"/>
        <v>7639</v>
      </c>
      <c r="AA61" s="694">
        <f t="shared" si="8"/>
        <v>8004.2999999999993</v>
      </c>
      <c r="AB61" s="694">
        <f t="shared" si="8"/>
        <v>8388.49</v>
      </c>
      <c r="AC61" s="694">
        <f t="shared" si="8"/>
        <v>8795.223</v>
      </c>
    </row>
    <row r="62" spans="2:29">
      <c r="C62" s="652"/>
      <c r="D62" s="652"/>
      <c r="E62" s="652"/>
      <c r="F62" s="652"/>
      <c r="G62" s="652"/>
      <c r="H62" s="652"/>
      <c r="I62" s="652"/>
      <c r="J62" s="652"/>
      <c r="K62" s="652"/>
      <c r="S62" s="694">
        <f>S54+S58</f>
        <v>3705</v>
      </c>
      <c r="T62" s="694">
        <f t="shared" ref="T62:AC62" si="9">T54+T58</f>
        <v>4091</v>
      </c>
      <c r="U62" s="694">
        <f t="shared" si="9"/>
        <v>4571</v>
      </c>
      <c r="V62" s="694">
        <f t="shared" si="9"/>
        <v>4979</v>
      </c>
      <c r="W62" s="694">
        <f t="shared" si="9"/>
        <v>5375</v>
      </c>
      <c r="X62" s="694">
        <f t="shared" si="9"/>
        <v>5942</v>
      </c>
      <c r="Y62" s="694">
        <f t="shared" si="9"/>
        <v>6533</v>
      </c>
      <c r="Z62" s="694">
        <f t="shared" si="9"/>
        <v>7106</v>
      </c>
      <c r="AA62" s="694">
        <f t="shared" si="9"/>
        <v>7800.1399999999994</v>
      </c>
      <c r="AB62" s="694">
        <f t="shared" si="9"/>
        <v>8613.4608000000007</v>
      </c>
      <c r="AC62" s="694">
        <f t="shared" si="9"/>
        <v>9568.3526359999996</v>
      </c>
    </row>
    <row r="63" spans="2:29">
      <c r="C63" s="652"/>
      <c r="D63" s="652"/>
      <c r="E63" s="652"/>
      <c r="F63" s="652"/>
      <c r="G63" s="652"/>
      <c r="H63" s="652"/>
      <c r="I63" s="652"/>
      <c r="J63" s="652"/>
      <c r="K63" s="652"/>
      <c r="S63" s="694">
        <f>S55+S59</f>
        <v>19247</v>
      </c>
      <c r="T63" s="694">
        <f t="shared" ref="T63:AC63" si="10">T55+T59</f>
        <v>18969</v>
      </c>
      <c r="U63" s="694">
        <f t="shared" si="10"/>
        <v>19384</v>
      </c>
      <c r="V63" s="694">
        <f t="shared" si="10"/>
        <v>19732</v>
      </c>
      <c r="W63" s="694">
        <f t="shared" si="10"/>
        <v>19900</v>
      </c>
      <c r="X63" s="694">
        <f t="shared" si="10"/>
        <v>20379</v>
      </c>
      <c r="Y63" s="694">
        <f t="shared" si="10"/>
        <v>20858</v>
      </c>
      <c r="Z63" s="694">
        <f t="shared" si="10"/>
        <v>21337</v>
      </c>
      <c r="AA63" s="694">
        <f t="shared" si="10"/>
        <v>21770</v>
      </c>
      <c r="AB63" s="694">
        <f t="shared" si="10"/>
        <v>22215.870000000003</v>
      </c>
      <c r="AC63" s="694">
        <f t="shared" si="10"/>
        <v>22690.9961</v>
      </c>
    </row>
    <row r="64" spans="2:29">
      <c r="C64" s="652"/>
      <c r="D64" s="652"/>
      <c r="E64" s="652"/>
      <c r="F64" s="652"/>
      <c r="G64" s="652"/>
      <c r="H64" s="652"/>
      <c r="I64" s="652"/>
      <c r="J64" s="652"/>
      <c r="K64" s="652"/>
      <c r="S64" s="694">
        <f>S56+S60</f>
        <v>1213</v>
      </c>
      <c r="T64" s="694">
        <f t="shared" ref="T64:AC64" si="11">T56+T60</f>
        <v>1242</v>
      </c>
      <c r="U64" s="694">
        <f t="shared" si="11"/>
        <v>1282</v>
      </c>
      <c r="V64" s="694">
        <f t="shared" si="11"/>
        <v>1371</v>
      </c>
      <c r="W64" s="694">
        <f t="shared" si="11"/>
        <v>1496</v>
      </c>
      <c r="X64" s="694">
        <f t="shared" si="11"/>
        <v>1771</v>
      </c>
      <c r="Y64" s="694">
        <f t="shared" si="11"/>
        <v>2046</v>
      </c>
      <c r="Z64" s="694">
        <f t="shared" si="11"/>
        <v>2321</v>
      </c>
      <c r="AA64" s="694">
        <f t="shared" si="11"/>
        <v>2570.29</v>
      </c>
      <c r="AB64" s="694">
        <f t="shared" si="11"/>
        <v>2872.9342999999999</v>
      </c>
      <c r="AC64" s="694">
        <f t="shared" si="11"/>
        <v>3247.029301</v>
      </c>
    </row>
    <row r="65" spans="3:29">
      <c r="C65" s="652"/>
      <c r="D65" s="652"/>
      <c r="E65" s="652"/>
      <c r="F65" s="652"/>
      <c r="G65" s="652"/>
      <c r="H65" s="652"/>
      <c r="I65" s="652"/>
      <c r="J65" s="652"/>
      <c r="K65" s="652"/>
      <c r="S65" s="694"/>
      <c r="T65" s="694"/>
      <c r="U65" s="694"/>
      <c r="V65" s="694"/>
      <c r="W65" s="694"/>
      <c r="X65" s="694"/>
      <c r="Y65" s="694"/>
      <c r="Z65" s="694"/>
      <c r="AA65" s="694"/>
      <c r="AB65" s="694"/>
      <c r="AC65" s="694"/>
    </row>
    <row r="66" spans="3:29">
      <c r="C66" s="652"/>
      <c r="D66" s="652"/>
      <c r="E66" s="652"/>
      <c r="F66" s="652"/>
      <c r="G66" s="652"/>
      <c r="H66" s="652"/>
      <c r="I66" s="652"/>
      <c r="J66" s="652"/>
      <c r="K66" s="652"/>
      <c r="S66" s="693">
        <f>POWER((W51/S51),(1/5))-1</f>
        <v>2.3028483186345428E-2</v>
      </c>
      <c r="W66" s="718">
        <f>SUM(W53:W57)/W51</f>
        <v>0.55285883101536226</v>
      </c>
    </row>
    <row r="67" spans="3:29">
      <c r="X67" s="704">
        <f>Model!R126+Model!R183+Model!R67+Model!R240</f>
        <v>1314</v>
      </c>
      <c r="Y67" s="717">
        <f>X67/X69</f>
        <v>3.9814562312517045E-2</v>
      </c>
    </row>
    <row r="68" spans="3:29">
      <c r="V68" s="692">
        <f>SUM(V61:V64)</f>
        <v>32117</v>
      </c>
      <c r="X68" s="692">
        <f>W51-X67</f>
        <v>31689</v>
      </c>
      <c r="Y68" s="717">
        <f>X68/X69</f>
        <v>0.96018543768748299</v>
      </c>
    </row>
    <row r="69" spans="3:29">
      <c r="X69" s="692">
        <f>W51</f>
        <v>33003</v>
      </c>
    </row>
    <row r="73" spans="3:29">
      <c r="S73" s="617">
        <v>35494.713378153028</v>
      </c>
      <c r="T73" s="617">
        <v>38671.225010058231</v>
      </c>
      <c r="U73" s="617">
        <v>42893.51727160353</v>
      </c>
      <c r="V73" s="617">
        <v>44476</v>
      </c>
      <c r="W73" s="617">
        <v>47279.097357312618</v>
      </c>
    </row>
    <row r="74" spans="3:29">
      <c r="S74" s="693">
        <f>POWER((W73/S73),(1/5))-1</f>
        <v>5.9012534805956474E-2</v>
      </c>
    </row>
    <row r="75" spans="3:29">
      <c r="S75" s="693">
        <f>POWER((Summary!N51/Summary!D51),(1/10))-1</f>
        <v>9.0475865966027413E-2</v>
      </c>
    </row>
    <row r="76" spans="3:29" ht="28.9">
      <c r="K76" s="698" t="s">
        <v>432</v>
      </c>
      <c r="L76" s="698" t="s">
        <v>433</v>
      </c>
      <c r="M76" s="698" t="s">
        <v>434</v>
      </c>
      <c r="N76" s="698" t="s">
        <v>435</v>
      </c>
      <c r="T76" s="698" t="s">
        <v>436</v>
      </c>
      <c r="U76" s="698" t="s">
        <v>437</v>
      </c>
      <c r="V76" s="698" t="s">
        <v>438</v>
      </c>
      <c r="W76" s="698" t="s">
        <v>439</v>
      </c>
      <c r="X76" s="698" t="s">
        <v>440</v>
      </c>
      <c r="Y76" s="698" t="s">
        <v>441</v>
      </c>
    </row>
    <row r="77" spans="3:29" ht="28.9">
      <c r="K77" s="697" t="s">
        <v>49</v>
      </c>
      <c r="L77" s="697">
        <v>50</v>
      </c>
      <c r="M77" s="697">
        <v>72</v>
      </c>
      <c r="N77" s="698">
        <v>22</v>
      </c>
      <c r="T77" s="700">
        <v>45</v>
      </c>
      <c r="U77" s="700">
        <v>55</v>
      </c>
      <c r="V77" s="699" t="s">
        <v>442</v>
      </c>
      <c r="W77" s="699" t="s">
        <v>443</v>
      </c>
      <c r="X77" s="700">
        <v>50</v>
      </c>
      <c r="Y77" s="708" t="s">
        <v>444</v>
      </c>
    </row>
    <row r="78" spans="3:29" ht="28.9">
      <c r="K78" s="697" t="s">
        <v>24</v>
      </c>
      <c r="L78" s="697">
        <v>65</v>
      </c>
      <c r="M78" s="697">
        <v>72</v>
      </c>
      <c r="N78" s="698">
        <v>7</v>
      </c>
      <c r="T78" s="700">
        <v>60</v>
      </c>
      <c r="U78" s="700">
        <v>62</v>
      </c>
      <c r="V78" s="699" t="s">
        <v>445</v>
      </c>
      <c r="W78" s="699" t="s">
        <v>446</v>
      </c>
      <c r="X78" s="700">
        <v>60</v>
      </c>
      <c r="Y78" s="617">
        <f>X78-X77</f>
        <v>10</v>
      </c>
    </row>
    <row r="79" spans="3:29" ht="28.9">
      <c r="K79" s="697" t="s">
        <v>56</v>
      </c>
      <c r="L79" s="697">
        <v>70</v>
      </c>
      <c r="M79" s="697">
        <v>78</v>
      </c>
      <c r="N79" s="698">
        <v>8</v>
      </c>
      <c r="T79" s="700">
        <v>70</v>
      </c>
      <c r="U79" s="700">
        <v>68</v>
      </c>
      <c r="V79" s="699" t="s">
        <v>447</v>
      </c>
      <c r="W79" s="699" t="s">
        <v>448</v>
      </c>
      <c r="X79" s="700">
        <v>68</v>
      </c>
      <c r="Y79" s="617">
        <f t="shared" ref="Y79:Y80" si="12">X79-X78</f>
        <v>8</v>
      </c>
    </row>
    <row r="80" spans="3:29" ht="43.15">
      <c r="K80" s="697" t="s">
        <v>57</v>
      </c>
      <c r="L80" s="697">
        <v>68</v>
      </c>
      <c r="M80" s="697">
        <v>74</v>
      </c>
      <c r="N80" s="698">
        <v>6</v>
      </c>
      <c r="T80" s="700">
        <v>75</v>
      </c>
      <c r="U80" s="700">
        <v>72</v>
      </c>
      <c r="V80" s="699" t="s">
        <v>449</v>
      </c>
      <c r="W80" s="699" t="s">
        <v>450</v>
      </c>
      <c r="X80" s="700">
        <v>72</v>
      </c>
      <c r="Y80" s="617">
        <f t="shared" si="12"/>
        <v>4</v>
      </c>
    </row>
    <row r="82" spans="19:27">
      <c r="S82" s="698" t="s">
        <v>438</v>
      </c>
      <c r="U82" s="698" t="s">
        <v>451</v>
      </c>
      <c r="V82" s="698" t="s">
        <v>452</v>
      </c>
      <c r="W82" s="698" t="s">
        <v>453</v>
      </c>
      <c r="X82" s="698" t="s">
        <v>454</v>
      </c>
    </row>
    <row r="83" spans="19:27" ht="28.9">
      <c r="S83" s="699" t="s">
        <v>455</v>
      </c>
      <c r="U83" s="699" t="s">
        <v>456</v>
      </c>
      <c r="V83" s="699" t="s">
        <v>457</v>
      </c>
      <c r="W83" s="699" t="s">
        <v>458</v>
      </c>
      <c r="X83" s="699" t="s">
        <v>459</v>
      </c>
    </row>
    <row r="84" spans="19:27" ht="28.9">
      <c r="S84" s="699" t="s">
        <v>445</v>
      </c>
      <c r="U84" s="699" t="s">
        <v>460</v>
      </c>
      <c r="V84" s="699" t="s">
        <v>461</v>
      </c>
      <c r="W84" s="699" t="s">
        <v>462</v>
      </c>
      <c r="X84" s="699" t="s">
        <v>463</v>
      </c>
    </row>
    <row r="85" spans="19:27" ht="43.15">
      <c r="S85" s="699" t="s">
        <v>447</v>
      </c>
      <c r="U85" s="699" t="s">
        <v>464</v>
      </c>
      <c r="V85" s="699" t="s">
        <v>465</v>
      </c>
      <c r="W85" s="699" t="s">
        <v>466</v>
      </c>
      <c r="X85" s="699" t="s">
        <v>467</v>
      </c>
    </row>
    <row r="86" spans="19:27" ht="28.9">
      <c r="S86" s="699" t="s">
        <v>449</v>
      </c>
      <c r="U86" s="699" t="s">
        <v>468</v>
      </c>
      <c r="V86" s="699" t="s">
        <v>469</v>
      </c>
      <c r="W86" s="699" t="s">
        <v>470</v>
      </c>
      <c r="X86" s="699" t="s">
        <v>471</v>
      </c>
    </row>
    <row r="94" spans="19:27">
      <c r="X94" s="692"/>
      <c r="Y94" s="692"/>
      <c r="Z94" s="692"/>
      <c r="AA94" s="692"/>
    </row>
    <row r="95" spans="19:27">
      <c r="T95" s="617">
        <v>1017</v>
      </c>
      <c r="U95" s="617">
        <v>939</v>
      </c>
      <c r="V95" s="617">
        <v>639</v>
      </c>
      <c r="W95" s="617">
        <v>239</v>
      </c>
      <c r="X95" s="692">
        <v>215.1</v>
      </c>
      <c r="Y95" s="692">
        <v>193.59</v>
      </c>
      <c r="Z95" s="692">
        <v>174.23099999999999</v>
      </c>
      <c r="AA95" s="692">
        <v>156.80789999999999</v>
      </c>
    </row>
    <row r="106" spans="19:29">
      <c r="S106" s="75">
        <v>-1470</v>
      </c>
      <c r="T106" s="75">
        <v>-1708</v>
      </c>
      <c r="U106" s="75">
        <v>-1977</v>
      </c>
      <c r="V106" s="75">
        <v>-2063</v>
      </c>
      <c r="W106" s="75">
        <v>-1947.0228481765776</v>
      </c>
      <c r="X106" s="75">
        <v>-2186.1455674962467</v>
      </c>
      <c r="Y106" s="75">
        <v>-2368.8354717862312</v>
      </c>
      <c r="Z106" s="75">
        <v>-2562.4988243765429</v>
      </c>
      <c r="AA106" s="75">
        <v>-2766.5583150888415</v>
      </c>
      <c r="AB106" s="75">
        <v>-2989.9146755771721</v>
      </c>
      <c r="AC106" s="75">
        <v>-3251.8088935717233</v>
      </c>
    </row>
    <row r="107" spans="19:29">
      <c r="S107" s="24">
        <v>-4.1414618124646807E-2</v>
      </c>
      <c r="T107" s="24">
        <v>-4.4167207000961467E-2</v>
      </c>
      <c r="U107" s="24">
        <v>-4.6090880994476488E-2</v>
      </c>
      <c r="V107" s="24">
        <v>-4.6384566957460203E-2</v>
      </c>
      <c r="W107" s="24">
        <v>-4.1181472511243558E-2</v>
      </c>
      <c r="X107" s="24">
        <v>-4.2574026846183458E-2</v>
      </c>
      <c r="Y107" s="24">
        <v>-4.1686628577488949E-2</v>
      </c>
      <c r="Z107" s="24">
        <v>-4.0718017038066823E-2</v>
      </c>
      <c r="AA107" s="24">
        <v>-3.9240451462476622E-2</v>
      </c>
      <c r="AB107" s="24">
        <v>-3.7340777238174597E-2</v>
      </c>
      <c r="AC107" s="24">
        <v>-3.5083209315238791E-2</v>
      </c>
    </row>
    <row r="110" spans="19:29">
      <c r="S110" s="705">
        <f>S106*-1</f>
        <v>1470</v>
      </c>
      <c r="T110" s="705">
        <f t="shared" ref="T110:AC110" si="13">T106*-1</f>
        <v>1708</v>
      </c>
      <c r="U110" s="705">
        <f t="shared" si="13"/>
        <v>1977</v>
      </c>
      <c r="V110" s="705">
        <f t="shared" si="13"/>
        <v>2063</v>
      </c>
      <c r="W110" s="705">
        <f t="shared" si="13"/>
        <v>1947.0228481765776</v>
      </c>
      <c r="X110" s="705">
        <f t="shared" si="13"/>
        <v>2186.1455674962467</v>
      </c>
      <c r="Y110" s="705">
        <f t="shared" si="13"/>
        <v>2368.8354717862312</v>
      </c>
      <c r="Z110" s="705">
        <f t="shared" si="13"/>
        <v>2562.4988243765429</v>
      </c>
      <c r="AA110" s="705">
        <f t="shared" si="13"/>
        <v>2766.5583150888415</v>
      </c>
      <c r="AB110" s="705">
        <f t="shared" si="13"/>
        <v>2989.9146755771721</v>
      </c>
      <c r="AC110" s="705">
        <f t="shared" si="13"/>
        <v>3251.8088935717233</v>
      </c>
    </row>
    <row r="111" spans="19:29">
      <c r="S111" s="707">
        <f>S107*-1</f>
        <v>4.1414618124646807E-2</v>
      </c>
      <c r="T111" s="707">
        <f t="shared" ref="T111:AC111" si="14">T107*-1</f>
        <v>4.4167207000961467E-2</v>
      </c>
      <c r="U111" s="707">
        <f t="shared" si="14"/>
        <v>4.6090880994476488E-2</v>
      </c>
      <c r="V111" s="707">
        <f t="shared" si="14"/>
        <v>4.6384566957460203E-2</v>
      </c>
      <c r="W111" s="707">
        <f t="shared" si="14"/>
        <v>4.1181472511243558E-2</v>
      </c>
      <c r="X111" s="707">
        <f t="shared" si="14"/>
        <v>4.2574026846183458E-2</v>
      </c>
      <c r="Y111" s="707">
        <f t="shared" si="14"/>
        <v>4.1686628577488949E-2</v>
      </c>
      <c r="Z111" s="707">
        <f t="shared" si="14"/>
        <v>4.0718017038066823E-2</v>
      </c>
      <c r="AA111" s="707">
        <f t="shared" si="14"/>
        <v>3.9240451462476622E-2</v>
      </c>
      <c r="AB111" s="707">
        <f t="shared" si="14"/>
        <v>3.7340777238174597E-2</v>
      </c>
      <c r="AC111" s="707">
        <f t="shared" si="14"/>
        <v>3.5083209315238791E-2</v>
      </c>
    </row>
    <row r="131" spans="16:18" ht="43.15">
      <c r="P131" s="698" t="s">
        <v>438</v>
      </c>
      <c r="Q131" s="698" t="s">
        <v>472</v>
      </c>
      <c r="R131" s="698" t="s">
        <v>473</v>
      </c>
    </row>
    <row r="132" spans="16:18">
      <c r="P132" s="699">
        <v>2025</v>
      </c>
      <c r="Q132" s="699">
        <v>328</v>
      </c>
      <c r="R132" s="699" t="s">
        <v>474</v>
      </c>
    </row>
    <row r="133" spans="16:18" ht="43.15">
      <c r="P133" s="699" t="s">
        <v>475</v>
      </c>
      <c r="Q133" s="699">
        <v>329</v>
      </c>
      <c r="R133" s="699" t="s">
        <v>476</v>
      </c>
    </row>
    <row r="134" spans="16:18" ht="43.15">
      <c r="P134" s="699" t="s">
        <v>477</v>
      </c>
      <c r="Q134" s="700">
        <v>322.2</v>
      </c>
      <c r="R134" s="700" t="s">
        <v>478</v>
      </c>
    </row>
  </sheetData>
  <hyperlinks>
    <hyperlink ref="F10" r:id="rId1" xr:uid="{45AF3695-4BB0-489C-83FE-A8F0752A7A9C}"/>
    <hyperlink ref="F12" r:id="rId2" xr:uid="{0C3A7C9A-9093-4789-8821-2DD189F3B6BA}"/>
    <hyperlink ref="F13" r:id="rId3" xr:uid="{6D525AF6-10E8-47D5-89C6-C8922C89A331}"/>
    <hyperlink ref="F11" r:id="rId4" xr:uid="{C0BBB840-691E-44BF-8382-268ED62CB1A5}"/>
  </hyperlinks>
  <pageMargins left="0.511811024" right="0.511811024" top="0.78740157499999996" bottom="0.78740157499999996" header="0.31496062000000002" footer="0.31496062000000002"/>
  <drawing r:id="rId5"/>
  <legacyDrawing r:id="rId6"/>
  <tableParts count="1">
    <tablePart r:id="rId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8000A-7370-450E-B12B-6B8BF15951C2}">
  <dimension ref="A1:R23"/>
  <sheetViews>
    <sheetView topLeftCell="D4" workbookViewId="0">
      <selection activeCell="K26" sqref="K26:L26"/>
    </sheetView>
  </sheetViews>
  <sheetFormatPr defaultColWidth="8.85546875" defaultRowHeight="14.45"/>
  <cols>
    <col min="1" max="1" width="30" style="654" customWidth="1"/>
    <col min="2" max="2" width="10" style="654" customWidth="1"/>
    <col min="3" max="3" width="21.28515625" style="654" bestFit="1" customWidth="1"/>
    <col min="4" max="6" width="10" style="654" customWidth="1"/>
    <col min="7" max="7" width="12" style="654" customWidth="1"/>
    <col min="8" max="8" width="16" style="654" customWidth="1"/>
    <col min="9" max="11" width="10" style="654" customWidth="1"/>
    <col min="12" max="12" width="16" style="654" customWidth="1"/>
    <col min="13" max="13" width="18" style="654" customWidth="1"/>
    <col min="14" max="14" width="14" style="654" customWidth="1"/>
    <col min="15" max="16" width="18.42578125" style="654" bestFit="1" customWidth="1"/>
    <col min="17" max="17" width="20" style="654" customWidth="1"/>
    <col min="18" max="18" width="13.28515625" style="654" bestFit="1" customWidth="1"/>
    <col min="19" max="16384" width="8.85546875" style="654"/>
  </cols>
  <sheetData>
    <row r="1" spans="1:18">
      <c r="A1" s="655" t="s">
        <v>479</v>
      </c>
      <c r="B1" s="655" t="s">
        <v>480</v>
      </c>
      <c r="C1" s="655" t="s">
        <v>481</v>
      </c>
      <c r="D1" s="655" t="s">
        <v>296</v>
      </c>
      <c r="E1" s="655" t="s">
        <v>482</v>
      </c>
      <c r="F1" s="655" t="s">
        <v>483</v>
      </c>
      <c r="G1" s="655" t="s">
        <v>484</v>
      </c>
      <c r="H1" s="655" t="s">
        <v>485</v>
      </c>
      <c r="I1" s="655" t="s">
        <v>486</v>
      </c>
      <c r="J1" s="655" t="s">
        <v>487</v>
      </c>
      <c r="K1" s="655" t="s">
        <v>488</v>
      </c>
      <c r="L1" s="655" t="s">
        <v>489</v>
      </c>
      <c r="M1" s="655" t="s">
        <v>490</v>
      </c>
      <c r="N1" s="655" t="s">
        <v>491</v>
      </c>
      <c r="O1" s="655" t="s">
        <v>108</v>
      </c>
      <c r="P1" s="655" t="s">
        <v>492</v>
      </c>
      <c r="Q1" s="655" t="s">
        <v>493</v>
      </c>
      <c r="R1" s="708"/>
    </row>
    <row r="2" spans="1:18">
      <c r="A2" s="719" t="s">
        <v>494</v>
      </c>
      <c r="B2" s="719" t="s">
        <v>495</v>
      </c>
      <c r="C2" s="720">
        <v>222616.03</v>
      </c>
      <c r="D2" s="721">
        <v>26.15</v>
      </c>
      <c r="E2" s="722"/>
      <c r="F2" s="722"/>
      <c r="G2" s="720">
        <v>15.25</v>
      </c>
      <c r="H2" s="723">
        <v>2.3599999999999999E-2</v>
      </c>
      <c r="I2" s="721">
        <v>13.51</v>
      </c>
      <c r="J2" s="722"/>
      <c r="K2" s="722"/>
      <c r="L2" s="721">
        <v>57.41</v>
      </c>
      <c r="M2" s="721">
        <v>45.07</v>
      </c>
      <c r="N2" s="721">
        <v>31.85</v>
      </c>
      <c r="O2" s="724">
        <v>12425000000</v>
      </c>
      <c r="P2" s="724">
        <v>14594000</v>
      </c>
      <c r="Q2" s="722" t="s">
        <v>496</v>
      </c>
      <c r="R2" s="708"/>
    </row>
    <row r="3" spans="1:18">
      <c r="A3" s="719" t="s">
        <v>497</v>
      </c>
      <c r="B3" s="719" t="s">
        <v>498</v>
      </c>
      <c r="C3" s="720">
        <v>107925.89</v>
      </c>
      <c r="D3" s="721">
        <v>78.94</v>
      </c>
      <c r="E3" s="722"/>
      <c r="F3" s="722"/>
      <c r="G3" s="720">
        <v>20.37</v>
      </c>
      <c r="H3" s="723">
        <v>2.6800000000000001E-2</v>
      </c>
      <c r="I3" s="721">
        <v>6.87</v>
      </c>
      <c r="J3" s="722"/>
      <c r="K3" s="722"/>
      <c r="L3" s="721">
        <v>22.17</v>
      </c>
      <c r="M3" s="721">
        <v>9.26</v>
      </c>
      <c r="N3" s="721">
        <v>3.63</v>
      </c>
      <c r="O3" s="724">
        <v>3549100000</v>
      </c>
      <c r="P3" s="724">
        <v>5297300</v>
      </c>
      <c r="Q3" s="722" t="s">
        <v>499</v>
      </c>
      <c r="R3" s="708"/>
    </row>
    <row r="4" spans="1:18">
      <c r="A4" s="719" t="s">
        <v>500</v>
      </c>
      <c r="B4" s="719" t="s">
        <v>501</v>
      </c>
      <c r="C4" s="720">
        <v>42967.42</v>
      </c>
      <c r="D4" s="721">
        <v>28.5</v>
      </c>
      <c r="E4" s="721">
        <v>14.97</v>
      </c>
      <c r="F4" s="722"/>
      <c r="G4" s="720">
        <v>18.04</v>
      </c>
      <c r="H4" s="723"/>
      <c r="I4" s="721">
        <v>13.88</v>
      </c>
      <c r="J4" s="721">
        <v>47.36</v>
      </c>
      <c r="K4" s="722"/>
      <c r="L4" s="721">
        <v>40.1</v>
      </c>
      <c r="M4" s="721">
        <v>15.21</v>
      </c>
      <c r="N4" s="721">
        <v>12.88</v>
      </c>
      <c r="O4" s="724">
        <v>1988735000</v>
      </c>
      <c r="P4" s="724">
        <v>2381940</v>
      </c>
      <c r="Q4" s="722" t="s">
        <v>502</v>
      </c>
      <c r="R4" s="708"/>
    </row>
    <row r="5" spans="1:18">
      <c r="A5" s="719" t="s">
        <v>503</v>
      </c>
      <c r="B5" s="719" t="s">
        <v>504</v>
      </c>
      <c r="C5" s="720">
        <v>43719.22</v>
      </c>
      <c r="D5" s="721">
        <v>28.37</v>
      </c>
      <c r="E5" s="722"/>
      <c r="F5" s="722"/>
      <c r="G5" s="720">
        <v>15.02</v>
      </c>
      <c r="H5" s="723">
        <v>1.89E-2</v>
      </c>
      <c r="I5" s="721">
        <v>22.65</v>
      </c>
      <c r="J5" s="722"/>
      <c r="K5" s="722"/>
      <c r="L5" s="721">
        <v>46.16</v>
      </c>
      <c r="M5" s="721">
        <v>31.93</v>
      </c>
      <c r="N5" s="721">
        <v>18.98</v>
      </c>
      <c r="O5" s="724">
        <v>2455000000</v>
      </c>
      <c r="P5" s="724">
        <v>2910000</v>
      </c>
      <c r="Q5" s="722" t="s">
        <v>505</v>
      </c>
      <c r="R5" s="708"/>
    </row>
    <row r="6" spans="1:18">
      <c r="A6" s="725" t="s">
        <v>506</v>
      </c>
      <c r="B6" s="725" t="s">
        <v>288</v>
      </c>
      <c r="C6" s="726">
        <v>33859.06</v>
      </c>
      <c r="D6" s="727">
        <v>28.24</v>
      </c>
      <c r="E6" s="727">
        <v>7.08</v>
      </c>
      <c r="F6" s="728"/>
      <c r="G6" s="726">
        <v>12.12</v>
      </c>
      <c r="H6" s="729">
        <v>3.5000000000000003E-2</v>
      </c>
      <c r="I6" s="727">
        <v>6.2</v>
      </c>
      <c r="J6" s="727">
        <v>24.01</v>
      </c>
      <c r="K6" s="728"/>
      <c r="L6" s="727">
        <v>33.85</v>
      </c>
      <c r="M6" s="727">
        <v>26.44</v>
      </c>
      <c r="N6" s="727">
        <v>8.23</v>
      </c>
      <c r="O6" s="730">
        <v>2158000000</v>
      </c>
      <c r="P6" s="730">
        <v>2794000</v>
      </c>
      <c r="Q6" s="728" t="s">
        <v>507</v>
      </c>
      <c r="R6" s="708"/>
    </row>
    <row r="7" spans="1:18">
      <c r="A7" s="719" t="s">
        <v>508</v>
      </c>
      <c r="B7" s="719" t="s">
        <v>509</v>
      </c>
      <c r="C7" s="720">
        <v>12535.68</v>
      </c>
      <c r="D7" s="721">
        <v>21.23</v>
      </c>
      <c r="E7" s="722"/>
      <c r="F7" s="722"/>
      <c r="G7" s="720">
        <v>12.42</v>
      </c>
      <c r="H7" s="723">
        <v>2.1100000000000001E-2</v>
      </c>
      <c r="I7" s="721">
        <v>34.56</v>
      </c>
      <c r="J7" s="722"/>
      <c r="K7" s="722"/>
      <c r="L7" s="721">
        <v>28.62</v>
      </c>
      <c r="M7" s="721">
        <v>18.059999999999999</v>
      </c>
      <c r="N7" s="721">
        <v>12.18</v>
      </c>
      <c r="O7" s="724">
        <v>857138000</v>
      </c>
      <c r="P7" s="724">
        <v>1009170</v>
      </c>
      <c r="Q7" s="722" t="s">
        <v>510</v>
      </c>
      <c r="R7" s="708"/>
    </row>
    <row r="8" spans="1:18">
      <c r="A8" s="719" t="s">
        <v>511</v>
      </c>
      <c r="B8" s="719" t="s">
        <v>512</v>
      </c>
      <c r="C8" s="720">
        <v>18881.25</v>
      </c>
      <c r="D8" s="721">
        <v>21.35</v>
      </c>
      <c r="E8" s="721">
        <v>3.53</v>
      </c>
      <c r="F8" s="722"/>
      <c r="G8" s="720">
        <v>10.64</v>
      </c>
      <c r="H8" s="723">
        <v>2.1999999999999999E-2</v>
      </c>
      <c r="I8" s="721">
        <v>7.57</v>
      </c>
      <c r="J8" s="721">
        <v>16.03</v>
      </c>
      <c r="K8" s="722"/>
      <c r="L8" s="721">
        <v>20.56</v>
      </c>
      <c r="M8" s="721">
        <v>7.16</v>
      </c>
      <c r="N8" s="721">
        <v>7.88</v>
      </c>
      <c r="O8" s="724">
        <v>1474000000</v>
      </c>
      <c r="P8" s="724">
        <v>1775000</v>
      </c>
      <c r="Q8" s="722" t="s">
        <v>513</v>
      </c>
      <c r="R8" s="708"/>
    </row>
    <row r="9" spans="1:18">
      <c r="A9" s="719" t="s">
        <v>514</v>
      </c>
      <c r="B9" s="719" t="s">
        <v>515</v>
      </c>
      <c r="C9" s="720">
        <v>23703.58</v>
      </c>
      <c r="D9" s="721">
        <v>21.38</v>
      </c>
      <c r="E9" s="721">
        <v>11.29</v>
      </c>
      <c r="F9" s="722"/>
      <c r="G9" s="720">
        <v>11.93</v>
      </c>
      <c r="H9" s="723">
        <v>2.9899999999999999E-2</v>
      </c>
      <c r="I9" s="721">
        <v>7.2</v>
      </c>
      <c r="J9" s="721">
        <v>54.1</v>
      </c>
      <c r="K9" s="722"/>
      <c r="L9" s="721">
        <v>21.55</v>
      </c>
      <c r="M9" s="721">
        <v>10.39</v>
      </c>
      <c r="N9" s="721">
        <v>8.92</v>
      </c>
      <c r="O9" s="724">
        <v>766300000</v>
      </c>
      <c r="P9" s="724">
        <v>1987700</v>
      </c>
      <c r="Q9" s="722" t="s">
        <v>516</v>
      </c>
      <c r="R9" s="708"/>
    </row>
    <row r="10" spans="1:18">
      <c r="A10" s="719" t="s">
        <v>517</v>
      </c>
      <c r="B10" s="719" t="s">
        <v>518</v>
      </c>
      <c r="C10" s="720">
        <v>11232.93</v>
      </c>
      <c r="D10" s="721">
        <v>27.84</v>
      </c>
      <c r="E10" s="721">
        <v>7.67</v>
      </c>
      <c r="F10" s="722"/>
      <c r="G10" s="720">
        <v>16.48</v>
      </c>
      <c r="H10" s="723">
        <v>1.78E-2</v>
      </c>
      <c r="I10" s="721">
        <v>8.81</v>
      </c>
      <c r="J10" s="721">
        <v>29.02</v>
      </c>
      <c r="K10" s="722"/>
      <c r="L10" s="721">
        <v>16.53</v>
      </c>
      <c r="M10" s="721">
        <v>6.53</v>
      </c>
      <c r="N10" s="721">
        <v>6.9</v>
      </c>
      <c r="O10" s="724">
        <v>66244000</v>
      </c>
      <c r="P10" s="724">
        <v>681730</v>
      </c>
      <c r="Q10" s="722" t="s">
        <v>519</v>
      </c>
      <c r="R10" s="708"/>
    </row>
    <row r="11" spans="1:18">
      <c r="A11" s="719" t="s">
        <v>520</v>
      </c>
      <c r="B11" s="719" t="s">
        <v>521</v>
      </c>
      <c r="C11" s="720">
        <v>5151.13</v>
      </c>
      <c r="D11" s="721">
        <v>29.85</v>
      </c>
      <c r="E11" s="722"/>
      <c r="F11" s="722"/>
      <c r="G11" s="720">
        <v>23.71</v>
      </c>
      <c r="H11" s="723">
        <v>6.3E-2</v>
      </c>
      <c r="I11" s="721">
        <v>17.04</v>
      </c>
      <c r="J11" s="722"/>
      <c r="K11" s="722"/>
      <c r="L11" s="721">
        <v>48.68</v>
      </c>
      <c r="M11" s="721">
        <v>27.19</v>
      </c>
      <c r="N11" s="721">
        <v>25.01</v>
      </c>
      <c r="O11" s="724">
        <v>202108000</v>
      </c>
      <c r="P11" s="724">
        <v>217230</v>
      </c>
      <c r="Q11" s="722" t="s">
        <v>522</v>
      </c>
      <c r="R11" s="708"/>
    </row>
    <row r="13" spans="1:18" ht="28.9">
      <c r="A13" s="655" t="s">
        <v>479</v>
      </c>
      <c r="B13" s="655" t="s">
        <v>480</v>
      </c>
      <c r="C13" s="655" t="s">
        <v>481</v>
      </c>
      <c r="D13" s="655" t="s">
        <v>296</v>
      </c>
      <c r="E13" s="655" t="s">
        <v>482</v>
      </c>
      <c r="F13" s="655" t="s">
        <v>483</v>
      </c>
      <c r="G13" s="655" t="s">
        <v>484</v>
      </c>
      <c r="H13" s="655" t="s">
        <v>523</v>
      </c>
      <c r="I13" s="655" t="s">
        <v>524</v>
      </c>
      <c r="J13" s="655" t="s">
        <v>525</v>
      </c>
      <c r="K13" s="655" t="s">
        <v>349</v>
      </c>
      <c r="L13" s="655" t="s">
        <v>526</v>
      </c>
      <c r="M13" s="655" t="s">
        <v>527</v>
      </c>
      <c r="N13" s="655" t="s">
        <v>125</v>
      </c>
      <c r="O13" s="655" t="s">
        <v>108</v>
      </c>
      <c r="P13" s="655" t="s">
        <v>492</v>
      </c>
      <c r="Q13" s="655" t="s">
        <v>493</v>
      </c>
      <c r="R13" s="655" t="s">
        <v>528</v>
      </c>
    </row>
    <row r="14" spans="1:18">
      <c r="A14" s="719" t="s">
        <v>529</v>
      </c>
      <c r="B14" s="719" t="s">
        <v>495</v>
      </c>
      <c r="C14" s="731">
        <v>217119140423</v>
      </c>
      <c r="D14" s="721">
        <v>25.36</v>
      </c>
      <c r="E14" s="722"/>
      <c r="F14" s="722">
        <v>17.52</v>
      </c>
      <c r="G14" s="720">
        <v>16.899999999999999</v>
      </c>
      <c r="H14" s="723">
        <v>2.35E-2</v>
      </c>
      <c r="I14" s="721">
        <v>0.14929999999999999</v>
      </c>
      <c r="J14" s="722"/>
      <c r="K14" s="732">
        <v>0.2717</v>
      </c>
      <c r="L14" s="733"/>
      <c r="M14" s="733">
        <v>0.46100000000000002</v>
      </c>
      <c r="N14" s="733">
        <v>0.31850000000000001</v>
      </c>
      <c r="O14" s="724">
        <v>12393000000</v>
      </c>
      <c r="P14" s="724">
        <v>12850000000</v>
      </c>
      <c r="Q14" s="734" t="s">
        <v>530</v>
      </c>
      <c r="R14" s="721">
        <v>3.1069260700389099</v>
      </c>
    </row>
    <row r="15" spans="1:18">
      <c r="A15" s="719" t="s">
        <v>497</v>
      </c>
      <c r="B15" s="719" t="s">
        <v>498</v>
      </c>
      <c r="C15" s="731">
        <v>96931646086</v>
      </c>
      <c r="D15" s="721">
        <v>70.81</v>
      </c>
      <c r="E15" s="722"/>
      <c r="F15" s="722">
        <v>35.82</v>
      </c>
      <c r="G15" s="720"/>
      <c r="H15" s="723">
        <v>2.8799999999999999E-2</v>
      </c>
      <c r="I15" s="721">
        <v>4.2700000000000002E-2</v>
      </c>
      <c r="J15" s="722"/>
      <c r="K15" s="732">
        <v>0.37859999999999999</v>
      </c>
      <c r="L15" s="733"/>
      <c r="M15" s="733">
        <v>7.1800000000000003E-2</v>
      </c>
      <c r="N15" s="733">
        <v>3.6299999999999999E-2</v>
      </c>
      <c r="O15" s="724">
        <v>2705700000</v>
      </c>
      <c r="P15" s="724"/>
      <c r="Q15" s="734" t="s">
        <v>531</v>
      </c>
      <c r="R15" s="721"/>
    </row>
    <row r="16" spans="1:18">
      <c r="A16" s="719" t="s">
        <v>532</v>
      </c>
      <c r="B16" s="719" t="s">
        <v>501</v>
      </c>
      <c r="C16" s="731">
        <v>48189651000</v>
      </c>
      <c r="D16" s="721">
        <v>31.38</v>
      </c>
      <c r="E16" s="721">
        <v>17.02</v>
      </c>
      <c r="F16" s="722">
        <v>24.89</v>
      </c>
      <c r="G16" s="720">
        <v>20.98</v>
      </c>
      <c r="H16" s="723"/>
      <c r="I16" s="721">
        <v>0.16880000000000001</v>
      </c>
      <c r="J16" s="721">
        <v>0.47360000000000002</v>
      </c>
      <c r="K16" s="722"/>
      <c r="L16" s="733"/>
      <c r="M16" s="733">
        <v>0.1623</v>
      </c>
      <c r="N16" s="733">
        <v>0.1288</v>
      </c>
      <c r="O16" s="724">
        <v>1935798000</v>
      </c>
      <c r="P16" s="724">
        <v>2297180000</v>
      </c>
      <c r="Q16" s="734" t="s">
        <v>533</v>
      </c>
      <c r="R16" s="721"/>
    </row>
    <row r="17" spans="1:18">
      <c r="A17" s="719" t="s">
        <v>534</v>
      </c>
      <c r="B17" s="719" t="s">
        <v>504</v>
      </c>
      <c r="C17" s="731">
        <v>41818349729</v>
      </c>
      <c r="D17" s="721">
        <v>26.82</v>
      </c>
      <c r="E17" s="722"/>
      <c r="F17" s="722">
        <v>16.25</v>
      </c>
      <c r="G17" s="720">
        <v>15.04</v>
      </c>
      <c r="H17" s="723">
        <v>1.8800000000000001E-2</v>
      </c>
      <c r="I17" s="721">
        <v>0.2089</v>
      </c>
      <c r="J17" s="722"/>
      <c r="K17" s="732">
        <v>0.55640000000000001</v>
      </c>
      <c r="L17" s="733"/>
      <c r="M17" s="733">
        <v>0.31340000000000001</v>
      </c>
      <c r="N17" s="733">
        <v>0.1898</v>
      </c>
      <c r="O17" s="724">
        <v>2574000000</v>
      </c>
      <c r="P17" s="724">
        <v>2780000000</v>
      </c>
      <c r="Q17" s="734" t="s">
        <v>535</v>
      </c>
      <c r="R17" s="721">
        <v>4.0291366906474817</v>
      </c>
    </row>
    <row r="18" spans="1:18">
      <c r="A18" s="725" t="s">
        <v>536</v>
      </c>
      <c r="B18" s="725" t="s">
        <v>288</v>
      </c>
      <c r="C18" s="735">
        <v>21586774875</v>
      </c>
      <c r="D18" s="727">
        <v>28.78</v>
      </c>
      <c r="E18" s="727">
        <v>5.94</v>
      </c>
      <c r="F18" s="728">
        <v>9.8000000000000007</v>
      </c>
      <c r="G18" s="726"/>
      <c r="H18" s="729">
        <v>3.6299999999999999E-2</v>
      </c>
      <c r="I18" s="727">
        <v>2.9899999999999999E-2</v>
      </c>
      <c r="J18" s="727">
        <v>0.22239999999999999</v>
      </c>
      <c r="K18" s="736">
        <v>0.1008</v>
      </c>
      <c r="L18" s="737"/>
      <c r="M18" s="737">
        <v>0.2334</v>
      </c>
      <c r="N18" s="737">
        <v>7.9500000000000001E-2</v>
      </c>
      <c r="O18" s="730">
        <v>2202000000</v>
      </c>
      <c r="P18" s="730"/>
      <c r="Q18" s="738" t="s">
        <v>537</v>
      </c>
      <c r="R18" s="727"/>
    </row>
    <row r="19" spans="1:18">
      <c r="A19" s="719" t="s">
        <v>538</v>
      </c>
      <c r="B19" s="719" t="s">
        <v>515</v>
      </c>
      <c r="C19" s="731">
        <v>20117129726</v>
      </c>
      <c r="D19" s="721">
        <v>17.920000000000002</v>
      </c>
      <c r="E19" s="722">
        <v>9.67</v>
      </c>
      <c r="F19" s="722">
        <v>13.77</v>
      </c>
      <c r="G19" s="720">
        <v>10.06</v>
      </c>
      <c r="H19" s="723">
        <v>3.32E-2</v>
      </c>
      <c r="I19" s="721">
        <v>8.8200000000000001E-2</v>
      </c>
      <c r="J19" s="732">
        <v>0.54069999999999996</v>
      </c>
      <c r="K19" s="732">
        <v>0.32269999999999999</v>
      </c>
      <c r="L19" s="733">
        <v>0.20169999999999999</v>
      </c>
      <c r="M19" s="733">
        <v>0.11609999999999999</v>
      </c>
      <c r="N19" s="733">
        <v>8.9200000000000002E-2</v>
      </c>
      <c r="O19" s="724">
        <v>1460600000</v>
      </c>
      <c r="P19" s="724">
        <v>2000500000</v>
      </c>
      <c r="Q19" s="734" t="s">
        <v>539</v>
      </c>
      <c r="R19" s="721">
        <v>0.95726068482879278</v>
      </c>
    </row>
    <row r="20" spans="1:18">
      <c r="A20" s="719" t="s">
        <v>511</v>
      </c>
      <c r="B20" s="719" t="s">
        <v>512</v>
      </c>
      <c r="C20" s="731">
        <v>16856824829</v>
      </c>
      <c r="D20" s="721">
        <v>18.149999999999999</v>
      </c>
      <c r="E20" s="721">
        <v>3.13</v>
      </c>
      <c r="F20" s="722">
        <v>13.07</v>
      </c>
      <c r="G20" s="720">
        <v>9.6999999999999993</v>
      </c>
      <c r="H20" s="723">
        <v>1.01E-2</v>
      </c>
      <c r="I20" s="721">
        <v>8.48E-2</v>
      </c>
      <c r="J20" s="721">
        <v>0.1673</v>
      </c>
      <c r="K20" s="722"/>
      <c r="L20" s="733"/>
      <c r="M20" s="733">
        <v>0.10929999999999999</v>
      </c>
      <c r="N20" s="733">
        <v>7.8700000000000006E-2</v>
      </c>
      <c r="O20" s="724">
        <v>1290000000</v>
      </c>
      <c r="P20" s="724">
        <v>1738000000</v>
      </c>
      <c r="Q20" s="734" t="s">
        <v>540</v>
      </c>
      <c r="R20" s="721"/>
    </row>
    <row r="21" spans="1:18">
      <c r="A21" s="719" t="s">
        <v>541</v>
      </c>
      <c r="B21" s="719" t="s">
        <v>509</v>
      </c>
      <c r="C21" s="731">
        <v>14311113325</v>
      </c>
      <c r="D21" s="721">
        <v>23.78</v>
      </c>
      <c r="E21" s="721"/>
      <c r="F21" s="722">
        <v>15</v>
      </c>
      <c r="G21" s="720">
        <v>14.66</v>
      </c>
      <c r="H21" s="723">
        <v>1.6400000000000001E-2</v>
      </c>
      <c r="I21" s="721">
        <v>0.34849999999999998</v>
      </c>
      <c r="J21" s="721"/>
      <c r="K21" s="722"/>
      <c r="L21" s="733">
        <v>0.39950000000000002</v>
      </c>
      <c r="M21" s="733">
        <v>0.19309999999999999</v>
      </c>
      <c r="N21" s="733">
        <v>0.12180000000000001</v>
      </c>
      <c r="O21" s="724">
        <v>953974000</v>
      </c>
      <c r="P21" s="724">
        <v>976483000</v>
      </c>
      <c r="Q21" s="734" t="s">
        <v>542</v>
      </c>
      <c r="R21" s="721">
        <v>-0.11364765182804</v>
      </c>
    </row>
    <row r="22" spans="1:18">
      <c r="A22" s="719" t="s">
        <v>543</v>
      </c>
      <c r="B22" s="719" t="s">
        <v>518</v>
      </c>
      <c r="C22" s="731">
        <v>11035868871</v>
      </c>
      <c r="D22" s="721">
        <v>37.94</v>
      </c>
      <c r="E22" s="721">
        <v>7.55</v>
      </c>
      <c r="F22" s="722">
        <v>23.25</v>
      </c>
      <c r="G22" s="720">
        <v>16.2</v>
      </c>
      <c r="H22" s="723">
        <v>1.6199999999999999E-2</v>
      </c>
      <c r="I22" s="721">
        <v>8.6300000000000002E-2</v>
      </c>
      <c r="J22" s="721">
        <v>0.20630000000000001</v>
      </c>
      <c r="K22" s="732">
        <v>0.32229999999999998</v>
      </c>
      <c r="L22" s="733"/>
      <c r="M22" s="733">
        <v>8.0799999999999997E-2</v>
      </c>
      <c r="N22" s="733">
        <v>4.9500000000000002E-2</v>
      </c>
      <c r="O22" s="724">
        <v>474740000</v>
      </c>
      <c r="P22" s="724">
        <v>681380000</v>
      </c>
      <c r="Q22" s="734" t="s">
        <v>544</v>
      </c>
      <c r="R22" s="721">
        <v>-0.1243197628342481</v>
      </c>
    </row>
    <row r="23" spans="1:18">
      <c r="A23" s="719" t="s">
        <v>545</v>
      </c>
      <c r="B23" s="719" t="s">
        <v>546</v>
      </c>
      <c r="C23" s="731">
        <v>7000122742</v>
      </c>
      <c r="D23" s="721">
        <v>109.82</v>
      </c>
      <c r="E23" s="722">
        <v>8.98</v>
      </c>
      <c r="F23" s="722">
        <v>126.62</v>
      </c>
      <c r="G23" s="720">
        <v>54.29</v>
      </c>
      <c r="H23" s="723"/>
      <c r="I23" s="721">
        <v>5.04E-2</v>
      </c>
      <c r="J23" s="732">
        <v>8.6400000000000005E-2</v>
      </c>
      <c r="K23" s="722"/>
      <c r="L23" s="733">
        <v>0.19520000000000001</v>
      </c>
      <c r="M23" s="733">
        <v>4.6899999999999997E-2</v>
      </c>
      <c r="N23" s="733">
        <v>5.3999999999999999E-2</v>
      </c>
      <c r="O23" s="724">
        <v>55285000</v>
      </c>
      <c r="P23" s="724">
        <v>128946000</v>
      </c>
      <c r="Q23" s="734" t="s">
        <v>547</v>
      </c>
      <c r="R23" s="721"/>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22B9-28C2-4D77-A158-77E6D86FBD11}">
  <dimension ref="A1:B45"/>
  <sheetViews>
    <sheetView workbookViewId="0">
      <selection activeCell="D5" sqref="D5"/>
    </sheetView>
  </sheetViews>
  <sheetFormatPr defaultColWidth="8.85546875" defaultRowHeight="14.45"/>
  <cols>
    <col min="1" max="1" width="45" style="654" customWidth="1"/>
    <col min="2" max="2" width="85" style="654" customWidth="1"/>
    <col min="3" max="16384" width="8.85546875" style="654"/>
  </cols>
  <sheetData>
    <row r="1" spans="1:2" ht="31.15">
      <c r="A1" s="656" t="s">
        <v>548</v>
      </c>
      <c r="B1" s="656" t="s">
        <v>549</v>
      </c>
    </row>
    <row r="2" spans="1:2" ht="25.15" customHeight="1">
      <c r="A2" s="708"/>
      <c r="B2" s="708"/>
    </row>
    <row r="3" spans="1:2">
      <c r="A3" s="739" t="s">
        <v>550</v>
      </c>
      <c r="B3" s="739" t="s">
        <v>551</v>
      </c>
    </row>
    <row r="4" spans="1:2">
      <c r="A4" s="739" t="s">
        <v>552</v>
      </c>
      <c r="B4" s="739" t="s">
        <v>553</v>
      </c>
    </row>
    <row r="5" spans="1:2">
      <c r="A5" s="739" t="s">
        <v>554</v>
      </c>
      <c r="B5" s="739" t="s">
        <v>555</v>
      </c>
    </row>
    <row r="6" spans="1:2" ht="25.15" customHeight="1">
      <c r="A6" s="708"/>
      <c r="B6" s="708"/>
    </row>
    <row r="7" spans="1:2">
      <c r="A7" s="657" t="s">
        <v>556</v>
      </c>
      <c r="B7" s="739"/>
    </row>
    <row r="8" spans="1:2">
      <c r="A8" s="739"/>
      <c r="B8" s="739"/>
    </row>
    <row r="9" spans="1:2">
      <c r="A9" s="657" t="s">
        <v>557</v>
      </c>
      <c r="B9" s="739"/>
    </row>
    <row r="10" spans="1:2">
      <c r="A10" s="739" t="s">
        <v>558</v>
      </c>
      <c r="B10" s="739" t="s">
        <v>559</v>
      </c>
    </row>
    <row r="11" spans="1:2">
      <c r="A11" s="739" t="s">
        <v>560</v>
      </c>
      <c r="B11" s="739" t="s">
        <v>561</v>
      </c>
    </row>
    <row r="12" spans="1:2">
      <c r="A12" s="739" t="s">
        <v>483</v>
      </c>
      <c r="B12" s="739" t="s">
        <v>562</v>
      </c>
    </row>
    <row r="13" spans="1:2">
      <c r="A13" s="739" t="s">
        <v>484</v>
      </c>
      <c r="B13" s="739" t="s">
        <v>563</v>
      </c>
    </row>
    <row r="14" spans="1:2">
      <c r="A14" s="739" t="s">
        <v>485</v>
      </c>
      <c r="B14" s="739" t="s">
        <v>564</v>
      </c>
    </row>
    <row r="15" spans="1:2" ht="25.15" customHeight="1">
      <c r="A15" s="708"/>
      <c r="B15" s="708"/>
    </row>
    <row r="16" spans="1:2">
      <c r="A16" s="657" t="s">
        <v>565</v>
      </c>
      <c r="B16" s="739"/>
    </row>
    <row r="17" spans="1:2">
      <c r="A17" s="739" t="s">
        <v>486</v>
      </c>
      <c r="B17" s="739" t="s">
        <v>566</v>
      </c>
    </row>
    <row r="18" spans="1:2">
      <c r="A18" s="739" t="s">
        <v>487</v>
      </c>
      <c r="B18" s="739" t="s">
        <v>567</v>
      </c>
    </row>
    <row r="19" spans="1:2">
      <c r="A19" s="739" t="s">
        <v>488</v>
      </c>
      <c r="B19" s="739" t="s">
        <v>568</v>
      </c>
    </row>
    <row r="20" spans="1:2" ht="25.15" customHeight="1">
      <c r="A20" s="708"/>
      <c r="B20" s="708"/>
    </row>
    <row r="21" spans="1:2">
      <c r="A21" s="657" t="s">
        <v>569</v>
      </c>
      <c r="B21" s="739"/>
    </row>
    <row r="22" spans="1:2">
      <c r="A22" s="739" t="s">
        <v>489</v>
      </c>
      <c r="B22" s="739" t="s">
        <v>570</v>
      </c>
    </row>
    <row r="23" spans="1:2">
      <c r="A23" s="739" t="s">
        <v>490</v>
      </c>
      <c r="B23" s="739" t="s">
        <v>571</v>
      </c>
    </row>
    <row r="24" spans="1:2">
      <c r="A24" s="739" t="s">
        <v>491</v>
      </c>
      <c r="B24" s="739" t="s">
        <v>572</v>
      </c>
    </row>
    <row r="25" spans="1:2" ht="25.15" customHeight="1">
      <c r="A25" s="708"/>
      <c r="B25" s="708"/>
    </row>
    <row r="26" spans="1:2">
      <c r="A26" s="657" t="s">
        <v>573</v>
      </c>
      <c r="B26" s="739"/>
    </row>
    <row r="27" spans="1:2">
      <c r="A27" s="739" t="s">
        <v>108</v>
      </c>
      <c r="B27" s="739" t="s">
        <v>574</v>
      </c>
    </row>
    <row r="28" spans="1:2">
      <c r="A28" s="739" t="s">
        <v>492</v>
      </c>
      <c r="B28" s="739" t="s">
        <v>575</v>
      </c>
    </row>
    <row r="29" spans="1:2">
      <c r="A29" s="739" t="s">
        <v>481</v>
      </c>
      <c r="B29" s="739" t="s">
        <v>576</v>
      </c>
    </row>
    <row r="30" spans="1:2" ht="25.15" customHeight="1">
      <c r="A30" s="708"/>
      <c r="B30" s="708"/>
    </row>
    <row r="31" spans="1:2">
      <c r="A31" s="657" t="s">
        <v>577</v>
      </c>
      <c r="B31" s="739"/>
    </row>
    <row r="32" spans="1:2">
      <c r="A32" s="739" t="s">
        <v>578</v>
      </c>
      <c r="B32" s="739" t="s">
        <v>579</v>
      </c>
    </row>
    <row r="33" spans="1:2">
      <c r="A33" s="739" t="s">
        <v>580</v>
      </c>
      <c r="B33" s="739" t="s">
        <v>581</v>
      </c>
    </row>
    <row r="34" spans="1:2" ht="25.15" customHeight="1">
      <c r="A34" s="708"/>
      <c r="B34" s="708"/>
    </row>
    <row r="35" spans="1:2">
      <c r="A35" s="657" t="s">
        <v>582</v>
      </c>
      <c r="B35" s="739"/>
    </row>
    <row r="36" spans="1:2">
      <c r="A36" s="739" t="s">
        <v>583</v>
      </c>
      <c r="B36" s="739" t="s">
        <v>584</v>
      </c>
    </row>
    <row r="37" spans="1:2">
      <c r="A37" s="739" t="s">
        <v>585</v>
      </c>
      <c r="B37" s="739" t="s">
        <v>586</v>
      </c>
    </row>
    <row r="38" spans="1:2">
      <c r="A38" s="739" t="s">
        <v>554</v>
      </c>
      <c r="B38" s="739" t="s">
        <v>587</v>
      </c>
    </row>
    <row r="39" spans="1:2">
      <c r="A39" s="739" t="s">
        <v>588</v>
      </c>
      <c r="B39" s="739" t="s">
        <v>589</v>
      </c>
    </row>
    <row r="40" spans="1:2" ht="25.15" customHeight="1">
      <c r="A40" s="708"/>
      <c r="B40" s="708"/>
    </row>
    <row r="41" spans="1:2">
      <c r="A41" s="657" t="s">
        <v>590</v>
      </c>
      <c r="B41" s="739"/>
    </row>
    <row r="42" spans="1:2">
      <c r="A42" s="739" t="s">
        <v>349</v>
      </c>
      <c r="B42" s="739" t="s">
        <v>591</v>
      </c>
    </row>
    <row r="43" spans="1:2">
      <c r="A43" s="739" t="s">
        <v>492</v>
      </c>
      <c r="B43" s="739" t="s">
        <v>592</v>
      </c>
    </row>
    <row r="44" spans="1:2">
      <c r="A44" s="739" t="s">
        <v>481</v>
      </c>
      <c r="B44" s="739" t="s">
        <v>593</v>
      </c>
    </row>
    <row r="45" spans="1:2">
      <c r="A45" s="739" t="s">
        <v>594</v>
      </c>
      <c r="B45" s="739" t="s">
        <v>595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09D55-2F8D-41DA-A91B-870C104E0D16}">
  <dimension ref="A1:G21"/>
  <sheetViews>
    <sheetView topLeftCell="A8" workbookViewId="0">
      <selection activeCell="E19" sqref="E19"/>
    </sheetView>
  </sheetViews>
  <sheetFormatPr defaultRowHeight="14.45"/>
  <cols>
    <col min="1" max="1" width="34" customWidth="1"/>
    <col min="2" max="2" width="10" customWidth="1"/>
    <col min="3" max="3" width="8" customWidth="1"/>
    <col min="4" max="5" width="18" customWidth="1"/>
    <col min="6" max="6" width="55" customWidth="1"/>
    <col min="7" max="7" width="60" customWidth="1"/>
  </cols>
  <sheetData>
    <row r="1" spans="1:7">
      <c r="A1" s="691" t="s">
        <v>596</v>
      </c>
      <c r="B1" s="691" t="s">
        <v>597</v>
      </c>
      <c r="C1" s="691" t="s">
        <v>598</v>
      </c>
      <c r="D1" s="691" t="s">
        <v>599</v>
      </c>
      <c r="E1" s="691" t="s">
        <v>600</v>
      </c>
      <c r="F1" s="691" t="s">
        <v>601</v>
      </c>
      <c r="G1" s="691" t="s">
        <v>602</v>
      </c>
    </row>
    <row r="2" spans="1:7" ht="43.15">
      <c r="A2" s="668" t="s">
        <v>603</v>
      </c>
      <c r="B2" s="670" t="s">
        <v>604</v>
      </c>
      <c r="C2" s="670" t="s">
        <v>605</v>
      </c>
      <c r="D2" s="671">
        <v>0.74</v>
      </c>
      <c r="E2" s="671">
        <f>[3]Model!S14</f>
        <v>0.72</v>
      </c>
      <c r="F2" s="668" t="s">
        <v>603</v>
      </c>
      <c r="G2" s="668" t="s">
        <v>606</v>
      </c>
    </row>
    <row r="3" spans="1:7" ht="28.9">
      <c r="A3" s="668" t="s">
        <v>607</v>
      </c>
      <c r="B3" s="670" t="s">
        <v>604</v>
      </c>
      <c r="C3" s="670" t="s">
        <v>608</v>
      </c>
      <c r="D3" s="672">
        <f>AVERAGE(3.53%,3.32%,3.2%,3.16%)</f>
        <v>3.3024999999999999E-2</v>
      </c>
      <c r="E3" s="672">
        <f>[3]Model!S16</f>
        <v>3.15E-2</v>
      </c>
      <c r="F3" s="668" t="s">
        <v>609</v>
      </c>
      <c r="G3" s="668" t="s">
        <v>610</v>
      </c>
    </row>
    <row r="4" spans="1:7" ht="28.9">
      <c r="A4" s="668" t="s">
        <v>611</v>
      </c>
      <c r="B4" s="670" t="s">
        <v>604</v>
      </c>
      <c r="C4" s="670" t="s">
        <v>612</v>
      </c>
      <c r="D4" s="672">
        <v>0.02</v>
      </c>
      <c r="E4" s="672">
        <f>[3]Model!S74</f>
        <v>2.1000000000000001E-2</v>
      </c>
      <c r="F4" s="668" t="s">
        <v>613</v>
      </c>
      <c r="G4" s="668" t="s">
        <v>610</v>
      </c>
    </row>
    <row r="5" spans="1:7" ht="28.9">
      <c r="A5" s="668" t="s">
        <v>614</v>
      </c>
      <c r="B5" s="670" t="s">
        <v>604</v>
      </c>
      <c r="C5" s="670" t="s">
        <v>615</v>
      </c>
      <c r="D5" s="672">
        <v>0.02</v>
      </c>
      <c r="E5" s="672">
        <f>[3]Model!S133</f>
        <v>2.5000000000000001E-2</v>
      </c>
      <c r="F5" s="668" t="s">
        <v>614</v>
      </c>
      <c r="G5" s="668" t="s">
        <v>610</v>
      </c>
    </row>
    <row r="6" spans="1:7" ht="43.15">
      <c r="A6" s="668" t="s">
        <v>616</v>
      </c>
      <c r="B6" s="670" t="s">
        <v>604</v>
      </c>
      <c r="C6" s="670" t="s">
        <v>617</v>
      </c>
      <c r="D6" s="673">
        <v>500</v>
      </c>
      <c r="E6" s="673">
        <f>[3]Model!S124</f>
        <v>550</v>
      </c>
      <c r="F6" s="668" t="s">
        <v>618</v>
      </c>
      <c r="G6" s="668" t="s">
        <v>619</v>
      </c>
    </row>
    <row r="7" spans="1:7">
      <c r="A7" s="668" t="s">
        <v>620</v>
      </c>
      <c r="B7" s="670" t="s">
        <v>604</v>
      </c>
      <c r="C7" s="670" t="s">
        <v>621</v>
      </c>
      <c r="D7" s="672">
        <v>3.5000000000000003E-2</v>
      </c>
      <c r="E7" s="672">
        <f>[3]Model!S190</f>
        <v>0.04</v>
      </c>
      <c r="F7" s="668" t="s">
        <v>622</v>
      </c>
      <c r="G7" s="668" t="s">
        <v>610</v>
      </c>
    </row>
    <row r="8" spans="1:7" ht="28.9">
      <c r="A8" s="668" t="s">
        <v>623</v>
      </c>
      <c r="B8" s="670" t="s">
        <v>604</v>
      </c>
      <c r="C8" s="670" t="s">
        <v>624</v>
      </c>
      <c r="D8" s="673">
        <v>400</v>
      </c>
      <c r="E8" s="673">
        <f>[3]Model!S181</f>
        <v>420</v>
      </c>
      <c r="F8" s="668" t="s">
        <v>625</v>
      </c>
      <c r="G8" s="668" t="s">
        <v>610</v>
      </c>
    </row>
    <row r="9" spans="1:7">
      <c r="A9" s="668" t="s">
        <v>626</v>
      </c>
      <c r="B9" s="670" t="s">
        <v>604</v>
      </c>
      <c r="C9" s="670" t="s">
        <v>627</v>
      </c>
      <c r="D9" s="672">
        <v>1.4999999999999999E-2</v>
      </c>
      <c r="E9" s="672">
        <f>[3]Model!S247</f>
        <v>1.7000000000000001E-2</v>
      </c>
      <c r="F9" s="668" t="s">
        <v>628</v>
      </c>
      <c r="G9" s="668" t="s">
        <v>610</v>
      </c>
    </row>
    <row r="10" spans="1:7" ht="43.15">
      <c r="A10" s="668" t="s">
        <v>629</v>
      </c>
      <c r="B10" s="670" t="s">
        <v>604</v>
      </c>
      <c r="C10" s="670" t="s">
        <v>630</v>
      </c>
      <c r="D10" s="672">
        <v>0.5</v>
      </c>
      <c r="E10" s="672">
        <f>[3]Model!S925</f>
        <v>0.45</v>
      </c>
      <c r="F10" s="668" t="s">
        <v>631</v>
      </c>
      <c r="G10" s="668" t="s">
        <v>619</v>
      </c>
    </row>
    <row r="11" spans="1:7" ht="43.15">
      <c r="A11" s="668" t="s">
        <v>632</v>
      </c>
      <c r="B11" s="670" t="s">
        <v>604</v>
      </c>
      <c r="C11" s="670" t="s">
        <v>633</v>
      </c>
      <c r="D11" s="672">
        <v>0.5</v>
      </c>
      <c r="E11" s="672">
        <f>[3]Model!T925</f>
        <v>0.45</v>
      </c>
      <c r="F11" s="668" t="s">
        <v>632</v>
      </c>
      <c r="G11" s="668" t="s">
        <v>619</v>
      </c>
    </row>
    <row r="12" spans="1:7" ht="28.9">
      <c r="A12" s="668" t="s">
        <v>634</v>
      </c>
      <c r="B12" s="670" t="s">
        <v>635</v>
      </c>
      <c r="C12" s="670" t="s">
        <v>636</v>
      </c>
      <c r="D12" s="672">
        <v>0.09</v>
      </c>
      <c r="E12" s="672">
        <f>[3]Summary!B95</f>
        <v>8.5000000000000006E-2</v>
      </c>
      <c r="F12" s="668" t="s">
        <v>637</v>
      </c>
      <c r="G12" s="668" t="s">
        <v>610</v>
      </c>
    </row>
    <row r="15" spans="1:7">
      <c r="A15" s="740" t="s">
        <v>638</v>
      </c>
      <c r="B15" s="741"/>
      <c r="C15" s="741"/>
      <c r="D15" s="741"/>
      <c r="E15" s="741"/>
      <c r="F15" s="741"/>
      <c r="G15" s="741"/>
    </row>
    <row r="16" spans="1:7">
      <c r="A16" s="668" t="s">
        <v>639</v>
      </c>
      <c r="B16" s="670" t="s">
        <v>604</v>
      </c>
      <c r="C16" s="670" t="s">
        <v>608</v>
      </c>
      <c r="D16" s="670"/>
      <c r="E16" s="669">
        <v>4.3700000000000003E-2</v>
      </c>
      <c r="F16" s="668" t="s">
        <v>640</v>
      </c>
      <c r="G16" s="668" t="s">
        <v>610</v>
      </c>
    </row>
    <row r="17" spans="1:7">
      <c r="A17" s="668" t="s">
        <v>641</v>
      </c>
      <c r="B17" s="670" t="s">
        <v>642</v>
      </c>
      <c r="C17" s="670" t="s">
        <v>642</v>
      </c>
      <c r="D17" s="670"/>
      <c r="E17" s="671">
        <v>0.63</v>
      </c>
      <c r="F17" s="668" t="s">
        <v>643</v>
      </c>
      <c r="G17" s="668" t="s">
        <v>644</v>
      </c>
    </row>
    <row r="18" spans="1:7">
      <c r="A18" s="668" t="s">
        <v>645</v>
      </c>
      <c r="B18" s="670" t="s">
        <v>642</v>
      </c>
      <c r="C18" s="670" t="s">
        <v>642</v>
      </c>
      <c r="D18" s="670"/>
      <c r="E18" s="669">
        <v>0.06</v>
      </c>
      <c r="F18" s="668" t="s">
        <v>646</v>
      </c>
      <c r="G18" s="668" t="s">
        <v>644</v>
      </c>
    </row>
    <row r="19" spans="1:7">
      <c r="A19" s="668" t="s">
        <v>647</v>
      </c>
      <c r="B19" s="670" t="s">
        <v>642</v>
      </c>
      <c r="C19" s="670" t="s">
        <v>642</v>
      </c>
      <c r="D19" s="670"/>
      <c r="E19" s="669">
        <f>E16+E17*E18</f>
        <v>8.1500000000000003E-2</v>
      </c>
      <c r="F19" s="668" t="s">
        <v>648</v>
      </c>
      <c r="G19" s="668" t="s">
        <v>642</v>
      </c>
    </row>
    <row r="20" spans="1:7">
      <c r="E20" s="684"/>
    </row>
    <row r="21" spans="1:7">
      <c r="A21" s="715" t="s">
        <v>649</v>
      </c>
      <c r="B21" s="741"/>
      <c r="C21" s="741"/>
      <c r="D21" s="741"/>
      <c r="E21" s="741"/>
      <c r="F21" s="741"/>
      <c r="G21" s="741"/>
    </row>
  </sheetData>
  <mergeCells count="2">
    <mergeCell ref="A21:G21"/>
    <mergeCell ref="A15:G1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392ED-72DD-4D88-98F1-AAE0C4678B06}">
  <sheetPr>
    <pageSetUpPr fitToPage="1"/>
  </sheetPr>
  <dimension ref="B1:G137"/>
  <sheetViews>
    <sheetView showGridLines="0" view="pageBreakPreview" topLeftCell="A119" zoomScaleNormal="100" zoomScaleSheetLayoutView="100" workbookViewId="0">
      <selection activeCell="G134" sqref="G134"/>
    </sheetView>
  </sheetViews>
  <sheetFormatPr defaultColWidth="9.140625" defaultRowHeight="13.15"/>
  <cols>
    <col min="1" max="1" width="1.7109375" style="674" customWidth="1"/>
    <col min="2" max="2" width="31" style="674" customWidth="1"/>
    <col min="3" max="7" width="15.7109375" style="674" customWidth="1"/>
    <col min="8" max="8" width="2.7109375" style="674" customWidth="1"/>
    <col min="9" max="16384" width="9.140625" style="674"/>
  </cols>
  <sheetData>
    <row r="1" spans="2:7">
      <c r="B1" s="683" t="s">
        <v>650</v>
      </c>
    </row>
    <row r="3" spans="2:7">
      <c r="B3" s="682" t="s">
        <v>651</v>
      </c>
      <c r="C3" s="681" t="s">
        <v>24</v>
      </c>
      <c r="D3" s="681" t="s">
        <v>49</v>
      </c>
      <c r="E3" s="681" t="s">
        <v>56</v>
      </c>
      <c r="F3" s="681" t="s">
        <v>57</v>
      </c>
      <c r="G3" s="681" t="s">
        <v>652</v>
      </c>
    </row>
    <row r="4" spans="2:7">
      <c r="B4" s="680" t="s">
        <v>653</v>
      </c>
      <c r="C4" s="679">
        <v>0</v>
      </c>
      <c r="D4" s="679">
        <v>13</v>
      </c>
      <c r="E4" s="679">
        <v>1</v>
      </c>
      <c r="F4" s="679">
        <v>1</v>
      </c>
      <c r="G4" s="679">
        <v>15</v>
      </c>
    </row>
    <row r="5" spans="2:7">
      <c r="B5" s="680" t="s">
        <v>654</v>
      </c>
      <c r="C5" s="679">
        <v>2</v>
      </c>
      <c r="D5" s="679">
        <v>4</v>
      </c>
      <c r="E5" s="679">
        <v>3</v>
      </c>
      <c r="F5" s="679">
        <v>0</v>
      </c>
      <c r="G5" s="679">
        <v>9</v>
      </c>
    </row>
    <row r="6" spans="2:7">
      <c r="B6" s="680" t="s">
        <v>655</v>
      </c>
      <c r="C6" s="679">
        <v>0</v>
      </c>
      <c r="D6" s="679">
        <v>112</v>
      </c>
      <c r="E6" s="679">
        <v>0</v>
      </c>
      <c r="F6" s="679">
        <v>0</v>
      </c>
      <c r="G6" s="679">
        <v>112</v>
      </c>
    </row>
    <row r="7" spans="2:7">
      <c r="B7" s="680" t="s">
        <v>656</v>
      </c>
      <c r="C7" s="679">
        <v>0</v>
      </c>
      <c r="D7" s="679">
        <v>5</v>
      </c>
      <c r="E7" s="679">
        <v>0</v>
      </c>
      <c r="F7" s="679">
        <v>0</v>
      </c>
      <c r="G7" s="679">
        <v>5</v>
      </c>
    </row>
    <row r="8" spans="2:7">
      <c r="B8" s="680" t="s">
        <v>657</v>
      </c>
      <c r="C8" s="679">
        <v>0</v>
      </c>
      <c r="D8" s="679">
        <v>4</v>
      </c>
      <c r="E8" s="679">
        <v>0</v>
      </c>
      <c r="F8" s="679">
        <v>0</v>
      </c>
      <c r="G8" s="679">
        <v>4</v>
      </c>
    </row>
    <row r="9" spans="2:7">
      <c r="B9" s="680" t="s">
        <v>658</v>
      </c>
      <c r="C9" s="679">
        <v>0</v>
      </c>
      <c r="D9" s="679">
        <v>480</v>
      </c>
      <c r="E9" s="679">
        <v>0</v>
      </c>
      <c r="F9" s="679">
        <v>0</v>
      </c>
      <c r="G9" s="679">
        <v>480</v>
      </c>
    </row>
    <row r="10" spans="2:7">
      <c r="B10" s="680" t="s">
        <v>659</v>
      </c>
      <c r="C10" s="679">
        <v>0</v>
      </c>
      <c r="D10" s="679">
        <v>63</v>
      </c>
      <c r="E10" s="679">
        <v>0</v>
      </c>
      <c r="F10" s="679">
        <v>0</v>
      </c>
      <c r="G10" s="679">
        <v>63</v>
      </c>
    </row>
    <row r="11" spans="2:7">
      <c r="B11" s="680" t="s">
        <v>660</v>
      </c>
      <c r="C11" s="679">
        <v>0</v>
      </c>
      <c r="D11" s="679">
        <v>7</v>
      </c>
      <c r="E11" s="679">
        <v>0</v>
      </c>
      <c r="F11" s="679">
        <v>0</v>
      </c>
      <c r="G11" s="679">
        <v>7</v>
      </c>
    </row>
    <row r="12" spans="2:7">
      <c r="B12" s="680" t="s">
        <v>661</v>
      </c>
      <c r="C12" s="679">
        <v>9</v>
      </c>
      <c r="D12" s="679">
        <v>1</v>
      </c>
      <c r="E12" s="679">
        <v>4</v>
      </c>
      <c r="F12" s="679">
        <v>0</v>
      </c>
      <c r="G12" s="679">
        <v>14</v>
      </c>
    </row>
    <row r="13" spans="2:7">
      <c r="B13" s="680" t="s">
        <v>662</v>
      </c>
      <c r="C13" s="679">
        <v>0</v>
      </c>
      <c r="D13" s="679">
        <v>8</v>
      </c>
      <c r="E13" s="679">
        <v>0</v>
      </c>
      <c r="F13" s="679">
        <v>0</v>
      </c>
      <c r="G13" s="679">
        <v>8</v>
      </c>
    </row>
    <row r="14" spans="2:7">
      <c r="B14" s="680" t="s">
        <v>663</v>
      </c>
      <c r="C14" s="679">
        <v>0</v>
      </c>
      <c r="D14" s="679">
        <v>7</v>
      </c>
      <c r="E14" s="679">
        <v>0</v>
      </c>
      <c r="F14" s="679">
        <v>0</v>
      </c>
      <c r="G14" s="679">
        <v>7</v>
      </c>
    </row>
    <row r="15" spans="2:7">
      <c r="B15" s="680" t="s">
        <v>664</v>
      </c>
      <c r="C15" s="679">
        <v>0</v>
      </c>
      <c r="D15" s="679">
        <v>56</v>
      </c>
      <c r="E15" s="679">
        <v>0</v>
      </c>
      <c r="F15" s="679">
        <v>0</v>
      </c>
      <c r="G15" s="679">
        <v>56</v>
      </c>
    </row>
    <row r="16" spans="2:7">
      <c r="B16" s="680" t="s">
        <v>665</v>
      </c>
      <c r="C16" s="679">
        <v>0</v>
      </c>
      <c r="D16" s="679">
        <v>62</v>
      </c>
      <c r="E16" s="679">
        <v>0</v>
      </c>
      <c r="F16" s="679">
        <v>0</v>
      </c>
      <c r="G16" s="679">
        <v>62</v>
      </c>
    </row>
    <row r="17" spans="2:7">
      <c r="B17" s="680" t="s">
        <v>666</v>
      </c>
      <c r="C17" s="679">
        <v>0</v>
      </c>
      <c r="D17" s="679">
        <v>19</v>
      </c>
      <c r="E17" s="679">
        <v>0</v>
      </c>
      <c r="F17" s="679">
        <v>0</v>
      </c>
      <c r="G17" s="679">
        <v>19</v>
      </c>
    </row>
    <row r="18" spans="2:7">
      <c r="B18" s="680" t="s">
        <v>667</v>
      </c>
      <c r="C18" s="679">
        <v>0</v>
      </c>
      <c r="D18" s="679">
        <v>4</v>
      </c>
      <c r="E18" s="679">
        <v>0</v>
      </c>
      <c r="F18" s="679">
        <v>0</v>
      </c>
      <c r="G18" s="679">
        <v>4</v>
      </c>
    </row>
    <row r="19" spans="2:7">
      <c r="B19" s="680" t="s">
        <v>668</v>
      </c>
      <c r="C19" s="679">
        <v>0</v>
      </c>
      <c r="D19" s="679">
        <v>985</v>
      </c>
      <c r="E19" s="679">
        <v>95</v>
      </c>
      <c r="F19" s="679">
        <v>8</v>
      </c>
      <c r="G19" s="679">
        <v>1088</v>
      </c>
    </row>
    <row r="20" spans="2:7">
      <c r="B20" s="680" t="s">
        <v>669</v>
      </c>
      <c r="C20" s="679">
        <v>0</v>
      </c>
      <c r="D20" s="679">
        <v>5</v>
      </c>
      <c r="E20" s="679">
        <v>0</v>
      </c>
      <c r="F20" s="679">
        <v>0</v>
      </c>
      <c r="G20" s="679">
        <v>5</v>
      </c>
    </row>
    <row r="21" spans="2:7">
      <c r="B21" s="680" t="s">
        <v>670</v>
      </c>
      <c r="C21" s="679">
        <v>0</v>
      </c>
      <c r="D21" s="679">
        <v>7</v>
      </c>
      <c r="E21" s="679">
        <v>0</v>
      </c>
      <c r="F21" s="679">
        <v>0</v>
      </c>
      <c r="G21" s="679">
        <v>7</v>
      </c>
    </row>
    <row r="22" spans="2:7">
      <c r="B22" s="680" t="s">
        <v>671</v>
      </c>
      <c r="C22" s="679">
        <v>0</v>
      </c>
      <c r="D22" s="679">
        <v>14</v>
      </c>
      <c r="E22" s="679">
        <v>0</v>
      </c>
      <c r="F22" s="679">
        <v>0</v>
      </c>
      <c r="G22" s="679">
        <v>14</v>
      </c>
    </row>
    <row r="23" spans="2:7">
      <c r="B23" s="680" t="s">
        <v>672</v>
      </c>
      <c r="C23" s="679">
        <v>3903</v>
      </c>
      <c r="D23" s="679">
        <v>376</v>
      </c>
      <c r="E23" s="679">
        <v>382</v>
      </c>
      <c r="F23" s="679">
        <v>173</v>
      </c>
      <c r="G23" s="679">
        <v>4834</v>
      </c>
    </row>
    <row r="24" spans="2:7">
      <c r="B24" s="680" t="s">
        <v>673</v>
      </c>
      <c r="C24" s="679">
        <v>1</v>
      </c>
      <c r="D24" s="679">
        <v>5</v>
      </c>
      <c r="E24" s="679">
        <v>2</v>
      </c>
      <c r="F24" s="679">
        <v>0</v>
      </c>
      <c r="G24" s="679">
        <v>8</v>
      </c>
    </row>
    <row r="25" spans="2:7">
      <c r="B25" s="680" t="s">
        <v>674</v>
      </c>
      <c r="C25" s="679">
        <v>0</v>
      </c>
      <c r="D25" s="679">
        <v>91</v>
      </c>
      <c r="E25" s="679">
        <v>0</v>
      </c>
      <c r="F25" s="679">
        <v>0</v>
      </c>
      <c r="G25" s="679">
        <v>91</v>
      </c>
    </row>
    <row r="26" spans="2:7">
      <c r="B26" s="680" t="s">
        <v>675</v>
      </c>
      <c r="C26" s="679">
        <v>896</v>
      </c>
      <c r="D26" s="679">
        <v>1247</v>
      </c>
      <c r="E26" s="679">
        <v>74</v>
      </c>
      <c r="F26" s="679">
        <v>0</v>
      </c>
      <c r="G26" s="679">
        <v>2217</v>
      </c>
    </row>
    <row r="27" spans="2:7">
      <c r="B27" s="680" t="s">
        <v>676</v>
      </c>
      <c r="C27" s="679">
        <v>0</v>
      </c>
      <c r="D27" s="679">
        <v>43</v>
      </c>
      <c r="E27" s="679">
        <v>0</v>
      </c>
      <c r="F27" s="679">
        <v>0</v>
      </c>
      <c r="G27" s="679">
        <v>43</v>
      </c>
    </row>
    <row r="28" spans="2:7">
      <c r="B28" s="680" t="s">
        <v>677</v>
      </c>
      <c r="C28" s="679">
        <v>0</v>
      </c>
      <c r="D28" s="679">
        <v>49</v>
      </c>
      <c r="E28" s="679">
        <v>6</v>
      </c>
      <c r="F28" s="679">
        <v>0</v>
      </c>
      <c r="G28" s="679">
        <v>55</v>
      </c>
    </row>
    <row r="29" spans="2:7">
      <c r="B29" s="680" t="s">
        <v>678</v>
      </c>
      <c r="C29" s="679">
        <v>0</v>
      </c>
      <c r="D29" s="679">
        <v>8</v>
      </c>
      <c r="E29" s="679">
        <v>0</v>
      </c>
      <c r="F29" s="679">
        <v>0</v>
      </c>
      <c r="G29" s="679">
        <v>8</v>
      </c>
    </row>
    <row r="30" spans="2:7">
      <c r="B30" s="680" t="s">
        <v>679</v>
      </c>
      <c r="C30" s="679">
        <v>0</v>
      </c>
      <c r="D30" s="679">
        <v>3</v>
      </c>
      <c r="E30" s="679">
        <v>0</v>
      </c>
      <c r="F30" s="679">
        <v>0</v>
      </c>
      <c r="G30" s="679">
        <v>3</v>
      </c>
    </row>
    <row r="31" spans="2:7">
      <c r="B31" s="680" t="s">
        <v>680</v>
      </c>
      <c r="C31" s="679">
        <v>0</v>
      </c>
      <c r="D31" s="679">
        <v>22</v>
      </c>
      <c r="E31" s="679">
        <v>5</v>
      </c>
      <c r="F31" s="679">
        <v>0</v>
      </c>
      <c r="G31" s="679">
        <v>27</v>
      </c>
    </row>
    <row r="32" spans="2:7">
      <c r="B32" s="680" t="s">
        <v>681</v>
      </c>
      <c r="C32" s="679">
        <v>0</v>
      </c>
      <c r="D32" s="679">
        <v>65</v>
      </c>
      <c r="E32" s="679">
        <v>15</v>
      </c>
      <c r="F32" s="679">
        <v>0</v>
      </c>
      <c r="G32" s="679">
        <v>80</v>
      </c>
    </row>
    <row r="33" spans="2:7">
      <c r="B33" s="680" t="s">
        <v>682</v>
      </c>
      <c r="C33" s="679">
        <v>0</v>
      </c>
      <c r="D33" s="679">
        <v>63</v>
      </c>
      <c r="E33" s="679">
        <v>0</v>
      </c>
      <c r="F33" s="679">
        <v>0</v>
      </c>
      <c r="G33" s="679">
        <v>63</v>
      </c>
    </row>
    <row r="34" spans="2:7">
      <c r="B34" s="680" t="s">
        <v>683</v>
      </c>
      <c r="C34" s="679">
        <v>0</v>
      </c>
      <c r="D34" s="679">
        <v>2</v>
      </c>
      <c r="E34" s="679">
        <v>0</v>
      </c>
      <c r="F34" s="679">
        <v>0</v>
      </c>
      <c r="G34" s="679">
        <v>2</v>
      </c>
    </row>
    <row r="35" spans="2:7">
      <c r="B35" s="680" t="s">
        <v>684</v>
      </c>
      <c r="C35" s="679">
        <v>0</v>
      </c>
      <c r="D35" s="679">
        <v>35</v>
      </c>
      <c r="E35" s="679">
        <v>6</v>
      </c>
      <c r="F35" s="679">
        <v>0</v>
      </c>
      <c r="G35" s="679">
        <v>41</v>
      </c>
    </row>
    <row r="36" spans="2:7">
      <c r="B36" s="680" t="s">
        <v>685</v>
      </c>
      <c r="C36" s="679">
        <v>0</v>
      </c>
      <c r="D36" s="679">
        <v>29</v>
      </c>
      <c r="E36" s="679">
        <v>0</v>
      </c>
      <c r="F36" s="679">
        <v>0</v>
      </c>
      <c r="G36" s="679">
        <v>29</v>
      </c>
    </row>
    <row r="37" spans="2:7">
      <c r="B37" s="680" t="s">
        <v>686</v>
      </c>
      <c r="C37" s="679">
        <v>0</v>
      </c>
      <c r="D37" s="679">
        <v>44</v>
      </c>
      <c r="E37" s="679">
        <v>0</v>
      </c>
      <c r="F37" s="679">
        <v>0</v>
      </c>
      <c r="G37" s="679">
        <v>44</v>
      </c>
    </row>
    <row r="38" spans="2:7">
      <c r="B38" s="680" t="s">
        <v>687</v>
      </c>
      <c r="C38" s="679">
        <v>0</v>
      </c>
      <c r="D38" s="679">
        <v>49</v>
      </c>
      <c r="E38" s="679">
        <v>1</v>
      </c>
      <c r="F38" s="679">
        <v>0</v>
      </c>
      <c r="G38" s="679">
        <v>50</v>
      </c>
    </row>
    <row r="39" spans="2:7">
      <c r="B39" s="680" t="s">
        <v>688</v>
      </c>
      <c r="C39" s="679">
        <v>0</v>
      </c>
      <c r="D39" s="679">
        <v>8</v>
      </c>
      <c r="E39" s="679">
        <v>0</v>
      </c>
      <c r="F39" s="679">
        <v>0</v>
      </c>
      <c r="G39" s="679">
        <v>8</v>
      </c>
    </row>
    <row r="40" spans="2:7">
      <c r="B40" s="680" t="s">
        <v>689</v>
      </c>
      <c r="C40" s="679">
        <v>0</v>
      </c>
      <c r="D40" s="679">
        <v>2</v>
      </c>
      <c r="E40" s="679">
        <v>0</v>
      </c>
      <c r="F40" s="679">
        <v>0</v>
      </c>
      <c r="G40" s="679">
        <v>2</v>
      </c>
    </row>
    <row r="41" spans="2:7">
      <c r="B41" s="680" t="s">
        <v>690</v>
      </c>
      <c r="C41" s="679">
        <v>0</v>
      </c>
      <c r="D41" s="679">
        <v>7</v>
      </c>
      <c r="E41" s="679">
        <v>0</v>
      </c>
      <c r="F41" s="679">
        <v>0</v>
      </c>
      <c r="G41" s="679">
        <v>7</v>
      </c>
    </row>
    <row r="42" spans="2:7">
      <c r="B42" s="680" t="s">
        <v>691</v>
      </c>
      <c r="C42" s="679">
        <v>0</v>
      </c>
      <c r="D42" s="679">
        <v>73</v>
      </c>
      <c r="E42" s="679">
        <v>0</v>
      </c>
      <c r="F42" s="679">
        <v>0</v>
      </c>
      <c r="G42" s="679">
        <v>73</v>
      </c>
    </row>
    <row r="43" spans="2:7">
      <c r="B43" s="680" t="s">
        <v>692</v>
      </c>
      <c r="C43" s="679">
        <v>0</v>
      </c>
      <c r="D43" s="679">
        <v>617</v>
      </c>
      <c r="E43" s="679">
        <v>30</v>
      </c>
      <c r="F43" s="679">
        <v>0</v>
      </c>
      <c r="G43" s="679">
        <v>647</v>
      </c>
    </row>
    <row r="44" spans="2:7">
      <c r="B44" s="680" t="s">
        <v>693</v>
      </c>
      <c r="C44" s="679">
        <v>0</v>
      </c>
      <c r="D44" s="679">
        <v>1</v>
      </c>
      <c r="E44" s="679">
        <v>0</v>
      </c>
      <c r="F44" s="679">
        <v>0</v>
      </c>
      <c r="G44" s="679">
        <v>1</v>
      </c>
    </row>
    <row r="45" spans="2:7">
      <c r="B45" s="680" t="s">
        <v>694</v>
      </c>
      <c r="C45" s="679">
        <v>0</v>
      </c>
      <c r="D45" s="679">
        <v>1</v>
      </c>
      <c r="E45" s="679">
        <v>0</v>
      </c>
      <c r="F45" s="679">
        <v>0</v>
      </c>
      <c r="G45" s="679">
        <v>1</v>
      </c>
    </row>
    <row r="46" spans="2:7">
      <c r="B46" s="680" t="s">
        <v>695</v>
      </c>
      <c r="C46" s="679">
        <v>0</v>
      </c>
      <c r="D46" s="679">
        <v>5</v>
      </c>
      <c r="E46" s="679">
        <v>0</v>
      </c>
      <c r="F46" s="679">
        <v>0</v>
      </c>
      <c r="G46" s="679">
        <v>5</v>
      </c>
    </row>
    <row r="47" spans="2:7">
      <c r="B47" s="680" t="s">
        <v>696</v>
      </c>
      <c r="C47" s="679">
        <v>0</v>
      </c>
      <c r="D47" s="679">
        <v>757</v>
      </c>
      <c r="E47" s="679">
        <v>0</v>
      </c>
      <c r="F47" s="679">
        <v>0</v>
      </c>
      <c r="G47" s="679">
        <v>757</v>
      </c>
    </row>
    <row r="48" spans="2:7">
      <c r="B48" s="680" t="s">
        <v>697</v>
      </c>
      <c r="C48" s="679">
        <v>0</v>
      </c>
      <c r="D48" s="679">
        <v>8</v>
      </c>
      <c r="E48" s="679">
        <v>0</v>
      </c>
      <c r="F48" s="679">
        <v>0</v>
      </c>
      <c r="G48" s="679">
        <v>8</v>
      </c>
    </row>
    <row r="49" spans="2:7">
      <c r="B49" s="680" t="s">
        <v>698</v>
      </c>
      <c r="C49" s="679">
        <v>0</v>
      </c>
      <c r="D49" s="679">
        <v>1</v>
      </c>
      <c r="E49" s="679">
        <v>0</v>
      </c>
      <c r="F49" s="679">
        <v>0</v>
      </c>
      <c r="G49" s="679">
        <v>1</v>
      </c>
    </row>
    <row r="50" spans="2:7">
      <c r="B50" s="680" t="s">
        <v>699</v>
      </c>
      <c r="C50" s="679">
        <v>0</v>
      </c>
      <c r="D50" s="679">
        <v>6</v>
      </c>
      <c r="E50" s="679">
        <v>0</v>
      </c>
      <c r="F50" s="679">
        <v>0</v>
      </c>
      <c r="G50" s="679">
        <v>6</v>
      </c>
    </row>
    <row r="51" spans="2:7">
      <c r="B51" s="680" t="s">
        <v>700</v>
      </c>
      <c r="C51" s="679">
        <v>0</v>
      </c>
      <c r="D51" s="679">
        <v>4</v>
      </c>
      <c r="E51" s="679">
        <v>0</v>
      </c>
      <c r="F51" s="679">
        <v>0</v>
      </c>
      <c r="G51" s="679">
        <v>4</v>
      </c>
    </row>
    <row r="52" spans="2:7">
      <c r="B52" s="680" t="s">
        <v>701</v>
      </c>
      <c r="C52" s="679">
        <v>0</v>
      </c>
      <c r="D52" s="679">
        <v>4</v>
      </c>
      <c r="E52" s="679">
        <v>0</v>
      </c>
      <c r="F52" s="679">
        <v>0</v>
      </c>
      <c r="G52" s="679">
        <v>4</v>
      </c>
    </row>
    <row r="53" spans="2:7">
      <c r="B53" s="680" t="s">
        <v>702</v>
      </c>
      <c r="C53" s="679">
        <v>0</v>
      </c>
      <c r="D53" s="679">
        <v>60</v>
      </c>
      <c r="E53" s="679">
        <v>0</v>
      </c>
      <c r="F53" s="679">
        <v>0</v>
      </c>
      <c r="G53" s="679">
        <v>60</v>
      </c>
    </row>
    <row r="54" spans="2:7">
      <c r="B54" s="680" t="s">
        <v>703</v>
      </c>
      <c r="C54" s="679">
        <v>0</v>
      </c>
      <c r="D54" s="679">
        <v>6</v>
      </c>
      <c r="E54" s="679">
        <v>4</v>
      </c>
      <c r="F54" s="679">
        <v>0</v>
      </c>
      <c r="G54" s="679">
        <v>10</v>
      </c>
    </row>
    <row r="55" spans="2:7">
      <c r="B55" s="680" t="s">
        <v>704</v>
      </c>
      <c r="C55" s="679">
        <v>0</v>
      </c>
      <c r="D55" s="679">
        <v>45</v>
      </c>
      <c r="E55" s="679">
        <v>38</v>
      </c>
      <c r="F55" s="679">
        <v>0</v>
      </c>
      <c r="G55" s="679">
        <v>83</v>
      </c>
    </row>
    <row r="56" spans="2:7">
      <c r="B56" s="680" t="s">
        <v>705</v>
      </c>
      <c r="C56" s="679">
        <v>0</v>
      </c>
      <c r="D56" s="679">
        <v>1</v>
      </c>
      <c r="E56" s="679">
        <v>2</v>
      </c>
      <c r="F56" s="679">
        <v>0</v>
      </c>
      <c r="G56" s="679">
        <v>3</v>
      </c>
    </row>
    <row r="57" spans="2:7">
      <c r="B57" s="680" t="s">
        <v>706</v>
      </c>
      <c r="C57" s="679">
        <v>0</v>
      </c>
      <c r="D57" s="679">
        <v>63</v>
      </c>
      <c r="E57" s="679">
        <v>1</v>
      </c>
      <c r="F57" s="679">
        <v>0</v>
      </c>
      <c r="G57" s="679">
        <v>64</v>
      </c>
    </row>
    <row r="58" spans="2:7">
      <c r="B58" s="680" t="s">
        <v>707</v>
      </c>
      <c r="C58" s="679">
        <v>44</v>
      </c>
      <c r="D58" s="679">
        <v>577</v>
      </c>
      <c r="E58" s="679">
        <v>72</v>
      </c>
      <c r="F58" s="679">
        <v>0</v>
      </c>
      <c r="G58" s="679">
        <v>693</v>
      </c>
    </row>
    <row r="59" spans="2:7">
      <c r="B59" s="680" t="s">
        <v>708</v>
      </c>
      <c r="C59" s="679">
        <v>0</v>
      </c>
      <c r="D59" s="679">
        <v>138</v>
      </c>
      <c r="E59" s="679">
        <v>25</v>
      </c>
      <c r="F59" s="679">
        <v>0</v>
      </c>
      <c r="G59" s="679">
        <v>163</v>
      </c>
    </row>
    <row r="60" spans="2:7">
      <c r="B60" s="680" t="s">
        <v>709</v>
      </c>
      <c r="C60" s="679">
        <v>0</v>
      </c>
      <c r="D60" s="679">
        <v>16</v>
      </c>
      <c r="E60" s="679">
        <v>0</v>
      </c>
      <c r="F60" s="679">
        <v>0</v>
      </c>
      <c r="G60" s="679">
        <v>16</v>
      </c>
    </row>
    <row r="61" spans="2:7">
      <c r="B61" s="680" t="s">
        <v>710</v>
      </c>
      <c r="C61" s="679">
        <v>0</v>
      </c>
      <c r="D61" s="679">
        <v>50</v>
      </c>
      <c r="E61" s="679">
        <v>0</v>
      </c>
      <c r="F61" s="679">
        <v>0</v>
      </c>
      <c r="G61" s="679">
        <v>50</v>
      </c>
    </row>
    <row r="62" spans="2:7">
      <c r="B62" s="680" t="s">
        <v>711</v>
      </c>
      <c r="C62" s="679">
        <v>0</v>
      </c>
      <c r="D62" s="679">
        <v>18</v>
      </c>
      <c r="E62" s="679">
        <v>0</v>
      </c>
      <c r="F62" s="679">
        <v>0</v>
      </c>
      <c r="G62" s="679">
        <v>18</v>
      </c>
    </row>
    <row r="63" spans="2:7">
      <c r="B63" s="680" t="s">
        <v>712</v>
      </c>
      <c r="C63" s="679">
        <v>0</v>
      </c>
      <c r="D63" s="679">
        <v>315</v>
      </c>
      <c r="E63" s="679">
        <v>17</v>
      </c>
      <c r="F63" s="679">
        <v>0</v>
      </c>
      <c r="G63" s="679">
        <v>332</v>
      </c>
    </row>
    <row r="64" spans="2:7">
      <c r="B64" s="680" t="s">
        <v>713</v>
      </c>
      <c r="C64" s="679">
        <v>0</v>
      </c>
      <c r="D64" s="679">
        <v>9</v>
      </c>
      <c r="E64" s="679">
        <v>0</v>
      </c>
      <c r="F64" s="679">
        <v>0</v>
      </c>
      <c r="G64" s="679">
        <v>9</v>
      </c>
    </row>
    <row r="65" spans="2:7">
      <c r="B65" s="680" t="s">
        <v>714</v>
      </c>
      <c r="C65" s="679">
        <v>0</v>
      </c>
      <c r="D65" s="679">
        <v>32</v>
      </c>
      <c r="E65" s="679">
        <v>17</v>
      </c>
      <c r="F65" s="679">
        <v>0</v>
      </c>
      <c r="G65" s="679">
        <v>49</v>
      </c>
    </row>
    <row r="66" spans="2:7">
      <c r="B66" s="680" t="s">
        <v>715</v>
      </c>
      <c r="C66" s="679">
        <v>0</v>
      </c>
      <c r="D66" s="679">
        <v>337</v>
      </c>
      <c r="E66" s="679">
        <v>0</v>
      </c>
      <c r="F66" s="679">
        <v>0</v>
      </c>
      <c r="G66" s="679">
        <v>337</v>
      </c>
    </row>
    <row r="67" spans="2:7">
      <c r="B67" s="680" t="s">
        <v>716</v>
      </c>
      <c r="C67" s="679">
        <v>0</v>
      </c>
      <c r="D67" s="679">
        <v>0</v>
      </c>
      <c r="E67" s="679">
        <v>18</v>
      </c>
      <c r="F67" s="679">
        <v>0</v>
      </c>
      <c r="G67" s="679">
        <v>18</v>
      </c>
    </row>
    <row r="68" spans="2:7">
      <c r="B68" s="680" t="s">
        <v>717</v>
      </c>
      <c r="C68" s="679">
        <v>0</v>
      </c>
      <c r="D68" s="679">
        <v>58</v>
      </c>
      <c r="E68" s="679">
        <v>10</v>
      </c>
      <c r="F68" s="679">
        <v>0</v>
      </c>
      <c r="G68" s="679">
        <v>68</v>
      </c>
    </row>
    <row r="69" spans="2:7">
      <c r="B69" s="680" t="s">
        <v>718</v>
      </c>
      <c r="C69" s="679">
        <v>0</v>
      </c>
      <c r="D69" s="679">
        <v>5</v>
      </c>
      <c r="E69" s="679">
        <v>0</v>
      </c>
      <c r="F69" s="679">
        <v>0</v>
      </c>
      <c r="G69" s="679">
        <v>5</v>
      </c>
    </row>
    <row r="70" spans="2:7">
      <c r="B70" s="680" t="s">
        <v>719</v>
      </c>
      <c r="C70" s="679">
        <v>0</v>
      </c>
      <c r="D70" s="679">
        <v>16</v>
      </c>
      <c r="E70" s="679">
        <v>2</v>
      </c>
      <c r="F70" s="679">
        <v>1</v>
      </c>
      <c r="G70" s="679">
        <v>19</v>
      </c>
    </row>
    <row r="71" spans="2:7">
      <c r="B71" s="680" t="s">
        <v>720</v>
      </c>
      <c r="C71" s="679">
        <v>13</v>
      </c>
      <c r="D71" s="679">
        <v>97</v>
      </c>
      <c r="E71" s="679">
        <v>4</v>
      </c>
      <c r="F71" s="679">
        <v>0</v>
      </c>
      <c r="G71" s="679">
        <v>114</v>
      </c>
    </row>
    <row r="72" spans="2:7">
      <c r="B72" s="680" t="s">
        <v>721</v>
      </c>
      <c r="C72" s="679">
        <v>0</v>
      </c>
      <c r="D72" s="679">
        <v>6</v>
      </c>
      <c r="E72" s="679">
        <v>0</v>
      </c>
      <c r="F72" s="679">
        <v>0</v>
      </c>
      <c r="G72" s="679">
        <v>6</v>
      </c>
    </row>
    <row r="73" spans="2:7">
      <c r="B73" s="680" t="s">
        <v>722</v>
      </c>
      <c r="C73" s="679">
        <v>0</v>
      </c>
      <c r="D73" s="679">
        <v>18</v>
      </c>
      <c r="E73" s="679">
        <v>2</v>
      </c>
      <c r="F73" s="679">
        <v>0</v>
      </c>
      <c r="G73" s="679">
        <v>20</v>
      </c>
    </row>
    <row r="74" spans="2:7">
      <c r="B74" s="680" t="s">
        <v>723</v>
      </c>
      <c r="C74" s="679">
        <v>0</v>
      </c>
      <c r="D74" s="679">
        <v>6</v>
      </c>
      <c r="E74" s="679">
        <v>0</v>
      </c>
      <c r="F74" s="679">
        <v>0</v>
      </c>
      <c r="G74" s="679">
        <v>6</v>
      </c>
    </row>
    <row r="75" spans="2:7">
      <c r="B75" s="680" t="s">
        <v>724</v>
      </c>
      <c r="C75" s="679">
        <v>0</v>
      </c>
      <c r="D75" s="679">
        <v>13</v>
      </c>
      <c r="E75" s="679">
        <v>0</v>
      </c>
      <c r="F75" s="679">
        <v>0</v>
      </c>
      <c r="G75" s="679">
        <v>13</v>
      </c>
    </row>
    <row r="76" spans="2:7">
      <c r="B76" s="680" t="s">
        <v>725</v>
      </c>
      <c r="C76" s="679">
        <v>0</v>
      </c>
      <c r="D76" s="679">
        <v>9</v>
      </c>
      <c r="E76" s="679">
        <v>0</v>
      </c>
      <c r="F76" s="679">
        <v>0</v>
      </c>
      <c r="G76" s="679">
        <v>9</v>
      </c>
    </row>
    <row r="77" spans="2:7">
      <c r="B77" s="680" t="s">
        <v>726</v>
      </c>
      <c r="C77" s="679">
        <v>13</v>
      </c>
      <c r="D77" s="679">
        <v>201</v>
      </c>
      <c r="E77" s="679">
        <v>0</v>
      </c>
      <c r="F77" s="679">
        <v>0</v>
      </c>
      <c r="G77" s="679">
        <v>214</v>
      </c>
    </row>
    <row r="78" spans="2:7">
      <c r="B78" s="680" t="s">
        <v>727</v>
      </c>
      <c r="C78" s="679">
        <v>0</v>
      </c>
      <c r="D78" s="679">
        <v>2</v>
      </c>
      <c r="E78" s="679">
        <v>0</v>
      </c>
      <c r="F78" s="679">
        <v>0</v>
      </c>
      <c r="G78" s="679">
        <v>2</v>
      </c>
    </row>
    <row r="79" spans="2:7">
      <c r="B79" s="680" t="s">
        <v>728</v>
      </c>
      <c r="C79" s="679">
        <v>0</v>
      </c>
      <c r="D79" s="679">
        <v>8</v>
      </c>
      <c r="E79" s="679">
        <v>0</v>
      </c>
      <c r="F79" s="679">
        <v>0</v>
      </c>
      <c r="G79" s="679">
        <v>8</v>
      </c>
    </row>
    <row r="80" spans="2:7">
      <c r="B80" s="680" t="s">
        <v>729</v>
      </c>
      <c r="C80" s="679">
        <v>0</v>
      </c>
      <c r="D80" s="679">
        <v>3</v>
      </c>
      <c r="E80" s="679">
        <v>0</v>
      </c>
      <c r="F80" s="679">
        <v>0</v>
      </c>
      <c r="G80" s="679">
        <v>3</v>
      </c>
    </row>
    <row r="81" spans="2:7">
      <c r="B81" s="680" t="s">
        <v>730</v>
      </c>
      <c r="C81" s="679">
        <v>0</v>
      </c>
      <c r="D81" s="679">
        <v>7</v>
      </c>
      <c r="E81" s="679">
        <v>0</v>
      </c>
      <c r="F81" s="679">
        <v>0</v>
      </c>
      <c r="G81" s="679">
        <v>7</v>
      </c>
    </row>
    <row r="82" spans="2:7">
      <c r="B82" s="680" t="s">
        <v>731</v>
      </c>
      <c r="C82" s="679">
        <v>187</v>
      </c>
      <c r="D82" s="679">
        <v>467</v>
      </c>
      <c r="E82" s="679">
        <v>53</v>
      </c>
      <c r="F82" s="679">
        <v>17</v>
      </c>
      <c r="G82" s="679">
        <v>724</v>
      </c>
    </row>
    <row r="83" spans="2:7" ht="15.6">
      <c r="B83" s="680" t="s">
        <v>732</v>
      </c>
      <c r="C83" s="679">
        <v>0</v>
      </c>
      <c r="D83" s="679">
        <v>34</v>
      </c>
      <c r="E83" s="679">
        <v>33</v>
      </c>
      <c r="F83" s="679">
        <v>0</v>
      </c>
      <c r="G83" s="679">
        <v>67</v>
      </c>
    </row>
    <row r="84" spans="2:7">
      <c r="B84" s="680" t="s">
        <v>733</v>
      </c>
      <c r="C84" s="679">
        <v>0</v>
      </c>
      <c r="D84" s="679">
        <v>17</v>
      </c>
      <c r="E84" s="679">
        <v>0</v>
      </c>
      <c r="F84" s="679">
        <v>0</v>
      </c>
      <c r="G84" s="679">
        <v>17</v>
      </c>
    </row>
    <row r="85" spans="2:7">
      <c r="B85" s="680" t="s">
        <v>734</v>
      </c>
      <c r="C85" s="679">
        <v>0</v>
      </c>
      <c r="D85" s="679">
        <v>6</v>
      </c>
      <c r="E85" s="679">
        <v>0</v>
      </c>
      <c r="F85" s="679">
        <v>0</v>
      </c>
      <c r="G85" s="679">
        <v>6</v>
      </c>
    </row>
    <row r="86" spans="2:7">
      <c r="B86" s="680" t="s">
        <v>735</v>
      </c>
      <c r="C86" s="679">
        <v>0</v>
      </c>
      <c r="D86" s="679">
        <v>41</v>
      </c>
      <c r="E86" s="679">
        <v>0</v>
      </c>
      <c r="F86" s="679">
        <v>0</v>
      </c>
      <c r="G86" s="679">
        <v>41</v>
      </c>
    </row>
    <row r="87" spans="2:7">
      <c r="B87" s="680" t="s">
        <v>736</v>
      </c>
      <c r="C87" s="679">
        <v>0</v>
      </c>
      <c r="D87" s="679">
        <v>68</v>
      </c>
      <c r="E87" s="679">
        <v>0</v>
      </c>
      <c r="F87" s="679">
        <v>0</v>
      </c>
      <c r="G87" s="679">
        <v>68</v>
      </c>
    </row>
    <row r="88" spans="2:7">
      <c r="B88" s="680" t="s">
        <v>737</v>
      </c>
      <c r="C88" s="679">
        <v>0</v>
      </c>
      <c r="D88" s="679">
        <v>3</v>
      </c>
      <c r="E88" s="679">
        <v>0</v>
      </c>
      <c r="F88" s="679">
        <v>0</v>
      </c>
      <c r="G88" s="679">
        <v>3</v>
      </c>
    </row>
    <row r="89" spans="2:7">
      <c r="B89" s="680" t="s">
        <v>738</v>
      </c>
      <c r="C89" s="679">
        <v>0</v>
      </c>
      <c r="D89" s="679">
        <v>79</v>
      </c>
      <c r="E89" s="679">
        <v>11</v>
      </c>
      <c r="F89" s="679">
        <v>0</v>
      </c>
      <c r="G89" s="679">
        <v>90</v>
      </c>
    </row>
    <row r="90" spans="2:7">
      <c r="B90" s="680" t="s">
        <v>739</v>
      </c>
      <c r="C90" s="679">
        <v>0</v>
      </c>
      <c r="D90" s="679">
        <v>4</v>
      </c>
      <c r="E90" s="679">
        <v>0</v>
      </c>
      <c r="F90" s="679">
        <v>0</v>
      </c>
      <c r="G90" s="679">
        <v>4</v>
      </c>
    </row>
    <row r="91" spans="2:7">
      <c r="B91" s="680" t="s">
        <v>740</v>
      </c>
      <c r="C91" s="679">
        <v>0</v>
      </c>
      <c r="D91" s="679">
        <v>25</v>
      </c>
      <c r="E91" s="679">
        <v>0</v>
      </c>
      <c r="F91" s="679">
        <v>0</v>
      </c>
      <c r="G91" s="679">
        <v>25</v>
      </c>
    </row>
    <row r="92" spans="2:7">
      <c r="B92" s="680" t="s">
        <v>741</v>
      </c>
      <c r="C92" s="679">
        <v>0</v>
      </c>
      <c r="D92" s="679">
        <v>113</v>
      </c>
      <c r="E92" s="679">
        <v>0</v>
      </c>
      <c r="F92" s="679">
        <v>0</v>
      </c>
      <c r="G92" s="679">
        <v>113</v>
      </c>
    </row>
    <row r="93" spans="2:7">
      <c r="B93" s="680" t="s">
        <v>742</v>
      </c>
      <c r="C93" s="679">
        <v>8</v>
      </c>
      <c r="D93" s="679">
        <v>10</v>
      </c>
      <c r="E93" s="679">
        <v>0</v>
      </c>
      <c r="F93" s="679">
        <v>0</v>
      </c>
      <c r="G93" s="679">
        <v>18</v>
      </c>
    </row>
    <row r="94" spans="2:7">
      <c r="B94" s="680" t="s">
        <v>743</v>
      </c>
      <c r="C94" s="679">
        <v>19</v>
      </c>
      <c r="D94" s="679">
        <v>0</v>
      </c>
      <c r="E94" s="679">
        <v>0</v>
      </c>
      <c r="F94" s="679">
        <v>0</v>
      </c>
      <c r="G94" s="679">
        <v>19</v>
      </c>
    </row>
    <row r="95" spans="2:7">
      <c r="B95" s="680" t="s">
        <v>744</v>
      </c>
      <c r="C95" s="679">
        <v>0</v>
      </c>
      <c r="D95" s="679">
        <v>0</v>
      </c>
      <c r="E95" s="679">
        <v>7</v>
      </c>
      <c r="F95" s="679">
        <v>0</v>
      </c>
      <c r="G95" s="679">
        <v>7</v>
      </c>
    </row>
    <row r="96" spans="2:7">
      <c r="B96" s="680" t="s">
        <v>745</v>
      </c>
      <c r="C96" s="679">
        <v>7</v>
      </c>
      <c r="D96" s="679">
        <v>31</v>
      </c>
      <c r="E96" s="679">
        <v>28</v>
      </c>
      <c r="F96" s="679">
        <v>0</v>
      </c>
      <c r="G96" s="679">
        <v>66</v>
      </c>
    </row>
    <row r="97" spans="2:7">
      <c r="B97" s="680" t="s">
        <v>746</v>
      </c>
      <c r="C97" s="679">
        <v>0</v>
      </c>
      <c r="D97" s="679">
        <v>43</v>
      </c>
      <c r="E97" s="679">
        <v>3</v>
      </c>
      <c r="F97" s="679">
        <v>0</v>
      </c>
      <c r="G97" s="679">
        <v>46</v>
      </c>
    </row>
    <row r="98" spans="2:7">
      <c r="B98" s="680" t="s">
        <v>747</v>
      </c>
      <c r="C98" s="679">
        <v>0</v>
      </c>
      <c r="D98" s="679">
        <v>37</v>
      </c>
      <c r="E98" s="679">
        <v>57</v>
      </c>
      <c r="F98" s="679">
        <v>0</v>
      </c>
      <c r="G98" s="679">
        <v>94</v>
      </c>
    </row>
    <row r="99" spans="2:7">
      <c r="B99" s="680" t="s">
        <v>748</v>
      </c>
      <c r="C99" s="679">
        <v>0</v>
      </c>
      <c r="D99" s="679">
        <v>132</v>
      </c>
      <c r="E99" s="679">
        <v>59</v>
      </c>
      <c r="F99" s="679">
        <v>0</v>
      </c>
      <c r="G99" s="679">
        <v>191</v>
      </c>
    </row>
    <row r="100" spans="2:7">
      <c r="B100" s="680" t="s">
        <v>749</v>
      </c>
      <c r="C100" s="679">
        <v>0</v>
      </c>
      <c r="D100" s="679">
        <v>78</v>
      </c>
      <c r="E100" s="679">
        <v>31</v>
      </c>
      <c r="F100" s="679">
        <v>0</v>
      </c>
      <c r="G100" s="679">
        <v>109</v>
      </c>
    </row>
    <row r="101" spans="2:7">
      <c r="B101" s="680" t="s">
        <v>750</v>
      </c>
      <c r="C101" s="679">
        <v>0</v>
      </c>
      <c r="D101" s="679">
        <v>214</v>
      </c>
      <c r="E101" s="679">
        <v>0</v>
      </c>
      <c r="F101" s="679">
        <v>0</v>
      </c>
      <c r="G101" s="679">
        <v>214</v>
      </c>
    </row>
    <row r="102" spans="2:7">
      <c r="B102" s="680" t="s">
        <v>751</v>
      </c>
      <c r="C102" s="679">
        <v>0</v>
      </c>
      <c r="D102" s="679">
        <v>160</v>
      </c>
      <c r="E102" s="679">
        <v>31</v>
      </c>
      <c r="F102" s="679">
        <v>15</v>
      </c>
      <c r="G102" s="679">
        <v>206</v>
      </c>
    </row>
    <row r="103" spans="2:7">
      <c r="B103" s="680" t="s">
        <v>752</v>
      </c>
      <c r="C103" s="679">
        <v>28</v>
      </c>
      <c r="D103" s="679">
        <v>23</v>
      </c>
      <c r="E103" s="679">
        <v>0</v>
      </c>
      <c r="F103" s="679">
        <v>0</v>
      </c>
      <c r="G103" s="679">
        <v>51</v>
      </c>
    </row>
    <row r="104" spans="2:7">
      <c r="B104" s="680" t="s">
        <v>753</v>
      </c>
      <c r="C104" s="679">
        <v>0</v>
      </c>
      <c r="D104" s="679">
        <v>17</v>
      </c>
      <c r="E104" s="679">
        <v>0</v>
      </c>
      <c r="F104" s="679">
        <v>0</v>
      </c>
      <c r="G104" s="679">
        <v>17</v>
      </c>
    </row>
    <row r="105" spans="2:7">
      <c r="B105" s="680" t="s">
        <v>754</v>
      </c>
      <c r="C105" s="679">
        <v>0</v>
      </c>
      <c r="D105" s="679">
        <v>47</v>
      </c>
      <c r="E105" s="679">
        <v>19</v>
      </c>
      <c r="F105" s="679">
        <v>0</v>
      </c>
      <c r="G105" s="679">
        <v>66</v>
      </c>
    </row>
    <row r="106" spans="2:7">
      <c r="B106" s="680" t="s">
        <v>755</v>
      </c>
      <c r="C106" s="679">
        <v>0</v>
      </c>
      <c r="D106" s="679">
        <v>1</v>
      </c>
      <c r="E106" s="679">
        <v>0</v>
      </c>
      <c r="F106" s="679">
        <v>0</v>
      </c>
      <c r="G106" s="679">
        <v>1</v>
      </c>
    </row>
    <row r="107" spans="2:7">
      <c r="B107" s="680" t="s">
        <v>756</v>
      </c>
      <c r="C107" s="679">
        <v>184</v>
      </c>
      <c r="D107" s="679">
        <v>156</v>
      </c>
      <c r="E107" s="679">
        <v>86</v>
      </c>
      <c r="F107" s="679">
        <v>0</v>
      </c>
      <c r="G107" s="679">
        <v>426</v>
      </c>
    </row>
    <row r="108" spans="2:7">
      <c r="B108" s="680" t="s">
        <v>757</v>
      </c>
      <c r="C108" s="679">
        <v>0</v>
      </c>
      <c r="D108" s="679">
        <v>1</v>
      </c>
      <c r="E108" s="679">
        <v>0</v>
      </c>
      <c r="F108" s="679">
        <v>0</v>
      </c>
      <c r="G108" s="679">
        <v>1</v>
      </c>
    </row>
    <row r="109" spans="2:7">
      <c r="B109" s="680" t="s">
        <v>758</v>
      </c>
      <c r="C109" s="679">
        <v>17</v>
      </c>
      <c r="D109" s="679">
        <v>71</v>
      </c>
      <c r="E109" s="679">
        <v>22</v>
      </c>
      <c r="F109" s="679">
        <v>0</v>
      </c>
      <c r="G109" s="679">
        <v>110</v>
      </c>
    </row>
    <row r="110" spans="2:7">
      <c r="B110" s="680" t="s">
        <v>759</v>
      </c>
      <c r="C110" s="679">
        <v>0</v>
      </c>
      <c r="D110" s="679">
        <v>8</v>
      </c>
      <c r="E110" s="679">
        <v>0</v>
      </c>
      <c r="F110" s="679">
        <v>0</v>
      </c>
      <c r="G110" s="679">
        <v>8</v>
      </c>
    </row>
    <row r="111" spans="2:7">
      <c r="B111" s="680" t="s">
        <v>760</v>
      </c>
      <c r="C111" s="679">
        <v>0</v>
      </c>
      <c r="D111" s="679">
        <v>1</v>
      </c>
      <c r="E111" s="679">
        <v>0</v>
      </c>
      <c r="F111" s="679">
        <v>0</v>
      </c>
      <c r="G111" s="679">
        <v>1</v>
      </c>
    </row>
    <row r="112" spans="2:7">
      <c r="B112" s="680" t="s">
        <v>761</v>
      </c>
      <c r="C112" s="679">
        <v>0</v>
      </c>
      <c r="D112" s="679">
        <v>169</v>
      </c>
      <c r="E112" s="679">
        <v>0</v>
      </c>
      <c r="F112" s="679">
        <v>0</v>
      </c>
      <c r="G112" s="679">
        <v>169</v>
      </c>
    </row>
    <row r="113" spans="2:7">
      <c r="B113" s="680" t="s">
        <v>762</v>
      </c>
      <c r="C113" s="679">
        <v>24</v>
      </c>
      <c r="D113" s="679">
        <v>552</v>
      </c>
      <c r="E113" s="679">
        <v>24</v>
      </c>
      <c r="F113" s="679">
        <v>0</v>
      </c>
      <c r="G113" s="679">
        <v>600</v>
      </c>
    </row>
    <row r="114" spans="2:7">
      <c r="B114" s="680" t="s">
        <v>763</v>
      </c>
      <c r="C114" s="679">
        <v>13</v>
      </c>
      <c r="D114" s="679">
        <v>998</v>
      </c>
      <c r="E114" s="679">
        <v>179</v>
      </c>
      <c r="F114" s="679">
        <v>0</v>
      </c>
      <c r="G114" s="679">
        <v>1190</v>
      </c>
    </row>
    <row r="115" spans="2:7">
      <c r="B115" s="680" t="s">
        <v>764</v>
      </c>
      <c r="C115" s="679">
        <v>0</v>
      </c>
      <c r="D115" s="679">
        <v>22</v>
      </c>
      <c r="E115" s="679">
        <v>6</v>
      </c>
      <c r="F115" s="679">
        <v>0</v>
      </c>
      <c r="G115" s="679">
        <v>28</v>
      </c>
    </row>
    <row r="116" spans="2:7">
      <c r="B116" s="680" t="s">
        <v>765</v>
      </c>
      <c r="C116" s="679">
        <v>0</v>
      </c>
      <c r="D116" s="679">
        <v>3</v>
      </c>
      <c r="E116" s="679">
        <v>0</v>
      </c>
      <c r="F116" s="679">
        <v>0</v>
      </c>
      <c r="G116" s="679">
        <v>3</v>
      </c>
    </row>
    <row r="117" spans="2:7">
      <c r="B117" s="680" t="s">
        <v>766</v>
      </c>
      <c r="C117" s="679">
        <v>0</v>
      </c>
      <c r="D117" s="679">
        <v>2</v>
      </c>
      <c r="E117" s="679">
        <v>4</v>
      </c>
      <c r="F117" s="679">
        <v>0</v>
      </c>
      <c r="G117" s="679">
        <v>6</v>
      </c>
    </row>
    <row r="118" spans="2:7">
      <c r="B118" s="680" t="s">
        <v>767</v>
      </c>
      <c r="C118" s="679">
        <v>0</v>
      </c>
      <c r="D118" s="679">
        <v>113</v>
      </c>
      <c r="E118" s="679">
        <v>0</v>
      </c>
      <c r="F118" s="679">
        <v>0</v>
      </c>
      <c r="G118" s="679">
        <v>113</v>
      </c>
    </row>
    <row r="119" spans="2:7">
      <c r="B119" s="680" t="s">
        <v>768</v>
      </c>
      <c r="C119" s="679">
        <v>0</v>
      </c>
      <c r="D119" s="679">
        <v>92</v>
      </c>
      <c r="E119" s="679">
        <v>6</v>
      </c>
      <c r="F119" s="679">
        <v>1</v>
      </c>
      <c r="G119" s="679">
        <v>99</v>
      </c>
    </row>
    <row r="120" spans="2:7">
      <c r="B120" s="680" t="s">
        <v>769</v>
      </c>
      <c r="C120" s="679">
        <v>0</v>
      </c>
      <c r="D120" s="679">
        <v>106</v>
      </c>
      <c r="E120" s="679">
        <v>4</v>
      </c>
      <c r="F120" s="679">
        <v>0</v>
      </c>
      <c r="G120" s="679">
        <v>110</v>
      </c>
    </row>
    <row r="121" spans="2:7">
      <c r="B121" s="680" t="s">
        <v>770</v>
      </c>
      <c r="C121" s="679">
        <v>19</v>
      </c>
      <c r="D121" s="679">
        <v>124</v>
      </c>
      <c r="E121" s="679">
        <v>0</v>
      </c>
      <c r="F121" s="679">
        <v>0</v>
      </c>
      <c r="G121" s="679">
        <v>143</v>
      </c>
    </row>
    <row r="122" spans="2:7">
      <c r="B122" s="680" t="s">
        <v>771</v>
      </c>
      <c r="C122" s="679">
        <v>0</v>
      </c>
      <c r="D122" s="679">
        <v>11</v>
      </c>
      <c r="E122" s="679">
        <v>5</v>
      </c>
      <c r="F122" s="679">
        <v>0</v>
      </c>
      <c r="G122" s="679">
        <v>16</v>
      </c>
    </row>
    <row r="123" spans="2:7">
      <c r="B123" s="680" t="s">
        <v>772</v>
      </c>
      <c r="C123" s="679">
        <v>0</v>
      </c>
      <c r="D123" s="679">
        <v>2</v>
      </c>
      <c r="E123" s="679">
        <v>0</v>
      </c>
      <c r="F123" s="679">
        <v>0</v>
      </c>
      <c r="G123" s="679">
        <v>2</v>
      </c>
    </row>
    <row r="124" spans="2:7">
      <c r="B124" s="680" t="s">
        <v>773</v>
      </c>
      <c r="C124" s="679">
        <v>0</v>
      </c>
      <c r="D124" s="679">
        <v>14</v>
      </c>
      <c r="E124" s="679">
        <v>8</v>
      </c>
      <c r="F124" s="679">
        <v>0</v>
      </c>
      <c r="G124" s="679">
        <v>22</v>
      </c>
    </row>
    <row r="125" spans="2:7">
      <c r="B125" s="680" t="s">
        <v>774</v>
      </c>
      <c r="C125" s="679">
        <v>0</v>
      </c>
      <c r="D125" s="679">
        <v>1</v>
      </c>
      <c r="E125" s="679">
        <v>0</v>
      </c>
      <c r="F125" s="679">
        <v>0</v>
      </c>
      <c r="G125" s="679">
        <v>1</v>
      </c>
    </row>
    <row r="126" spans="2:7">
      <c r="B126" s="680" t="s">
        <v>775</v>
      </c>
      <c r="C126" s="679">
        <v>0</v>
      </c>
      <c r="D126" s="679">
        <v>803</v>
      </c>
      <c r="E126" s="679">
        <v>493</v>
      </c>
      <c r="F126" s="679">
        <v>0</v>
      </c>
      <c r="G126" s="679">
        <v>1296</v>
      </c>
    </row>
    <row r="127" spans="2:7">
      <c r="B127" s="680" t="s">
        <v>776</v>
      </c>
      <c r="C127" s="679">
        <v>92</v>
      </c>
      <c r="D127" s="679">
        <v>116</v>
      </c>
      <c r="E127" s="679">
        <v>42</v>
      </c>
      <c r="F127" s="679">
        <v>4</v>
      </c>
      <c r="G127" s="679">
        <v>254</v>
      </c>
    </row>
    <row r="128" spans="2:7">
      <c r="B128" s="680" t="s">
        <v>777</v>
      </c>
      <c r="C128" s="679">
        <v>70</v>
      </c>
      <c r="D128" s="679">
        <v>574</v>
      </c>
      <c r="E128" s="679">
        <v>108</v>
      </c>
      <c r="F128" s="679">
        <v>0</v>
      </c>
      <c r="G128" s="679">
        <v>752</v>
      </c>
    </row>
    <row r="129" spans="2:7">
      <c r="B129" s="680" t="s">
        <v>778</v>
      </c>
      <c r="C129" s="679">
        <v>683</v>
      </c>
      <c r="D129" s="679">
        <v>6649</v>
      </c>
      <c r="E129" s="679">
        <v>3196</v>
      </c>
      <c r="F129" s="679">
        <v>1276</v>
      </c>
      <c r="G129" s="679">
        <v>11804</v>
      </c>
    </row>
    <row r="130" spans="2:7">
      <c r="B130" s="680" t="s">
        <v>779</v>
      </c>
      <c r="C130" s="679">
        <v>0</v>
      </c>
      <c r="D130" s="679">
        <v>28</v>
      </c>
      <c r="E130" s="679">
        <v>0</v>
      </c>
      <c r="F130" s="679">
        <v>0</v>
      </c>
      <c r="G130" s="679">
        <v>28</v>
      </c>
    </row>
    <row r="131" spans="2:7">
      <c r="B131" s="680" t="s">
        <v>780</v>
      </c>
      <c r="C131" s="679">
        <v>0</v>
      </c>
      <c r="D131" s="679">
        <v>2</v>
      </c>
      <c r="E131" s="679">
        <v>0</v>
      </c>
      <c r="F131" s="679">
        <v>0</v>
      </c>
      <c r="G131" s="679">
        <v>2</v>
      </c>
    </row>
    <row r="132" spans="2:7">
      <c r="B132" s="680" t="s">
        <v>781</v>
      </c>
      <c r="C132" s="679">
        <v>0</v>
      </c>
      <c r="D132" s="679">
        <v>15</v>
      </c>
      <c r="E132" s="679">
        <v>0</v>
      </c>
      <c r="F132" s="679">
        <v>0</v>
      </c>
      <c r="G132" s="679">
        <v>15</v>
      </c>
    </row>
    <row r="133" spans="2:7">
      <c r="B133" s="680" t="s">
        <v>782</v>
      </c>
      <c r="C133" s="679">
        <v>0</v>
      </c>
      <c r="D133" s="679">
        <v>20</v>
      </c>
      <c r="E133" s="679">
        <v>62</v>
      </c>
      <c r="F133" s="679">
        <v>0</v>
      </c>
      <c r="G133" s="679">
        <v>82</v>
      </c>
    </row>
    <row r="134" spans="2:7">
      <c r="B134" s="678" t="s">
        <v>652</v>
      </c>
      <c r="C134" s="677">
        <f>SUM(C4:C133)</f>
        <v>6232</v>
      </c>
      <c r="D134" s="677">
        <f>SUM(D4:D133)</f>
        <v>19900</v>
      </c>
      <c r="E134" s="677">
        <f>SUM(E4:E133)</f>
        <v>5413</v>
      </c>
      <c r="F134" s="677">
        <f>SUM(F4:F133)</f>
        <v>1496</v>
      </c>
      <c r="G134" s="677">
        <f>SUM(G4:G133)</f>
        <v>33041</v>
      </c>
    </row>
    <row r="136" spans="2:7">
      <c r="B136" s="676" t="s">
        <v>783</v>
      </c>
    </row>
    <row r="137" spans="2:7">
      <c r="C137" s="675"/>
      <c r="D137" s="675"/>
      <c r="E137" s="675"/>
      <c r="F137" s="675"/>
    </row>
  </sheetData>
  <pageMargins left="0.25" right="0.25" top="0.75" bottom="0.75" header="0.3" footer="0.3"/>
  <pageSetup scale="36" orientation="portrait" r:id="rId1"/>
  <rowBreaks count="2" manualBreakCount="2">
    <brk id="46" max="7" man="1"/>
    <brk id="89" max="7" man="1"/>
  </rowBreaks>
  <customProperties>
    <customPr name="Guid" r:id="rId2"/>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7DD9D-D8E6-463F-A182-B261207120D4}">
  <dimension ref="A1:A7"/>
  <sheetViews>
    <sheetView workbookViewId="0">
      <selection activeCell="A10" sqref="A1:A10"/>
    </sheetView>
  </sheetViews>
  <sheetFormatPr defaultRowHeight="14.45"/>
  <sheetData>
    <row r="1" spans="1:1">
      <c r="A1">
        <v>25</v>
      </c>
    </row>
    <row r="2" spans="1:1">
      <c r="A2">
        <v>25</v>
      </c>
    </row>
    <row r="3" spans="1:1">
      <c r="A3">
        <v>90</v>
      </c>
    </row>
    <row r="6" spans="1:1">
      <c r="A6">
        <v>97</v>
      </c>
    </row>
    <row r="7" spans="1:1">
      <c r="A7">
        <v>3</v>
      </c>
    </row>
  </sheetData>
  <pageMargins left="0.511811024" right="0.511811024" top="0.78740157499999996" bottom="0.78740157499999996" header="0.31496062000000002" footer="0.31496062000000002"/>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69796-62D8-4338-88BE-258A7E8AECB1}">
  <dimension ref="A1:W59"/>
  <sheetViews>
    <sheetView topLeftCell="A31" zoomScale="85" zoomScaleNormal="85" workbookViewId="0">
      <selection activeCell="M40" sqref="M40"/>
    </sheetView>
  </sheetViews>
  <sheetFormatPr defaultRowHeight="14.45"/>
  <cols>
    <col min="1" max="1" width="11" bestFit="1" customWidth="1"/>
    <col min="2" max="3" width="18.5703125" bestFit="1" customWidth="1"/>
    <col min="4" max="7" width="10.140625" bestFit="1" customWidth="1"/>
    <col min="8" max="8" width="11.140625" bestFit="1" customWidth="1"/>
    <col min="9" max="10" width="12.140625" bestFit="1" customWidth="1"/>
    <col min="13" max="13" width="10.42578125" bestFit="1" customWidth="1"/>
  </cols>
  <sheetData>
    <row r="1" spans="1:11">
      <c r="B1">
        <v>2024</v>
      </c>
      <c r="C1">
        <v>2025</v>
      </c>
      <c r="I1">
        <v>2024</v>
      </c>
      <c r="J1">
        <v>2025</v>
      </c>
    </row>
    <row r="2" spans="1:11">
      <c r="A2" t="s">
        <v>784</v>
      </c>
      <c r="B2" s="701">
        <v>8406</v>
      </c>
      <c r="C2" s="701">
        <v>13623.7018477293</v>
      </c>
      <c r="H2" t="s">
        <v>784</v>
      </c>
      <c r="I2" s="701">
        <f>B2/(WACC!V68/1000)</f>
        <v>261.73054768502664</v>
      </c>
      <c r="J2" s="701">
        <f>C2/(UNITS!G134/1000)</f>
        <v>412.32716466599987</v>
      </c>
      <c r="K2" s="702">
        <f>I2/I3</f>
        <v>0.43419805364414138</v>
      </c>
    </row>
    <row r="3" spans="1:11">
      <c r="A3" t="s">
        <v>785</v>
      </c>
      <c r="B3" s="701">
        <v>25920</v>
      </c>
      <c r="C3" s="701">
        <v>26685</v>
      </c>
      <c r="E3">
        <f>C2/C3</f>
        <v>0.51053782453548058</v>
      </c>
      <c r="F3" s="702">
        <f>E3/E4-1</f>
        <v>0.5742493947132592</v>
      </c>
      <c r="H3" t="s">
        <v>785</v>
      </c>
      <c r="I3" s="701">
        <f>B3/(43000/1000)</f>
        <v>602.79069767441865</v>
      </c>
      <c r="J3" s="701">
        <f>C3/(45000/1000)</f>
        <v>593</v>
      </c>
      <c r="K3" s="702">
        <f>J2/J3</f>
        <v>0.69532405508600315</v>
      </c>
    </row>
    <row r="4" spans="1:11">
      <c r="E4">
        <f>B2/B3</f>
        <v>0.32430555555555557</v>
      </c>
      <c r="F4" s="702">
        <f>B2/B3</f>
        <v>0.32430555555555557</v>
      </c>
      <c r="K4" s="702">
        <f>(K3/K2)^(1/2)-1</f>
        <v>0.26546369737036657</v>
      </c>
    </row>
    <row r="27" spans="2:13">
      <c r="B27" s="701">
        <v>2590.5251814395533</v>
      </c>
      <c r="C27" s="701">
        <v>1852.3797670368353</v>
      </c>
      <c r="D27" s="701">
        <v>2556.7006417059324</v>
      </c>
      <c r="E27" s="701">
        <v>3054.1386993000147</v>
      </c>
      <c r="F27" s="701">
        <v>3677.583736635177</v>
      </c>
      <c r="G27" s="701">
        <v>4504.8278844691722</v>
      </c>
      <c r="H27" s="701">
        <v>5552.3753682511624</v>
      </c>
      <c r="J27" s="706">
        <v>33859.06</v>
      </c>
    </row>
    <row r="28" spans="2:13">
      <c r="B28" s="693">
        <f>B27/$J$27</f>
        <v>7.6509069697727972E-2</v>
      </c>
      <c r="C28" s="693">
        <f>C27/$J$27</f>
        <v>5.4708540846580958E-2</v>
      </c>
      <c r="D28" s="693">
        <f>D27/$J$27</f>
        <v>7.5510089225924545E-2</v>
      </c>
      <c r="E28" s="693">
        <f>E27/$J$27</f>
        <v>9.0201520635836169E-2</v>
      </c>
      <c r="F28" s="693">
        <f>F27/$J$27</f>
        <v>0.10861446645698898</v>
      </c>
      <c r="G28" s="693">
        <f>G27/$J$27</f>
        <v>0.13304645446356669</v>
      </c>
      <c r="H28" s="693">
        <f>H27/$J$27</f>
        <v>0.16398492362904235</v>
      </c>
    </row>
    <row r="29" spans="2:13">
      <c r="M29">
        <v>2985.2952358018129</v>
      </c>
    </row>
    <row r="30" spans="2:13">
      <c r="B30">
        <v>2025</v>
      </c>
      <c r="C30" s="693">
        <f>B27/$J$27</f>
        <v>7.6509069697727972E-2</v>
      </c>
      <c r="M30">
        <v>-309.11144906710496</v>
      </c>
    </row>
    <row r="31" spans="2:13">
      <c r="B31">
        <v>2026</v>
      </c>
      <c r="C31" s="693">
        <f>C27/$J$27</f>
        <v>5.4708540846580958E-2</v>
      </c>
      <c r="M31">
        <v>-268</v>
      </c>
    </row>
    <row r="32" spans="2:13">
      <c r="B32">
        <v>2027</v>
      </c>
      <c r="C32" s="693">
        <f>D27/$J$27</f>
        <v>7.5510089225924545E-2</v>
      </c>
      <c r="M32">
        <v>-360</v>
      </c>
    </row>
    <row r="33" spans="2:14">
      <c r="B33">
        <v>2028</v>
      </c>
      <c r="C33" s="693">
        <f>E27/$J$27</f>
        <v>9.0201520635836169E-2</v>
      </c>
      <c r="M33">
        <f>M29+SUM(M30:M32)</f>
        <v>2048.1837867347076</v>
      </c>
      <c r="N33">
        <f>M33/M29</f>
        <v>0.686090863701322</v>
      </c>
    </row>
    <row r="34" spans="2:14">
      <c r="B34">
        <v>2029</v>
      </c>
      <c r="C34" s="693">
        <f>F27/$J$27</f>
        <v>0.10861446645698898</v>
      </c>
      <c r="M34">
        <f>M33-SUM(M30:M31)</f>
        <v>2625.2952358018129</v>
      </c>
      <c r="N34">
        <f>1-M34/M29</f>
        <v>0.12059108783701544</v>
      </c>
    </row>
    <row r="35" spans="2:14">
      <c r="B35">
        <v>2030</v>
      </c>
      <c r="C35" s="693">
        <f>G27/$J$27</f>
        <v>0.13304645446356669</v>
      </c>
    </row>
    <row r="36" spans="2:14">
      <c r="B36">
        <v>2031</v>
      </c>
      <c r="C36" s="693">
        <f>H27/$J$27</f>
        <v>0.16398492362904235</v>
      </c>
      <c r="L36" t="s">
        <v>108</v>
      </c>
      <c r="M36" s="701">
        <f>Model!R544</f>
        <v>2547.9744064897009</v>
      </c>
    </row>
    <row r="37" spans="2:14">
      <c r="L37" t="s">
        <v>110</v>
      </c>
      <c r="M37">
        <f>Model!R548</f>
        <v>-711.22819384309116</v>
      </c>
    </row>
    <row r="38" spans="2:14">
      <c r="L38" t="s">
        <v>786</v>
      </c>
      <c r="M38" s="701">
        <f>Model!R742</f>
        <v>-359.9681535676811</v>
      </c>
    </row>
    <row r="39" spans="2:14">
      <c r="L39" t="s">
        <v>258</v>
      </c>
      <c r="M39" s="701">
        <f>Model!R767-Model!Q767</f>
        <v>505.62447783069956</v>
      </c>
    </row>
    <row r="40" spans="2:14">
      <c r="L40" t="s">
        <v>787</v>
      </c>
      <c r="M40" s="701">
        <f>SUM(M36:M39)</f>
        <v>1982.4025369096282</v>
      </c>
    </row>
    <row r="49" spans="2:23">
      <c r="M49" t="s">
        <v>788</v>
      </c>
      <c r="N49" s="709">
        <v>0.83</v>
      </c>
    </row>
    <row r="50" spans="2:23">
      <c r="M50" t="s">
        <v>784</v>
      </c>
      <c r="N50" s="709">
        <v>0.17</v>
      </c>
    </row>
    <row r="57" spans="2:23">
      <c r="C57">
        <v>2024</v>
      </c>
      <c r="D57">
        <v>2025</v>
      </c>
      <c r="E57" t="s">
        <v>12</v>
      </c>
      <c r="F57" t="s">
        <v>13</v>
      </c>
      <c r="G57" t="s">
        <v>14</v>
      </c>
      <c r="H57" t="s">
        <v>15</v>
      </c>
      <c r="I57" t="s">
        <v>16</v>
      </c>
      <c r="J57" t="s">
        <v>17</v>
      </c>
    </row>
    <row r="58" spans="2:23">
      <c r="C58">
        <f>C59*$B$59</f>
        <v>22000</v>
      </c>
      <c r="D58">
        <f>D59*$B$59</f>
        <v>37000</v>
      </c>
      <c r="E58">
        <f>E59*$B$59</f>
        <v>38850</v>
      </c>
      <c r="F58">
        <f>F59*$B$59</f>
        <v>40792.500000000007</v>
      </c>
      <c r="G58">
        <f>G59*$B$59</f>
        <v>42832.125000000007</v>
      </c>
      <c r="H58">
        <f>H59*$B$59</f>
        <v>36407.306250000001</v>
      </c>
      <c r="I58">
        <f>I59*$B$59</f>
        <v>30946.210312500003</v>
      </c>
      <c r="J58">
        <f>J59*$B$59</f>
        <v>26304.278765625004</v>
      </c>
      <c r="P58">
        <v>2024</v>
      </c>
      <c r="Q58">
        <v>2025</v>
      </c>
      <c r="R58" t="s">
        <v>12</v>
      </c>
      <c r="S58" t="s">
        <v>13</v>
      </c>
      <c r="T58" t="s">
        <v>14</v>
      </c>
      <c r="U58" t="s">
        <v>15</v>
      </c>
      <c r="V58" t="s">
        <v>16</v>
      </c>
      <c r="W58" t="s">
        <v>17</v>
      </c>
    </row>
    <row r="59" spans="2:23">
      <c r="B59">
        <v>1000</v>
      </c>
      <c r="C59">
        <v>22</v>
      </c>
      <c r="D59">
        <v>37</v>
      </c>
      <c r="E59">
        <v>38.85</v>
      </c>
      <c r="F59">
        <v>40.792500000000004</v>
      </c>
      <c r="G59">
        <v>42.832125000000005</v>
      </c>
      <c r="H59">
        <v>36.407306250000005</v>
      </c>
      <c r="I59">
        <v>30.946210312500003</v>
      </c>
      <c r="J59">
        <v>26.304278765625003</v>
      </c>
      <c r="N59" s="702">
        <f>(J58/G58)^(1/4)-1</f>
        <v>-0.11475354907805735</v>
      </c>
      <c r="P59">
        <v>660</v>
      </c>
      <c r="Q59">
        <v>359.96815356768099</v>
      </c>
      <c r="R59">
        <v>370.121964882231</v>
      </c>
      <c r="S59">
        <v>368.15179728821801</v>
      </c>
      <c r="T59">
        <v>272.04762715659501</v>
      </c>
      <c r="U59">
        <v>264.31980685623898</v>
      </c>
      <c r="V59">
        <v>260.19246501449197</v>
      </c>
      <c r="W59">
        <v>269.14564648170301</v>
      </c>
    </row>
  </sheetData>
  <pageMargins left="0.511811024" right="0.511811024" top="0.78740157499999996" bottom="0.78740157499999996" header="0.31496062000000002" footer="0.31496062000000002"/>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_activity xmlns="3ac9d2bd-c8bf-4b74-ab3a-37f7b290199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o" ma:contentTypeID="0x0101001E52CCC04381864FB68855D53C921142" ma:contentTypeVersion="15" ma:contentTypeDescription="Crie um novo documento." ma:contentTypeScope="" ma:versionID="9f77780eba482274e5f82758d64669c9">
  <xsd:schema xmlns:xsd="http://www.w3.org/2001/XMLSchema" xmlns:xs="http://www.w3.org/2001/XMLSchema" xmlns:p="http://schemas.microsoft.com/office/2006/metadata/properties" xmlns:ns1="http://schemas.microsoft.com/sharepoint/v3" xmlns:ns3="3ac9d2bd-c8bf-4b74-ab3a-37f7b290199e" xmlns:ns4="b2242d89-1367-4f5c-9171-32eb38a3d3c8" targetNamespace="http://schemas.microsoft.com/office/2006/metadata/properties" ma:root="true" ma:fieldsID="28ebd4aa6828b3e6c8e6fcaeaddf362a" ns1:_="" ns3:_="" ns4:_="">
    <xsd:import namespace="http://schemas.microsoft.com/sharepoint/v3"/>
    <xsd:import namespace="3ac9d2bd-c8bf-4b74-ab3a-37f7b290199e"/>
    <xsd:import namespace="b2242d89-1367-4f5c-9171-32eb38a3d3c8"/>
    <xsd:element name="properties">
      <xsd:complexType>
        <xsd:sequence>
          <xsd:element name="documentManagement">
            <xsd:complexType>
              <xsd:all>
                <xsd:element ref="ns3:MediaServiceMetadata" minOccurs="0"/>
                <xsd:element ref="ns3:MediaServiceFastMetadata" minOccurs="0"/>
                <xsd:element ref="ns3:_activity" minOccurs="0"/>
                <xsd:element ref="ns4:SharedWithUsers" minOccurs="0"/>
                <xsd:element ref="ns4:SharedWithDetails" minOccurs="0"/>
                <xsd:element ref="ns4:SharingHintHash"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DateTaken"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ac9d2bd-c8bf-4b74-ab3a-37f7b29019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2242d89-1367-4f5c-9171-32eb38a3d3c8" elementFormDefault="qualified">
    <xsd:import namespace="http://schemas.microsoft.com/office/2006/documentManagement/types"/>
    <xsd:import namespace="http://schemas.microsoft.com/office/infopath/2007/PartnerControls"/>
    <xsd:element name="SharedWithUsers" ma:index="11"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hes de Compartilhado Com" ma:internalName="SharedWithDetails" ma:readOnly="true">
      <xsd:simpleType>
        <xsd:restriction base="dms:Note">
          <xsd:maxLength value="255"/>
        </xsd:restriction>
      </xsd:simpleType>
    </xsd:element>
    <xsd:element name="SharingHintHash" ma:index="13" nillable="true" ma:displayName="Hash de Dica de Compartilhamento"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58FED42-2B26-4805-B074-6D185CB8CF79}"/>
</file>

<file path=customXml/itemProps2.xml><?xml version="1.0" encoding="utf-8"?>
<ds:datastoreItem xmlns:ds="http://schemas.openxmlformats.org/officeDocument/2006/customXml" ds:itemID="{00BE8C4A-0219-47C3-B4B9-12532282F940}"/>
</file>

<file path=customXml/itemProps3.xml><?xml version="1.0" encoding="utf-8"?>
<ds:datastoreItem xmlns:ds="http://schemas.openxmlformats.org/officeDocument/2006/customXml" ds:itemID="{9F509BF6-0084-4B11-985C-2C12B4C902FE}"/>
</file>

<file path=customXml/itemProps4.xml><?xml version="1.0" encoding="utf-8"?>
<ds:datastoreItem xmlns:ds="http://schemas.openxmlformats.org/officeDocument/2006/customXml" ds:itemID="{C160C294-DC95-4E64-AFFB-E88641F7EFF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 Martins</dc:creator>
  <cp:keywords/>
  <dc:description/>
  <cp:lastModifiedBy/>
  <cp:revision/>
  <dcterms:created xsi:type="dcterms:W3CDTF">2026-01-17T23:37:45Z</dcterms:created>
  <dcterms:modified xsi:type="dcterms:W3CDTF">2026-03-23T20:31:42Z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d22d218-6c62-419a-8888-377423f6c3b5_Enabled">
    <vt:lpwstr>true</vt:lpwstr>
  </property>
  <property fmtid="{D5CDD505-2E9C-101B-9397-08002B2CF9AE}" pid="3" name="MSIP_Label_bd22d218-6c62-419a-8888-377423f6c3b5_SetDate">
    <vt:lpwstr>2026-01-28T11:43:22Z</vt:lpwstr>
  </property>
  <property fmtid="{D5CDD505-2E9C-101B-9397-08002B2CF9AE}" pid="4" name="MSIP_Label_bd22d218-6c62-419a-8888-377423f6c3b5_Method">
    <vt:lpwstr>Privileged</vt:lpwstr>
  </property>
  <property fmtid="{D5CDD505-2E9C-101B-9397-08002B2CF9AE}" pid="5" name="MSIP_Label_bd22d218-6c62-419a-8888-377423f6c3b5_Name">
    <vt:lpwstr>External</vt:lpwstr>
  </property>
  <property fmtid="{D5CDD505-2E9C-101B-9397-08002B2CF9AE}" pid="6" name="MSIP_Label_bd22d218-6c62-419a-8888-377423f6c3b5_SiteId">
    <vt:lpwstr>02f2a40a-dec1-4e98-8600-ebb08c6e668e</vt:lpwstr>
  </property>
  <property fmtid="{D5CDD505-2E9C-101B-9397-08002B2CF9AE}" pid="7" name="MSIP_Label_bd22d218-6c62-419a-8888-377423f6c3b5_ActionId">
    <vt:lpwstr>b849da8f-ac88-401d-b432-82f10e0b76a7</vt:lpwstr>
  </property>
  <property fmtid="{D5CDD505-2E9C-101B-9397-08002B2CF9AE}" pid="8" name="MSIP_Label_bd22d218-6c62-419a-8888-377423f6c3b5_ContentBits">
    <vt:lpwstr>0</vt:lpwstr>
  </property>
  <property fmtid="{D5CDD505-2E9C-101B-9397-08002B2CF9AE}" pid="9" name="MSIP_Label_bd22d218-6c62-419a-8888-377423f6c3b5_Tag">
    <vt:lpwstr>10, 0, 1, 1</vt:lpwstr>
  </property>
  <property fmtid="{D5CDD505-2E9C-101B-9397-08002B2CF9AE}" pid="10" name="ContentTypeId">
    <vt:lpwstr>0x0101001E52CCC04381864FB68855D53C921142</vt:lpwstr>
  </property>
</Properties>
</file>